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Enforcements!$A$6:$AC$66</definedName>
    <definedName name="_xlnm._FilterDatabase" localSheetId="2" hidden="1">'Missing Trips'!$B$2:$I$2</definedName>
    <definedName name="_xlnm._FilterDatabase" localSheetId="0" hidden="1">'Train Runs'!$A$12:$AG$256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Runs'!$A$12:$J$70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89" i="1" l="1"/>
  <c r="X89" i="1" s="1"/>
  <c r="AD80" i="1"/>
  <c r="T80" i="1" s="1"/>
  <c r="AD75" i="1"/>
  <c r="X75" i="1" s="1"/>
  <c r="T75" i="1"/>
  <c r="AD74" i="1"/>
  <c r="AG74" i="1"/>
  <c r="S74" i="1" s="1"/>
  <c r="K72" i="1"/>
  <c r="L72" i="1"/>
  <c r="M72" i="1"/>
  <c r="V72" i="1"/>
  <c r="AA72" i="1"/>
  <c r="AB72" i="1"/>
  <c r="AC72" i="1"/>
  <c r="AD72" i="1"/>
  <c r="T72" i="1" s="1"/>
  <c r="AE72" i="1"/>
  <c r="AF72" i="1"/>
  <c r="AH72" i="1"/>
  <c r="K42" i="1"/>
  <c r="L42" i="1"/>
  <c r="M42" i="1"/>
  <c r="V42" i="1"/>
  <c r="AA42" i="1"/>
  <c r="AB42" i="1"/>
  <c r="AC42" i="1"/>
  <c r="AD42" i="1"/>
  <c r="T42" i="1" s="1"/>
  <c r="AE42" i="1"/>
  <c r="AF42" i="1"/>
  <c r="AH42" i="1"/>
  <c r="K14" i="1"/>
  <c r="L14" i="1"/>
  <c r="M14" i="1"/>
  <c r="N14" i="1" s="1"/>
  <c r="V14" i="1"/>
  <c r="Y14" i="1"/>
  <c r="AB14" i="1"/>
  <c r="AC14" i="1"/>
  <c r="AD14" i="1"/>
  <c r="AE14" i="1"/>
  <c r="AF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K34" i="1"/>
  <c r="L34" i="1"/>
  <c r="M34" i="1"/>
  <c r="N34" i="1" s="1"/>
  <c r="V34" i="1"/>
  <c r="S34" i="3" s="1"/>
  <c r="Y34" i="1"/>
  <c r="Z34" i="1"/>
  <c r="AB34" i="1"/>
  <c r="AC34" i="1"/>
  <c r="AD34" i="1"/>
  <c r="AE34" i="1"/>
  <c r="R34" i="3" s="1"/>
  <c r="AF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V36" i="1"/>
  <c r="S28" i="3" s="1"/>
  <c r="Y36" i="1"/>
  <c r="Z36" i="1"/>
  <c r="AB36" i="1"/>
  <c r="AC36" i="1"/>
  <c r="AD36" i="1"/>
  <c r="AE36" i="1"/>
  <c r="R28" i="3" s="1"/>
  <c r="AF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K41" i="1"/>
  <c r="L41" i="1"/>
  <c r="M41" i="1"/>
  <c r="V41" i="1"/>
  <c r="Y41" i="1"/>
  <c r="Z41" i="1"/>
  <c r="AB41" i="1"/>
  <c r="AC41" i="1"/>
  <c r="AD41" i="1"/>
  <c r="AG41" i="1" s="1"/>
  <c r="AE41" i="1"/>
  <c r="AF41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K46" i="1"/>
  <c r="L46" i="1"/>
  <c r="M46" i="1"/>
  <c r="P46" i="1" s="1"/>
  <c r="V46" i="1"/>
  <c r="Y46" i="1"/>
  <c r="Z46" i="1"/>
  <c r="AB46" i="1"/>
  <c r="AC46" i="1"/>
  <c r="AD46" i="1"/>
  <c r="AE46" i="1"/>
  <c r="AF46" i="1"/>
  <c r="K47" i="1"/>
  <c r="L47" i="1"/>
  <c r="M47" i="1"/>
  <c r="V47" i="1"/>
  <c r="Y47" i="1"/>
  <c r="Z47" i="1"/>
  <c r="AB47" i="1"/>
  <c r="AC47" i="1"/>
  <c r="AD47" i="1"/>
  <c r="T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K54" i="1"/>
  <c r="L54" i="1"/>
  <c r="M54" i="1"/>
  <c r="N54" i="1" s="1"/>
  <c r="V54" i="1"/>
  <c r="Y54" i="1"/>
  <c r="Z54" i="1"/>
  <c r="AB54" i="1"/>
  <c r="AC54" i="1"/>
  <c r="AD54" i="1"/>
  <c r="AG54" i="1" s="1"/>
  <c r="AI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K58" i="1"/>
  <c r="L58" i="1"/>
  <c r="M58" i="1"/>
  <c r="N58" i="1" s="1"/>
  <c r="V58" i="1"/>
  <c r="Y58" i="1"/>
  <c r="Z58" i="1"/>
  <c r="AB58" i="1"/>
  <c r="AC58" i="1"/>
  <c r="AD58" i="1"/>
  <c r="AG58" i="1" s="1"/>
  <c r="AI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K76" i="1"/>
  <c r="L76" i="1"/>
  <c r="M76" i="1"/>
  <c r="N76" i="1" s="1"/>
  <c r="V76" i="1"/>
  <c r="Y76" i="1"/>
  <c r="Z76" i="1"/>
  <c r="AB76" i="1"/>
  <c r="AC76" i="1"/>
  <c r="AD76" i="1"/>
  <c r="X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K81" i="1"/>
  <c r="L81" i="1"/>
  <c r="M81" i="1"/>
  <c r="N81" i="1" s="1"/>
  <c r="V81" i="1"/>
  <c r="Y81" i="1"/>
  <c r="Z81" i="1"/>
  <c r="AB81" i="1"/>
  <c r="AC81" i="1"/>
  <c r="AD81" i="1"/>
  <c r="X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K91" i="1"/>
  <c r="L91" i="1"/>
  <c r="M91" i="1"/>
  <c r="P91" i="1" s="1"/>
  <c r="V91" i="1"/>
  <c r="Y91" i="1"/>
  <c r="Z91" i="1"/>
  <c r="AB91" i="1"/>
  <c r="AC91" i="1"/>
  <c r="AD91" i="1"/>
  <c r="AE91" i="1"/>
  <c r="AF91" i="1"/>
  <c r="K92" i="1"/>
  <c r="L92" i="1"/>
  <c r="M92" i="1"/>
  <c r="V92" i="1"/>
  <c r="Y92" i="1"/>
  <c r="Z92" i="1"/>
  <c r="AB92" i="1"/>
  <c r="AC92" i="1"/>
  <c r="AD92" i="1"/>
  <c r="X92" i="1" s="1"/>
  <c r="AE92" i="1"/>
  <c r="AF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K94" i="1"/>
  <c r="L94" i="1"/>
  <c r="M94" i="1"/>
  <c r="N94" i="1" s="1"/>
  <c r="V94" i="1"/>
  <c r="Y94" i="1"/>
  <c r="Z94" i="1"/>
  <c r="AB94" i="1"/>
  <c r="AC94" i="1"/>
  <c r="AD94" i="1"/>
  <c r="X94" i="1" s="1"/>
  <c r="AE94" i="1"/>
  <c r="AF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K110" i="1"/>
  <c r="L110" i="1"/>
  <c r="M110" i="1"/>
  <c r="P110" i="1" s="1"/>
  <c r="V110" i="1"/>
  <c r="Y110" i="1"/>
  <c r="Z110" i="1"/>
  <c r="AB110" i="1"/>
  <c r="AC110" i="1"/>
  <c r="AD110" i="1"/>
  <c r="T110" i="1" s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K134" i="1"/>
  <c r="L134" i="1"/>
  <c r="M134" i="1"/>
  <c r="P134" i="1" s="1"/>
  <c r="V134" i="1"/>
  <c r="Y134" i="1"/>
  <c r="Z134" i="1"/>
  <c r="AB134" i="1"/>
  <c r="AC134" i="1"/>
  <c r="AD134" i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K236" i="1"/>
  <c r="L236" i="1"/>
  <c r="M236" i="1"/>
  <c r="N236" i="1" s="1"/>
  <c r="V236" i="1"/>
  <c r="Y236" i="1"/>
  <c r="Z236" i="1"/>
  <c r="AB236" i="1"/>
  <c r="AC236" i="1"/>
  <c r="AD236" i="1"/>
  <c r="AG236" i="1" s="1"/>
  <c r="AE236" i="1"/>
  <c r="AF236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K244" i="1"/>
  <c r="L244" i="1"/>
  <c r="M244" i="1"/>
  <c r="N244" i="1" s="1"/>
  <c r="V244" i="1"/>
  <c r="Y244" i="1"/>
  <c r="Z244" i="1"/>
  <c r="AB244" i="1"/>
  <c r="AC244" i="1"/>
  <c r="AD244" i="1"/>
  <c r="AG244" i="1" s="1"/>
  <c r="AE244" i="1"/>
  <c r="AF244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K164" i="1"/>
  <c r="L164" i="1"/>
  <c r="M164" i="1"/>
  <c r="N164" i="1" s="1"/>
  <c r="V164" i="1"/>
  <c r="S44" i="3" s="1"/>
  <c r="Y164" i="1"/>
  <c r="Z164" i="1"/>
  <c r="AB164" i="1"/>
  <c r="AC164" i="1"/>
  <c r="AD164" i="1"/>
  <c r="T164" i="1" s="1"/>
  <c r="AE164" i="1"/>
  <c r="R44" i="3" s="1"/>
  <c r="AF164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K230" i="1"/>
  <c r="L230" i="1"/>
  <c r="M230" i="1"/>
  <c r="N230" i="1" s="1"/>
  <c r="V230" i="1"/>
  <c r="Y230" i="1"/>
  <c r="Z230" i="1"/>
  <c r="AB230" i="1"/>
  <c r="AC230" i="1"/>
  <c r="AD230" i="1"/>
  <c r="AG230" i="1" s="1"/>
  <c r="AE230" i="1"/>
  <c r="AF230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K245" i="1"/>
  <c r="L245" i="1"/>
  <c r="M245" i="1"/>
  <c r="N245" i="1" s="1"/>
  <c r="V245" i="1"/>
  <c r="Y245" i="1"/>
  <c r="Z245" i="1"/>
  <c r="AB245" i="1"/>
  <c r="AC245" i="1"/>
  <c r="AD245" i="1"/>
  <c r="AG245" i="1" s="1"/>
  <c r="AE245" i="1"/>
  <c r="AF245" i="1"/>
  <c r="U8" i="3"/>
  <c r="AC8" i="3" s="1"/>
  <c r="V8" i="3"/>
  <c r="W8" i="3"/>
  <c r="X8" i="3"/>
  <c r="U9" i="3"/>
  <c r="AC9" i="3" s="1"/>
  <c r="V9" i="3"/>
  <c r="W9" i="3"/>
  <c r="X9" i="3"/>
  <c r="U10" i="3"/>
  <c r="T10" i="3" s="1"/>
  <c r="V10" i="3"/>
  <c r="W10" i="3"/>
  <c r="X10" i="3"/>
  <c r="AC10" i="3"/>
  <c r="U11" i="3"/>
  <c r="T11" i="3" s="1"/>
  <c r="V11" i="3"/>
  <c r="W11" i="3"/>
  <c r="X11" i="3"/>
  <c r="U12" i="3"/>
  <c r="AC12" i="3" s="1"/>
  <c r="V12" i="3"/>
  <c r="W12" i="3"/>
  <c r="X12" i="3"/>
  <c r="U13" i="3"/>
  <c r="AC13" i="3" s="1"/>
  <c r="V13" i="3"/>
  <c r="W13" i="3"/>
  <c r="X13" i="3"/>
  <c r="U14" i="3"/>
  <c r="T14" i="3" s="1"/>
  <c r="V14" i="3"/>
  <c r="W14" i="3"/>
  <c r="X14" i="3"/>
  <c r="AC14" i="3"/>
  <c r="U15" i="3"/>
  <c r="T15" i="3" s="1"/>
  <c r="V15" i="3"/>
  <c r="W15" i="3"/>
  <c r="X15" i="3"/>
  <c r="U16" i="3"/>
  <c r="AC16" i="3" s="1"/>
  <c r="V16" i="3"/>
  <c r="W16" i="3"/>
  <c r="X16" i="3"/>
  <c r="U17" i="3"/>
  <c r="AC17" i="3" s="1"/>
  <c r="V17" i="3"/>
  <c r="W17" i="3"/>
  <c r="X17" i="3"/>
  <c r="U18" i="3"/>
  <c r="T18" i="3" s="1"/>
  <c r="V18" i="3"/>
  <c r="W18" i="3"/>
  <c r="X18" i="3"/>
  <c r="AC18" i="3"/>
  <c r="U19" i="3"/>
  <c r="T19" i="3" s="1"/>
  <c r="V19" i="3"/>
  <c r="W19" i="3"/>
  <c r="X19" i="3"/>
  <c r="U20" i="3"/>
  <c r="AC20" i="3" s="1"/>
  <c r="V20" i="3"/>
  <c r="W20" i="3"/>
  <c r="X20" i="3"/>
  <c r="U21" i="3"/>
  <c r="AC21" i="3" s="1"/>
  <c r="V21" i="3"/>
  <c r="W21" i="3"/>
  <c r="X21" i="3"/>
  <c r="U22" i="3"/>
  <c r="T22" i="3" s="1"/>
  <c r="V22" i="3"/>
  <c r="W22" i="3"/>
  <c r="X22" i="3"/>
  <c r="AC22" i="3"/>
  <c r="U23" i="3"/>
  <c r="T23" i="3" s="1"/>
  <c r="V23" i="3"/>
  <c r="W23" i="3"/>
  <c r="X23" i="3"/>
  <c r="U24" i="3"/>
  <c r="AC24" i="3" s="1"/>
  <c r="V24" i="3"/>
  <c r="W24" i="3"/>
  <c r="X24" i="3"/>
  <c r="U25" i="3"/>
  <c r="AC25" i="3" s="1"/>
  <c r="V25" i="3"/>
  <c r="W25" i="3"/>
  <c r="X25" i="3"/>
  <c r="U26" i="3"/>
  <c r="T26" i="3" s="1"/>
  <c r="V26" i="3"/>
  <c r="W26" i="3"/>
  <c r="X26" i="3"/>
  <c r="AC26" i="3"/>
  <c r="U27" i="3"/>
  <c r="T27" i="3" s="1"/>
  <c r="V27" i="3"/>
  <c r="W27" i="3"/>
  <c r="X27" i="3"/>
  <c r="AC27" i="3"/>
  <c r="U28" i="3"/>
  <c r="AC28" i="3" s="1"/>
  <c r="V28" i="3"/>
  <c r="W28" i="3"/>
  <c r="X28" i="3"/>
  <c r="U29" i="3"/>
  <c r="AC29" i="3" s="1"/>
  <c r="V29" i="3"/>
  <c r="W29" i="3"/>
  <c r="X29" i="3"/>
  <c r="U30" i="3"/>
  <c r="T30" i="3" s="1"/>
  <c r="V30" i="3"/>
  <c r="W30" i="3"/>
  <c r="X30" i="3"/>
  <c r="AC30" i="3"/>
  <c r="U31" i="3"/>
  <c r="T31" i="3" s="1"/>
  <c r="V31" i="3"/>
  <c r="W31" i="3"/>
  <c r="X31" i="3"/>
  <c r="U32" i="3"/>
  <c r="AC32" i="3" s="1"/>
  <c r="V32" i="3"/>
  <c r="W32" i="3"/>
  <c r="X32" i="3"/>
  <c r="U33" i="3"/>
  <c r="AC33" i="3" s="1"/>
  <c r="V33" i="3"/>
  <c r="W33" i="3"/>
  <c r="X33" i="3"/>
  <c r="U34" i="3"/>
  <c r="T34" i="3" s="1"/>
  <c r="V34" i="3"/>
  <c r="W34" i="3"/>
  <c r="X34" i="3"/>
  <c r="AC34" i="3"/>
  <c r="U35" i="3"/>
  <c r="T35" i="3" s="1"/>
  <c r="V35" i="3"/>
  <c r="W35" i="3"/>
  <c r="X35" i="3"/>
  <c r="AC35" i="3"/>
  <c r="U36" i="3"/>
  <c r="AC36" i="3" s="1"/>
  <c r="V36" i="3"/>
  <c r="W36" i="3"/>
  <c r="X36" i="3"/>
  <c r="U37" i="3"/>
  <c r="AC37" i="3" s="1"/>
  <c r="V37" i="3"/>
  <c r="W37" i="3"/>
  <c r="X37" i="3"/>
  <c r="U38" i="3"/>
  <c r="T38" i="3" s="1"/>
  <c r="V38" i="3"/>
  <c r="W38" i="3"/>
  <c r="X38" i="3"/>
  <c r="AC38" i="3"/>
  <c r="U39" i="3"/>
  <c r="T39" i="3" s="1"/>
  <c r="V39" i="3"/>
  <c r="W39" i="3"/>
  <c r="X39" i="3"/>
  <c r="U40" i="3"/>
  <c r="AC40" i="3" s="1"/>
  <c r="V40" i="3"/>
  <c r="W40" i="3"/>
  <c r="X40" i="3"/>
  <c r="U41" i="3"/>
  <c r="AC41" i="3" s="1"/>
  <c r="V41" i="3"/>
  <c r="W41" i="3"/>
  <c r="X41" i="3"/>
  <c r="U42" i="3"/>
  <c r="T42" i="3" s="1"/>
  <c r="V42" i="3"/>
  <c r="W42" i="3"/>
  <c r="X42" i="3"/>
  <c r="AC42" i="3"/>
  <c r="U43" i="3"/>
  <c r="T43" i="3" s="1"/>
  <c r="V43" i="3"/>
  <c r="W43" i="3"/>
  <c r="X43" i="3"/>
  <c r="U44" i="3"/>
  <c r="AC44" i="3" s="1"/>
  <c r="V44" i="3"/>
  <c r="W44" i="3"/>
  <c r="X44" i="3"/>
  <c r="U45" i="3"/>
  <c r="AC45" i="3" s="1"/>
  <c r="V45" i="3"/>
  <c r="W45" i="3"/>
  <c r="X45" i="3"/>
  <c r="U46" i="3"/>
  <c r="T46" i="3" s="1"/>
  <c r="V46" i="3"/>
  <c r="W46" i="3"/>
  <c r="X46" i="3"/>
  <c r="AC46" i="3"/>
  <c r="U47" i="3"/>
  <c r="T47" i="3" s="1"/>
  <c r="V47" i="3"/>
  <c r="W47" i="3"/>
  <c r="X47" i="3"/>
  <c r="U48" i="3"/>
  <c r="AC48" i="3" s="1"/>
  <c r="V48" i="3"/>
  <c r="W48" i="3"/>
  <c r="X48" i="3"/>
  <c r="U49" i="3"/>
  <c r="AC49" i="3" s="1"/>
  <c r="V49" i="3"/>
  <c r="W49" i="3"/>
  <c r="X49" i="3"/>
  <c r="U50" i="3"/>
  <c r="T50" i="3" s="1"/>
  <c r="V50" i="3"/>
  <c r="W50" i="3"/>
  <c r="X50" i="3"/>
  <c r="AC50" i="3"/>
  <c r="U51" i="3"/>
  <c r="T51" i="3" s="1"/>
  <c r="V51" i="3"/>
  <c r="W51" i="3"/>
  <c r="X51" i="3"/>
  <c r="U52" i="3"/>
  <c r="AC52" i="3" s="1"/>
  <c r="V52" i="3"/>
  <c r="W52" i="3"/>
  <c r="X52" i="3"/>
  <c r="U53" i="3"/>
  <c r="AC53" i="3" s="1"/>
  <c r="V53" i="3"/>
  <c r="W53" i="3"/>
  <c r="X53" i="3"/>
  <c r="U54" i="3"/>
  <c r="T54" i="3" s="1"/>
  <c r="V54" i="3"/>
  <c r="W54" i="3"/>
  <c r="X54" i="3"/>
  <c r="AC54" i="3"/>
  <c r="U55" i="3"/>
  <c r="T55" i="3" s="1"/>
  <c r="V55" i="3"/>
  <c r="W55" i="3"/>
  <c r="X55" i="3"/>
  <c r="U56" i="3"/>
  <c r="AC56" i="3" s="1"/>
  <c r="V56" i="3"/>
  <c r="W56" i="3"/>
  <c r="X56" i="3"/>
  <c r="U57" i="3"/>
  <c r="AC57" i="3" s="1"/>
  <c r="V57" i="3"/>
  <c r="W57" i="3"/>
  <c r="X57" i="3"/>
  <c r="U58" i="3"/>
  <c r="T58" i="3" s="1"/>
  <c r="V58" i="3"/>
  <c r="W58" i="3"/>
  <c r="X58" i="3"/>
  <c r="AC58" i="3"/>
  <c r="U59" i="3"/>
  <c r="T59" i="3" s="1"/>
  <c r="V59" i="3"/>
  <c r="W59" i="3"/>
  <c r="X59" i="3"/>
  <c r="U60" i="3"/>
  <c r="AC60" i="3" s="1"/>
  <c r="V60" i="3"/>
  <c r="W60" i="3"/>
  <c r="X60" i="3"/>
  <c r="U61" i="3"/>
  <c r="AC61" i="3" s="1"/>
  <c r="V61" i="3"/>
  <c r="W61" i="3"/>
  <c r="X61" i="3"/>
  <c r="U62" i="3"/>
  <c r="T62" i="3" s="1"/>
  <c r="V62" i="3"/>
  <c r="W62" i="3"/>
  <c r="X62" i="3"/>
  <c r="AC62" i="3"/>
  <c r="U63" i="3"/>
  <c r="T63" i="3" s="1"/>
  <c r="V63" i="3"/>
  <c r="W63" i="3"/>
  <c r="X63" i="3"/>
  <c r="U64" i="3"/>
  <c r="AC64" i="3" s="1"/>
  <c r="V64" i="3"/>
  <c r="W64" i="3"/>
  <c r="X64" i="3"/>
  <c r="U65" i="3"/>
  <c r="AC65" i="3" s="1"/>
  <c r="V65" i="3"/>
  <c r="W65" i="3"/>
  <c r="X65" i="3"/>
  <c r="U66" i="3"/>
  <c r="T66" i="3" s="1"/>
  <c r="V66" i="3"/>
  <c r="W66" i="3"/>
  <c r="X66" i="3"/>
  <c r="AC66" i="3"/>
  <c r="M8" i="3"/>
  <c r="N8" i="3"/>
  <c r="M9" i="3"/>
  <c r="N9" i="3"/>
  <c r="M10" i="3"/>
  <c r="N10" i="3"/>
  <c r="M11" i="3"/>
  <c r="N11" i="3"/>
  <c r="M12" i="3"/>
  <c r="N12" i="3"/>
  <c r="M13" i="3"/>
  <c r="N13" i="3"/>
  <c r="M14" i="3"/>
  <c r="N14" i="3"/>
  <c r="M15" i="3"/>
  <c r="N15" i="3"/>
  <c r="M16" i="3"/>
  <c r="N16" i="3"/>
  <c r="M17" i="3"/>
  <c r="N17" i="3"/>
  <c r="M18" i="3"/>
  <c r="N18" i="3"/>
  <c r="M19" i="3"/>
  <c r="N19" i="3"/>
  <c r="M20" i="3"/>
  <c r="N20" i="3"/>
  <c r="M21" i="3"/>
  <c r="N21" i="3"/>
  <c r="M22" i="3"/>
  <c r="N22" i="3"/>
  <c r="M23" i="3"/>
  <c r="N23" i="3"/>
  <c r="M24" i="3"/>
  <c r="N24" i="3"/>
  <c r="M25" i="3"/>
  <c r="N25" i="3"/>
  <c r="M26" i="3"/>
  <c r="N26" i="3"/>
  <c r="M27" i="3"/>
  <c r="N27" i="3"/>
  <c r="M28" i="3"/>
  <c r="N28" i="3"/>
  <c r="M29" i="3"/>
  <c r="N29" i="3"/>
  <c r="M30" i="3"/>
  <c r="N30" i="3"/>
  <c r="M31" i="3"/>
  <c r="N31" i="3"/>
  <c r="M32" i="3"/>
  <c r="N32" i="3"/>
  <c r="M33" i="3"/>
  <c r="N33" i="3"/>
  <c r="M34" i="3"/>
  <c r="N34" i="3"/>
  <c r="M35" i="3"/>
  <c r="N35" i="3"/>
  <c r="M36" i="3"/>
  <c r="N36" i="3"/>
  <c r="M37" i="3"/>
  <c r="N37" i="3"/>
  <c r="M38" i="3"/>
  <c r="N38" i="3"/>
  <c r="M39" i="3"/>
  <c r="N39" i="3"/>
  <c r="M40" i="3"/>
  <c r="N40" i="3"/>
  <c r="M41" i="3"/>
  <c r="N41" i="3"/>
  <c r="M42" i="3"/>
  <c r="N42" i="3"/>
  <c r="M43" i="3"/>
  <c r="N43" i="3"/>
  <c r="M44" i="3"/>
  <c r="N44" i="3"/>
  <c r="M45" i="3"/>
  <c r="N45" i="3"/>
  <c r="M46" i="3"/>
  <c r="N46" i="3"/>
  <c r="M47" i="3"/>
  <c r="N47" i="3"/>
  <c r="M48" i="3"/>
  <c r="N48" i="3"/>
  <c r="M49" i="3"/>
  <c r="N49" i="3"/>
  <c r="M50" i="3"/>
  <c r="N50" i="3"/>
  <c r="M51" i="3"/>
  <c r="N51" i="3"/>
  <c r="M52" i="3"/>
  <c r="N52" i="3"/>
  <c r="M53" i="3"/>
  <c r="N53" i="3"/>
  <c r="M54" i="3"/>
  <c r="N54" i="3"/>
  <c r="M55" i="3"/>
  <c r="N55" i="3"/>
  <c r="M56" i="3"/>
  <c r="N56" i="3"/>
  <c r="M57" i="3"/>
  <c r="N57" i="3"/>
  <c r="M58" i="3"/>
  <c r="N58" i="3"/>
  <c r="M59" i="3"/>
  <c r="N59" i="3"/>
  <c r="M60" i="3"/>
  <c r="N60" i="3"/>
  <c r="M61" i="3"/>
  <c r="N61" i="3"/>
  <c r="M62" i="3"/>
  <c r="N62" i="3"/>
  <c r="M63" i="3"/>
  <c r="N63" i="3"/>
  <c r="M64" i="3"/>
  <c r="N64" i="3"/>
  <c r="M65" i="3"/>
  <c r="N65" i="3"/>
  <c r="M66" i="3"/>
  <c r="N66" i="3"/>
  <c r="U7" i="3"/>
  <c r="AC7" i="3" s="1"/>
  <c r="V7" i="3"/>
  <c r="W7" i="3"/>
  <c r="X7" i="3"/>
  <c r="X91" i="1" l="1"/>
  <c r="AG89" i="1"/>
  <c r="X93" i="1"/>
  <c r="X88" i="1"/>
  <c r="X43" i="1"/>
  <c r="AG75" i="1"/>
  <c r="S75" i="1" s="1"/>
  <c r="X59" i="1"/>
  <c r="X87" i="1"/>
  <c r="X78" i="1"/>
  <c r="X73" i="1"/>
  <c r="X44" i="1"/>
  <c r="P41" i="1"/>
  <c r="X74" i="1"/>
  <c r="X90" i="1"/>
  <c r="X86" i="1"/>
  <c r="X72" i="1"/>
  <c r="X152" i="1"/>
  <c r="X77" i="1"/>
  <c r="X79" i="1"/>
  <c r="AC19" i="3"/>
  <c r="X58" i="1"/>
  <c r="T74" i="1"/>
  <c r="X71" i="1"/>
  <c r="T89" i="1"/>
  <c r="AA206" i="1"/>
  <c r="X80" i="1"/>
  <c r="AG80" i="1"/>
  <c r="AG72" i="1"/>
  <c r="AC43" i="3"/>
  <c r="AC59" i="3"/>
  <c r="AC51" i="3"/>
  <c r="T205" i="1"/>
  <c r="U205" i="1" s="1"/>
  <c r="S205" i="1" s="1"/>
  <c r="AI222" i="1"/>
  <c r="T219" i="1"/>
  <c r="AG130" i="1"/>
  <c r="U130" i="1" s="1"/>
  <c r="S130" i="1" s="1"/>
  <c r="AG88" i="1"/>
  <c r="U88" i="1" s="1"/>
  <c r="S88" i="1" s="1"/>
  <c r="AA83" i="1"/>
  <c r="T79" i="1"/>
  <c r="U79" i="1" s="1"/>
  <c r="S79" i="1" s="1"/>
  <c r="AI65" i="1"/>
  <c r="AA65" i="1"/>
  <c r="W65" i="1" s="1"/>
  <c r="AA62" i="1"/>
  <c r="AG42" i="1"/>
  <c r="U42" i="1" s="1"/>
  <c r="X129" i="1"/>
  <c r="AI23" i="1"/>
  <c r="X42" i="1"/>
  <c r="AI42" i="1"/>
  <c r="R33" i="3"/>
  <c r="AA202" i="1"/>
  <c r="AA190" i="1"/>
  <c r="AA186" i="1"/>
  <c r="AA174" i="1"/>
  <c r="W174" i="1" s="1"/>
  <c r="X106" i="1"/>
  <c r="AA54" i="1"/>
  <c r="AI28" i="1"/>
  <c r="Y32" i="3"/>
  <c r="Y31" i="3"/>
  <c r="Y8" i="3"/>
  <c r="Y56" i="3"/>
  <c r="Y55" i="3"/>
  <c r="Y24" i="3"/>
  <c r="Y23" i="3"/>
  <c r="Y40" i="3"/>
  <c r="Y39" i="3"/>
  <c r="Y48" i="3"/>
  <c r="Y47" i="3"/>
  <c r="Y27" i="3"/>
  <c r="Y16" i="3"/>
  <c r="Y15" i="3"/>
  <c r="X145" i="1"/>
  <c r="AA114" i="1"/>
  <c r="W114" i="1" s="1"/>
  <c r="AI177" i="1"/>
  <c r="X237" i="1"/>
  <c r="AG212" i="1"/>
  <c r="X212" i="1"/>
  <c r="X198" i="1"/>
  <c r="X242" i="1"/>
  <c r="AA238" i="1"/>
  <c r="X215" i="1"/>
  <c r="X208" i="1"/>
  <c r="AA157" i="1"/>
  <c r="AA130" i="1"/>
  <c r="T106" i="1"/>
  <c r="AA98" i="1"/>
  <c r="AA64" i="1"/>
  <c r="AA44" i="1"/>
  <c r="AA35" i="1"/>
  <c r="AA24" i="1"/>
  <c r="AI214" i="1"/>
  <c r="AG114" i="1"/>
  <c r="AI114" i="1" s="1"/>
  <c r="X114" i="1"/>
  <c r="AG110" i="1"/>
  <c r="AI110" i="1" s="1"/>
  <c r="T53" i="3"/>
  <c r="AC11" i="3"/>
  <c r="Y64" i="3"/>
  <c r="Y63" i="3"/>
  <c r="Y44" i="3"/>
  <c r="Y38" i="3"/>
  <c r="Y13" i="3"/>
  <c r="Y12" i="3"/>
  <c r="Y7" i="3"/>
  <c r="Y19" i="3"/>
  <c r="T21" i="3"/>
  <c r="Y62" i="3"/>
  <c r="Y52" i="3"/>
  <c r="T45" i="3"/>
  <c r="Y37" i="3"/>
  <c r="Y30" i="3"/>
  <c r="Y59" i="3"/>
  <c r="Y51" i="3"/>
  <c r="Y45" i="3"/>
  <c r="Y20" i="3"/>
  <c r="T13" i="3"/>
  <c r="AA232" i="1"/>
  <c r="AA231" i="1"/>
  <c r="AA194" i="1"/>
  <c r="T181" i="1"/>
  <c r="U181" i="1" s="1"/>
  <c r="S181" i="1" s="1"/>
  <c r="AA172" i="1"/>
  <c r="AA168" i="1"/>
  <c r="T165" i="1"/>
  <c r="U165" i="1" s="1"/>
  <c r="S165" i="1" s="1"/>
  <c r="AA163" i="1"/>
  <c r="AI210" i="1"/>
  <c r="T156" i="1"/>
  <c r="U156" i="1" s="1"/>
  <c r="S156" i="1" s="1"/>
  <c r="AA146" i="1"/>
  <c r="AA142" i="1"/>
  <c r="AA81" i="1"/>
  <c r="AA191" i="1"/>
  <c r="AG137" i="1"/>
  <c r="U137" i="1" s="1"/>
  <c r="S137" i="1" s="1"/>
  <c r="X137" i="1"/>
  <c r="AG71" i="1"/>
  <c r="AI40" i="1"/>
  <c r="AA40" i="1"/>
  <c r="AG30" i="1"/>
  <c r="X30" i="1"/>
  <c r="AG27" i="1"/>
  <c r="AI27" i="1" s="1"/>
  <c r="X27" i="1"/>
  <c r="AA230" i="1"/>
  <c r="W230" i="1" s="1"/>
  <c r="AA205" i="1"/>
  <c r="AA199" i="1"/>
  <c r="AA198" i="1"/>
  <c r="W198" i="1" s="1"/>
  <c r="AA183" i="1"/>
  <c r="X174" i="1"/>
  <c r="AA242" i="1"/>
  <c r="AI226" i="1"/>
  <c r="AA212" i="1"/>
  <c r="W212" i="1" s="1"/>
  <c r="AG148" i="1"/>
  <c r="X148" i="1"/>
  <c r="AA134" i="1"/>
  <c r="AG126" i="1"/>
  <c r="AI126" i="1" s="1"/>
  <c r="AG101" i="1"/>
  <c r="X101" i="1"/>
  <c r="AI79" i="1"/>
  <c r="X68" i="1"/>
  <c r="T57" i="1"/>
  <c r="X51" i="1"/>
  <c r="W40" i="1"/>
  <c r="AA171" i="1"/>
  <c r="AA167" i="1"/>
  <c r="AA233" i="1"/>
  <c r="AA226" i="1"/>
  <c r="W226" i="1" s="1"/>
  <c r="AA145" i="1"/>
  <c r="AA141" i="1"/>
  <c r="AA97" i="1"/>
  <c r="AA47" i="1"/>
  <c r="AA39" i="1"/>
  <c r="AA19" i="1"/>
  <c r="W19" i="1" s="1"/>
  <c r="AA203" i="1"/>
  <c r="X202" i="1"/>
  <c r="AA196" i="1"/>
  <c r="AA195" i="1"/>
  <c r="X190" i="1"/>
  <c r="AA187" i="1"/>
  <c r="X186" i="1"/>
  <c r="AA181" i="1"/>
  <c r="W181" i="1" s="1"/>
  <c r="AA180" i="1"/>
  <c r="W180" i="1" s="1"/>
  <c r="AA175" i="1"/>
  <c r="AA164" i="1"/>
  <c r="AA244" i="1"/>
  <c r="W244" i="1" s="1"/>
  <c r="AA243" i="1"/>
  <c r="AG234" i="1"/>
  <c r="AI234" i="1" s="1"/>
  <c r="X234" i="1"/>
  <c r="AA224" i="1"/>
  <c r="AA216" i="1"/>
  <c r="AA211" i="1"/>
  <c r="AA158" i="1"/>
  <c r="AA148" i="1"/>
  <c r="W148" i="1" s="1"/>
  <c r="AA147" i="1"/>
  <c r="X136" i="1"/>
  <c r="AA131" i="1"/>
  <c r="AA123" i="1"/>
  <c r="AA115" i="1"/>
  <c r="AA113" i="1"/>
  <c r="AA106" i="1"/>
  <c r="AG98" i="1"/>
  <c r="X98" i="1"/>
  <c r="AA84" i="1"/>
  <c r="AA79" i="1"/>
  <c r="W79" i="1" s="1"/>
  <c r="AA58" i="1"/>
  <c r="W58" i="1" s="1"/>
  <c r="X48" i="1"/>
  <c r="AI45" i="1"/>
  <c r="AA23" i="1"/>
  <c r="W23" i="1" s="1"/>
  <c r="AA245" i="1"/>
  <c r="W245" i="1" s="1"/>
  <c r="AA228" i="1"/>
  <c r="W228" i="1" s="1"/>
  <c r="AA227" i="1"/>
  <c r="AA200" i="1"/>
  <c r="W200" i="1" s="1"/>
  <c r="AA197" i="1"/>
  <c r="W197" i="1" s="1"/>
  <c r="AA192" i="1"/>
  <c r="W192" i="1" s="1"/>
  <c r="AA188" i="1"/>
  <c r="AA184" i="1"/>
  <c r="W184" i="1" s="1"/>
  <c r="AA182" i="1"/>
  <c r="W182" i="1" s="1"/>
  <c r="AA170" i="1"/>
  <c r="W170" i="1" s="1"/>
  <c r="AA166" i="1"/>
  <c r="W166" i="1" s="1"/>
  <c r="AA225" i="1"/>
  <c r="AI128" i="1"/>
  <c r="AA107" i="1"/>
  <c r="AA87" i="1"/>
  <c r="AA86" i="1"/>
  <c r="W86" i="1" s="1"/>
  <c r="T68" i="1"/>
  <c r="AA50" i="1"/>
  <c r="AA46" i="1"/>
  <c r="AA38" i="1"/>
  <c r="AA36" i="1"/>
  <c r="AA30" i="1"/>
  <c r="AA28" i="1"/>
  <c r="W28" i="1" s="1"/>
  <c r="AA26" i="1"/>
  <c r="T136" i="1"/>
  <c r="X126" i="1"/>
  <c r="AA125" i="1"/>
  <c r="X110" i="1"/>
  <c r="AA109" i="1"/>
  <c r="AA95" i="1"/>
  <c r="AA94" i="1"/>
  <c r="AA92" i="1"/>
  <c r="AA91" i="1"/>
  <c r="AA90" i="1"/>
  <c r="W90" i="1" s="1"/>
  <c r="T90" i="1"/>
  <c r="U90" i="1" s="1"/>
  <c r="S90" i="1" s="1"/>
  <c r="AA77" i="1"/>
  <c r="W77" i="1" s="1"/>
  <c r="AA76" i="1"/>
  <c r="AA61" i="1"/>
  <c r="X53" i="1"/>
  <c r="AA41" i="1"/>
  <c r="W41" i="1" s="1"/>
  <c r="X34" i="1"/>
  <c r="AA33" i="1"/>
  <c r="AA32" i="1"/>
  <c r="T19" i="1"/>
  <c r="U19" i="1" s="1"/>
  <c r="S19" i="1" s="1"/>
  <c r="AA17" i="1"/>
  <c r="AA16" i="1"/>
  <c r="AA161" i="1"/>
  <c r="AG238" i="1"/>
  <c r="AI238" i="1" s="1"/>
  <c r="AA235" i="1"/>
  <c r="X220" i="1"/>
  <c r="AA149" i="1"/>
  <c r="AG140" i="1"/>
  <c r="U140" i="1" s="1"/>
  <c r="S140" i="1" s="1"/>
  <c r="X140" i="1"/>
  <c r="T189" i="1"/>
  <c r="U189" i="1" s="1"/>
  <c r="S189" i="1" s="1"/>
  <c r="X182" i="1"/>
  <c r="T173" i="1"/>
  <c r="U173" i="1" s="1"/>
  <c r="S173" i="1" s="1"/>
  <c r="X166" i="1"/>
  <c r="AG161" i="1"/>
  <c r="U161" i="1" s="1"/>
  <c r="S161" i="1" s="1"/>
  <c r="X161" i="1"/>
  <c r="AG241" i="1"/>
  <c r="AI241" i="1" s="1"/>
  <c r="AG233" i="1"/>
  <c r="U233" i="1" s="1"/>
  <c r="S233" i="1" s="1"/>
  <c r="X233" i="1"/>
  <c r="AG216" i="1"/>
  <c r="U216" i="1" s="1"/>
  <c r="S216" i="1" s="1"/>
  <c r="AA213" i="1"/>
  <c r="X157" i="1"/>
  <c r="AA153" i="1"/>
  <c r="AG149" i="1"/>
  <c r="AI149" i="1" s="1"/>
  <c r="X149" i="1"/>
  <c r="AG136" i="1"/>
  <c r="AI136" i="1" s="1"/>
  <c r="AG129" i="1"/>
  <c r="AI129" i="1" s="1"/>
  <c r="AG125" i="1"/>
  <c r="U125" i="1" s="1"/>
  <c r="S125" i="1" s="1"/>
  <c r="AA118" i="1"/>
  <c r="AG109" i="1"/>
  <c r="U109" i="1" s="1"/>
  <c r="S109" i="1" s="1"/>
  <c r="AA102" i="1"/>
  <c r="AA99" i="1"/>
  <c r="AA85" i="1"/>
  <c r="X84" i="1"/>
  <c r="AA73" i="1"/>
  <c r="T69" i="1"/>
  <c r="U69" i="1" s="1"/>
  <c r="S69" i="1" s="1"/>
  <c r="AA66" i="1"/>
  <c r="T53" i="1"/>
  <c r="AA31" i="1"/>
  <c r="AA15" i="1"/>
  <c r="T245" i="1"/>
  <c r="U245" i="1" s="1"/>
  <c r="S245" i="1" s="1"/>
  <c r="X206" i="1"/>
  <c r="AA204" i="1"/>
  <c r="W204" i="1" s="1"/>
  <c r="T197" i="1"/>
  <c r="U197" i="1" s="1"/>
  <c r="S197" i="1" s="1"/>
  <c r="AA189" i="1"/>
  <c r="AA179" i="1"/>
  <c r="AA178" i="1"/>
  <c r="AA176" i="1"/>
  <c r="W176" i="1" s="1"/>
  <c r="AA162" i="1"/>
  <c r="W162" i="1" s="1"/>
  <c r="AA234" i="1"/>
  <c r="AA221" i="1"/>
  <c r="AA220" i="1"/>
  <c r="W220" i="1" s="1"/>
  <c r="AG211" i="1"/>
  <c r="U211" i="1" s="1"/>
  <c r="X211" i="1"/>
  <c r="AA210" i="1"/>
  <c r="W210" i="1" s="1"/>
  <c r="AA209" i="1"/>
  <c r="AA208" i="1"/>
  <c r="AG153" i="1"/>
  <c r="U153" i="1" s="1"/>
  <c r="S153" i="1" s="1"/>
  <c r="AA150" i="1"/>
  <c r="X141" i="1"/>
  <c r="AA137" i="1"/>
  <c r="AA128" i="1"/>
  <c r="W128" i="1" s="1"/>
  <c r="AA126" i="1"/>
  <c r="AG118" i="1"/>
  <c r="AI118" i="1" s="1"/>
  <c r="AG113" i="1"/>
  <c r="U113" i="1" s="1"/>
  <c r="S113" i="1" s="1"/>
  <c r="X113" i="1"/>
  <c r="AA112" i="1"/>
  <c r="W112" i="1" s="1"/>
  <c r="AA110" i="1"/>
  <c r="X105" i="1"/>
  <c r="AG102" i="1"/>
  <c r="AI102" i="1" s="1"/>
  <c r="X102" i="1"/>
  <c r="AG97" i="1"/>
  <c r="W97" i="1" s="1"/>
  <c r="X97" i="1"/>
  <c r="AA96" i="1"/>
  <c r="W96" i="1" s="1"/>
  <c r="AA55" i="1"/>
  <c r="T51" i="1"/>
  <c r="AA49" i="1"/>
  <c r="AA45" i="1"/>
  <c r="W45" i="1" s="1"/>
  <c r="AA43" i="1"/>
  <c r="X39" i="1"/>
  <c r="AA29" i="1"/>
  <c r="X28" i="1"/>
  <c r="AA21" i="1"/>
  <c r="W21" i="1" s="1"/>
  <c r="AA20" i="1"/>
  <c r="X19" i="1"/>
  <c r="AI206" i="1"/>
  <c r="AI230" i="1"/>
  <c r="AI189" i="1"/>
  <c r="AI173" i="1"/>
  <c r="U148" i="1"/>
  <c r="S148" i="1" s="1"/>
  <c r="AI181" i="1"/>
  <c r="AI165" i="1"/>
  <c r="AI198" i="1"/>
  <c r="U212" i="1"/>
  <c r="S212" i="1" s="1"/>
  <c r="T208" i="1"/>
  <c r="AG94" i="1"/>
  <c r="X31" i="1"/>
  <c r="AG31" i="1"/>
  <c r="AI31" i="1" s="1"/>
  <c r="T31" i="1"/>
  <c r="AI19" i="1"/>
  <c r="AG202" i="1"/>
  <c r="AG201" i="1"/>
  <c r="AI201" i="1" s="1"/>
  <c r="AG194" i="1"/>
  <c r="AG193" i="1"/>
  <c r="AI193" i="1" s="1"/>
  <c r="W190" i="1"/>
  <c r="W189" i="1"/>
  <c r="X230" i="1"/>
  <c r="T206" i="1"/>
  <c r="U206" i="1" s="1"/>
  <c r="S206" i="1" s="1"/>
  <c r="T198" i="1"/>
  <c r="U198" i="1" s="1"/>
  <c r="S198" i="1" s="1"/>
  <c r="X194" i="1"/>
  <c r="T190" i="1"/>
  <c r="U190" i="1" s="1"/>
  <c r="S190" i="1" s="1"/>
  <c r="T182" i="1"/>
  <c r="U182" i="1" s="1"/>
  <c r="S182" i="1" s="1"/>
  <c r="X178" i="1"/>
  <c r="T177" i="1"/>
  <c r="U177" i="1" s="1"/>
  <c r="S177" i="1" s="1"/>
  <c r="T174" i="1"/>
  <c r="U174" i="1" s="1"/>
  <c r="S174" i="1" s="1"/>
  <c r="X170" i="1"/>
  <c r="T166" i="1"/>
  <c r="U166" i="1" s="1"/>
  <c r="S166" i="1" s="1"/>
  <c r="X224" i="1"/>
  <c r="T220" i="1"/>
  <c r="U220" i="1" s="1"/>
  <c r="S220" i="1" s="1"/>
  <c r="AA229" i="1"/>
  <c r="AA201" i="1"/>
  <c r="AA193" i="1"/>
  <c r="AA185" i="1"/>
  <c r="AA177" i="1"/>
  <c r="W177" i="1" s="1"/>
  <c r="AA169" i="1"/>
  <c r="AG242" i="1"/>
  <c r="W242" i="1" s="1"/>
  <c r="AA239" i="1"/>
  <c r="T237" i="1"/>
  <c r="AA223" i="1"/>
  <c r="W223" i="1" s="1"/>
  <c r="T223" i="1"/>
  <c r="U223" i="1" s="1"/>
  <c r="S223" i="1" s="1"/>
  <c r="AA217" i="1"/>
  <c r="T215" i="1"/>
  <c r="AA207" i="1"/>
  <c r="W207" i="1" s="1"/>
  <c r="T207" i="1"/>
  <c r="U207" i="1" s="1"/>
  <c r="S207" i="1" s="1"/>
  <c r="AG157" i="1"/>
  <c r="AA154" i="1"/>
  <c r="T152" i="1"/>
  <c r="AA144" i="1"/>
  <c r="W144" i="1" s="1"/>
  <c r="T144" i="1"/>
  <c r="U144" i="1" s="1"/>
  <c r="S144" i="1" s="1"/>
  <c r="AG141" i="1"/>
  <c r="AA138" i="1"/>
  <c r="AA132" i="1"/>
  <c r="W132" i="1" s="1"/>
  <c r="AG122" i="1"/>
  <c r="X122" i="1"/>
  <c r="AG121" i="1"/>
  <c r="AI121" i="1" s="1"/>
  <c r="X121" i="1"/>
  <c r="AG106" i="1"/>
  <c r="AG105" i="1"/>
  <c r="U105" i="1" s="1"/>
  <c r="S105" i="1" s="1"/>
  <c r="AG78" i="1"/>
  <c r="AI77" i="1"/>
  <c r="X64" i="1"/>
  <c r="AG64" i="1"/>
  <c r="U64" i="1" s="1"/>
  <c r="S64" i="1" s="1"/>
  <c r="X65" i="1"/>
  <c r="T230" i="1"/>
  <c r="U230" i="1" s="1"/>
  <c r="S230" i="1" s="1"/>
  <c r="T170" i="1"/>
  <c r="U170" i="1" s="1"/>
  <c r="S170" i="1" s="1"/>
  <c r="T145" i="1"/>
  <c r="AG85" i="1"/>
  <c r="AI85" i="1" s="1"/>
  <c r="X85" i="1"/>
  <c r="AG73" i="1"/>
  <c r="AI73" i="1" s="1"/>
  <c r="T73" i="1"/>
  <c r="AG229" i="1"/>
  <c r="U229" i="1" s="1"/>
  <c r="S229" i="1" s="1"/>
  <c r="W205" i="1"/>
  <c r="AG186" i="1"/>
  <c r="AG185" i="1"/>
  <c r="AI185" i="1" s="1"/>
  <c r="AG178" i="1"/>
  <c r="U178" i="1" s="1"/>
  <c r="S178" i="1" s="1"/>
  <c r="AA173" i="1"/>
  <c r="W173" i="1" s="1"/>
  <c r="AG169" i="1"/>
  <c r="AA165" i="1"/>
  <c r="W165" i="1" s="1"/>
  <c r="X238" i="1"/>
  <c r="AG237" i="1"/>
  <c r="AG224" i="1"/>
  <c r="U224" i="1" s="1"/>
  <c r="S224" i="1" s="1"/>
  <c r="AA222" i="1"/>
  <c r="W222" i="1" s="1"/>
  <c r="X216" i="1"/>
  <c r="AG215" i="1"/>
  <c r="AG208" i="1"/>
  <c r="W208" i="1" s="1"/>
  <c r="AA159" i="1"/>
  <c r="X153" i="1"/>
  <c r="AG152" i="1"/>
  <c r="AI152" i="1" s="1"/>
  <c r="AG145" i="1"/>
  <c r="AA143" i="1"/>
  <c r="AA122" i="1"/>
  <c r="AG117" i="1"/>
  <c r="U117" i="1" s="1"/>
  <c r="S117" i="1" s="1"/>
  <c r="X117" i="1"/>
  <c r="AG93" i="1"/>
  <c r="T93" i="1"/>
  <c r="AA69" i="1"/>
  <c r="W69" i="1" s="1"/>
  <c r="AI69" i="1"/>
  <c r="AG44" i="1"/>
  <c r="W44" i="1" s="1"/>
  <c r="X45" i="1"/>
  <c r="T44" i="1"/>
  <c r="X15" i="1"/>
  <c r="AG15" i="1"/>
  <c r="U15" i="1" s="1"/>
  <c r="T202" i="1"/>
  <c r="T186" i="1"/>
  <c r="AG61" i="1"/>
  <c r="AI61" i="1" s="1"/>
  <c r="X61" i="1"/>
  <c r="W206" i="1"/>
  <c r="W147" i="1"/>
  <c r="X118" i="1"/>
  <c r="T94" i="1"/>
  <c r="T85" i="1"/>
  <c r="T61" i="1"/>
  <c r="AG24" i="1"/>
  <c r="AI24" i="1" s="1"/>
  <c r="X24" i="1"/>
  <c r="T14" i="1"/>
  <c r="AG14" i="1"/>
  <c r="AI14" i="1" s="1"/>
  <c r="AA133" i="1"/>
  <c r="X130" i="1"/>
  <c r="AA127" i="1"/>
  <c r="AA119" i="1"/>
  <c r="AA111" i="1"/>
  <c r="AA103" i="1"/>
  <c r="AI90" i="1"/>
  <c r="AA88" i="1"/>
  <c r="AG87" i="1"/>
  <c r="U87" i="1" s="1"/>
  <c r="S87" i="1" s="1"/>
  <c r="AG84" i="1"/>
  <c r="AA82" i="1"/>
  <c r="W82" i="1" s="1"/>
  <c r="AA70" i="1"/>
  <c r="T65" i="1"/>
  <c r="U65" i="1" s="1"/>
  <c r="S65" i="1" s="1"/>
  <c r="AA63" i="1"/>
  <c r="W63" i="1" s="1"/>
  <c r="T60" i="1"/>
  <c r="U60" i="1" s="1"/>
  <c r="S60" i="1" s="1"/>
  <c r="X54" i="1"/>
  <c r="AG53" i="1"/>
  <c r="U53" i="1" s="1"/>
  <c r="S53" i="1" s="1"/>
  <c r="AG51" i="1"/>
  <c r="AI51" i="1" s="1"/>
  <c r="T45" i="1"/>
  <c r="U45" i="1" s="1"/>
  <c r="S45" i="1" s="1"/>
  <c r="X40" i="1"/>
  <c r="AG39" i="1"/>
  <c r="AG35" i="1"/>
  <c r="AG34" i="1"/>
  <c r="AI34" i="1" s="1"/>
  <c r="AA27" i="1"/>
  <c r="X23" i="1"/>
  <c r="AA14" i="1"/>
  <c r="AA68" i="1"/>
  <c r="AA60" i="1"/>
  <c r="W60" i="1" s="1"/>
  <c r="T58" i="1"/>
  <c r="U58" i="1" s="1"/>
  <c r="S58" i="1" s="1"/>
  <c r="T54" i="1"/>
  <c r="U54" i="1" s="1"/>
  <c r="S54" i="1" s="1"/>
  <c r="AA48" i="1"/>
  <c r="T48" i="1"/>
  <c r="AA37" i="1"/>
  <c r="W37" i="1" s="1"/>
  <c r="T23" i="1"/>
  <c r="U23" i="1" s="1"/>
  <c r="S23" i="1" s="1"/>
  <c r="X69" i="1"/>
  <c r="AG68" i="1"/>
  <c r="AI68" i="1" s="1"/>
  <c r="AA57" i="1"/>
  <c r="AA53" i="1"/>
  <c r="AG48" i="1"/>
  <c r="AI48" i="1" s="1"/>
  <c r="AG47" i="1"/>
  <c r="U47" i="1" s="1"/>
  <c r="S47" i="1" s="1"/>
  <c r="T28" i="1"/>
  <c r="U28" i="1" s="1"/>
  <c r="S28" i="1" s="1"/>
  <c r="AG18" i="1"/>
  <c r="U18" i="1" s="1"/>
  <c r="S18" i="1" s="1"/>
  <c r="X18" i="1"/>
  <c r="AI155" i="1"/>
  <c r="AI236" i="1"/>
  <c r="AI212" i="1"/>
  <c r="T160" i="1"/>
  <c r="T243" i="1"/>
  <c r="X243" i="1"/>
  <c r="AG243" i="1"/>
  <c r="T240" i="1"/>
  <c r="X240" i="1"/>
  <c r="T218" i="1"/>
  <c r="X218" i="1"/>
  <c r="T158" i="1"/>
  <c r="X158" i="1"/>
  <c r="AG158" i="1"/>
  <c r="T111" i="1"/>
  <c r="X111" i="1"/>
  <c r="AG111" i="1"/>
  <c r="T108" i="1"/>
  <c r="X108" i="1"/>
  <c r="AG108" i="1"/>
  <c r="X109" i="1"/>
  <c r="AG32" i="1"/>
  <c r="X32" i="1"/>
  <c r="T32" i="1"/>
  <c r="X245" i="1"/>
  <c r="AG232" i="1"/>
  <c r="AI232" i="1" s="1"/>
  <c r="X197" i="1"/>
  <c r="AG196" i="1"/>
  <c r="X189" i="1"/>
  <c r="AG188" i="1"/>
  <c r="AI188" i="1" s="1"/>
  <c r="X173" i="1"/>
  <c r="AG172" i="1"/>
  <c r="W172" i="1" s="1"/>
  <c r="X169" i="1"/>
  <c r="AG168" i="1"/>
  <c r="AI168" i="1" s="1"/>
  <c r="X165" i="1"/>
  <c r="AG164" i="1"/>
  <c r="AI164" i="1" s="1"/>
  <c r="AG160" i="1"/>
  <c r="AI160" i="1" s="1"/>
  <c r="X160" i="1"/>
  <c r="X241" i="1"/>
  <c r="AG240" i="1"/>
  <c r="AI240" i="1" s="1"/>
  <c r="T225" i="1"/>
  <c r="X225" i="1"/>
  <c r="AG225" i="1"/>
  <c r="AI225" i="1" s="1"/>
  <c r="T159" i="1"/>
  <c r="X159" i="1"/>
  <c r="AI156" i="1"/>
  <c r="X156" i="1"/>
  <c r="T143" i="1"/>
  <c r="X143" i="1"/>
  <c r="AG131" i="1"/>
  <c r="X131" i="1"/>
  <c r="T131" i="1"/>
  <c r="T123" i="1"/>
  <c r="X123" i="1"/>
  <c r="AG123" i="1"/>
  <c r="AI100" i="1"/>
  <c r="T95" i="1"/>
  <c r="X95" i="1"/>
  <c r="AG95" i="1"/>
  <c r="T92" i="1"/>
  <c r="AG92" i="1"/>
  <c r="AI88" i="1"/>
  <c r="AG81" i="1"/>
  <c r="T81" i="1"/>
  <c r="AI52" i="1"/>
  <c r="AI245" i="1"/>
  <c r="X232" i="1"/>
  <c r="AG231" i="1"/>
  <c r="X228" i="1"/>
  <c r="T228" i="1"/>
  <c r="U228" i="1" s="1"/>
  <c r="S228" i="1" s="1"/>
  <c r="AG227" i="1"/>
  <c r="AI237" i="1"/>
  <c r="X204" i="1"/>
  <c r="T204" i="1"/>
  <c r="U204" i="1" s="1"/>
  <c r="S204" i="1" s="1"/>
  <c r="AG203" i="1"/>
  <c r="X200" i="1"/>
  <c r="T200" i="1"/>
  <c r="U200" i="1" s="1"/>
  <c r="S200" i="1" s="1"/>
  <c r="AG199" i="1"/>
  <c r="X196" i="1"/>
  <c r="AG195" i="1"/>
  <c r="X192" i="1"/>
  <c r="T192" i="1"/>
  <c r="U192" i="1" s="1"/>
  <c r="S192" i="1" s="1"/>
  <c r="AG191" i="1"/>
  <c r="AI191" i="1" s="1"/>
  <c r="X188" i="1"/>
  <c r="AG187" i="1"/>
  <c r="X184" i="1"/>
  <c r="T184" i="1"/>
  <c r="U184" i="1" s="1"/>
  <c r="S184" i="1" s="1"/>
  <c r="AG183" i="1"/>
  <c r="AI183" i="1" s="1"/>
  <c r="X180" i="1"/>
  <c r="T180" i="1"/>
  <c r="U180" i="1" s="1"/>
  <c r="S180" i="1" s="1"/>
  <c r="AG179" i="1"/>
  <c r="AI179" i="1" s="1"/>
  <c r="X176" i="1"/>
  <c r="T176" i="1"/>
  <c r="U176" i="1" s="1"/>
  <c r="S176" i="1" s="1"/>
  <c r="AG175" i="1"/>
  <c r="AI205" i="1"/>
  <c r="X172" i="1"/>
  <c r="AG171" i="1"/>
  <c r="X168" i="1"/>
  <c r="AG167" i="1"/>
  <c r="AI167" i="1" s="1"/>
  <c r="AI197" i="1"/>
  <c r="X164" i="1"/>
  <c r="AG163" i="1"/>
  <c r="AI163" i="1" s="1"/>
  <c r="T162" i="1"/>
  <c r="U162" i="1" s="1"/>
  <c r="S162" i="1" s="1"/>
  <c r="T244" i="1"/>
  <c r="U244" i="1" s="1"/>
  <c r="S244" i="1" s="1"/>
  <c r="X244" i="1"/>
  <c r="AA237" i="1"/>
  <c r="AA236" i="1"/>
  <c r="W236" i="1" s="1"/>
  <c r="T235" i="1"/>
  <c r="X235" i="1"/>
  <c r="AG235" i="1"/>
  <c r="T226" i="1"/>
  <c r="U226" i="1" s="1"/>
  <c r="S226" i="1" s="1"/>
  <c r="X226" i="1"/>
  <c r="AI176" i="1"/>
  <c r="X223" i="1"/>
  <c r="AA215" i="1"/>
  <c r="AA214" i="1"/>
  <c r="W214" i="1" s="1"/>
  <c r="T213" i="1"/>
  <c r="X213" i="1"/>
  <c r="AG213" i="1"/>
  <c r="AI213" i="1" s="1"/>
  <c r="T210" i="1"/>
  <c r="U210" i="1" s="1"/>
  <c r="S210" i="1" s="1"/>
  <c r="X210" i="1"/>
  <c r="X207" i="1"/>
  <c r="AG159" i="1"/>
  <c r="AA152" i="1"/>
  <c r="AA151" i="1"/>
  <c r="W151" i="1" s="1"/>
  <c r="T150" i="1"/>
  <c r="X150" i="1"/>
  <c r="AG150" i="1"/>
  <c r="T147" i="1"/>
  <c r="U147" i="1" s="1"/>
  <c r="S147" i="1" s="1"/>
  <c r="X147" i="1"/>
  <c r="AI144" i="1"/>
  <c r="X144" i="1"/>
  <c r="AG143" i="1"/>
  <c r="AA136" i="1"/>
  <c r="AA135" i="1"/>
  <c r="W135" i="1" s="1"/>
  <c r="T134" i="1"/>
  <c r="X134" i="1"/>
  <c r="AG134" i="1"/>
  <c r="X133" i="1"/>
  <c r="AG133" i="1"/>
  <c r="AI132" i="1"/>
  <c r="T129" i="1"/>
  <c r="AA124" i="1"/>
  <c r="T120" i="1"/>
  <c r="U120" i="1" s="1"/>
  <c r="S120" i="1" s="1"/>
  <c r="X120" i="1"/>
  <c r="U114" i="1"/>
  <c r="S114" i="1" s="1"/>
  <c r="T107" i="1"/>
  <c r="X107" i="1"/>
  <c r="AG107" i="1"/>
  <c r="AI101" i="1"/>
  <c r="U101" i="1"/>
  <c r="S101" i="1" s="1"/>
  <c r="AA93" i="1"/>
  <c r="AI78" i="1"/>
  <c r="T56" i="1"/>
  <c r="X56" i="1"/>
  <c r="X57" i="1"/>
  <c r="AG56" i="1"/>
  <c r="T46" i="1"/>
  <c r="X46" i="1"/>
  <c r="AG46" i="1"/>
  <c r="X47" i="1"/>
  <c r="AI184" i="1"/>
  <c r="T221" i="1"/>
  <c r="X221" i="1"/>
  <c r="AG221" i="1"/>
  <c r="AI221" i="1" s="1"/>
  <c r="T155" i="1"/>
  <c r="U155" i="1" s="1"/>
  <c r="S155" i="1" s="1"/>
  <c r="X155" i="1"/>
  <c r="AI151" i="1"/>
  <c r="T142" i="1"/>
  <c r="X142" i="1"/>
  <c r="AG142" i="1"/>
  <c r="T139" i="1"/>
  <c r="X139" i="1"/>
  <c r="AI135" i="1"/>
  <c r="AI116" i="1"/>
  <c r="AI104" i="1"/>
  <c r="AG76" i="1"/>
  <c r="T76" i="1"/>
  <c r="X229" i="1"/>
  <c r="X205" i="1"/>
  <c r="X201" i="1"/>
  <c r="X193" i="1"/>
  <c r="X185" i="1"/>
  <c r="X181" i="1"/>
  <c r="X177" i="1"/>
  <c r="T222" i="1"/>
  <c r="U222" i="1" s="1"/>
  <c r="S222" i="1" s="1"/>
  <c r="X222" i="1"/>
  <c r="X219" i="1"/>
  <c r="AG218" i="1"/>
  <c r="AI218" i="1" s="1"/>
  <c r="T209" i="1"/>
  <c r="X209" i="1"/>
  <c r="AG209" i="1"/>
  <c r="AI209" i="1" s="1"/>
  <c r="T146" i="1"/>
  <c r="X146" i="1"/>
  <c r="AG146" i="1"/>
  <c r="AG139" i="1"/>
  <c r="X231" i="1"/>
  <c r="X227" i="1"/>
  <c r="X203" i="1"/>
  <c r="X199" i="1"/>
  <c r="X195" i="1"/>
  <c r="X191" i="1"/>
  <c r="X187" i="1"/>
  <c r="X183" i="1"/>
  <c r="X179" i="1"/>
  <c r="X175" i="1"/>
  <c r="X171" i="1"/>
  <c r="X167" i="1"/>
  <c r="X163" i="1"/>
  <c r="X162" i="1"/>
  <c r="AA160" i="1"/>
  <c r="AA241" i="1"/>
  <c r="W241" i="1" s="1"/>
  <c r="AA240" i="1"/>
  <c r="T239" i="1"/>
  <c r="X239" i="1"/>
  <c r="AG239" i="1"/>
  <c r="T236" i="1"/>
  <c r="U236" i="1" s="1"/>
  <c r="S236" i="1" s="1"/>
  <c r="X236" i="1"/>
  <c r="AI180" i="1"/>
  <c r="AA219" i="1"/>
  <c r="W219" i="1" s="1"/>
  <c r="U219" i="1"/>
  <c r="S219" i="1" s="1"/>
  <c r="AA218" i="1"/>
  <c r="T217" i="1"/>
  <c r="X217" i="1"/>
  <c r="AG217" i="1"/>
  <c r="AI217" i="1" s="1"/>
  <c r="T214" i="1"/>
  <c r="U214" i="1" s="1"/>
  <c r="S214" i="1" s="1"/>
  <c r="X214" i="1"/>
  <c r="S211" i="1"/>
  <c r="AA156" i="1"/>
  <c r="W156" i="1" s="1"/>
  <c r="AA155" i="1"/>
  <c r="W155" i="1" s="1"/>
  <c r="T154" i="1"/>
  <c r="X154" i="1"/>
  <c r="AG154" i="1"/>
  <c r="T151" i="1"/>
  <c r="U151" i="1" s="1"/>
  <c r="S151" i="1" s="1"/>
  <c r="X151" i="1"/>
  <c r="AI148" i="1"/>
  <c r="AI147" i="1"/>
  <c r="AA140" i="1"/>
  <c r="AA139" i="1"/>
  <c r="T138" i="1"/>
  <c r="X138" i="1"/>
  <c r="AG138" i="1"/>
  <c r="T135" i="1"/>
  <c r="U135" i="1" s="1"/>
  <c r="S135" i="1" s="1"/>
  <c r="X135" i="1"/>
  <c r="T127" i="1"/>
  <c r="X127" i="1"/>
  <c r="AG127" i="1"/>
  <c r="T124" i="1"/>
  <c r="X124" i="1"/>
  <c r="AG124" i="1"/>
  <c r="X125" i="1"/>
  <c r="AI120" i="1"/>
  <c r="AA108" i="1"/>
  <c r="T104" i="1"/>
  <c r="U104" i="1" s="1"/>
  <c r="S104" i="1" s="1"/>
  <c r="X104" i="1"/>
  <c r="T91" i="1"/>
  <c r="AG91" i="1"/>
  <c r="W91" i="1" s="1"/>
  <c r="T70" i="1"/>
  <c r="X70" i="1"/>
  <c r="AG70" i="1"/>
  <c r="AI67" i="1"/>
  <c r="AI21" i="1"/>
  <c r="T128" i="1"/>
  <c r="U128" i="1" s="1"/>
  <c r="S128" i="1" s="1"/>
  <c r="X128" i="1"/>
  <c r="AA117" i="1"/>
  <c r="AA116" i="1"/>
  <c r="W116" i="1" s="1"/>
  <c r="T115" i="1"/>
  <c r="X115" i="1"/>
  <c r="AG115" i="1"/>
  <c r="T112" i="1"/>
  <c r="U112" i="1" s="1"/>
  <c r="S112" i="1" s="1"/>
  <c r="X112" i="1"/>
  <c r="AA101" i="1"/>
  <c r="W101" i="1" s="1"/>
  <c r="AA100" i="1"/>
  <c r="W100" i="1" s="1"/>
  <c r="T99" i="1"/>
  <c r="X99" i="1"/>
  <c r="AG99" i="1"/>
  <c r="T96" i="1"/>
  <c r="U96" i="1" s="1"/>
  <c r="S96" i="1" s="1"/>
  <c r="X96" i="1"/>
  <c r="AI93" i="1"/>
  <c r="T86" i="1"/>
  <c r="U86" i="1" s="1"/>
  <c r="S86" i="1" s="1"/>
  <c r="X83" i="1"/>
  <c r="AG83" i="1"/>
  <c r="AI82" i="1"/>
  <c r="T78" i="1"/>
  <c r="U78" i="1" s="1"/>
  <c r="S78" i="1" s="1"/>
  <c r="T62" i="1"/>
  <c r="X62" i="1"/>
  <c r="AG62" i="1"/>
  <c r="AA59" i="1"/>
  <c r="W57" i="1"/>
  <c r="X35" i="1"/>
  <c r="T34" i="1"/>
  <c r="T25" i="1"/>
  <c r="U25" i="1" s="1"/>
  <c r="S25" i="1" s="1"/>
  <c r="X25" i="1"/>
  <c r="X22" i="1"/>
  <c r="AG22" i="1"/>
  <c r="T22" i="1"/>
  <c r="T132" i="1"/>
  <c r="U132" i="1" s="1"/>
  <c r="S132" i="1" s="1"/>
  <c r="X132" i="1"/>
  <c r="AA129" i="1"/>
  <c r="AA121" i="1"/>
  <c r="AA120" i="1"/>
  <c r="W120" i="1" s="1"/>
  <c r="T119" i="1"/>
  <c r="X119" i="1"/>
  <c r="AG119" i="1"/>
  <c r="T116" i="1"/>
  <c r="U116" i="1" s="1"/>
  <c r="S116" i="1" s="1"/>
  <c r="X116" i="1"/>
  <c r="AI113" i="1"/>
  <c r="AI112" i="1"/>
  <c r="AA105" i="1"/>
  <c r="AA104" i="1"/>
  <c r="W104" i="1" s="1"/>
  <c r="T103" i="1"/>
  <c r="X103" i="1"/>
  <c r="AG103" i="1"/>
  <c r="T100" i="1"/>
  <c r="U100" i="1" s="1"/>
  <c r="S100" i="1" s="1"/>
  <c r="X100" i="1"/>
  <c r="AI96" i="1"/>
  <c r="AI86" i="1"/>
  <c r="AI71" i="1"/>
  <c r="U71" i="1"/>
  <c r="S71" i="1" s="1"/>
  <c r="T59" i="1"/>
  <c r="AG59" i="1"/>
  <c r="X60" i="1"/>
  <c r="AI57" i="1"/>
  <c r="U57" i="1"/>
  <c r="S57" i="1" s="1"/>
  <c r="W54" i="1"/>
  <c r="U27" i="1"/>
  <c r="S27" i="1" s="1"/>
  <c r="AI25" i="1"/>
  <c r="AG20" i="1"/>
  <c r="X20" i="1"/>
  <c r="T20" i="1"/>
  <c r="T77" i="1"/>
  <c r="U77" i="1" s="1"/>
  <c r="S77" i="1" s="1"/>
  <c r="AA71" i="1"/>
  <c r="W71" i="1" s="1"/>
  <c r="AA67" i="1"/>
  <c r="W67" i="1" s="1"/>
  <c r="T66" i="1"/>
  <c r="X66" i="1"/>
  <c r="AG66" i="1"/>
  <c r="T63" i="1"/>
  <c r="U63" i="1" s="1"/>
  <c r="S63" i="1" s="1"/>
  <c r="X63" i="1"/>
  <c r="AI60" i="1"/>
  <c r="AA52" i="1"/>
  <c r="W52" i="1" s="1"/>
  <c r="AG49" i="1"/>
  <c r="X49" i="1"/>
  <c r="T41" i="1"/>
  <c r="U41" i="1" s="1"/>
  <c r="X41" i="1"/>
  <c r="X38" i="1"/>
  <c r="AG38" i="1"/>
  <c r="AG36" i="1"/>
  <c r="X36" i="1"/>
  <c r="T36" i="1"/>
  <c r="T29" i="1"/>
  <c r="X29" i="1"/>
  <c r="AG29" i="1"/>
  <c r="W29" i="1" s="1"/>
  <c r="X26" i="1"/>
  <c r="AG16" i="1"/>
  <c r="X16" i="1"/>
  <c r="AI87" i="1"/>
  <c r="T82" i="1"/>
  <c r="U82" i="1" s="1"/>
  <c r="S82" i="1" s="1"/>
  <c r="X82" i="1"/>
  <c r="AA78" i="1"/>
  <c r="W78" i="1" s="1"/>
  <c r="T67" i="1"/>
  <c r="U67" i="1" s="1"/>
  <c r="S67" i="1" s="1"/>
  <c r="X67" i="1"/>
  <c r="AI63" i="1"/>
  <c r="AA56" i="1"/>
  <c r="T55" i="1"/>
  <c r="X55" i="1"/>
  <c r="AG55" i="1"/>
  <c r="T52" i="1"/>
  <c r="U52" i="1" s="1"/>
  <c r="S52" i="1" s="1"/>
  <c r="X52" i="1"/>
  <c r="AI41" i="1"/>
  <c r="AI37" i="1"/>
  <c r="AA25" i="1"/>
  <c r="W25" i="1" s="1"/>
  <c r="AA22" i="1"/>
  <c r="T50" i="1"/>
  <c r="X50" i="1"/>
  <c r="T43" i="1"/>
  <c r="T33" i="1"/>
  <c r="X33" i="1"/>
  <c r="T26" i="1"/>
  <c r="T17" i="1"/>
  <c r="X17" i="1"/>
  <c r="AA51" i="1"/>
  <c r="AG50" i="1"/>
  <c r="AG43" i="1"/>
  <c r="T40" i="1"/>
  <c r="U40" i="1" s="1"/>
  <c r="S40" i="1" s="1"/>
  <c r="T37" i="1"/>
  <c r="U37" i="1" s="1"/>
  <c r="S37" i="1" s="1"/>
  <c r="X37" i="1"/>
  <c r="AA34" i="1"/>
  <c r="AG33" i="1"/>
  <c r="AG26" i="1"/>
  <c r="T24" i="1"/>
  <c r="T21" i="1"/>
  <c r="U21" i="1" s="1"/>
  <c r="S21" i="1" s="1"/>
  <c r="X21" i="1"/>
  <c r="AA18" i="1"/>
  <c r="AG17" i="1"/>
  <c r="S33" i="3"/>
  <c r="T61" i="3"/>
  <c r="Y60" i="3"/>
  <c r="Y53" i="3"/>
  <c r="Y46" i="3"/>
  <c r="Y35" i="3"/>
  <c r="T29" i="3"/>
  <c r="Y28" i="3"/>
  <c r="Y21" i="3"/>
  <c r="Y14" i="3"/>
  <c r="Y61" i="3"/>
  <c r="Y54" i="3"/>
  <c r="Y43" i="3"/>
  <c r="T37" i="3"/>
  <c r="Y36" i="3"/>
  <c r="Y29" i="3"/>
  <c r="Y22" i="3"/>
  <c r="Y11" i="3"/>
  <c r="Y66" i="3"/>
  <c r="AC63" i="3"/>
  <c r="Y58" i="3"/>
  <c r="AC55" i="3"/>
  <c r="Y50" i="3"/>
  <c r="AC47" i="3"/>
  <c r="Y42" i="3"/>
  <c r="AC39" i="3"/>
  <c r="Y34" i="3"/>
  <c r="AC31" i="3"/>
  <c r="Y26" i="3"/>
  <c r="AC23" i="3"/>
  <c r="Y18" i="3"/>
  <c r="AC15" i="3"/>
  <c r="Y10" i="3"/>
  <c r="T65" i="3"/>
  <c r="T57" i="3"/>
  <c r="T49" i="3"/>
  <c r="T41" i="3"/>
  <c r="T33" i="3"/>
  <c r="T25" i="3"/>
  <c r="T17" i="3"/>
  <c r="T9" i="3"/>
  <c r="Y65" i="3"/>
  <c r="Y57" i="3"/>
  <c r="Y49" i="3"/>
  <c r="Y41" i="3"/>
  <c r="Y33" i="3"/>
  <c r="Y25" i="3"/>
  <c r="Y17" i="3"/>
  <c r="Y9" i="3"/>
  <c r="T64" i="3"/>
  <c r="T56" i="3"/>
  <c r="T52" i="3"/>
  <c r="T48" i="3"/>
  <c r="T44" i="3"/>
  <c r="T40" i="3"/>
  <c r="T36" i="3"/>
  <c r="T32" i="3"/>
  <c r="T28" i="3"/>
  <c r="T24" i="3"/>
  <c r="T20" i="3"/>
  <c r="T16" i="3"/>
  <c r="T12" i="3"/>
  <c r="T8" i="3"/>
  <c r="T60" i="3"/>
  <c r="T7" i="3"/>
  <c r="S29" i="3"/>
  <c r="R29" i="3"/>
  <c r="S7" i="3"/>
  <c r="R7" i="3"/>
  <c r="S16" i="3"/>
  <c r="R16" i="3"/>
  <c r="S13" i="3"/>
  <c r="R13" i="3"/>
  <c r="S14" i="3"/>
  <c r="R14" i="3"/>
  <c r="S8" i="3"/>
  <c r="R8" i="3"/>
  <c r="S22" i="3"/>
  <c r="R22" i="3"/>
  <c r="S38" i="3"/>
  <c r="R38" i="3"/>
  <c r="S18" i="3"/>
  <c r="R18" i="3"/>
  <c r="S15" i="3"/>
  <c r="R15" i="3"/>
  <c r="S20" i="3"/>
  <c r="R20" i="3"/>
  <c r="S21" i="3"/>
  <c r="R21" i="3"/>
  <c r="S25" i="3"/>
  <c r="R25" i="3"/>
  <c r="S9" i="3"/>
  <c r="R9" i="3"/>
  <c r="S19" i="3"/>
  <c r="R19" i="3"/>
  <c r="S24" i="3"/>
  <c r="R24" i="3"/>
  <c r="S39" i="3"/>
  <c r="R39" i="3"/>
  <c r="S31" i="3"/>
  <c r="R31" i="3"/>
  <c r="S11" i="3"/>
  <c r="R11" i="3"/>
  <c r="S32" i="3"/>
  <c r="R32" i="3"/>
  <c r="S36" i="3"/>
  <c r="R36" i="3"/>
  <c r="S37" i="3"/>
  <c r="R37" i="3"/>
  <c r="S26" i="3"/>
  <c r="R26" i="3"/>
  <c r="S27" i="3"/>
  <c r="R27" i="3"/>
  <c r="S61" i="3"/>
  <c r="R61" i="3"/>
  <c r="S59" i="3"/>
  <c r="R59" i="3"/>
  <c r="S41" i="3"/>
  <c r="R41" i="3"/>
  <c r="S60" i="3"/>
  <c r="R60" i="3"/>
  <c r="S40" i="3"/>
  <c r="R40" i="3"/>
  <c r="S66" i="3"/>
  <c r="R66" i="3"/>
  <c r="S42" i="3"/>
  <c r="R42" i="3"/>
  <c r="S46" i="3"/>
  <c r="R46" i="3"/>
  <c r="S48" i="3"/>
  <c r="R48" i="3"/>
  <c r="S54" i="3"/>
  <c r="R54" i="3"/>
  <c r="S49" i="3"/>
  <c r="R49" i="3"/>
  <c r="S47" i="3"/>
  <c r="R47" i="3"/>
  <c r="S50" i="3"/>
  <c r="R50" i="3"/>
  <c r="S55" i="3"/>
  <c r="R55" i="3"/>
  <c r="S51" i="3"/>
  <c r="R51" i="3"/>
  <c r="S56" i="3"/>
  <c r="R56" i="3"/>
  <c r="S52" i="3"/>
  <c r="R52" i="3"/>
  <c r="S57" i="3"/>
  <c r="R57" i="3"/>
  <c r="S58" i="3"/>
  <c r="R58" i="3"/>
  <c r="S53" i="3"/>
  <c r="R53" i="3"/>
  <c r="W93" i="1" l="1"/>
  <c r="W88" i="1"/>
  <c r="W125" i="1"/>
  <c r="AI53" i="1"/>
  <c r="U110" i="1"/>
  <c r="S110" i="1" s="1"/>
  <c r="W32" i="1"/>
  <c r="AI130" i="1"/>
  <c r="AI137" i="1"/>
  <c r="AI72" i="1"/>
  <c r="U72" i="1"/>
  <c r="S72" i="1" s="1"/>
  <c r="W72" i="1"/>
  <c r="S41" i="1"/>
  <c r="U24" i="1"/>
  <c r="S24" i="1" s="1"/>
  <c r="W154" i="1"/>
  <c r="W243" i="1"/>
  <c r="U185" i="1"/>
  <c r="S185" i="1" s="1"/>
  <c r="W42" i="1"/>
  <c r="W99" i="1"/>
  <c r="AI125" i="1"/>
  <c r="U241" i="1"/>
  <c r="S241" i="1" s="1"/>
  <c r="W142" i="1"/>
  <c r="W133" i="1"/>
  <c r="W126" i="1"/>
  <c r="W130" i="1"/>
  <c r="W30" i="1"/>
  <c r="W36" i="1"/>
  <c r="U30" i="1"/>
  <c r="S30" i="1" s="1"/>
  <c r="W39" i="1"/>
  <c r="W106" i="1"/>
  <c r="AI30" i="1"/>
  <c r="W171" i="1"/>
  <c r="W92" i="1"/>
  <c r="W33" i="1"/>
  <c r="U126" i="1"/>
  <c r="S126" i="1" s="1"/>
  <c r="W113" i="1"/>
  <c r="W211" i="1"/>
  <c r="W47" i="1"/>
  <c r="W34" i="1"/>
  <c r="W119" i="1"/>
  <c r="W152" i="1"/>
  <c r="U234" i="1"/>
  <c r="S234" i="1" s="1"/>
  <c r="AI18" i="1"/>
  <c r="AI44" i="1"/>
  <c r="W73" i="1"/>
  <c r="W215" i="1"/>
  <c r="U14" i="1"/>
  <c r="S14" i="1" s="1"/>
  <c r="W95" i="1"/>
  <c r="W87" i="1"/>
  <c r="W216" i="1"/>
  <c r="W27" i="1"/>
  <c r="W22" i="1"/>
  <c r="AI64" i="1"/>
  <c r="U34" i="1"/>
  <c r="S34" i="1" s="1"/>
  <c r="W237" i="1"/>
  <c r="W110" i="1"/>
  <c r="W98" i="1"/>
  <c r="W38" i="1"/>
  <c r="AI97" i="1"/>
  <c r="AI229" i="1"/>
  <c r="W227" i="1"/>
  <c r="AI140" i="1"/>
  <c r="AI216" i="1"/>
  <c r="W84" i="1"/>
  <c r="U149" i="1"/>
  <c r="S149" i="1" s="1"/>
  <c r="W149" i="1"/>
  <c r="W20" i="1"/>
  <c r="W18" i="1"/>
  <c r="W26" i="1"/>
  <c r="U51" i="1"/>
  <c r="S51" i="1" s="1"/>
  <c r="W68" i="1"/>
  <c r="AI15" i="1"/>
  <c r="AI47" i="1"/>
  <c r="U85" i="1"/>
  <c r="S85" i="1" s="1"/>
  <c r="W129" i="1"/>
  <c r="U68" i="1"/>
  <c r="S68" i="1" s="1"/>
  <c r="AI109" i="1"/>
  <c r="W140" i="1"/>
  <c r="W187" i="1"/>
  <c r="U31" i="1"/>
  <c r="S31" i="1" s="1"/>
  <c r="W137" i="1"/>
  <c r="W146" i="1"/>
  <c r="U129" i="1"/>
  <c r="S129" i="1" s="1"/>
  <c r="U193" i="1"/>
  <c r="S193" i="1" s="1"/>
  <c r="W193" i="1"/>
  <c r="W138" i="1"/>
  <c r="W175" i="1"/>
  <c r="W199" i="1"/>
  <c r="W53" i="1"/>
  <c r="U238" i="1"/>
  <c r="S238" i="1" s="1"/>
  <c r="U118" i="1"/>
  <c r="S118" i="1" s="1"/>
  <c r="AI161" i="1"/>
  <c r="W234" i="1"/>
  <c r="W31" i="1"/>
  <c r="W161" i="1"/>
  <c r="W109" i="1"/>
  <c r="W64" i="1"/>
  <c r="W59" i="1"/>
  <c r="AI233" i="1"/>
  <c r="U201" i="1"/>
  <c r="S201" i="1" s="1"/>
  <c r="U102" i="1"/>
  <c r="S102" i="1" s="1"/>
  <c r="U215" i="1"/>
  <c r="S215" i="1" s="1"/>
  <c r="W233" i="1"/>
  <c r="AI172" i="1"/>
  <c r="W76" i="1"/>
  <c r="AI153" i="1"/>
  <c r="AI98" i="1"/>
  <c r="W50" i="1"/>
  <c r="W105" i="1"/>
  <c r="W136" i="1"/>
  <c r="U98" i="1"/>
  <c r="S98" i="1" s="1"/>
  <c r="U44" i="1"/>
  <c r="S44" i="1" s="1"/>
  <c r="W141" i="1"/>
  <c r="W139" i="1"/>
  <c r="AI208" i="1"/>
  <c r="W14" i="1"/>
  <c r="U93" i="1"/>
  <c r="S93" i="1" s="1"/>
  <c r="U186" i="1"/>
  <c r="S186" i="1" s="1"/>
  <c r="W118" i="1"/>
  <c r="U136" i="1"/>
  <c r="S136" i="1" s="1"/>
  <c r="W191" i="1"/>
  <c r="U97" i="1"/>
  <c r="S97" i="1" s="1"/>
  <c r="W122" i="1"/>
  <c r="U152" i="1"/>
  <c r="S152" i="1" s="1"/>
  <c r="U237" i="1"/>
  <c r="S237" i="1" s="1"/>
  <c r="W217" i="1"/>
  <c r="W239" i="1"/>
  <c r="W185" i="1"/>
  <c r="W229" i="1"/>
  <c r="W102" i="1"/>
  <c r="W124" i="1"/>
  <c r="AI224" i="1"/>
  <c r="U61" i="1"/>
  <c r="S61" i="1" s="1"/>
  <c r="W61" i="1"/>
  <c r="W85" i="1"/>
  <c r="W153" i="1"/>
  <c r="W238" i="1"/>
  <c r="U94" i="1"/>
  <c r="S94" i="1" s="1"/>
  <c r="AI94" i="1"/>
  <c r="W121" i="1"/>
  <c r="W218" i="1"/>
  <c r="W240" i="1"/>
  <c r="AI117" i="1"/>
  <c r="W143" i="1"/>
  <c r="AI105" i="1"/>
  <c r="U48" i="1"/>
  <c r="S48" i="1" s="1"/>
  <c r="W15" i="1"/>
  <c r="U157" i="1"/>
  <c r="S157" i="1" s="1"/>
  <c r="AI157" i="1"/>
  <c r="W157" i="1"/>
  <c r="U35" i="1"/>
  <c r="S35" i="1" s="1"/>
  <c r="AI35" i="1"/>
  <c r="W35" i="1"/>
  <c r="W186" i="1"/>
  <c r="W51" i="1"/>
  <c r="S15" i="1"/>
  <c r="W117" i="1"/>
  <c r="U121" i="1"/>
  <c r="S121" i="1" s="1"/>
  <c r="W48" i="1"/>
  <c r="U39" i="1"/>
  <c r="S39" i="1" s="1"/>
  <c r="AI39" i="1"/>
  <c r="U84" i="1"/>
  <c r="S84" i="1" s="1"/>
  <c r="AI84" i="1"/>
  <c r="U145" i="1"/>
  <c r="S145" i="1" s="1"/>
  <c r="AI145" i="1"/>
  <c r="U208" i="1"/>
  <c r="S208" i="1" s="1"/>
  <c r="U169" i="1"/>
  <c r="S169" i="1" s="1"/>
  <c r="AI169" i="1"/>
  <c r="U73" i="1"/>
  <c r="S73" i="1" s="1"/>
  <c r="W94" i="1"/>
  <c r="U106" i="1"/>
  <c r="S106" i="1" s="1"/>
  <c r="AI106" i="1"/>
  <c r="U242" i="1"/>
  <c r="S242" i="1" s="1"/>
  <c r="AI242" i="1"/>
  <c r="U202" i="1"/>
  <c r="S202" i="1" s="1"/>
  <c r="AI202" i="1"/>
  <c r="W224" i="1"/>
  <c r="W145" i="1"/>
  <c r="AI175" i="1"/>
  <c r="W24" i="1"/>
  <c r="U122" i="1"/>
  <c r="S122" i="1" s="1"/>
  <c r="AI122" i="1"/>
  <c r="U141" i="1"/>
  <c r="S141" i="1" s="1"/>
  <c r="AI141" i="1"/>
  <c r="W169" i="1"/>
  <c r="W201" i="1"/>
  <c r="U194" i="1"/>
  <c r="S194" i="1" s="1"/>
  <c r="AI194" i="1"/>
  <c r="W178" i="1"/>
  <c r="W194" i="1"/>
  <c r="W202" i="1"/>
  <c r="U17" i="1"/>
  <c r="S17" i="1" s="1"/>
  <c r="AI17" i="1"/>
  <c r="AI43" i="1"/>
  <c r="U43" i="1"/>
  <c r="S43" i="1" s="1"/>
  <c r="U55" i="1"/>
  <c r="S55" i="1" s="1"/>
  <c r="AI55" i="1"/>
  <c r="U115" i="1"/>
  <c r="S115" i="1" s="1"/>
  <c r="AI115" i="1"/>
  <c r="AI70" i="1"/>
  <c r="U70" i="1"/>
  <c r="S70" i="1" s="1"/>
  <c r="U221" i="1"/>
  <c r="S221" i="1" s="1"/>
  <c r="AI174" i="1"/>
  <c r="U225" i="1"/>
  <c r="S225" i="1" s="1"/>
  <c r="AI178" i="1"/>
  <c r="W43" i="1"/>
  <c r="U16" i="1"/>
  <c r="S16" i="1" s="1"/>
  <c r="AI16" i="1"/>
  <c r="AI38" i="1"/>
  <c r="U38" i="1"/>
  <c r="S38" i="1" s="1"/>
  <c r="U49" i="1"/>
  <c r="S49" i="1" s="1"/>
  <c r="AI49" i="1"/>
  <c r="U66" i="1"/>
  <c r="S66" i="1" s="1"/>
  <c r="AI66" i="1"/>
  <c r="U20" i="1"/>
  <c r="S20" i="1" s="1"/>
  <c r="AI20" i="1"/>
  <c r="W160" i="1"/>
  <c r="U46" i="1"/>
  <c r="S46" i="1" s="1"/>
  <c r="AI46" i="1"/>
  <c r="U213" i="1"/>
  <c r="S213" i="1" s="1"/>
  <c r="AI166" i="1"/>
  <c r="W213" i="1"/>
  <c r="AI195" i="1"/>
  <c r="U163" i="1"/>
  <c r="S163" i="1" s="1"/>
  <c r="U171" i="1"/>
  <c r="S171" i="1" s="1"/>
  <c r="AI203" i="1"/>
  <c r="U179" i="1"/>
  <c r="S179" i="1" s="1"/>
  <c r="AI211" i="1"/>
  <c r="W55" i="1"/>
  <c r="U32" i="1"/>
  <c r="S32" i="1" s="1"/>
  <c r="AI32" i="1"/>
  <c r="W225" i="1"/>
  <c r="W179" i="1"/>
  <c r="AI22" i="1"/>
  <c r="U22" i="1"/>
  <c r="S22" i="1" s="1"/>
  <c r="W108" i="1"/>
  <c r="U127" i="1"/>
  <c r="S127" i="1" s="1"/>
  <c r="AI127" i="1"/>
  <c r="AI139" i="1"/>
  <c r="U139" i="1"/>
  <c r="S139" i="1" s="1"/>
  <c r="U76" i="1"/>
  <c r="S76" i="1" s="1"/>
  <c r="AI76" i="1"/>
  <c r="U142" i="1"/>
  <c r="S142" i="1" s="1"/>
  <c r="AI142" i="1"/>
  <c r="U107" i="1"/>
  <c r="S107" i="1" s="1"/>
  <c r="AI107" i="1"/>
  <c r="U150" i="1"/>
  <c r="S150" i="1" s="1"/>
  <c r="AI150" i="1"/>
  <c r="W150" i="1"/>
  <c r="AI215" i="1"/>
  <c r="U183" i="1"/>
  <c r="S183" i="1" s="1"/>
  <c r="U187" i="1"/>
  <c r="S187" i="1" s="1"/>
  <c r="AI219" i="1"/>
  <c r="AI223" i="1"/>
  <c r="U191" i="1"/>
  <c r="S191" i="1" s="1"/>
  <c r="U195" i="1"/>
  <c r="S195" i="1" s="1"/>
  <c r="AI227" i="1"/>
  <c r="AI231" i="1"/>
  <c r="U199" i="1"/>
  <c r="S199" i="1" s="1"/>
  <c r="U203" i="1"/>
  <c r="S203" i="1" s="1"/>
  <c r="AI235" i="1"/>
  <c r="U81" i="1"/>
  <c r="S81" i="1" s="1"/>
  <c r="AI81" i="1"/>
  <c r="U95" i="1"/>
  <c r="S95" i="1" s="1"/>
  <c r="AI95" i="1"/>
  <c r="W107" i="1"/>
  <c r="AI196" i="1"/>
  <c r="U164" i="1"/>
  <c r="S164" i="1" s="1"/>
  <c r="AI204" i="1"/>
  <c r="U172" i="1"/>
  <c r="S172" i="1" s="1"/>
  <c r="AI228" i="1"/>
  <c r="U196" i="1"/>
  <c r="S196" i="1" s="1"/>
  <c r="W17" i="1"/>
  <c r="W115" i="1"/>
  <c r="W195" i="1"/>
  <c r="W221" i="1"/>
  <c r="W196" i="1"/>
  <c r="W127" i="1"/>
  <c r="U36" i="1"/>
  <c r="S36" i="1" s="1"/>
  <c r="AI36" i="1"/>
  <c r="U103" i="1"/>
  <c r="S103" i="1" s="1"/>
  <c r="AI103" i="1"/>
  <c r="W103" i="1"/>
  <c r="AI56" i="1"/>
  <c r="U56" i="1"/>
  <c r="S56" i="1" s="1"/>
  <c r="AI143" i="1"/>
  <c r="U143" i="1"/>
  <c r="S143" i="1" s="1"/>
  <c r="U235" i="1"/>
  <c r="S235" i="1" s="1"/>
  <c r="W235" i="1"/>
  <c r="AI182" i="1"/>
  <c r="AI192" i="1"/>
  <c r="U160" i="1"/>
  <c r="S160" i="1" s="1"/>
  <c r="AI200" i="1"/>
  <c r="U168" i="1"/>
  <c r="S168" i="1" s="1"/>
  <c r="AI220" i="1"/>
  <c r="U188" i="1"/>
  <c r="S188" i="1" s="1"/>
  <c r="AI244" i="1"/>
  <c r="U232" i="1"/>
  <c r="S232" i="1" s="1"/>
  <c r="U111" i="1"/>
  <c r="S111" i="1" s="1"/>
  <c r="AI111" i="1"/>
  <c r="U158" i="1"/>
  <c r="S158" i="1" s="1"/>
  <c r="AI158" i="1"/>
  <c r="U243" i="1"/>
  <c r="S243" i="1" s="1"/>
  <c r="AI190" i="1"/>
  <c r="W111" i="1"/>
  <c r="AI26" i="1"/>
  <c r="U26" i="1"/>
  <c r="S26" i="1" s="1"/>
  <c r="AI59" i="1"/>
  <c r="U59" i="1"/>
  <c r="S59" i="1" s="1"/>
  <c r="U62" i="1"/>
  <c r="S62" i="1" s="1"/>
  <c r="AI62" i="1"/>
  <c r="U91" i="1"/>
  <c r="S91" i="1" s="1"/>
  <c r="AI91" i="1"/>
  <c r="AI133" i="1"/>
  <c r="U133" i="1"/>
  <c r="S133" i="1" s="1"/>
  <c r="U167" i="1"/>
  <c r="S167" i="1" s="1"/>
  <c r="AI199" i="1"/>
  <c r="AI207" i="1"/>
  <c r="U175" i="1"/>
  <c r="S175" i="1" s="1"/>
  <c r="U131" i="1"/>
  <c r="S131" i="1" s="1"/>
  <c r="AI131" i="1"/>
  <c r="AI108" i="1"/>
  <c r="U108" i="1"/>
  <c r="S108" i="1" s="1"/>
  <c r="W158" i="1"/>
  <c r="W188" i="1"/>
  <c r="W167" i="1"/>
  <c r="U50" i="1"/>
  <c r="S50" i="1" s="1"/>
  <c r="AI50" i="1"/>
  <c r="AI83" i="1"/>
  <c r="U83" i="1"/>
  <c r="S83" i="1" s="1"/>
  <c r="U33" i="1"/>
  <c r="S33" i="1" s="1"/>
  <c r="AI33" i="1"/>
  <c r="W56" i="1"/>
  <c r="AI29" i="1"/>
  <c r="U29" i="1"/>
  <c r="S29" i="1" s="1"/>
  <c r="W46" i="1"/>
  <c r="U119" i="1"/>
  <c r="S119" i="1" s="1"/>
  <c r="AI119" i="1"/>
  <c r="W49" i="1"/>
  <c r="U99" i="1"/>
  <c r="S99" i="1" s="1"/>
  <c r="AI99" i="1"/>
  <c r="W62" i="1"/>
  <c r="AI124" i="1"/>
  <c r="U124" i="1"/>
  <c r="S124" i="1" s="1"/>
  <c r="U138" i="1"/>
  <c r="S138" i="1" s="1"/>
  <c r="AI138" i="1"/>
  <c r="U154" i="1"/>
  <c r="S154" i="1" s="1"/>
  <c r="AI154" i="1"/>
  <c r="U217" i="1"/>
  <c r="S217" i="1" s="1"/>
  <c r="AI170" i="1"/>
  <c r="U239" i="1"/>
  <c r="S239" i="1" s="1"/>
  <c r="AI186" i="1"/>
  <c r="U146" i="1"/>
  <c r="S146" i="1" s="1"/>
  <c r="AI146" i="1"/>
  <c r="U209" i="1"/>
  <c r="S209" i="1" s="1"/>
  <c r="AI162" i="1"/>
  <c r="AI171" i="1"/>
  <c r="U218" i="1"/>
  <c r="S218" i="1" s="1"/>
  <c r="W83" i="1"/>
  <c r="U134" i="1"/>
  <c r="S134" i="1" s="1"/>
  <c r="W134" i="1"/>
  <c r="AI134" i="1"/>
  <c r="AI159" i="1"/>
  <c r="U159" i="1"/>
  <c r="S159" i="1" s="1"/>
  <c r="AI239" i="1"/>
  <c r="U227" i="1"/>
  <c r="S227" i="1" s="1"/>
  <c r="U231" i="1"/>
  <c r="S231" i="1" s="1"/>
  <c r="AI243" i="1"/>
  <c r="W16" i="1"/>
  <c r="W66" i="1"/>
  <c r="AI92" i="1"/>
  <c r="U92" i="1"/>
  <c r="U123" i="1"/>
  <c r="S123" i="1" s="1"/>
  <c r="AI123" i="1"/>
  <c r="AI187" i="1"/>
  <c r="U240" i="1"/>
  <c r="S240" i="1" s="1"/>
  <c r="W81" i="1"/>
  <c r="W123" i="1"/>
  <c r="W159" i="1"/>
  <c r="W131" i="1"/>
  <c r="W209" i="1"/>
  <c r="W163" i="1"/>
  <c r="W203" i="1"/>
  <c r="W231" i="1"/>
  <c r="W164" i="1"/>
  <c r="W232" i="1"/>
  <c r="W183" i="1"/>
  <c r="W70" i="1"/>
  <c r="W168" i="1"/>
  <c r="S63" i="3"/>
  <c r="S64" i="3"/>
  <c r="S62" i="3"/>
  <c r="S65" i="3"/>
  <c r="S43" i="3"/>
  <c r="S45" i="3"/>
  <c r="S23" i="3"/>
  <c r="S30" i="3"/>
  <c r="R64" i="3"/>
  <c r="R63" i="3"/>
  <c r="R35" i="3"/>
  <c r="R12" i="3"/>
  <c r="R10" i="3"/>
  <c r="R17" i="3"/>
  <c r="R62" i="3"/>
  <c r="R65" i="3"/>
  <c r="R45" i="3"/>
  <c r="R43" i="3"/>
  <c r="R23" i="3"/>
  <c r="R30" i="3"/>
  <c r="S35" i="3"/>
  <c r="S12" i="3"/>
  <c r="S10" i="3"/>
  <c r="S17" i="3"/>
  <c r="B14" i="6"/>
  <c r="F14" i="6" s="1"/>
  <c r="V13" i="1"/>
  <c r="M7" i="3"/>
  <c r="N7" i="3"/>
  <c r="H14" i="6" l="1"/>
  <c r="G14" i="6"/>
  <c r="B5" i="6"/>
  <c r="F5" i="6" s="1"/>
  <c r="I14" i="6"/>
  <c r="G5" i="6" l="1"/>
  <c r="I5" i="6"/>
  <c r="H5" i="6"/>
  <c r="B6" i="6"/>
  <c r="B7" i="6" l="1"/>
  <c r="H6" i="6"/>
  <c r="I6" i="6"/>
  <c r="F6" i="6"/>
  <c r="G6" i="6"/>
  <c r="AE13" i="1"/>
  <c r="G7" i="6" l="1"/>
  <c r="H7" i="6"/>
  <c r="I7" i="6"/>
  <c r="F7" i="6"/>
  <c r="B8" i="6"/>
  <c r="B15" i="6"/>
  <c r="B3" i="6"/>
  <c r="G3" i="6" s="1"/>
  <c r="B4" i="6"/>
  <c r="F4" i="6" s="1"/>
  <c r="F8" i="6" l="1"/>
  <c r="H8" i="6"/>
  <c r="I8" i="6"/>
  <c r="G8" i="6"/>
  <c r="B9" i="6"/>
  <c r="F15" i="6"/>
  <c r="G15" i="6"/>
  <c r="H15" i="6"/>
  <c r="I15" i="6"/>
  <c r="B16" i="6"/>
  <c r="I4" i="6"/>
  <c r="H4" i="6"/>
  <c r="G4" i="6"/>
  <c r="F3" i="6"/>
  <c r="I3" i="6"/>
  <c r="H3" i="6"/>
  <c r="F9" i="6" l="1"/>
  <c r="I9" i="6"/>
  <c r="G9" i="6"/>
  <c r="H9" i="6"/>
  <c r="B10" i="6"/>
  <c r="B17" i="6"/>
  <c r="H16" i="6"/>
  <c r="I16" i="6"/>
  <c r="F16" i="6"/>
  <c r="G16" i="6"/>
  <c r="AF13" i="1"/>
  <c r="H10" i="6" l="1"/>
  <c r="I10" i="6"/>
  <c r="F10" i="6"/>
  <c r="G10" i="6"/>
  <c r="B11" i="6"/>
  <c r="F17" i="6"/>
  <c r="G17" i="6"/>
  <c r="H17" i="6"/>
  <c r="I17" i="6"/>
  <c r="B18" i="6"/>
  <c r="K13" i="1"/>
  <c r="L13" i="1"/>
  <c r="M13" i="1"/>
  <c r="N13" i="1" s="1"/>
  <c r="Y13" i="1"/>
  <c r="Z13" i="1"/>
  <c r="AB13" i="1"/>
  <c r="AC13" i="1"/>
  <c r="AD13" i="1"/>
  <c r="X14" i="1" s="1"/>
  <c r="G11" i="6" l="1"/>
  <c r="F11" i="6"/>
  <c r="I11" i="6"/>
  <c r="H11" i="6"/>
  <c r="B13" i="6"/>
  <c r="B12" i="6"/>
  <c r="B19" i="6"/>
  <c r="H18" i="6"/>
  <c r="I18" i="6"/>
  <c r="F18" i="6"/>
  <c r="G18" i="6"/>
  <c r="T13" i="1"/>
  <c r="X13" i="1"/>
  <c r="AA13" i="1"/>
  <c r="AG13" i="1"/>
  <c r="M26" i="5"/>
  <c r="AH15" i="1" l="1"/>
  <c r="AH16" i="1"/>
  <c r="AH17" i="1"/>
  <c r="AH21" i="1"/>
  <c r="AH22" i="1"/>
  <c r="AH23" i="1"/>
  <c r="AH27" i="1"/>
  <c r="AH28" i="1"/>
  <c r="AH34" i="1"/>
  <c r="AH35" i="1"/>
  <c r="AH36" i="1"/>
  <c r="AH37" i="1"/>
  <c r="AH41" i="1"/>
  <c r="AH43" i="1"/>
  <c r="AH44" i="1"/>
  <c r="AH59" i="1"/>
  <c r="AH60" i="1"/>
  <c r="AH61" i="1"/>
  <c r="AH62" i="1"/>
  <c r="AH63" i="1"/>
  <c r="AH64" i="1"/>
  <c r="AH82" i="1"/>
  <c r="AH103" i="1"/>
  <c r="AH104" i="1"/>
  <c r="AH115" i="1"/>
  <c r="AH126" i="1"/>
  <c r="AH127" i="1"/>
  <c r="AH131" i="1"/>
  <c r="AH132" i="1"/>
  <c r="AH133" i="1"/>
  <c r="AH154" i="1"/>
  <c r="AH155" i="1"/>
  <c r="AH163" i="1"/>
  <c r="AH164" i="1"/>
  <c r="AH172" i="1"/>
  <c r="AH173" i="1"/>
  <c r="AH174" i="1"/>
  <c r="AH181" i="1"/>
  <c r="AH182" i="1"/>
  <c r="AH183" i="1"/>
  <c r="AH184" i="1"/>
  <c r="AH185" i="1"/>
  <c r="AH194" i="1"/>
  <c r="AH195" i="1"/>
  <c r="AH196" i="1"/>
  <c r="AH212" i="1"/>
  <c r="AH228" i="1"/>
  <c r="AH229" i="1"/>
  <c r="AH236" i="1"/>
  <c r="AH244" i="1"/>
  <c r="AH245" i="1"/>
  <c r="AH118" i="1"/>
  <c r="AH135" i="1"/>
  <c r="AH136" i="1"/>
  <c r="AH148" i="1"/>
  <c r="AH175" i="1"/>
  <c r="AH177" i="1"/>
  <c r="AH178" i="1"/>
  <c r="AH186" i="1"/>
  <c r="AH187" i="1"/>
  <c r="AH197" i="1"/>
  <c r="AH201" i="1"/>
  <c r="AH205" i="1"/>
  <c r="AH230" i="1"/>
  <c r="AH29" i="1"/>
  <c r="AH45" i="1"/>
  <c r="AH46" i="1"/>
  <c r="AH47" i="1"/>
  <c r="AH48" i="1"/>
  <c r="AH49" i="1"/>
  <c r="AH50" i="1"/>
  <c r="AH51" i="1"/>
  <c r="AH52" i="1"/>
  <c r="AH53" i="1"/>
  <c r="AH55" i="1"/>
  <c r="AH56" i="1"/>
  <c r="AH65" i="1"/>
  <c r="AH71" i="1"/>
  <c r="AH73" i="1"/>
  <c r="AH76" i="1"/>
  <c r="AH77" i="1"/>
  <c r="AH78" i="1"/>
  <c r="AH83" i="1"/>
  <c r="AH84" i="1"/>
  <c r="AH88" i="1"/>
  <c r="AH90" i="1"/>
  <c r="AH91" i="1"/>
  <c r="AH92" i="1"/>
  <c r="AH93" i="1"/>
  <c r="AH94" i="1"/>
  <c r="AH95" i="1"/>
  <c r="AH98" i="1"/>
  <c r="AH99" i="1"/>
  <c r="AH100" i="1"/>
  <c r="AH105" i="1"/>
  <c r="AH112" i="1"/>
  <c r="AH113" i="1"/>
  <c r="AH116" i="1"/>
  <c r="AH117" i="1"/>
  <c r="AH134" i="1"/>
  <c r="AH149" i="1"/>
  <c r="AH176" i="1"/>
  <c r="AH198" i="1"/>
  <c r="AH202" i="1"/>
  <c r="AH213" i="1"/>
  <c r="AH18" i="1"/>
  <c r="AH19" i="1"/>
  <c r="AH24" i="1"/>
  <c r="AH25" i="1"/>
  <c r="AH26" i="1"/>
  <c r="AH38" i="1"/>
  <c r="AH39" i="1"/>
  <c r="AH57" i="1"/>
  <c r="AH58" i="1"/>
  <c r="AH66" i="1"/>
  <c r="AH67" i="1"/>
  <c r="AH79" i="1"/>
  <c r="AH85" i="1"/>
  <c r="AH106" i="1"/>
  <c r="AH107" i="1"/>
  <c r="AH108" i="1"/>
  <c r="AH109" i="1"/>
  <c r="AH119" i="1"/>
  <c r="AH128" i="1"/>
  <c r="AH129" i="1"/>
  <c r="AH150" i="1"/>
  <c r="AH156" i="1"/>
  <c r="AH157" i="1"/>
  <c r="AH158" i="1"/>
  <c r="AH165" i="1"/>
  <c r="AH166" i="1"/>
  <c r="AH167" i="1"/>
  <c r="AH168" i="1"/>
  <c r="AH169" i="1"/>
  <c r="AH179" i="1"/>
  <c r="AH180" i="1"/>
  <c r="AH189" i="1"/>
  <c r="AH190" i="1"/>
  <c r="AH238" i="1"/>
  <c r="AH209" i="1"/>
  <c r="AH211" i="1"/>
  <c r="AH216" i="1"/>
  <c r="AH218" i="1"/>
  <c r="AH220" i="1"/>
  <c r="AH223" i="1"/>
  <c r="AH225" i="1"/>
  <c r="AH227" i="1"/>
  <c r="AH232" i="1"/>
  <c r="AH235" i="1"/>
  <c r="AH240" i="1"/>
  <c r="AH242" i="1"/>
  <c r="AH188" i="1"/>
  <c r="AH200" i="1"/>
  <c r="AH204" i="1"/>
  <c r="AH222" i="1"/>
  <c r="AH14" i="1"/>
  <c r="AH20" i="1"/>
  <c r="AH30" i="1"/>
  <c r="AH31" i="1"/>
  <c r="AH32" i="1"/>
  <c r="AH33" i="1"/>
  <c r="AH40" i="1"/>
  <c r="AH54" i="1"/>
  <c r="AH68" i="1"/>
  <c r="AH69" i="1"/>
  <c r="AH70" i="1"/>
  <c r="AH81" i="1"/>
  <c r="AH86" i="1"/>
  <c r="AH87" i="1"/>
  <c r="AH96" i="1"/>
  <c r="AH97" i="1"/>
  <c r="AH101" i="1"/>
  <c r="AH102" i="1"/>
  <c r="AH110" i="1"/>
  <c r="AH111" i="1"/>
  <c r="AH114" i="1"/>
  <c r="AH120" i="1"/>
  <c r="AH121" i="1"/>
  <c r="AH122" i="1"/>
  <c r="AH123" i="1"/>
  <c r="AH124" i="1"/>
  <c r="AH125" i="1"/>
  <c r="AH130" i="1"/>
  <c r="AH137" i="1"/>
  <c r="AH138" i="1"/>
  <c r="AH139" i="1"/>
  <c r="AH140" i="1"/>
  <c r="AH141" i="1"/>
  <c r="AH142" i="1"/>
  <c r="AH143" i="1"/>
  <c r="AH144" i="1"/>
  <c r="AH145" i="1"/>
  <c r="AH146" i="1"/>
  <c r="AH147" i="1"/>
  <c r="AH151" i="1"/>
  <c r="AH152" i="1"/>
  <c r="AH153" i="1"/>
  <c r="AH159" i="1"/>
  <c r="AH160" i="1"/>
  <c r="AH161" i="1"/>
  <c r="AH162" i="1"/>
  <c r="AH170" i="1"/>
  <c r="AH171" i="1"/>
  <c r="AH191" i="1"/>
  <c r="AH192" i="1"/>
  <c r="AH193" i="1"/>
  <c r="AH206" i="1"/>
  <c r="AH207" i="1"/>
  <c r="AH208" i="1"/>
  <c r="AH210" i="1"/>
  <c r="AH215" i="1"/>
  <c r="AH217" i="1"/>
  <c r="AH219" i="1"/>
  <c r="AH221" i="1"/>
  <c r="AH224" i="1"/>
  <c r="AH226" i="1"/>
  <c r="AH231" i="1"/>
  <c r="AH233" i="1"/>
  <c r="AH234" i="1"/>
  <c r="AH239" i="1"/>
  <c r="AH241" i="1"/>
  <c r="AH243" i="1"/>
  <c r="AH199" i="1"/>
  <c r="AH203" i="1"/>
  <c r="AH214" i="1"/>
  <c r="AH237" i="1"/>
  <c r="F12" i="6"/>
  <c r="I12" i="6"/>
  <c r="G12" i="6"/>
  <c r="H12" i="6"/>
  <c r="F13" i="6"/>
  <c r="I13" i="6"/>
  <c r="H13" i="6"/>
  <c r="G13" i="6"/>
  <c r="F19" i="6"/>
  <c r="G19" i="6"/>
  <c r="H19" i="6"/>
  <c r="I19" i="6"/>
  <c r="B20" i="6"/>
  <c r="J7" i="1"/>
  <c r="AI13" i="1"/>
  <c r="AH13" i="1"/>
  <c r="W13" i="1"/>
  <c r="U13" i="1"/>
  <c r="S13" i="1" s="1"/>
  <c r="B21" i="6" l="1"/>
  <c r="H20" i="6"/>
  <c r="I20" i="6"/>
  <c r="F20" i="6"/>
  <c r="G20" i="6"/>
  <c r="X6" i="1"/>
  <c r="W6" i="1"/>
  <c r="V6" i="1"/>
  <c r="S6" i="1"/>
  <c r="R2" i="1"/>
  <c r="I2" i="1"/>
  <c r="O6" i="1"/>
  <c r="N6" i="1"/>
  <c r="M6" i="1"/>
  <c r="J6" i="1"/>
  <c r="F21" i="6" l="1"/>
  <c r="G21" i="6"/>
  <c r="H21" i="6"/>
  <c r="I21" i="6"/>
  <c r="B22" i="6"/>
  <c r="P3" i="5"/>
  <c r="B23" i="6" l="1"/>
  <c r="H22" i="6"/>
  <c r="I22" i="6"/>
  <c r="F22" i="6"/>
  <c r="G22" i="6"/>
  <c r="M18" i="5"/>
  <c r="F23" i="6" l="1"/>
  <c r="G23" i="6"/>
  <c r="H23" i="6"/>
  <c r="I23" i="6"/>
  <c r="B24" i="6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B25" i="6" l="1"/>
  <c r="H24" i="6"/>
  <c r="I24" i="6"/>
  <c r="F24" i="6"/>
  <c r="G24" i="6"/>
  <c r="V5" i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" i="6" l="1"/>
  <c r="G25" i="6"/>
  <c r="H25" i="6"/>
  <c r="I25" i="6"/>
  <c r="B26" i="6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B28" i="6" l="1"/>
  <c r="B27" i="6"/>
  <c r="H26" i="6"/>
  <c r="I26" i="6"/>
  <c r="F26" i="6"/>
  <c r="G26" i="6"/>
  <c r="M14" i="5"/>
  <c r="M13" i="5"/>
  <c r="M12" i="5"/>
  <c r="M11" i="5"/>
  <c r="M10" i="5"/>
  <c r="M9" i="5"/>
  <c r="M8" i="5"/>
  <c r="M7" i="5"/>
  <c r="M6" i="5"/>
  <c r="M5" i="5"/>
  <c r="M4" i="5"/>
  <c r="M3" i="5"/>
  <c r="F27" i="6" l="1"/>
  <c r="G27" i="6"/>
  <c r="H27" i="6"/>
  <c r="I27" i="6"/>
  <c r="H28" i="6"/>
  <c r="I28" i="6"/>
  <c r="F28" i="6"/>
  <c r="G28" i="6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<sst xmlns="http://schemas.openxmlformats.org/spreadsheetml/2006/main" count="2424" uniqueCount="784">
  <si>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</si>
  <si>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</si>
  <si>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</si>
  <si>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</si>
  <si>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</si>
  <si>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</si>
  <si>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</si>
  <si>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</si>
  <si>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</si>
  <si>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</si>
  <si>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</si>
  <si>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</si>
  <si>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</si>
  <si>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</si>
  <si>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</si>
  <si>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</si>
  <si>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</si>
  <si>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</si>
  <si>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</si>
  <si>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</si>
  <si>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</si>
  <si>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</si>
  <si>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</si>
  <si>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</si>
  <si>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</si>
  <si>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</si>
  <si>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</si>
  <si>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</si>
  <si>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</si>
  <si>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</si>
  <si>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</si>
  <si>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</si>
  <si>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</si>
  <si>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</si>
  <si>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</si>
  <si>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</si>
  <si>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</si>
  <si>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</si>
  <si>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</si>
  <si>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</si>
  <si>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</si>
  <si>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</si>
  <si>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</si>
  <si>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</si>
  <si>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</si>
  <si>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</si>
  <si>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</si>
  <si>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</si>
  <si>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</si>
  <si>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</si>
  <si>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</si>
  <si>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</si>
  <si>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</si>
  <si>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</si>
  <si>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</si>
  <si>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</si>
  <si>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</si>
  <si>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</si>
  <si>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</si>
  <si>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</si>
  <si>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</si>
  <si>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</si>
  <si>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</si>
  <si>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</si>
  <si>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</si>
  <si>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</si>
  <si>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</si>
  <si>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</si>
  <si>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</si>
  <si>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</si>
  <si>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</si>
  <si>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</si>
  <si>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</si>
  <si>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</si>
  <si>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</si>
  <si>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</si>
  <si>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</si>
  <si>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</si>
  <si>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</si>
  <si>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</si>
  <si>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</si>
  <si>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</si>
  <si>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</si>
  <si>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</si>
  <si>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</si>
  <si>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</si>
  <si>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</si>
  <si>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</si>
  <si>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</si>
  <si>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</si>
  <si>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</si>
  <si>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</si>
  <si>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</si>
  <si>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</si>
  <si>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</si>
  <si>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</si>
  <si>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</si>
  <si>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</si>
  <si>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</si>
  <si>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</si>
  <si>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</si>
  <si>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</si>
  <si>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</si>
  <si>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</si>
  <si>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</si>
  <si>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</si>
  <si>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</si>
  <si>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</si>
  <si>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</si>
  <si>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</si>
  <si>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</si>
  <si>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</si>
  <si>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</si>
  <si>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</si>
  <si>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</si>
  <si>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</si>
  <si>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</si>
  <si>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</si>
  <si>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</si>
  <si>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</si>
  <si>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</si>
  <si>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</si>
  <si>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</si>
  <si>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</si>
  <si>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</si>
  <si>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</si>
  <si>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204:154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</si>
  <si>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</si>
  <si>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</si>
  <si>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</si>
  <si>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</si>
  <si>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</si>
  <si>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</si>
  <si>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</si>
  <si>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</si>
  <si>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</si>
  <si>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</si>
  <si>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</si>
  <si>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</si>
  <si>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</si>
  <si>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</si>
  <si>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</si>
  <si>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</si>
  <si>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</si>
  <si>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</si>
  <si>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</si>
  <si>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</si>
  <si>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</si>
  <si>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</si>
  <si>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</si>
  <si>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</si>
  <si>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</si>
  <si>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</si>
  <si>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</si>
  <si>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</si>
  <si>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</si>
  <si>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</si>
  <si>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</si>
  <si>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</si>
  <si>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</si>
  <si>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</si>
  <si>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</si>
  <si>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</si>
  <si>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</si>
  <si>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</si>
  <si>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</si>
  <si>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</si>
  <si>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COOLAHAN</t>
  </si>
  <si>
    <t>rtdc.l.rtdc.4051:itc</t>
  </si>
  <si>
    <t>rtdc.l.rtdc.4052:itc</t>
  </si>
  <si>
    <t>rtdc.l.rtdc.4041:itc</t>
  </si>
  <si>
    <t>rtdc.l.rtdc.4042:itc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</si>
  <si>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</si>
  <si>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</si>
  <si>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</si>
  <si>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</si>
  <si>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</si>
  <si>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</si>
  <si>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</si>
  <si>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</si>
  <si>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</si>
  <si>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</si>
  <si>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</si>
  <si>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</si>
  <si>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</si>
  <si>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</si>
  <si>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</si>
  <si>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</si>
  <si>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</si>
  <si>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Powered by Forecast [forecast.io]</t>
  </si>
  <si>
    <t>204:149</t>
  </si>
  <si>
    <t>204:160</t>
  </si>
  <si>
    <t>204:471</t>
  </si>
  <si>
    <t>204:158</t>
  </si>
  <si>
    <t>204:147</t>
  </si>
  <si>
    <t>204:453</t>
  </si>
  <si>
    <t>204:150</t>
  </si>
  <si>
    <t>204:233291</t>
  </si>
  <si>
    <t>204:152</t>
  </si>
  <si>
    <t>204:457</t>
  </si>
  <si>
    <t>204:466</t>
  </si>
  <si>
    <t>204:451</t>
  </si>
  <si>
    <t>204:455</t>
  </si>
  <si>
    <t>204:458</t>
  </si>
  <si>
    <t>human_readable_time</t>
  </si>
  <si>
    <t>204:138</t>
  </si>
  <si>
    <t>204:462</t>
  </si>
  <si>
    <t>Loco - PTC</t>
  </si>
  <si>
    <t>Power</t>
  </si>
  <si>
    <t>204:156</t>
  </si>
  <si>
    <t>204:233314</t>
  </si>
  <si>
    <t>CLI Grep</t>
  </si>
  <si>
    <t>204:145</t>
  </si>
  <si>
    <t>204:141</t>
  </si>
  <si>
    <t>204:233312</t>
  </si>
  <si>
    <t>204:233300</t>
  </si>
  <si>
    <t>Time (US/Mountain)</t>
  </si>
  <si>
    <t>Source</t>
  </si>
  <si>
    <t>Employee Identifier</t>
  </si>
  <si>
    <t>Employee Last Name</t>
  </si>
  <si>
    <t>204:464</t>
  </si>
  <si>
    <t>204:232977</t>
  </si>
  <si>
    <t>Clear</t>
  </si>
  <si>
    <t>rtdc.l.rtdc.4017:itc</t>
  </si>
  <si>
    <t>rtdc.l.rtdc.4018:itc</t>
  </si>
  <si>
    <t>Reactive Warning (1)</t>
  </si>
  <si>
    <t>LEVERE</t>
  </si>
  <si>
    <t>204:233293</t>
  </si>
  <si>
    <t>rtdc.l.rtdc.4006:itc</t>
  </si>
  <si>
    <t>204:233288</t>
  </si>
  <si>
    <t>204:232988</t>
  </si>
  <si>
    <t>204:232991</t>
  </si>
  <si>
    <t>204:233309</t>
  </si>
  <si>
    <t>:.+((SYSTEM_STATE.+slice.+state.+changed )|(ment ac)|(system.+state.+changed )|(\[timeout)|(PRM\|1\|D)|(kpr)|(kdp)|(\|lc)|(penalty))</t>
  </si>
  <si>
    <t>partly-cloudy-day</t>
  </si>
  <si>
    <t>Partly Cloudy</t>
  </si>
  <si>
    <t>STURGEON</t>
  </si>
  <si>
    <t>204:232978</t>
  </si>
  <si>
    <t>204:232986</t>
  </si>
  <si>
    <t>204:161</t>
  </si>
  <si>
    <t>204:477</t>
  </si>
  <si>
    <t>s3://rtdc.mdm.uploadarchive.raw</t>
  </si>
  <si>
    <t>partly-cloudy-night</t>
  </si>
  <si>
    <t>204:449</t>
  </si>
  <si>
    <t>204:232980</t>
  </si>
  <si>
    <t>204:232996</t>
  </si>
  <si>
    <t>204:165</t>
  </si>
  <si>
    <t>204:232969</t>
  </si>
  <si>
    <t>300:58617</t>
  </si>
  <si>
    <t>rtdc.l.rtdc.4010:itc</t>
  </si>
  <si>
    <t>rtdc.l.rtdc.4015:itc</t>
  </si>
  <si>
    <t>rtdc.l.rtdc.4016:itc</t>
  </si>
  <si>
    <t>rtdc.l.rtdc.4032:itc</t>
  </si>
  <si>
    <t>rtdc.l.rtdc.4031:itc</t>
  </si>
  <si>
    <t>rtdc.l.rtdc.4053:itc</t>
  </si>
  <si>
    <t>rtdc.l.rtdc.4009:itc</t>
  </si>
  <si>
    <t>CHANDLER</t>
  </si>
  <si>
    <t>204:233308</t>
  </si>
  <si>
    <t>204:233302</t>
  </si>
  <si>
    <t>204:467</t>
  </si>
  <si>
    <t>204:233289</t>
  </si>
  <si>
    <t>204:233006</t>
  </si>
  <si>
    <t>204:447</t>
  </si>
  <si>
    <t>204:163</t>
  </si>
  <si>
    <t>204:233321</t>
  </si>
  <si>
    <t>204:233287</t>
  </si>
  <si>
    <t>rtdc.l.rtdc.4003:itc</t>
  </si>
  <si>
    <t>rtdc.l.rtdc.4004:itc</t>
  </si>
  <si>
    <t>rtdc.l.rtdc.4030:itc</t>
  </si>
  <si>
    <t>ACKERMAN</t>
  </si>
  <si>
    <t>KILLION</t>
  </si>
  <si>
    <t>BARTLETT</t>
  </si>
  <si>
    <t>clear-day</t>
  </si>
  <si>
    <t>204:232998</t>
  </si>
  <si>
    <t>204:233297</t>
  </si>
  <si>
    <t>204:233304</t>
  </si>
  <si>
    <t>204:232994</t>
  </si>
  <si>
    <t>204:469</t>
  </si>
  <si>
    <t>204:233021</t>
  </si>
  <si>
    <t>204:232975</t>
  </si>
  <si>
    <t>STARKS</t>
  </si>
  <si>
    <t>Onboard in-route failure</t>
  </si>
  <si>
    <t>204:233276</t>
  </si>
  <si>
    <t>204:438</t>
  </si>
  <si>
    <t>204:233295</t>
  </si>
  <si>
    <t>204:176</t>
  </si>
  <si>
    <t>204:233299</t>
  </si>
  <si>
    <t>204:232985</t>
  </si>
  <si>
    <t>204:233316</t>
  </si>
  <si>
    <t>204:446</t>
  </si>
  <si>
    <t>204:233319</t>
  </si>
  <si>
    <t>204:442</t>
  </si>
  <si>
    <t>204:132</t>
  </si>
  <si>
    <t>204:480</t>
  </si>
  <si>
    <t>204:232982</t>
  </si>
  <si>
    <t>204:232979</t>
  </si>
  <si>
    <t>300:23306</t>
  </si>
  <si>
    <t>300:58926</t>
  </si>
  <si>
    <t>204:978</t>
  </si>
  <si>
    <t>204:684</t>
  </si>
  <si>
    <t>204:976</t>
  </si>
  <si>
    <t>rtdc.l.rtdc.4001:itc</t>
  </si>
  <si>
    <t>rtdc.l.rtdc.4002:itc</t>
  </si>
  <si>
    <t>BRANNON</t>
  </si>
  <si>
    <t>SPECTOR</t>
  </si>
  <si>
    <t>rtdc.l.rtdc.4021:itc</t>
  </si>
  <si>
    <t>rtdc.l.rtdc.4022:itc</t>
  </si>
  <si>
    <t>BONDS</t>
  </si>
  <si>
    <t>40th 4S STOP, cleared afterward</t>
  </si>
  <si>
    <t>Overspeed</t>
  </si>
  <si>
    <t>rtdc.l.rtdc.4008:itc</t>
  </si>
  <si>
    <t>rtdc.l.rtdc.4044:itc</t>
  </si>
  <si>
    <t>GEBRETEKLE</t>
  </si>
  <si>
    <t>rtdc.l.rtdc.4007:itc</t>
  </si>
  <si>
    <t>STORY</t>
  </si>
  <si>
    <t>YANAI</t>
  </si>
  <si>
    <t>309-04</t>
  </si>
  <si>
    <t>242-04</t>
  </si>
  <si>
    <t>311-04</t>
  </si>
  <si>
    <t>315-04</t>
  </si>
  <si>
    <t>244-04</t>
  </si>
  <si>
    <t>313-04</t>
  </si>
  <si>
    <t>204:712</t>
  </si>
  <si>
    <t>204:233002</t>
  </si>
  <si>
    <t>204:233324</t>
  </si>
  <si>
    <t>204:233298</t>
  </si>
  <si>
    <t>204:233317</t>
  </si>
  <si>
    <t>204:232993</t>
  </si>
  <si>
    <t>204:233325</t>
  </si>
  <si>
    <t>204:233010</t>
  </si>
  <si>
    <t>204:232974</t>
  </si>
  <si>
    <t>204:233320</t>
  </si>
  <si>
    <t>204:233013</t>
  </si>
  <si>
    <t>204:484</t>
  </si>
  <si>
    <t>204:233315</t>
  </si>
  <si>
    <t>204:232959</t>
  </si>
  <si>
    <t>204:460</t>
  </si>
  <si>
    <t>204:431</t>
  </si>
  <si>
    <t>204:233334</t>
  </si>
  <si>
    <t>204:232981</t>
  </si>
  <si>
    <t>204:433</t>
  </si>
  <si>
    <t>204:134</t>
  </si>
  <si>
    <t>204:232992</t>
  </si>
  <si>
    <t>300:23304</t>
  </si>
  <si>
    <t>204:478</t>
  </si>
  <si>
    <t>300:23299</t>
  </si>
  <si>
    <t>204:526</t>
  </si>
  <si>
    <t>300:22438</t>
  </si>
  <si>
    <t>DE.1.0.8.0</t>
  </si>
  <si>
    <t>204:10675</t>
  </si>
  <si>
    <t>204:10851</t>
  </si>
  <si>
    <t>204:19141</t>
  </si>
  <si>
    <t>204:126341</t>
  </si>
  <si>
    <t>204:155</t>
  </si>
  <si>
    <t>300:58609</t>
  </si>
  <si>
    <t>300:58606</t>
  </si>
  <si>
    <t>300:58931</t>
  </si>
  <si>
    <t>204:715</t>
  </si>
  <si>
    <t>204:762</t>
  </si>
  <si>
    <t>300:58608</t>
  </si>
  <si>
    <t>204:701</t>
  </si>
  <si>
    <t>204:733</t>
  </si>
  <si>
    <t>204:678</t>
  </si>
  <si>
    <t>300:58929</t>
  </si>
  <si>
    <t>204:972</t>
  </si>
  <si>
    <t>204:974</t>
  </si>
  <si>
    <t>204:687</t>
  </si>
  <si>
    <t>204:1002</t>
  </si>
  <si>
    <t>204:985</t>
  </si>
  <si>
    <t>204:685</t>
  </si>
  <si>
    <t>204:710</t>
  </si>
  <si>
    <t>204:1016</t>
  </si>
  <si>
    <t>Early arrival</t>
  </si>
  <si>
    <t>105-05</t>
  </si>
  <si>
    <t>800-05</t>
  </si>
  <si>
    <t>rtdc.l.rtdc.4019:itc</t>
  </si>
  <si>
    <t>804-05</t>
  </si>
  <si>
    <t>124-05</t>
  </si>
  <si>
    <t>122-05</t>
  </si>
  <si>
    <t>133-05</t>
  </si>
  <si>
    <t>rtdc.l.rtdc.4028:itc</t>
  </si>
  <si>
    <t>128-05</t>
  </si>
  <si>
    <t>810-05</t>
  </si>
  <si>
    <t>rtdc.l.rtdc.4020:itc</t>
  </si>
  <si>
    <t>811-05</t>
  </si>
  <si>
    <t>812-05</t>
  </si>
  <si>
    <t>134-05</t>
  </si>
  <si>
    <t>136-05</t>
  </si>
  <si>
    <t>138-05</t>
  </si>
  <si>
    <t>140-05</t>
  </si>
  <si>
    <t>149-05</t>
  </si>
  <si>
    <t>148-05</t>
  </si>
  <si>
    <t>151-05</t>
  </si>
  <si>
    <t>815-05</t>
  </si>
  <si>
    <t>816-05</t>
  </si>
  <si>
    <t>rtdc.l.rtdc.4027:itc</t>
  </si>
  <si>
    <t>155-05</t>
  </si>
  <si>
    <t>817-05</t>
  </si>
  <si>
    <t>152-05</t>
  </si>
  <si>
    <t>144-05</t>
  </si>
  <si>
    <t>818-05</t>
  </si>
  <si>
    <t>177-05</t>
  </si>
  <si>
    <t>170-05</t>
  </si>
  <si>
    <t>173-05</t>
  </si>
  <si>
    <t>821-05</t>
  </si>
  <si>
    <t>822-05</t>
  </si>
  <si>
    <t>180-05</t>
  </si>
  <si>
    <t>186-05</t>
  </si>
  <si>
    <t>825-05</t>
  </si>
  <si>
    <t>904-05</t>
  </si>
  <si>
    <t>190-05</t>
  </si>
  <si>
    <t>826-05</t>
  </si>
  <si>
    <t>193-05</t>
  </si>
  <si>
    <t>827-05</t>
  </si>
  <si>
    <t>194-05</t>
  </si>
  <si>
    <t>829-05</t>
  </si>
  <si>
    <t>54-05</t>
  </si>
  <si>
    <t>832-05</t>
  </si>
  <si>
    <t>206-05</t>
  </si>
  <si>
    <t>204-05</t>
  </si>
  <si>
    <t>837-05</t>
  </si>
  <si>
    <t>212-05</t>
  </si>
  <si>
    <t>216-05</t>
  </si>
  <si>
    <t>307-05</t>
  </si>
  <si>
    <t>843-05</t>
  </si>
  <si>
    <t>842-05</t>
  </si>
  <si>
    <t>845-05</t>
  </si>
  <si>
    <t>228-05</t>
  </si>
  <si>
    <t>234-05</t>
  </si>
  <si>
    <t>302-05</t>
  </si>
  <si>
    <t>MAELZER</t>
  </si>
  <si>
    <t>101-05</t>
  </si>
  <si>
    <t>304-05</t>
  </si>
  <si>
    <t>103-05</t>
  </si>
  <si>
    <t>rtdc.l.rtdc.4039:itc</t>
  </si>
  <si>
    <t>306-05</t>
  </si>
  <si>
    <t>STRICKLAND</t>
  </si>
  <si>
    <t>308-05</t>
  </si>
  <si>
    <t>102-05</t>
  </si>
  <si>
    <t>310-05</t>
  </si>
  <si>
    <t>107-05</t>
  </si>
  <si>
    <t>109-05</t>
  </si>
  <si>
    <t>104-05</t>
  </si>
  <si>
    <t>901-05</t>
  </si>
  <si>
    <t>111-05</t>
  </si>
  <si>
    <t>ROCHA</t>
  </si>
  <si>
    <t>106-05</t>
  </si>
  <si>
    <t>113-05</t>
  </si>
  <si>
    <t>108-05</t>
  </si>
  <si>
    <t>115-05</t>
  </si>
  <si>
    <t>110-05</t>
  </si>
  <si>
    <t>117-05</t>
  </si>
  <si>
    <t>801-05</t>
  </si>
  <si>
    <t>902-05</t>
  </si>
  <si>
    <t>112-05</t>
  </si>
  <si>
    <t>119-05</t>
  </si>
  <si>
    <t>114-05</t>
  </si>
  <si>
    <t>802-05</t>
  </si>
  <si>
    <t>121-05</t>
  </si>
  <si>
    <t>803-05</t>
  </si>
  <si>
    <t>116-05</t>
  </si>
  <si>
    <t>123-05</t>
  </si>
  <si>
    <t>118-05</t>
  </si>
  <si>
    <t>125-05</t>
  </si>
  <si>
    <t>805-05</t>
  </si>
  <si>
    <t>120-05</t>
  </si>
  <si>
    <t>127-05</t>
  </si>
  <si>
    <t>807-05</t>
  </si>
  <si>
    <t>806-05</t>
  </si>
  <si>
    <t>129-05</t>
  </si>
  <si>
    <t>131-05</t>
  </si>
  <si>
    <t>126-05</t>
  </si>
  <si>
    <t>808-05</t>
  </si>
  <si>
    <t>809-05</t>
  </si>
  <si>
    <t>135-05</t>
  </si>
  <si>
    <t>130-05</t>
  </si>
  <si>
    <t>137-05</t>
  </si>
  <si>
    <t>132-05</t>
  </si>
  <si>
    <t>139-05</t>
  </si>
  <si>
    <t>BARTELL</t>
  </si>
  <si>
    <t>903-05</t>
  </si>
  <si>
    <t>141-05</t>
  </si>
  <si>
    <t>143-05</t>
  </si>
  <si>
    <t>145-05</t>
  </si>
  <si>
    <t>813-05</t>
  </si>
  <si>
    <t>147-05</t>
  </si>
  <si>
    <t>142-05</t>
  </si>
  <si>
    <t>814-05</t>
  </si>
  <si>
    <t>146-05</t>
  </si>
  <si>
    <t>153-05</t>
  </si>
  <si>
    <t>150-05</t>
  </si>
  <si>
    <t>157-05</t>
  </si>
  <si>
    <t>159-05</t>
  </si>
  <si>
    <t>154-05</t>
  </si>
  <si>
    <t>163-05</t>
  </si>
  <si>
    <t>156-05</t>
  </si>
  <si>
    <t>165-05</t>
  </si>
  <si>
    <t>CRAYTON</t>
  </si>
  <si>
    <t>167-05</t>
  </si>
  <si>
    <t>BROWN</t>
  </si>
  <si>
    <t>50-05</t>
  </si>
  <si>
    <t>169-05</t>
  </si>
  <si>
    <t>DE LA ROSA</t>
  </si>
  <si>
    <t>162-05</t>
  </si>
  <si>
    <t>819-05</t>
  </si>
  <si>
    <t>164-05</t>
  </si>
  <si>
    <t>52-05</t>
  </si>
  <si>
    <t>171-05</t>
  </si>
  <si>
    <t>ARVIDSON</t>
  </si>
  <si>
    <t>820-05</t>
  </si>
  <si>
    <t>168-05</t>
  </si>
  <si>
    <t>MOSES</t>
  </si>
  <si>
    <t>172-05</t>
  </si>
  <si>
    <t>179-05</t>
  </si>
  <si>
    <t>174-05</t>
  </si>
  <si>
    <t>181-05</t>
  </si>
  <si>
    <t>176-05</t>
  </si>
  <si>
    <t>183-05</t>
  </si>
  <si>
    <t>185-05</t>
  </si>
  <si>
    <t>STAMBAUGH</t>
  </si>
  <si>
    <t>823-05</t>
  </si>
  <si>
    <t>178-05</t>
  </si>
  <si>
    <t>187-05</t>
  </si>
  <si>
    <t>182-05</t>
  </si>
  <si>
    <t>824-05</t>
  </si>
  <si>
    <t>184-05</t>
  </si>
  <si>
    <t>189-05</t>
  </si>
  <si>
    <t>191-05</t>
  </si>
  <si>
    <t>HILLS</t>
  </si>
  <si>
    <t>188-05</t>
  </si>
  <si>
    <t>195-05</t>
  </si>
  <si>
    <t>197-05</t>
  </si>
  <si>
    <t>192-05</t>
  </si>
  <si>
    <t>199-05</t>
  </si>
  <si>
    <t>828-05</t>
  </si>
  <si>
    <t>201-05</t>
  </si>
  <si>
    <t>203-05</t>
  </si>
  <si>
    <t>196-05</t>
  </si>
  <si>
    <t>rtdc.l.rtdc.4040:itc</t>
  </si>
  <si>
    <t>57-05</t>
  </si>
  <si>
    <t>OSULLIVAN</t>
  </si>
  <si>
    <t>198-05</t>
  </si>
  <si>
    <t>830-05</t>
  </si>
  <si>
    <t>831-05</t>
  </si>
  <si>
    <t>205-05</t>
  </si>
  <si>
    <t>200-05</t>
  </si>
  <si>
    <t>207-05</t>
  </si>
  <si>
    <t>SILVER SPUR-05</t>
  </si>
  <si>
    <t>CUSHING</t>
  </si>
  <si>
    <t>202-05</t>
  </si>
  <si>
    <t>833-05</t>
  </si>
  <si>
    <t>209-05</t>
  </si>
  <si>
    <t>211-05</t>
  </si>
  <si>
    <t>834-05</t>
  </si>
  <si>
    <t>213-05</t>
  </si>
  <si>
    <t>835-05</t>
  </si>
  <si>
    <t>208-05</t>
  </si>
  <si>
    <t>215-05</t>
  </si>
  <si>
    <t>210-05</t>
  </si>
  <si>
    <t>71-05</t>
  </si>
  <si>
    <t>YOUNG</t>
  </si>
  <si>
    <t>836-05</t>
  </si>
  <si>
    <t>56-05</t>
  </si>
  <si>
    <t>217-05</t>
  </si>
  <si>
    <t>214-05</t>
  </si>
  <si>
    <t>838-05</t>
  </si>
  <si>
    <t>219-05</t>
  </si>
  <si>
    <t>303-05</t>
  </si>
  <si>
    <t>839-05</t>
  </si>
  <si>
    <t>221-05</t>
  </si>
  <si>
    <t>218-05</t>
  </si>
  <si>
    <t>906-05</t>
  </si>
  <si>
    <t>305-05</t>
  </si>
  <si>
    <t>841-05</t>
  </si>
  <si>
    <t>220-05</t>
  </si>
  <si>
    <t>223-05</t>
  </si>
  <si>
    <t>840-05</t>
  </si>
  <si>
    <t>222-05</t>
  </si>
  <si>
    <t>225-05</t>
  </si>
  <si>
    <t>224-05</t>
  </si>
  <si>
    <t>227-05</t>
  </si>
  <si>
    <t>229-05</t>
  </si>
  <si>
    <t>226-05</t>
  </si>
  <si>
    <t>231-05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</si>
  <si>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</si>
  <si>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</si>
  <si>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</si>
  <si>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</si>
  <si>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</si>
  <si>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</si>
  <si>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</si>
  <si>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</si>
  <si>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236-05</t>
  </si>
  <si>
    <t>239-05</t>
  </si>
  <si>
    <t>238-05</t>
  </si>
  <si>
    <t>241-05</t>
  </si>
  <si>
    <t>240-05</t>
  </si>
  <si>
    <t>243-05</t>
  </si>
  <si>
    <t>309-05</t>
  </si>
  <si>
    <t>242-05</t>
  </si>
  <si>
    <t>311-05</t>
  </si>
  <si>
    <t>244-05</t>
  </si>
  <si>
    <t>313-05</t>
  </si>
  <si>
    <t>315-05</t>
  </si>
  <si>
    <t>precipType</t>
  </si>
  <si>
    <t>Mostly Cloudy</t>
  </si>
  <si>
    <t>rain</t>
  </si>
  <si>
    <t>Drizzle</t>
  </si>
  <si>
    <t>cloudy</t>
  </si>
  <si>
    <t>Overcast</t>
  </si>
  <si>
    <t>Summary for DUS 2016-10-05: Partly cloudy until night.</t>
  </si>
  <si>
    <t>204:739</t>
  </si>
  <si>
    <t>204:232687</t>
  </si>
  <si>
    <t>204:18701</t>
  </si>
  <si>
    <t>204:748</t>
  </si>
  <si>
    <t>204:232664</t>
  </si>
  <si>
    <t>204:785</t>
  </si>
  <si>
    <t>204:232644</t>
  </si>
  <si>
    <t>204:1611</t>
  </si>
  <si>
    <t>204:752</t>
  </si>
  <si>
    <t>204:232976</t>
  </si>
  <si>
    <t>204:416</t>
  </si>
  <si>
    <t>204:232990</t>
  </si>
  <si>
    <t>204:779</t>
  </si>
  <si>
    <t>204:233286</t>
  </si>
  <si>
    <t>204:232961</t>
  </si>
  <si>
    <t>204:232989</t>
  </si>
  <si>
    <t>204:64702</t>
  </si>
  <si>
    <t>204:233270</t>
  </si>
  <si>
    <t>204:19125</t>
  </si>
  <si>
    <t>204:233345</t>
  </si>
  <si>
    <t>204:941</t>
  </si>
  <si>
    <t>204:233000</t>
  </si>
  <si>
    <t>204:233322</t>
  </si>
  <si>
    <t>204:233310</t>
  </si>
  <si>
    <t>204:127</t>
  </si>
  <si>
    <t>204:429</t>
  </si>
  <si>
    <t>204:233323</t>
  </si>
  <si>
    <t>204:233305</t>
  </si>
  <si>
    <t>204:232987</t>
  </si>
  <si>
    <t>204:233272</t>
  </si>
  <si>
    <t>204:37183</t>
  </si>
  <si>
    <t>204:26209</t>
  </si>
  <si>
    <t>204:1179</t>
  </si>
  <si>
    <t>204:233330</t>
  </si>
  <si>
    <t>204:233340</t>
  </si>
  <si>
    <t>204:233030</t>
  </si>
  <si>
    <t>204:233355</t>
  </si>
  <si>
    <t>204:1494</t>
  </si>
  <si>
    <t>204:233234</t>
  </si>
  <si>
    <t>204:232919</t>
  </si>
  <si>
    <t>204:233025</t>
  </si>
  <si>
    <t>204:233281</t>
  </si>
  <si>
    <t>204:238</t>
  </si>
  <si>
    <t>204:95</t>
  </si>
  <si>
    <t>204:426</t>
  </si>
  <si>
    <t>204:233284</t>
  </si>
  <si>
    <t>204:528</t>
  </si>
  <si>
    <t>204:19134</t>
  </si>
  <si>
    <t>204:232970</t>
  </si>
  <si>
    <t>204:170</t>
  </si>
  <si>
    <t>204:169</t>
  </si>
  <si>
    <t>204:254</t>
  </si>
  <si>
    <t>204:488</t>
  </si>
  <si>
    <t>204:233342</t>
  </si>
  <si>
    <t>204:232962</t>
  </si>
  <si>
    <t>204:557</t>
  </si>
  <si>
    <t>300:23023</t>
  </si>
  <si>
    <t>204:403</t>
  </si>
  <si>
    <t>300:22250</t>
  </si>
  <si>
    <t>300:21445</t>
  </si>
  <si>
    <t>300:21975</t>
  </si>
  <si>
    <t>204:450</t>
  </si>
  <si>
    <t>300:23301</t>
  </si>
  <si>
    <t>300:23093</t>
  </si>
  <si>
    <t>300:23312</t>
  </si>
  <si>
    <t>300:21846</t>
  </si>
  <si>
    <t>300:23015</t>
  </si>
  <si>
    <t>204:10653</t>
  </si>
  <si>
    <t>204:128003</t>
  </si>
  <si>
    <t>204:127738</t>
  </si>
  <si>
    <t>204:10331</t>
  </si>
  <si>
    <t>204:127747</t>
  </si>
  <si>
    <t>204:1205</t>
  </si>
  <si>
    <t>204:1177</t>
  </si>
  <si>
    <t>300:4913</t>
  </si>
  <si>
    <t>204:1105</t>
  </si>
  <si>
    <t>204:473</t>
  </si>
  <si>
    <t>300:5217</t>
  </si>
  <si>
    <t>300:24737</t>
  </si>
  <si>
    <t>300:23229</t>
  </si>
  <si>
    <t>204:863</t>
  </si>
  <si>
    <t>204:361</t>
  </si>
  <si>
    <t>300:24244</t>
  </si>
  <si>
    <t>204:127764</t>
  </si>
  <si>
    <t>204:10410</t>
  </si>
  <si>
    <t>204:127785</t>
  </si>
  <si>
    <t>204:10389</t>
  </si>
  <si>
    <t>204:852</t>
  </si>
  <si>
    <t>204:1164</t>
  </si>
  <si>
    <t>204:1162</t>
  </si>
  <si>
    <t>204:10631</t>
  </si>
  <si>
    <t>204:127959</t>
  </si>
  <si>
    <t>204:10650</t>
  </si>
  <si>
    <t>204:128053</t>
  </si>
  <si>
    <t>204:1499</t>
  </si>
  <si>
    <t>204:128028</t>
  </si>
  <si>
    <t>204:1504</t>
  </si>
  <si>
    <t>300:58623</t>
  </si>
  <si>
    <t>204:1053</t>
  </si>
  <si>
    <t>300:58950</t>
  </si>
  <si>
    <t>300:58628</t>
  </si>
  <si>
    <t>300:58995</t>
  </si>
  <si>
    <t>300:58638</t>
  </si>
  <si>
    <t>204:691</t>
  </si>
  <si>
    <t>300:58937</t>
  </si>
  <si>
    <t>204:815</t>
  </si>
  <si>
    <t>204:965</t>
  </si>
  <si>
    <t>300:58980</t>
  </si>
  <si>
    <t>300:58658</t>
  </si>
  <si>
    <t>300:58677</t>
  </si>
  <si>
    <t>204:689</t>
  </si>
  <si>
    <t>300:58982</t>
  </si>
  <si>
    <t>300:58673</t>
  </si>
  <si>
    <t>204:1000</t>
  </si>
  <si>
    <t>204:680</t>
  </si>
  <si>
    <t>300:58993</t>
  </si>
  <si>
    <t>300:58687</t>
  </si>
  <si>
    <t>300:58990</t>
  </si>
  <si>
    <t>204:726</t>
  </si>
  <si>
    <t>204:1014</t>
  </si>
  <si>
    <t>300:58984</t>
  </si>
  <si>
    <t>300:58656</t>
  </si>
  <si>
    <t>204:958</t>
  </si>
  <si>
    <t>300:58666</t>
  </si>
  <si>
    <t>204:694</t>
  </si>
  <si>
    <t>300:58928</t>
  </si>
  <si>
    <t>204:682</t>
  </si>
  <si>
    <t>204:986</t>
  </si>
  <si>
    <t>300:58961</t>
  </si>
  <si>
    <t>204:964</t>
  </si>
  <si>
    <t>300:58944</t>
  </si>
  <si>
    <t>204:988</t>
  </si>
  <si>
    <t>300:58675</t>
  </si>
  <si>
    <t>300:58971</t>
  </si>
  <si>
    <t>300:58645</t>
  </si>
  <si>
    <t>204:675</t>
  </si>
  <si>
    <t>300:58952</t>
  </si>
  <si>
    <t>300:58634</t>
  </si>
  <si>
    <t>204:955</t>
  </si>
  <si>
    <t>300:58941</t>
  </si>
  <si>
    <t>300:58668</t>
  </si>
  <si>
    <t>300:58641</t>
  </si>
  <si>
    <t>300:58626</t>
  </si>
  <si>
    <t>300:58948</t>
  </si>
  <si>
    <t>300:30008</t>
  </si>
  <si>
    <t>300:42629</t>
  </si>
  <si>
    <t>300:23291</t>
  </si>
  <si>
    <t>300:24271</t>
  </si>
  <si>
    <t>300:24239</t>
  </si>
  <si>
    <t>300:58632</t>
  </si>
  <si>
    <t>300:29119</t>
  </si>
  <si>
    <t>300:21791</t>
  </si>
  <si>
    <t>300:23716</t>
  </si>
  <si>
    <t>204:66</t>
  </si>
  <si>
    <t>204:233245</t>
  </si>
  <si>
    <t>300:58688</t>
  </si>
  <si>
    <t>204:1011</t>
  </si>
  <si>
    <t>Pena 4S STOP, cleared afterward</t>
  </si>
  <si>
    <t>Received clear requests for DUS 2N at 07:40:13.070, but didn't clear in over 20 min. Dispatcher had to talk train past signal. Any odd behaviors observed around this time?</t>
  </si>
  <si>
    <t xml:space="preserve">Multiple CPU faults around 2016-10-05 15:25:34.000 </t>
  </si>
  <si>
    <t>Need a deeper look from STMS folks. Blank 1001 (no trip IDs available) at 2016-10-05 18:30:12.</t>
  </si>
  <si>
    <t>Operator incorrectly entered clearance number (1523 vs 1623)</t>
  </si>
  <si>
    <t>Delayed at 40th</t>
  </si>
  <si>
    <t>RESTRICTED aspects</t>
  </si>
  <si>
    <t>Delayed at Sand Creek</t>
  </si>
  <si>
    <t>158-05</t>
  </si>
  <si>
    <t>Did not init</t>
  </si>
  <si>
    <t>160-05</t>
  </si>
  <si>
    <t>161-05</t>
  </si>
  <si>
    <t>166-05</t>
  </si>
  <si>
    <t>175-05</t>
  </si>
  <si>
    <t>Triplex-induced comm failure at 2016/10/05 13:15:25 UTC</t>
  </si>
  <si>
    <t>Triplex-induced comm failure at 2016/10/05 19:15:46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</si>
</sst>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169" fontId="0" fillId="0" borderId="18" xfId="0" applyNumberFormat="1" applyBorder="1"/>
    <xf numFmtId="169" fontId="0" fillId="0" borderId="18" xfId="0" applyBorder="1"/>
    <xf numFmtId="169" fontId="0" fillId="0" borderId="18" xfId="0" applyFill="1" applyBorder="1" applyAlignment="1">
      <alignment horizontal="left"/>
    </xf>
    <xf numFmtId="168" fontId="0" fillId="0" borderId="18" xfId="0" applyNumberFormat="1" applyFill="1" applyBorder="1" applyAlignment="1">
      <alignment horizontal="left"/>
    </xf>
    <xf numFmtId="169" fontId="0" fillId="0" borderId="18" xfId="0" applyFill="1" applyBorder="1"/>
    <xf numFmtId="0" fontId="0" fillId="0" borderId="0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6"/>
  <sheetViews>
    <sheetView tabSelected="1" workbookViewId="0">
      <selection activeCell="L259" sqref="L259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" style="43" customWidth="1"/>
    <col min="15" max="15" width="2.85546875" style="2" customWidth="1"/>
    <col min="16" max="16" width="2.7109375" style="2" customWidth="1"/>
    <col min="17" max="17" width="0.5703125" hidden="1" customWidth="1"/>
    <col min="18" max="18" width="41" bestFit="1" customWidth="1"/>
    <col min="19" max="19" width="7.42578125" style="23" customWidth="1"/>
    <col min="20" max="20" width="3.85546875" customWidth="1"/>
    <col min="21" max="21" width="5" style="157" customWidth="1"/>
    <col min="22" max="22" width="5.7109375" style="100" customWidth="1"/>
    <col min="23" max="23" width="3.85546875" style="22" customWidth="1"/>
    <col min="24" max="24" width="5.28515625" style="162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3" customWidth="1"/>
    <col min="32" max="32" width="6.28515625" style="90" customWidth="1"/>
    <col min="33" max="33" width="5.42578125" customWidth="1"/>
    <col min="34" max="34" width="5" style="96" customWidth="1"/>
    <col min="35" max="35" width="5.7109375" style="122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3"/>
      <c r="V1" s="42"/>
      <c r="W1" s="43"/>
      <c r="X1" s="157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4">
        <f>Variables!$A$2</f>
        <v>42648</v>
      </c>
      <c r="J2" s="75"/>
      <c r="K2" s="76"/>
      <c r="L2" s="76"/>
      <c r="M2" s="77" t="s">
        <v>8</v>
      </c>
      <c r="N2" s="78"/>
      <c r="O2" s="79"/>
      <c r="P2" s="2"/>
      <c r="R2" s="74">
        <f>Variables!$A$2</f>
        <v>42648</v>
      </c>
      <c r="S2" s="75"/>
      <c r="T2" s="76"/>
      <c r="U2" s="154"/>
      <c r="V2" s="98" t="s">
        <v>8</v>
      </c>
      <c r="W2" s="78"/>
      <c r="X2" s="160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0" t="s">
        <v>10</v>
      </c>
      <c r="J3" s="81"/>
      <c r="K3" s="82"/>
      <c r="L3" s="82"/>
      <c r="M3" s="44" t="s">
        <v>11</v>
      </c>
      <c r="N3" s="45" t="s">
        <v>12</v>
      </c>
      <c r="O3" s="3" t="s">
        <v>13</v>
      </c>
      <c r="P3" s="2"/>
      <c r="R3" s="80" t="s">
        <v>10</v>
      </c>
      <c r="S3" s="81"/>
      <c r="T3" s="82"/>
      <c r="U3" s="155"/>
      <c r="V3" s="44" t="s">
        <v>11</v>
      </c>
      <c r="W3" s="45" t="s">
        <v>12</v>
      </c>
      <c r="X3" s="161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3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3" t="s">
        <v>14</v>
      </c>
      <c r="S4" s="57">
        <f>SUM(S5:S7)</f>
        <v>47</v>
      </c>
      <c r="T4" s="46"/>
      <c r="U4" s="156"/>
      <c r="V4" s="47" t="s">
        <v>15</v>
      </c>
      <c r="W4" s="45" t="s">
        <v>15</v>
      </c>
      <c r="X4" s="161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3" t="s">
        <v>17</v>
      </c>
      <c r="J5" s="57">
        <f>COUNTIFS($N$13:$N$9389,"&gt;0",$AG$13:$AG$9389,I1)</f>
        <v>134</v>
      </c>
      <c r="K5" s="46"/>
      <c r="L5" s="46"/>
      <c r="M5" s="47">
        <f>AVERAGEIFS($N$13:$N$9389,$AG$13:$AG$9389,I1)</f>
        <v>42.077736318512791</v>
      </c>
      <c r="N5" s="45">
        <f t="array" ref="N5">MIN(IF($AG$13:$AG$9389=I1,IF(ISNUMBER($N$13:$N$9389),IF($N$13:$N$9389&gt;0,$N$13:$N$9389))))</f>
        <v>34.416666665347293</v>
      </c>
      <c r="O5" s="3">
        <f t="array" ref="O5">MAX(IF($AG$13:$AG$9389=I1,IF(ISNUMBER($N$13:$N$9389),IF($N$13:$N$9389&gt;0,$N$13:$N$9389))))</f>
        <v>71.533333333209157</v>
      </c>
      <c r="P5" s="2"/>
      <c r="R5" s="83" t="s">
        <v>17</v>
      </c>
      <c r="S5" s="57">
        <f>COUNTIFS($N$13:$N$9389,"&gt;0",$AG$13:$AG$9389,R1)</f>
        <v>47</v>
      </c>
      <c r="T5" s="46"/>
      <c r="U5" s="156"/>
      <c r="V5" s="47">
        <f>AVERAGEIFS($N$13:$N$9389,$AG$13:$AG$9389,R1)</f>
        <v>15.44255319224829</v>
      </c>
      <c r="W5" s="45">
        <f t="array" ref="W5">MIN(IF($AG$13:$AG$9389=R1,IF(ISNUMBER($N$13:$N$9389),IF($N$13:$N$9389&gt;0,$N$13:$N$9389))))</f>
        <v>13.1000000028871</v>
      </c>
      <c r="X5" s="161">
        <f t="array" ref="X5">MAX(IF($AG$13:$AG$9389=R1,IF(ISNUMBER($N$13:$N$9389),IF($N$13:$N$9389&gt;0,$N$13:$N$9389))))</f>
        <v>20.51666667452082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4" t="s">
        <v>43</v>
      </c>
      <c r="J6" s="57">
        <f>COUNT($O$13:$O$165)</f>
        <v>0</v>
      </c>
      <c r="K6" s="46"/>
      <c r="L6" s="46"/>
      <c r="M6" s="47">
        <f>IFERROR(AVERAGE($O$13:$O$165),0)</f>
        <v>0</v>
      </c>
      <c r="N6" s="45">
        <f>MIN($O$13:$O$165)</f>
        <v>0</v>
      </c>
      <c r="O6" s="3">
        <f>MAX($O$13:$O$165)</f>
        <v>0</v>
      </c>
      <c r="P6" s="2"/>
      <c r="R6" s="84" t="s">
        <v>43</v>
      </c>
      <c r="S6" s="57">
        <f>COUNT($O$13:$O$165)</f>
        <v>0</v>
      </c>
      <c r="T6" s="46"/>
      <c r="U6" s="156"/>
      <c r="V6" s="47">
        <f>IFERROR(AVERAGE($O$13:$O$165),0)</f>
        <v>0</v>
      </c>
      <c r="W6" s="45">
        <f>MIN($O$13:$O$165)</f>
        <v>0</v>
      </c>
      <c r="X6" s="161">
        <f>MAX($O$13:$O$165)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5" t="s">
        <v>9</v>
      </c>
      <c r="J7" s="57">
        <f>COUNTIFS($P$13:$P$9389,"&gt;0",$AG$13:$AG$9389,I1)</f>
        <v>10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5" t="s">
        <v>9</v>
      </c>
      <c r="S7" s="57">
        <f>COUNTIFS($P$13:$P$9389,"&gt;0",$AG$13:$AG$9389,R1)</f>
        <v>0</v>
      </c>
      <c r="T7" s="46"/>
      <c r="U7" s="156"/>
      <c r="V7" s="47" t="s">
        <v>15</v>
      </c>
      <c r="W7" s="45" t="s">
        <v>15</v>
      </c>
      <c r="X7" s="161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3" t="s">
        <v>16</v>
      </c>
      <c r="J8" s="57">
        <f>J5</f>
        <v>134</v>
      </c>
      <c r="K8" s="46"/>
      <c r="L8" s="46"/>
      <c r="M8" s="47">
        <f>M5</f>
        <v>42.077736318512791</v>
      </c>
      <c r="N8" s="45">
        <f>N5</f>
        <v>34.416666665347293</v>
      </c>
      <c r="O8" s="3">
        <f>O5</f>
        <v>71.533333333209157</v>
      </c>
      <c r="P8" s="2"/>
      <c r="R8" s="83" t="s">
        <v>16</v>
      </c>
      <c r="S8" s="57">
        <f>S5</f>
        <v>47</v>
      </c>
      <c r="T8" s="46"/>
      <c r="U8" s="156"/>
      <c r="V8" s="47">
        <f>V5</f>
        <v>15.44255319224829</v>
      </c>
      <c r="W8" s="45">
        <f>W5</f>
        <v>13.1000000028871</v>
      </c>
      <c r="X8" s="161">
        <f>X5</f>
        <v>20.51666667452082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3" t="s">
        <v>19</v>
      </c>
      <c r="J9" s="71">
        <f>J8/J4</f>
        <v>0.93055555555555558</v>
      </c>
      <c r="K9" s="48"/>
      <c r="L9" s="48"/>
      <c r="M9" s="86"/>
      <c r="N9" s="43"/>
      <c r="O9" s="87"/>
      <c r="P9" s="2"/>
      <c r="R9" s="83" t="s">
        <v>19</v>
      </c>
      <c r="S9" s="71">
        <f>S8/S4</f>
        <v>1</v>
      </c>
      <c r="T9" s="48"/>
      <c r="U9" s="153"/>
      <c r="V9" s="86"/>
      <c r="W9" s="43"/>
      <c r="X9" s="150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57"/>
      <c r="V10" s="99"/>
      <c r="W10" s="22"/>
      <c r="X10" s="162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- 2016-10-05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72">
        <f>AVERAGE(S13:S114)</f>
        <v>0.92416666666666669</v>
      </c>
      <c r="V11" s="99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89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58" t="s">
        <v>71</v>
      </c>
      <c r="V12" s="101" t="s">
        <v>45</v>
      </c>
      <c r="W12" s="53" t="s">
        <v>23</v>
      </c>
      <c r="X12" s="163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4" t="s">
        <v>96</v>
      </c>
      <c r="AF12" s="91" t="s">
        <v>101</v>
      </c>
      <c r="AG12" s="4" t="s">
        <v>115</v>
      </c>
      <c r="AH12" s="97" t="s">
        <v>117</v>
      </c>
      <c r="AI12" s="129" t="s">
        <v>157</v>
      </c>
      <c r="AJ12" s="53" t="s">
        <v>158</v>
      </c>
      <c r="AK12" s="53" t="s">
        <v>131</v>
      </c>
      <c r="AL12" s="53" t="s">
        <v>159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431</v>
      </c>
      <c r="B13" s="7">
        <v>4003</v>
      </c>
      <c r="C13" s="24" t="s">
        <v>106</v>
      </c>
      <c r="D13" s="24" t="s">
        <v>611</v>
      </c>
      <c r="E13" s="15">
        <v>42648.138958333337</v>
      </c>
      <c r="F13" s="15">
        <v>42648.140532407408</v>
      </c>
      <c r="G13" s="7">
        <v>1</v>
      </c>
      <c r="H13" s="15" t="s">
        <v>338</v>
      </c>
      <c r="I13" s="15">
        <v>42648.166597222225</v>
      </c>
      <c r="J13" s="7">
        <v>0</v>
      </c>
      <c r="K13" s="117" t="str">
        <f t="shared" ref="K13:K44" si="0">IF(ISEVEN(B13),(B13-1)&amp;"/"&amp;B13,B13&amp;"/"&amp;(B13+1))</f>
        <v>4003/4004</v>
      </c>
      <c r="L13" s="24" t="str">
        <f>VLOOKUP(A13,'Trips&amp;Operators'!$C$1:$E$10000,3,FALSE)</f>
        <v>MAELZER</v>
      </c>
      <c r="M13" s="6">
        <f t="shared" ref="M13:M44" si="1">I13-F13</f>
        <v>2.6064814817800652E-2</v>
      </c>
      <c r="N13" s="7">
        <f t="shared" ref="N13:N40" si="2">24*60*SUM($M13:$M13)</f>
        <v>37.533333337632939</v>
      </c>
      <c r="O13" s="7"/>
      <c r="P13" s="7"/>
      <c r="Q13" s="25"/>
      <c r="R13" s="25"/>
      <c r="S13" s="37">
        <f t="shared" ref="S13:S40" si="3">SUM(U13:U13)/IF(AG13="EC",12,1)</f>
        <v>1</v>
      </c>
      <c r="T13" s="52" t="str">
        <f t="shared" ref="T13:T76" si="4">IF(ISEVEN(LEFT(AD13,4)),"Southbound","NorthBound")</f>
        <v>NorthBound</v>
      </c>
      <c r="U13" s="159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2" t="str">
        <f t="shared" ref="V13:V44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https://search-rtdc-monitor-bjffxe2xuh6vdkpspy63sjmuny.us-east-1.es.amazonaws.com/_plugin/kibana/#/discover/Steve-Slow-Train-Analysis-(2080s-and-2083s)?_g=(refreshInterval:(display:Off,section:0,value:0),time:(from:'2016-10-05 02:20:06-0600',mode:absolute,to:'2016-10-05 04:59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" s="54" t="str">
        <f t="shared" ref="W13:W44" si="6">IF(AA13&lt;IF(AG13="EC",23,5.65),"Y","N")</f>
        <v>N</v>
      </c>
      <c r="X13" s="164" t="e">
        <f t="shared" ref="X13:X41" si="7">VALUE(LEFT(AD13,4))-VALUE(LEFT(AD12,4))</f>
        <v>#VALUE!</v>
      </c>
      <c r="Y13" s="69">
        <f t="shared" ref="Y13:Y41" si="8">RIGHT(D13,LEN(D13)-4)/10000</f>
        <v>7.3899999999999993E-2</v>
      </c>
      <c r="Z13" s="69">
        <f>RIGHT(H13,LEN(H13)-4)/10000</f>
        <v>23.333400000000001</v>
      </c>
      <c r="AA13" s="69">
        <f t="shared" ref="AA13:AA44" si="9">ABS(Z13-Y13)</f>
        <v>23.259500000000003</v>
      </c>
      <c r="AB13" s="66" t="e">
        <f>VLOOKUP(A13,Enforcements!$C$7:$K$21,8,0)</f>
        <v>#N/A</v>
      </c>
      <c r="AC13" s="62" t="e">
        <f>VLOOKUP(A13,Enforcements!$C$7:$E$21,3,0)</f>
        <v>#N/A</v>
      </c>
      <c r="AD13" s="63" t="str">
        <f t="shared" ref="AD13:AD76" si="10">IF(LEN(A13)=6,"0"&amp;A13,A13)</f>
        <v>0101-05</v>
      </c>
      <c r="AE13" s="95" t="str">
        <f t="shared" ref="AE13:AE44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s3://rtdc.mdm.uploadarchive.raw/RTDC4003/ "%USERPROFILE%\AppData\Local\Temp\OnboardLogs"\RTDC4003\2016-10-05 --exclude "*" --recursive --include "*20161005*" &amp; "%USERPROFILE%\Documents\GitHub\mrs-test-scripts\Headless Mode &amp; Sideloading\WalkAndUnGZ.bat" "%USERPROFILE%\AppData\Local\Temp\OnboardLogs"\RTDC4003\2016-10-05 &amp; aws s3 cp s3://rtdc.mdm.uploadarchive.raw/RTDC4003/ "%USERPROFILE%\AppData\Local\Temp\OnboardLogs"\RTDC4003\2016-10-06 --exclude "*" --recursive --include "*20161006*" &amp; "%USERPROFILE%\Documents\GitHub\mrs-test-scripts\Headless Mode &amp; Sideloading\WalkAndUnGZ.bat" "%USERPROFILE%\AppData\Local\Temp\OnboardLogs"\RTDC4003\2016-10-06</v>
      </c>
      <c r="AF13" s="92" t="str">
        <f t="shared" ref="AF13:AF44" si="1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/stypes="app*4003*20161005*" /stext=" 09:.+((SYSTEM_STATE.+slice.+state.+changed )|(ment ac)|(system.+state.+changed )|(\[timeout)|(PRM\|1\|D)|(kpr)|(kdp)|(\|lc)|(penalty))" /e /r /s</v>
      </c>
      <c r="AG13" s="1" t="str">
        <f t="shared" ref="AG13:AG76" si="13">IFERROR(IF(VALUE(LEFT(AD13,2))&lt;=2,"EC",IF(OR(VALUE(LEFT(AD13,2))=8,VALUE(LEFT(AD13,2))=18),"NW","Other")),"Other")</f>
        <v>EC</v>
      </c>
      <c r="AH13" s="96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101-05 --locoid 4003 --swversion DE.1.0.7.0 --startMP 204:739 --initTime 2016-10-05T03:20:06 --startdatetime 2016-10-05T03:22:22 --delay 1 --endMP 204:233334 --enddatetime 2016-10-05T03:59:54 --enforcementcount 0 &gt;&gt;C:\Users\stu\Documents\GitHub\eaglep3-reporting\EC\2016-10-05-refined-times.txt</v>
      </c>
      <c r="AI13" s="130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{"issue":{"subject":"","project_id":79,"tracker_id":40,"status_id":1,"priority_id":2,"assigned_to_id":23,"start_date":"2016-10-05","description":"","custom_fields":[{"id":1,"name":"Subdivision","value":"EC"},{"id":4,"name":"Milepost","value":"23.3334"},{"id":17,"name":"Train ID","value":"101-05"},{"id":16,"name":"Locomotive ID","value":"4003"},{"id":130,"name":"Impact","value":""},{"id":150,"name":"Time of Event (Mountain Time)","value":"03:59:54"},{"id":151,"name":"Denver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438</v>
      </c>
      <c r="B14" s="7">
        <v>4028</v>
      </c>
      <c r="C14" s="24" t="s">
        <v>106</v>
      </c>
      <c r="D14" s="24" t="s">
        <v>612</v>
      </c>
      <c r="E14" s="15">
        <v>42648.171898148146</v>
      </c>
      <c r="F14" s="15">
        <v>42648.174583333333</v>
      </c>
      <c r="G14" s="7">
        <v>1</v>
      </c>
      <c r="H14" s="15" t="s">
        <v>613</v>
      </c>
      <c r="I14" s="15">
        <v>42648.201643518521</v>
      </c>
      <c r="J14" s="7">
        <v>0</v>
      </c>
      <c r="K14" s="117" t="str">
        <f t="shared" si="0"/>
        <v>4027/4028</v>
      </c>
      <c r="L14" s="24" t="str">
        <f>VLOOKUP(A14,'Trips&amp;Operators'!$C$1:$E$10000,3,FALSE)</f>
        <v>MAELZER</v>
      </c>
      <c r="M14" s="6">
        <f t="shared" si="1"/>
        <v>2.7060185188020114E-2</v>
      </c>
      <c r="N14" s="7">
        <f t="shared" si="2"/>
        <v>38.966666670748964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59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03:07:32-0600',mode:absolute,to:'2016-10-05 05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" s="54" t="str">
        <f t="shared" si="6"/>
        <v>N</v>
      </c>
      <c r="X14" s="164">
        <f t="shared" si="7"/>
        <v>1</v>
      </c>
      <c r="Y14" s="69">
        <f t="shared" si="8"/>
        <v>23.268699999999999</v>
      </c>
      <c r="Z14" s="69">
        <v>0.01</v>
      </c>
      <c r="AA14" s="69">
        <f t="shared" si="9"/>
        <v>23.258699999999997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 t="shared" si="10"/>
        <v>0102-05</v>
      </c>
      <c r="AE14" s="95" t="str">
        <f t="shared" si="11"/>
        <v>aws s3 cp s3://rtdc.mdm.uploadarchive.raw/RTDC4028/ "%USERPROFILE%\AppData\Local\Temp\OnboardLogs"\RTDC4028\2016-10-05 --exclude "*" --recursive --include "*20161005*" &amp; "%USERPROFILE%\Documents\GitHub\mrs-test-scripts\Headless Mode &amp; Sideloading\WalkAndUnGZ.bat" "%USERPROFILE%\AppData\Local\Temp\OnboardLogs"\RTDC4028\2016-10-05 &amp; aws s3 cp s3://rtdc.mdm.uploadarchive.raw/RTDC4028/ "%USERPROFILE%\AppData\Local\Temp\OnboardLogs"\RTDC4028\2016-10-06 --exclude "*" --recursive --include "*20161006*" &amp; "%USERPROFILE%\Documents\GitHub\mrs-test-scripts\Headless Mode &amp; Sideloading\WalkAndUnGZ.bat" "%USERPROFILE%\AppData\Local\Temp\OnboardLogs"\RTDC4028\2016-10-06</v>
      </c>
      <c r="AF14" s="92" t="str">
        <f t="shared" si="12"/>
        <v>"C:\Program Files (x86)\AstroGrep\AstroGrep.exe" /spath="%USERPROFILE%\AppData\Local\Temp\OnboardLogs" /stypes="app*4028*20161005*" /stext=" 10:.+((SYSTEM_STATE.+slice.+state.+changed )|(ment ac)|(system.+state.+changed )|(\[timeout)|(PRM\|1\|D)|(kpr)|(kdp)|(\|lc)|(penalty))" /e /r /s</v>
      </c>
      <c r="AG14" s="1" t="str">
        <f t="shared" si="13"/>
        <v>EC</v>
      </c>
      <c r="AH14" s="96" t="str">
        <f t="shared" ref="AH14:AH81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102-05 --locoid 4028 --swversion DE.1.0.7.0 --startMP 204:232687 --initTime 2016-10-05T04:07:32 --startdatetime 2016-10-05T04:11:24 --delay 1 --endMP 204:18701 --enddatetime 2016-10-05T04:50:22 --enforcementcount 0 &gt;&gt;C:\Users\stu\Documents\GitHub\eaglep3-reporting\EC\2016-10-05-refined-times.txt</v>
      </c>
      <c r="AI14" s="130" t="str">
        <f t="shared" ref="AI14:AI81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{"issue":{"subject":"","project_id":79,"tracker_id":40,"status_id":1,"priority_id":2,"assigned_to_id":23,"start_date":"2016-10-05","description":"","custom_fields":[{"id":1,"name":"Subdivision","value":"EC"},{"id":4,"name":"Milepost","value":"0.01"},{"id":17,"name":"Train ID","value":"102-05"},{"id":16,"name":"Locomotive ID","value":"4028"},{"id":130,"name":"Impact","value":""},{"id":150,"name":"Time of Event (Mountain Time)","value":"04:50:22"},{"id":151,"name":"Denver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433</v>
      </c>
      <c r="B15" s="7">
        <v>4016</v>
      </c>
      <c r="C15" s="24" t="s">
        <v>106</v>
      </c>
      <c r="D15" s="24" t="s">
        <v>614</v>
      </c>
      <c r="E15" s="15">
        <v>42648.159571759257</v>
      </c>
      <c r="F15" s="15">
        <v>42648.161354166667</v>
      </c>
      <c r="G15" s="7">
        <v>1</v>
      </c>
      <c r="H15" s="15" t="s">
        <v>286</v>
      </c>
      <c r="I15" s="15">
        <v>42648.189687500002</v>
      </c>
      <c r="J15" s="7">
        <v>0</v>
      </c>
      <c r="K15" s="117" t="str">
        <f t="shared" si="0"/>
        <v>4015/4016</v>
      </c>
      <c r="L15" s="24" t="str">
        <f>VLOOKUP(A15,'Trips&amp;Operators'!$C$1:$E$10000,3,FALSE)</f>
        <v>ACKERMAN</v>
      </c>
      <c r="M15" s="6">
        <f t="shared" si="1"/>
        <v>2.8333333335467614E-2</v>
      </c>
      <c r="N15" s="7">
        <f t="shared" si="2"/>
        <v>40.800000003073364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59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02:49:47-0600',mode:absolute,to:'2016-10-05 05:33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" s="54" t="str">
        <f t="shared" si="6"/>
        <v>N</v>
      </c>
      <c r="X15" s="164">
        <f t="shared" si="7"/>
        <v>1</v>
      </c>
      <c r="Y15" s="69">
        <f t="shared" si="8"/>
        <v>7.4800000000000005E-2</v>
      </c>
      <c r="Z15" s="69">
        <f t="shared" ref="Z15:Z41" si="18">RIGHT(H15,LEN(H15)-4)/10000</f>
        <v>23.329899999999999</v>
      </c>
      <c r="AA15" s="69">
        <f t="shared" si="9"/>
        <v>23.255099999999999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 t="shared" si="10"/>
        <v>0103-05</v>
      </c>
      <c r="AE15" s="95" t="str">
        <f t="shared" si="11"/>
        <v>aws s3 cp s3://rtdc.mdm.uploadarchive.raw/RTDC4016/ "%USERPROFILE%\AppData\Local\Temp\OnboardLogs"\RTDC4016\2016-10-05 --exclude "*" --recursive --include "*20161005*" &amp; "%USERPROFILE%\Documents\GitHub\mrs-test-scripts\Headless Mode &amp; Sideloading\WalkAndUnGZ.bat" "%USERPROFILE%\AppData\Local\Temp\OnboardLogs"\RTDC4016\2016-10-05 &amp; aws s3 cp s3://rtdc.mdm.uploadarchive.raw/RTDC4016/ "%USERPROFILE%\AppData\Local\Temp\OnboardLogs"\RTDC4016\2016-10-06 --exclude "*" --recursive --include "*20161006*" &amp; "%USERPROFILE%\Documents\GitHub\mrs-test-scripts\Headless Mode &amp; Sideloading\WalkAndUnGZ.bat" "%USERPROFILE%\AppData\Local\Temp\OnboardLogs"\RTDC4016\2016-10-06</v>
      </c>
      <c r="AF15" s="92" t="str">
        <f t="shared" si="12"/>
        <v>"C:\Program Files (x86)\AstroGrep\AstroGrep.exe" /spath="%USERPROFILE%\AppData\Local\Temp\OnboardLogs" /stypes="app*4016*20161005*" /stext=" 10:.+((SYSTEM_STATE.+slice.+state.+changed )|(ment ac)|(system.+state.+changed )|(\[timeout)|(PRM\|1\|D)|(kpr)|(kdp)|(\|lc)|(penalty))" /e /r /s</v>
      </c>
      <c r="AG15" s="1" t="str">
        <f t="shared" si="13"/>
        <v>EC</v>
      </c>
      <c r="AH15" s="96" t="str">
        <f t="shared" si="16"/>
        <v>"%USERPROFILE%\Documents\GitHub\eaglep3\Utilities\RefineRTDCRunTimes.py" --tripid 103-05 --locoid 4016 --swversion DE.1.0.7.0 --startMP 204:748 --initTime 2016-10-05T03:49:47 --startdatetime 2016-10-05T03:52:21 --delay 1 --endMP 204:233299 --enddatetime 2016-10-05T04:33:09 --enforcementcount 0 &gt;&gt;C:\Users\stu\Documents\GitHub\eaglep3-reporting\EC\2016-10-05-refined-times.txt</v>
      </c>
      <c r="AI15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{"issue":{"subject":"","project_id":79,"tracker_id":40,"status_id":1,"priority_id":2,"assigned_to_id":23,"start_date":"2016-10-05","description":"","custom_fields":[{"id":1,"name":"Subdivision","value":"EC"},{"id":4,"name":"Milepost","value":"23.3299"},{"id":17,"name":"Train ID","value":"103-05"},{"id":16,"name":"Locomotive ID","value":"4016"},{"id":130,"name":"Impact","value":""},{"id":150,"name":"Time of Event (Mountain Time)","value":"04:33:09"},{"id":151,"name":"Denver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442</v>
      </c>
      <c r="B16" s="7">
        <v>4026</v>
      </c>
      <c r="C16" s="24" t="s">
        <v>106</v>
      </c>
      <c r="D16" s="24" t="s">
        <v>615</v>
      </c>
      <c r="E16" s="15">
        <v>42648.19190972222</v>
      </c>
      <c r="F16" s="15">
        <v>42648.195405092592</v>
      </c>
      <c r="G16" s="7">
        <v>1</v>
      </c>
      <c r="H16" s="15" t="s">
        <v>205</v>
      </c>
      <c r="I16" s="15">
        <v>42648.227326388886</v>
      </c>
      <c r="J16" s="7">
        <v>0</v>
      </c>
      <c r="K16" s="117" t="str">
        <f t="shared" si="0"/>
        <v>4025/4026</v>
      </c>
      <c r="L16" s="24" t="str">
        <f>VLOOKUP(A16,'Trips&amp;Operators'!$C$1:$E$10000,3,FALSE)</f>
        <v>ACKERMAN</v>
      </c>
      <c r="M16" s="6">
        <f t="shared" si="1"/>
        <v>3.1921296293148771E-2</v>
      </c>
      <c r="N16" s="7">
        <f t="shared" si="2"/>
        <v>45.96666666213423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59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03:36:21-0600',mode:absolute,to:'2016-10-05 06:27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" s="54" t="str">
        <f t="shared" si="6"/>
        <v>N</v>
      </c>
      <c r="X16" s="164">
        <f t="shared" si="7"/>
        <v>1</v>
      </c>
      <c r="Y16" s="69">
        <f t="shared" si="8"/>
        <v>23.266400000000001</v>
      </c>
      <c r="Z16" s="69">
        <f t="shared" si="18"/>
        <v>1.38E-2</v>
      </c>
      <c r="AA16" s="69">
        <f t="shared" si="9"/>
        <v>23.252600000000001</v>
      </c>
      <c r="AB16" s="66" t="e">
        <f>VLOOKUP(A16,Enforcements!$C$7:$K$21,8,0)</f>
        <v>#N/A</v>
      </c>
      <c r="AC16" s="62" t="e">
        <f>VLOOKUP(A16,Enforcements!$C$7:$E$21,3,0)</f>
        <v>#N/A</v>
      </c>
      <c r="AD16" s="63" t="str">
        <f t="shared" si="10"/>
        <v>0104-05</v>
      </c>
      <c r="AE16" s="95" t="str">
        <f t="shared" si="11"/>
        <v>aws s3 cp s3://rtdc.mdm.uploadarchive.raw/RTDC4026/ "%USERPROFILE%\AppData\Local\Temp\OnboardLogs"\RTDC4026\2016-10-05 --exclude "*" --recursive --include "*20161005*" &amp; "%USERPROFILE%\Documents\GitHub\mrs-test-scripts\Headless Mode &amp; Sideloading\WalkAndUnGZ.bat" "%USERPROFILE%\AppData\Local\Temp\OnboardLogs"\RTDC4026\2016-10-05 &amp; aws s3 cp s3://rtdc.mdm.uploadarchive.raw/RTDC4026/ "%USERPROFILE%\AppData\Local\Temp\OnboardLogs"\RTDC4026\2016-10-06 --exclude "*" --recursive --include "*20161006*" &amp; "%USERPROFILE%\Documents\GitHub\mrs-test-scripts\Headless Mode &amp; Sideloading\WalkAndUnGZ.bat" "%USERPROFILE%\AppData\Local\Temp\OnboardLogs"\RTDC4026\2016-10-06</v>
      </c>
      <c r="AF16" s="92" t="str">
        <f t="shared" si="12"/>
        <v>"C:\Program Files (x86)\AstroGrep\AstroGrep.exe" /spath="%USERPROFILE%\AppData\Local\Temp\OnboardLogs" /stypes="app*4026*20161005*" /stext=" 11:.+((SYSTEM_STATE.+slice.+state.+changed )|(ment ac)|(system.+state.+changed )|(\[timeout)|(PRM\|1\|D)|(kpr)|(kdp)|(\|lc)|(penalty))" /e /r /s</v>
      </c>
      <c r="AG16" s="1" t="str">
        <f t="shared" si="13"/>
        <v>EC</v>
      </c>
      <c r="AH16" s="96" t="str">
        <f t="shared" si="16"/>
        <v>"%USERPROFILE%\Documents\GitHub\eaglep3\Utilities\RefineRTDCRunTimes.py" --tripid 104-05 --locoid 4026 --swversion DE.1.0.7.0 --startMP 204:232664 --initTime 2016-10-05T04:36:21 --startdatetime 2016-10-05T04:41:23 --delay 1 --endMP 204:138 --enddatetime 2016-10-05T05:27:21 --enforcementcount 0 &gt;&gt;C:\Users\stu\Documents\GitHub\eaglep3-reporting\EC\2016-10-05-refined-times.txt</v>
      </c>
      <c r="AI16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{"issue":{"subject":"","project_id":79,"tracker_id":40,"status_id":1,"priority_id":2,"assigned_to_id":23,"start_date":"2016-10-05","description":"","custom_fields":[{"id":1,"name":"Subdivision","value":"EC"},{"id":4,"name":"Milepost","value":"0.0138"},{"id":17,"name":"Train ID","value":"104-05"},{"id":16,"name":"Locomotive ID","value":"4026"},{"id":130,"name":"Impact","value":""},{"id":150,"name":"Time of Event (Mountain Time)","value":"05:27:21"},{"id":151,"name":"Denver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373</v>
      </c>
      <c r="B17" s="7">
        <v>4002</v>
      </c>
      <c r="C17" s="24" t="s">
        <v>106</v>
      </c>
      <c r="D17" s="24" t="s">
        <v>616</v>
      </c>
      <c r="E17" s="15">
        <v>42648.172361111108</v>
      </c>
      <c r="F17" s="15">
        <v>42648.17728009259</v>
      </c>
      <c r="G17" s="7">
        <v>2</v>
      </c>
      <c r="H17" s="15" t="s">
        <v>286</v>
      </c>
      <c r="I17" s="15">
        <v>42648.206631944442</v>
      </c>
      <c r="J17" s="7">
        <v>0</v>
      </c>
      <c r="K17" s="117" t="str">
        <f t="shared" si="0"/>
        <v>4001/4002</v>
      </c>
      <c r="L17" s="24" t="str">
        <f>VLOOKUP(A17,'Trips&amp;Operators'!$C$1:$E$10000,3,FALSE)</f>
        <v>STRICKLAND</v>
      </c>
      <c r="M17" s="6">
        <f t="shared" si="1"/>
        <v>2.9351851851970423E-2</v>
      </c>
      <c r="N17" s="7">
        <f t="shared" si="2"/>
        <v>42.266666666837409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59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03:08:12-0600',mode:absolute,to:'2016-10-05 05:57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7" s="54" t="str">
        <f t="shared" si="6"/>
        <v>N</v>
      </c>
      <c r="X17" s="164">
        <f t="shared" si="7"/>
        <v>1</v>
      </c>
      <c r="Y17" s="69">
        <f t="shared" si="8"/>
        <v>7.85E-2</v>
      </c>
      <c r="Z17" s="69">
        <f t="shared" si="18"/>
        <v>23.329899999999999</v>
      </c>
      <c r="AA17" s="69">
        <f t="shared" si="9"/>
        <v>23.2514</v>
      </c>
      <c r="AB17" s="66" t="str">
        <f>VLOOKUP(A17,Enforcements!$C$7:$K$21,8,0)</f>
        <v>Bulletin (2)</v>
      </c>
      <c r="AC17" s="62" t="str">
        <f>VLOOKUP(A17,Enforcements!$C$7:$E$21,3,0)</f>
        <v>GRADE CROSSING</v>
      </c>
      <c r="AD17" s="63" t="str">
        <f t="shared" si="10"/>
        <v>0105-05</v>
      </c>
      <c r="AE17" s="95" t="str">
        <f t="shared" si="11"/>
        <v>aws s3 cp s3://rtdc.mdm.uploadarchive.raw/RTDC4002/ "%USERPROFILE%\AppData\Local\Temp\OnboardLogs"\RTDC4002\2016-10-05 --exclude "*" --recursive --include "*20161005*" &amp; "%USERPROFILE%\Documents\GitHub\mrs-test-scripts\Headless Mode &amp; Sideloading\WalkAndUnGZ.bat" "%USERPROFILE%\AppData\Local\Temp\OnboardLogs"\RTDC4002\2016-10-05 &amp; aws s3 cp s3://rtdc.mdm.uploadarchive.raw/RTDC4002/ "%USERPROFILE%\AppData\Local\Temp\OnboardLogs"\RTDC4002\2016-10-06 --exclude "*" --recursive --include "*20161006*" &amp; "%USERPROFILE%\Documents\GitHub\mrs-test-scripts\Headless Mode &amp; Sideloading\WalkAndUnGZ.bat" "%USERPROFILE%\AppData\Local\Temp\OnboardLogs"\RTDC4002\2016-10-06</v>
      </c>
      <c r="AF17" s="92" t="str">
        <f t="shared" si="12"/>
        <v>"C:\Program Files (x86)\AstroGrep\AstroGrep.exe" /spath="%USERPROFILE%\AppData\Local\Temp\OnboardLogs" /stypes="app*4002*20161005*" /stext=" 10:.+((SYSTEM_STATE.+slice.+state.+changed )|(ment ac)|(system.+state.+changed )|(\[timeout)|(PRM\|1\|D)|(kpr)|(kdp)|(\|lc)|(penalty))" /e /r /s</v>
      </c>
      <c r="AG17" s="1" t="str">
        <f t="shared" si="13"/>
        <v>EC</v>
      </c>
      <c r="AH17" s="96" t="str">
        <f t="shared" si="16"/>
        <v>"%USERPROFILE%\Documents\GitHub\eaglep3\Utilities\RefineRTDCRunTimes.py" --tripid 105-05 --locoid 4002 --swversion DE.1.0.7.0 --startMP 204:785 --initTime 2016-10-05T04:08:12 --startdatetime 2016-10-05T04:15:17 --delay 2 --endMP 204:233299 --enddatetime 2016-10-05T04:57:33 --enforcementcount 0 &gt;&gt;C:\Users\stu\Documents\GitHub\eaglep3-reporting\EC\2016-10-05-refined-times.txt</v>
      </c>
      <c r="AI17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{"issue":{"subject":"","project_id":79,"tracker_id":40,"status_id":1,"priority_id":2,"assigned_to_id":23,"start_date":"2016-10-05","description":"","custom_fields":[{"id":1,"name":"Subdivision","value":"EC"},{"id":4,"name":"Milepost","value":"23.3299"},{"id":17,"name":"Train ID","value":"105-05"},{"id":16,"name":"Locomotive ID","value":"4002"},{"id":130,"name":"Impact","value":""},{"id":150,"name":"Time of Event (Mountain Time)","value":"04:57:33"},{"id":151,"name":"Denver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446</v>
      </c>
      <c r="B18" s="7">
        <v>4039</v>
      </c>
      <c r="C18" s="24" t="s">
        <v>106</v>
      </c>
      <c r="D18" s="24" t="s">
        <v>617</v>
      </c>
      <c r="E18" s="15">
        <v>42648.211273148147</v>
      </c>
      <c r="F18" s="15">
        <v>42648.216249999998</v>
      </c>
      <c r="G18" s="7">
        <v>3</v>
      </c>
      <c r="H18" s="15" t="s">
        <v>618</v>
      </c>
      <c r="I18" s="15">
        <v>42648.244629629633</v>
      </c>
      <c r="J18" s="7">
        <v>0</v>
      </c>
      <c r="K18" s="117" t="str">
        <f t="shared" si="0"/>
        <v>4039/4040</v>
      </c>
      <c r="L18" s="24" t="str">
        <f>VLOOKUP(A18,'Trips&amp;Operators'!$C$1:$E$10000,3,FALSE)</f>
        <v>STRICKLAND</v>
      </c>
      <c r="M18" s="6">
        <f t="shared" si="1"/>
        <v>2.8379629635310266E-2</v>
      </c>
      <c r="N18" s="7">
        <f t="shared" si="2"/>
        <v>40.866666674846783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59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04:04:14-0600',mode:absolute,to:'2016-10-05 06:52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" s="54" t="str">
        <f t="shared" si="6"/>
        <v>N</v>
      </c>
      <c r="X18" s="164">
        <f t="shared" si="7"/>
        <v>1</v>
      </c>
      <c r="Y18" s="69">
        <f t="shared" si="8"/>
        <v>23.264399999999998</v>
      </c>
      <c r="Z18" s="69">
        <f t="shared" si="18"/>
        <v>0.16109999999999999</v>
      </c>
      <c r="AA18" s="69">
        <f t="shared" si="9"/>
        <v>23.103299999999997</v>
      </c>
      <c r="AB18" s="66" t="e">
        <f>VLOOKUP(A18,Enforcements!$C$7:$K$21,8,0)</f>
        <v>#N/A</v>
      </c>
      <c r="AC18" s="62" t="e">
        <f>VLOOKUP(A18,Enforcements!$C$7:$E$21,3,0)</f>
        <v>#N/A</v>
      </c>
      <c r="AD18" s="63" t="str">
        <f t="shared" si="10"/>
        <v>0106-05</v>
      </c>
      <c r="AE18" s="95" t="str">
        <f t="shared" si="11"/>
        <v>aws s3 cp s3://rtdc.mdm.uploadarchive.raw/RTDC4039/ "%USERPROFILE%\AppData\Local\Temp\OnboardLogs"\RTDC4039\2016-10-05 --exclude "*" --recursive --include "*20161005*" &amp; "%USERPROFILE%\Documents\GitHub\mrs-test-scripts\Headless Mode &amp; Sideloading\WalkAndUnGZ.bat" "%USERPROFILE%\AppData\Local\Temp\OnboardLogs"\RTDC4039\2016-10-05 &amp; aws s3 cp s3://rtdc.mdm.uploadarchive.raw/RTDC4039/ "%USERPROFILE%\AppData\Local\Temp\OnboardLogs"\RTDC4039\2016-10-06 --exclude "*" --recursive --include "*20161006*" &amp; "%USERPROFILE%\Documents\GitHub\mrs-test-scripts\Headless Mode &amp; Sideloading\WalkAndUnGZ.bat" "%USERPROFILE%\AppData\Local\Temp\OnboardLogs"\RTDC4039\2016-10-06</v>
      </c>
      <c r="AF18" s="92" t="str">
        <f t="shared" si="12"/>
        <v>"C:\Program Files (x86)\AstroGrep\AstroGrep.exe" /spath="%USERPROFILE%\AppData\Local\Temp\OnboardLogs" /stypes="app*4039*20161005*" /stext=" 11:.+((SYSTEM_STATE.+slice.+state.+changed )|(ment ac)|(system.+state.+changed )|(\[timeout)|(PRM\|1\|D)|(kpr)|(kdp)|(\|lc)|(penalty))" /e /r /s</v>
      </c>
      <c r="AG18" s="1" t="str">
        <f t="shared" si="13"/>
        <v>EC</v>
      </c>
      <c r="AH18" s="96" t="str">
        <f t="shared" si="16"/>
        <v>"%USERPROFILE%\Documents\GitHub\eaglep3\Utilities\RefineRTDCRunTimes.py" --tripid 106-05 --locoid 4039 --swversion DE.1.0.7.0 --startMP 204:232644 --initTime 2016-10-05T05:04:14 --startdatetime 2016-10-05T05:11:24 --delay 3 --endMP 204:1611 --enddatetime 2016-10-05T05:52:16 --enforcementcount 0 &gt;&gt;C:\Users\stu\Documents\GitHub\eaglep3-reporting\EC\2016-10-05-refined-times.txt</v>
      </c>
      <c r="AI18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{"issue":{"subject":"","project_id":79,"tracker_id":40,"status_id":1,"priority_id":2,"assigned_to_id":23,"start_date":"2016-10-05","description":"","custom_fields":[{"id":1,"name":"Subdivision","value":"EC"},{"id":4,"name":"Milepost","value":"0.1611"},{"id":17,"name":"Train ID","value":"106-05"},{"id":16,"name":"Locomotive ID","value":"4039"},{"id":130,"name":"Impact","value":""},{"id":150,"name":"Time of Event (Mountain Time)","value":"05:52:16"},{"id":151,"name":"Denver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440</v>
      </c>
      <c r="B19" s="7">
        <v>4007</v>
      </c>
      <c r="C19" s="24" t="s">
        <v>106</v>
      </c>
      <c r="D19" s="24" t="s">
        <v>340</v>
      </c>
      <c r="E19" s="15">
        <v>42648.18341435185</v>
      </c>
      <c r="F19" s="15">
        <v>42648.187696759262</v>
      </c>
      <c r="G19" s="7">
        <v>1</v>
      </c>
      <c r="H19" s="15" t="s">
        <v>334</v>
      </c>
      <c r="I19" s="15">
        <v>42648.214050925926</v>
      </c>
      <c r="J19" s="7">
        <v>0</v>
      </c>
      <c r="K19" s="117" t="str">
        <f t="shared" si="0"/>
        <v>4007/4008</v>
      </c>
      <c r="L19" s="24" t="str">
        <f>VLOOKUP(A19,'Trips&amp;Operators'!$C$1:$E$10000,3,FALSE)</f>
        <v>SPECTOR</v>
      </c>
      <c r="M19" s="6">
        <f t="shared" si="1"/>
        <v>2.6354166664532386E-2</v>
      </c>
      <c r="N19" s="7">
        <f t="shared" si="2"/>
        <v>37.949999996926636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59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03:24:07-0600',mode:absolute,to:'2016-10-05 06:08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9" s="54" t="str">
        <f t="shared" si="6"/>
        <v>N</v>
      </c>
      <c r="X19" s="164">
        <f t="shared" si="7"/>
        <v>1</v>
      </c>
      <c r="Y19" s="69">
        <f t="shared" si="8"/>
        <v>4.3299999999999998E-2</v>
      </c>
      <c r="Z19" s="69">
        <f t="shared" si="18"/>
        <v>23.331499999999998</v>
      </c>
      <c r="AA19" s="69">
        <f t="shared" si="9"/>
        <v>23.2882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 t="shared" si="10"/>
        <v>0107-05</v>
      </c>
      <c r="AE19" s="95" t="str">
        <f t="shared" si="11"/>
        <v>aws s3 cp s3://rtdc.mdm.uploadarchive.raw/RTDC4007/ "%USERPROFILE%\AppData\Local\Temp\OnboardLogs"\RTDC4007\2016-10-05 --exclude "*" --recursive --include "*20161005*" &amp; "%USERPROFILE%\Documents\GitHub\mrs-test-scripts\Headless Mode &amp; Sideloading\WalkAndUnGZ.bat" "%USERPROFILE%\AppData\Local\Temp\OnboardLogs"\RTDC4007\2016-10-05 &amp; 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</v>
      </c>
      <c r="AF19" s="92" t="str">
        <f t="shared" si="12"/>
        <v>"C:\Program Files (x86)\AstroGrep\AstroGrep.exe" /spath="%USERPROFILE%\AppData\Local\Temp\OnboardLogs" /stypes="app*4007*20161005*" /stext=" 11:.+((SYSTEM_STATE.+slice.+state.+changed )|(ment ac)|(system.+state.+changed )|(\[timeout)|(PRM\|1\|D)|(kpr)|(kdp)|(\|lc)|(penalty))" /e /r /s</v>
      </c>
      <c r="AG19" s="1" t="str">
        <f t="shared" si="13"/>
        <v>EC</v>
      </c>
      <c r="AH19" s="96" t="str">
        <f t="shared" si="16"/>
        <v>"%USERPROFILE%\Documents\GitHub\eaglep3\Utilities\RefineRTDCRunTimes.py" --tripid 107-05 --locoid 4007 --swversion DE.1.0.7.0 --startMP 204:433 --initTime 2016-10-05T04:24:07 --startdatetime 2016-10-05T04:30:17 --delay 1 --endMP 204:233315 --enddatetime 2016-10-05T05:08:14 --enforcementcount 0 &gt;&gt;C:\Users\stu\Documents\GitHub\eaglep3-reporting\EC\2016-10-05-refined-times.txt</v>
      </c>
      <c r="AI19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{"issue":{"subject":"","project_id":79,"tracker_id":40,"status_id":1,"priority_id":2,"assigned_to_id":23,"start_date":"2016-10-05","description":"","custom_fields":[{"id":1,"name":"Subdivision","value":"EC"},{"id":4,"name":"Milepost","value":"23.3315"},{"id":17,"name":"Train ID","value":"107-05"},{"id":16,"name":"Locomotive ID","value":"4007"},{"id":130,"name":"Impact","value":""},{"id":150,"name":"Time of Event (Mountain Time)","value":"05:08:14"},{"id":151,"name":"Denver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448</v>
      </c>
      <c r="B20" s="7">
        <v>4008</v>
      </c>
      <c r="C20" s="24" t="s">
        <v>106</v>
      </c>
      <c r="D20" s="24" t="s">
        <v>323</v>
      </c>
      <c r="E20" s="15">
        <v>42648.224143518521</v>
      </c>
      <c r="F20" s="15">
        <v>42648.2265625</v>
      </c>
      <c r="G20" s="7">
        <v>1</v>
      </c>
      <c r="H20" s="15" t="s">
        <v>212</v>
      </c>
      <c r="I20" s="15">
        <v>42648.253819444442</v>
      </c>
      <c r="J20" s="7">
        <v>0</v>
      </c>
      <c r="K20" s="117" t="str">
        <f t="shared" si="0"/>
        <v>4007/4008</v>
      </c>
      <c r="L20" s="24" t="str">
        <f>VLOOKUP(A20,'Trips&amp;Operators'!$C$1:$E$10000,3,FALSE)</f>
        <v>SPECTOR</v>
      </c>
      <c r="M20" s="6">
        <f t="shared" si="1"/>
        <v>2.7256944442342501E-2</v>
      </c>
      <c r="N20" s="7">
        <f t="shared" si="2"/>
        <v>39.249999996973202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59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04:22:46-0600',mode:absolute,to:'2016-10-05 07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0" s="54" t="str">
        <f t="shared" si="6"/>
        <v>N</v>
      </c>
      <c r="X20" s="164">
        <f t="shared" si="7"/>
        <v>1</v>
      </c>
      <c r="Y20" s="69">
        <f t="shared" si="8"/>
        <v>23.3002</v>
      </c>
      <c r="Z20" s="69">
        <f t="shared" si="18"/>
        <v>1.4500000000000001E-2</v>
      </c>
      <c r="AA20" s="69">
        <f t="shared" si="9"/>
        <v>23.285699999999999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 t="shared" si="10"/>
        <v>0108-05</v>
      </c>
      <c r="AE20" s="95" t="str">
        <f t="shared" si="11"/>
        <v>aws s3 cp s3://rtdc.mdm.uploadarchive.raw/RTDC4008/ "%USERPROFILE%\AppData\Local\Temp\OnboardLogs"\RTDC4008\2016-10-05 --exclude "*" --recursive --include "*20161005*" &amp; "%USERPROFILE%\Documents\GitHub\mrs-test-scripts\Headless Mode &amp; Sideloading\WalkAndUnGZ.bat" "%USERPROFILE%\AppData\Local\Temp\OnboardLogs"\RTDC4008\2016-10-05 &amp; 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</v>
      </c>
      <c r="AF20" s="92" t="str">
        <f t="shared" si="12"/>
        <v>"C:\Program Files (x86)\AstroGrep\AstroGrep.exe" /spath="%USERPROFILE%\AppData\Local\Temp\OnboardLogs" /stypes="app*4008*20161005*" /stext=" 12:.+((SYSTEM_STATE.+slice.+state.+changed )|(ment ac)|(system.+state.+changed )|(\[timeout)|(PRM\|1\|D)|(kpr)|(kdp)|(\|lc)|(penalty))" /e /r /s</v>
      </c>
      <c r="AG20" s="1" t="str">
        <f t="shared" si="13"/>
        <v>EC</v>
      </c>
      <c r="AH20" s="96" t="str">
        <f t="shared" si="16"/>
        <v>"%USERPROFILE%\Documents\GitHub\eaglep3\Utilities\RefineRTDCRunTimes.py" --tripid 108-05 --locoid 4008 --swversion DE.1.0.7.0 --startMP 204:233002 --initTime 2016-10-05T05:22:46 --startdatetime 2016-10-05T05:26:15 --delay 1 --endMP 204:145 --enddatetime 2016-10-05T06:05:30 --enforcementcount 0 &gt;&gt;C:\Users\stu\Documents\GitHub\eaglep3-reporting\EC\2016-10-05-refined-times.txt</v>
      </c>
      <c r="AI20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{"issue":{"subject":"","project_id":79,"tracker_id":40,"status_id":1,"priority_id":2,"assigned_to_id":23,"start_date":"2016-10-05","description":"","custom_fields":[{"id":1,"name":"Subdivision","value":"EC"},{"id":4,"name":"Milepost","value":"0.0145"},{"id":17,"name":"Train ID","value":"108-05"},{"id":16,"name":"Locomotive ID","value":"4008"},{"id":130,"name":"Impact","value":""},{"id":150,"name":"Time of Event (Mountain Time)","value":"06:05:30"},{"id":151,"name":"Denver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441</v>
      </c>
      <c r="B21" s="7">
        <v>4018</v>
      </c>
      <c r="C21" s="24" t="s">
        <v>106</v>
      </c>
      <c r="D21" s="24" t="s">
        <v>199</v>
      </c>
      <c r="E21" s="15">
        <v>42648.187523148146</v>
      </c>
      <c r="F21" s="15">
        <v>42648.198136574072</v>
      </c>
      <c r="G21" s="7">
        <v>1</v>
      </c>
      <c r="H21" s="15" t="s">
        <v>227</v>
      </c>
      <c r="I21" s="15">
        <v>42648.223483796297</v>
      </c>
      <c r="J21" s="7">
        <v>0</v>
      </c>
      <c r="K21" s="117" t="str">
        <f t="shared" si="0"/>
        <v>4017/4018</v>
      </c>
      <c r="L21" s="24" t="str">
        <f>VLOOKUP(A21,'Trips&amp;Operators'!$C$1:$E$10000,3,FALSE)</f>
        <v>KILLION</v>
      </c>
      <c r="M21" s="6">
        <f t="shared" si="1"/>
        <v>2.5347222224809229E-2</v>
      </c>
      <c r="N21" s="7">
        <f t="shared" si="2"/>
        <v>36.50000000372529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59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03:30:02-0600',mode:absolute,to:'2016-10-05 06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" s="54" t="str">
        <f t="shared" si="6"/>
        <v>N</v>
      </c>
      <c r="X21" s="164">
        <f t="shared" si="7"/>
        <v>1</v>
      </c>
      <c r="Y21" s="69">
        <f t="shared" si="8"/>
        <v>4.5699999999999998E-2</v>
      </c>
      <c r="Z21" s="69">
        <f t="shared" si="18"/>
        <v>23.3293</v>
      </c>
      <c r="AA21" s="69">
        <f t="shared" si="9"/>
        <v>23.2836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 t="shared" si="10"/>
        <v>0109-05</v>
      </c>
      <c r="AE21" s="95" t="str">
        <f t="shared" si="11"/>
        <v>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 &amp; aws s3 cp s3://rtdc.mdm.uploadarchive.raw/RTDC4018/ "%USERPROFILE%\AppData\Local\Temp\OnboardLogs"\RTDC4018\2016-10-06 --exclude "*" --recursive --include "*20161006*" &amp; "%USERPROFILE%\Documents\GitHub\mrs-test-scripts\Headless Mode &amp; Sideloading\WalkAndUnGZ.bat" "%USERPROFILE%\AppData\Local\Temp\OnboardLogs"\RTDC4018\2016-10-06</v>
      </c>
      <c r="AF21" s="92" t="str">
        <f t="shared" si="12"/>
        <v>"C:\Program Files (x86)\AstroGrep\AstroGrep.exe" /spath="%USERPROFILE%\AppData\Local\Temp\OnboardLogs" /stypes="app*4018*20161005*" /stext=" 11:.+((SYSTEM_STATE.+slice.+state.+changed )|(ment ac)|(system.+state.+changed )|(\[timeout)|(PRM\|1\|D)|(kpr)|(kdp)|(\|lc)|(penalty))" /e /r /s</v>
      </c>
      <c r="AG21" s="1" t="str">
        <f t="shared" si="13"/>
        <v>EC</v>
      </c>
      <c r="AH21" s="96" t="str">
        <f t="shared" si="16"/>
        <v>"%USERPROFILE%\Documents\GitHub\eaglep3\Utilities\RefineRTDCRunTimes.py" --tripid 109-05 --locoid 4018 --swversion DE.1.0.7.0 --startMP 204:457 --initTime 2016-10-05T04:30:02 --startdatetime 2016-10-05T04:45:19 --delay 1 --endMP 204:233293 --enddatetime 2016-10-05T05:21:49 --enforcementcount 0 &gt;&gt;C:\Users\stu\Documents\GitHub\eaglep3-reporting\EC\2016-10-05-refined-times.txt</v>
      </c>
      <c r="AI21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{"issue":{"subject":"","project_id":79,"tracker_id":40,"status_id":1,"priority_id":2,"assigned_to_id":23,"start_date":"2016-10-05","description":"","custom_fields":[{"id":1,"name":"Subdivision","value":"EC"},{"id":4,"name":"Milepost","value":"23.3293"},{"id":17,"name":"Train ID","value":"109-05"},{"id":16,"name":"Locomotive ID","value":"4018"},{"id":130,"name":"Impact","value":""},{"id":150,"name":"Time of Event (Mountain Time)","value":"05:21:49"},{"id":151,"name":"Denver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450</v>
      </c>
      <c r="B22" s="7">
        <v>4017</v>
      </c>
      <c r="C22" s="24" t="s">
        <v>106</v>
      </c>
      <c r="D22" s="24" t="s">
        <v>247</v>
      </c>
      <c r="E22" s="15">
        <v>42648.230937499997</v>
      </c>
      <c r="F22" s="15">
        <v>42648.237002314818</v>
      </c>
      <c r="G22" s="7">
        <v>1</v>
      </c>
      <c r="H22" s="15" t="s">
        <v>196</v>
      </c>
      <c r="I22" s="15">
        <v>42648.265138888892</v>
      </c>
      <c r="J22" s="7">
        <v>0</v>
      </c>
      <c r="K22" s="117" t="str">
        <f t="shared" si="0"/>
        <v>4017/4018</v>
      </c>
      <c r="L22" s="24" t="str">
        <f>VLOOKUP(A22,'Trips&amp;Operators'!$C$1:$E$10000,3,FALSE)</f>
        <v>KILLION</v>
      </c>
      <c r="M22" s="6">
        <f t="shared" si="1"/>
        <v>2.8136574073869269E-2</v>
      </c>
      <c r="N22" s="7">
        <f t="shared" si="2"/>
        <v>40.516666666371748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59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04:32:33-0600',mode:absolute,to:'2016-10-05 07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2" s="54" t="str">
        <f t="shared" si="6"/>
        <v>N</v>
      </c>
      <c r="X22" s="164">
        <f t="shared" si="7"/>
        <v>1</v>
      </c>
      <c r="Y22" s="69">
        <f t="shared" si="8"/>
        <v>23.296900000000001</v>
      </c>
      <c r="Z22" s="69">
        <f t="shared" si="18"/>
        <v>1.4999999999999999E-2</v>
      </c>
      <c r="AA22" s="69">
        <f t="shared" si="9"/>
        <v>23.2819</v>
      </c>
      <c r="AB22" s="66" t="e">
        <f>VLOOKUP(A22,Enforcements!$C$7:$K$21,8,0)</f>
        <v>#N/A</v>
      </c>
      <c r="AC22" s="62" t="e">
        <f>VLOOKUP(A22,Enforcements!$C$7:$E$21,3,0)</f>
        <v>#N/A</v>
      </c>
      <c r="AD22" s="63" t="str">
        <f t="shared" si="10"/>
        <v>0110-05</v>
      </c>
      <c r="AE22" s="95" t="str">
        <f t="shared" si="11"/>
        <v>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 &amp; aws s3 cp s3://rtdc.mdm.uploadarchive.raw/RTDC4017/ "%USERPROFILE%\AppData\Local\Temp\OnboardLogs"\RTDC4017\2016-10-06 --exclude "*" --recursive --include "*20161006*" &amp; "%USERPROFILE%\Documents\GitHub\mrs-test-scripts\Headless Mode &amp; Sideloading\WalkAndUnGZ.bat" "%USERPROFILE%\AppData\Local\Temp\OnboardLogs"\RTDC4017\2016-10-06</v>
      </c>
      <c r="AF22" s="92" t="str">
        <f t="shared" si="12"/>
        <v>"C:\Program Files (x86)\AstroGrep\AstroGrep.exe" /spath="%USERPROFILE%\AppData\Local\Temp\OnboardLogs" /stypes="app*4017*20161005*" /stext=" 12:.+((SYSTEM_STATE.+slice.+state.+changed )|(ment ac)|(system.+state.+changed )|(\[timeout)|(PRM\|1\|D)|(kpr)|(kdp)|(\|lc)|(penalty))" /e /r /s</v>
      </c>
      <c r="AG22" s="1" t="str">
        <f t="shared" si="13"/>
        <v>EC</v>
      </c>
      <c r="AH22" s="96" t="str">
        <f t="shared" si="16"/>
        <v>"%USERPROFILE%\Documents\GitHub\eaglep3\Utilities\RefineRTDCRunTimes.py" --tripid 110-05 --locoid 4017 --swversion DE.1.0.7.0 --startMP 204:232969 --initTime 2016-10-05T05:32:33 --startdatetime 2016-10-05T05:41:17 --delay 1 --endMP 204:150 --enddatetime 2016-10-05T06:21:48 --enforcementcount 0 &gt;&gt;C:\Users\stu\Documents\GitHub\eaglep3-reporting\EC\2016-10-05-refined-times.txt</v>
      </c>
      <c r="AI22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{"issue":{"subject":"","project_id":79,"tracker_id":40,"status_id":1,"priority_id":2,"assigned_to_id":23,"start_date":"2016-10-05","description":"","custom_fields":[{"id":1,"name":"Subdivision","value":"EC"},{"id":4,"name":"Milepost","value":"0.015"},{"id":17,"name":"Train ID","value":"110-05"},{"id":16,"name":"Locomotive ID","value":"4017"},{"id":130,"name":"Impact","value":""},{"id":150,"name":"Time of Event (Mountain Time)","value":"06:21:48"},{"id":151,"name":"Denver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444</v>
      </c>
      <c r="B23" s="7">
        <v>4003</v>
      </c>
      <c r="C23" s="24" t="s">
        <v>106</v>
      </c>
      <c r="D23" s="24" t="s">
        <v>619</v>
      </c>
      <c r="E23" s="15">
        <v>42648.20648148148</v>
      </c>
      <c r="F23" s="15">
        <v>42648.208622685182</v>
      </c>
      <c r="G23" s="7">
        <v>1</v>
      </c>
      <c r="H23" s="15" t="s">
        <v>326</v>
      </c>
      <c r="I23" s="15">
        <v>42648.234224537038</v>
      </c>
      <c r="J23" s="7">
        <v>0</v>
      </c>
      <c r="K23" s="117" t="str">
        <f t="shared" si="0"/>
        <v>4003/4004</v>
      </c>
      <c r="L23" s="24" t="str">
        <f>VLOOKUP(A23,'Trips&amp;Operators'!$C$1:$E$10000,3,FALSE)</f>
        <v>ROCHA</v>
      </c>
      <c r="M23" s="6">
        <f t="shared" si="1"/>
        <v>2.5601851855753921E-2</v>
      </c>
      <c r="N23" s="7">
        <f t="shared" si="2"/>
        <v>36.866666672285646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59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03:57:20-0600',mode:absolute,to:'2016-10-05 06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3" s="54" t="str">
        <f t="shared" si="6"/>
        <v>N</v>
      </c>
      <c r="X23" s="164">
        <f t="shared" si="7"/>
        <v>1</v>
      </c>
      <c r="Y23" s="69">
        <f t="shared" si="8"/>
        <v>7.5200000000000003E-2</v>
      </c>
      <c r="Z23" s="69">
        <f t="shared" si="18"/>
        <v>23.331700000000001</v>
      </c>
      <c r="AA23" s="69">
        <f t="shared" si="9"/>
        <v>23.256500000000003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 t="shared" si="10"/>
        <v>0111-05</v>
      </c>
      <c r="AE23" s="95" t="str">
        <f t="shared" si="11"/>
        <v>aws s3 cp s3://rtdc.mdm.uploadarchive.raw/RTDC4003/ "%USERPROFILE%\AppData\Local\Temp\OnboardLogs"\RTDC4003\2016-10-05 --exclude "*" --recursive --include "*20161005*" &amp; "%USERPROFILE%\Documents\GitHub\mrs-test-scripts\Headless Mode &amp; Sideloading\WalkAndUnGZ.bat" "%USERPROFILE%\AppData\Local\Temp\OnboardLogs"\RTDC4003\2016-10-05 &amp; aws s3 cp s3://rtdc.mdm.uploadarchive.raw/RTDC4003/ "%USERPROFILE%\AppData\Local\Temp\OnboardLogs"\RTDC4003\2016-10-06 --exclude "*" --recursive --include "*20161006*" &amp; "%USERPROFILE%\Documents\GitHub\mrs-test-scripts\Headless Mode &amp; Sideloading\WalkAndUnGZ.bat" "%USERPROFILE%\AppData\Local\Temp\OnboardLogs"\RTDC4003\2016-10-06</v>
      </c>
      <c r="AF23" s="92" t="str">
        <f t="shared" si="12"/>
        <v>"C:\Program Files (x86)\AstroGrep\AstroGrep.exe" /spath="%USERPROFILE%\AppData\Local\Temp\OnboardLogs" /stypes="app*4003*20161005*" /stext=" 11:.+((SYSTEM_STATE.+slice.+state.+changed )|(ment ac)|(system.+state.+changed )|(\[timeout)|(PRM\|1\|D)|(kpr)|(kdp)|(\|lc)|(penalty))" /e /r /s</v>
      </c>
      <c r="AG23" s="1" t="str">
        <f t="shared" si="13"/>
        <v>EC</v>
      </c>
      <c r="AH23" s="96" t="str">
        <f t="shared" si="16"/>
        <v>"%USERPROFILE%\Documents\GitHub\eaglep3\Utilities\RefineRTDCRunTimes.py" --tripid 111-05 --locoid 4003 --swversion DE.1.0.7.0 --startMP 204:752 --initTime 2016-10-05T04:57:20 --startdatetime 2016-10-05T05:00:25 --delay 1 --endMP 204:233317 --enddatetime 2016-10-05T05:37:17 --enforcementcount 0 &gt;&gt;C:\Users\stu\Documents\GitHub\eaglep3-reporting\EC\2016-10-05-refined-times.txt</v>
      </c>
      <c r="AI23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{"issue":{"subject":"","project_id":79,"tracker_id":40,"status_id":1,"priority_id":2,"assigned_to_id":23,"start_date":"2016-10-05","description":"","custom_fields":[{"id":1,"name":"Subdivision","value":"EC"},{"id":4,"name":"Milepost","value":"23.3317"},{"id":17,"name":"Train ID","value":"111-05"},{"id":16,"name":"Locomotive ID","value":"4003"},{"id":130,"name":"Impact","value":""},{"id":150,"name":"Time of Event (Mountain Time)","value":"05:37:17"},{"id":151,"name":"Denver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454</v>
      </c>
      <c r="B24" s="7">
        <v>4004</v>
      </c>
      <c r="C24" s="24" t="s">
        <v>106</v>
      </c>
      <c r="D24" s="24" t="s">
        <v>620</v>
      </c>
      <c r="E24" s="15">
        <v>42648.245439814818</v>
      </c>
      <c r="F24" s="15">
        <v>42648.248194444444</v>
      </c>
      <c r="G24" s="7">
        <v>2</v>
      </c>
      <c r="H24" s="15" t="s">
        <v>196</v>
      </c>
      <c r="I24" s="15">
        <v>42648.275833333333</v>
      </c>
      <c r="J24" s="7">
        <v>0</v>
      </c>
      <c r="K24" s="117" t="str">
        <f t="shared" si="0"/>
        <v>4003/4004</v>
      </c>
      <c r="L24" s="24" t="str">
        <f>VLOOKUP(A24,'Trips&amp;Operators'!$C$1:$E$10000,3,FALSE)</f>
        <v>ROCHA</v>
      </c>
      <c r="M24" s="6">
        <f t="shared" si="1"/>
        <v>2.7638888888759539E-2</v>
      </c>
      <c r="N24" s="7">
        <f t="shared" si="2"/>
        <v>39.799999999813735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59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04:53:26-0600',mode:absolute,to:'2016-10-05 07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4" s="54" t="str">
        <f t="shared" si="6"/>
        <v>N</v>
      </c>
      <c r="X24" s="164">
        <f t="shared" si="7"/>
        <v>1</v>
      </c>
      <c r="Y24" s="69">
        <f t="shared" si="8"/>
        <v>23.297599999999999</v>
      </c>
      <c r="Z24" s="69">
        <f t="shared" si="18"/>
        <v>1.4999999999999999E-2</v>
      </c>
      <c r="AA24" s="69">
        <f t="shared" si="9"/>
        <v>23.282599999999999</v>
      </c>
      <c r="AB24" s="66" t="e">
        <f>VLOOKUP(A24,Enforcements!$C$7:$K$21,8,0)</f>
        <v>#N/A</v>
      </c>
      <c r="AC24" s="62" t="e">
        <f>VLOOKUP(A24,Enforcements!$C$7:$E$21,3,0)</f>
        <v>#N/A</v>
      </c>
      <c r="AD24" s="63" t="str">
        <f t="shared" si="10"/>
        <v>0112-05</v>
      </c>
      <c r="AE24" s="95" t="str">
        <f t="shared" si="11"/>
        <v>aws s3 cp s3://rtdc.mdm.uploadarchive.raw/RTDC4004/ "%USERPROFILE%\AppData\Local\Temp\OnboardLogs"\RTDC4004\2016-10-05 --exclude "*" --recursive --include "*20161005*" &amp; "%USERPROFILE%\Documents\GitHub\mrs-test-scripts\Headless Mode &amp; Sideloading\WalkAndUnGZ.bat" "%USERPROFILE%\AppData\Local\Temp\OnboardLogs"\RTDC4004\2016-10-05 &amp; aws s3 cp s3://rtdc.mdm.uploadarchive.raw/RTDC4004/ "%USERPROFILE%\AppData\Local\Temp\OnboardLogs"\RTDC4004\2016-10-06 --exclude "*" --recursive --include "*20161006*" &amp; "%USERPROFILE%\Documents\GitHub\mrs-test-scripts\Headless Mode &amp; Sideloading\WalkAndUnGZ.bat" "%USERPROFILE%\AppData\Local\Temp\OnboardLogs"\RTDC4004\2016-10-06</v>
      </c>
      <c r="AF24" s="92" t="str">
        <f t="shared" si="12"/>
        <v>"C:\Program Files (x86)\AstroGrep\AstroGrep.exe" /spath="%USERPROFILE%\AppData\Local\Temp\OnboardLogs" /stypes="app*4004*20161005*" /stext=" 12:.+((SYSTEM_STATE.+slice.+state.+changed )|(ment ac)|(system.+state.+changed )|(\[timeout)|(PRM\|1\|D)|(kpr)|(kdp)|(\|lc)|(penalty))" /e /r /s</v>
      </c>
      <c r="AG24" s="1" t="str">
        <f t="shared" si="13"/>
        <v>EC</v>
      </c>
      <c r="AH24" s="96" t="str">
        <f t="shared" si="16"/>
        <v>"%USERPROFILE%\Documents\GitHub\eaglep3\Utilities\RefineRTDCRunTimes.py" --tripid 112-05 --locoid 4004 --swversion DE.1.0.7.0 --startMP 204:232976 --initTime 2016-10-05T05:53:26 --startdatetime 2016-10-05T05:57:24 --delay 2 --endMP 204:150 --enddatetime 2016-10-05T06:37:12 --enforcementcount 0 &gt;&gt;C:\Users\stu\Documents\GitHub\eaglep3-reporting\EC\2016-10-05-refined-times.txt</v>
      </c>
      <c r="AI24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{"issue":{"subject":"","project_id":79,"tracker_id":40,"status_id":1,"priority_id":2,"assigned_to_id":23,"start_date":"2016-10-05","description":"","custom_fields":[{"id":1,"name":"Subdivision","value":"EC"},{"id":4,"name":"Milepost","value":"0.015"},{"id":17,"name":"Train ID","value":"112-05"},{"id":16,"name":"Locomotive ID","value":"4004"},{"id":130,"name":"Impact","value":""},{"id":150,"name":"Time of Event (Mountain Time)","value":"06:37:12"},{"id":151,"name":"Denver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447</v>
      </c>
      <c r="B25" s="7">
        <v>4027</v>
      </c>
      <c r="C25" s="24" t="s">
        <v>106</v>
      </c>
      <c r="D25" s="24" t="s">
        <v>621</v>
      </c>
      <c r="E25" s="15">
        <v>42648.215844907405</v>
      </c>
      <c r="F25" s="15">
        <v>42648.218993055554</v>
      </c>
      <c r="G25" s="7">
        <v>1</v>
      </c>
      <c r="H25" s="15" t="s">
        <v>214</v>
      </c>
      <c r="I25" s="15">
        <v>42648.244606481479</v>
      </c>
      <c r="J25" s="7">
        <v>0</v>
      </c>
      <c r="K25" s="117" t="str">
        <f t="shared" si="0"/>
        <v>4027/4028</v>
      </c>
      <c r="L25" s="24" t="str">
        <f>VLOOKUP(A25,'Trips&amp;Operators'!$C$1:$E$10000,3,FALSE)</f>
        <v>MAELZER</v>
      </c>
      <c r="M25" s="6">
        <f t="shared" si="1"/>
        <v>2.5613425925257616E-2</v>
      </c>
      <c r="N25" s="7">
        <f t="shared" si="2"/>
        <v>36.883333332370967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59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04:10:49-0600',mode:absolute,to:'2016-10-05 06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5" s="54" t="str">
        <f t="shared" si="6"/>
        <v>N</v>
      </c>
      <c r="X25" s="164">
        <f t="shared" si="7"/>
        <v>1</v>
      </c>
      <c r="Y25" s="69">
        <f t="shared" si="8"/>
        <v>4.1599999999999998E-2</v>
      </c>
      <c r="Z25" s="69">
        <f t="shared" si="18"/>
        <v>23.331199999999999</v>
      </c>
      <c r="AA25" s="69">
        <f t="shared" si="9"/>
        <v>23.2896</v>
      </c>
      <c r="AB25" s="66" t="e">
        <f>VLOOKUP(A25,Enforcements!$C$7:$K$21,8,0)</f>
        <v>#N/A</v>
      </c>
      <c r="AC25" s="62" t="e">
        <f>VLOOKUP(A25,Enforcements!$C$7:$E$21,3,0)</f>
        <v>#N/A</v>
      </c>
      <c r="AD25" s="63" t="str">
        <f t="shared" si="10"/>
        <v>0113-05</v>
      </c>
      <c r="AE25" s="95" t="str">
        <f t="shared" si="11"/>
        <v>aws s3 cp s3://rtdc.mdm.uploadarchive.raw/RTDC4027/ "%USERPROFILE%\AppData\Local\Temp\OnboardLogs"\RTDC4027\2016-10-05 --exclude "*" --recursive --include "*20161005*" &amp; "%USERPROFILE%\Documents\GitHub\mrs-test-scripts\Headless Mode &amp; Sideloading\WalkAndUnGZ.bat" "%USERPROFILE%\AppData\Local\Temp\OnboardLogs"\RTDC4027\2016-10-05 &amp; aws s3 cp s3://rtdc.mdm.uploadarchive.raw/RTDC4027/ "%USERPROFILE%\AppData\Local\Temp\OnboardLogs"\RTDC4027\2016-10-06 --exclude "*" --recursive --include "*20161006*" &amp; "%USERPROFILE%\Documents\GitHub\mrs-test-scripts\Headless Mode &amp; Sideloading\WalkAndUnGZ.bat" "%USERPROFILE%\AppData\Local\Temp\OnboardLogs"\RTDC4027\2016-10-06</v>
      </c>
      <c r="AF25" s="92" t="str">
        <f t="shared" si="12"/>
        <v>"C:\Program Files (x86)\AstroGrep\AstroGrep.exe" /spath="%USERPROFILE%\AppData\Local\Temp\OnboardLogs" /stypes="app*4027*20161005*" /stext=" 11:.+((SYSTEM_STATE.+slice.+state.+changed )|(ment ac)|(system.+state.+changed )|(\[timeout)|(PRM\|1\|D)|(kpr)|(kdp)|(\|lc)|(penalty))" /e /r /s</v>
      </c>
      <c r="AG25" s="1" t="str">
        <f t="shared" si="13"/>
        <v>EC</v>
      </c>
      <c r="AH25" s="96" t="str">
        <f t="shared" si="16"/>
        <v>"%USERPROFILE%\Documents\GitHub\eaglep3\Utilities\RefineRTDCRunTimes.py" --tripid 113-05 --locoid 4027 --swversion DE.1.0.7.0 --startMP 204:416 --initTime 2016-10-05T05:10:49 --startdatetime 2016-10-05T05:15:21 --delay 1 --endMP 204:233312 --enddatetime 2016-10-05T05:52:14 --enforcementcount 0 &gt;&gt;C:\Users\stu\Documents\GitHub\eaglep3-reporting\EC\2016-10-05-refined-times.txt</v>
      </c>
      <c r="AI25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{"issue":{"subject":"","project_id":79,"tracker_id":40,"status_id":1,"priority_id":2,"assigned_to_id":23,"start_date":"2016-10-05","description":"","custom_fields":[{"id":1,"name":"Subdivision","value":"EC"},{"id":4,"name":"Milepost","value":"23.3312"},{"id":17,"name":"Train ID","value":"113-05"},{"id":16,"name":"Locomotive ID","value":"4027"},{"id":130,"name":"Impact","value":""},{"id":150,"name":"Time of Event (Mountain Time)","value":"05:52:14"},{"id":151,"name":"Denver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456</v>
      </c>
      <c r="B26" s="7">
        <v>4028</v>
      </c>
      <c r="C26" s="24" t="s">
        <v>106</v>
      </c>
      <c r="D26" s="24" t="s">
        <v>622</v>
      </c>
      <c r="E26" s="15">
        <v>42648.253680555557</v>
      </c>
      <c r="F26" s="15">
        <v>42648.257916666669</v>
      </c>
      <c r="G26" s="7">
        <v>1</v>
      </c>
      <c r="H26" s="15" t="s">
        <v>190</v>
      </c>
      <c r="I26" s="15">
        <v>42648.285416666666</v>
      </c>
      <c r="J26" s="7">
        <v>0</v>
      </c>
      <c r="K26" s="117" t="str">
        <f t="shared" si="0"/>
        <v>4027/4028</v>
      </c>
      <c r="L26" s="24" t="str">
        <f>VLOOKUP(A26,'Trips&amp;Operators'!$C$1:$E$10000,3,FALSE)</f>
        <v>MAELZER</v>
      </c>
      <c r="M26" s="6">
        <f t="shared" si="1"/>
        <v>2.749999999650754E-2</v>
      </c>
      <c r="N26" s="7">
        <f t="shared" si="2"/>
        <v>39.599999994970858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59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05:05:18-0600',mode:absolute,to:'2016-10-05 07:51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6" s="54" t="str">
        <f t="shared" si="6"/>
        <v>N</v>
      </c>
      <c r="X26" s="164">
        <f t="shared" si="7"/>
        <v>1</v>
      </c>
      <c r="Y26" s="69">
        <f t="shared" si="8"/>
        <v>23.298999999999999</v>
      </c>
      <c r="Z26" s="69">
        <f t="shared" si="18"/>
        <v>1.49E-2</v>
      </c>
      <c r="AA26" s="69">
        <f t="shared" si="9"/>
        <v>23.284099999999999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 t="shared" si="10"/>
        <v>0114-05</v>
      </c>
      <c r="AE26" s="95" t="str">
        <f t="shared" si="11"/>
        <v>aws s3 cp s3://rtdc.mdm.uploadarchive.raw/RTDC4028/ "%USERPROFILE%\AppData\Local\Temp\OnboardLogs"\RTDC4028\2016-10-05 --exclude "*" --recursive --include "*20161005*" &amp; "%USERPROFILE%\Documents\GitHub\mrs-test-scripts\Headless Mode &amp; Sideloading\WalkAndUnGZ.bat" "%USERPROFILE%\AppData\Local\Temp\OnboardLogs"\RTDC4028\2016-10-05 &amp; aws s3 cp s3://rtdc.mdm.uploadarchive.raw/RTDC4028/ "%USERPROFILE%\AppData\Local\Temp\OnboardLogs"\RTDC4028\2016-10-06 --exclude "*" --recursive --include "*20161006*" &amp; "%USERPROFILE%\Documents\GitHub\mrs-test-scripts\Headless Mode &amp; Sideloading\WalkAndUnGZ.bat" "%USERPROFILE%\AppData\Local\Temp\OnboardLogs"\RTDC4028\2016-10-06</v>
      </c>
      <c r="AF26" s="92" t="str">
        <f t="shared" si="12"/>
        <v>"C:\Program Files (x86)\AstroGrep\AstroGrep.exe" /spath="%USERPROFILE%\AppData\Local\Temp\OnboardLogs" /stypes="app*4028*20161005*" /stext=" 12:.+((SYSTEM_STATE.+slice.+state.+changed )|(ment ac)|(system.+state.+changed )|(\[timeout)|(PRM\|1\|D)|(kpr)|(kdp)|(\|lc)|(penalty))" /e /r /s</v>
      </c>
      <c r="AG26" s="1" t="str">
        <f t="shared" si="13"/>
        <v>EC</v>
      </c>
      <c r="AH26" s="96" t="str">
        <f t="shared" si="16"/>
        <v>"%USERPROFILE%\Documents\GitHub\eaglep3\Utilities\RefineRTDCRunTimes.py" --tripid 114-05 --locoid 4028 --swversion DE.1.0.7.0 --startMP 204:232990 --initTime 2016-10-05T06:05:18 --startdatetime 2016-10-05T06:11:24 --delay 1 --endMP 204:149 --enddatetime 2016-10-05T06:51:00 --enforcementcount 0 &gt;&gt;C:\Users\stu\Documents\GitHub\eaglep3-reporting\EC\2016-10-05-refined-times.txt</v>
      </c>
      <c r="AI26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{"issue":{"subject":"","project_id":79,"tracker_id":40,"status_id":1,"priority_id":2,"assigned_to_id":23,"start_date":"2016-10-05","description":"","custom_fields":[{"id":1,"name":"Subdivision","value":"EC"},{"id":4,"name":"Milepost","value":"0.0149"},{"id":17,"name":"Train ID","value":"114-05"},{"id":16,"name":"Locomotive ID","value":"4028"},{"id":130,"name":"Impact","value":""},{"id":150,"name":"Time of Event (Mountain Time)","value":"06:51:00"},{"id":151,"name":"Denver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449</v>
      </c>
      <c r="B27" s="7">
        <v>4016</v>
      </c>
      <c r="C27" s="24" t="s">
        <v>106</v>
      </c>
      <c r="D27" s="24" t="s">
        <v>623</v>
      </c>
      <c r="E27" s="15">
        <v>42648.229074074072</v>
      </c>
      <c r="F27" s="15">
        <v>42648.230995370373</v>
      </c>
      <c r="G27" s="7">
        <v>1</v>
      </c>
      <c r="H27" s="15" t="s">
        <v>257</v>
      </c>
      <c r="I27" s="15">
        <v>42648.257314814815</v>
      </c>
      <c r="J27" s="7">
        <v>0</v>
      </c>
      <c r="K27" s="117" t="str">
        <f t="shared" si="0"/>
        <v>4015/4016</v>
      </c>
      <c r="L27" s="24" t="str">
        <f>VLOOKUP(A27,'Trips&amp;Operators'!$C$1:$E$10000,3,FALSE)</f>
        <v>BRANNON</v>
      </c>
      <c r="M27" s="6">
        <f t="shared" si="1"/>
        <v>2.6319444441469386E-2</v>
      </c>
      <c r="N27" s="7">
        <f t="shared" si="2"/>
        <v>37.899999995715916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59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04:29:52-0600',mode:absolute,to:'2016-10-05 07:10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7" s="54" t="str">
        <f t="shared" si="6"/>
        <v>N</v>
      </c>
      <c r="X27" s="164">
        <f t="shared" si="7"/>
        <v>1</v>
      </c>
      <c r="Y27" s="69">
        <f t="shared" si="8"/>
        <v>7.7899999999999997E-2</v>
      </c>
      <c r="Z27" s="69">
        <f t="shared" si="18"/>
        <v>23.3308</v>
      </c>
      <c r="AA27" s="69">
        <f t="shared" si="9"/>
        <v>23.2529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 t="shared" si="10"/>
        <v>0115-05</v>
      </c>
      <c r="AE27" s="95" t="str">
        <f t="shared" si="11"/>
        <v>aws s3 cp s3://rtdc.mdm.uploadarchive.raw/RTDC4016/ "%USERPROFILE%\AppData\Local\Temp\OnboardLogs"\RTDC4016\2016-10-05 --exclude "*" --recursive --include "*20161005*" &amp; "%USERPROFILE%\Documents\GitHub\mrs-test-scripts\Headless Mode &amp; Sideloading\WalkAndUnGZ.bat" "%USERPROFILE%\AppData\Local\Temp\OnboardLogs"\RTDC4016\2016-10-05 &amp; aws s3 cp s3://rtdc.mdm.uploadarchive.raw/RTDC4016/ "%USERPROFILE%\AppData\Local\Temp\OnboardLogs"\RTDC4016\2016-10-06 --exclude "*" --recursive --include "*20161006*" &amp; "%USERPROFILE%\Documents\GitHub\mrs-test-scripts\Headless Mode &amp; Sideloading\WalkAndUnGZ.bat" "%USERPROFILE%\AppData\Local\Temp\OnboardLogs"\RTDC4016\2016-10-06</v>
      </c>
      <c r="AF27" s="92" t="str">
        <f t="shared" si="12"/>
        <v>"C:\Program Files (x86)\AstroGrep\AstroGrep.exe" /spath="%USERPROFILE%\AppData\Local\Temp\OnboardLogs" /stypes="app*4016*20161005*" /stext=" 12:.+((SYSTEM_STATE.+slice.+state.+changed )|(ment ac)|(system.+state.+changed )|(\[timeout)|(PRM\|1\|D)|(kpr)|(kdp)|(\|lc)|(penalty))" /e /r /s</v>
      </c>
      <c r="AG27" s="1" t="str">
        <f t="shared" si="13"/>
        <v>EC</v>
      </c>
      <c r="AH27" s="96" t="str">
        <f t="shared" si="16"/>
        <v>"%USERPROFILE%\Documents\GitHub\eaglep3\Utilities\RefineRTDCRunTimes.py" --tripid 115-05 --locoid 4016 --swversion DE.1.0.7.0 --startMP 204:779 --initTime 2016-10-05T05:29:52 --startdatetime 2016-10-05T05:32:38 --delay 1 --endMP 204:233308 --enddatetime 2016-10-05T06:10:32 --enforcementcount 0 &gt;&gt;C:\Users\stu\Documents\GitHub\eaglep3-reporting\EC\2016-10-05-refined-times.txt</v>
      </c>
      <c r="AI27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{"issue":{"subject":"","project_id":79,"tracker_id":40,"status_id":1,"priority_id":2,"assigned_to_id":23,"start_date":"2016-10-05","description":"","custom_fields":[{"id":1,"name":"Subdivision","value":"EC"},{"id":4,"name":"Milepost","value":"23.3308"},{"id":17,"name":"Train ID","value":"115-05"},{"id":16,"name":"Locomotive ID","value":"4016"},{"id":130,"name":"Impact","value":""},{"id":150,"name":"Time of Event (Mountain Time)","value":"06:10:32"},{"id":151,"name":"Denver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460</v>
      </c>
      <c r="B28" s="7">
        <v>4015</v>
      </c>
      <c r="C28" s="24" t="s">
        <v>106</v>
      </c>
      <c r="D28" s="24" t="s">
        <v>273</v>
      </c>
      <c r="E28" s="15">
        <v>42648.260810185187</v>
      </c>
      <c r="F28" s="15">
        <v>42648.268229166664</v>
      </c>
      <c r="G28" s="7">
        <v>1</v>
      </c>
      <c r="H28" s="15" t="s">
        <v>212</v>
      </c>
      <c r="I28" s="15">
        <v>42648.297442129631</v>
      </c>
      <c r="J28" s="7">
        <v>0</v>
      </c>
      <c r="K28" s="117" t="str">
        <f t="shared" si="0"/>
        <v>4015/4016</v>
      </c>
      <c r="L28" s="24" t="str">
        <f>VLOOKUP(A28,'Trips&amp;Operators'!$C$1:$E$10000,3,FALSE)</f>
        <v>BRANNON</v>
      </c>
      <c r="M28" s="6">
        <f t="shared" si="1"/>
        <v>2.9212962966994382E-2</v>
      </c>
      <c r="N28" s="7">
        <f t="shared" si="2"/>
        <v>42.066666672471911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59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05:15:34-0600',mode:absolute,to:'2016-10-05 08:08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8" s="54" t="str">
        <f t="shared" si="6"/>
        <v>N</v>
      </c>
      <c r="X28" s="164">
        <f t="shared" si="7"/>
        <v>1</v>
      </c>
      <c r="Y28" s="69">
        <f t="shared" si="8"/>
        <v>23.299800000000001</v>
      </c>
      <c r="Z28" s="69">
        <f t="shared" si="18"/>
        <v>1.4500000000000001E-2</v>
      </c>
      <c r="AA28" s="69">
        <f t="shared" si="9"/>
        <v>23.285299999999999</v>
      </c>
      <c r="AB28" s="66" t="e">
        <f>VLOOKUP(A28,Enforcements!$C$7:$K$21,8,0)</f>
        <v>#N/A</v>
      </c>
      <c r="AC28" s="62" t="e">
        <f>VLOOKUP(A28,Enforcements!$C$7:$E$21,3,0)</f>
        <v>#N/A</v>
      </c>
      <c r="AD28" s="63" t="str">
        <f t="shared" si="10"/>
        <v>0116-05</v>
      </c>
      <c r="AE28" s="95" t="str">
        <f t="shared" si="11"/>
        <v>aws s3 cp s3://rtdc.mdm.uploadarchive.raw/RTDC4015/ "%USERPROFILE%\AppData\Local\Temp\OnboardLogs"\RTDC4015\2016-10-05 --exclude "*" --recursive --include "*20161005*" &amp; "%USERPROFILE%\Documents\GitHub\mrs-test-scripts\Headless Mode &amp; Sideloading\WalkAndUnGZ.bat" "%USERPROFILE%\AppData\Local\Temp\OnboardLogs"\RTDC4015\2016-10-05 &amp; aws s3 cp s3://rtdc.mdm.uploadarchive.raw/RTDC4015/ "%USERPROFILE%\AppData\Local\Temp\OnboardLogs"\RTDC4015\2016-10-06 --exclude "*" --recursive --include "*20161006*" &amp; "%USERPROFILE%\Documents\GitHub\mrs-test-scripts\Headless Mode &amp; Sideloading\WalkAndUnGZ.bat" "%USERPROFILE%\AppData\Local\Temp\OnboardLogs"\RTDC4015\2016-10-06</v>
      </c>
      <c r="AF28" s="92" t="str">
        <f t="shared" si="12"/>
        <v>"C:\Program Files (x86)\AstroGrep\AstroGrep.exe" /spath="%USERPROFILE%\AppData\Local\Temp\OnboardLogs" /stypes="app*4015*20161005*" /stext=" 13:.+((SYSTEM_STATE.+slice.+state.+changed )|(ment ac)|(system.+state.+changed )|(\[timeout)|(PRM\|1\|D)|(kpr)|(kdp)|(\|lc)|(penalty))" /e /r /s</v>
      </c>
      <c r="AG28" s="1" t="str">
        <f t="shared" si="13"/>
        <v>EC</v>
      </c>
      <c r="AH28" s="96" t="str">
        <f t="shared" si="16"/>
        <v>"%USERPROFILE%\Documents\GitHub\eaglep3\Utilities\RefineRTDCRunTimes.py" --tripid 116-05 --locoid 4015 --swversion DE.1.0.7.0 --startMP 204:232998 --initTime 2016-10-05T06:15:34 --startdatetime 2016-10-05T06:26:15 --delay 1 --endMP 204:145 --enddatetime 2016-10-05T07:08:19 --enforcementcount 0 &gt;&gt;C:\Users\stu\Documents\GitHub\eaglep3-reporting\EC\2016-10-05-refined-times.txt</v>
      </c>
      <c r="AI28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{"issue":{"subject":"","project_id":79,"tracker_id":40,"status_id":1,"priority_id":2,"assigned_to_id":23,"start_date":"2016-10-05","description":"","custom_fields":[{"id":1,"name":"Subdivision","value":"EC"},{"id":4,"name":"Milepost","value":"0.0145"},{"id":17,"name":"Train ID","value":"116-05"},{"id":16,"name":"Locomotive ID","value":"4015"},{"id":130,"name":"Impact","value":""},{"id":150,"name":"Time of Event (Mountain Time)","value":"07:08:19"},{"id":151,"name":"Denver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451</v>
      </c>
      <c r="B29" s="7">
        <v>4025</v>
      </c>
      <c r="C29" s="24" t="s">
        <v>106</v>
      </c>
      <c r="D29" s="24" t="s">
        <v>337</v>
      </c>
      <c r="E29" s="15">
        <v>42648.231840277775</v>
      </c>
      <c r="F29" s="15">
        <v>42648.23978009259</v>
      </c>
      <c r="G29" s="7">
        <v>1</v>
      </c>
      <c r="H29" s="15" t="s">
        <v>624</v>
      </c>
      <c r="I29" s="15">
        <v>42648.265335648146</v>
      </c>
      <c r="J29" s="7">
        <v>0</v>
      </c>
      <c r="K29" s="117" t="str">
        <f t="shared" si="0"/>
        <v>4025/4026</v>
      </c>
      <c r="L29" s="24" t="str">
        <f>VLOOKUP(A29,'Trips&amp;Operators'!$C$1:$E$10000,3,FALSE)</f>
        <v>ACKERMAN</v>
      </c>
      <c r="M29" s="6">
        <f t="shared" si="1"/>
        <v>2.5555555555911269E-2</v>
      </c>
      <c r="N29" s="7">
        <f t="shared" si="2"/>
        <v>36.800000000512227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59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04:33:51-0600',mode:absolute,to:'2016-10-05 07:22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9" s="54" t="str">
        <f t="shared" si="6"/>
        <v>N</v>
      </c>
      <c r="X29" s="164">
        <f t="shared" si="7"/>
        <v>1</v>
      </c>
      <c r="Y29" s="69">
        <f t="shared" si="8"/>
        <v>4.3099999999999999E-2</v>
      </c>
      <c r="Z29" s="69">
        <f t="shared" si="18"/>
        <v>23.328600000000002</v>
      </c>
      <c r="AA29" s="69">
        <f t="shared" si="9"/>
        <v>23.285500000000003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 t="shared" si="10"/>
        <v>0117-05</v>
      </c>
      <c r="AE29" s="95" t="str">
        <f t="shared" si="11"/>
        <v>aws s3 cp s3://rtdc.mdm.uploadarchive.raw/RTDC4025/ "%USERPROFILE%\AppData\Local\Temp\OnboardLogs"\RTDC4025\2016-10-05 --exclude "*" --recursive --include "*20161005*" &amp; "%USERPROFILE%\Documents\GitHub\mrs-test-scripts\Headless Mode &amp; Sideloading\WalkAndUnGZ.bat" "%USERPROFILE%\AppData\Local\Temp\OnboardLogs"\RTDC4025\2016-10-05 &amp; aws s3 cp s3://rtdc.mdm.uploadarchive.raw/RTDC4025/ "%USERPROFILE%\AppData\Local\Temp\OnboardLogs"\RTDC4025\2016-10-06 --exclude "*" --recursive --include "*20161006*" &amp; "%USERPROFILE%\Documents\GitHub\mrs-test-scripts\Headless Mode &amp; Sideloading\WalkAndUnGZ.bat" "%USERPROFILE%\AppData\Local\Temp\OnboardLogs"\RTDC4025\2016-10-06</v>
      </c>
      <c r="AF29" s="92" t="str">
        <f t="shared" si="12"/>
        <v>"C:\Program Files (x86)\AstroGrep\AstroGrep.exe" /spath="%USERPROFILE%\AppData\Local\Temp\OnboardLogs" /stypes="app*4025*20161005*" /stext=" 12:.+((SYSTEM_STATE.+slice.+state.+changed )|(ment ac)|(system.+state.+changed )|(\[timeout)|(PRM\|1\|D)|(kpr)|(kdp)|(\|lc)|(penalty))" /e /r /s</v>
      </c>
      <c r="AG29" s="1" t="str">
        <f t="shared" si="13"/>
        <v>EC</v>
      </c>
      <c r="AH29" s="96" t="str">
        <f t="shared" si="16"/>
        <v>"%USERPROFILE%\Documents\GitHub\eaglep3\Utilities\RefineRTDCRunTimes.py" --tripid 117-05 --locoid 4025 --swversion DE.1.0.7.0 --startMP 204:431 --initTime 2016-10-05T05:33:51 --startdatetime 2016-10-05T05:45:17 --delay 1 --endMP 204:233286 --enddatetime 2016-10-05T06:22:05 --enforcementcount 0 &gt;&gt;C:\Users\stu\Documents\GitHub\eaglep3-reporting\EC\2016-10-05-refined-times.txt</v>
      </c>
      <c r="AI29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{"issue":{"subject":"","project_id":79,"tracker_id":40,"status_id":1,"priority_id":2,"assigned_to_id":23,"start_date":"2016-10-05","description":"","custom_fields":[{"id":1,"name":"Subdivision","value":"EC"},{"id":4,"name":"Milepost","value":"23.3286"},{"id":17,"name":"Train ID","value":"117-05"},{"id":16,"name":"Locomotive ID","value":"4025"},{"id":130,"name":"Impact","value":""},{"id":150,"name":"Time of Event (Mountain Time)","value":"06:22:05"},{"id":151,"name":"Denver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462</v>
      </c>
      <c r="B30" s="7">
        <v>4026</v>
      </c>
      <c r="C30" s="24" t="s">
        <v>106</v>
      </c>
      <c r="D30" s="24" t="s">
        <v>625</v>
      </c>
      <c r="E30" s="15">
        <v>42648.271226851852</v>
      </c>
      <c r="F30" s="15">
        <v>42648.278703703705</v>
      </c>
      <c r="G30" s="7">
        <v>1</v>
      </c>
      <c r="H30" s="15" t="s">
        <v>209</v>
      </c>
      <c r="I30" s="15">
        <v>42648.306585648148</v>
      </c>
      <c r="J30" s="7">
        <v>0</v>
      </c>
      <c r="K30" s="117" t="str">
        <f t="shared" si="0"/>
        <v>4025/4026</v>
      </c>
      <c r="L30" s="24" t="str">
        <f>VLOOKUP(A30,'Trips&amp;Operators'!$C$1:$E$10000,3,FALSE)</f>
        <v>ACKERMAN</v>
      </c>
      <c r="M30" s="6">
        <f t="shared" si="1"/>
        <v>2.7881944442924578E-2</v>
      </c>
      <c r="N30" s="7">
        <f t="shared" si="2"/>
        <v>40.149999997811392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59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05:30:34-0600',mode:absolute,to:'2016-10-05 08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0" s="54" t="str">
        <f t="shared" si="6"/>
        <v>N</v>
      </c>
      <c r="X30" s="164">
        <f t="shared" si="7"/>
        <v>1</v>
      </c>
      <c r="Y30" s="69">
        <f t="shared" si="8"/>
        <v>23.296099999999999</v>
      </c>
      <c r="Z30" s="69">
        <f t="shared" si="18"/>
        <v>1.5599999999999999E-2</v>
      </c>
      <c r="AA30" s="69">
        <f t="shared" si="9"/>
        <v>23.2805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 t="shared" si="10"/>
        <v>0118-05</v>
      </c>
      <c r="AE30" s="95" t="str">
        <f t="shared" si="11"/>
        <v>aws s3 cp s3://rtdc.mdm.uploadarchive.raw/RTDC4026/ "%USERPROFILE%\AppData\Local\Temp\OnboardLogs"\RTDC4026\2016-10-05 --exclude "*" --recursive --include "*20161005*" &amp; "%USERPROFILE%\Documents\GitHub\mrs-test-scripts\Headless Mode &amp; Sideloading\WalkAndUnGZ.bat" "%USERPROFILE%\AppData\Local\Temp\OnboardLogs"\RTDC4026\2016-10-05 &amp; aws s3 cp s3://rtdc.mdm.uploadarchive.raw/RTDC4026/ "%USERPROFILE%\AppData\Local\Temp\OnboardLogs"\RTDC4026\2016-10-06 --exclude "*" --recursive --include "*20161006*" &amp; "%USERPROFILE%\Documents\GitHub\mrs-test-scripts\Headless Mode &amp; Sideloading\WalkAndUnGZ.bat" "%USERPROFILE%\AppData\Local\Temp\OnboardLogs"\RTDC4026\2016-10-06</v>
      </c>
      <c r="AF30" s="92" t="str">
        <f t="shared" si="12"/>
        <v>"C:\Program Files (x86)\AstroGrep\AstroGrep.exe" /spath="%USERPROFILE%\AppData\Local\Temp\OnboardLogs" /stypes="app*4026*20161005*" /stext=" 13:.+((SYSTEM_STATE.+slice.+state.+changed )|(ment ac)|(system.+state.+changed )|(\[timeout)|(PRM\|1\|D)|(kpr)|(kdp)|(\|lc)|(penalty))" /e /r /s</v>
      </c>
      <c r="AG30" s="1" t="str">
        <f t="shared" si="13"/>
        <v>EC</v>
      </c>
      <c r="AH30" s="96" t="str">
        <f t="shared" si="16"/>
        <v>"%USERPROFILE%\Documents\GitHub\eaglep3\Utilities\RefineRTDCRunTimes.py" --tripid 118-05 --locoid 4026 --swversion DE.1.0.7.0 --startMP 204:232961 --initTime 2016-10-05T06:30:34 --startdatetime 2016-10-05T06:41:20 --delay 1 --endMP 204:156 --enddatetime 2016-10-05T07:21:29 --enforcementcount 0 &gt;&gt;C:\Users\stu\Documents\GitHub\eaglep3-reporting\EC\2016-10-05-refined-times.txt</v>
      </c>
      <c r="AI30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{"issue":{"subject":"","project_id":79,"tracker_id":40,"status_id":1,"priority_id":2,"assigned_to_id":23,"start_date":"2016-10-05","description":"","custom_fields":[{"id":1,"name":"Subdivision","value":"EC"},{"id":4,"name":"Milepost","value":"0.0156"},{"id":17,"name":"Train ID","value":"118-05"},{"id":16,"name":"Locomotive ID","value":"4026"},{"id":130,"name":"Impact","value":""},{"id":150,"name":"Time of Event (Mountain Time)","value":"07:21:29"},{"id":151,"name":"Denver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455</v>
      </c>
      <c r="B31" s="7">
        <v>4009</v>
      </c>
      <c r="C31" s="24" t="s">
        <v>106</v>
      </c>
      <c r="D31" s="24" t="s">
        <v>206</v>
      </c>
      <c r="E31" s="15">
        <v>42648.24732638889</v>
      </c>
      <c r="F31" s="15">
        <v>42648.250277777777</v>
      </c>
      <c r="G31" s="7">
        <v>1</v>
      </c>
      <c r="H31" s="15" t="s">
        <v>265</v>
      </c>
      <c r="I31" s="15">
        <v>42648.278032407405</v>
      </c>
      <c r="J31" s="7">
        <v>0</v>
      </c>
      <c r="K31" s="117" t="str">
        <f t="shared" si="0"/>
        <v>4009/4010</v>
      </c>
      <c r="L31" s="24" t="str">
        <f>VLOOKUP(A31,'Trips&amp;Operators'!$C$1:$E$10000,3,FALSE)</f>
        <v>STRICKLAND</v>
      </c>
      <c r="M31" s="6">
        <f t="shared" si="1"/>
        <v>2.7754629627452232E-2</v>
      </c>
      <c r="N31" s="7">
        <f t="shared" si="2"/>
        <v>39.966666663531214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59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04:56:09-0600',mode:absolute,to:'2016-10-05 07:40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1" s="54" t="str">
        <f t="shared" si="6"/>
        <v>N</v>
      </c>
      <c r="X31" s="164">
        <f t="shared" si="7"/>
        <v>1</v>
      </c>
      <c r="Y31" s="69">
        <f t="shared" si="8"/>
        <v>4.6199999999999998E-2</v>
      </c>
      <c r="Z31" s="69">
        <f t="shared" si="18"/>
        <v>23.328700000000001</v>
      </c>
      <c r="AA31" s="69">
        <f t="shared" si="9"/>
        <v>23.282500000000002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 t="shared" si="10"/>
        <v>0119-05</v>
      </c>
      <c r="AE31" s="95" t="str">
        <f t="shared" si="11"/>
        <v>aws s3 cp s3://rtdc.mdm.uploadarchive.raw/RTDC4009/ "%USERPROFILE%\AppData\Local\Temp\OnboardLogs"\RTDC4009\2016-10-05 --exclude "*" --recursive --include "*20161005*" &amp; "%USERPROFILE%\Documents\GitHub\mrs-test-scripts\Headless Mode &amp; Sideloading\WalkAndUnGZ.bat" "%USERPROFILE%\AppData\Local\Temp\OnboardLogs"\RTDC4009\2016-10-05 &amp; aws s3 cp s3://rtdc.mdm.uploadarchive.raw/RTDC4009/ "%USERPROFILE%\AppData\Local\Temp\OnboardLogs"\RTDC4009\2016-10-06 --exclude "*" --recursive --include "*20161006*" &amp; "%USERPROFILE%\Documents\GitHub\mrs-test-scripts\Headless Mode &amp; Sideloading\WalkAndUnGZ.bat" "%USERPROFILE%\AppData\Local\Temp\OnboardLogs"\RTDC4009\2016-10-06</v>
      </c>
      <c r="AF31" s="92" t="str">
        <f t="shared" si="12"/>
        <v>"C:\Program Files (x86)\AstroGrep\AstroGrep.exe" /spath="%USERPROFILE%\AppData\Local\Temp\OnboardLogs" /stypes="app*4009*20161005*" /stext=" 12:.+((SYSTEM_STATE.+slice.+state.+changed )|(ment ac)|(system.+state.+changed )|(\[timeout)|(PRM\|1\|D)|(kpr)|(kdp)|(\|lc)|(penalty))" /e /r /s</v>
      </c>
      <c r="AG31" s="1" t="str">
        <f t="shared" si="13"/>
        <v>EC</v>
      </c>
      <c r="AH31" s="96" t="str">
        <f t="shared" si="16"/>
        <v>"%USERPROFILE%\Documents\GitHub\eaglep3\Utilities\RefineRTDCRunTimes.py" --tripid 119-05 --locoid 4009 --swversion DE.1.0.7.0 --startMP 204:462 --initTime 2016-10-05T05:56:09 --startdatetime 2016-10-05T06:00:24 --delay 1 --endMP 204:233287 --enddatetime 2016-10-05T06:40:22 --enforcementcount 0 &gt;&gt;C:\Users\stu\Documents\GitHub\eaglep3-reporting\EC\2016-10-05-refined-times.txt</v>
      </c>
      <c r="AI31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{"issue":{"subject":"","project_id":79,"tracker_id":40,"status_id":1,"priority_id":2,"assigned_to_id":23,"start_date":"2016-10-05","description":"","custom_fields":[{"id":1,"name":"Subdivision","value":"EC"},{"id":4,"name":"Milepost","value":"23.3287"},{"id":17,"name":"Train ID","value":"119-05"},{"id":16,"name":"Locomotive ID","value":"4009"},{"id":130,"name":"Impact","value":""},{"id":150,"name":"Time of Event (Mountain Time)","value":"06:40:22"},{"id":151,"name":"Denver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465</v>
      </c>
      <c r="B32" s="7">
        <v>4010</v>
      </c>
      <c r="C32" s="24" t="s">
        <v>106</v>
      </c>
      <c r="D32" s="24" t="s">
        <v>339</v>
      </c>
      <c r="E32" s="15">
        <v>42648.283310185187</v>
      </c>
      <c r="F32" s="15">
        <v>42648.28497685185</v>
      </c>
      <c r="G32" s="7">
        <v>2</v>
      </c>
      <c r="H32" s="15" t="s">
        <v>285</v>
      </c>
      <c r="I32" s="15">
        <v>42648.317939814813</v>
      </c>
      <c r="J32" s="7">
        <v>0</v>
      </c>
      <c r="K32" s="117" t="str">
        <f t="shared" si="0"/>
        <v>4009/4010</v>
      </c>
      <c r="L32" s="24" t="str">
        <f>VLOOKUP(A32,'Trips&amp;Operators'!$C$1:$E$10000,3,FALSE)</f>
        <v>STRICKLAND</v>
      </c>
      <c r="M32" s="6">
        <f t="shared" si="1"/>
        <v>3.2962962963210884E-2</v>
      </c>
      <c r="N32" s="7">
        <f t="shared" si="2"/>
        <v>47.466666667023674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59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05:47:58-0600',mode:absolute,to:'2016-10-05 08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32" s="54" t="str">
        <f t="shared" si="6"/>
        <v>N</v>
      </c>
      <c r="X32" s="164">
        <f t="shared" si="7"/>
        <v>1</v>
      </c>
      <c r="Y32" s="69">
        <f t="shared" si="8"/>
        <v>23.298100000000002</v>
      </c>
      <c r="Z32" s="69">
        <f t="shared" si="18"/>
        <v>1.7600000000000001E-2</v>
      </c>
      <c r="AA32" s="69">
        <f t="shared" si="9"/>
        <v>23.2805</v>
      </c>
      <c r="AB32" s="66" t="e">
        <f>VLOOKUP(A32,Enforcements!$C$7:$K$21,8,0)</f>
        <v>#N/A</v>
      </c>
      <c r="AC32" s="62" t="e">
        <f>VLOOKUP(A32,Enforcements!$C$7:$E$21,3,0)</f>
        <v>#N/A</v>
      </c>
      <c r="AD32" s="63" t="str">
        <f t="shared" si="10"/>
        <v>0120-05</v>
      </c>
      <c r="AE32" s="95" t="str">
        <f t="shared" si="11"/>
        <v>aws s3 cp s3://rtdc.mdm.uploadarchive.raw/RTDC4010/ "%USERPROFILE%\AppData\Local\Temp\OnboardLogs"\RTDC4010\2016-10-05 --exclude "*" --recursive --include "*20161005*" &amp; "%USERPROFILE%\Documents\GitHub\mrs-test-scripts\Headless Mode &amp; Sideloading\WalkAndUnGZ.bat" "%USERPROFILE%\AppData\Local\Temp\OnboardLogs"\RTDC4010\2016-10-05 &amp; aws s3 cp s3://rtdc.mdm.uploadarchive.raw/RTDC4010/ "%USERPROFILE%\AppData\Local\Temp\OnboardLogs"\RTDC4010\2016-10-06 --exclude "*" --recursive --include "*20161006*" &amp; "%USERPROFILE%\Documents\GitHub\mrs-test-scripts\Headless Mode &amp; Sideloading\WalkAndUnGZ.bat" "%USERPROFILE%\AppData\Local\Temp\OnboardLogs"\RTDC4010\2016-10-06</v>
      </c>
      <c r="AF32" s="92" t="str">
        <f t="shared" si="12"/>
        <v>"C:\Program Files (x86)\AstroGrep\AstroGrep.exe" /spath="%USERPROFILE%\AppData\Local\Temp\OnboardLogs" /stypes="app*4010*20161005*" /stext=" 13:.+((SYSTEM_STATE.+slice.+state.+changed )|(ment ac)|(system.+state.+changed )|(\[timeout)|(PRM\|1\|D)|(kpr)|(kdp)|(\|lc)|(penalty))" /e /r /s</v>
      </c>
      <c r="AG32" s="1" t="str">
        <f t="shared" si="13"/>
        <v>EC</v>
      </c>
      <c r="AH32" s="96" t="str">
        <f t="shared" si="16"/>
        <v>"%USERPROFILE%\Documents\GitHub\eaglep3\Utilities\RefineRTDCRunTimes.py" --tripid 120-05 --locoid 4010 --swversion DE.1.0.7.0 --startMP 204:232981 --initTime 2016-10-05T06:47:58 --startdatetime 2016-10-05T06:50:22 --delay 2 --endMP 204:176 --enddatetime 2016-10-05T07:37:50 --enforcementcount 0 &gt;&gt;C:\Users\stu\Documents\GitHub\eaglep3-reporting\EC\2016-10-05-refined-times.txt</v>
      </c>
      <c r="AI32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{"issue":{"subject":"","project_id":79,"tracker_id":40,"status_id":1,"priority_id":2,"assigned_to_id":23,"start_date":"2016-10-05","description":"","custom_fields":[{"id":1,"name":"Subdivision","value":"EC"},{"id":4,"name":"Milepost","value":"0.0176"},{"id":17,"name":"Train ID","value":"120-05"},{"id":16,"name":"Locomotive ID","value":"4010"},{"id":130,"name":"Impact","value":""},{"id":150,"name":"Time of Event (Mountain Time)","value":"07:37:50"},{"id":151,"name":"Denver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458</v>
      </c>
      <c r="B33" s="7">
        <v>4007</v>
      </c>
      <c r="C33" s="24" t="s">
        <v>106</v>
      </c>
      <c r="D33" s="24" t="s">
        <v>202</v>
      </c>
      <c r="E33" s="15">
        <v>42648.257534722223</v>
      </c>
      <c r="F33" s="15">
        <v>42648.260613425926</v>
      </c>
      <c r="G33" s="7">
        <v>1</v>
      </c>
      <c r="H33" s="15" t="s">
        <v>324</v>
      </c>
      <c r="I33" s="15">
        <v>42648.285509259258</v>
      </c>
      <c r="J33" s="7">
        <v>0</v>
      </c>
      <c r="K33" s="117" t="str">
        <f t="shared" si="0"/>
        <v>4007/4008</v>
      </c>
      <c r="L33" s="24" t="str">
        <f>VLOOKUP(A33,'Trips&amp;Operators'!$C$1:$E$10000,3,FALSE)</f>
        <v>SPECTOR</v>
      </c>
      <c r="M33" s="6">
        <f t="shared" si="1"/>
        <v>2.4895833332266193E-2</v>
      </c>
      <c r="N33" s="7">
        <f t="shared" si="2"/>
        <v>35.849999998463318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59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05:10:51-0600',mode:absolute,to:'2016-10-05 07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3" s="54" t="str">
        <f t="shared" si="6"/>
        <v>N</v>
      </c>
      <c r="X33" s="164">
        <f t="shared" si="7"/>
        <v>1</v>
      </c>
      <c r="Y33" s="69">
        <f t="shared" si="8"/>
        <v>4.5499999999999999E-2</v>
      </c>
      <c r="Z33" s="69">
        <f t="shared" si="18"/>
        <v>23.3324</v>
      </c>
      <c r="AA33" s="69">
        <f t="shared" si="9"/>
        <v>23.286899999999999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 t="shared" si="10"/>
        <v>0121-05</v>
      </c>
      <c r="AE33" s="95" t="str">
        <f t="shared" si="11"/>
        <v>aws s3 cp s3://rtdc.mdm.uploadarchive.raw/RTDC4007/ "%USERPROFILE%\AppData\Local\Temp\OnboardLogs"\RTDC4007\2016-10-05 --exclude "*" --recursive --include "*20161005*" &amp; "%USERPROFILE%\Documents\GitHub\mrs-test-scripts\Headless Mode &amp; Sideloading\WalkAndUnGZ.bat" "%USERPROFILE%\AppData\Local\Temp\OnboardLogs"\RTDC4007\2016-10-05 &amp; 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</v>
      </c>
      <c r="AF33" s="92" t="str">
        <f t="shared" si="12"/>
        <v>"C:\Program Files (x86)\AstroGrep\AstroGrep.exe" /spath="%USERPROFILE%\AppData\Local\Temp\OnboardLogs" /stypes="app*4007*20161005*" /stext=" 12:.+((SYSTEM_STATE.+slice.+state.+changed )|(ment ac)|(system.+state.+changed )|(\[timeout)|(PRM\|1\|D)|(kpr)|(kdp)|(\|lc)|(penalty))" /e /r /s</v>
      </c>
      <c r="AG33" s="1" t="str">
        <f t="shared" si="13"/>
        <v>EC</v>
      </c>
      <c r="AH33" s="96" t="str">
        <f t="shared" si="16"/>
        <v>"%USERPROFILE%\Documents\GitHub\eaglep3\Utilities\RefineRTDCRunTimes.py" --tripid 121-05 --locoid 4007 --swversion DE.1.0.7.0 --startMP 204:455 --initTime 2016-10-05T06:10:51 --startdatetime 2016-10-05T06:15:17 --delay 1 --endMP 204:233324 --enddatetime 2016-10-05T06:51:08 --enforcementcount 0 &gt;&gt;C:\Users\stu\Documents\GitHub\eaglep3-reporting\EC\2016-10-05-refined-times.txt</v>
      </c>
      <c r="AI33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{"issue":{"subject":"","project_id":79,"tracker_id":40,"status_id":1,"priority_id":2,"assigned_to_id":23,"start_date":"2016-10-05","description":"","custom_fields":[{"id":1,"name":"Subdivision","value":"EC"},{"id":4,"name":"Milepost","value":"23.3324"},{"id":17,"name":"Train ID","value":"121-05"},{"id":16,"name":"Locomotive ID","value":"4007"},{"id":130,"name":"Impact","value":""},{"id":150,"name":"Time of Event (Mountain Time)","value":"06:51:08"},{"id":151,"name":"Denver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378</v>
      </c>
      <c r="B34" s="7">
        <v>4008</v>
      </c>
      <c r="C34" s="24" t="s">
        <v>106</v>
      </c>
      <c r="D34" s="24" t="s">
        <v>276</v>
      </c>
      <c r="E34" s="15">
        <v>42648.291979166665</v>
      </c>
      <c r="F34" s="15">
        <v>42648.29314814815</v>
      </c>
      <c r="G34" s="7">
        <v>1</v>
      </c>
      <c r="H34" s="15" t="s">
        <v>194</v>
      </c>
      <c r="I34" s="15">
        <v>42648.327141203707</v>
      </c>
      <c r="J34" s="7">
        <v>0</v>
      </c>
      <c r="K34" s="117" t="str">
        <f t="shared" si="0"/>
        <v>4007/4008</v>
      </c>
      <c r="L34" s="24" t="str">
        <f>VLOOKUP(A34,'Trips&amp;Operators'!$C$1:$E$10000,3,FALSE)</f>
        <v>SPECTOR</v>
      </c>
      <c r="M34" s="6">
        <f t="shared" si="1"/>
        <v>3.3993055556493346E-2</v>
      </c>
      <c r="N34" s="7">
        <f t="shared" si="2"/>
        <v>48.950000001350418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59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06:00:27-0600',mode:absolute,to:'2016-10-05 08:51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4" s="54" t="str">
        <f t="shared" si="6"/>
        <v>N</v>
      </c>
      <c r="X34" s="164">
        <f t="shared" si="7"/>
        <v>1</v>
      </c>
      <c r="Y34" s="69">
        <f t="shared" si="8"/>
        <v>23.299399999999999</v>
      </c>
      <c r="Z34" s="69">
        <f t="shared" si="18"/>
        <v>1.47E-2</v>
      </c>
      <c r="AA34" s="69">
        <f t="shared" si="9"/>
        <v>23.284699999999997</v>
      </c>
      <c r="AB34" s="66" t="e">
        <f>VLOOKUP(A34,Enforcements!$C$7:$K$21,8,0)</f>
        <v>#N/A</v>
      </c>
      <c r="AC34" s="62" t="e">
        <f>VLOOKUP(A34,Enforcements!$C$7:$E$21,3,0)</f>
        <v>#N/A</v>
      </c>
      <c r="AD34" s="63" t="str">
        <f t="shared" si="10"/>
        <v>0122-05</v>
      </c>
      <c r="AE34" s="95" t="str">
        <f t="shared" si="11"/>
        <v>aws s3 cp s3://rtdc.mdm.uploadarchive.raw/RTDC4008/ "%USERPROFILE%\AppData\Local\Temp\OnboardLogs"\RTDC4008\2016-10-05 --exclude "*" --recursive --include "*20161005*" &amp; "%USERPROFILE%\Documents\GitHub\mrs-test-scripts\Headless Mode &amp; Sideloading\WalkAndUnGZ.bat" "%USERPROFILE%\AppData\Local\Temp\OnboardLogs"\RTDC4008\2016-10-05 &amp; 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</v>
      </c>
      <c r="AF34" s="92" t="str">
        <f t="shared" si="12"/>
        <v>"C:\Program Files (x86)\AstroGrep\AstroGrep.exe" /spath="%USERPROFILE%\AppData\Local\Temp\OnboardLogs" /stypes="app*4008*20161005*" /stext=" 13:.+((SYSTEM_STATE.+slice.+state.+changed )|(ment ac)|(system.+state.+changed )|(\[timeout)|(PRM\|1\|D)|(kpr)|(kdp)|(\|lc)|(penalty))" /e /r /s</v>
      </c>
      <c r="AG34" s="1" t="str">
        <f t="shared" si="13"/>
        <v>EC</v>
      </c>
      <c r="AH34" s="96" t="str">
        <f t="shared" si="16"/>
        <v>"%USERPROFILE%\Documents\GitHub\eaglep3\Utilities\RefineRTDCRunTimes.py" --tripid 122-05 --locoid 4008 --swversion DE.1.0.7.0 --startMP 204:232994 --initTime 2016-10-05T07:00:27 --startdatetime 2016-10-05T07:02:08 --delay 1 --endMP 204:147 --enddatetime 2016-10-05T07:51:05 --enforcementcount 0 &gt;&gt;C:\Users\stu\Documents\GitHub\eaglep3-reporting\EC\2016-10-05-refined-times.txt</v>
      </c>
      <c r="AI34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{"issue":{"subject":"","project_id":79,"tracker_id":40,"status_id":1,"priority_id":2,"assigned_to_id":23,"start_date":"2016-10-05","description":"","custom_fields":[{"id":1,"name":"Subdivision","value":"EC"},{"id":4,"name":"Milepost","value":"0.0147"},{"id":17,"name":"Train ID","value":"122-05"},{"id":16,"name":"Locomotive ID","value":"4008"},{"id":130,"name":"Impact","value":""},{"id":150,"name":"Time of Event (Mountain Time)","value":"07:51:05"},{"id":151,"name":"Denver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461</v>
      </c>
      <c r="B35" s="7">
        <v>4018</v>
      </c>
      <c r="C35" s="24" t="s">
        <v>106</v>
      </c>
      <c r="D35" s="24" t="s">
        <v>240</v>
      </c>
      <c r="E35" s="15">
        <v>42648.266909722224</v>
      </c>
      <c r="F35" s="15">
        <v>42648.271041666667</v>
      </c>
      <c r="G35" s="7">
        <v>1</v>
      </c>
      <c r="H35" s="15" t="s">
        <v>227</v>
      </c>
      <c r="I35" s="15">
        <v>42648.297546296293</v>
      </c>
      <c r="J35" s="7">
        <v>0</v>
      </c>
      <c r="K35" s="117" t="str">
        <f t="shared" si="0"/>
        <v>4017/4018</v>
      </c>
      <c r="L35" s="24" t="str">
        <f>VLOOKUP(A35,'Trips&amp;Operators'!$C$1:$E$10000,3,FALSE)</f>
        <v>KILLION</v>
      </c>
      <c r="M35" s="6">
        <f t="shared" si="1"/>
        <v>2.6504629626288079E-2</v>
      </c>
      <c r="N35" s="7">
        <f t="shared" si="2"/>
        <v>38.166666661854833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59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05:24:21-0600',mode:absolute,to:'2016-10-05 08:08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5" s="54" t="str">
        <f t="shared" si="6"/>
        <v>N</v>
      </c>
      <c r="X35" s="164">
        <f t="shared" si="7"/>
        <v>1</v>
      </c>
      <c r="Y35" s="69">
        <f t="shared" si="8"/>
        <v>4.7699999999999999E-2</v>
      </c>
      <c r="Z35" s="69">
        <f t="shared" si="18"/>
        <v>23.3293</v>
      </c>
      <c r="AA35" s="69">
        <f t="shared" si="9"/>
        <v>23.281600000000001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 t="shared" si="10"/>
        <v>0123-05</v>
      </c>
      <c r="AE35" s="95" t="str">
        <f t="shared" si="11"/>
        <v>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 &amp; aws s3 cp s3://rtdc.mdm.uploadarchive.raw/RTDC4018/ "%USERPROFILE%\AppData\Local\Temp\OnboardLogs"\RTDC4018\2016-10-06 --exclude "*" --recursive --include "*20161006*" &amp; "%USERPROFILE%\Documents\GitHub\mrs-test-scripts\Headless Mode &amp; Sideloading\WalkAndUnGZ.bat" "%USERPROFILE%\AppData\Local\Temp\OnboardLogs"\RTDC4018\2016-10-06</v>
      </c>
      <c r="AF35" s="92" t="str">
        <f t="shared" si="12"/>
        <v>"C:\Program Files (x86)\AstroGrep\AstroGrep.exe" /spath="%USERPROFILE%\AppData\Local\Temp\OnboardLogs" /stypes="app*4018*20161005*" /stext=" 13:.+((SYSTEM_STATE.+slice.+state.+changed )|(ment ac)|(system.+state.+changed )|(\[timeout)|(PRM\|1\|D)|(kpr)|(kdp)|(\|lc)|(penalty))" /e /r /s</v>
      </c>
      <c r="AG35" s="1" t="str">
        <f t="shared" si="13"/>
        <v>EC</v>
      </c>
      <c r="AH35" s="96" t="str">
        <f t="shared" si="16"/>
        <v>"%USERPROFILE%\Documents\GitHub\eaglep3\Utilities\RefineRTDCRunTimes.py" --tripid 123-05 --locoid 4018 --swversion DE.1.0.7.0 --startMP 204:477 --initTime 2016-10-05T06:24:21 --startdatetime 2016-10-05T06:30:18 --delay 1 --endMP 204:233293 --enddatetime 2016-10-05T07:08:28 --enforcementcount 0 &gt;&gt;C:\Users\stu\Documents\GitHub\eaglep3-reporting\EC\2016-10-05-refined-times.txt</v>
      </c>
      <c r="AI35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{"issue":{"subject":"","project_id":79,"tracker_id":40,"status_id":1,"priority_id":2,"assigned_to_id":23,"start_date":"2016-10-05","description":"","custom_fields":[{"id":1,"name":"Subdivision","value":"EC"},{"id":4,"name":"Milepost","value":"23.3293"},{"id":17,"name":"Train ID","value":"123-05"},{"id":16,"name":"Locomotive ID","value":"4018"},{"id":130,"name":"Impact","value":""},{"id":150,"name":"Time of Event (Mountain Time)","value":"07:08:28"},{"id":151,"name":"Denver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377</v>
      </c>
      <c r="B36" s="7">
        <v>4017</v>
      </c>
      <c r="C36" s="24" t="s">
        <v>106</v>
      </c>
      <c r="D36" s="24" t="s">
        <v>330</v>
      </c>
      <c r="E36" s="15">
        <v>42648.302997685183</v>
      </c>
      <c r="F36" s="15">
        <v>42648.303831018522</v>
      </c>
      <c r="G36" s="7">
        <v>1</v>
      </c>
      <c r="H36" s="15" t="s">
        <v>126</v>
      </c>
      <c r="I36" s="15">
        <v>42648.340439814812</v>
      </c>
      <c r="J36" s="7">
        <v>0</v>
      </c>
      <c r="K36" s="117" t="str">
        <f t="shared" si="0"/>
        <v>4017/4018</v>
      </c>
      <c r="L36" s="24" t="str">
        <f>VLOOKUP(A36,'Trips&amp;Operators'!$C$1:$E$10000,3,FALSE)</f>
        <v>KILLION</v>
      </c>
      <c r="M36" s="6">
        <f t="shared" si="1"/>
        <v>3.6608796290238388E-2</v>
      </c>
      <c r="N36" s="7">
        <f t="shared" si="2"/>
        <v>52.716666657943279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59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06:16:19-0600',mode:absolute,to:'2016-10-05 09:10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6" s="54" t="str">
        <f t="shared" si="6"/>
        <v>N</v>
      </c>
      <c r="X36" s="164">
        <f t="shared" si="7"/>
        <v>1</v>
      </c>
      <c r="Y36" s="69">
        <f t="shared" si="8"/>
        <v>23.2974</v>
      </c>
      <c r="Z36" s="69">
        <f t="shared" si="18"/>
        <v>1.54E-2</v>
      </c>
      <c r="AA36" s="69">
        <f t="shared" si="9"/>
        <v>23.282</v>
      </c>
      <c r="AB36" s="66" t="e">
        <f>VLOOKUP(A36,Enforcements!$C$7:$K$21,8,0)</f>
        <v>#N/A</v>
      </c>
      <c r="AC36" s="62" t="e">
        <f>VLOOKUP(A36,Enforcements!$C$7:$E$21,3,0)</f>
        <v>#N/A</v>
      </c>
      <c r="AD36" s="63" t="str">
        <f t="shared" si="10"/>
        <v>0124-05</v>
      </c>
      <c r="AE36" s="95" t="str">
        <f t="shared" si="11"/>
        <v>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 &amp; aws s3 cp s3://rtdc.mdm.uploadarchive.raw/RTDC4017/ "%USERPROFILE%\AppData\Local\Temp\OnboardLogs"\RTDC4017\2016-10-06 --exclude "*" --recursive --include "*20161006*" &amp; "%USERPROFILE%\Documents\GitHub\mrs-test-scripts\Headless Mode &amp; Sideloading\WalkAndUnGZ.bat" "%USERPROFILE%\AppData\Local\Temp\OnboardLogs"\RTDC4017\2016-10-06</v>
      </c>
      <c r="AF36" s="92" t="str">
        <f t="shared" si="12"/>
        <v>"C:\Program Files (x86)\AstroGrep\AstroGrep.exe" /spath="%USERPROFILE%\AppData\Local\Temp\OnboardLogs" /stypes="app*4017*20161005*" /stext=" 14:.+((SYSTEM_STATE.+slice.+state.+changed )|(ment ac)|(system.+state.+changed )|(\[timeout)|(PRM\|1\|D)|(kpr)|(kdp)|(\|lc)|(penalty))" /e /r /s</v>
      </c>
      <c r="AG36" s="1" t="str">
        <f t="shared" si="13"/>
        <v>EC</v>
      </c>
      <c r="AH36" s="96" t="str">
        <f t="shared" si="16"/>
        <v>"%USERPROFILE%\Documents\GitHub\eaglep3\Utilities\RefineRTDCRunTimes.py" --tripid 124-05 --locoid 4017 --swversion DE.1.0.7.0 --startMP 204:232974 --initTime 2016-10-05T07:16:19 --startdatetime 2016-10-05T07:17:31 --delay 1 --endMP 204:154 --enddatetime 2016-10-05T08:10:14 --enforcementcount 0 &gt;&gt;C:\Users\stu\Documents\GitHub\eaglep3-reporting\EC\2016-10-05-refined-times.txt</v>
      </c>
      <c r="AI36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{"issue":{"subject":"","project_id":79,"tracker_id":40,"status_id":1,"priority_id":2,"assigned_to_id":23,"start_date":"2016-10-05","description":"","custom_fields":[{"id":1,"name":"Subdivision","value":"EC"},{"id":4,"name":"Milepost","value":"0.0154"},{"id":17,"name":"Train ID","value":"124-05"},{"id":16,"name":"Locomotive ID","value":"4017"},{"id":130,"name":"Impact","value":""},{"id":150,"name":"Time of Event (Mountain Time)","value":"08:10:14"},{"id":151,"name":"Denver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463</v>
      </c>
      <c r="B37" s="7">
        <v>4003</v>
      </c>
      <c r="C37" s="24" t="s">
        <v>106</v>
      </c>
      <c r="D37" s="24" t="s">
        <v>199</v>
      </c>
      <c r="E37" s="15">
        <v>42648.27752314815</v>
      </c>
      <c r="F37" s="15">
        <v>42648.279756944445</v>
      </c>
      <c r="G37" s="7">
        <v>3</v>
      </c>
      <c r="H37" s="15" t="s">
        <v>765</v>
      </c>
      <c r="I37" s="15">
        <v>42648.306296296294</v>
      </c>
      <c r="J37" s="7">
        <v>0</v>
      </c>
      <c r="K37" s="117" t="str">
        <f t="shared" si="0"/>
        <v>4003/4004</v>
      </c>
      <c r="L37" s="24" t="str">
        <f>VLOOKUP(A37,'Trips&amp;Operators'!$C$1:$E$10000,3,FALSE)</f>
        <v>ROCHA</v>
      </c>
      <c r="M37" s="6">
        <f t="shared" si="1"/>
        <v>2.6539351849351078E-2</v>
      </c>
      <c r="N37" s="7">
        <f t="shared" si="2"/>
        <v>38.216666663065553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59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05:39:38-0600',mode:absolute,to:'2016-10-05 08:21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37" s="54" t="str">
        <f t="shared" si="6"/>
        <v>N</v>
      </c>
      <c r="X37" s="164">
        <f t="shared" si="7"/>
        <v>1</v>
      </c>
      <c r="Y37" s="69">
        <f t="shared" si="8"/>
        <v>4.5699999999999998E-2</v>
      </c>
      <c r="Z37" s="69">
        <f t="shared" si="18"/>
        <v>23.3245</v>
      </c>
      <c r="AA37" s="69">
        <f t="shared" si="9"/>
        <v>23.2788</v>
      </c>
      <c r="AB37" s="66" t="e">
        <f>VLOOKUP(A37,Enforcements!$C$7:$K$21,8,0)</f>
        <v>#N/A</v>
      </c>
      <c r="AC37" s="62" t="e">
        <f>VLOOKUP(A37,Enforcements!$C$7:$E$21,3,0)</f>
        <v>#N/A</v>
      </c>
      <c r="AD37" s="63" t="str">
        <f t="shared" si="10"/>
        <v>0125-05</v>
      </c>
      <c r="AE37" s="95" t="str">
        <f t="shared" si="11"/>
        <v>aws s3 cp s3://rtdc.mdm.uploadarchive.raw/RTDC4003/ "%USERPROFILE%\AppData\Local\Temp\OnboardLogs"\RTDC4003\2016-10-05 --exclude "*" --recursive --include "*20161005*" &amp; "%USERPROFILE%\Documents\GitHub\mrs-test-scripts\Headless Mode &amp; Sideloading\WalkAndUnGZ.bat" "%USERPROFILE%\AppData\Local\Temp\OnboardLogs"\RTDC4003\2016-10-05 &amp; aws s3 cp s3://rtdc.mdm.uploadarchive.raw/RTDC4003/ "%USERPROFILE%\AppData\Local\Temp\OnboardLogs"\RTDC4003\2016-10-06 --exclude "*" --recursive --include "*20161006*" &amp; "%USERPROFILE%\Documents\GitHub\mrs-test-scripts\Headless Mode &amp; Sideloading\WalkAndUnGZ.bat" "%USERPROFILE%\AppData\Local\Temp\OnboardLogs"\RTDC4003\2016-10-06</v>
      </c>
      <c r="AF37" s="92" t="str">
        <f t="shared" si="12"/>
        <v>"C:\Program Files (x86)\AstroGrep\AstroGrep.exe" /spath="%USERPROFILE%\AppData\Local\Temp\OnboardLogs" /stypes="app*4003*20161005*" /stext=" 13:.+((SYSTEM_STATE.+slice.+state.+changed )|(ment ac)|(system.+state.+changed )|(\[timeout)|(PRM\|1\|D)|(kpr)|(kdp)|(\|lc)|(penalty))" /e /r /s</v>
      </c>
      <c r="AG37" s="1" t="str">
        <f t="shared" si="13"/>
        <v>EC</v>
      </c>
      <c r="AH37" s="96" t="str">
        <f t="shared" si="16"/>
        <v>"%USERPROFILE%\Documents\GitHub\eaglep3\Utilities\RefineRTDCRunTimes.py" --tripid 125-05 --locoid 4003 --swversion DE.1.0.7.0 --startMP 204:457 --initTime 2016-10-05T06:39:38 --startdatetime 2016-10-05T06:42:51 --delay 3 --endMP 204:233245 --enddatetime 2016-10-05T07:21:04 --enforcementcount 0 &gt;&gt;C:\Users\stu\Documents\GitHub\eaglep3-reporting\EC\2016-10-05-refined-times.txt</v>
      </c>
      <c r="AI37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{"issue":{"subject":"","project_id":79,"tracker_id":40,"status_id":1,"priority_id":2,"assigned_to_id":23,"start_date":"2016-10-05","description":"","custom_fields":[{"id":1,"name":"Subdivision","value":"EC"},{"id":4,"name":"Milepost","value":"23.3245"},{"id":17,"name":"Train ID","value":"125-05"},{"id":16,"name":"Locomotive ID","value":"4003"},{"id":130,"name":"Impact","value":""},{"id":150,"name":"Time of Event (Mountain Time)","value":"07:21:04"},{"id":151,"name":"Denver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471</v>
      </c>
      <c r="B38" s="7">
        <v>4004</v>
      </c>
      <c r="C38" s="24" t="s">
        <v>106</v>
      </c>
      <c r="D38" s="24" t="s">
        <v>221</v>
      </c>
      <c r="E38" s="15">
        <v>42648.317129629628</v>
      </c>
      <c r="F38" s="15">
        <v>42648.320428240739</v>
      </c>
      <c r="G38" s="7">
        <v>2</v>
      </c>
      <c r="H38" s="15" t="s">
        <v>194</v>
      </c>
      <c r="I38" s="15">
        <v>42648.35083333333</v>
      </c>
      <c r="J38" s="7">
        <v>0</v>
      </c>
      <c r="K38" s="117" t="str">
        <f t="shared" si="0"/>
        <v>4003/4004</v>
      </c>
      <c r="L38" s="24" t="str">
        <f>VLOOKUP(A38,'Trips&amp;Operators'!$C$1:$E$10000,3,FALSE)</f>
        <v>ROCHA</v>
      </c>
      <c r="M38" s="6">
        <f t="shared" si="1"/>
        <v>3.0405092591536231E-2</v>
      </c>
      <c r="N38" s="7">
        <f t="shared" si="2"/>
        <v>43.783333331812173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59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06:36:40-0600',mode:absolute,to:'2016-10-05 09:25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8" s="54" t="str">
        <f t="shared" si="6"/>
        <v>N</v>
      </c>
      <c r="X38" s="164">
        <f t="shared" si="7"/>
        <v>1</v>
      </c>
      <c r="Y38" s="69">
        <f t="shared" si="8"/>
        <v>23.297699999999999</v>
      </c>
      <c r="Z38" s="69">
        <f t="shared" si="18"/>
        <v>1.47E-2</v>
      </c>
      <c r="AA38" s="69">
        <f t="shared" si="9"/>
        <v>23.282999999999998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 t="shared" si="10"/>
        <v>0126-05</v>
      </c>
      <c r="AE38" s="95" t="str">
        <f t="shared" si="11"/>
        <v>aws s3 cp s3://rtdc.mdm.uploadarchive.raw/RTDC4004/ "%USERPROFILE%\AppData\Local\Temp\OnboardLogs"\RTDC4004\2016-10-05 --exclude "*" --recursive --include "*20161005*" &amp; "%USERPROFILE%\Documents\GitHub\mrs-test-scripts\Headless Mode &amp; Sideloading\WalkAndUnGZ.bat" "%USERPROFILE%\AppData\Local\Temp\OnboardLogs"\RTDC4004\2016-10-05 &amp; aws s3 cp s3://rtdc.mdm.uploadarchive.raw/RTDC4004/ "%USERPROFILE%\AppData\Local\Temp\OnboardLogs"\RTDC4004\2016-10-06 --exclude "*" --recursive --include "*20161006*" &amp; "%USERPROFILE%\Documents\GitHub\mrs-test-scripts\Headless Mode &amp; Sideloading\WalkAndUnGZ.bat" "%USERPROFILE%\AppData\Local\Temp\OnboardLogs"\RTDC4004\2016-10-06</v>
      </c>
      <c r="AF38" s="92" t="str">
        <f t="shared" si="12"/>
        <v>"C:\Program Files (x86)\AstroGrep\AstroGrep.exe" /spath="%USERPROFILE%\AppData\Local\Temp\OnboardLogs" /stypes="app*4004*20161005*" /stext=" 14:.+((SYSTEM_STATE.+slice.+state.+changed )|(ment ac)|(system.+state.+changed )|(\[timeout)|(PRM\|1\|D)|(kpr)|(kdp)|(\|lc)|(penalty))" /e /r /s</v>
      </c>
      <c r="AG38" s="1" t="str">
        <f t="shared" si="13"/>
        <v>EC</v>
      </c>
      <c r="AH38" s="96" t="str">
        <f t="shared" si="16"/>
        <v>"%USERPROFILE%\Documents\GitHub\eaglep3\Utilities\RefineRTDCRunTimes.py" --tripid 126-05 --locoid 4004 --swversion DE.1.0.7.0 --startMP 204:232977 --initTime 2016-10-05T07:36:40 --startdatetime 2016-10-05T07:41:25 --delay 2 --endMP 204:147 --enddatetime 2016-10-05T08:25:12 --enforcementcount 0 &gt;&gt;C:\Users\stu\Documents\GitHub\eaglep3-reporting\EC\2016-10-05-refined-times.txt</v>
      </c>
      <c r="AI38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{"issue":{"subject":"","project_id":79,"tracker_id":40,"status_id":1,"priority_id":2,"assigned_to_id":23,"start_date":"2016-10-05","description":"","custom_fields":[{"id":1,"name":"Subdivision","value":"EC"},{"id":4,"name":"Milepost","value":"0.0147"},{"id":17,"name":"Train ID","value":"126-05"},{"id":16,"name":"Locomotive ID","value":"4004"},{"id":130,"name":"Impact","value":""},{"id":150,"name":"Time of Event (Mountain Time)","value":"08:25:12"},{"id":151,"name":"Denver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466</v>
      </c>
      <c r="B39" s="7">
        <v>4027</v>
      </c>
      <c r="C39" s="24" t="s">
        <v>106</v>
      </c>
      <c r="D39" s="24" t="s">
        <v>283</v>
      </c>
      <c r="E39" s="15">
        <v>42648.28802083333</v>
      </c>
      <c r="F39" s="15">
        <v>42648.288981481484</v>
      </c>
      <c r="G39" s="7">
        <v>1</v>
      </c>
      <c r="H39" s="15" t="s">
        <v>290</v>
      </c>
      <c r="I39" s="15">
        <v>42648.319687499999</v>
      </c>
      <c r="J39" s="7">
        <v>0</v>
      </c>
      <c r="K39" s="117" t="str">
        <f t="shared" si="0"/>
        <v>4027/4028</v>
      </c>
      <c r="L39" s="24" t="str">
        <f>VLOOKUP(A39,'Trips&amp;Operators'!$C$1:$E$10000,3,FALSE)</f>
        <v>MAELZER</v>
      </c>
      <c r="M39" s="6">
        <f t="shared" si="1"/>
        <v>3.0706018515047617E-2</v>
      </c>
      <c r="N39" s="7">
        <f t="shared" si="2"/>
        <v>44.216666661668569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59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05:54:45-0600',mode:absolute,to:'2016-10-05 08:40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39" s="54" t="str">
        <f t="shared" si="6"/>
        <v>N</v>
      </c>
      <c r="X39" s="164">
        <f t="shared" si="7"/>
        <v>1</v>
      </c>
      <c r="Y39" s="69">
        <f t="shared" si="8"/>
        <v>4.3799999999999999E-2</v>
      </c>
      <c r="Z39" s="69">
        <f t="shared" si="18"/>
        <v>23.331900000000001</v>
      </c>
      <c r="AA39" s="69">
        <f t="shared" si="9"/>
        <v>23.2881</v>
      </c>
      <c r="AB39" s="66" t="e">
        <f>VLOOKUP(A39,Enforcements!$C$7:$K$21,8,0)</f>
        <v>#N/A</v>
      </c>
      <c r="AC39" s="62" t="e">
        <f>VLOOKUP(A39,Enforcements!$C$7:$E$21,3,0)</f>
        <v>#N/A</v>
      </c>
      <c r="AD39" s="63" t="str">
        <f t="shared" si="10"/>
        <v>0127-05</v>
      </c>
      <c r="AE39" s="95" t="str">
        <f t="shared" si="11"/>
        <v>aws s3 cp s3://rtdc.mdm.uploadarchive.raw/RTDC4027/ "%USERPROFILE%\AppData\Local\Temp\OnboardLogs"\RTDC4027\2016-10-05 --exclude "*" --recursive --include "*20161005*" &amp; "%USERPROFILE%\Documents\GitHub\mrs-test-scripts\Headless Mode &amp; Sideloading\WalkAndUnGZ.bat" "%USERPROFILE%\AppData\Local\Temp\OnboardLogs"\RTDC4027\2016-10-05 &amp; aws s3 cp s3://rtdc.mdm.uploadarchive.raw/RTDC4027/ "%USERPROFILE%\AppData\Local\Temp\OnboardLogs"\RTDC4027\2016-10-06 --exclude "*" --recursive --include "*20161006*" &amp; "%USERPROFILE%\Documents\GitHub\mrs-test-scripts\Headless Mode &amp; Sideloading\WalkAndUnGZ.bat" "%USERPROFILE%\AppData\Local\Temp\OnboardLogs"\RTDC4027\2016-10-06</v>
      </c>
      <c r="AF39" s="92" t="str">
        <f t="shared" si="12"/>
        <v>"C:\Program Files (x86)\AstroGrep\AstroGrep.exe" /spath="%USERPROFILE%\AppData\Local\Temp\OnboardLogs" /stypes="app*4027*20161005*" /stext=" 13:.+((SYSTEM_STATE.+slice.+state.+changed )|(ment ac)|(system.+state.+changed )|(\[timeout)|(PRM\|1\|D)|(kpr)|(kdp)|(\|lc)|(penalty))" /e /r /s</v>
      </c>
      <c r="AG39" s="1" t="str">
        <f t="shared" si="13"/>
        <v>EC</v>
      </c>
      <c r="AH39" s="96" t="str">
        <f t="shared" si="16"/>
        <v>"%USERPROFILE%\Documents\GitHub\eaglep3\Utilities\RefineRTDCRunTimes.py" --tripid 127-05 --locoid 4027 --swversion DE.1.0.7.0 --startMP 204:438 --initTime 2016-10-05T06:54:45 --startdatetime 2016-10-05T06:56:08 --delay 1 --endMP 204:233319 --enddatetime 2016-10-05T07:40:21 --enforcementcount 0 &gt;&gt;C:\Users\stu\Documents\GitHub\eaglep3-reporting\EC\2016-10-05-refined-times.txt</v>
      </c>
      <c r="AI39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{"issue":{"subject":"","project_id":79,"tracker_id":40,"status_id":1,"priority_id":2,"assigned_to_id":23,"start_date":"2016-10-05","description":"","custom_fields":[{"id":1,"name":"Subdivision","value":"EC"},{"id":4,"name":"Milepost","value":"23.3319"},{"id":17,"name":"Train ID","value":"127-05"},{"id":16,"name":"Locomotive ID","value":"4027"},{"id":130,"name":"Impact","value":""},{"id":150,"name":"Time of Event (Mountain Time)","value":"07:40:21"},{"id":151,"name":"Denver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381</v>
      </c>
      <c r="B40" s="7">
        <v>4028</v>
      </c>
      <c r="C40" s="24" t="s">
        <v>106</v>
      </c>
      <c r="D40" s="24" t="s">
        <v>626</v>
      </c>
      <c r="E40" s="15">
        <v>42648.325532407405</v>
      </c>
      <c r="F40" s="15">
        <v>42648.330833333333</v>
      </c>
      <c r="G40" s="7">
        <v>1</v>
      </c>
      <c r="H40" s="15" t="s">
        <v>209</v>
      </c>
      <c r="I40" s="15">
        <v>42648.359409722223</v>
      </c>
      <c r="J40" s="7">
        <v>0</v>
      </c>
      <c r="K40" s="117" t="str">
        <f t="shared" si="0"/>
        <v>4027/4028</v>
      </c>
      <c r="L40" s="24" t="str">
        <f>VLOOKUP(A40,'Trips&amp;Operators'!$C$1:$E$10000,3,FALSE)</f>
        <v>MAELZER</v>
      </c>
      <c r="M40" s="6">
        <f t="shared" si="1"/>
        <v>2.8576388889632653E-2</v>
      </c>
      <c r="N40" s="7">
        <f t="shared" si="2"/>
        <v>41.150000001071021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59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06:48:46-0600',mode:absolute,to:'2016-10-05 09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0" s="54" t="str">
        <f t="shared" si="6"/>
        <v>N</v>
      </c>
      <c r="X40" s="164">
        <f t="shared" si="7"/>
        <v>1</v>
      </c>
      <c r="Y40" s="69">
        <f t="shared" si="8"/>
        <v>23.2989</v>
      </c>
      <c r="Z40" s="69">
        <f t="shared" si="18"/>
        <v>1.5599999999999999E-2</v>
      </c>
      <c r="AA40" s="69">
        <f t="shared" si="9"/>
        <v>23.283300000000001</v>
      </c>
      <c r="AB40" s="66" t="e">
        <f>VLOOKUP(A40,Enforcements!$C$7:$K$21,8,0)</f>
        <v>#N/A</v>
      </c>
      <c r="AC40" s="62" t="e">
        <f>VLOOKUP(A40,Enforcements!$C$7:$E$21,3,0)</f>
        <v>#N/A</v>
      </c>
      <c r="AD40" s="63" t="str">
        <f t="shared" si="10"/>
        <v>0128-05</v>
      </c>
      <c r="AE40" s="95" t="str">
        <f t="shared" si="11"/>
        <v>aws s3 cp s3://rtdc.mdm.uploadarchive.raw/RTDC4028/ "%USERPROFILE%\AppData\Local\Temp\OnboardLogs"\RTDC4028\2016-10-05 --exclude "*" --recursive --include "*20161005*" &amp; "%USERPROFILE%\Documents\GitHub\mrs-test-scripts\Headless Mode &amp; Sideloading\WalkAndUnGZ.bat" "%USERPROFILE%\AppData\Local\Temp\OnboardLogs"\RTDC4028\2016-10-05 &amp; aws s3 cp s3://rtdc.mdm.uploadarchive.raw/RTDC4028/ "%USERPROFILE%\AppData\Local\Temp\OnboardLogs"\RTDC4028\2016-10-06 --exclude "*" --recursive --include "*20161006*" &amp; "%USERPROFILE%\Documents\GitHub\mrs-test-scripts\Headless Mode &amp; Sideloading\WalkAndUnGZ.bat" "%USERPROFILE%\AppData\Local\Temp\OnboardLogs"\RTDC4028\2016-10-06</v>
      </c>
      <c r="AF40" s="92" t="str">
        <f t="shared" si="12"/>
        <v>"C:\Program Files (x86)\AstroGrep\AstroGrep.exe" /spath="%USERPROFILE%\AppData\Local\Temp\OnboardLogs" /stypes="app*4028*20161005*" /stext=" 14:.+((SYSTEM_STATE.+slice.+state.+changed )|(ment ac)|(system.+state.+changed )|(\[timeout)|(PRM\|1\|D)|(kpr)|(kdp)|(\|lc)|(penalty))" /e /r /s</v>
      </c>
      <c r="AG40" s="1" t="str">
        <f t="shared" si="13"/>
        <v>EC</v>
      </c>
      <c r="AH40" s="96" t="str">
        <f t="shared" si="16"/>
        <v>"%USERPROFILE%\Documents\GitHub\eaglep3\Utilities\RefineRTDCRunTimes.py" --tripid 128-05 --locoid 4028 --swversion DE.1.0.7.0 --startMP 204:232989 --initTime 2016-10-05T07:48:46 --startdatetime 2016-10-05T07:56:24 --delay 1 --endMP 204:156 --enddatetime 2016-10-05T08:37:33 --enforcementcount 0 &gt;&gt;C:\Users\stu\Documents\GitHub\eaglep3-reporting\EC\2016-10-05-refined-times.txt</v>
      </c>
      <c r="AI40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{"issue":{"subject":"","project_id":79,"tracker_id":40,"status_id":1,"priority_id":2,"assigned_to_id":23,"start_date":"2016-10-05","description":"","custom_fields":[{"id":1,"name":"Subdivision","value":"EC"},{"id":4,"name":"Milepost","value":"0.0156"},{"id":17,"name":"Train ID","value":"128-05"},{"id":16,"name":"Locomotive ID","value":"4028"},{"id":130,"name":"Impact","value":""},{"id":150,"name":"Time of Event (Mountain Time)","value":"08:37:33"},{"id":151,"name":"Denver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469</v>
      </c>
      <c r="B41" s="7">
        <v>4016</v>
      </c>
      <c r="C41" s="24" t="s">
        <v>106</v>
      </c>
      <c r="D41" s="24" t="s">
        <v>627</v>
      </c>
      <c r="E41" s="15">
        <v>42648.313310185185</v>
      </c>
      <c r="F41" s="15">
        <v>42648.314456018517</v>
      </c>
      <c r="G41" s="7">
        <v>0</v>
      </c>
      <c r="H41" s="15" t="s">
        <v>628</v>
      </c>
      <c r="I41" s="15">
        <v>42648.332129629627</v>
      </c>
      <c r="J41" s="7">
        <v>0</v>
      </c>
      <c r="K41" s="117" t="str">
        <f t="shared" si="0"/>
        <v>4015/4016</v>
      </c>
      <c r="L41" s="24" t="str">
        <f>VLOOKUP(A41,'Trips&amp;Operators'!$C$1:$E$10000,3,FALSE)</f>
        <v>BRANNON</v>
      </c>
      <c r="M41" s="6">
        <f t="shared" si="1"/>
        <v>1.767361110978527E-2</v>
      </c>
      <c r="N41" s="7"/>
      <c r="O41" s="7"/>
      <c r="P41" s="7">
        <f>24*60*SUM($M41:$M42)</f>
        <v>38.799999996554106</v>
      </c>
      <c r="Q41" s="25"/>
      <c r="R41" s="25" t="s">
        <v>281</v>
      </c>
      <c r="S41" s="37">
        <f>SUM(U41:U42)/IF(AG41="EC",12,1)</f>
        <v>0.66666666666666663</v>
      </c>
      <c r="T41" s="52" t="str">
        <f t="shared" si="4"/>
        <v>NorthBound</v>
      </c>
      <c r="U41" s="159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3</v>
      </c>
      <c r="V4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06:31:10-0600',mode:absolute,to:'2016-10-05 08:58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1" s="54" t="str">
        <f t="shared" si="6"/>
        <v>Y</v>
      </c>
      <c r="X41" s="164">
        <f t="shared" si="7"/>
        <v>1</v>
      </c>
      <c r="Y41" s="69">
        <f t="shared" si="8"/>
        <v>6.4702000000000002</v>
      </c>
      <c r="Z41" s="69">
        <f t="shared" si="18"/>
        <v>23.327000000000002</v>
      </c>
      <c r="AA41" s="69">
        <f t="shared" si="9"/>
        <v>16.8568</v>
      </c>
      <c r="AB41" s="66" t="e">
        <f>VLOOKUP(A41,Enforcements!$C$7:$K$21,8,0)</f>
        <v>#N/A</v>
      </c>
      <c r="AC41" s="62" t="e">
        <f>VLOOKUP(A41,Enforcements!$C$7:$E$21,3,0)</f>
        <v>#N/A</v>
      </c>
      <c r="AD41" s="63" t="str">
        <f t="shared" si="10"/>
        <v>0129-05</v>
      </c>
      <c r="AE41" s="95" t="str">
        <f t="shared" si="11"/>
        <v>aws s3 cp s3://rtdc.mdm.uploadarchive.raw/RTDC4016/ "%USERPROFILE%\AppData\Local\Temp\OnboardLogs"\RTDC4016\2016-10-05 --exclude "*" --recursive --include "*20161005*" &amp; "%USERPROFILE%\Documents\GitHub\mrs-test-scripts\Headless Mode &amp; Sideloading\WalkAndUnGZ.bat" "%USERPROFILE%\AppData\Local\Temp\OnboardLogs"\RTDC4016\2016-10-05 &amp; aws s3 cp s3://rtdc.mdm.uploadarchive.raw/RTDC4016/ "%USERPROFILE%\AppData\Local\Temp\OnboardLogs"\RTDC4016\2016-10-06 --exclude "*" --recursive --include "*20161006*" &amp; "%USERPROFILE%\Documents\GitHub\mrs-test-scripts\Headless Mode &amp; Sideloading\WalkAndUnGZ.bat" "%USERPROFILE%\AppData\Local\Temp\OnboardLogs"\RTDC4016\2016-10-06</v>
      </c>
      <c r="AF41" s="92" t="str">
        <f t="shared" si="12"/>
        <v>"C:\Program Files (x86)\AstroGrep\AstroGrep.exe" /spath="%USERPROFILE%\AppData\Local\Temp\OnboardLogs" /stypes="app*4016*20161005*" /stext=" 13:.+((SYSTEM_STATE.+slice.+state.+changed )|(ment ac)|(system.+state.+changed )|(\[timeout)|(PRM\|1\|D)|(kpr)|(kdp)|(\|lc)|(penalty))" /e /r /s</v>
      </c>
      <c r="AG41" s="1" t="str">
        <f t="shared" si="13"/>
        <v>EC</v>
      </c>
      <c r="AH41" s="96" t="str">
        <f t="shared" si="16"/>
        <v>"%USERPROFILE%\Documents\GitHub\eaglep3\Utilities\RefineRTDCRunTimes.py" --tripid 129-05 --locoid 4016 --swversion DE.1.0.7.0 --startMP 204:64702 --initTime 2016-10-05T07:31:10 --startdatetime 2016-10-05T07:32:49 --delay 0 --endMP 204:233270 --enddatetime 2016-10-05T07:58:16 --enforcementcount 0 &gt;&gt;C:\Users\stu\Documents\GitHub\eaglep3-reporting\EC\2016-10-05-refined-times.txt</v>
      </c>
      <c r="AI41" s="130" t="str">
        <f t="shared" si="17"/>
        <v>echo {"issue":{"subject":"Onboard in-route failure","project_id":79,"tracker_id":40,"status_id":1,"priority_id":2,"assigned_to_id":23,"start_date":"2016-10-05","description":"Triplex-induced comm failure at 2016/10/05 13:15:25 UTC","custom_fields":[{"id":1,"name":"Subdivision","value":"EC"},{"id":4,"name":"Milepost","value":"23.327"},{"id":17,"name":"Train ID","value":"129-05"},{"id":16,"name":"Locomotive ID","value":"4016"},{"id":130,"name":"Impact","value":"Unexpected Cut-Out or Disengaged"},{"id":150,"name":"Time of Event (Mountain Time)","value":"07:58:16"},{"id":151,"name":"Denver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41" s="55" t="s">
        <v>782</v>
      </c>
      <c r="AK41" s="55" t="s">
        <v>140</v>
      </c>
      <c r="AL41" s="55" t="s">
        <v>207</v>
      </c>
    </row>
    <row r="42" spans="1:38" s="1" customFormat="1" x14ac:dyDescent="0.25">
      <c r="A42" s="39" t="s">
        <v>469</v>
      </c>
      <c r="B42" s="7">
        <v>4016</v>
      </c>
      <c r="C42" s="24" t="s">
        <v>106</v>
      </c>
      <c r="D42" s="24" t="s">
        <v>627</v>
      </c>
      <c r="E42" s="15">
        <v>42648.313310185185</v>
      </c>
      <c r="F42" s="15">
        <v>42648.30228009259</v>
      </c>
      <c r="G42" s="7">
        <v>0</v>
      </c>
      <c r="H42" s="15" t="s">
        <v>628</v>
      </c>
      <c r="I42" s="15">
        <v>42648.311550925922</v>
      </c>
      <c r="J42" s="7">
        <v>0</v>
      </c>
      <c r="K42" s="117" t="str">
        <f t="shared" si="0"/>
        <v>4015/4016</v>
      </c>
      <c r="L42" s="24" t="str">
        <f>VLOOKUP(A42,'Trips&amp;Operators'!$C$1:$E$10000,3,FALSE)</f>
        <v>BRANNON</v>
      </c>
      <c r="M42" s="6">
        <f t="shared" si="1"/>
        <v>9.2708333322661929E-3</v>
      </c>
      <c r="N42" s="7"/>
      <c r="O42" s="7"/>
      <c r="P42" s="7"/>
      <c r="Q42" s="25"/>
      <c r="R42" s="25"/>
      <c r="S42" s="37"/>
      <c r="T42" s="52" t="str">
        <f t="shared" si="4"/>
        <v>NorthBound</v>
      </c>
      <c r="U42" s="159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5</v>
      </c>
      <c r="V4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06:31:10-0600',mode:absolute,to:'2016-10-05 08:28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2" s="54" t="str">
        <f t="shared" si="6"/>
        <v>Y</v>
      </c>
      <c r="X42" s="164">
        <f t="shared" ref="X42:X44" si="19">VALUE(LEFT(AD42,4))-VALUE(LEFT(AD41,4))</f>
        <v>0</v>
      </c>
      <c r="Y42" s="69">
        <v>0.04</v>
      </c>
      <c r="Z42" s="69">
        <v>5</v>
      </c>
      <c r="AA42" s="69">
        <f t="shared" si="9"/>
        <v>4.96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 t="shared" si="10"/>
        <v>0129-05</v>
      </c>
      <c r="AE42" s="95" t="str">
        <f t="shared" si="11"/>
        <v>aws s3 cp s3://rtdc.mdm.uploadarchive.raw/RTDC4016/ "%USERPROFILE%\AppData\Local\Temp\OnboardLogs"\RTDC4016\2016-10-05 --exclude "*" --recursive --include "*20161005*" &amp; "%USERPROFILE%\Documents\GitHub\mrs-test-scripts\Headless Mode &amp; Sideloading\WalkAndUnGZ.bat" "%USERPROFILE%\AppData\Local\Temp\OnboardLogs"\RTDC4016\2016-10-05 &amp; aws s3 cp s3://rtdc.mdm.uploadarchive.raw/RTDC4016/ "%USERPROFILE%\AppData\Local\Temp\OnboardLogs"\RTDC4016\2016-10-06 --exclude "*" --recursive --include "*20161006*" &amp; "%USERPROFILE%\Documents\GitHub\mrs-test-scripts\Headless Mode &amp; Sideloading\WalkAndUnGZ.bat" "%USERPROFILE%\AppData\Local\Temp\OnboardLogs"\RTDC4016\2016-10-06</v>
      </c>
      <c r="AF42" s="92" t="str">
        <f t="shared" si="12"/>
        <v>"C:\Program Files (x86)\AstroGrep\AstroGrep.exe" /spath="%USERPROFILE%\AppData\Local\Temp\OnboardLogs" /stypes="app*4016*20161005*" /stext=" 13:.+((SYSTEM_STATE.+slice.+state.+changed )|(ment ac)|(system.+state.+changed )|(\[timeout)|(PRM\|1\|D)|(kpr)|(kdp)|(\|lc)|(penalty))" /e /r /s</v>
      </c>
      <c r="AG42" s="1" t="str">
        <f t="shared" si="13"/>
        <v>EC</v>
      </c>
      <c r="AH42" s="96" t="str">
        <f t="shared" ref="AH42" si="20">refinertdcruntimes&amp;" --tripid "&amp;A42&amp;" --locoid "&amp;B42&amp;" --swversion "&amp;C42&amp;" --startMP "&amp;D42&amp;" --initTime "&amp;TEXT(E42,"yyyy-mm-ddTHH:MM:SS")&amp;" --startdatetime "&amp;TEXT(F42,"yyyy-mm-ddTHH:MM:SS")&amp;" --delay "&amp;G42&amp;" --endMP "&amp;H42&amp;" --enddatetime "&amp;TEXT(I42,"yyyy-mm-ddTHH:MM:SS")&amp;" --enforcementcount "&amp;J42&amp;IF(outputrefinedruntimes," &gt;&gt;"&amp;RefinedRTDCRunTimesOutputFile,"")</f>
        <v>"%USERPROFILE%\Documents\GitHub\eaglep3\Utilities\RefineRTDCRunTimes.py" --tripid 129-05 --locoid 4016 --swversion DE.1.0.7.0 --startMP 204:64702 --initTime 2016-10-05T07:31:10 --startdatetime 2016-10-05T07:15:17 --delay 0 --endMP 204:233270 --enddatetime 2016-10-05T07:28:38 --enforcementcount 0 &gt;&gt;C:\Users\stu\Documents\GitHub\eaglep3-reporting\EC\2016-10-05-refined-times.txt</v>
      </c>
      <c r="AI42" s="130" t="str">
        <f t="shared" ref="AI42" si="21">"echo {""issue"":{""subject"":"""&amp;R42&amp;""",""project_id"":79,""tracker_id"":40,""status_id"":"&amp;redmine_status&amp;",""priority_id"":"&amp;redmine_priority&amp;",""assigned_to_id"":"&amp;redmine_assignee&amp;",""start_date"":"""&amp;TEXT(I42,"YYYY-mm-dd")&amp;""",""description"":"""&amp;AJ42&amp;""",""custom_fields"":[{""id"":1,""name"":""Subdivision"",""value"":"""&amp;AG42&amp;"""},{""id"":4,""name"":""Milepost"",""value"":"""&amp;Z42&amp;"""},{""id"":17,""name"":""Train ID"",""value"":"""&amp;A42&amp;"""},{""id"":16,""name"":""Locomotive ID"",""value"":"""&amp;B42&amp;"""},{""id"":130,""name"":""Impact"",""value"":"""&amp;AK42&amp;"""},{""id"":150,""name"":""Time of Event (Mountain Time)"",""value"":"""&amp;TEXT(I42,"hh:mm:ss")&amp;"""},{""id"":151,""name"":""Denver Issue ID"",""value"":"""&amp;"""},{""id"":178,""name"":""Operational Impact"",""value"":"""&amp;redmine_op_impact&amp;"""},{""id"":179,""name"":""Denver Segment Assigned"",""value"":"""&amp;AL42&amp;"""}]}}"&amp;"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{"issue":{"subject":"","project_id":79,"tracker_id":40,"status_id":1,"priority_id":2,"assigned_to_id":23,"start_date":"2016-10-05","description":"","custom_fields":[{"id":1,"name":"Subdivision","value":"EC"},{"id":4,"name":"Milepost","value":"5"},{"id":17,"name":"Train ID","value":"129-05"},{"id":16,"name":"Locomotive ID","value":"4016"},{"id":130,"name":"Impact","value":""},{"id":150,"name":"Time of Event (Mountain Time)","value":"07:28:38"},{"id":151,"name":"Denver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475</v>
      </c>
      <c r="B43" s="7">
        <v>4015</v>
      </c>
      <c r="C43" s="24" t="s">
        <v>106</v>
      </c>
      <c r="D43" s="24" t="s">
        <v>335</v>
      </c>
      <c r="E43" s="15">
        <v>42648.336493055554</v>
      </c>
      <c r="F43" s="15">
        <v>42648.341238425928</v>
      </c>
      <c r="G43" s="7">
        <v>1</v>
      </c>
      <c r="H43" s="15" t="s">
        <v>212</v>
      </c>
      <c r="I43" s="15">
        <v>42648.370949074073</v>
      </c>
      <c r="J43" s="7">
        <v>0</v>
      </c>
      <c r="K43" s="117" t="str">
        <f t="shared" si="0"/>
        <v>4015/4016</v>
      </c>
      <c r="L43" s="24" t="str">
        <f>VLOOKUP(A43,'Trips&amp;Operators'!$C$1:$E$10000,3,FALSE)</f>
        <v>BRANNON</v>
      </c>
      <c r="M43" s="6">
        <f t="shared" si="1"/>
        <v>2.9710648144828156E-2</v>
      </c>
      <c r="N43" s="7">
        <f>24*60*SUM($M43:$M43)</f>
        <v>42.783333328552544</v>
      </c>
      <c r="O43" s="7"/>
      <c r="P43" s="7"/>
      <c r="Q43" s="25"/>
      <c r="R43" s="25"/>
      <c r="S43" s="37">
        <f t="shared" ref="S43:S79" si="22">SUM(U43:U43)/IF(AG43="EC",12,1)</f>
        <v>1</v>
      </c>
      <c r="T43" s="52" t="str">
        <f t="shared" si="4"/>
        <v>Southbound</v>
      </c>
      <c r="U43" s="159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07:04:33-0600',mode:absolute,to:'2016-10-05 09:54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3" s="54" t="str">
        <f t="shared" si="6"/>
        <v>N</v>
      </c>
      <c r="X43" s="164">
        <f t="shared" si="19"/>
        <v>1</v>
      </c>
      <c r="Y43" s="69">
        <f t="shared" ref="Y43:Y71" si="23">RIGHT(D43,LEN(D43)-4)/10000</f>
        <v>23.2959</v>
      </c>
      <c r="Z43" s="69">
        <f t="shared" ref="Z43:Z71" si="24">RIGHT(H43,LEN(H43)-4)/10000</f>
        <v>1.4500000000000001E-2</v>
      </c>
      <c r="AA43" s="69">
        <f t="shared" si="9"/>
        <v>23.281399999999998</v>
      </c>
      <c r="AB43" s="66" t="e">
        <f>VLOOKUP(A43,Enforcements!$C$7:$K$21,8,0)</f>
        <v>#N/A</v>
      </c>
      <c r="AC43" s="62" t="e">
        <f>VLOOKUP(A43,Enforcements!$C$7:$E$21,3,0)</f>
        <v>#N/A</v>
      </c>
      <c r="AD43" s="63" t="str">
        <f t="shared" si="10"/>
        <v>0130-05</v>
      </c>
      <c r="AE43" s="95" t="str">
        <f t="shared" si="11"/>
        <v>aws s3 cp s3://rtdc.mdm.uploadarchive.raw/RTDC4015/ "%USERPROFILE%\AppData\Local\Temp\OnboardLogs"\RTDC4015\2016-10-05 --exclude "*" --recursive --include "*20161005*" &amp; "%USERPROFILE%\Documents\GitHub\mrs-test-scripts\Headless Mode &amp; Sideloading\WalkAndUnGZ.bat" "%USERPROFILE%\AppData\Local\Temp\OnboardLogs"\RTDC4015\2016-10-05 &amp; aws s3 cp s3://rtdc.mdm.uploadarchive.raw/RTDC4015/ "%USERPROFILE%\AppData\Local\Temp\OnboardLogs"\RTDC4015\2016-10-06 --exclude "*" --recursive --include "*20161006*" &amp; "%USERPROFILE%\Documents\GitHub\mrs-test-scripts\Headless Mode &amp; Sideloading\WalkAndUnGZ.bat" "%USERPROFILE%\AppData\Local\Temp\OnboardLogs"\RTDC4015\2016-10-06</v>
      </c>
      <c r="AF43" s="92" t="str">
        <f t="shared" si="12"/>
        <v>"C:\Program Files (x86)\AstroGrep\AstroGrep.exe" /spath="%USERPROFILE%\AppData\Local\Temp\OnboardLogs" /stypes="app*4015*20161005*" /stext=" 14:.+((SYSTEM_STATE.+slice.+state.+changed )|(ment ac)|(system.+state.+changed )|(\[timeout)|(PRM\|1\|D)|(kpr)|(kdp)|(\|lc)|(penalty))" /e /r /s</v>
      </c>
      <c r="AG43" s="1" t="str">
        <f t="shared" si="13"/>
        <v>EC</v>
      </c>
      <c r="AH43" s="96" t="str">
        <f t="shared" si="16"/>
        <v>"%USERPROFILE%\Documents\GitHub\eaglep3\Utilities\RefineRTDCRunTimes.py" --tripid 130-05 --locoid 4015 --swversion DE.1.0.7.0 --startMP 204:232959 --initTime 2016-10-05T08:04:33 --startdatetime 2016-10-05T08:11:23 --delay 1 --endMP 204:145 --enddatetime 2016-10-05T08:54:10 --enforcementcount 0 &gt;&gt;C:\Users\stu\Documents\GitHub\eaglep3-reporting\EC\2016-10-05-refined-times.txt</v>
      </c>
      <c r="AI43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{"issue":{"subject":"","project_id":79,"tracker_id":40,"status_id":1,"priority_id":2,"assigned_to_id":23,"start_date":"2016-10-05","description":"","custom_fields":[{"id":1,"name":"Subdivision","value":"EC"},{"id":4,"name":"Milepost","value":"0.0145"},{"id":17,"name":"Train ID","value":"130-05"},{"id":16,"name":"Locomotive ID","value":"4015"},{"id":130,"name":"Impact","value":""},{"id":150,"name":"Time of Event (Mountain Time)","value":"08:54:10"},{"id":151,"name":"Denver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470</v>
      </c>
      <c r="B44" s="7">
        <v>4025</v>
      </c>
      <c r="C44" s="24" t="s">
        <v>106</v>
      </c>
      <c r="D44" s="24" t="s">
        <v>259</v>
      </c>
      <c r="E44" s="15">
        <v>42648.308437500003</v>
      </c>
      <c r="F44" s="15">
        <v>42648.30940972222</v>
      </c>
      <c r="G44" s="7">
        <v>1</v>
      </c>
      <c r="H44" s="15" t="s">
        <v>274</v>
      </c>
      <c r="I44" s="15">
        <v>42648.341261574074</v>
      </c>
      <c r="J44" s="7">
        <v>0</v>
      </c>
      <c r="K44" s="117" t="str">
        <f t="shared" si="0"/>
        <v>4025/4026</v>
      </c>
      <c r="L44" s="24" t="str">
        <f>VLOOKUP(A44,'Trips&amp;Operators'!$C$1:$E$10000,3,FALSE)</f>
        <v>ACKERMAN</v>
      </c>
      <c r="M44" s="6">
        <f t="shared" si="1"/>
        <v>3.1851851854298729E-2</v>
      </c>
      <c r="N44" s="7">
        <f>24*60*SUM($M44:$M44)</f>
        <v>45.86666667019017</v>
      </c>
      <c r="O44" s="7"/>
      <c r="P44" s="7"/>
      <c r="Q44" s="25"/>
      <c r="R44" s="25"/>
      <c r="S44" s="37">
        <f t="shared" si="22"/>
        <v>1</v>
      </c>
      <c r="T44" s="52" t="str">
        <f t="shared" si="4"/>
        <v>NorthBound</v>
      </c>
      <c r="U44" s="159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https://search-rtdc-monitor-bjffxe2xuh6vdkpspy63sjmuny.us-east-1.es.amazonaws.com/_plugin/kibana/#/discover/Steve-Slow-Train-Analysis-(2080s-and-2083s)?_g=(refreshInterval:(display:Off,section:0,value:0),time:(from:'2016-10-05 06:24:09-0600',mode:absolute,to:'2016-10-05 09:11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4" s="54" t="str">
        <f t="shared" si="6"/>
        <v>N</v>
      </c>
      <c r="X44" s="164">
        <f t="shared" si="19"/>
        <v>1</v>
      </c>
      <c r="Y44" s="69">
        <f t="shared" si="23"/>
        <v>4.6699999999999998E-2</v>
      </c>
      <c r="Z44" s="69">
        <f t="shared" si="24"/>
        <v>23.329699999999999</v>
      </c>
      <c r="AA44" s="69">
        <f t="shared" si="9"/>
        <v>23.282999999999998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 t="shared" si="10"/>
        <v>0131-05</v>
      </c>
      <c r="AE44" s="95" t="str">
        <f t="shared" si="11"/>
        <v>aws s3 cp s3://rtdc.mdm.uploadarchive.raw/RTDC4025/ "%USERPROFILE%\AppData\Local\Temp\OnboardLogs"\RTDC4025\2016-10-05 --exclude "*" --recursive --include "*20161005*" &amp; "%USERPROFILE%\Documents\GitHub\mrs-test-scripts\Headless Mode &amp; Sideloading\WalkAndUnGZ.bat" "%USERPROFILE%\AppData\Local\Temp\OnboardLogs"\RTDC4025\2016-10-05 &amp; aws s3 cp s3://rtdc.mdm.uploadarchive.raw/RTDC4025/ "%USERPROFILE%\AppData\Local\Temp\OnboardLogs"\RTDC4025\2016-10-06 --exclude "*" --recursive --include "*20161006*" &amp; "%USERPROFILE%\Documents\GitHub\mrs-test-scripts\Headless Mode &amp; Sideloading\WalkAndUnGZ.bat" "%USERPROFILE%\AppData\Local\Temp\OnboardLogs"\RTDC4025\2016-10-06</v>
      </c>
      <c r="AF44" s="92" t="str">
        <f t="shared" si="12"/>
        <v>"C:\Program Files (x86)\AstroGrep\AstroGrep.exe" /spath="%USERPROFILE%\AppData\Local\Temp\OnboardLogs" /stypes="app*4025*20161005*" /stext=" 14:.+((SYSTEM_STATE.+slice.+state.+changed )|(ment ac)|(system.+state.+changed )|(\[timeout)|(PRM\|1\|D)|(kpr)|(kdp)|(\|lc)|(penalty))" /e /r /s</v>
      </c>
      <c r="AG44" s="1" t="str">
        <f t="shared" si="13"/>
        <v>EC</v>
      </c>
      <c r="AH44" s="96" t="str">
        <f t="shared" si="16"/>
        <v>"%USERPROFILE%\Documents\GitHub\eaglep3\Utilities\RefineRTDCRunTimes.py" --tripid 131-05 --locoid 4025 --swversion DE.1.0.7.0 --startMP 204:467 --initTime 2016-10-05T07:24:09 --startdatetime 2016-10-05T07:25:33 --delay 1 --endMP 204:233297 --enddatetime 2016-10-05T08:11:25 --enforcementcount 0 &gt;&gt;C:\Users\stu\Documents\GitHub\eaglep3-reporting\EC\2016-10-05-refined-times.txt</v>
      </c>
      <c r="AI44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{"issue":{"subject":"","project_id":79,"tracker_id":40,"status_id":1,"priority_id":2,"assigned_to_id":23,"start_date":"2016-10-05","description":"","custom_fields":[{"id":1,"name":"Subdivision","value":"EC"},{"id":4,"name":"Milepost","value":"23.3297"},{"id":17,"name":"Train ID","value":"131-05"},{"id":16,"name":"Locomotive ID","value":"4025"},{"id":130,"name":"Impact","value":""},{"id":150,"name":"Time of Event (Mountain Time)","value":"08:11:25"},{"id":151,"name":"Denver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31" customFormat="1" x14ac:dyDescent="0.25">
      <c r="A45" s="39" t="s">
        <v>477</v>
      </c>
      <c r="B45" s="7">
        <v>4026</v>
      </c>
      <c r="C45" s="24" t="s">
        <v>106</v>
      </c>
      <c r="D45" s="24" t="s">
        <v>339</v>
      </c>
      <c r="E45" s="15">
        <v>42648.345497685186</v>
      </c>
      <c r="F45" s="15">
        <v>42648.351770833331</v>
      </c>
      <c r="G45" s="7">
        <v>1</v>
      </c>
      <c r="H45" s="15" t="s">
        <v>190</v>
      </c>
      <c r="I45" s="15">
        <v>42648.379965277774</v>
      </c>
      <c r="J45" s="7">
        <v>0</v>
      </c>
      <c r="K45" s="117" t="str">
        <f t="shared" ref="K45:K73" si="25">IF(ISEVEN(B45),(B45-1)&amp;"/"&amp;B45,B45&amp;"/"&amp;(B45+1))</f>
        <v>4025/4026</v>
      </c>
      <c r="L45" s="24" t="str">
        <f>VLOOKUP(A45,'Trips&amp;Operators'!$C$1:$E$10000,3,FALSE)</f>
        <v>ACKERMAN</v>
      </c>
      <c r="M45" s="6">
        <f t="shared" ref="M45:M73" si="26">I45-F45</f>
        <v>2.8194444443215616E-2</v>
      </c>
      <c r="N45" s="7">
        <f>24*60*SUM($M45:$M45)</f>
        <v>40.599999998230487</v>
      </c>
      <c r="O45" s="7"/>
      <c r="P45" s="7"/>
      <c r="Q45" s="25"/>
      <c r="R45" s="25"/>
      <c r="S45" s="37">
        <f t="shared" si="22"/>
        <v>1</v>
      </c>
      <c r="T45" s="52" t="str">
        <f t="shared" si="4"/>
        <v>Southbound</v>
      </c>
      <c r="U45" s="159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2" t="str">
        <f t="shared" ref="V45:V73" si="27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https://search-rtdc-monitor-bjffxe2xuh6vdkpspy63sjmuny.us-east-1.es.amazonaws.com/_plugin/kibana/#/discover/Steve-Slow-Train-Analysis-(2080s-and-2083s)?_g=(refreshInterval:(display:Off,section:0,value:0),time:(from:'2016-10-05 07:17:31-0600',mode:absolute,to:'2016-10-05 10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5" s="54" t="str">
        <f t="shared" ref="W45:W73" si="28">IF(AA45&lt;IF(AG45="EC",23,5.65),"Y","N")</f>
        <v>N</v>
      </c>
      <c r="X45" s="164">
        <f t="shared" ref="X45:X57" si="29">VALUE(LEFT(AD45,4))-VALUE(LEFT(AD44,4))</f>
        <v>1</v>
      </c>
      <c r="Y45" s="69">
        <f t="shared" si="23"/>
        <v>23.298100000000002</v>
      </c>
      <c r="Z45" s="69">
        <f t="shared" si="24"/>
        <v>1.49E-2</v>
      </c>
      <c r="AA45" s="69">
        <f t="shared" ref="AA45:AA73" si="30">ABS(Z45-Y45)</f>
        <v>23.283200000000001</v>
      </c>
      <c r="AB45" s="66" t="e">
        <f>VLOOKUP(A45,Enforcements!$C$7:$K$21,8,0)</f>
        <v>#N/A</v>
      </c>
      <c r="AC45" s="62" t="e">
        <f>VLOOKUP(A45,Enforcements!$C$7:$E$21,3,0)</f>
        <v>#N/A</v>
      </c>
      <c r="AD45" s="63" t="str">
        <f t="shared" si="10"/>
        <v>0132-05</v>
      </c>
      <c r="AE45" s="95" t="str">
        <f t="shared" ref="AE45:AE73" si="31"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s3://rtdc.mdm.uploadarchive.raw/RTDC4026/ "%USERPROFILE%\AppData\Local\Temp\OnboardLogs"\RTDC4026\2016-10-05 --exclude "*" --recursive --include "*20161005*" &amp; "%USERPROFILE%\Documents\GitHub\mrs-test-scripts\Headless Mode &amp; Sideloading\WalkAndUnGZ.bat" "%USERPROFILE%\AppData\Local\Temp\OnboardLogs"\RTDC4026\2016-10-05 &amp; aws s3 cp s3://rtdc.mdm.uploadarchive.raw/RTDC4026/ "%USERPROFILE%\AppData\Local\Temp\OnboardLogs"\RTDC4026\2016-10-06 --exclude "*" --recursive --include "*20161006*" &amp; "%USERPROFILE%\Documents\GitHub\mrs-test-scripts\Headless Mode &amp; Sideloading\WalkAndUnGZ.bat" "%USERPROFILE%\AppData\Local\Temp\OnboardLogs"\RTDC4026\2016-10-06</v>
      </c>
      <c r="AF45" s="92" t="str">
        <f t="shared" ref="AF45:AF73" si="32"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/stypes="app*4026*20161005*" /stext=" 15:.+((SYSTEM_STATE.+slice.+state.+changed )|(ment ac)|(system.+state.+changed )|(\[timeout)|(PRM\|1\|D)|(kpr)|(kdp)|(\|lc)|(penalty))" /e /r /s</v>
      </c>
      <c r="AG45" s="1" t="str">
        <f t="shared" si="13"/>
        <v>EC</v>
      </c>
      <c r="AH45" s="96" t="str">
        <f t="shared" si="16"/>
        <v>"%USERPROFILE%\Documents\GitHub\eaglep3\Utilities\RefineRTDCRunTimes.py" --tripid 132-05 --locoid 4026 --swversion DE.1.0.7.0 --startMP 204:232981 --initTime 2016-10-05T08:17:31 --startdatetime 2016-10-05T08:26:33 --delay 1 --endMP 204:149 --enddatetime 2016-10-05T09:07:09 --enforcementcount 0 &gt;&gt;C:\Users\stu\Documents\GitHub\eaglep3-reporting\EC\2016-10-05-refined-times.txt</v>
      </c>
      <c r="AI45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{"issue":{"subject":"","project_id":79,"tracker_id":40,"status_id":1,"priority_id":2,"assigned_to_id":23,"start_date":"2016-10-05","description":"","custom_fields":[{"id":1,"name":"Subdivision","value":"EC"},{"id":4,"name":"Milepost","value":"0.0149"},{"id":17,"name":"Train ID","value":"132-05"},{"id":16,"name":"Locomotive ID","value":"4026"},{"id":130,"name":"Impact","value":""},{"id":150,"name":"Time of Event (Mountain Time)","value":"09:07:09"},{"id":151,"name":"Denver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379</v>
      </c>
      <c r="B46" s="7">
        <v>4009</v>
      </c>
      <c r="C46" s="24" t="s">
        <v>106</v>
      </c>
      <c r="D46" s="24" t="s">
        <v>629</v>
      </c>
      <c r="E46" s="15">
        <v>42648.326909722222</v>
      </c>
      <c r="F46" s="15">
        <v>42648.327974537038</v>
      </c>
      <c r="G46" s="7">
        <v>1</v>
      </c>
      <c r="H46" s="15" t="s">
        <v>630</v>
      </c>
      <c r="I46" s="15">
        <v>42648.351099537038</v>
      </c>
      <c r="J46" s="7">
        <v>0</v>
      </c>
      <c r="K46" s="117" t="str">
        <f t="shared" si="25"/>
        <v>4009/4010</v>
      </c>
      <c r="L46" s="24" t="str">
        <f>VLOOKUP(A46,'Trips&amp;Operators'!$C$1:$E$10000,3,FALSE)</f>
        <v>STRICKLAND</v>
      </c>
      <c r="M46" s="6">
        <f t="shared" si="26"/>
        <v>2.3124999999708962E-2</v>
      </c>
      <c r="N46" s="7"/>
      <c r="O46" s="7"/>
      <c r="P46" s="7">
        <f>24*60*SUM($M46:$M46)</f>
        <v>33.299999999580905</v>
      </c>
      <c r="Q46" s="25"/>
      <c r="R46" s="25" t="s">
        <v>281</v>
      </c>
      <c r="S46" s="37">
        <f t="shared" si="22"/>
        <v>1</v>
      </c>
      <c r="T46" s="52" t="str">
        <f t="shared" si="4"/>
        <v>NorthBound</v>
      </c>
      <c r="U46" s="159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https://search-rtdc-monitor-bjffxe2xuh6vdkpspy63sjmuny.us-east-1.es.amazonaws.com/_plugin/kibana/#/discover/Steve-Slow-Train-Analysis-(2080s-and-2083s)?_g=(refreshInterval:(display:Off,section:0,value:0),time:(from:'2016-10-05 06:50:45-0600',mode:absolute,to:'2016-10-05 09:25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6" s="54" t="str">
        <f t="shared" si="28"/>
        <v>Y</v>
      </c>
      <c r="X46" s="164">
        <f t="shared" si="29"/>
        <v>1</v>
      </c>
      <c r="Y46" s="69">
        <f t="shared" si="23"/>
        <v>1.9125000000000001</v>
      </c>
      <c r="Z46" s="69">
        <f t="shared" si="24"/>
        <v>23.334499999999998</v>
      </c>
      <c r="AA46" s="69">
        <f t="shared" si="30"/>
        <v>21.421999999999997</v>
      </c>
      <c r="AB46" s="66" t="str">
        <f>VLOOKUP(A46,Enforcements!$C$7:$K$21,8,0)</f>
        <v>Bulletin (2)</v>
      </c>
      <c r="AC46" s="62" t="str">
        <f>VLOOKUP(A46,Enforcements!$C$7:$E$21,3,0)</f>
        <v>GRADE CROSSING</v>
      </c>
      <c r="AD46" s="63" t="str">
        <f t="shared" si="10"/>
        <v>0133-05</v>
      </c>
      <c r="AE46" s="95" t="str">
        <f t="shared" si="31"/>
        <v>aws s3 cp s3://rtdc.mdm.uploadarchive.raw/RTDC4009/ "%USERPROFILE%\AppData\Local\Temp\OnboardLogs"\RTDC4009\2016-10-05 --exclude "*" --recursive --include "*20161005*" &amp; "%USERPROFILE%\Documents\GitHub\mrs-test-scripts\Headless Mode &amp; Sideloading\WalkAndUnGZ.bat" "%USERPROFILE%\AppData\Local\Temp\OnboardLogs"\RTDC4009\2016-10-05 &amp; aws s3 cp s3://rtdc.mdm.uploadarchive.raw/RTDC4009/ "%USERPROFILE%\AppData\Local\Temp\OnboardLogs"\RTDC4009\2016-10-06 --exclude "*" --recursive --include "*20161006*" &amp; "%USERPROFILE%\Documents\GitHub\mrs-test-scripts\Headless Mode &amp; Sideloading\WalkAndUnGZ.bat" "%USERPROFILE%\AppData\Local\Temp\OnboardLogs"\RTDC4009\2016-10-06</v>
      </c>
      <c r="AF46" s="92" t="str">
        <f t="shared" si="32"/>
        <v>"C:\Program Files (x86)\AstroGrep\AstroGrep.exe" /spath="%USERPROFILE%\AppData\Local\Temp\OnboardLogs" /stypes="app*4009*20161005*" /stext=" 14:.+((SYSTEM_STATE.+slice.+state.+changed )|(ment ac)|(system.+state.+changed )|(\[timeout)|(PRM\|1\|D)|(kpr)|(kdp)|(\|lc)|(penalty))" /e /r /s</v>
      </c>
      <c r="AG46" s="1" t="str">
        <f t="shared" si="13"/>
        <v>EC</v>
      </c>
      <c r="AH46" s="96" t="str">
        <f t="shared" si="16"/>
        <v>"%USERPROFILE%\Documents\GitHub\eaglep3\Utilities\RefineRTDCRunTimes.py" --tripid 133-05 --locoid 4009 --swversion DE.1.0.7.0 --startMP 204:19125 --initTime 2016-10-05T07:50:45 --startdatetime 2016-10-05T07:52:17 --delay 1 --endMP 204:233345 --enddatetime 2016-10-05T08:25:35 --enforcementcount 0 &gt;&gt;C:\Users\stu\Documents\GitHub\eaglep3-reporting\EC\2016-10-05-refined-times.txt</v>
      </c>
      <c r="AI46" s="130" t="str">
        <f t="shared" si="17"/>
        <v>echo {"issue":{"subject":"Onboard in-route failure","project_id":79,"tracker_id":40,"status_id":1,"priority_id":2,"assigned_to_id":23,"start_date":"2016-10-05","description":"Received clear requests for DUS 2N at 07:40:13.070, but didn't clear in over 20 min. Dispatcher had to talk train past signal. Any odd behaviors observed around this time?","custom_fields":[{"id":1,"name":"Subdivision","value":"EC"},{"id":4,"name":"Milepost","value":"23.3345"},{"id":17,"name":"Train ID","value":"133-05"},{"id":16,"name":"Locomotive ID","value":"4009"},{"id":130,"name":"Impact","value":"Unexpected Cut-Out or Disengaged"},{"id":150,"name":"Time of Event (Mountain Time)","value":"08:25:35"},{"id":151,"name":"Denver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46" s="55" t="s">
        <v>769</v>
      </c>
      <c r="AK46" s="55" t="s">
        <v>140</v>
      </c>
      <c r="AL46" s="55" t="s">
        <v>139</v>
      </c>
    </row>
    <row r="47" spans="1:38" s="1" customFormat="1" x14ac:dyDescent="0.25">
      <c r="A47" s="39" t="s">
        <v>379</v>
      </c>
      <c r="B47" s="7">
        <v>4009</v>
      </c>
      <c r="C47" s="24" t="s">
        <v>106</v>
      </c>
      <c r="D47" s="24" t="s">
        <v>192</v>
      </c>
      <c r="E47" s="15">
        <v>42648.319143518522</v>
      </c>
      <c r="F47" s="15">
        <v>42648.327974537038</v>
      </c>
      <c r="G47" s="7">
        <v>1</v>
      </c>
      <c r="H47" s="15" t="s">
        <v>631</v>
      </c>
      <c r="I47" s="15">
        <v>42648.351099537038</v>
      </c>
      <c r="J47" s="7">
        <v>0</v>
      </c>
      <c r="K47" s="117" t="str">
        <f t="shared" si="25"/>
        <v>4009/4010</v>
      </c>
      <c r="L47" s="24" t="str">
        <f>VLOOKUP(A47,'Trips&amp;Operators'!$C$1:$E$10000,3,FALSE)</f>
        <v>STRICKLAND</v>
      </c>
      <c r="M47" s="6">
        <f t="shared" si="26"/>
        <v>2.3124999999708962E-2</v>
      </c>
      <c r="N47" s="7"/>
      <c r="O47" s="7"/>
      <c r="P47" s="7"/>
      <c r="Q47" s="25"/>
      <c r="R47" s="25"/>
      <c r="S47" s="37">
        <f t="shared" si="22"/>
        <v>0</v>
      </c>
      <c r="T47" s="52" t="str">
        <f t="shared" si="4"/>
        <v>NorthBound</v>
      </c>
      <c r="U47" s="159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0</v>
      </c>
      <c r="V47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https://search-rtdc-monitor-bjffxe2xuh6vdkpspy63sjmuny.us-east-1.es.amazonaws.com/_plugin/kibana/#/discover/Steve-Slow-Train-Analysis-(2080s-and-2083s)?_g=(refreshInterval:(display:Off,section:0,value:0),time:(from:'2016-10-05 06:39:34-0600',mode:absolute,to:'2016-10-05 09:25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7" s="54" t="str">
        <f t="shared" si="28"/>
        <v>Y</v>
      </c>
      <c r="X47" s="164">
        <f t="shared" si="29"/>
        <v>0</v>
      </c>
      <c r="Y47" s="69">
        <f t="shared" si="23"/>
        <v>4.7100000000000003E-2</v>
      </c>
      <c r="Z47" s="69">
        <f t="shared" si="24"/>
        <v>9.4100000000000003E-2</v>
      </c>
      <c r="AA47" s="69">
        <f t="shared" si="30"/>
        <v>4.7E-2</v>
      </c>
      <c r="AB47" s="66" t="str">
        <f>VLOOKUP(A47,Enforcements!$C$7:$K$21,8,0)</f>
        <v>Bulletin (2)</v>
      </c>
      <c r="AC47" s="62" t="str">
        <f>VLOOKUP(A47,Enforcements!$C$7:$E$21,3,0)</f>
        <v>GRADE CROSSING</v>
      </c>
      <c r="AD47" s="63" t="str">
        <f t="shared" si="10"/>
        <v>0133-05</v>
      </c>
      <c r="AE47" s="95" t="str">
        <f t="shared" si="31"/>
        <v>aws s3 cp s3://rtdc.mdm.uploadarchive.raw/RTDC4009/ "%USERPROFILE%\AppData\Local\Temp\OnboardLogs"\RTDC4009\2016-10-05 --exclude "*" --recursive --include "*20161005*" &amp; "%USERPROFILE%\Documents\GitHub\mrs-test-scripts\Headless Mode &amp; Sideloading\WalkAndUnGZ.bat" "%USERPROFILE%\AppData\Local\Temp\OnboardLogs"\RTDC4009\2016-10-05 &amp; aws s3 cp s3://rtdc.mdm.uploadarchive.raw/RTDC4009/ "%USERPROFILE%\AppData\Local\Temp\OnboardLogs"\RTDC4009\2016-10-06 --exclude "*" --recursive --include "*20161006*" &amp; "%USERPROFILE%\Documents\GitHub\mrs-test-scripts\Headless Mode &amp; Sideloading\WalkAndUnGZ.bat" "%USERPROFILE%\AppData\Local\Temp\OnboardLogs"\RTDC4009\2016-10-06</v>
      </c>
      <c r="AF47" s="92" t="str">
        <f t="shared" si="32"/>
        <v>"C:\Program Files (x86)\AstroGrep\AstroGrep.exe" /spath="%USERPROFILE%\AppData\Local\Temp\OnboardLogs" /stypes="app*4009*20161005*" /stext=" 14:.+((SYSTEM_STATE.+slice.+state.+changed )|(ment ac)|(system.+state.+changed )|(\[timeout)|(PRM\|1\|D)|(kpr)|(kdp)|(\|lc)|(penalty))" /e /r /s</v>
      </c>
      <c r="AG47" s="1" t="str">
        <f t="shared" si="13"/>
        <v>EC</v>
      </c>
      <c r="AH47" s="96" t="str">
        <f t="shared" si="16"/>
        <v>"%USERPROFILE%\Documents\GitHub\eaglep3\Utilities\RefineRTDCRunTimes.py" --tripid 133-05 --locoid 4009 --swversion DE.1.0.7.0 --startMP 204:471 --initTime 2016-10-05T07:39:34 --startdatetime 2016-10-05T07:52:17 --delay 1 --endMP 204:941 --enddatetime 2016-10-05T08:25:35 --enforcementcount 0 &gt;&gt;C:\Users\stu\Documents\GitHub\eaglep3-reporting\EC\2016-10-05-refined-times.txt</v>
      </c>
      <c r="AI47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{"issue":{"subject":"","project_id":79,"tracker_id":40,"status_id":1,"priority_id":2,"assigned_to_id":23,"start_date":"2016-10-05","description":"","custom_fields":[{"id":1,"name":"Subdivision","value":"EC"},{"id":4,"name":"Milepost","value":"0.0941"},{"id":17,"name":"Train ID","value":"133-05"},{"id":16,"name":"Locomotive ID","value":"4009"},{"id":130,"name":"Impact","value":""},{"id":150,"name":"Time of Event (Mountain Time)","value":"08:25:35"},{"id":151,"name":"Denver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386</v>
      </c>
      <c r="B48" s="7">
        <v>4010</v>
      </c>
      <c r="C48" s="24" t="s">
        <v>106</v>
      </c>
      <c r="D48" s="24" t="s">
        <v>342</v>
      </c>
      <c r="E48" s="15">
        <v>42648.357928240737</v>
      </c>
      <c r="F48" s="15">
        <v>42648.362037037034</v>
      </c>
      <c r="G48" s="7">
        <v>1</v>
      </c>
      <c r="H48" s="15" t="s">
        <v>126</v>
      </c>
      <c r="I48" s="15">
        <v>42648.390983796293</v>
      </c>
      <c r="J48" s="7">
        <v>0</v>
      </c>
      <c r="K48" s="117" t="str">
        <f t="shared" si="25"/>
        <v>4009/4010</v>
      </c>
      <c r="L48" s="24" t="str">
        <f>VLOOKUP(A48,'Trips&amp;Operators'!$C$1:$E$10000,3,FALSE)</f>
        <v>STRICKLAND</v>
      </c>
      <c r="M48" s="6">
        <f t="shared" si="26"/>
        <v>2.8946759259270038E-2</v>
      </c>
      <c r="N48" s="7">
        <f t="shared" ref="N48:N71" si="33">24*60*SUM($M48:$M48)</f>
        <v>41.683333333348855</v>
      </c>
      <c r="O48" s="7"/>
      <c r="P48" s="7"/>
      <c r="Q48" s="25"/>
      <c r="R48" s="25"/>
      <c r="S48" s="37">
        <f t="shared" si="22"/>
        <v>1</v>
      </c>
      <c r="T48" s="52" t="str">
        <f t="shared" si="4"/>
        <v>Southbound</v>
      </c>
      <c r="U48" s="159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https://search-rtdc-monitor-bjffxe2xuh6vdkpspy63sjmuny.us-east-1.es.amazonaws.com/_plugin/kibana/#/discover/Steve-Slow-Train-Analysis-(2080s-and-2083s)?_g=(refreshInterval:(display:Off,section:0,value:0),time:(from:'2016-10-05 07:35:25-0600',mode:absolute,to:'2016-10-05 10:23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8" s="54" t="str">
        <f t="shared" si="28"/>
        <v>N</v>
      </c>
      <c r="X48" s="164">
        <f t="shared" si="29"/>
        <v>1</v>
      </c>
      <c r="Y48" s="69">
        <f t="shared" si="23"/>
        <v>23.299199999999999</v>
      </c>
      <c r="Z48" s="69">
        <f t="shared" si="24"/>
        <v>1.54E-2</v>
      </c>
      <c r="AA48" s="69">
        <f t="shared" si="30"/>
        <v>23.283799999999999</v>
      </c>
      <c r="AB48" s="66" t="str">
        <f>VLOOKUP(A48,Enforcements!$C$7:$K$21,8,0)</f>
        <v>Speed (6)</v>
      </c>
      <c r="AC48" s="62" t="str">
        <f>VLOOKUP(A48,Enforcements!$C$7:$E$21,3,0)</f>
        <v>PERMANENT SPEED RESTRICTION</v>
      </c>
      <c r="AD48" s="63" t="str">
        <f t="shared" si="10"/>
        <v>0134-05</v>
      </c>
      <c r="AE48" s="95" t="str">
        <f t="shared" si="31"/>
        <v>aws s3 cp s3://rtdc.mdm.uploadarchive.raw/RTDC4010/ "%USERPROFILE%\AppData\Local\Temp\OnboardLogs"\RTDC4010\2016-10-05 --exclude "*" --recursive --include "*20161005*" &amp; "%USERPROFILE%\Documents\GitHub\mrs-test-scripts\Headless Mode &amp; Sideloading\WalkAndUnGZ.bat" "%USERPROFILE%\AppData\Local\Temp\OnboardLogs"\RTDC4010\2016-10-05 &amp; aws s3 cp s3://rtdc.mdm.uploadarchive.raw/RTDC4010/ "%USERPROFILE%\AppData\Local\Temp\OnboardLogs"\RTDC4010\2016-10-06 --exclude "*" --recursive --include "*20161006*" &amp; "%USERPROFILE%\Documents\GitHub\mrs-test-scripts\Headless Mode &amp; Sideloading\WalkAndUnGZ.bat" "%USERPROFILE%\AppData\Local\Temp\OnboardLogs"\RTDC4010\2016-10-06</v>
      </c>
      <c r="AF48" s="92" t="str">
        <f t="shared" si="32"/>
        <v>"C:\Program Files (x86)\AstroGrep\AstroGrep.exe" /spath="%USERPROFILE%\AppData\Local\Temp\OnboardLogs" /stypes="app*4010*20161005*" /stext=" 15:.+((SYSTEM_STATE.+slice.+state.+changed )|(ment ac)|(system.+state.+changed )|(\[timeout)|(PRM\|1\|D)|(kpr)|(kdp)|(\|lc)|(penalty))" /e /r /s</v>
      </c>
      <c r="AG48" s="1" t="str">
        <f t="shared" si="13"/>
        <v>EC</v>
      </c>
      <c r="AH48" s="96" t="str">
        <f t="shared" si="16"/>
        <v>"%USERPROFILE%\Documents\GitHub\eaglep3\Utilities\RefineRTDCRunTimes.py" --tripid 134-05 --locoid 4010 --swversion DE.1.0.7.0 --startMP 204:232992 --initTime 2016-10-05T08:35:25 --startdatetime 2016-10-05T08:41:20 --delay 1 --endMP 204:154 --enddatetime 2016-10-05T09:23:01 --enforcementcount 0 &gt;&gt;C:\Users\stu\Documents\GitHub\eaglep3-reporting\EC\2016-10-05-refined-times.txt</v>
      </c>
      <c r="AI48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{"issue":{"subject":"","project_id":79,"tracker_id":40,"status_id":1,"priority_id":2,"assigned_to_id":23,"start_date":"2016-10-05","description":"","custom_fields":[{"id":1,"name":"Subdivision","value":"EC"},{"id":4,"name":"Milepost","value":"0.0154"},{"id":17,"name":"Train ID","value":"134-05"},{"id":16,"name":"Locomotive ID","value":"4010"},{"id":130,"name":"Impact","value":""},{"id":150,"name":"Time of Event (Mountain Time)","value":"09:23:01"},{"id":151,"name":"Denver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474</v>
      </c>
      <c r="B49" s="7">
        <v>4007</v>
      </c>
      <c r="C49" s="24" t="s">
        <v>106</v>
      </c>
      <c r="D49" s="24" t="s">
        <v>195</v>
      </c>
      <c r="E49" s="15">
        <v>42648.330196759256</v>
      </c>
      <c r="F49" s="15">
        <v>42648.333506944444</v>
      </c>
      <c r="G49" s="7">
        <v>1</v>
      </c>
      <c r="H49" s="15" t="s">
        <v>338</v>
      </c>
      <c r="I49" s="15">
        <v>42648.359872685185</v>
      </c>
      <c r="J49" s="7">
        <v>0</v>
      </c>
      <c r="K49" s="117" t="str">
        <f t="shared" si="25"/>
        <v>4007/4008</v>
      </c>
      <c r="L49" s="24" t="str">
        <f>VLOOKUP(A49,'Trips&amp;Operators'!$C$1:$E$10000,3,FALSE)</f>
        <v>SPECTOR</v>
      </c>
      <c r="M49" s="6">
        <f t="shared" si="26"/>
        <v>2.6365740741312038E-2</v>
      </c>
      <c r="N49" s="7">
        <f t="shared" si="33"/>
        <v>37.966666667489335</v>
      </c>
      <c r="O49" s="7"/>
      <c r="P49" s="7"/>
      <c r="Q49" s="25"/>
      <c r="R49" s="25"/>
      <c r="S49" s="37">
        <f t="shared" si="22"/>
        <v>1</v>
      </c>
      <c r="T49" s="52" t="str">
        <f t="shared" si="4"/>
        <v>NorthBound</v>
      </c>
      <c r="U49" s="159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https://search-rtdc-monitor-bjffxe2xuh6vdkpspy63sjmuny.us-east-1.es.amazonaws.com/_plugin/kibana/#/discover/Steve-Slow-Train-Analysis-(2080s-and-2083s)?_g=(refreshInterval:(display:Off,section:0,value:0),time:(from:'2016-10-05 06:55:29-0600',mode:absolute,to:'2016-10-05 09:38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49" s="54" t="str">
        <f t="shared" si="28"/>
        <v>N</v>
      </c>
      <c r="X49" s="164">
        <f t="shared" si="29"/>
        <v>1</v>
      </c>
      <c r="Y49" s="69">
        <f t="shared" si="23"/>
        <v>4.53E-2</v>
      </c>
      <c r="Z49" s="69">
        <f t="shared" si="24"/>
        <v>23.333400000000001</v>
      </c>
      <c r="AA49" s="69">
        <f t="shared" si="30"/>
        <v>23.2881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 t="shared" si="10"/>
        <v>0135-05</v>
      </c>
      <c r="AE49" s="95" t="str">
        <f t="shared" si="31"/>
        <v>aws s3 cp s3://rtdc.mdm.uploadarchive.raw/RTDC4007/ "%USERPROFILE%\AppData\Local\Temp\OnboardLogs"\RTDC4007\2016-10-05 --exclude "*" --recursive --include "*20161005*" &amp; "%USERPROFILE%\Documents\GitHub\mrs-test-scripts\Headless Mode &amp; Sideloading\WalkAndUnGZ.bat" "%USERPROFILE%\AppData\Local\Temp\OnboardLogs"\RTDC4007\2016-10-05 &amp; 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</v>
      </c>
      <c r="AF49" s="92" t="str">
        <f t="shared" si="32"/>
        <v>"C:\Program Files (x86)\AstroGrep\AstroGrep.exe" /spath="%USERPROFILE%\AppData\Local\Temp\OnboardLogs" /stypes="app*4007*20161005*" /stext=" 14:.+((SYSTEM_STATE.+slice.+state.+changed )|(ment ac)|(system.+state.+changed )|(\[timeout)|(PRM\|1\|D)|(kpr)|(kdp)|(\|lc)|(penalty))" /e /r /s</v>
      </c>
      <c r="AG49" s="1" t="str">
        <f t="shared" si="13"/>
        <v>EC</v>
      </c>
      <c r="AH49" s="96" t="str">
        <f t="shared" si="16"/>
        <v>"%USERPROFILE%\Documents\GitHub\eaglep3\Utilities\RefineRTDCRunTimes.py" --tripid 135-05 --locoid 4007 --swversion DE.1.0.7.0 --startMP 204:453 --initTime 2016-10-05T07:55:29 --startdatetime 2016-10-05T08:00:15 --delay 1 --endMP 204:233334 --enddatetime 2016-10-05T08:38:13 --enforcementcount 0 &gt;&gt;C:\Users\stu\Documents\GitHub\eaglep3-reporting\EC\2016-10-05-refined-times.txt</v>
      </c>
      <c r="AI49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{"issue":{"subject":"","project_id":79,"tracker_id":40,"status_id":1,"priority_id":2,"assigned_to_id":23,"start_date":"2016-10-05","description":"","custom_fields":[{"id":1,"name":"Subdivision","value":"EC"},{"id":4,"name":"Milepost","value":"23.3334"},{"id":17,"name":"Train ID","value":"135-05"},{"id":16,"name":"Locomotive ID","value":"4007"},{"id":130,"name":"Impact","value":""},{"id":150,"name":"Time of Event (Mountain Time)","value":"08:38:13"},{"id":151,"name":"Denver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387</v>
      </c>
      <c r="B50" s="7">
        <v>4008</v>
      </c>
      <c r="C50" s="24" t="s">
        <v>106</v>
      </c>
      <c r="D50" s="24" t="s">
        <v>632</v>
      </c>
      <c r="E50" s="15">
        <v>42648.366631944446</v>
      </c>
      <c r="F50" s="15">
        <v>42648.372395833336</v>
      </c>
      <c r="G50" s="7">
        <v>1</v>
      </c>
      <c r="H50" s="15" t="s">
        <v>126</v>
      </c>
      <c r="I50" s="15">
        <v>42648.40247685185</v>
      </c>
      <c r="J50" s="7">
        <v>0</v>
      </c>
      <c r="K50" s="117" t="str">
        <f t="shared" si="25"/>
        <v>4007/4008</v>
      </c>
      <c r="L50" s="24" t="str">
        <f>VLOOKUP(A50,'Trips&amp;Operators'!$C$1:$E$10000,3,FALSE)</f>
        <v>SPECTOR</v>
      </c>
      <c r="M50" s="6">
        <f t="shared" si="26"/>
        <v>3.0081018514465541E-2</v>
      </c>
      <c r="N50" s="7">
        <f t="shared" si="33"/>
        <v>43.316666660830379</v>
      </c>
      <c r="O50" s="7"/>
      <c r="P50" s="7"/>
      <c r="Q50" s="25"/>
      <c r="R50" s="25"/>
      <c r="S50" s="37">
        <f t="shared" si="22"/>
        <v>1</v>
      </c>
      <c r="T50" s="52" t="str">
        <f t="shared" si="4"/>
        <v>Southbound</v>
      </c>
      <c r="U50" s="159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https://search-rtdc-monitor-bjffxe2xuh6vdkpspy63sjmuny.us-east-1.es.amazonaws.com/_plugin/kibana/#/discover/Steve-Slow-Train-Analysis-(2080s-and-2083s)?_g=(refreshInterval:(display:Off,section:0,value:0),time:(from:'2016-10-05 07:47:57-0600',mode:absolute,to:'2016-10-05 10:39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0" s="54" t="str">
        <f t="shared" si="28"/>
        <v>N</v>
      </c>
      <c r="X50" s="164">
        <f t="shared" si="29"/>
        <v>1</v>
      </c>
      <c r="Y50" s="69">
        <f t="shared" si="23"/>
        <v>23.3</v>
      </c>
      <c r="Z50" s="69">
        <f t="shared" si="24"/>
        <v>1.54E-2</v>
      </c>
      <c r="AA50" s="69">
        <f t="shared" si="30"/>
        <v>23.284600000000001</v>
      </c>
      <c r="AB50" s="66" t="str">
        <f>VLOOKUP(A50,Enforcements!$C$7:$K$21,8,0)</f>
        <v>Bulletin (2)</v>
      </c>
      <c r="AC50" s="62" t="str">
        <f>VLOOKUP(A50,Enforcements!$C$7:$E$21,3,0)</f>
        <v>GRADE CROSSING</v>
      </c>
      <c r="AD50" s="63" t="str">
        <f t="shared" si="10"/>
        <v>0136-05</v>
      </c>
      <c r="AE50" s="95" t="str">
        <f t="shared" si="31"/>
        <v>aws s3 cp s3://rtdc.mdm.uploadarchive.raw/RTDC4008/ "%USERPROFILE%\AppData\Local\Temp\OnboardLogs"\RTDC4008\2016-10-05 --exclude "*" --recursive --include "*20161005*" &amp; "%USERPROFILE%\Documents\GitHub\mrs-test-scripts\Headless Mode &amp; Sideloading\WalkAndUnGZ.bat" "%USERPROFILE%\AppData\Local\Temp\OnboardLogs"\RTDC4008\2016-10-05 &amp; 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</v>
      </c>
      <c r="AF50" s="92" t="str">
        <f t="shared" si="32"/>
        <v>"C:\Program Files (x86)\AstroGrep\AstroGrep.exe" /spath="%USERPROFILE%\AppData\Local\Temp\OnboardLogs" /stypes="app*4008*20161005*" /stext=" 15:.+((SYSTEM_STATE.+slice.+state.+changed )|(ment ac)|(system.+state.+changed )|(\[timeout)|(PRM\|1\|D)|(kpr)|(kdp)|(\|lc)|(penalty))" /e /r /s</v>
      </c>
      <c r="AG50" s="1" t="str">
        <f t="shared" si="13"/>
        <v>EC</v>
      </c>
      <c r="AH50" s="96" t="str">
        <f t="shared" si="16"/>
        <v>"%USERPROFILE%\Documents\GitHub\eaglep3\Utilities\RefineRTDCRunTimes.py" --tripid 136-05 --locoid 4008 --swversion DE.1.0.7.0 --startMP 204:233000 --initTime 2016-10-05T08:47:57 --startdatetime 2016-10-05T08:56:15 --delay 1 --endMP 204:154 --enddatetime 2016-10-05T09:39:34 --enforcementcount 0 &gt;&gt;C:\Users\stu\Documents\GitHub\eaglep3-reporting\EC\2016-10-05-refined-times.txt</v>
      </c>
      <c r="AI50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{"issue":{"subject":"","project_id":79,"tracker_id":40,"status_id":1,"priority_id":2,"assigned_to_id":23,"start_date":"2016-10-05","description":"","custom_fields":[{"id":1,"name":"Subdivision","value":"EC"},{"id":4,"name":"Milepost","value":"0.0154"},{"id":17,"name":"Train ID","value":"136-05"},{"id":16,"name":"Locomotive ID","value":"4008"},{"id":130,"name":"Impact","value":""},{"id":150,"name":"Time of Event (Mountain Time)","value":"09:39:34"},{"id":151,"name":"Denver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476</v>
      </c>
      <c r="B51" s="7">
        <v>4018</v>
      </c>
      <c r="C51" s="24" t="s">
        <v>106</v>
      </c>
      <c r="D51" s="24" t="s">
        <v>203</v>
      </c>
      <c r="E51" s="15">
        <v>42648.341782407406</v>
      </c>
      <c r="F51" s="15">
        <v>42648.343969907408</v>
      </c>
      <c r="G51" s="7">
        <v>1</v>
      </c>
      <c r="H51" s="15" t="s">
        <v>260</v>
      </c>
      <c r="I51" s="15">
        <v>42648.369039351855</v>
      </c>
      <c r="J51" s="7">
        <v>0</v>
      </c>
      <c r="K51" s="117" t="str">
        <f t="shared" si="25"/>
        <v>4017/4018</v>
      </c>
      <c r="L51" s="24" t="str">
        <f>VLOOKUP(A51,'Trips&amp;Operators'!$C$1:$E$10000,3,FALSE)</f>
        <v>KILLION</v>
      </c>
      <c r="M51" s="6">
        <f t="shared" si="26"/>
        <v>2.5069444447581191E-2</v>
      </c>
      <c r="N51" s="7">
        <f t="shared" si="33"/>
        <v>36.100000004516914</v>
      </c>
      <c r="O51" s="7"/>
      <c r="P51" s="7"/>
      <c r="Q51" s="25"/>
      <c r="R51" s="25"/>
      <c r="S51" s="37">
        <f t="shared" si="22"/>
        <v>1</v>
      </c>
      <c r="T51" s="52" t="str">
        <f t="shared" si="4"/>
        <v>NorthBound</v>
      </c>
      <c r="U51" s="159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https://search-rtdc-monitor-bjffxe2xuh6vdkpspy63sjmuny.us-east-1.es.amazonaws.com/_plugin/kibana/#/discover/Steve-Slow-Train-Analysis-(2080s-and-2083s)?_g=(refreshInterval:(display:Off,section:0,value:0),time:(from:'2016-10-05 07:12:10-0600',mode:absolute,to:'2016-10-05 09:51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1" s="54" t="str">
        <f t="shared" si="28"/>
        <v>N</v>
      </c>
      <c r="X51" s="164">
        <f t="shared" si="29"/>
        <v>1</v>
      </c>
      <c r="Y51" s="69">
        <f t="shared" si="23"/>
        <v>4.58E-2</v>
      </c>
      <c r="Z51" s="69">
        <f t="shared" si="24"/>
        <v>23.328900000000001</v>
      </c>
      <c r="AA51" s="69">
        <f t="shared" si="30"/>
        <v>23.283100000000001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 t="shared" si="10"/>
        <v>0137-05</v>
      </c>
      <c r="AE51" s="95" t="str">
        <f t="shared" si="31"/>
        <v>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 &amp; aws s3 cp s3://rtdc.mdm.uploadarchive.raw/RTDC4018/ "%USERPROFILE%\AppData\Local\Temp\OnboardLogs"\RTDC4018\2016-10-06 --exclude "*" --recursive --include "*20161006*" &amp; "%USERPROFILE%\Documents\GitHub\mrs-test-scripts\Headless Mode &amp; Sideloading\WalkAndUnGZ.bat" "%USERPROFILE%\AppData\Local\Temp\OnboardLogs"\RTDC4018\2016-10-06</v>
      </c>
      <c r="AF51" s="92" t="str">
        <f t="shared" si="32"/>
        <v>"C:\Program Files (x86)\AstroGrep\AstroGrep.exe" /spath="%USERPROFILE%\AppData\Local\Temp\OnboardLogs" /stypes="app*4018*20161005*" /stext=" 14:.+((SYSTEM_STATE.+slice.+state.+changed )|(ment ac)|(system.+state.+changed )|(\[timeout)|(PRM\|1\|D)|(kpr)|(kdp)|(\|lc)|(penalty))" /e /r /s</v>
      </c>
      <c r="AG51" s="1" t="str">
        <f t="shared" si="13"/>
        <v>EC</v>
      </c>
      <c r="AH51" s="96" t="str">
        <f t="shared" si="16"/>
        <v>"%USERPROFILE%\Documents\GitHub\eaglep3\Utilities\RefineRTDCRunTimes.py" --tripid 137-05 --locoid 4018 --swversion DE.1.0.7.0 --startMP 204:458 --initTime 2016-10-05T08:12:10 --startdatetime 2016-10-05T08:15:19 --delay 1 --endMP 204:233289 --enddatetime 2016-10-05T08:51:25 --enforcementcount 0 &gt;&gt;C:\Users\stu\Documents\GitHub\eaglep3-reporting\EC\2016-10-05-refined-times.txt</v>
      </c>
      <c r="AI51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{"issue":{"subject":"","project_id":79,"tracker_id":40,"status_id":1,"priority_id":2,"assigned_to_id":23,"start_date":"2016-10-05","description":"","custom_fields":[{"id":1,"name":"Subdivision","value":"EC"},{"id":4,"name":"Milepost","value":"23.3289"},{"id":17,"name":"Train ID","value":"137-05"},{"id":16,"name":"Locomotive ID","value":"4018"},{"id":130,"name":"Impact","value":""},{"id":150,"name":"Time of Event (Mountain Time)","value":"08:51:25"},{"id":151,"name":"Denver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388</v>
      </c>
      <c r="B52" s="7">
        <v>4017</v>
      </c>
      <c r="C52" s="24" t="s">
        <v>106</v>
      </c>
      <c r="D52" s="24" t="s">
        <v>279</v>
      </c>
      <c r="E52" s="15">
        <v>42648.3746875</v>
      </c>
      <c r="F52" s="15">
        <v>42648.382962962962</v>
      </c>
      <c r="G52" s="7">
        <v>1</v>
      </c>
      <c r="H52" s="15" t="s">
        <v>190</v>
      </c>
      <c r="I52" s="15">
        <v>42648.410115740742</v>
      </c>
      <c r="J52" s="7">
        <v>0</v>
      </c>
      <c r="K52" s="117" t="str">
        <f t="shared" si="25"/>
        <v>4017/4018</v>
      </c>
      <c r="L52" s="24" t="str">
        <f>VLOOKUP(A52,'Trips&amp;Operators'!$C$1:$E$10000,3,FALSE)</f>
        <v>KILLION</v>
      </c>
      <c r="M52" s="6">
        <f t="shared" si="26"/>
        <v>2.715277778042946E-2</v>
      </c>
      <c r="N52" s="7">
        <f t="shared" si="33"/>
        <v>39.100000003818423</v>
      </c>
      <c r="O52" s="7"/>
      <c r="P52" s="7"/>
      <c r="Q52" s="25"/>
      <c r="R52" s="25"/>
      <c r="S52" s="37">
        <f t="shared" si="22"/>
        <v>1</v>
      </c>
      <c r="T52" s="52" t="str">
        <f t="shared" si="4"/>
        <v>Southbound</v>
      </c>
      <c r="U52" s="159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https://search-rtdc-monitor-bjffxe2xuh6vdkpspy63sjmuny.us-east-1.es.amazonaws.com/_plugin/kibana/#/discover/Steve-Slow-Train-Analysis-(2080s-and-2083s)?_g=(refreshInterval:(display:Off,section:0,value:0),time:(from:'2016-10-05 07:59:33-0600',mode:absolute,to:'2016-10-05 10:50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2" s="54" t="str">
        <f t="shared" si="28"/>
        <v>N</v>
      </c>
      <c r="X52" s="164">
        <f t="shared" si="29"/>
        <v>1</v>
      </c>
      <c r="Y52" s="69">
        <f t="shared" si="23"/>
        <v>23.297499999999999</v>
      </c>
      <c r="Z52" s="69">
        <f t="shared" si="24"/>
        <v>1.49E-2</v>
      </c>
      <c r="AA52" s="69">
        <f t="shared" si="30"/>
        <v>23.282599999999999</v>
      </c>
      <c r="AB52" s="66" t="str">
        <f>VLOOKUP(A52,Enforcements!$C$7:$K$21,8,0)</f>
        <v>Bulletin (2)</v>
      </c>
      <c r="AC52" s="62" t="str">
        <f>VLOOKUP(A52,Enforcements!$C$7:$E$21,3,0)</f>
        <v>GRADE CROSSING</v>
      </c>
      <c r="AD52" s="63" t="str">
        <f t="shared" si="10"/>
        <v>0138-05</v>
      </c>
      <c r="AE52" s="95" t="str">
        <f t="shared" si="31"/>
        <v>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 &amp; aws s3 cp s3://rtdc.mdm.uploadarchive.raw/RTDC4017/ "%USERPROFILE%\AppData\Local\Temp\OnboardLogs"\RTDC4017\2016-10-06 --exclude "*" --recursive --include "*20161006*" &amp; "%USERPROFILE%\Documents\GitHub\mrs-test-scripts\Headless Mode &amp; Sideloading\WalkAndUnGZ.bat" "%USERPROFILE%\AppData\Local\Temp\OnboardLogs"\RTDC4017\2016-10-06</v>
      </c>
      <c r="AF52" s="92" t="str">
        <f t="shared" si="32"/>
        <v>"C:\Program Files (x86)\AstroGrep\AstroGrep.exe" /spath="%USERPROFILE%\AppData\Local\Temp\OnboardLogs" /stypes="app*4017*20161005*" /stext=" 15:.+((SYSTEM_STATE.+slice.+state.+changed )|(ment ac)|(system.+state.+changed )|(\[timeout)|(PRM\|1\|D)|(kpr)|(kdp)|(\|lc)|(penalty))" /e /r /s</v>
      </c>
      <c r="AG52" s="1" t="str">
        <f t="shared" si="13"/>
        <v>EC</v>
      </c>
      <c r="AH52" s="96" t="str">
        <f t="shared" si="16"/>
        <v>"%USERPROFILE%\Documents\GitHub\eaglep3\Utilities\RefineRTDCRunTimes.py" --tripid 138-05 --locoid 4017 --swversion DE.1.0.7.0 --startMP 204:232975 --initTime 2016-10-05T08:59:33 --startdatetime 2016-10-05T09:11:28 --delay 1 --endMP 204:149 --enddatetime 2016-10-05T09:50:34 --enforcementcount 0 &gt;&gt;C:\Users\stu\Documents\GitHub\eaglep3-reporting\EC\2016-10-05-refined-times.txt</v>
      </c>
      <c r="AI52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{"issue":{"subject":"","project_id":79,"tracker_id":40,"status_id":1,"priority_id":2,"assigned_to_id":23,"start_date":"2016-10-05","description":"","custom_fields":[{"id":1,"name":"Subdivision","value":"EC"},{"id":4,"name":"Milepost","value":"0.0149"},{"id":17,"name":"Train ID","value":"138-05"},{"id":16,"name":"Locomotive ID","value":"4017"},{"id":130,"name":"Impact","value":""},{"id":150,"name":"Time of Event (Mountain Time)","value":"09:50:34"},{"id":151,"name":"Denver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478</v>
      </c>
      <c r="B53" s="7">
        <v>4003</v>
      </c>
      <c r="C53" s="24" t="s">
        <v>106</v>
      </c>
      <c r="D53" s="24" t="s">
        <v>200</v>
      </c>
      <c r="E53" s="15">
        <v>42648.351909722223</v>
      </c>
      <c r="F53" s="15">
        <v>42648.355706018519</v>
      </c>
      <c r="G53" s="7">
        <v>5</v>
      </c>
      <c r="H53" s="15" t="s">
        <v>214</v>
      </c>
      <c r="I53" s="15">
        <v>42648.381435185183</v>
      </c>
      <c r="J53" s="7">
        <v>0</v>
      </c>
      <c r="K53" s="117" t="str">
        <f t="shared" si="25"/>
        <v>4003/4004</v>
      </c>
      <c r="L53" s="24" t="str">
        <f>VLOOKUP(A53,'Trips&amp;Operators'!$C$1:$E$10000,3,FALSE)</f>
        <v>BARTELL</v>
      </c>
      <c r="M53" s="6">
        <f t="shared" si="26"/>
        <v>2.5729166663950309E-2</v>
      </c>
      <c r="N53" s="7">
        <f t="shared" si="33"/>
        <v>37.049999996088445</v>
      </c>
      <c r="O53" s="7"/>
      <c r="P53" s="7"/>
      <c r="Q53" s="25"/>
      <c r="R53" s="25"/>
      <c r="S53" s="37">
        <f t="shared" si="22"/>
        <v>1</v>
      </c>
      <c r="T53" s="52" t="str">
        <f t="shared" si="4"/>
        <v>NorthBound</v>
      </c>
      <c r="U53" s="159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https://search-rtdc-monitor-bjffxe2xuh6vdkpspy63sjmuny.us-east-1.es.amazonaws.com/_plugin/kibana/#/discover/Steve-Slow-Train-Analysis-(2080s-and-2083s)?_g=(refreshInterval:(display:Off,section:0,value:0),time:(from:'2016-10-05 07:26:45-0600',mode:absolute,to:'2016-10-05 10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3" s="54" t="str">
        <f t="shared" si="28"/>
        <v>N</v>
      </c>
      <c r="X53" s="164">
        <f t="shared" si="29"/>
        <v>1</v>
      </c>
      <c r="Y53" s="69">
        <f t="shared" si="23"/>
        <v>4.6600000000000003E-2</v>
      </c>
      <c r="Z53" s="69">
        <f t="shared" si="24"/>
        <v>23.331199999999999</v>
      </c>
      <c r="AA53" s="69">
        <f t="shared" si="30"/>
        <v>23.284599999999998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 t="shared" si="10"/>
        <v>0139-05</v>
      </c>
      <c r="AE53" s="95" t="str">
        <f t="shared" si="31"/>
        <v>aws s3 cp s3://rtdc.mdm.uploadarchive.raw/RTDC4003/ "%USERPROFILE%\AppData\Local\Temp\OnboardLogs"\RTDC4003\2016-10-05 --exclude "*" --recursive --include "*20161005*" &amp; "%USERPROFILE%\Documents\GitHub\mrs-test-scripts\Headless Mode &amp; Sideloading\WalkAndUnGZ.bat" "%USERPROFILE%\AppData\Local\Temp\OnboardLogs"\RTDC4003\2016-10-05 &amp; aws s3 cp s3://rtdc.mdm.uploadarchive.raw/RTDC4003/ "%USERPROFILE%\AppData\Local\Temp\OnboardLogs"\RTDC4003\2016-10-06 --exclude "*" --recursive --include "*20161006*" &amp; "%USERPROFILE%\Documents\GitHub\mrs-test-scripts\Headless Mode &amp; Sideloading\WalkAndUnGZ.bat" "%USERPROFILE%\AppData\Local\Temp\OnboardLogs"\RTDC4003\2016-10-06</v>
      </c>
      <c r="AF53" s="92" t="str">
        <f t="shared" si="32"/>
        <v>"C:\Program Files (x86)\AstroGrep\AstroGrep.exe" /spath="%USERPROFILE%\AppData\Local\Temp\OnboardLogs" /stypes="app*4003*20161005*" /stext=" 15:.+((SYSTEM_STATE.+slice.+state.+changed )|(ment ac)|(system.+state.+changed )|(\[timeout)|(PRM\|1\|D)|(kpr)|(kdp)|(\|lc)|(penalty))" /e /r /s</v>
      </c>
      <c r="AG53" s="1" t="str">
        <f t="shared" si="13"/>
        <v>EC</v>
      </c>
      <c r="AH53" s="96" t="str">
        <f t="shared" si="16"/>
        <v>"%USERPROFILE%\Documents\GitHub\eaglep3\Utilities\RefineRTDCRunTimes.py" --tripid 139-05 --locoid 4003 --swversion DE.1.0.7.0 --startMP 204:466 --initTime 2016-10-05T08:26:45 --startdatetime 2016-10-05T08:32:13 --delay 5 --endMP 204:233312 --enddatetime 2016-10-05T09:09:16 --enforcementcount 0 &gt;&gt;C:\Users\stu\Documents\GitHub\eaglep3-reporting\EC\2016-10-05-refined-times.txt</v>
      </c>
      <c r="AI53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{"issue":{"subject":"","project_id":79,"tracker_id":40,"status_id":1,"priority_id":2,"assigned_to_id":23,"start_date":"2016-10-05","description":"","custom_fields":[{"id":1,"name":"Subdivision","value":"EC"},{"id":4,"name":"Milepost","value":"23.3312"},{"id":17,"name":"Train ID","value":"139-05"},{"id":16,"name":"Locomotive ID","value":"4003"},{"id":130,"name":"Impact","value":""},{"id":150,"name":"Time of Event (Mountain Time)","value":"09:09:16"},{"id":151,"name":"Denver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389</v>
      </c>
      <c r="B54" s="7">
        <v>4004</v>
      </c>
      <c r="C54" s="24" t="s">
        <v>106</v>
      </c>
      <c r="D54" s="24" t="s">
        <v>329</v>
      </c>
      <c r="E54" s="15">
        <v>42648.388692129629</v>
      </c>
      <c r="F54" s="15">
        <v>42648.393437500003</v>
      </c>
      <c r="G54" s="7">
        <v>2</v>
      </c>
      <c r="H54" s="15" t="s">
        <v>212</v>
      </c>
      <c r="I54" s="15">
        <v>42648.422222222223</v>
      </c>
      <c r="J54" s="7">
        <v>0</v>
      </c>
      <c r="K54" s="117" t="str">
        <f t="shared" si="25"/>
        <v>4003/4004</v>
      </c>
      <c r="L54" s="24" t="str">
        <f>VLOOKUP(A54,'Trips&amp;Operators'!$C$1:$E$10000,3,FALSE)</f>
        <v>BARTELL</v>
      </c>
      <c r="M54" s="6">
        <f t="shared" si="26"/>
        <v>2.8784722220734693E-2</v>
      </c>
      <c r="N54" s="7">
        <f t="shared" si="33"/>
        <v>41.449999997857958</v>
      </c>
      <c r="O54" s="7"/>
      <c r="P54" s="7"/>
      <c r="Q54" s="25"/>
      <c r="R54" s="25"/>
      <c r="S54" s="37">
        <f t="shared" si="22"/>
        <v>1</v>
      </c>
      <c r="T54" s="52" t="str">
        <f t="shared" si="4"/>
        <v>Southbound</v>
      </c>
      <c r="U54" s="159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https://search-rtdc-monitor-bjffxe2xuh6vdkpspy63sjmuny.us-east-1.es.amazonaws.com/_plugin/kibana/#/discover/Steve-Slow-Train-Analysis-(2080s-and-2083s)?_g=(refreshInterval:(display:Off,section:0,value:0),time:(from:'2016-10-05 08:19:43-0600',mode:absolute,to:'2016-10-05 11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4" s="54" t="str">
        <f t="shared" si="28"/>
        <v>N</v>
      </c>
      <c r="X54" s="164">
        <f t="shared" si="29"/>
        <v>1</v>
      </c>
      <c r="Y54" s="69">
        <f t="shared" si="23"/>
        <v>23.300999999999998</v>
      </c>
      <c r="Z54" s="69">
        <f t="shared" si="24"/>
        <v>1.4500000000000001E-2</v>
      </c>
      <c r="AA54" s="69">
        <f t="shared" si="30"/>
        <v>23.286499999999997</v>
      </c>
      <c r="AB54" s="66" t="str">
        <f>VLOOKUP(A54,Enforcements!$C$7:$K$21,8,0)</f>
        <v>Bulletin (2)</v>
      </c>
      <c r="AC54" s="62" t="str">
        <f>VLOOKUP(A54,Enforcements!$C$7:$E$21,3,0)</f>
        <v>GRADE CROSSING</v>
      </c>
      <c r="AD54" s="63" t="str">
        <f t="shared" si="10"/>
        <v>0140-05</v>
      </c>
      <c r="AE54" s="95" t="str">
        <f t="shared" si="31"/>
        <v>aws s3 cp s3://rtdc.mdm.uploadarchive.raw/RTDC4004/ "%USERPROFILE%\AppData\Local\Temp\OnboardLogs"\RTDC4004\2016-10-05 --exclude "*" --recursive --include "*20161005*" &amp; "%USERPROFILE%\Documents\GitHub\mrs-test-scripts\Headless Mode &amp; Sideloading\WalkAndUnGZ.bat" "%USERPROFILE%\AppData\Local\Temp\OnboardLogs"\RTDC4004\2016-10-05 &amp; aws s3 cp s3://rtdc.mdm.uploadarchive.raw/RTDC4004/ "%USERPROFILE%\AppData\Local\Temp\OnboardLogs"\RTDC4004\2016-10-06 --exclude "*" --recursive --include "*20161006*" &amp; "%USERPROFILE%\Documents\GitHub\mrs-test-scripts\Headless Mode &amp; Sideloading\WalkAndUnGZ.bat" "%USERPROFILE%\AppData\Local\Temp\OnboardLogs"\RTDC4004\2016-10-06</v>
      </c>
      <c r="AF54" s="92" t="str">
        <f t="shared" si="32"/>
        <v>"C:\Program Files (x86)\AstroGrep\AstroGrep.exe" /spath="%USERPROFILE%\AppData\Local\Temp\OnboardLogs" /stypes="app*4004*20161005*" /stext=" 16:.+((SYSTEM_STATE.+slice.+state.+changed )|(ment ac)|(system.+state.+changed )|(\[timeout)|(PRM\|1\|D)|(kpr)|(kdp)|(\|lc)|(penalty))" /e /r /s</v>
      </c>
      <c r="AG54" s="1" t="str">
        <f t="shared" si="13"/>
        <v>EC</v>
      </c>
      <c r="AH54" s="96" t="str">
        <f t="shared" si="16"/>
        <v>"%USERPROFILE%\Documents\GitHub\eaglep3\Utilities\RefineRTDCRunTimes.py" --tripid 140-05 --locoid 4004 --swversion DE.1.0.7.0 --startMP 204:233010 --initTime 2016-10-05T09:19:43 --startdatetime 2016-10-05T09:26:33 --delay 2 --endMP 204:145 --enddatetime 2016-10-05T10:08:00 --enforcementcount 0 &gt;&gt;C:\Users\stu\Documents\GitHub\eaglep3-reporting\EC\2016-10-05-refined-times.txt</v>
      </c>
      <c r="AI54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{"issue":{"subject":"","project_id":79,"tracker_id":40,"status_id":1,"priority_id":2,"assigned_to_id":23,"start_date":"2016-10-05","description":"","custom_fields":[{"id":1,"name":"Subdivision","value":"EC"},{"id":4,"name":"Milepost","value":"0.0145"},{"id":17,"name":"Train ID","value":"140-05"},{"id":16,"name":"Locomotive ID","value":"4004"},{"id":130,"name":"Impact","value":""},{"id":150,"name":"Time of Event (Mountain Time)","value":"10:08:00"},{"id":151,"name":"Denver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481</v>
      </c>
      <c r="B55" s="7">
        <v>4027</v>
      </c>
      <c r="C55" s="24" t="s">
        <v>106</v>
      </c>
      <c r="D55" s="24" t="s">
        <v>201</v>
      </c>
      <c r="E55" s="15">
        <v>42648.361238425925</v>
      </c>
      <c r="F55" s="15">
        <v>42648.364907407406</v>
      </c>
      <c r="G55" s="7">
        <v>1</v>
      </c>
      <c r="H55" s="15" t="s">
        <v>633</v>
      </c>
      <c r="I55" s="15">
        <v>42648.390023148146</v>
      </c>
      <c r="J55" s="7">
        <v>0</v>
      </c>
      <c r="K55" s="117" t="str">
        <f t="shared" si="25"/>
        <v>4027/4028</v>
      </c>
      <c r="L55" s="24" t="str">
        <f>VLOOKUP(A55,'Trips&amp;Operators'!$C$1:$E$10000,3,FALSE)</f>
        <v>MAELZER</v>
      </c>
      <c r="M55" s="6">
        <f t="shared" si="26"/>
        <v>2.5115740740147885E-2</v>
      </c>
      <c r="N55" s="7">
        <f t="shared" si="33"/>
        <v>36.166666665812954</v>
      </c>
      <c r="O55" s="7"/>
      <c r="P55" s="7"/>
      <c r="Q55" s="25"/>
      <c r="R55" s="25"/>
      <c r="S55" s="37">
        <f t="shared" si="22"/>
        <v>1</v>
      </c>
      <c r="T55" s="52" t="str">
        <f t="shared" si="4"/>
        <v>NorthBound</v>
      </c>
      <c r="U55" s="159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https://search-rtdc-monitor-bjffxe2xuh6vdkpspy63sjmuny.us-east-1.es.amazonaws.com/_plugin/kibana/#/discover/Steve-Slow-Train-Analysis-(2080s-and-2083s)?_g=(refreshInterval:(display:Off,section:0,value:0),time:(from:'2016-10-05 07:40:11-0600',mode:absolute,to:'2016-10-05 10:21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55" s="54" t="str">
        <f t="shared" si="28"/>
        <v>N</v>
      </c>
      <c r="X55" s="164">
        <f t="shared" si="29"/>
        <v>1</v>
      </c>
      <c r="Y55" s="69">
        <f t="shared" si="23"/>
        <v>4.5100000000000001E-2</v>
      </c>
      <c r="Z55" s="69">
        <f t="shared" si="24"/>
        <v>23.3322</v>
      </c>
      <c r="AA55" s="69">
        <f t="shared" si="30"/>
        <v>23.287099999999999</v>
      </c>
      <c r="AB55" s="66" t="e">
        <f>VLOOKUP(A55,Enforcements!$C$7:$K$21,8,0)</f>
        <v>#N/A</v>
      </c>
      <c r="AC55" s="62" t="e">
        <f>VLOOKUP(A55,Enforcements!$C$7:$E$21,3,0)</f>
        <v>#N/A</v>
      </c>
      <c r="AD55" s="63" t="str">
        <f t="shared" si="10"/>
        <v>0141-05</v>
      </c>
      <c r="AE55" s="95" t="str">
        <f t="shared" si="31"/>
        <v>aws s3 cp s3://rtdc.mdm.uploadarchive.raw/RTDC4027/ "%USERPROFILE%\AppData\Local\Temp\OnboardLogs"\RTDC4027\2016-10-05 --exclude "*" --recursive --include "*20161005*" &amp; "%USERPROFILE%\Documents\GitHub\mrs-test-scripts\Headless Mode &amp; Sideloading\WalkAndUnGZ.bat" "%USERPROFILE%\AppData\Local\Temp\OnboardLogs"\RTDC4027\2016-10-05 &amp; aws s3 cp s3://rtdc.mdm.uploadarchive.raw/RTDC4027/ "%USERPROFILE%\AppData\Local\Temp\OnboardLogs"\RTDC4027\2016-10-06 --exclude "*" --recursive --include "*20161006*" &amp; "%USERPROFILE%\Documents\GitHub\mrs-test-scripts\Headless Mode &amp; Sideloading\WalkAndUnGZ.bat" "%USERPROFILE%\AppData\Local\Temp\OnboardLogs"\RTDC4027\2016-10-06</v>
      </c>
      <c r="AF55" s="92" t="str">
        <f t="shared" si="32"/>
        <v>"C:\Program Files (x86)\AstroGrep\AstroGrep.exe" /spath="%USERPROFILE%\AppData\Local\Temp\OnboardLogs" /stypes="app*4027*20161005*" /stext=" 15:.+((SYSTEM_STATE.+slice.+state.+changed )|(ment ac)|(system.+state.+changed )|(\[timeout)|(PRM\|1\|D)|(kpr)|(kdp)|(\|lc)|(penalty))" /e /r /s</v>
      </c>
      <c r="AG55" s="1" t="str">
        <f t="shared" si="13"/>
        <v>EC</v>
      </c>
      <c r="AH55" s="96" t="str">
        <f t="shared" si="16"/>
        <v>"%USERPROFILE%\Documents\GitHub\eaglep3\Utilities\RefineRTDCRunTimes.py" --tripid 141-05 --locoid 4027 --swversion DE.1.0.7.0 --startMP 204:451 --initTime 2016-10-05T08:40:11 --startdatetime 2016-10-05T08:45:28 --delay 1 --endMP 204:233322 --enddatetime 2016-10-05T09:21:38 --enforcementcount 0 &gt;&gt;C:\Users\stu\Documents\GitHub\eaglep3-reporting\EC\2016-10-05-refined-times.txt</v>
      </c>
      <c r="AI55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{"issue":{"subject":"","project_id":79,"tracker_id":40,"status_id":1,"priority_id":2,"assigned_to_id":23,"start_date":"2016-10-05","description":"","custom_fields":[{"id":1,"name":"Subdivision","value":"EC"},{"id":4,"name":"Milepost","value":"23.3322"},{"id":17,"name":"Train ID","value":"141-05"},{"id":16,"name":"Locomotive ID","value":"4027"},{"id":130,"name":"Impact","value":""},{"id":150,"name":"Time of Event (Mountain Time)","value":"09:21:38"},{"id":151,"name":"Denver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486</v>
      </c>
      <c r="B56" s="7">
        <v>4028</v>
      </c>
      <c r="C56" s="24" t="s">
        <v>106</v>
      </c>
      <c r="D56" s="24" t="s">
        <v>632</v>
      </c>
      <c r="E56" s="15">
        <v>42648.39571759259</v>
      </c>
      <c r="F56" s="15">
        <v>42648.404062499998</v>
      </c>
      <c r="G56" s="7">
        <v>1</v>
      </c>
      <c r="H56" s="15" t="s">
        <v>292</v>
      </c>
      <c r="I56" s="15">
        <v>42648.431180555555</v>
      </c>
      <c r="J56" s="7">
        <v>0</v>
      </c>
      <c r="K56" s="117" t="str">
        <f t="shared" si="25"/>
        <v>4027/4028</v>
      </c>
      <c r="L56" s="24" t="str">
        <f>VLOOKUP(A56,'Trips&amp;Operators'!$C$1:$E$10000,3,FALSE)</f>
        <v>MAELZER</v>
      </c>
      <c r="M56" s="6">
        <f t="shared" si="26"/>
        <v>2.7118055557366461E-2</v>
      </c>
      <c r="N56" s="7">
        <f t="shared" si="33"/>
        <v>39.050000002607703</v>
      </c>
      <c r="O56" s="7"/>
      <c r="P56" s="7"/>
      <c r="Q56" s="25"/>
      <c r="R56" s="25"/>
      <c r="S56" s="37">
        <f t="shared" si="22"/>
        <v>1</v>
      </c>
      <c r="T56" s="52" t="str">
        <f t="shared" si="4"/>
        <v>Southbound</v>
      </c>
      <c r="U56" s="159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https://search-rtdc-monitor-bjffxe2xuh6vdkpspy63sjmuny.us-east-1.es.amazonaws.com/_plugin/kibana/#/discover/Steve-Slow-Train-Analysis-(2080s-and-2083s)?_g=(refreshInterval:(display:Off,section:0,value:0),time:(from:'2016-10-05 08:29:50-0600',mode:absolute,to:'2016-10-05 11:20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56" s="54" t="str">
        <f t="shared" si="28"/>
        <v>N</v>
      </c>
      <c r="X56" s="164">
        <f t="shared" si="29"/>
        <v>1</v>
      </c>
      <c r="Y56" s="69">
        <f t="shared" si="23"/>
        <v>23.3</v>
      </c>
      <c r="Z56" s="69">
        <f t="shared" si="24"/>
        <v>1.32E-2</v>
      </c>
      <c r="AA56" s="69">
        <f t="shared" si="30"/>
        <v>23.286799999999999</v>
      </c>
      <c r="AB56" s="66" t="e">
        <f>VLOOKUP(A56,Enforcements!$C$7:$K$21,8,0)</f>
        <v>#N/A</v>
      </c>
      <c r="AC56" s="62" t="e">
        <f>VLOOKUP(A56,Enforcements!$C$7:$E$21,3,0)</f>
        <v>#N/A</v>
      </c>
      <c r="AD56" s="63" t="str">
        <f t="shared" si="10"/>
        <v>0142-05</v>
      </c>
      <c r="AE56" s="95" t="str">
        <f t="shared" si="31"/>
        <v>aws s3 cp s3://rtdc.mdm.uploadarchive.raw/RTDC4028/ "%USERPROFILE%\AppData\Local\Temp\OnboardLogs"\RTDC4028\2016-10-05 --exclude "*" --recursive --include "*20161005*" &amp; "%USERPROFILE%\Documents\GitHub\mrs-test-scripts\Headless Mode &amp; Sideloading\WalkAndUnGZ.bat" "%USERPROFILE%\AppData\Local\Temp\OnboardLogs"\RTDC4028\2016-10-05 &amp; aws s3 cp s3://rtdc.mdm.uploadarchive.raw/RTDC4028/ "%USERPROFILE%\AppData\Local\Temp\OnboardLogs"\RTDC4028\2016-10-06 --exclude "*" --recursive --include "*20161006*" &amp; "%USERPROFILE%\Documents\GitHub\mrs-test-scripts\Headless Mode &amp; Sideloading\WalkAndUnGZ.bat" "%USERPROFILE%\AppData\Local\Temp\OnboardLogs"\RTDC4028\2016-10-06</v>
      </c>
      <c r="AF56" s="92" t="str">
        <f t="shared" si="32"/>
        <v>"C:\Program Files (x86)\AstroGrep\AstroGrep.exe" /spath="%USERPROFILE%\AppData\Local\Temp\OnboardLogs" /stypes="app*4028*20161005*" /stext=" 16:.+((SYSTEM_STATE.+slice.+state.+changed )|(ment ac)|(system.+state.+changed )|(\[timeout)|(PRM\|1\|D)|(kpr)|(kdp)|(\|lc)|(penalty))" /e /r /s</v>
      </c>
      <c r="AG56" s="1" t="str">
        <f t="shared" si="13"/>
        <v>EC</v>
      </c>
      <c r="AH56" s="96" t="str">
        <f t="shared" si="16"/>
        <v>"%USERPROFILE%\Documents\GitHub\eaglep3\Utilities\RefineRTDCRunTimes.py" --tripid 142-05 --locoid 4028 --swversion DE.1.0.7.0 --startMP 204:233000 --initTime 2016-10-05T09:29:50 --startdatetime 2016-10-05T09:41:51 --delay 1 --endMP 204:132 --enddatetime 2016-10-05T10:20:54 --enforcementcount 0 &gt;&gt;C:\Users\stu\Documents\GitHub\eaglep3-reporting\EC\2016-10-05-refined-times.txt</v>
      </c>
      <c r="AI56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{"issue":{"subject":"","project_id":79,"tracker_id":40,"status_id":1,"priority_id":2,"assigned_to_id":23,"start_date":"2016-10-05","description":"","custom_fields":[{"id":1,"name":"Subdivision","value":"EC"},{"id":4,"name":"Milepost","value":"0.0132"},{"id":17,"name":"Train ID","value":"142-05"},{"id":16,"name":"Locomotive ID","value":"4028"},{"id":130,"name":"Impact","value":""},{"id":150,"name":"Time of Event (Mountain Time)","value":"10:20:54"},{"id":151,"name":"Denver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482</v>
      </c>
      <c r="B57" s="7">
        <v>4016</v>
      </c>
      <c r="C57" s="24" t="s">
        <v>106</v>
      </c>
      <c r="D57" s="24" t="s">
        <v>203</v>
      </c>
      <c r="E57" s="15">
        <v>42648.372372685182</v>
      </c>
      <c r="F57" s="15">
        <v>42648.375625000001</v>
      </c>
      <c r="G57" s="7">
        <v>1</v>
      </c>
      <c r="H57" s="15" t="s">
        <v>260</v>
      </c>
      <c r="I57" s="15">
        <v>42648.40215277778</v>
      </c>
      <c r="J57" s="7">
        <v>0</v>
      </c>
      <c r="K57" s="117" t="str">
        <f t="shared" si="25"/>
        <v>4015/4016</v>
      </c>
      <c r="L57" s="24" t="str">
        <f>VLOOKUP(A57,'Trips&amp;Operators'!$C$1:$E$10000,3,FALSE)</f>
        <v>BRANNON</v>
      </c>
      <c r="M57" s="6">
        <f t="shared" si="26"/>
        <v>2.6527777779847383E-2</v>
      </c>
      <c r="N57" s="7">
        <f t="shared" si="33"/>
        <v>38.200000002980232</v>
      </c>
      <c r="O57" s="7"/>
      <c r="P57" s="7"/>
      <c r="Q57" s="25"/>
      <c r="R57" s="25"/>
      <c r="S57" s="37">
        <f t="shared" si="22"/>
        <v>1</v>
      </c>
      <c r="T57" s="52" t="str">
        <f t="shared" si="4"/>
        <v>NorthBound</v>
      </c>
      <c r="U57" s="159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https://search-rtdc-monitor-bjffxe2xuh6vdkpspy63sjmuny.us-east-1.es.amazonaws.com/_plugin/kibana/#/discover/Steve-Slow-Train-Analysis-(2080s-and-2083s)?_g=(refreshInterval:(display:Off,section:0,value:0),time:(from:'2016-10-05 07:56:13-0600',mode:absolute,to:'2016-10-05 10:39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7" s="54" t="str">
        <f t="shared" si="28"/>
        <v>N</v>
      </c>
      <c r="X57" s="164">
        <f t="shared" si="29"/>
        <v>1</v>
      </c>
      <c r="Y57" s="69">
        <f t="shared" si="23"/>
        <v>4.58E-2</v>
      </c>
      <c r="Z57" s="69">
        <f t="shared" si="24"/>
        <v>23.328900000000001</v>
      </c>
      <c r="AA57" s="69">
        <f t="shared" si="30"/>
        <v>23.283100000000001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 t="shared" si="10"/>
        <v>0143-05</v>
      </c>
      <c r="AE57" s="95" t="str">
        <f t="shared" si="31"/>
        <v>aws s3 cp s3://rtdc.mdm.uploadarchive.raw/RTDC4016/ "%USERPROFILE%\AppData\Local\Temp\OnboardLogs"\RTDC4016\2016-10-05 --exclude "*" --recursive --include "*20161005*" &amp; "%USERPROFILE%\Documents\GitHub\mrs-test-scripts\Headless Mode &amp; Sideloading\WalkAndUnGZ.bat" "%USERPROFILE%\AppData\Local\Temp\OnboardLogs"\RTDC4016\2016-10-05 &amp; aws s3 cp s3://rtdc.mdm.uploadarchive.raw/RTDC4016/ "%USERPROFILE%\AppData\Local\Temp\OnboardLogs"\RTDC4016\2016-10-06 --exclude "*" --recursive --include "*20161006*" &amp; "%USERPROFILE%\Documents\GitHub\mrs-test-scripts\Headless Mode &amp; Sideloading\WalkAndUnGZ.bat" "%USERPROFILE%\AppData\Local\Temp\OnboardLogs"\RTDC4016\2016-10-06</v>
      </c>
      <c r="AF57" s="92" t="str">
        <f t="shared" si="32"/>
        <v>"C:\Program Files (x86)\AstroGrep\AstroGrep.exe" /spath="%USERPROFILE%\AppData\Local\Temp\OnboardLogs" /stypes="app*4016*20161005*" /stext=" 15:.+((SYSTEM_STATE.+slice.+state.+changed )|(ment ac)|(system.+state.+changed )|(\[timeout)|(PRM\|1\|D)|(kpr)|(kdp)|(\|lc)|(penalty))" /e /r /s</v>
      </c>
      <c r="AG57" s="1" t="str">
        <f t="shared" si="13"/>
        <v>EC</v>
      </c>
      <c r="AH57" s="96" t="str">
        <f t="shared" si="16"/>
        <v>"%USERPROFILE%\Documents\GitHub\eaglep3\Utilities\RefineRTDCRunTimes.py" --tripid 143-05 --locoid 4016 --swversion DE.1.0.7.0 --startMP 204:458 --initTime 2016-10-05T08:56:13 --startdatetime 2016-10-05T09:00:54 --delay 1 --endMP 204:233289 --enddatetime 2016-10-05T09:39:06 --enforcementcount 0 &gt;&gt;C:\Users\stu\Documents\GitHub\eaglep3-reporting\EC\2016-10-05-refined-times.txt</v>
      </c>
      <c r="AI57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{"issue":{"subject":"","project_id":79,"tracker_id":40,"status_id":1,"priority_id":2,"assigned_to_id":23,"start_date":"2016-10-05","description":"","custom_fields":[{"id":1,"name":"Subdivision","value":"EC"},{"id":4,"name":"Milepost","value":"23.3289"},{"id":17,"name":"Train ID","value":"143-05"},{"id":16,"name":"Locomotive ID","value":"4016"},{"id":130,"name":"Impact","value":""},{"id":150,"name":"Time of Event (Mountain Time)","value":"09:39:06"},{"id":151,"name":"Denver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399</v>
      </c>
      <c r="B58" s="7">
        <v>4015</v>
      </c>
      <c r="C58" s="24" t="s">
        <v>106</v>
      </c>
      <c r="D58" s="24" t="s">
        <v>295</v>
      </c>
      <c r="E58" s="15">
        <v>42648.409699074073</v>
      </c>
      <c r="F58" s="15">
        <v>42648.414247685185</v>
      </c>
      <c r="G58" s="7">
        <v>6</v>
      </c>
      <c r="H58" s="15" t="s">
        <v>213</v>
      </c>
      <c r="I58" s="15">
        <v>42648.448240740741</v>
      </c>
      <c r="J58" s="7">
        <v>0</v>
      </c>
      <c r="K58" s="117" t="str">
        <f t="shared" si="25"/>
        <v>4015/4016</v>
      </c>
      <c r="L58" s="24" t="str">
        <f>VLOOKUP(A58,'Trips&amp;Operators'!$C$1:$E$10000,3,FALSE)</f>
        <v>BRANNON</v>
      </c>
      <c r="M58" s="6">
        <f t="shared" si="26"/>
        <v>3.3993055556493346E-2</v>
      </c>
      <c r="N58" s="7">
        <f t="shared" si="33"/>
        <v>48.950000001350418</v>
      </c>
      <c r="O58" s="7"/>
      <c r="P58" s="7"/>
      <c r="Q58" s="25"/>
      <c r="R58" s="25"/>
      <c r="S58" s="37">
        <f t="shared" si="22"/>
        <v>1</v>
      </c>
      <c r="T58" s="52" t="str">
        <f t="shared" si="4"/>
        <v>Southbound</v>
      </c>
      <c r="U58" s="159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https://search-rtdc-monitor-bjffxe2xuh6vdkpspy63sjmuny.us-east-1.es.amazonaws.com/_plugin/kibana/#/discover/Steve-Slow-Train-Analysis-(2080s-and-2083s)?_g=(refreshInterval:(display:Off,section:0,value:0),time:(from:'2016-10-05 08:49:58-0600',mode:absolute,to:'2016-10-05 11:45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8" s="54" t="str">
        <f t="shared" si="28"/>
        <v>N</v>
      </c>
      <c r="X58" s="164">
        <f t="shared" ref="X58:X59" si="34">VALUE(LEFT(AD58,4))-VALUE(LEFT(AD57,4))</f>
        <v>1</v>
      </c>
      <c r="Y58" s="69">
        <f t="shared" si="23"/>
        <v>23.297899999999998</v>
      </c>
      <c r="Z58" s="69">
        <f t="shared" si="24"/>
        <v>1.41E-2</v>
      </c>
      <c r="AA58" s="69">
        <f t="shared" si="30"/>
        <v>23.283799999999999</v>
      </c>
      <c r="AB58" s="66" t="e">
        <f>VLOOKUP(A58,Enforcements!$C$7:$K$21,8,0)</f>
        <v>#N/A</v>
      </c>
      <c r="AC58" s="62" t="e">
        <f>VLOOKUP(A58,Enforcements!$C$7:$E$21,3,0)</f>
        <v>#N/A</v>
      </c>
      <c r="AD58" s="63" t="str">
        <f t="shared" si="10"/>
        <v>0144-05</v>
      </c>
      <c r="AE58" s="95" t="str">
        <f t="shared" si="31"/>
        <v>aws s3 cp s3://rtdc.mdm.uploadarchive.raw/RTDC4015/ "%USERPROFILE%\AppData\Local\Temp\OnboardLogs"\RTDC4015\2016-10-05 --exclude "*" --recursive --include "*20161005*" &amp; "%USERPROFILE%\Documents\GitHub\mrs-test-scripts\Headless Mode &amp; Sideloading\WalkAndUnGZ.bat" "%USERPROFILE%\AppData\Local\Temp\OnboardLogs"\RTDC4015\2016-10-05 &amp; aws s3 cp s3://rtdc.mdm.uploadarchive.raw/RTDC4015/ "%USERPROFILE%\AppData\Local\Temp\OnboardLogs"\RTDC4015\2016-10-06 --exclude "*" --recursive --include "*20161006*" &amp; "%USERPROFILE%\Documents\GitHub\mrs-test-scripts\Headless Mode &amp; Sideloading\WalkAndUnGZ.bat" "%USERPROFILE%\AppData\Local\Temp\OnboardLogs"\RTDC4015\2016-10-06</v>
      </c>
      <c r="AF58" s="92" t="str">
        <f t="shared" si="32"/>
        <v>"C:\Program Files (x86)\AstroGrep\AstroGrep.exe" /spath="%USERPROFILE%\AppData\Local\Temp\OnboardLogs" /stypes="app*4015*20161005*" /stext=" 16:.+((SYSTEM_STATE.+slice.+state.+changed )|(ment ac)|(system.+state.+changed )|(\[timeout)|(PRM\|1\|D)|(kpr)|(kdp)|(\|lc)|(penalty))" /e /r /s</v>
      </c>
      <c r="AG58" s="1" t="str">
        <f t="shared" si="13"/>
        <v>EC</v>
      </c>
      <c r="AH58" s="96" t="str">
        <f t="shared" si="16"/>
        <v>"%USERPROFILE%\Documents\GitHub\eaglep3\Utilities\RefineRTDCRunTimes.py" --tripid 144-05 --locoid 4015 --swversion DE.1.0.7.0 --startMP 204:232979 --initTime 2016-10-05T09:49:58 --startdatetime 2016-10-05T09:56:31 --delay 6 --endMP 204:141 --enddatetime 2016-10-05T10:45:28 --enforcementcount 0 &gt;&gt;C:\Users\stu\Documents\GitHub\eaglep3-reporting\EC\2016-10-05-refined-times.txt</v>
      </c>
      <c r="AI58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{"issue":{"subject":"","project_id":79,"tracker_id":40,"status_id":1,"priority_id":2,"assigned_to_id":23,"start_date":"2016-10-05","description":"","custom_fields":[{"id":1,"name":"Subdivision","value":"EC"},{"id":4,"name":"Milepost","value":"0.0141"},{"id":17,"name":"Train ID","value":"144-05"},{"id":16,"name":"Locomotive ID","value":"4015"},{"id":130,"name":"Impact","value":""},{"id":150,"name":"Time of Event (Mountain Time)","value":"10:45:28"},{"id":151,"name":"Denver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483</v>
      </c>
      <c r="B59" s="7">
        <v>4025</v>
      </c>
      <c r="C59" s="24" t="s">
        <v>106</v>
      </c>
      <c r="D59" s="24" t="s">
        <v>336</v>
      </c>
      <c r="E59" s="15">
        <v>42648.381574074076</v>
      </c>
      <c r="F59" s="15">
        <v>42648.38559027778</v>
      </c>
      <c r="G59" s="7">
        <v>1</v>
      </c>
      <c r="H59" s="15" t="s">
        <v>274</v>
      </c>
      <c r="I59" s="15">
        <v>42648.411805555559</v>
      </c>
      <c r="J59" s="7">
        <v>0</v>
      </c>
      <c r="K59" s="117" t="str">
        <f t="shared" si="25"/>
        <v>4025/4026</v>
      </c>
      <c r="L59" s="24" t="str">
        <f>VLOOKUP(A59,'Trips&amp;Operators'!$C$1:$E$10000,3,FALSE)</f>
        <v>ACKERMAN</v>
      </c>
      <c r="M59" s="6">
        <f t="shared" si="26"/>
        <v>2.6215277779556345E-2</v>
      </c>
      <c r="N59" s="7">
        <f t="shared" si="33"/>
        <v>37.750000002561137</v>
      </c>
      <c r="O59" s="7"/>
      <c r="P59" s="7"/>
      <c r="Q59" s="25"/>
      <c r="R59" s="25"/>
      <c r="S59" s="37">
        <f t="shared" si="22"/>
        <v>1</v>
      </c>
      <c r="T59" s="52" t="str">
        <f t="shared" si="4"/>
        <v>NorthBound</v>
      </c>
      <c r="U59" s="159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https://search-rtdc-monitor-bjffxe2xuh6vdkpspy63sjmuny.us-east-1.es.amazonaws.com/_plugin/kibana/#/discover/Steve-Slow-Train-Analysis-(2080s-and-2083s)?_g=(refreshInterval:(display:Off,section:0,value:0),time:(from:'2016-10-05 08:09:28-0600',mode:absolute,to:'2016-10-05 10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9" s="54" t="str">
        <f t="shared" si="28"/>
        <v>N</v>
      </c>
      <c r="X59" s="164">
        <f t="shared" si="34"/>
        <v>1</v>
      </c>
      <c r="Y59" s="69">
        <f t="shared" si="23"/>
        <v>4.5999999999999999E-2</v>
      </c>
      <c r="Z59" s="69">
        <f t="shared" si="24"/>
        <v>23.329699999999999</v>
      </c>
      <c r="AA59" s="69">
        <f t="shared" si="30"/>
        <v>23.2837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 t="shared" si="10"/>
        <v>0145-05</v>
      </c>
      <c r="AE59" s="95" t="str">
        <f t="shared" si="31"/>
        <v>aws s3 cp s3://rtdc.mdm.uploadarchive.raw/RTDC4025/ "%USERPROFILE%\AppData\Local\Temp\OnboardLogs"\RTDC4025\2016-10-05 --exclude "*" --recursive --include "*20161005*" &amp; "%USERPROFILE%\Documents\GitHub\mrs-test-scripts\Headless Mode &amp; Sideloading\WalkAndUnGZ.bat" "%USERPROFILE%\AppData\Local\Temp\OnboardLogs"\RTDC4025\2016-10-05 &amp; aws s3 cp s3://rtdc.mdm.uploadarchive.raw/RTDC4025/ "%USERPROFILE%\AppData\Local\Temp\OnboardLogs"\RTDC4025\2016-10-06 --exclude "*" --recursive --include "*20161006*" &amp; "%USERPROFILE%\Documents\GitHub\mrs-test-scripts\Headless Mode &amp; Sideloading\WalkAndUnGZ.bat" "%USERPROFILE%\AppData\Local\Temp\OnboardLogs"\RTDC4025\2016-10-06</v>
      </c>
      <c r="AF59" s="92" t="str">
        <f t="shared" si="32"/>
        <v>"C:\Program Files (x86)\AstroGrep\AstroGrep.exe" /spath="%USERPROFILE%\AppData\Local\Temp\OnboardLogs" /stypes="app*4025*20161005*" /stext=" 15:.+((SYSTEM_STATE.+slice.+state.+changed )|(ment ac)|(system.+state.+changed )|(\[timeout)|(PRM\|1\|D)|(kpr)|(kdp)|(\|lc)|(penalty))" /e /r /s</v>
      </c>
      <c r="AG59" s="1" t="str">
        <f t="shared" si="13"/>
        <v>EC</v>
      </c>
      <c r="AH59" s="96" t="str">
        <f t="shared" si="16"/>
        <v>"%USERPROFILE%\Documents\GitHub\eaglep3\Utilities\RefineRTDCRunTimes.py" --tripid 145-05 --locoid 4025 --swversion DE.1.0.7.0 --startMP 204:460 --initTime 2016-10-05T09:09:28 --startdatetime 2016-10-05T09:15:15 --delay 1 --endMP 204:233297 --enddatetime 2016-10-05T09:53:00 --enforcementcount 0 &gt;&gt;C:\Users\stu\Documents\GitHub\eaglep3-reporting\EC\2016-10-05-refined-times.txt</v>
      </c>
      <c r="AI59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{"issue":{"subject":"","project_id":79,"tracker_id":40,"status_id":1,"priority_id":2,"assigned_to_id":23,"start_date":"2016-10-05","description":"","custom_fields":[{"id":1,"name":"Subdivision","value":"EC"},{"id":4,"name":"Milepost","value":"23.3297"},{"id":17,"name":"Train ID","value":"145-05"},{"id":16,"name":"Locomotive ID","value":"4025"},{"id":130,"name":"Impact","value":""},{"id":150,"name":"Time of Event (Mountain Time)","value":"09:53:00"},{"id":151,"name":"Denver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488</v>
      </c>
      <c r="B60" s="7">
        <v>4026</v>
      </c>
      <c r="C60" s="24" t="s">
        <v>106</v>
      </c>
      <c r="D60" s="24" t="s">
        <v>247</v>
      </c>
      <c r="E60" s="15">
        <v>42648.418055555558</v>
      </c>
      <c r="F60" s="15">
        <v>42648.424513888887</v>
      </c>
      <c r="G60" s="7">
        <v>1</v>
      </c>
      <c r="H60" s="15" t="s">
        <v>198</v>
      </c>
      <c r="I60" s="15">
        <v>42648.452175925922</v>
      </c>
      <c r="J60" s="7">
        <v>0</v>
      </c>
      <c r="K60" s="117" t="str">
        <f t="shared" si="25"/>
        <v>4025/4026</v>
      </c>
      <c r="L60" s="24" t="str">
        <f>VLOOKUP(A60,'Trips&amp;Operators'!$C$1:$E$10000,3,FALSE)</f>
        <v>ACKERMAN</v>
      </c>
      <c r="M60" s="6">
        <f t="shared" si="26"/>
        <v>2.7662037035042886E-2</v>
      </c>
      <c r="N60" s="7">
        <f t="shared" si="33"/>
        <v>39.833333330461755</v>
      </c>
      <c r="O60" s="7"/>
      <c r="P60" s="7"/>
      <c r="Q60" s="25"/>
      <c r="R60" s="25"/>
      <c r="S60" s="37">
        <f t="shared" si="22"/>
        <v>1</v>
      </c>
      <c r="T60" s="52" t="str">
        <f t="shared" si="4"/>
        <v>Southbound</v>
      </c>
      <c r="U60" s="159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https://search-rtdc-monitor-bjffxe2xuh6vdkpspy63sjmuny.us-east-1.es.amazonaws.com/_plugin/kibana/#/discover/Steve-Slow-Train-Analysis-(2080s-and-2083s)?_g=(refreshInterval:(display:Off,section:0,value:0),time:(from:'2016-10-05 09:02:00-0600',mode:absolute,to:'2016-10-05 11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0" s="54" t="str">
        <f t="shared" si="28"/>
        <v>N</v>
      </c>
      <c r="X60" s="164">
        <f t="shared" ref="X60:X70" si="35">VALUE(LEFT(AD60,4))-VALUE(LEFT(AD59,4))</f>
        <v>1</v>
      </c>
      <c r="Y60" s="69">
        <f t="shared" si="23"/>
        <v>23.296900000000001</v>
      </c>
      <c r="Z60" s="69">
        <f t="shared" si="24"/>
        <v>1.52E-2</v>
      </c>
      <c r="AA60" s="69">
        <f t="shared" si="30"/>
        <v>23.281700000000001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 t="shared" si="10"/>
        <v>0146-05</v>
      </c>
      <c r="AE60" s="95" t="str">
        <f t="shared" si="31"/>
        <v>aws s3 cp s3://rtdc.mdm.uploadarchive.raw/RTDC4026/ "%USERPROFILE%\AppData\Local\Temp\OnboardLogs"\RTDC4026\2016-10-05 --exclude "*" --recursive --include "*20161005*" &amp; "%USERPROFILE%\Documents\GitHub\mrs-test-scripts\Headless Mode &amp; Sideloading\WalkAndUnGZ.bat" "%USERPROFILE%\AppData\Local\Temp\OnboardLogs"\RTDC4026\2016-10-05 &amp; aws s3 cp s3://rtdc.mdm.uploadarchive.raw/RTDC4026/ "%USERPROFILE%\AppData\Local\Temp\OnboardLogs"\RTDC4026\2016-10-06 --exclude "*" --recursive --include "*20161006*" &amp; "%USERPROFILE%\Documents\GitHub\mrs-test-scripts\Headless Mode &amp; Sideloading\WalkAndUnGZ.bat" "%USERPROFILE%\AppData\Local\Temp\OnboardLogs"\RTDC4026\2016-10-06</v>
      </c>
      <c r="AF60" s="92" t="str">
        <f t="shared" si="32"/>
        <v>"C:\Program Files (x86)\AstroGrep\AstroGrep.exe" /spath="%USERPROFILE%\AppData\Local\Temp\OnboardLogs" /stypes="app*4026*20161005*" /stext=" 16:.+((SYSTEM_STATE.+slice.+state.+changed )|(ment ac)|(system.+state.+changed )|(\[timeout)|(PRM\|1\|D)|(kpr)|(kdp)|(\|lc)|(penalty))" /e /r /s</v>
      </c>
      <c r="AG60" s="1" t="str">
        <f t="shared" si="13"/>
        <v>EC</v>
      </c>
      <c r="AH60" s="96" t="str">
        <f t="shared" si="16"/>
        <v>"%USERPROFILE%\Documents\GitHub\eaglep3\Utilities\RefineRTDCRunTimes.py" --tripid 146-05 --locoid 4026 --swversion DE.1.0.7.0 --startMP 204:232969 --initTime 2016-10-05T10:02:00 --startdatetime 2016-10-05T10:11:18 --delay 1 --endMP 204:152 --enddatetime 2016-10-05T10:51:08 --enforcementcount 0 &gt;&gt;C:\Users\stu\Documents\GitHub\eaglep3-reporting\EC\2016-10-05-refined-times.txt</v>
      </c>
      <c r="AI60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{"issue":{"subject":"","project_id":79,"tracker_id":40,"status_id":1,"priority_id":2,"assigned_to_id":23,"start_date":"2016-10-05","description":"","custom_fields":[{"id":1,"name":"Subdivision","value":"EC"},{"id":4,"name":"Milepost","value":"0.0152"},{"id":17,"name":"Train ID","value":"146-05"},{"id":16,"name":"Locomotive ID","value":"4026"},{"id":130,"name":"Impact","value":""},{"id":150,"name":"Time of Event (Mountain Time)","value":"10:51:08"},{"id":151,"name":"Denver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485</v>
      </c>
      <c r="B61" s="7">
        <v>4009</v>
      </c>
      <c r="C61" s="24" t="s">
        <v>106</v>
      </c>
      <c r="D61" s="24" t="s">
        <v>220</v>
      </c>
      <c r="E61" s="15">
        <v>42648.392442129632</v>
      </c>
      <c r="F61" s="15">
        <v>42648.396180555559</v>
      </c>
      <c r="G61" s="7">
        <v>1</v>
      </c>
      <c r="H61" s="15" t="s">
        <v>634</v>
      </c>
      <c r="I61" s="15">
        <v>42648.422615740739</v>
      </c>
      <c r="J61" s="7">
        <v>0</v>
      </c>
      <c r="K61" s="117" t="str">
        <f t="shared" si="25"/>
        <v>4009/4010</v>
      </c>
      <c r="L61" s="24" t="str">
        <f>VLOOKUP(A61,'Trips&amp;Operators'!$C$1:$E$10000,3,FALSE)</f>
        <v>STRICKLAND</v>
      </c>
      <c r="M61" s="6">
        <f t="shared" si="26"/>
        <v>2.643518518016208E-2</v>
      </c>
      <c r="N61" s="7">
        <f t="shared" si="33"/>
        <v>38.066666659433395</v>
      </c>
      <c r="O61" s="7"/>
      <c r="P61" s="7"/>
      <c r="Q61" s="25"/>
      <c r="R61" s="25"/>
      <c r="S61" s="37">
        <f t="shared" si="22"/>
        <v>1</v>
      </c>
      <c r="T61" s="52" t="str">
        <f t="shared" si="4"/>
        <v>NorthBound</v>
      </c>
      <c r="U61" s="159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https://search-rtdc-monitor-bjffxe2xuh6vdkpspy63sjmuny.us-east-1.es.amazonaws.com/_plugin/kibana/#/discover/Steve-Slow-Train-Analysis-(2080s-and-2083s)?_g=(refreshInterval:(display:Off,section:0,value:0),time:(from:'2016-10-05 08:25:07-0600',mode:absolute,to:'2016-10-05 11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1" s="54" t="str">
        <f t="shared" si="28"/>
        <v>N</v>
      </c>
      <c r="X61" s="164">
        <f t="shared" si="35"/>
        <v>1</v>
      </c>
      <c r="Y61" s="69">
        <f t="shared" si="23"/>
        <v>4.6399999999999997E-2</v>
      </c>
      <c r="Z61" s="69">
        <f t="shared" si="24"/>
        <v>23.331</v>
      </c>
      <c r="AA61" s="69">
        <f t="shared" si="30"/>
        <v>23.284600000000001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 t="shared" si="10"/>
        <v>0147-05</v>
      </c>
      <c r="AE61" s="95" t="str">
        <f t="shared" si="31"/>
        <v>aws s3 cp s3://rtdc.mdm.uploadarchive.raw/RTDC4009/ "%USERPROFILE%\AppData\Local\Temp\OnboardLogs"\RTDC4009\2016-10-05 --exclude "*" --recursive --include "*20161005*" &amp; "%USERPROFILE%\Documents\GitHub\mrs-test-scripts\Headless Mode &amp; Sideloading\WalkAndUnGZ.bat" "%USERPROFILE%\AppData\Local\Temp\OnboardLogs"\RTDC4009\2016-10-05 &amp; aws s3 cp s3://rtdc.mdm.uploadarchive.raw/RTDC4009/ "%USERPROFILE%\AppData\Local\Temp\OnboardLogs"\RTDC4009\2016-10-06 --exclude "*" --recursive --include "*20161006*" &amp; "%USERPROFILE%\Documents\GitHub\mrs-test-scripts\Headless Mode &amp; Sideloading\WalkAndUnGZ.bat" "%USERPROFILE%\AppData\Local\Temp\OnboardLogs"\RTDC4009\2016-10-06</v>
      </c>
      <c r="AF61" s="92" t="str">
        <f t="shared" si="32"/>
        <v>"C:\Program Files (x86)\AstroGrep\AstroGrep.exe" /spath="%USERPROFILE%\AppData\Local\Temp\OnboardLogs" /stypes="app*4009*20161005*" /stext=" 16:.+((SYSTEM_STATE.+slice.+state.+changed )|(ment ac)|(system.+state.+changed )|(\[timeout)|(PRM\|1\|D)|(kpr)|(kdp)|(\|lc)|(penalty))" /e /r /s</v>
      </c>
      <c r="AG61" s="1" t="str">
        <f t="shared" si="13"/>
        <v>EC</v>
      </c>
      <c r="AH61" s="96" t="str">
        <f t="shared" si="16"/>
        <v>"%USERPROFILE%\Documents\GitHub\eaglep3\Utilities\RefineRTDCRunTimes.py" --tripid 147-05 --locoid 4009 --swversion DE.1.0.7.0 --startMP 204:464 --initTime 2016-10-05T09:25:07 --startdatetime 2016-10-05T09:30:30 --delay 1 --endMP 204:233310 --enddatetime 2016-10-05T10:08:34 --enforcementcount 0 &gt;&gt;C:\Users\stu\Documents\GitHub\eaglep3-reporting\EC\2016-10-05-refined-times.txt</v>
      </c>
      <c r="AI61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{"issue":{"subject":"","project_id":79,"tracker_id":40,"status_id":1,"priority_id":2,"assigned_to_id":23,"start_date":"2016-10-05","description":"","custom_fields":[{"id":1,"name":"Subdivision","value":"EC"},{"id":4,"name":"Milepost","value":"23.331"},{"id":17,"name":"Train ID","value":"147-05"},{"id":16,"name":"Locomotive ID","value":"4009"},{"id":130,"name":"Impact","value":""},{"id":150,"name":"Time of Event (Mountain Time)","value":"10:08:34"},{"id":151,"name":"Denver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391</v>
      </c>
      <c r="B62" s="7">
        <v>4010</v>
      </c>
      <c r="C62" s="24" t="s">
        <v>106</v>
      </c>
      <c r="D62" s="24" t="s">
        <v>221</v>
      </c>
      <c r="E62" s="15">
        <v>42648.430150462962</v>
      </c>
      <c r="F62" s="15">
        <v>42648.435057870367</v>
      </c>
      <c r="G62" s="7">
        <v>1</v>
      </c>
      <c r="H62" s="15" t="s">
        <v>196</v>
      </c>
      <c r="I62" s="15">
        <v>42648.47619212963</v>
      </c>
      <c r="J62" s="7">
        <v>0</v>
      </c>
      <c r="K62" s="117" t="str">
        <f t="shared" si="25"/>
        <v>4009/4010</v>
      </c>
      <c r="L62" s="24" t="str">
        <f>VLOOKUP(A62,'Trips&amp;Operators'!$C$1:$E$10000,3,FALSE)</f>
        <v>STRICKLAND</v>
      </c>
      <c r="M62" s="6">
        <f t="shared" si="26"/>
        <v>4.1134259263344575E-2</v>
      </c>
      <c r="N62" s="7">
        <f t="shared" si="33"/>
        <v>59.233333339216188</v>
      </c>
      <c r="O62" s="7"/>
      <c r="P62" s="7"/>
      <c r="Q62" s="25"/>
      <c r="R62" s="25" t="s">
        <v>775</v>
      </c>
      <c r="S62" s="37">
        <f t="shared" si="22"/>
        <v>1</v>
      </c>
      <c r="T62" s="52" t="str">
        <f t="shared" si="4"/>
        <v>Southbound</v>
      </c>
      <c r="U62" s="159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https://search-rtdc-monitor-bjffxe2xuh6vdkpspy63sjmuny.us-east-1.es.amazonaws.com/_plugin/kibana/#/discover/Steve-Slow-Train-Analysis-(2080s-and-2083s)?_g=(refreshInterval:(display:Off,section:0,value:0),time:(from:'2016-10-05 09:19:25-0600',mode:absolute,to:'2016-10-05 12:25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62" s="54" t="str">
        <f t="shared" si="28"/>
        <v>N</v>
      </c>
      <c r="X62" s="164">
        <f t="shared" si="35"/>
        <v>1</v>
      </c>
      <c r="Y62" s="69">
        <f t="shared" si="23"/>
        <v>23.297699999999999</v>
      </c>
      <c r="Z62" s="69">
        <f t="shared" si="24"/>
        <v>1.4999999999999999E-2</v>
      </c>
      <c r="AA62" s="69">
        <f t="shared" si="30"/>
        <v>23.282699999999998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 t="shared" si="10"/>
        <v>0148-05</v>
      </c>
      <c r="AE62" s="95" t="str">
        <f t="shared" si="31"/>
        <v>aws s3 cp s3://rtdc.mdm.uploadarchive.raw/RTDC4010/ "%USERPROFILE%\AppData\Local\Temp\OnboardLogs"\RTDC4010\2016-10-05 --exclude "*" --recursive --include "*20161005*" &amp; "%USERPROFILE%\Documents\GitHub\mrs-test-scripts\Headless Mode &amp; Sideloading\WalkAndUnGZ.bat" "%USERPROFILE%\AppData\Local\Temp\OnboardLogs"\RTDC4010\2016-10-05 &amp; aws s3 cp s3://rtdc.mdm.uploadarchive.raw/RTDC4010/ "%USERPROFILE%\AppData\Local\Temp\OnboardLogs"\RTDC4010\2016-10-06 --exclude "*" --recursive --include "*20161006*" &amp; "%USERPROFILE%\Documents\GitHub\mrs-test-scripts\Headless Mode &amp; Sideloading\WalkAndUnGZ.bat" "%USERPROFILE%\AppData\Local\Temp\OnboardLogs"\RTDC4010\2016-10-06</v>
      </c>
      <c r="AF62" s="92" t="str">
        <f t="shared" si="32"/>
        <v>"C:\Program Files (x86)\AstroGrep\AstroGrep.exe" /spath="%USERPROFILE%\AppData\Local\Temp\OnboardLogs" /stypes="app*4010*20161005*" /stext=" 17:.+((SYSTEM_STATE.+slice.+state.+changed )|(ment ac)|(system.+state.+changed )|(\[timeout)|(PRM\|1\|D)|(kpr)|(kdp)|(\|lc)|(penalty))" /e /r /s</v>
      </c>
      <c r="AG62" s="1" t="str">
        <f t="shared" si="13"/>
        <v>EC</v>
      </c>
      <c r="AH62" s="96" t="str">
        <f t="shared" si="16"/>
        <v>"%USERPROFILE%\Documents\GitHub\eaglep3\Utilities\RefineRTDCRunTimes.py" --tripid 148-05 --locoid 4010 --swversion DE.1.0.7.0 --startMP 204:232977 --initTime 2016-10-05T10:19:25 --startdatetime 2016-10-05T10:26:29 --delay 1 --endMP 204:150 --enddatetime 2016-10-05T11:25:43 --enforcementcount 0 &gt;&gt;C:\Users\stu\Documents\GitHub\eaglep3-reporting\EC\2016-10-05-refined-times.txt</v>
      </c>
      <c r="AI62" s="130" t="str">
        <f t="shared" si="17"/>
        <v>echo {"issue":{"subject":"Delayed at Sand Creek","project_id":79,"tracker_id":40,"status_id":1,"priority_id":2,"assigned_to_id":23,"start_date":"2016-10-05","description":"","custom_fields":[{"id":1,"name":"Subdivision","value":"EC"},{"id":4,"name":"Milepost","value":"0.015"},{"id":17,"name":"Train ID","value":"148-05"},{"id":16,"name":"Locomotive ID","value":"4010"},{"id":130,"name":"Impact","value":""},{"id":150,"name":"Time of Event (Mountain Time)","value":"11:25:43"},{"id":151,"name":"Denver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390</v>
      </c>
      <c r="B63" s="7">
        <v>4007</v>
      </c>
      <c r="C63" s="24" t="s">
        <v>106</v>
      </c>
      <c r="D63" s="24" t="s">
        <v>259</v>
      </c>
      <c r="E63" s="15">
        <v>42648.405960648146</v>
      </c>
      <c r="F63" s="15">
        <v>42648.407118055555</v>
      </c>
      <c r="G63" s="7">
        <v>1</v>
      </c>
      <c r="H63" s="15" t="s">
        <v>227</v>
      </c>
      <c r="I63" s="15">
        <v>42648.431956018518</v>
      </c>
      <c r="J63" s="7">
        <v>0</v>
      </c>
      <c r="K63" s="117" t="str">
        <f t="shared" si="25"/>
        <v>4007/4008</v>
      </c>
      <c r="L63" s="24" t="str">
        <f>VLOOKUP(A63,'Trips&amp;Operators'!$C$1:$E$10000,3,FALSE)</f>
        <v>SPECTOR</v>
      </c>
      <c r="M63" s="6">
        <f t="shared" si="26"/>
        <v>2.4837962962919846E-2</v>
      </c>
      <c r="N63" s="7">
        <f t="shared" si="33"/>
        <v>35.766666666604578</v>
      </c>
      <c r="O63" s="7"/>
      <c r="P63" s="7"/>
      <c r="Q63" s="25"/>
      <c r="R63" s="25"/>
      <c r="S63" s="37">
        <f t="shared" si="22"/>
        <v>1</v>
      </c>
      <c r="T63" s="52" t="str">
        <f t="shared" si="4"/>
        <v>NorthBound</v>
      </c>
      <c r="U63" s="159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https://search-rtdc-monitor-bjffxe2xuh6vdkpspy63sjmuny.us-east-1.es.amazonaws.com/_plugin/kibana/#/discover/Steve-Slow-Train-Analysis-(2080s-and-2083s)?_g=(refreshInterval:(display:Off,section:0,value:0),time:(from:'2016-10-05 08:44:35-0600',mode:absolute,to:'2016-10-05 11:22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3" s="54" t="str">
        <f t="shared" si="28"/>
        <v>N</v>
      </c>
      <c r="X63" s="164">
        <f t="shared" si="35"/>
        <v>1</v>
      </c>
      <c r="Y63" s="69">
        <f t="shared" si="23"/>
        <v>4.6699999999999998E-2</v>
      </c>
      <c r="Z63" s="69">
        <f t="shared" si="24"/>
        <v>23.3293</v>
      </c>
      <c r="AA63" s="69">
        <f t="shared" si="30"/>
        <v>23.282599999999999</v>
      </c>
      <c r="AB63" s="66" t="e">
        <f>VLOOKUP(A63,Enforcements!$C$7:$K$21,8,0)</f>
        <v>#N/A</v>
      </c>
      <c r="AC63" s="62" t="e">
        <f>VLOOKUP(A63,Enforcements!$C$7:$E$21,3,0)</f>
        <v>#N/A</v>
      </c>
      <c r="AD63" s="63" t="str">
        <f t="shared" si="10"/>
        <v>0149-05</v>
      </c>
      <c r="AE63" s="95" t="str">
        <f t="shared" si="31"/>
        <v>aws s3 cp s3://rtdc.mdm.uploadarchive.raw/RTDC4007/ "%USERPROFILE%\AppData\Local\Temp\OnboardLogs"\RTDC4007\2016-10-05 --exclude "*" --recursive --include "*20161005*" &amp; "%USERPROFILE%\Documents\GitHub\mrs-test-scripts\Headless Mode &amp; Sideloading\WalkAndUnGZ.bat" "%USERPROFILE%\AppData\Local\Temp\OnboardLogs"\RTDC4007\2016-10-05 &amp; 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</v>
      </c>
      <c r="AF63" s="92" t="str">
        <f t="shared" si="32"/>
        <v>"C:\Program Files (x86)\AstroGrep\AstroGrep.exe" /spath="%USERPROFILE%\AppData\Local\Temp\OnboardLogs" /stypes="app*4007*20161005*" /stext=" 16:.+((SYSTEM_STATE.+slice.+state.+changed )|(ment ac)|(system.+state.+changed )|(\[timeout)|(PRM\|1\|D)|(kpr)|(kdp)|(\|lc)|(penalty))" /e /r /s</v>
      </c>
      <c r="AG63" s="1" t="str">
        <f t="shared" si="13"/>
        <v>EC</v>
      </c>
      <c r="AH63" s="96" t="str">
        <f t="shared" si="16"/>
        <v>"%USERPROFILE%\Documents\GitHub\eaglep3\Utilities\RefineRTDCRunTimes.py" --tripid 149-05 --locoid 4007 --swversion DE.1.0.7.0 --startMP 204:467 --initTime 2016-10-05T09:44:35 --startdatetime 2016-10-05T09:46:15 --delay 1 --endMP 204:233293 --enddatetime 2016-10-05T10:22:01 --enforcementcount 0 &gt;&gt;C:\Users\stu\Documents\GitHub\eaglep3-reporting\EC\2016-10-05-refined-times.txt</v>
      </c>
      <c r="AI63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{"issue":{"subject":"","project_id":79,"tracker_id":40,"status_id":1,"priority_id":2,"assigned_to_id":23,"start_date":"2016-10-05","description":"","custom_fields":[{"id":1,"name":"Subdivision","value":"EC"},{"id":4,"name":"Milepost","value":"23.3293"},{"id":17,"name":"Train ID","value":"149-05"},{"id":16,"name":"Locomotive ID","value":"4007"},{"id":130,"name":"Impact","value":""},{"id":150,"name":"Time of Event (Mountain Time)","value":"10:22:01"},{"id":151,"name":"Denver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490</v>
      </c>
      <c r="B64" s="7">
        <v>4008</v>
      </c>
      <c r="C64" s="24" t="s">
        <v>106</v>
      </c>
      <c r="D64" s="24" t="s">
        <v>230</v>
      </c>
      <c r="E64" s="15">
        <v>42648.438796296294</v>
      </c>
      <c r="F64" s="15">
        <v>42648.445405092592</v>
      </c>
      <c r="G64" s="7">
        <v>1</v>
      </c>
      <c r="H64" s="15" t="s">
        <v>635</v>
      </c>
      <c r="I64" s="15">
        <v>42648.483495370368</v>
      </c>
      <c r="J64" s="7">
        <v>0</v>
      </c>
      <c r="K64" s="117" t="str">
        <f t="shared" si="25"/>
        <v>4007/4008</v>
      </c>
      <c r="L64" s="24" t="str">
        <f>VLOOKUP(A64,'Trips&amp;Operators'!$C$1:$E$10000,3,FALSE)</f>
        <v>SPECTOR</v>
      </c>
      <c r="M64" s="6">
        <f t="shared" si="26"/>
        <v>3.8090277776063886E-2</v>
      </c>
      <c r="N64" s="7">
        <f t="shared" si="33"/>
        <v>54.849999997531995</v>
      </c>
      <c r="O64" s="7"/>
      <c r="P64" s="7"/>
      <c r="Q64" s="25"/>
      <c r="R64" s="25"/>
      <c r="S64" s="37">
        <f t="shared" si="22"/>
        <v>1</v>
      </c>
      <c r="T64" s="52" t="str">
        <f t="shared" si="4"/>
        <v>Southbound</v>
      </c>
      <c r="U64" s="159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https://search-rtdc-monitor-bjffxe2xuh6vdkpspy63sjmuny.us-east-1.es.amazonaws.com/_plugin/kibana/#/discover/Steve-Slow-Train-Analysis-(2080s-and-2083s)?_g=(refreshInterval:(display:Off,section:0,value:0),time:(from:'2016-10-05 09:31:52-0600',mode:absolute,to:'2016-10-05 12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4" s="54" t="str">
        <f t="shared" si="28"/>
        <v>N</v>
      </c>
      <c r="X64" s="164">
        <f t="shared" si="35"/>
        <v>1</v>
      </c>
      <c r="Y64" s="69">
        <f t="shared" si="23"/>
        <v>23.2988</v>
      </c>
      <c r="Z64" s="69">
        <f t="shared" si="24"/>
        <v>1.2699999999999999E-2</v>
      </c>
      <c r="AA64" s="69">
        <f t="shared" si="30"/>
        <v>23.286100000000001</v>
      </c>
      <c r="AB64" s="66" t="e">
        <f>VLOOKUP(A64,Enforcements!$C$7:$K$21,8,0)</f>
        <v>#N/A</v>
      </c>
      <c r="AC64" s="62" t="e">
        <f>VLOOKUP(A64,Enforcements!$C$7:$E$21,3,0)</f>
        <v>#N/A</v>
      </c>
      <c r="AD64" s="63" t="str">
        <f t="shared" si="10"/>
        <v>0150-05</v>
      </c>
      <c r="AE64" s="95" t="str">
        <f t="shared" si="31"/>
        <v>aws s3 cp s3://rtdc.mdm.uploadarchive.raw/RTDC4008/ "%USERPROFILE%\AppData\Local\Temp\OnboardLogs"\RTDC4008\2016-10-05 --exclude "*" --recursive --include "*20161005*" &amp; "%USERPROFILE%\Documents\GitHub\mrs-test-scripts\Headless Mode &amp; Sideloading\WalkAndUnGZ.bat" "%USERPROFILE%\AppData\Local\Temp\OnboardLogs"\RTDC4008\2016-10-05 &amp; 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</v>
      </c>
      <c r="AF64" s="92" t="str">
        <f t="shared" si="32"/>
        <v>"C:\Program Files (x86)\AstroGrep\AstroGrep.exe" /spath="%USERPROFILE%\AppData\Local\Temp\OnboardLogs" /stypes="app*4008*20161005*" /stext=" 17:.+((SYSTEM_STATE.+slice.+state.+changed )|(ment ac)|(system.+state.+changed )|(\[timeout)|(PRM\|1\|D)|(kpr)|(kdp)|(\|lc)|(penalty))" /e /r /s</v>
      </c>
      <c r="AG64" s="1" t="str">
        <f t="shared" si="13"/>
        <v>EC</v>
      </c>
      <c r="AH64" s="96" t="str">
        <f t="shared" si="16"/>
        <v>"%USERPROFILE%\Documents\GitHub\eaglep3\Utilities\RefineRTDCRunTimes.py" --tripid 150-05 --locoid 4008 --swversion DE.1.0.7.0 --startMP 204:232988 --initTime 2016-10-05T10:31:52 --startdatetime 2016-10-05T10:41:23 --delay 1 --endMP 204:127 --enddatetime 2016-10-05T11:36:14 --enforcementcount 0 &gt;&gt;C:\Users\stu\Documents\GitHub\eaglep3-reporting\EC\2016-10-05-refined-times.txt</v>
      </c>
      <c r="AI64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{"issue":{"subject":"","project_id":79,"tracker_id":40,"status_id":1,"priority_id":2,"assigned_to_id":23,"start_date":"2016-10-05","description":"","custom_fields":[{"id":1,"name":"Subdivision","value":"EC"},{"id":4,"name":"Milepost","value":"0.0127"},{"id":17,"name":"Train ID","value":"150-05"},{"id":16,"name":"Locomotive ID","value":"4008"},{"id":130,"name":"Impact","value":""},{"id":150,"name":"Time of Event (Mountain Time)","value":"11:36:14"},{"id":151,"name":"Denver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392</v>
      </c>
      <c r="B65" s="7">
        <v>4018</v>
      </c>
      <c r="C65" s="24" t="s">
        <v>106</v>
      </c>
      <c r="D65" s="24" t="s">
        <v>344</v>
      </c>
      <c r="E65" s="15">
        <v>42648.412118055552</v>
      </c>
      <c r="F65" s="15">
        <v>42648.416909722226</v>
      </c>
      <c r="G65" s="7">
        <v>1</v>
      </c>
      <c r="H65" s="15" t="s">
        <v>634</v>
      </c>
      <c r="I65" s="15">
        <v>42648.442395833335</v>
      </c>
      <c r="J65" s="7">
        <v>0</v>
      </c>
      <c r="K65" s="117" t="str">
        <f t="shared" si="25"/>
        <v>4017/4018</v>
      </c>
      <c r="L65" s="24" t="str">
        <f>VLOOKUP(A65,'Trips&amp;Operators'!$C$1:$E$10000,3,FALSE)</f>
        <v>KILLION</v>
      </c>
      <c r="M65" s="6">
        <f t="shared" si="26"/>
        <v>2.548611110978527E-2</v>
      </c>
      <c r="N65" s="7">
        <f t="shared" si="33"/>
        <v>36.699999998090789</v>
      </c>
      <c r="O65" s="7"/>
      <c r="P65" s="7"/>
      <c r="Q65" s="25"/>
      <c r="R65" s="25"/>
      <c r="S65" s="37">
        <f t="shared" si="22"/>
        <v>1</v>
      </c>
      <c r="T65" s="52" t="str">
        <f t="shared" si="4"/>
        <v>NorthBound</v>
      </c>
      <c r="U65" s="159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https://search-rtdc-monitor-bjffxe2xuh6vdkpspy63sjmuny.us-east-1.es.amazonaws.com/_plugin/kibana/#/discover/Steve-Slow-Train-Analysis-(2080s-and-2083s)?_g=(refreshInterval:(display:Off,section:0,value:0),time:(from:'2016-10-05 08:53:27-0600',mode:absolute,to:'2016-10-05 11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5" s="54" t="str">
        <f t="shared" si="28"/>
        <v>N</v>
      </c>
      <c r="X65" s="164">
        <f t="shared" si="35"/>
        <v>1</v>
      </c>
      <c r="Y65" s="69">
        <f t="shared" si="23"/>
        <v>4.7800000000000002E-2</v>
      </c>
      <c r="Z65" s="69">
        <f t="shared" si="24"/>
        <v>23.331</v>
      </c>
      <c r="AA65" s="69">
        <f t="shared" si="30"/>
        <v>23.283200000000001</v>
      </c>
      <c r="AB65" s="66" t="str">
        <f>VLOOKUP(A65,Enforcements!$C$7:$K$21,8,0)</f>
        <v>Speed (6)</v>
      </c>
      <c r="AC65" s="62" t="str">
        <f>VLOOKUP(A65,Enforcements!$C$7:$E$21,3,0)</f>
        <v>PERMANENT SPEED RESTRICTION</v>
      </c>
      <c r="AD65" s="63" t="str">
        <f t="shared" si="10"/>
        <v>0151-05</v>
      </c>
      <c r="AE65" s="95" t="str">
        <f t="shared" si="31"/>
        <v>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 &amp; aws s3 cp s3://rtdc.mdm.uploadarchive.raw/RTDC4018/ "%USERPROFILE%\AppData\Local\Temp\OnboardLogs"\RTDC4018\2016-10-06 --exclude "*" --recursive --include "*20161006*" &amp; "%USERPROFILE%\Documents\GitHub\mrs-test-scripts\Headless Mode &amp; Sideloading\WalkAndUnGZ.bat" "%USERPROFILE%\AppData\Local\Temp\OnboardLogs"\RTDC4018\2016-10-06</v>
      </c>
      <c r="AF65" s="92" t="str">
        <f t="shared" si="32"/>
        <v>"C:\Program Files (x86)\AstroGrep\AstroGrep.exe" /spath="%USERPROFILE%\AppData\Local\Temp\OnboardLogs" /stypes="app*4018*20161005*" /stext=" 16:.+((SYSTEM_STATE.+slice.+state.+changed )|(ment ac)|(system.+state.+changed )|(\[timeout)|(PRM\|1\|D)|(kpr)|(kdp)|(\|lc)|(penalty))" /e /r /s</v>
      </c>
      <c r="AG65" s="1" t="str">
        <f t="shared" si="13"/>
        <v>EC</v>
      </c>
      <c r="AH65" s="96" t="str">
        <f t="shared" si="16"/>
        <v>"%USERPROFILE%\Documents\GitHub\eaglep3\Utilities\RefineRTDCRunTimes.py" --tripid 151-05 --locoid 4018 --swversion DE.1.0.7.0 --startMP 204:478 --initTime 2016-10-05T09:53:27 --startdatetime 2016-10-05T10:00:21 --delay 1 --endMP 204:233310 --enddatetime 2016-10-05T10:37:03 --enforcementcount 0 &gt;&gt;C:\Users\stu\Documents\GitHub\eaglep3-reporting\EC\2016-10-05-refined-times.txt</v>
      </c>
      <c r="AI65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{"issue":{"subject":"","project_id":79,"tracker_id":40,"status_id":1,"priority_id":2,"assigned_to_id":23,"start_date":"2016-10-05","description":"","custom_fields":[{"id":1,"name":"Subdivision","value":"EC"},{"id":4,"name":"Milepost","value":"23.331"},{"id":17,"name":"Train ID","value":"151-05"},{"id":16,"name":"Locomotive ID","value":"4018"},{"id":130,"name":"Impact","value":""},{"id":150,"name":"Time of Event (Mountain Time)","value":"10:37:03"},{"id":151,"name":"Denver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398</v>
      </c>
      <c r="B66" s="7">
        <v>4017</v>
      </c>
      <c r="C66" s="24" t="s">
        <v>106</v>
      </c>
      <c r="D66" s="24" t="s">
        <v>245</v>
      </c>
      <c r="E66" s="15">
        <v>42648.449305555558</v>
      </c>
      <c r="F66" s="15">
        <v>42648.455949074072</v>
      </c>
      <c r="G66" s="7">
        <v>1</v>
      </c>
      <c r="H66" s="15" t="s">
        <v>209</v>
      </c>
      <c r="I66" s="15">
        <v>42648.49009259259</v>
      </c>
      <c r="J66" s="7">
        <v>0</v>
      </c>
      <c r="K66" s="117" t="str">
        <f t="shared" si="25"/>
        <v>4017/4018</v>
      </c>
      <c r="L66" s="24" t="str">
        <f>VLOOKUP(A66,'Trips&amp;Operators'!$C$1:$E$10000,3,FALSE)</f>
        <v>KILLION</v>
      </c>
      <c r="M66" s="6">
        <f t="shared" si="26"/>
        <v>3.4143518518249039E-2</v>
      </c>
      <c r="N66" s="7">
        <f t="shared" si="33"/>
        <v>49.166666666278616</v>
      </c>
      <c r="O66" s="7"/>
      <c r="P66" s="7"/>
      <c r="Q66" s="25"/>
      <c r="R66" s="25"/>
      <c r="S66" s="37">
        <f t="shared" si="22"/>
        <v>1</v>
      </c>
      <c r="T66" s="52" t="str">
        <f t="shared" si="4"/>
        <v>Southbound</v>
      </c>
      <c r="U66" s="159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https://search-rtdc-monitor-bjffxe2xuh6vdkpspy63sjmuny.us-east-1.es.amazonaws.com/_plugin/kibana/#/discover/Steve-Slow-Train-Analysis-(2080s-and-2083s)?_g=(refreshInterval:(display:Off,section:0,value:0),time:(from:'2016-10-05 09:47:00-0600',mode:absolute,to:'2016-10-05 12:45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6" s="54" t="str">
        <f t="shared" si="28"/>
        <v>N</v>
      </c>
      <c r="X66" s="164">
        <f t="shared" si="35"/>
        <v>1</v>
      </c>
      <c r="Y66" s="69">
        <f t="shared" si="23"/>
        <v>23.299600000000002</v>
      </c>
      <c r="Z66" s="69">
        <f t="shared" si="24"/>
        <v>1.5599999999999999E-2</v>
      </c>
      <c r="AA66" s="69">
        <f t="shared" si="30"/>
        <v>23.284000000000002</v>
      </c>
      <c r="AB66" s="66" t="str">
        <f>VLOOKUP(A66,Enforcements!$C$7:$K$21,8,0)</f>
        <v>Speed (6)</v>
      </c>
      <c r="AC66" s="62" t="str">
        <f>VLOOKUP(A66,Enforcements!$C$7:$E$21,3,0)</f>
        <v>PERMANENT SPEED RESTRICTION</v>
      </c>
      <c r="AD66" s="63" t="str">
        <f t="shared" si="10"/>
        <v>0152-05</v>
      </c>
      <c r="AE66" s="95" t="str">
        <f t="shared" si="31"/>
        <v>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 &amp; aws s3 cp s3://rtdc.mdm.uploadarchive.raw/RTDC4017/ "%USERPROFILE%\AppData\Local\Temp\OnboardLogs"\RTDC4017\2016-10-06 --exclude "*" --recursive --include "*20161006*" &amp; "%USERPROFILE%\Documents\GitHub\mrs-test-scripts\Headless Mode &amp; Sideloading\WalkAndUnGZ.bat" "%USERPROFILE%\AppData\Local\Temp\OnboardLogs"\RTDC4017\2016-10-06</v>
      </c>
      <c r="AF66" s="92" t="str">
        <f t="shared" si="32"/>
        <v>"C:\Program Files (x86)\AstroGrep\AstroGrep.exe" /spath="%USERPROFILE%\AppData\Local\Temp\OnboardLogs" /stypes="app*4017*20161005*" /stext=" 17:.+((SYSTEM_STATE.+slice.+state.+changed )|(ment ac)|(system.+state.+changed )|(\[timeout)|(PRM\|1\|D)|(kpr)|(kdp)|(\|lc)|(penalty))" /e /r /s</v>
      </c>
      <c r="AG66" s="1" t="str">
        <f t="shared" si="13"/>
        <v>EC</v>
      </c>
      <c r="AH66" s="96" t="str">
        <f t="shared" si="16"/>
        <v>"%USERPROFILE%\Documents\GitHub\eaglep3\Utilities\RefineRTDCRunTimes.py" --tripid 152-05 --locoid 4017 --swversion DE.1.0.7.0 --startMP 204:232996 --initTime 2016-10-05T10:47:00 --startdatetime 2016-10-05T10:56:34 --delay 1 --endMP 204:156 --enddatetime 2016-10-05T11:45:44 --enforcementcount 0 &gt;&gt;C:\Users\stu\Documents\GitHub\eaglep3-reporting\EC\2016-10-05-refined-times.txt</v>
      </c>
      <c r="AI66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{"issue":{"subject":"","project_id":79,"tracker_id":40,"status_id":1,"priority_id":2,"assigned_to_id":23,"start_date":"2016-10-05","description":"","custom_fields":[{"id":1,"name":"Subdivision","value":"EC"},{"id":4,"name":"Milepost","value":"0.0156"},{"id":17,"name":"Train ID","value":"152-05"},{"id":16,"name":"Locomotive ID","value":"4017"},{"id":130,"name":"Impact","value":""},{"id":150,"name":"Time of Event (Mountain Time)","value":"11:45:44"},{"id":151,"name":"Denver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489</v>
      </c>
      <c r="B67" s="7">
        <v>4003</v>
      </c>
      <c r="C67" s="24" t="s">
        <v>106</v>
      </c>
      <c r="D67" s="24" t="s">
        <v>259</v>
      </c>
      <c r="E67" s="15">
        <v>42648.425555555557</v>
      </c>
      <c r="F67" s="15">
        <v>42648.427314814813</v>
      </c>
      <c r="G67" s="7">
        <v>1</v>
      </c>
      <c r="H67" s="15" t="s">
        <v>331</v>
      </c>
      <c r="I67" s="15">
        <v>42648.451909722222</v>
      </c>
      <c r="J67" s="7">
        <v>0</v>
      </c>
      <c r="K67" s="117" t="str">
        <f t="shared" si="25"/>
        <v>4003/4004</v>
      </c>
      <c r="L67" s="24" t="str">
        <f>VLOOKUP(A67,'Trips&amp;Operators'!$C$1:$E$10000,3,FALSE)</f>
        <v>ROCHA</v>
      </c>
      <c r="M67" s="6">
        <f t="shared" si="26"/>
        <v>2.4594907408754807E-2</v>
      </c>
      <c r="N67" s="7">
        <f t="shared" si="33"/>
        <v>35.416666668606922</v>
      </c>
      <c r="O67" s="7"/>
      <c r="P67" s="7"/>
      <c r="Q67" s="25"/>
      <c r="R67" s="25"/>
      <c r="S67" s="37">
        <f t="shared" si="22"/>
        <v>1</v>
      </c>
      <c r="T67" s="52" t="str">
        <f t="shared" si="4"/>
        <v>NorthBound</v>
      </c>
      <c r="U67" s="159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https://search-rtdc-monitor-bjffxe2xuh6vdkpspy63sjmuny.us-east-1.es.amazonaws.com/_plugin/kibana/#/discover/Steve-Slow-Train-Analysis-(2080s-and-2083s)?_g=(refreshInterval:(display:Off,section:0,value:0),time:(from:'2016-10-05 09:12:48-0600',mode:absolute,to:'2016-10-05 11:50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7" s="54" t="str">
        <f t="shared" si="28"/>
        <v>N</v>
      </c>
      <c r="X67" s="164">
        <f t="shared" si="35"/>
        <v>1</v>
      </c>
      <c r="Y67" s="69">
        <f t="shared" si="23"/>
        <v>4.6699999999999998E-2</v>
      </c>
      <c r="Z67" s="69">
        <f t="shared" si="24"/>
        <v>23.332000000000001</v>
      </c>
      <c r="AA67" s="69">
        <f t="shared" si="30"/>
        <v>23.285299999999999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 t="shared" si="10"/>
        <v>0153-05</v>
      </c>
      <c r="AE67" s="95" t="str">
        <f t="shared" si="31"/>
        <v>aws s3 cp s3://rtdc.mdm.uploadarchive.raw/RTDC4003/ "%USERPROFILE%\AppData\Local\Temp\OnboardLogs"\RTDC4003\2016-10-05 --exclude "*" --recursive --include "*20161005*" &amp; "%USERPROFILE%\Documents\GitHub\mrs-test-scripts\Headless Mode &amp; Sideloading\WalkAndUnGZ.bat" "%USERPROFILE%\AppData\Local\Temp\OnboardLogs"\RTDC4003\2016-10-05 &amp; aws s3 cp s3://rtdc.mdm.uploadarchive.raw/RTDC4003/ "%USERPROFILE%\AppData\Local\Temp\OnboardLogs"\RTDC4003\2016-10-06 --exclude "*" --recursive --include "*20161006*" &amp; "%USERPROFILE%\Documents\GitHub\mrs-test-scripts\Headless Mode &amp; Sideloading\WalkAndUnGZ.bat" "%USERPROFILE%\AppData\Local\Temp\OnboardLogs"\RTDC4003\2016-10-06</v>
      </c>
      <c r="AF67" s="92" t="str">
        <f t="shared" si="32"/>
        <v>"C:\Program Files (x86)\AstroGrep\AstroGrep.exe" /spath="%USERPROFILE%\AppData\Local\Temp\OnboardLogs" /stypes="app*4003*20161005*" /stext=" 16:.+((SYSTEM_STATE.+slice.+state.+changed )|(ment ac)|(system.+state.+changed )|(\[timeout)|(PRM\|1\|D)|(kpr)|(kdp)|(\|lc)|(penalty))" /e /r /s</v>
      </c>
      <c r="AG67" s="1" t="str">
        <f t="shared" si="13"/>
        <v>EC</v>
      </c>
      <c r="AH67" s="96" t="str">
        <f t="shared" si="16"/>
        <v>"%USERPROFILE%\Documents\GitHub\eaglep3\Utilities\RefineRTDCRunTimes.py" --tripid 153-05 --locoid 4003 --swversion DE.1.0.7.0 --startMP 204:467 --initTime 2016-10-05T10:12:48 --startdatetime 2016-10-05T10:15:20 --delay 1 --endMP 204:233320 --enddatetime 2016-10-05T10:50:45 --enforcementcount 0 &gt;&gt;C:\Users\stu\Documents\GitHub\eaglep3-reporting\EC\2016-10-05-refined-times.txt</v>
      </c>
      <c r="AI67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{"issue":{"subject":"","project_id":79,"tracker_id":40,"status_id":1,"priority_id":2,"assigned_to_id":23,"start_date":"2016-10-05","description":"","custom_fields":[{"id":1,"name":"Subdivision","value":"EC"},{"id":4,"name":"Milepost","value":"23.332"},{"id":17,"name":"Train ID","value":"153-05"},{"id":16,"name":"Locomotive ID","value":"4003"},{"id":130,"name":"Impact","value":""},{"id":150,"name":"Time of Event (Mountain Time)","value":"10:50:45"},{"id":151,"name":"Denver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493</v>
      </c>
      <c r="B68" s="7">
        <v>4004</v>
      </c>
      <c r="C68" s="24" t="s">
        <v>106</v>
      </c>
      <c r="D68" s="24" t="s">
        <v>238</v>
      </c>
      <c r="E68" s="15">
        <v>42648.463391203702</v>
      </c>
      <c r="F68" s="15">
        <v>42648.470092592594</v>
      </c>
      <c r="G68" s="7">
        <v>2</v>
      </c>
      <c r="H68" s="15" t="s">
        <v>126</v>
      </c>
      <c r="I68" s="15">
        <v>42648.498194444444</v>
      </c>
      <c r="J68" s="7">
        <v>0</v>
      </c>
      <c r="K68" s="117" t="str">
        <f t="shared" si="25"/>
        <v>4003/4004</v>
      </c>
      <c r="L68" s="24" t="str">
        <f>VLOOKUP(A68,'Trips&amp;Operators'!$C$1:$E$10000,3,FALSE)</f>
        <v>ROCHA</v>
      </c>
      <c r="M68" s="6">
        <f t="shared" si="26"/>
        <v>2.810185185080627E-2</v>
      </c>
      <c r="N68" s="7">
        <f t="shared" si="33"/>
        <v>40.466666665161029</v>
      </c>
      <c r="O68" s="7"/>
      <c r="P68" s="7"/>
      <c r="Q68" s="25"/>
      <c r="R68" s="25"/>
      <c r="S68" s="37">
        <f t="shared" si="22"/>
        <v>1</v>
      </c>
      <c r="T68" s="52" t="str">
        <f t="shared" si="4"/>
        <v>Southbound</v>
      </c>
      <c r="U68" s="159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https://search-rtdc-monitor-bjffxe2xuh6vdkpspy63sjmuny.us-east-1.es.amazonaws.com/_plugin/kibana/#/discover/Steve-Slow-Train-Analysis-(2080s-and-2083s)?_g=(refreshInterval:(display:Off,section:0,value:0),time:(from:'2016-10-05 10:07:17-0600',mode:absolute,to:'2016-10-05 12:57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68" s="54" t="str">
        <f t="shared" si="28"/>
        <v>N</v>
      </c>
      <c r="X68" s="164">
        <f t="shared" si="35"/>
        <v>1</v>
      </c>
      <c r="Y68" s="69">
        <f t="shared" si="23"/>
        <v>23.2986</v>
      </c>
      <c r="Z68" s="69">
        <f t="shared" si="24"/>
        <v>1.54E-2</v>
      </c>
      <c r="AA68" s="69">
        <f t="shared" si="30"/>
        <v>23.283200000000001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 t="shared" si="10"/>
        <v>0154-05</v>
      </c>
      <c r="AE68" s="95" t="str">
        <f t="shared" si="31"/>
        <v>aws s3 cp s3://rtdc.mdm.uploadarchive.raw/RTDC4004/ "%USERPROFILE%\AppData\Local\Temp\OnboardLogs"\RTDC4004\2016-10-05 --exclude "*" --recursive --include "*20161005*" &amp; "%USERPROFILE%\Documents\GitHub\mrs-test-scripts\Headless Mode &amp; Sideloading\WalkAndUnGZ.bat" "%USERPROFILE%\AppData\Local\Temp\OnboardLogs"\RTDC4004\2016-10-05 &amp; aws s3 cp s3://rtdc.mdm.uploadarchive.raw/RTDC4004/ "%USERPROFILE%\AppData\Local\Temp\OnboardLogs"\RTDC4004\2016-10-06 --exclude "*" --recursive --include "*20161006*" &amp; "%USERPROFILE%\Documents\GitHub\mrs-test-scripts\Headless Mode &amp; Sideloading\WalkAndUnGZ.bat" "%USERPROFILE%\AppData\Local\Temp\OnboardLogs"\RTDC4004\2016-10-06</v>
      </c>
      <c r="AF68" s="92" t="str">
        <f t="shared" si="32"/>
        <v>"C:\Program Files (x86)\AstroGrep\AstroGrep.exe" /spath="%USERPROFILE%\AppData\Local\Temp\OnboardLogs" /stypes="app*4004*20161005*" /stext=" 17:.+((SYSTEM_STATE.+slice.+state.+changed )|(ment ac)|(system.+state.+changed )|(\[timeout)|(PRM\|1\|D)|(kpr)|(kdp)|(\|lc)|(penalty))" /e /r /s</v>
      </c>
      <c r="AG68" s="1" t="str">
        <f t="shared" si="13"/>
        <v>EC</v>
      </c>
      <c r="AH68" s="96" t="str">
        <f t="shared" si="16"/>
        <v>"%USERPROFILE%\Documents\GitHub\eaglep3\Utilities\RefineRTDCRunTimes.py" --tripid 154-05 --locoid 4004 --swversion DE.1.0.7.0 --startMP 204:232986 --initTime 2016-10-05T11:07:17 --startdatetime 2016-10-05T11:16:56 --delay 2 --endMP 204:154 --enddatetime 2016-10-05T11:57:24 --enforcementcount 0 &gt;&gt;C:\Users\stu\Documents\GitHub\eaglep3-reporting\EC\2016-10-05-refined-times.txt</v>
      </c>
      <c r="AI68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{"issue":{"subject":"","project_id":79,"tracker_id":40,"status_id":1,"priority_id":2,"assigned_to_id":23,"start_date":"2016-10-05","description":"","custom_fields":[{"id":1,"name":"Subdivision","value":"EC"},{"id":4,"name":"Milepost","value":"0.0154"},{"id":17,"name":"Train ID","value":"154-05"},{"id":16,"name":"Locomotive ID","value":"4004"},{"id":130,"name":"Impact","value":""},{"id":150,"name":"Time of Event (Mountain Time)","value":"11:57:24"},{"id":151,"name":"Denver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396</v>
      </c>
      <c r="B69" s="7">
        <v>4027</v>
      </c>
      <c r="C69" s="24" t="s">
        <v>106</v>
      </c>
      <c r="D69" s="24" t="s">
        <v>636</v>
      </c>
      <c r="E69" s="15">
        <v>42648.434074074074</v>
      </c>
      <c r="F69" s="15">
        <v>42648.437696759262</v>
      </c>
      <c r="G69" s="7">
        <v>2</v>
      </c>
      <c r="H69" s="15" t="s">
        <v>214</v>
      </c>
      <c r="I69" s="15">
        <v>42648.478865740741</v>
      </c>
      <c r="J69" s="7">
        <v>0</v>
      </c>
      <c r="K69" s="117" t="str">
        <f t="shared" si="25"/>
        <v>4027/4028</v>
      </c>
      <c r="L69" s="24" t="str">
        <f>VLOOKUP(A69,'Trips&amp;Operators'!$C$1:$E$10000,3,FALSE)</f>
        <v>STARKS</v>
      </c>
      <c r="M69" s="6">
        <f t="shared" si="26"/>
        <v>4.1168981479131617E-2</v>
      </c>
      <c r="N69" s="7">
        <f t="shared" si="33"/>
        <v>59.283333329949528</v>
      </c>
      <c r="O69" s="7"/>
      <c r="P69" s="7"/>
      <c r="Q69" s="25"/>
      <c r="R69" s="25"/>
      <c r="S69" s="37">
        <f t="shared" si="22"/>
        <v>1</v>
      </c>
      <c r="T69" s="52" t="str">
        <f t="shared" si="4"/>
        <v>NorthBound</v>
      </c>
      <c r="U69" s="159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https://search-rtdc-monitor-bjffxe2xuh6vdkpspy63sjmuny.us-east-1.es.amazonaws.com/_plugin/kibana/#/discover/Steve-Slow-Train-Analysis-(2080s-and-2083s)?_g=(refreshInterval:(display:Off,section:0,value:0),time:(from:'2016-10-05 09:25:04-0600',mode:absolute,to:'2016-10-05 12:29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9" s="54" t="str">
        <f t="shared" si="28"/>
        <v>N</v>
      </c>
      <c r="X69" s="164">
        <f t="shared" si="35"/>
        <v>1</v>
      </c>
      <c r="Y69" s="69">
        <f t="shared" si="23"/>
        <v>4.2900000000000001E-2</v>
      </c>
      <c r="Z69" s="69">
        <f t="shared" si="24"/>
        <v>23.331199999999999</v>
      </c>
      <c r="AA69" s="69">
        <f t="shared" si="30"/>
        <v>23.2883</v>
      </c>
      <c r="AB69" s="66" t="str">
        <f>VLOOKUP(A69,Enforcements!$C$7:$K$21,8,0)</f>
        <v>Speed (6)</v>
      </c>
      <c r="AC69" s="62" t="str">
        <f>VLOOKUP(A69,Enforcements!$C$7:$E$21,3,0)</f>
        <v>PERMANENT SPEED RESTRICTION</v>
      </c>
      <c r="AD69" s="63" t="str">
        <f t="shared" si="10"/>
        <v>0155-05</v>
      </c>
      <c r="AE69" s="95" t="str">
        <f t="shared" si="31"/>
        <v>aws s3 cp s3://rtdc.mdm.uploadarchive.raw/RTDC4027/ "%USERPROFILE%\AppData\Local\Temp\OnboardLogs"\RTDC4027\2016-10-05 --exclude "*" --recursive --include "*20161005*" &amp; "%USERPROFILE%\Documents\GitHub\mrs-test-scripts\Headless Mode &amp; Sideloading\WalkAndUnGZ.bat" "%USERPROFILE%\AppData\Local\Temp\OnboardLogs"\RTDC4027\2016-10-05 &amp; aws s3 cp s3://rtdc.mdm.uploadarchive.raw/RTDC4027/ "%USERPROFILE%\AppData\Local\Temp\OnboardLogs"\RTDC4027\2016-10-06 --exclude "*" --recursive --include "*20161006*" &amp; "%USERPROFILE%\Documents\GitHub\mrs-test-scripts\Headless Mode &amp; Sideloading\WalkAndUnGZ.bat" "%USERPROFILE%\AppData\Local\Temp\OnboardLogs"\RTDC4027\2016-10-06</v>
      </c>
      <c r="AF69" s="92" t="str">
        <f t="shared" si="32"/>
        <v>"C:\Program Files (x86)\AstroGrep\AstroGrep.exe" /spath="%USERPROFILE%\AppData\Local\Temp\OnboardLogs" /stypes="app*4027*20161005*" /stext=" 17:.+((SYSTEM_STATE.+slice.+state.+changed )|(ment ac)|(system.+state.+changed )|(\[timeout)|(PRM\|1\|D)|(kpr)|(kdp)|(\|lc)|(penalty))" /e /r /s</v>
      </c>
      <c r="AG69" s="1" t="str">
        <f t="shared" si="13"/>
        <v>EC</v>
      </c>
      <c r="AH69" s="96" t="str">
        <f t="shared" si="16"/>
        <v>"%USERPROFILE%\Documents\GitHub\eaglep3\Utilities\RefineRTDCRunTimes.py" --tripid 155-05 --locoid 4027 --swversion DE.1.0.7.0 --startMP 204:429 --initTime 2016-10-05T10:25:04 --startdatetime 2016-10-05T10:30:17 --delay 2 --endMP 204:233312 --enddatetime 2016-10-05T11:29:34 --enforcementcount 0 &gt;&gt;C:\Users\stu\Documents\GitHub\eaglep3-reporting\EC\2016-10-05-refined-times.txt</v>
      </c>
      <c r="AI69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{"issue":{"subject":"","project_id":79,"tracker_id":40,"status_id":1,"priority_id":2,"assigned_to_id":23,"start_date":"2016-10-05","description":"","custom_fields":[{"id":1,"name":"Subdivision","value":"EC"},{"id":4,"name":"Milepost","value":"23.3312"},{"id":17,"name":"Train ID","value":"155-05"},{"id":16,"name":"Locomotive ID","value":"4027"},{"id":130,"name":"Impact","value":""},{"id":150,"name":"Time of Event (Mountain Time)","value":"11:29:34"},{"id":151,"name":"Denver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495</v>
      </c>
      <c r="B70" s="7">
        <v>4028</v>
      </c>
      <c r="C70" s="24" t="s">
        <v>106</v>
      </c>
      <c r="D70" s="24" t="s">
        <v>247</v>
      </c>
      <c r="E70" s="15">
        <v>42648.480092592596</v>
      </c>
      <c r="F70" s="15">
        <v>42648.481354166666</v>
      </c>
      <c r="G70" s="7">
        <v>1</v>
      </c>
      <c r="H70" s="15" t="s">
        <v>212</v>
      </c>
      <c r="I70" s="15">
        <v>42648.510254629633</v>
      </c>
      <c r="J70" s="7">
        <v>0</v>
      </c>
      <c r="K70" s="117" t="str">
        <f t="shared" si="25"/>
        <v>4027/4028</v>
      </c>
      <c r="L70" s="24" t="str">
        <f>VLOOKUP(A70,'Trips&amp;Operators'!$C$1:$E$10000,3,FALSE)</f>
        <v>STARKS</v>
      </c>
      <c r="M70" s="6">
        <f t="shared" si="26"/>
        <v>2.8900462966703344E-2</v>
      </c>
      <c r="N70" s="7">
        <f t="shared" si="33"/>
        <v>41.616666672052816</v>
      </c>
      <c r="O70" s="7"/>
      <c r="P70" s="7"/>
      <c r="Q70" s="25"/>
      <c r="R70" s="25"/>
      <c r="S70" s="37">
        <f t="shared" si="22"/>
        <v>1</v>
      </c>
      <c r="T70" s="52" t="str">
        <f t="shared" si="4"/>
        <v>Southbound</v>
      </c>
      <c r="U70" s="159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https://search-rtdc-monitor-bjffxe2xuh6vdkpspy63sjmuny.us-east-1.es.amazonaws.com/_plugin/kibana/#/discover/Steve-Slow-Train-Analysis-(2080s-and-2083s)?_g=(refreshInterval:(display:Off,section:0,value:0),time:(from:'2016-10-05 10:31:20-0600',mode:absolute,to:'2016-10-05 13:14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70" s="54" t="str">
        <f t="shared" si="28"/>
        <v>N</v>
      </c>
      <c r="X70" s="164">
        <f t="shared" si="35"/>
        <v>1</v>
      </c>
      <c r="Y70" s="69">
        <f t="shared" si="23"/>
        <v>23.296900000000001</v>
      </c>
      <c r="Z70" s="69">
        <f t="shared" si="24"/>
        <v>1.4500000000000001E-2</v>
      </c>
      <c r="AA70" s="69">
        <f t="shared" si="30"/>
        <v>23.282399999999999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 t="shared" si="10"/>
        <v>0156-05</v>
      </c>
      <c r="AE70" s="95" t="str">
        <f t="shared" si="31"/>
        <v>aws s3 cp s3://rtdc.mdm.uploadarchive.raw/RTDC4028/ "%USERPROFILE%\AppData\Local\Temp\OnboardLogs"\RTDC4028\2016-10-05 --exclude "*" --recursive --include "*20161005*" &amp; "%USERPROFILE%\Documents\GitHub\mrs-test-scripts\Headless Mode &amp; Sideloading\WalkAndUnGZ.bat" "%USERPROFILE%\AppData\Local\Temp\OnboardLogs"\RTDC4028\2016-10-05 &amp; aws s3 cp s3://rtdc.mdm.uploadarchive.raw/RTDC4028/ "%USERPROFILE%\AppData\Local\Temp\OnboardLogs"\RTDC4028\2016-10-06 --exclude "*" --recursive --include "*20161006*" &amp; "%USERPROFILE%\Documents\GitHub\mrs-test-scripts\Headless Mode &amp; Sideloading\WalkAndUnGZ.bat" "%USERPROFILE%\AppData\Local\Temp\OnboardLogs"\RTDC4028\2016-10-06</v>
      </c>
      <c r="AF70" s="92" t="str">
        <f t="shared" si="32"/>
        <v>"C:\Program Files (x86)\AstroGrep\AstroGrep.exe" /spath="%USERPROFILE%\AppData\Local\Temp\OnboardLogs" /stypes="app*4028*20161005*" /stext=" 18:.+((SYSTEM_STATE.+slice.+state.+changed )|(ment ac)|(system.+state.+changed )|(\[timeout)|(PRM\|1\|D)|(kpr)|(kdp)|(\|lc)|(penalty))" /e /r /s</v>
      </c>
      <c r="AG70" s="1" t="str">
        <f t="shared" si="13"/>
        <v>EC</v>
      </c>
      <c r="AH70" s="96" t="str">
        <f t="shared" si="16"/>
        <v>"%USERPROFILE%\Documents\GitHub\eaglep3\Utilities\RefineRTDCRunTimes.py" --tripid 156-05 --locoid 4028 --swversion DE.1.0.7.0 --startMP 204:232969 --initTime 2016-10-05T11:31:20 --startdatetime 2016-10-05T11:33:09 --delay 1 --endMP 204:145 --enddatetime 2016-10-05T12:14:46 --enforcementcount 0 &gt;&gt;C:\Users\stu\Documents\GitHub\eaglep3-reporting\EC\2016-10-05-refined-times.txt</v>
      </c>
      <c r="AI70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{"issue":{"subject":"","project_id":79,"tracker_id":40,"status_id":1,"priority_id":2,"assigned_to_id":23,"start_date":"2016-10-05","description":"","custom_fields":[{"id":1,"name":"Subdivision","value":"EC"},{"id":4,"name":"Milepost","value":"0.0145"},{"id":17,"name":"Train ID","value":"156-05"},{"id":16,"name":"Locomotive ID","value":"4028"},{"id":130,"name":"Impact","value":""},{"id":150,"name":"Time of Event (Mountain Time)","value":"12:14:46"},{"id":151,"name":"Denver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491</v>
      </c>
      <c r="B71" s="7">
        <v>4016</v>
      </c>
      <c r="C71" s="24" t="s">
        <v>106</v>
      </c>
      <c r="D71" s="24" t="s">
        <v>243</v>
      </c>
      <c r="E71" s="15">
        <v>42648.452453703707</v>
      </c>
      <c r="F71" s="15">
        <v>42648.453900462962</v>
      </c>
      <c r="G71" s="7">
        <v>1</v>
      </c>
      <c r="H71" s="15" t="s">
        <v>637</v>
      </c>
      <c r="I71" s="15">
        <v>42648.485983796294</v>
      </c>
      <c r="J71" s="7">
        <v>0</v>
      </c>
      <c r="K71" s="117" t="str">
        <f t="shared" si="25"/>
        <v>4015/4016</v>
      </c>
      <c r="L71" s="24" t="str">
        <f>VLOOKUP(A71,'Trips&amp;Operators'!$C$1:$E$10000,3,FALSE)</f>
        <v>BRANNON</v>
      </c>
      <c r="M71" s="6">
        <f t="shared" si="26"/>
        <v>3.2083333331684116E-2</v>
      </c>
      <c r="N71" s="7">
        <f t="shared" si="33"/>
        <v>46.199999997625127</v>
      </c>
      <c r="O71" s="7"/>
      <c r="P71" s="7"/>
      <c r="Q71" s="25"/>
      <c r="R71" s="25"/>
      <c r="S71" s="37">
        <f t="shared" si="22"/>
        <v>1</v>
      </c>
      <c r="T71" s="52" t="str">
        <f t="shared" si="4"/>
        <v>NorthBound</v>
      </c>
      <c r="U71" s="159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https://search-rtdc-monitor-bjffxe2xuh6vdkpspy63sjmuny.us-east-1.es.amazonaws.com/_plugin/kibana/#/discover/Steve-Slow-Train-Analysis-(2080s-and-2083s)?_g=(refreshInterval:(display:Off,section:0,value:0),time:(from:'2016-10-05 09:51:32-0600',mode:absolute,to:'2016-10-05 12:39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1" s="54" t="str">
        <f t="shared" si="28"/>
        <v>N</v>
      </c>
      <c r="X71" s="164">
        <f t="shared" ref="X71:X81" si="36">VALUE(LEFT(AD71,4))-VALUE(LEFT(AD70,4))</f>
        <v>1</v>
      </c>
      <c r="Y71" s="69">
        <f t="shared" si="23"/>
        <v>4.4900000000000002E-2</v>
      </c>
      <c r="Z71" s="69">
        <f t="shared" si="24"/>
        <v>23.3323</v>
      </c>
      <c r="AA71" s="69">
        <f t="shared" si="30"/>
        <v>23.287400000000002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 t="shared" si="10"/>
        <v>0157-05</v>
      </c>
      <c r="AE71" s="95" t="str">
        <f t="shared" si="31"/>
        <v>aws s3 cp s3://rtdc.mdm.uploadarchive.raw/RTDC4016/ "%USERPROFILE%\AppData\Local\Temp\OnboardLogs"\RTDC4016\2016-10-05 --exclude "*" --recursive --include "*20161005*" &amp; "%USERPROFILE%\Documents\GitHub\mrs-test-scripts\Headless Mode &amp; Sideloading\WalkAndUnGZ.bat" "%USERPROFILE%\AppData\Local\Temp\OnboardLogs"\RTDC4016\2016-10-05 &amp; aws s3 cp s3://rtdc.mdm.uploadarchive.raw/RTDC4016/ "%USERPROFILE%\AppData\Local\Temp\OnboardLogs"\RTDC4016\2016-10-06 --exclude "*" --recursive --include "*20161006*" &amp; "%USERPROFILE%\Documents\GitHub\mrs-test-scripts\Headless Mode &amp; Sideloading\WalkAndUnGZ.bat" "%USERPROFILE%\AppData\Local\Temp\OnboardLogs"\RTDC4016\2016-10-06</v>
      </c>
      <c r="AF71" s="92" t="str">
        <f t="shared" si="32"/>
        <v>"C:\Program Files (x86)\AstroGrep\AstroGrep.exe" /spath="%USERPROFILE%\AppData\Local\Temp\OnboardLogs" /stypes="app*4016*20161005*" /stext=" 17:.+((SYSTEM_STATE.+slice.+state.+changed )|(ment ac)|(system.+state.+changed )|(\[timeout)|(PRM\|1\|D)|(kpr)|(kdp)|(\|lc)|(penalty))" /e /r /s</v>
      </c>
      <c r="AG71" s="1" t="str">
        <f t="shared" si="13"/>
        <v>EC</v>
      </c>
      <c r="AH71" s="96" t="str">
        <f t="shared" si="16"/>
        <v>"%USERPROFILE%\Documents\GitHub\eaglep3\Utilities\RefineRTDCRunTimes.py" --tripid 157-05 --locoid 4016 --swversion DE.1.0.7.0 --startMP 204:449 --initTime 2016-10-05T10:51:32 --startdatetime 2016-10-05T10:53:37 --delay 1 --endMP 204:233323 --enddatetime 2016-10-05T11:39:49 --enforcementcount 0 &gt;&gt;C:\Users\stu\Documents\GitHub\eaglep3-reporting\EC\2016-10-05-refined-times.txt</v>
      </c>
      <c r="AI71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{"issue":{"subject":"","project_id":79,"tracker_id":40,"status_id":1,"priority_id":2,"assigned_to_id":23,"start_date":"2016-10-05","description":"","custom_fields":[{"id":1,"name":"Subdivision","value":"EC"},{"id":4,"name":"Milepost","value":"23.3323"},{"id":17,"name":"Train ID","value":"157-05"},{"id":16,"name":"Locomotive ID","value":"4016"},{"id":130,"name":"Impact","value":""},{"id":150,"name":"Time of Event (Mountain Time)","value":"11:39:49"},{"id":151,"name":"Denver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776</v>
      </c>
      <c r="B72" s="7"/>
      <c r="C72" s="24" t="s">
        <v>106</v>
      </c>
      <c r="D72" s="24" t="s">
        <v>243</v>
      </c>
      <c r="E72" s="15">
        <v>42648.452453703707</v>
      </c>
      <c r="F72" s="15"/>
      <c r="G72" s="7">
        <v>1</v>
      </c>
      <c r="H72" s="15" t="s">
        <v>637</v>
      </c>
      <c r="I72" s="15"/>
      <c r="J72" s="7">
        <v>0</v>
      </c>
      <c r="K72" s="117" t="str">
        <f t="shared" si="25"/>
        <v>-1/</v>
      </c>
      <c r="L72" s="24" t="e">
        <f>VLOOKUP(A72,'Trips&amp;Operators'!$C$1:$E$10000,3,FALSE)</f>
        <v>#N/A</v>
      </c>
      <c r="M72" s="6">
        <f t="shared" si="26"/>
        <v>0</v>
      </c>
      <c r="N72" s="7"/>
      <c r="O72" s="7"/>
      <c r="P72" s="7">
        <v>1</v>
      </c>
      <c r="Q72" s="25"/>
      <c r="R72" s="25" t="s">
        <v>777</v>
      </c>
      <c r="S72" s="37">
        <f t="shared" si="22"/>
        <v>0</v>
      </c>
      <c r="T72" s="52" t="str">
        <f t="shared" si="4"/>
        <v>Southbound</v>
      </c>
      <c r="U72" s="159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0</v>
      </c>
      <c r="V72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https://search-rtdc-monitor-bjffxe2xuh6vdkpspy63sjmuny.us-east-1.es.amazonaws.com/_plugin/kibana/#/discover/Steve-Slow-Train-Analysis-(2080s-and-2083s)?_g=(refreshInterval:(display:Off,section:0,value:0),time:(from:'2016-10-05 09:51:32-0600',mode:absolute,to:'1900-01-00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72" s="54" t="str">
        <f t="shared" si="28"/>
        <v>Y</v>
      </c>
      <c r="X72" s="164">
        <f t="shared" si="36"/>
        <v>1</v>
      </c>
      <c r="Y72" s="69">
        <v>0</v>
      </c>
      <c r="Z72" s="69">
        <v>0</v>
      </c>
      <c r="AA72" s="69">
        <f t="shared" si="30"/>
        <v>0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 t="shared" si="10"/>
        <v>0158-05</v>
      </c>
      <c r="AE72" s="95" t="str">
        <f t="shared" si="31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72" s="92" t="str">
        <f t="shared" si="32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72" s="1" t="str">
        <f t="shared" si="13"/>
        <v>EC</v>
      </c>
      <c r="AH72" s="96" t="str">
        <f t="shared" ref="AH72" si="37">refinertdcruntimes&amp;" --tripid "&amp;A72&amp;" --locoid "&amp;B72&amp;" --swversion "&amp;C72&amp;" --startMP "&amp;D72&amp;" --initTime "&amp;TEXT(E72,"yyyy-mm-ddTHH:MM:SS")&amp;" --startdatetime "&amp;TEXT(F72,"yyyy-mm-ddTHH:MM:SS")&amp;" --delay "&amp;G72&amp;" --endMP "&amp;H72&amp;" --enddatetime "&amp;TEXT(I72,"yyyy-mm-ddTHH:MM:SS")&amp;" --enforcementcount "&amp;J72&amp;IF(outputrefinedruntimes," &gt;&gt;"&amp;RefinedRTDCRunTimesOutputFile,"")</f>
        <v>"%USERPROFILE%\Documents\GitHub\eaglep3\Utilities\RefineRTDCRunTimes.py" --tripid 158-05 --locoid  --swversion DE.1.0.7.0 --startMP 204:449 --initTime 2016-10-05T10:51:32 --startdatetime 1900-01-00T00:00:00 --delay 1 --endMP 204:233323 --enddatetime 1900-01-00T00:00:00 --enforcementcount 0 &gt;&gt;C:\Users\stu\Documents\GitHub\eaglep3-reporting\EC\2016-10-05-refined-times.txt</v>
      </c>
      <c r="AI72" s="130" t="str">
        <f t="shared" ref="AI72" si="38">"echo {""issue"":{""subject"":"""&amp;R72&amp;""",""project_id"":79,""tracker_id"":40,""status_id"":"&amp;redmine_status&amp;",""priority_id"":"&amp;redmine_priority&amp;",""assigned_to_id"":"&amp;redmine_assignee&amp;",""start_date"":"""&amp;TEXT(I72,"YYYY-mm-dd")&amp;""",""description"":"""&amp;AJ72&amp;""",""custom_fields"":[{""id"":1,""name"":""Subdivision"",""value"":"""&amp;AG72&amp;"""},{""id"":4,""name"":""Milepost"",""value"":"""&amp;Z72&amp;"""},{""id"":17,""name"":""Train ID"",""value"":"""&amp;A72&amp;"""},{""id"":16,""name"":""Locomotive ID"",""value"":"""&amp;B72&amp;"""},{""id"":130,""name"":""Impact"",""value"":"""&amp;AK72&amp;"""},{""id"":150,""name"":""Time of Event (Mountain Time)"",""value"":"""&amp;TEXT(I72,"hh:mm:ss")&amp;"""},{""id"":151,""name"":""Denver Issue ID"",""value"":"""&amp;"""},{""id"":178,""name"":""Operational Impact"",""value"":"""&amp;redmine_op_impact&amp;"""},{""id"":179,""name"":""Denver Segment Assigned"",""value"":"""&amp;AL72&amp;"""}]}}"&amp;"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init","project_id":79,"tracker_id":40,"status_id":1,"priority_id":2,"assigned_to_id":23,"start_date":"1900-01-00","description":"","custom_fields":[{"id":1,"name":"Subdivision","value":"EC"},{"id":4,"name":"Milepost","value":"0"},{"id":17,"name":"Train ID","value":"158-05"},{"id":16,"name":"Locomotive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492</v>
      </c>
      <c r="B73" s="7">
        <v>4025</v>
      </c>
      <c r="C73" s="24" t="s">
        <v>106</v>
      </c>
      <c r="D73" s="24" t="s">
        <v>336</v>
      </c>
      <c r="E73" s="15">
        <v>42648.454189814816</v>
      </c>
      <c r="F73" s="15">
        <v>42648.462743055556</v>
      </c>
      <c r="G73" s="7">
        <v>1</v>
      </c>
      <c r="H73" s="15" t="s">
        <v>638</v>
      </c>
      <c r="I73" s="15">
        <v>42648.502615740741</v>
      </c>
      <c r="J73" s="7">
        <v>0</v>
      </c>
      <c r="K73" s="117" t="str">
        <f t="shared" si="25"/>
        <v>4025/4026</v>
      </c>
      <c r="L73" s="24" t="str">
        <f>VLOOKUP(A73,'Trips&amp;Operators'!$C$1:$E$10000,3,FALSE)</f>
        <v>BONDS</v>
      </c>
      <c r="M73" s="6">
        <f t="shared" si="26"/>
        <v>3.9872685185400769E-2</v>
      </c>
      <c r="N73" s="7">
        <f>24*60*SUM($M73:$M73)</f>
        <v>57.416666666977108</v>
      </c>
      <c r="O73" s="7"/>
      <c r="P73" s="7"/>
      <c r="Q73" s="25"/>
      <c r="R73" s="25"/>
      <c r="S73" s="37">
        <f t="shared" si="22"/>
        <v>1</v>
      </c>
      <c r="T73" s="52" t="str">
        <f t="shared" si="4"/>
        <v>NorthBound</v>
      </c>
      <c r="U73" s="159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2" t="str">
        <f t="shared" si="27"/>
        <v>https://search-rtdc-monitor-bjffxe2xuh6vdkpspy63sjmuny.us-east-1.es.amazonaws.com/_plugin/kibana/#/discover/Steve-Slow-Train-Analysis-(2080s-and-2083s)?_g=(refreshInterval:(display:Off,section:0,value:0),time:(from:'2016-10-05 09:54:02-0600',mode:absolute,to:'2016-10-05 13:03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3" s="54" t="str">
        <f t="shared" si="28"/>
        <v>N</v>
      </c>
      <c r="X73" s="164">
        <f t="shared" si="36"/>
        <v>1</v>
      </c>
      <c r="Y73" s="69">
        <f>RIGHT(D73,LEN(D73)-4)/10000</f>
        <v>4.5999999999999999E-2</v>
      </c>
      <c r="Z73" s="69">
        <f>RIGHT(H73,LEN(H73)-4)/10000</f>
        <v>23.330500000000001</v>
      </c>
      <c r="AA73" s="69">
        <f t="shared" si="30"/>
        <v>23.284500000000001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 t="shared" si="10"/>
        <v>0159-05</v>
      </c>
      <c r="AE73" s="95" t="str">
        <f t="shared" si="31"/>
        <v>aws s3 cp s3://rtdc.mdm.uploadarchive.raw/RTDC4025/ "%USERPROFILE%\AppData\Local\Temp\OnboardLogs"\RTDC4025\2016-10-05 --exclude "*" --recursive --include "*20161005*" &amp; "%USERPROFILE%\Documents\GitHub\mrs-test-scripts\Headless Mode &amp; Sideloading\WalkAndUnGZ.bat" "%USERPROFILE%\AppData\Local\Temp\OnboardLogs"\RTDC4025\2016-10-05 &amp; aws s3 cp s3://rtdc.mdm.uploadarchive.raw/RTDC4025/ "%USERPROFILE%\AppData\Local\Temp\OnboardLogs"\RTDC4025\2016-10-06 --exclude "*" --recursive --include "*20161006*" &amp; "%USERPROFILE%\Documents\GitHub\mrs-test-scripts\Headless Mode &amp; Sideloading\WalkAndUnGZ.bat" "%USERPROFILE%\AppData\Local\Temp\OnboardLogs"\RTDC4025\2016-10-06</v>
      </c>
      <c r="AF73" s="92" t="str">
        <f t="shared" si="32"/>
        <v>"C:\Program Files (x86)\AstroGrep\AstroGrep.exe" /spath="%USERPROFILE%\AppData\Local\Temp\OnboardLogs" /stypes="app*4025*20161005*" /stext=" 18:.+((SYSTEM_STATE.+slice.+state.+changed )|(ment ac)|(system.+state.+changed )|(\[timeout)|(PRM\|1\|D)|(kpr)|(kdp)|(\|lc)|(penalty))" /e /r /s</v>
      </c>
      <c r="AG73" s="1" t="str">
        <f t="shared" si="13"/>
        <v>EC</v>
      </c>
      <c r="AH73" s="96" t="str">
        <f t="shared" si="16"/>
        <v>"%USERPROFILE%\Documents\GitHub\eaglep3\Utilities\RefineRTDCRunTimes.py" --tripid 159-05 --locoid 4025 --swversion DE.1.0.7.0 --startMP 204:460 --initTime 2016-10-05T10:54:02 --startdatetime 2016-10-05T11:06:21 --delay 1 --endMP 204:233305 --enddatetime 2016-10-05T12:03:46 --enforcementcount 0 &gt;&gt;C:\Users\stu\Documents\GitHub\eaglep3-reporting\EC\2016-10-05-refined-times.txt</v>
      </c>
      <c r="AI73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{"issue":{"subject":"","project_id":79,"tracker_id":40,"status_id":1,"priority_id":2,"assigned_to_id":23,"start_date":"2016-10-05","description":"","custom_fields":[{"id":1,"name":"Subdivision","value":"EC"},{"id":4,"name":"Milepost","value":"23.3305"},{"id":17,"name":"Train ID","value":"159-05"},{"id":16,"name":"Locomotive ID","value":"4025"},{"id":130,"name":"Impact","value":""},{"id":150,"name":"Time of Event (Mountain Time)","value":"12:03:46"},{"id":151,"name":"Denver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778</v>
      </c>
      <c r="B74" s="7"/>
      <c r="C74" s="24"/>
      <c r="D74" s="24"/>
      <c r="E74" s="15"/>
      <c r="F74" s="15"/>
      <c r="G74" s="7"/>
      <c r="H74" s="15"/>
      <c r="I74" s="15"/>
      <c r="J74" s="7"/>
      <c r="K74" s="117"/>
      <c r="L74" s="24"/>
      <c r="M74" s="6"/>
      <c r="N74" s="7"/>
      <c r="O74" s="7"/>
      <c r="P74" s="7">
        <v>1</v>
      </c>
      <c r="Q74" s="25"/>
      <c r="R74" s="25" t="s">
        <v>777</v>
      </c>
      <c r="S74" s="37">
        <f t="shared" si="22"/>
        <v>0</v>
      </c>
      <c r="T74" s="52" t="str">
        <f t="shared" si="4"/>
        <v>Southbound</v>
      </c>
      <c r="U74" s="159"/>
      <c r="V74" s="102"/>
      <c r="W74" s="54"/>
      <c r="X74" s="164">
        <f t="shared" si="36"/>
        <v>1</v>
      </c>
      <c r="Y74" s="69"/>
      <c r="Z74" s="69"/>
      <c r="AA74" s="69"/>
      <c r="AB74" s="66"/>
      <c r="AC74" s="62"/>
      <c r="AD74" s="63" t="str">
        <f t="shared" si="10"/>
        <v>0160-05</v>
      </c>
      <c r="AE74" s="95"/>
      <c r="AF74" s="92"/>
      <c r="AG74" s="1" t="str">
        <f t="shared" si="13"/>
        <v>EC</v>
      </c>
      <c r="AH74" s="96"/>
      <c r="AI74" s="130"/>
      <c r="AJ74" s="55"/>
      <c r="AK74" s="55"/>
      <c r="AL74" s="55"/>
    </row>
    <row r="75" spans="1:38" s="1" customFormat="1" x14ac:dyDescent="0.25">
      <c r="A75" s="39" t="s">
        <v>779</v>
      </c>
      <c r="B75" s="7"/>
      <c r="C75" s="24"/>
      <c r="D75" s="24"/>
      <c r="E75" s="15"/>
      <c r="F75" s="15"/>
      <c r="G75" s="7"/>
      <c r="H75" s="15"/>
      <c r="I75" s="15"/>
      <c r="J75" s="7"/>
      <c r="K75" s="117"/>
      <c r="L75" s="24"/>
      <c r="M75" s="6"/>
      <c r="N75" s="7"/>
      <c r="O75" s="7"/>
      <c r="P75" s="7">
        <v>1</v>
      </c>
      <c r="Q75" s="25"/>
      <c r="R75" s="25" t="s">
        <v>777</v>
      </c>
      <c r="S75" s="37">
        <f t="shared" si="22"/>
        <v>0</v>
      </c>
      <c r="T75" s="52" t="str">
        <f t="shared" si="4"/>
        <v>NorthBound</v>
      </c>
      <c r="U75" s="159"/>
      <c r="V75" s="102"/>
      <c r="W75" s="54"/>
      <c r="X75" s="164">
        <f t="shared" si="36"/>
        <v>1</v>
      </c>
      <c r="Y75" s="69"/>
      <c r="Z75" s="69"/>
      <c r="AA75" s="69"/>
      <c r="AB75" s="66"/>
      <c r="AC75" s="62"/>
      <c r="AD75" s="63" t="str">
        <f t="shared" si="10"/>
        <v>0161-05</v>
      </c>
      <c r="AE75" s="95"/>
      <c r="AF75" s="92"/>
      <c r="AG75" s="1" t="str">
        <f t="shared" si="13"/>
        <v>EC</v>
      </c>
      <c r="AH75" s="96"/>
      <c r="AI75" s="130"/>
      <c r="AJ75" s="55"/>
      <c r="AK75" s="55"/>
      <c r="AL75" s="55"/>
    </row>
    <row r="76" spans="1:38" s="1" customFormat="1" x14ac:dyDescent="0.25">
      <c r="A76" s="39" t="s">
        <v>503</v>
      </c>
      <c r="B76" s="7">
        <v>4026</v>
      </c>
      <c r="C76" s="24" t="s">
        <v>106</v>
      </c>
      <c r="D76" s="24" t="s">
        <v>237</v>
      </c>
      <c r="E76" s="15">
        <v>42648.504606481481</v>
      </c>
      <c r="F76" s="15">
        <v>42648.509930555556</v>
      </c>
      <c r="G76" s="7">
        <v>6</v>
      </c>
      <c r="H76" s="15" t="s">
        <v>198</v>
      </c>
      <c r="I76" s="15">
        <v>42648.546782407408</v>
      </c>
      <c r="J76" s="7">
        <v>0</v>
      </c>
      <c r="K76" s="117" t="str">
        <f>IF(ISEVEN(B76),(B76-1)&amp;"/"&amp;B76,B76&amp;"/"&amp;(B76+1))</f>
        <v>4025/4026</v>
      </c>
      <c r="L76" s="24" t="str">
        <f>VLOOKUP(A76,'Trips&amp;Operators'!$C$1:$E$10000,3,FALSE)</f>
        <v>BONDS</v>
      </c>
      <c r="M76" s="6">
        <f>I76-F76</f>
        <v>3.6851851851679385E-2</v>
      </c>
      <c r="N76" s="7">
        <f>24*60*SUM($M76:$M76)</f>
        <v>53.066666666418314</v>
      </c>
      <c r="O76" s="7"/>
      <c r="P76" s="7"/>
      <c r="Q76" s="25"/>
      <c r="R76" s="25"/>
      <c r="S76" s="37">
        <f t="shared" si="22"/>
        <v>1</v>
      </c>
      <c r="T76" s="52" t="str">
        <f t="shared" si="4"/>
        <v>Southbound</v>
      </c>
      <c r="U76" s="159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2" t="str">
        <f>"https://search-rtdc-monitor-bjffxe2xuh6vdkpspy63sjmuny.us-east-1.es.amazonaws.com/_plugin/kibana/#/discover/Steve-Slow-Train-Analysis-(2080s-and-2083s)?_g=(refreshInterval:(display:Off,section:0,value:0),time:(from:'"&amp;TEXT(E76-1/24,"yyyy-MM-DD hh:mm:ss")&amp;"-0600',mode:absolute,to:'"&amp;TEXT(I76+1/24,"yyyy-MM-DD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https://search-rtdc-monitor-bjffxe2xuh6vdkpspy63sjmuny.us-east-1.es.amazonaws.com/_plugin/kibana/#/discover/Steve-Slow-Train-Analysis-(2080s-and-2083s)?_g=(refreshInterval:(display:Off,section:0,value:0),time:(from:'2016-10-05 11:06:38-0600',mode:absolute,to:'2016-10-05 14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6" s="54" t="str">
        <f>IF(AA76&lt;IF(AG76="EC",23,5.65),"Y","N")</f>
        <v>N</v>
      </c>
      <c r="X76" s="164">
        <f t="shared" si="36"/>
        <v>1</v>
      </c>
      <c r="Y76" s="69">
        <f>RIGHT(D76,LEN(D76)-4)/10000</f>
        <v>23.297799999999999</v>
      </c>
      <c r="Z76" s="69">
        <f>RIGHT(H76,LEN(H76)-4)/10000</f>
        <v>1.52E-2</v>
      </c>
      <c r="AA76" s="69">
        <f>ABS(Z76-Y76)</f>
        <v>23.282599999999999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 t="shared" si="10"/>
        <v>0162-05</v>
      </c>
      <c r="AE76" s="9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s3://rtdc.mdm.uploadarchive.raw/RTDC4026/ "%USERPROFILE%\AppData\Local\Temp\OnboardLogs"\RTDC4026\2016-10-05 --exclude "*" --recursive --include "*20161005*" &amp; "%USERPROFILE%\Documents\GitHub\mrs-test-scripts\Headless Mode &amp; Sideloading\WalkAndUnGZ.bat" "%USERPROFILE%\AppData\Local\Temp\OnboardLogs"\RTDC4026\2016-10-05 &amp; aws s3 cp s3://rtdc.mdm.uploadarchive.raw/RTDC4026/ "%USERPROFILE%\AppData\Local\Temp\OnboardLogs"\RTDC4026\2016-10-06 --exclude "*" --recursive --include "*20161006*" &amp; "%USERPROFILE%\Documents\GitHub\mrs-test-scripts\Headless Mode &amp; Sideloading\WalkAndUnGZ.bat" "%USERPROFILE%\AppData\Local\Temp\OnboardLogs"\RTDC4026\2016-10-06</v>
      </c>
      <c r="AF76" s="92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/stypes="app*4026*20161005*" /stext=" 19:.+((SYSTEM_STATE.+slice.+state.+changed )|(ment ac)|(system.+state.+changed )|(\[timeout)|(PRM\|1\|D)|(kpr)|(kdp)|(\|lc)|(penalty))" /e /r /s</v>
      </c>
      <c r="AG76" s="1" t="str">
        <f t="shared" si="13"/>
        <v>EC</v>
      </c>
      <c r="AH76" s="96" t="str">
        <f t="shared" si="16"/>
        <v>"%USERPROFILE%\Documents\GitHub\eaglep3\Utilities\RefineRTDCRunTimes.py" --tripid 162-05 --locoid 4026 --swversion DE.1.0.7.0 --startMP 204:232978 --initTime 2016-10-05T12:06:38 --startdatetime 2016-10-05T12:14:18 --delay 6 --endMP 204:152 --enddatetime 2016-10-05T13:07:22 --enforcementcount 0 &gt;&gt;C:\Users\stu\Documents\GitHub\eaglep3-reporting\EC\2016-10-05-refined-times.txt</v>
      </c>
      <c r="AI76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{"issue":{"subject":"","project_id":79,"tracker_id":40,"status_id":1,"priority_id":2,"assigned_to_id":23,"start_date":"2016-10-05","description":"","custom_fields":[{"id":1,"name":"Subdivision","value":"EC"},{"id":4,"name":"Milepost","value":"0.0152"},{"id":17,"name":"Train ID","value":"162-05"},{"id":16,"name":"Locomotive ID","value":"4026"},{"id":130,"name":"Impact","value":""},{"id":150,"name":"Time of Event (Mountain Time)","value":"13:07:22"},{"id":151,"name":"Denver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494</v>
      </c>
      <c r="B77" s="7">
        <v>4009</v>
      </c>
      <c r="C77" s="24" t="s">
        <v>106</v>
      </c>
      <c r="D77" s="24" t="s">
        <v>333</v>
      </c>
      <c r="E77" s="15">
        <v>42648.477986111109</v>
      </c>
      <c r="F77" s="15">
        <v>42648.480925925927</v>
      </c>
      <c r="G77" s="7">
        <v>3</v>
      </c>
      <c r="H77" s="15" t="s">
        <v>637</v>
      </c>
      <c r="I77" s="15">
        <v>42648.509641203702</v>
      </c>
      <c r="J77" s="7">
        <v>0</v>
      </c>
      <c r="K77" s="117" t="str">
        <f>IF(ISEVEN(B77),(B77-1)&amp;"/"&amp;B77,B77&amp;"/"&amp;(B77+1))</f>
        <v>4009/4010</v>
      </c>
      <c r="L77" s="24" t="str">
        <f>VLOOKUP(A77,'Trips&amp;Operators'!$C$1:$E$10000,3,FALSE)</f>
        <v>BARTLETT</v>
      </c>
      <c r="M77" s="6">
        <f>I77-F77</f>
        <v>2.8715277774608694E-2</v>
      </c>
      <c r="N77" s="7">
        <f>24*60*SUM($M77:$M77)</f>
        <v>41.349999995436519</v>
      </c>
      <c r="O77" s="7"/>
      <c r="P77" s="7"/>
      <c r="Q77" s="25"/>
      <c r="R77" s="25"/>
      <c r="S77" s="37">
        <f t="shared" si="22"/>
        <v>1</v>
      </c>
      <c r="T77" s="52" t="str">
        <f t="shared" ref="T77:T140" si="39">IF(ISEVEN(LEFT(AD77,4)),"Southbound","NorthBound")</f>
        <v>NorthBound</v>
      </c>
      <c r="U77" s="159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2" t="str">
        <f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https://search-rtdc-monitor-bjffxe2xuh6vdkpspy63sjmuny.us-east-1.es.amazonaws.com/_plugin/kibana/#/discover/Steve-Slow-Train-Analysis-(2080s-and-2083s)?_g=(refreshInterval:(display:Off,section:0,value:0),time:(from:'2016-10-05 10:28:18-0600',mode:absolute,to:'2016-10-05 13:13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77" s="54" t="str">
        <f>IF(AA77&lt;IF(AG77="EC",23,5.65),"Y","N")</f>
        <v>N</v>
      </c>
      <c r="X77" s="164">
        <f t="shared" si="36"/>
        <v>1</v>
      </c>
      <c r="Y77" s="69">
        <f>RIGHT(D77,LEN(D77)-4)/10000</f>
        <v>4.8399999999999999E-2</v>
      </c>
      <c r="Z77" s="69">
        <f>RIGHT(H77,LEN(H77)-4)/10000</f>
        <v>23.3323</v>
      </c>
      <c r="AA77" s="69">
        <f>ABS(Z77-Y77)</f>
        <v>23.283899999999999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 t="shared" ref="AD77:AD140" si="40">IF(LEN(A77)=6,"0"&amp;A77,A77)</f>
        <v>0163-05</v>
      </c>
      <c r="AE77" s="9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s3://rtdc.mdm.uploadarchive.raw/RTDC4009/ "%USERPROFILE%\AppData\Local\Temp\OnboardLogs"\RTDC4009\2016-10-05 --exclude "*" --recursive --include "*20161005*" &amp; "%USERPROFILE%\Documents\GitHub\mrs-test-scripts\Headless Mode &amp; Sideloading\WalkAndUnGZ.bat" "%USERPROFILE%\AppData\Local\Temp\OnboardLogs"\RTDC4009\2016-10-05 &amp; aws s3 cp s3://rtdc.mdm.uploadarchive.raw/RTDC4009/ "%USERPROFILE%\AppData\Local\Temp\OnboardLogs"\RTDC4009\2016-10-06 --exclude "*" --recursive --include "*20161006*" &amp; "%USERPROFILE%\Documents\GitHub\mrs-test-scripts\Headless Mode &amp; Sideloading\WalkAndUnGZ.bat" "%USERPROFILE%\AppData\Local\Temp\OnboardLogs"\RTDC4009\2016-10-06</v>
      </c>
      <c r="AF77" s="92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/stypes="app*4009*20161005*" /stext=" 18:.+((SYSTEM_STATE.+slice.+state.+changed )|(ment ac)|(system.+state.+changed )|(\[timeout)|(PRM\|1\|D)|(kpr)|(kdp)|(\|lc)|(penalty))" /e /r /s</v>
      </c>
      <c r="AG77" s="1" t="str">
        <f t="shared" ref="AG77:AG140" si="41">IFERROR(IF(VALUE(LEFT(AD77,2))&lt;=2,"EC",IF(OR(VALUE(LEFT(AD77,2))=8,VALUE(LEFT(AD77,2))=18),"NW","Other")),"Other")</f>
        <v>EC</v>
      </c>
      <c r="AH77" s="96" t="str">
        <f t="shared" si="16"/>
        <v>"%USERPROFILE%\Documents\GitHub\eaglep3\Utilities\RefineRTDCRunTimes.py" --tripid 163-05 --locoid 4009 --swversion DE.1.0.7.0 --startMP 204:484 --initTime 2016-10-05T11:28:18 --startdatetime 2016-10-05T11:32:32 --delay 3 --endMP 204:233323 --enddatetime 2016-10-05T12:13:53 --enforcementcount 0 &gt;&gt;C:\Users\stu\Documents\GitHub\eaglep3-reporting\EC\2016-10-05-refined-times.txt</v>
      </c>
      <c r="AI77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{"issue":{"subject":"","project_id":79,"tracker_id":40,"status_id":1,"priority_id":2,"assigned_to_id":23,"start_date":"2016-10-05","description":"","custom_fields":[{"id":1,"name":"Subdivision","value":"EC"},{"id":4,"name":"Milepost","value":"23.3323"},{"id":17,"name":"Train ID","value":"163-05"},{"id":16,"name":"Locomotive ID","value":"4009"},{"id":130,"name":"Impact","value":""},{"id":150,"name":"Time of Event (Mountain Time)","value":"12:13:53"},{"id":151,"name":"Denver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505</v>
      </c>
      <c r="B78" s="7">
        <v>4010</v>
      </c>
      <c r="C78" s="24" t="s">
        <v>106</v>
      </c>
      <c r="D78" s="24" t="s">
        <v>278</v>
      </c>
      <c r="E78" s="15">
        <v>42648.514097222222</v>
      </c>
      <c r="F78" s="15">
        <v>42648.522974537038</v>
      </c>
      <c r="G78" s="7">
        <v>1</v>
      </c>
      <c r="H78" s="15" t="s">
        <v>205</v>
      </c>
      <c r="I78" s="15">
        <v>42648.557627314818</v>
      </c>
      <c r="J78" s="7">
        <v>0</v>
      </c>
      <c r="K78" s="117" t="str">
        <f>IF(ISEVEN(B78),(B78-1)&amp;"/"&amp;B78,B78&amp;"/"&amp;(B78+1))</f>
        <v>4009/4010</v>
      </c>
      <c r="L78" s="24" t="str">
        <f>VLOOKUP(A78,'Trips&amp;Operators'!$C$1:$E$10000,3,FALSE)</f>
        <v>BARTLETT</v>
      </c>
      <c r="M78" s="6">
        <f>I78-F78</f>
        <v>3.4652777780138422E-2</v>
      </c>
      <c r="N78" s="7">
        <f>24*60*SUM($M78:$M78)</f>
        <v>49.900000003399327</v>
      </c>
      <c r="O78" s="7"/>
      <c r="P78" s="7"/>
      <c r="Q78" s="25"/>
      <c r="R78" s="25"/>
      <c r="S78" s="37">
        <f t="shared" si="22"/>
        <v>1</v>
      </c>
      <c r="T78" s="52" t="str">
        <f t="shared" si="39"/>
        <v>Southbound</v>
      </c>
      <c r="U78" s="159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2" t="str">
        <f>"https://search-rtdc-monitor-bjffxe2xuh6vdkpspy63sjmuny.us-east-1.es.amazonaws.com/_plugin/kibana/#/discover/Steve-Slow-Train-Analysis-(2080s-and-2083s)?_g=(refreshInterval:(display:Off,section:0,value:0),time:(from:'"&amp;TEXT(E78-1/24,"yyyy-MM-DD hh:mm:ss")&amp;"-0600',mode:absolute,to:'"&amp;TEXT(I78+1/24,"yyyy-MM-DD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https://search-rtdc-monitor-bjffxe2xuh6vdkpspy63sjmuny.us-east-1.es.amazonaws.com/_plugin/kibana/#/discover/Steve-Slow-Train-Analysis-(2080s-and-2083s)?_g=(refreshInterval:(display:Off,section:0,value:0),time:(from:'2016-10-05 11:20:18-0600',mode:absolute,to:'2016-10-05 14:22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8" s="54" t="str">
        <f>IF(AA78&lt;IF(AG78="EC",23,5.65),"Y","N")</f>
        <v>N</v>
      </c>
      <c r="X78" s="164">
        <f t="shared" si="36"/>
        <v>1</v>
      </c>
      <c r="Y78" s="69">
        <f>RIGHT(D78,LEN(D78)-4)/10000</f>
        <v>23.302099999999999</v>
      </c>
      <c r="Z78" s="69">
        <f>RIGHT(H78,LEN(H78)-4)/10000</f>
        <v>1.38E-2</v>
      </c>
      <c r="AA78" s="69">
        <f>ABS(Z78-Y78)</f>
        <v>23.2883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 t="shared" si="40"/>
        <v>0164-05</v>
      </c>
      <c r="AE78" s="9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s3://rtdc.mdm.uploadarchive.raw/RTDC4010/ "%USERPROFILE%\AppData\Local\Temp\OnboardLogs"\RTDC4010\2016-10-05 --exclude "*" --recursive --include "*20161005*" &amp; "%USERPROFILE%\Documents\GitHub\mrs-test-scripts\Headless Mode &amp; Sideloading\WalkAndUnGZ.bat" "%USERPROFILE%\AppData\Local\Temp\OnboardLogs"\RTDC4010\2016-10-05 &amp; aws s3 cp s3://rtdc.mdm.uploadarchive.raw/RTDC4010/ "%USERPROFILE%\AppData\Local\Temp\OnboardLogs"\RTDC4010\2016-10-06 --exclude "*" --recursive --include "*20161006*" &amp; "%USERPROFILE%\Documents\GitHub\mrs-test-scripts\Headless Mode &amp; Sideloading\WalkAndUnGZ.bat" "%USERPROFILE%\AppData\Local\Temp\OnboardLogs"\RTDC4010\2016-10-06</v>
      </c>
      <c r="AF78" s="92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/stypes="app*4010*20161005*" /stext=" 19:.+((SYSTEM_STATE.+slice.+state.+changed )|(ment ac)|(system.+state.+changed )|(\[timeout)|(PRM\|1\|D)|(kpr)|(kdp)|(\|lc)|(penalty))" /e /r /s</v>
      </c>
      <c r="AG78" s="1" t="str">
        <f t="shared" si="41"/>
        <v>EC</v>
      </c>
      <c r="AH78" s="96" t="str">
        <f t="shared" si="16"/>
        <v>"%USERPROFILE%\Documents\GitHub\eaglep3\Utilities\RefineRTDCRunTimes.py" --tripid 164-05 --locoid 4010 --swversion DE.1.0.7.0 --startMP 204:233021 --initTime 2016-10-05T12:20:18 --startdatetime 2016-10-05T12:33:05 --delay 1 --endMP 204:138 --enddatetime 2016-10-05T13:22:59 --enforcementcount 0 &gt;&gt;C:\Users\stu\Documents\GitHub\eaglep3-reporting\EC\2016-10-05-refined-times.txt</v>
      </c>
      <c r="AI78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{"issue":{"subject":"","project_id":79,"tracker_id":40,"status_id":1,"priority_id":2,"assigned_to_id":23,"start_date":"2016-10-05","description":"","custom_fields":[{"id":1,"name":"Subdivision","value":"EC"},{"id":4,"name":"Milepost","value":"0.0138"},{"id":17,"name":"Train ID","value":"164-05"},{"id":16,"name":"Locomotive ID","value":"4010"},{"id":130,"name":"Impact","value":""},{"id":150,"name":"Time of Event (Mountain Time)","value":"13:22:59"},{"id":151,"name":"Denver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496</v>
      </c>
      <c r="B79" s="7">
        <v>4007</v>
      </c>
      <c r="C79" s="24" t="s">
        <v>106</v>
      </c>
      <c r="D79" s="24" t="s">
        <v>259</v>
      </c>
      <c r="E79" s="15">
        <v>42648.487685185188</v>
      </c>
      <c r="F79" s="15">
        <v>42648.489872685182</v>
      </c>
      <c r="G79" s="7">
        <v>2</v>
      </c>
      <c r="H79" s="15" t="s">
        <v>275</v>
      </c>
      <c r="I79" s="15">
        <v>42648.534247685187</v>
      </c>
      <c r="J79" s="7">
        <v>0</v>
      </c>
      <c r="K79" s="117" t="str">
        <f>IF(ISEVEN(B79),(B79-1)&amp;"/"&amp;B79,B79&amp;"/"&amp;(B79+1))</f>
        <v>4007/4008</v>
      </c>
      <c r="L79" s="24" t="str">
        <f>VLOOKUP(A79,'Trips&amp;Operators'!$C$1:$E$10000,3,FALSE)</f>
        <v>CRAYTON</v>
      </c>
      <c r="M79" s="6">
        <f>I79-F79</f>
        <v>4.4375000004947651E-2</v>
      </c>
      <c r="N79" s="7">
        <f>24*60*SUM($M79:$M79)</f>
        <v>63.900000007124618</v>
      </c>
      <c r="O79" s="7"/>
      <c r="P79" s="7"/>
      <c r="Q79" s="25"/>
      <c r="R79" s="25"/>
      <c r="S79" s="37">
        <f t="shared" si="22"/>
        <v>1</v>
      </c>
      <c r="T79" s="52" t="str">
        <f t="shared" si="39"/>
        <v>NorthBound</v>
      </c>
      <c r="U79" s="159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2" t="str">
        <f>"https://search-rtdc-monitor-bjffxe2xuh6vdkpspy63sjmuny.us-east-1.es.amazonaws.com/_plugin/kibana/#/discover/Steve-Slow-Train-Analysis-(2080s-and-2083s)?_g=(refreshInterval:(display:Off,section:0,value:0),time:(from:'"&amp;TEXT(E79-1/24,"yyyy-MM-DD hh:mm:ss")&amp;"-0600',mode:absolute,to:'"&amp;TEXT(I79+1/24,"yyyy-MM-DD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https://search-rtdc-monitor-bjffxe2xuh6vdkpspy63sjmuny.us-east-1.es.amazonaws.com/_plugin/kibana/#/discover/Steve-Slow-Train-Analysis-(2080s-and-2083s)?_g=(refreshInterval:(display:Off,section:0,value:0),time:(from:'2016-10-05 10:42:16-0600',mode:absolute,to:'2016-10-05 13:49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79" s="54" t="str">
        <f>IF(AA79&lt;IF(AG79="EC",23,5.65),"Y","N")</f>
        <v>N</v>
      </c>
      <c r="X79" s="164">
        <f t="shared" si="36"/>
        <v>1</v>
      </c>
      <c r="Y79" s="69">
        <f>RIGHT(D79,LEN(D79)-4)/10000</f>
        <v>4.6699999999999998E-2</v>
      </c>
      <c r="Z79" s="69">
        <f>RIGHT(H79,LEN(H79)-4)/10000</f>
        <v>23.330400000000001</v>
      </c>
      <c r="AA79" s="69">
        <f>ABS(Z79-Y79)</f>
        <v>23.2837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 t="shared" si="40"/>
        <v>0165-05</v>
      </c>
      <c r="AE79" s="9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s3://rtdc.mdm.uploadarchive.raw/RTDC4007/ "%USERPROFILE%\AppData\Local\Temp\OnboardLogs"\RTDC4007\2016-10-05 --exclude "*" --recursive --include "*20161005*" &amp; "%USERPROFILE%\Documents\GitHub\mrs-test-scripts\Headless Mode &amp; Sideloading\WalkAndUnGZ.bat" "%USERPROFILE%\AppData\Local\Temp\OnboardLogs"\RTDC4007\2016-10-05 &amp; 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</v>
      </c>
      <c r="AF79" s="92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/stypes="app*4007*20161005*" /stext=" 18:.+((SYSTEM_STATE.+slice.+state.+changed )|(ment ac)|(system.+state.+changed )|(\[timeout)|(PRM\|1\|D)|(kpr)|(kdp)|(\|lc)|(penalty))" /e /r /s</v>
      </c>
      <c r="AG79" s="1" t="str">
        <f t="shared" si="41"/>
        <v>EC</v>
      </c>
      <c r="AH79" s="96" t="str">
        <f t="shared" si="16"/>
        <v>"%USERPROFILE%\Documents\GitHub\eaglep3\Utilities\RefineRTDCRunTimes.py" --tripid 165-05 --locoid 4007 --swversion DE.1.0.7.0 --startMP 204:467 --initTime 2016-10-05T11:42:16 --startdatetime 2016-10-05T11:45:25 --delay 2 --endMP 204:233304 --enddatetime 2016-10-05T12:49:19 --enforcementcount 0 &gt;&gt;C:\Users\stu\Documents\GitHub\eaglep3-reporting\EC\2016-10-05-refined-times.txt</v>
      </c>
      <c r="AI79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{"issue":{"subject":"","project_id":79,"tracker_id":40,"status_id":1,"priority_id":2,"assigned_to_id":23,"start_date":"2016-10-05","description":"","custom_fields":[{"id":1,"name":"Subdivision","value":"EC"},{"id":4,"name":"Milepost","value":"23.3304"},{"id":17,"name":"Train ID","value":"165-05"},{"id":16,"name":"Locomotive ID","value":"4007"},{"id":130,"name":"Impact","value":""},{"id":150,"name":"Time of Event (Mountain Time)","value":"12:49:19"},{"id":151,"name":"Denver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780</v>
      </c>
      <c r="B80" s="7"/>
      <c r="C80" s="24"/>
      <c r="D80" s="24"/>
      <c r="E80" s="15"/>
      <c r="F80" s="15"/>
      <c r="G80" s="7"/>
      <c r="H80" s="15"/>
      <c r="I80" s="15"/>
      <c r="J80" s="7"/>
      <c r="K80" s="117"/>
      <c r="L80" s="24"/>
      <c r="M80" s="6"/>
      <c r="N80" s="7"/>
      <c r="O80" s="7"/>
      <c r="P80" s="7">
        <v>1</v>
      </c>
      <c r="Q80" s="25"/>
      <c r="R80" s="25" t="s">
        <v>777</v>
      </c>
      <c r="S80" s="37">
        <v>0</v>
      </c>
      <c r="T80" s="52" t="str">
        <f t="shared" si="39"/>
        <v>Southbound</v>
      </c>
      <c r="U80" s="159"/>
      <c r="V80" s="102"/>
      <c r="W80" s="54"/>
      <c r="X80" s="164">
        <f t="shared" si="36"/>
        <v>1</v>
      </c>
      <c r="Y80" s="69"/>
      <c r="Z80" s="69"/>
      <c r="AA80" s="69"/>
      <c r="AB80" s="66"/>
      <c r="AC80" s="62"/>
      <c r="AD80" s="63" t="str">
        <f t="shared" si="40"/>
        <v>0166-05</v>
      </c>
      <c r="AE80" s="95"/>
      <c r="AF80" s="92"/>
      <c r="AG80" s="1" t="str">
        <f t="shared" si="41"/>
        <v>EC</v>
      </c>
      <c r="AH80" s="96"/>
      <c r="AI80" s="130"/>
      <c r="AJ80" s="55"/>
      <c r="AK80" s="55"/>
      <c r="AL80" s="55"/>
    </row>
    <row r="81" spans="1:38" s="1" customFormat="1" x14ac:dyDescent="0.25">
      <c r="A81" s="39" t="s">
        <v>498</v>
      </c>
      <c r="B81" s="7">
        <v>4018</v>
      </c>
      <c r="C81" s="24" t="s">
        <v>106</v>
      </c>
      <c r="D81" s="24" t="s">
        <v>192</v>
      </c>
      <c r="E81" s="15">
        <v>42648.492986111109</v>
      </c>
      <c r="F81" s="15">
        <v>42648.500254629631</v>
      </c>
      <c r="G81" s="7">
        <v>1</v>
      </c>
      <c r="H81" s="15" t="s">
        <v>210</v>
      </c>
      <c r="I81" s="15">
        <v>42648.54760416667</v>
      </c>
      <c r="J81" s="7">
        <v>0</v>
      </c>
      <c r="K81" s="117" t="str">
        <f t="shared" ref="K81:K88" si="42">IF(ISEVEN(B81),(B81-1)&amp;"/"&amp;B81,B81&amp;"/"&amp;(B81+1))</f>
        <v>4017/4018</v>
      </c>
      <c r="L81" s="24" t="str">
        <f>VLOOKUP(A81,'Trips&amp;Operators'!$C$1:$E$10000,3,FALSE)</f>
        <v>BROWN</v>
      </c>
      <c r="M81" s="6">
        <f t="shared" ref="M81:M88" si="43">I81-F81</f>
        <v>4.7349537038826384E-2</v>
      </c>
      <c r="N81" s="7">
        <f t="shared" ref="N81:N88" si="44">24*60*SUM($M81:$M81)</f>
        <v>68.183333335909992</v>
      </c>
      <c r="O81" s="7"/>
      <c r="P81" s="7"/>
      <c r="Q81" s="25"/>
      <c r="R81" s="25"/>
      <c r="S81" s="37">
        <f t="shared" ref="S81:S88" si="45">SUM(U81:U81)/IF(AG81="EC",12,1)</f>
        <v>1</v>
      </c>
      <c r="T81" s="52" t="str">
        <f t="shared" si="39"/>
        <v>NorthBound</v>
      </c>
      <c r="U81" s="159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2" t="str">
        <f t="shared" ref="V81:V88" si="46">"https://search-rtdc-monitor-bjffxe2xuh6vdkpspy63sjmuny.us-east-1.es.amazonaws.com/_plugin/kibana/#/discover/Steve-Slow-Train-Analysis-(2080s-and-2083s)?_g=(refreshInterval:(display:Off,section:0,value:0),time:(from:'"&amp;TEXT(E81-1/24,"yyyy-MM-DD hh:mm:ss")&amp;"-0600',mode:absolute,to:'"&amp;TEXT(I81+1/24,"yyyy-MM-DD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81&amp;"%22')),sort:!(Time,asc))"</f>
        <v>https://search-rtdc-monitor-bjffxe2xuh6vdkpspy63sjmuny.us-east-1.es.amazonaws.com/_plugin/kibana/#/discover/Steve-Slow-Train-Analysis-(2080s-and-2083s)?_g=(refreshInterval:(display:Off,section:0,value:0),time:(from:'2016-10-05 10:49:54-0600',mode:absolute,to:'2016-10-05 14:08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1" s="54" t="str">
        <f t="shared" ref="W81:W88" si="47">IF(AA81&lt;IF(AG81="EC",23,5.65),"Y","N")</f>
        <v>N</v>
      </c>
      <c r="X81" s="164">
        <f t="shared" si="36"/>
        <v>1</v>
      </c>
      <c r="Y81" s="69">
        <f t="shared" ref="Y81:Y88" si="48">RIGHT(D81,LEN(D81)-4)/10000</f>
        <v>4.7100000000000003E-2</v>
      </c>
      <c r="Z81" s="69">
        <f t="shared" ref="Z81:Z88" si="49">RIGHT(H81,LEN(H81)-4)/10000</f>
        <v>23.331399999999999</v>
      </c>
      <c r="AA81" s="69">
        <f t="shared" ref="AA81:AA88" si="50">ABS(Z81-Y81)</f>
        <v>23.284299999999998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 t="shared" si="40"/>
        <v>0167-05</v>
      </c>
      <c r="AE81" s="95" t="str">
        <f t="shared" ref="AE81:AE88" si="51"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 &amp; aws s3 cp s3://rtdc.mdm.uploadarchive.raw/RTDC4018/ "%USERPROFILE%\AppData\Local\Temp\OnboardLogs"\RTDC4018\2016-10-06 --exclude "*" --recursive --include "*20161006*" &amp; "%USERPROFILE%\Documents\GitHub\mrs-test-scripts\Headless Mode &amp; Sideloading\WalkAndUnGZ.bat" "%USERPROFILE%\AppData\Local\Temp\OnboardLogs"\RTDC4018\2016-10-06</v>
      </c>
      <c r="AF81" s="92" t="str">
        <f t="shared" ref="AF81:AF88" si="52"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/stypes="app*4018*20161005*" /stext=" 19:.+((SYSTEM_STATE.+slice.+state.+changed )|(ment ac)|(system.+state.+changed )|(\[timeout)|(PRM\|1\|D)|(kpr)|(kdp)|(\|lc)|(penalty))" /e /r /s</v>
      </c>
      <c r="AG81" s="1" t="str">
        <f t="shared" si="41"/>
        <v>EC</v>
      </c>
      <c r="AH81" s="96" t="str">
        <f t="shared" si="16"/>
        <v>"%USERPROFILE%\Documents\GitHub\eaglep3\Utilities\RefineRTDCRunTimes.py" --tripid 167-05 --locoid 4018 --swversion DE.1.0.7.0 --startMP 204:471 --initTime 2016-10-05T11:49:54 --startdatetime 2016-10-05T12:00:22 --delay 1 --endMP 204:233314 --enddatetime 2016-10-05T13:08:33 --enforcementcount 0 &gt;&gt;C:\Users\stu\Documents\GitHub\eaglep3-reporting\EC\2016-10-05-refined-times.txt</v>
      </c>
      <c r="AI81" s="130" t="str">
        <f t="shared" si="17"/>
        <v>echo {"issue":{"subject":"","project_id":79,"tracker_id":40,"status_id":1,"priority_id":2,"assigned_to_id":23,"start_date":"2016-10-05","description":"","custom_fields":[{"id":1,"name":"Subdivision","value":"EC"},{"id":4,"name":"Milepost","value":"23.3314"},{"id":17,"name":"Train ID","value":"167-05"},{"id":16,"name":"Locomotive ID","value":"4018"},{"id":130,"name":"Impact","value":""},{"id":150,"name":"Time of Event (Mountain Time)","value":"13:08:33"},{"id":151,"name":"Denver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510</v>
      </c>
      <c r="B82" s="7">
        <v>4008</v>
      </c>
      <c r="C82" s="24" t="s">
        <v>106</v>
      </c>
      <c r="D82" s="24" t="s">
        <v>639</v>
      </c>
      <c r="E82" s="15">
        <v>42648.536782407406</v>
      </c>
      <c r="F82" s="15">
        <v>42648.540625000001</v>
      </c>
      <c r="G82" s="7">
        <v>1</v>
      </c>
      <c r="H82" s="15" t="s">
        <v>194</v>
      </c>
      <c r="I82" s="15">
        <v>42648.568171296298</v>
      </c>
      <c r="J82" s="7">
        <v>0</v>
      </c>
      <c r="K82" s="117" t="str">
        <f t="shared" si="42"/>
        <v>4007/4008</v>
      </c>
      <c r="L82" s="24" t="str">
        <f>VLOOKUP(A82,'Trips&amp;Operators'!$C$1:$E$10000,3,FALSE)</f>
        <v>CRAYTON</v>
      </c>
      <c r="M82" s="6">
        <f t="shared" si="43"/>
        <v>2.7546296296350192E-2</v>
      </c>
      <c r="N82" s="7">
        <f t="shared" si="44"/>
        <v>39.666666666744277</v>
      </c>
      <c r="O82" s="7"/>
      <c r="P82" s="7"/>
      <c r="Q82" s="25"/>
      <c r="R82" s="25"/>
      <c r="S82" s="37">
        <f t="shared" si="45"/>
        <v>1</v>
      </c>
      <c r="T82" s="52" t="str">
        <f t="shared" si="39"/>
        <v>Southbound</v>
      </c>
      <c r="U82" s="159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2" t="str">
        <f t="shared" si="46"/>
        <v>https://search-rtdc-monitor-bjffxe2xuh6vdkpspy63sjmuny.us-east-1.es.amazonaws.com/_plugin/kibana/#/discover/Steve-Slow-Train-Analysis-(2080s-and-2083s)?_g=(refreshInterval:(display:Off,section:0,value:0),time:(from:'2016-10-05 11:52:58-0600',mode:absolute,to:'2016-10-05 14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82" s="54" t="str">
        <f t="shared" si="47"/>
        <v>N</v>
      </c>
      <c r="X82" s="164">
        <f>VALUE(LEFT(AD82,4))-VALUE(LEFT(AD81,4))</f>
        <v>1</v>
      </c>
      <c r="Y82" s="69">
        <f t="shared" si="48"/>
        <v>23.2987</v>
      </c>
      <c r="Z82" s="69">
        <f t="shared" si="49"/>
        <v>1.47E-2</v>
      </c>
      <c r="AA82" s="69">
        <f t="shared" si="50"/>
        <v>23.283999999999999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 t="shared" si="40"/>
        <v>0168-05</v>
      </c>
      <c r="AE82" s="95" t="str">
        <f t="shared" si="51"/>
        <v>aws s3 cp s3://rtdc.mdm.uploadarchive.raw/RTDC4008/ "%USERPROFILE%\AppData\Local\Temp\OnboardLogs"\RTDC4008\2016-10-05 --exclude "*" --recursive --include "*20161005*" &amp; "%USERPROFILE%\Documents\GitHub\mrs-test-scripts\Headless Mode &amp; Sideloading\WalkAndUnGZ.bat" "%USERPROFILE%\AppData\Local\Temp\OnboardLogs"\RTDC4008\2016-10-05 &amp; 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</v>
      </c>
      <c r="AF82" s="92" t="str">
        <f t="shared" si="52"/>
        <v>"C:\Program Files (x86)\AstroGrep\AstroGrep.exe" /spath="%USERPROFILE%\AppData\Local\Temp\OnboardLogs" /stypes="app*4008*20161005*" /stext=" 19:.+((SYSTEM_STATE.+slice.+state.+changed )|(ment ac)|(system.+state.+changed )|(\[timeout)|(PRM\|1\|D)|(kpr)|(kdp)|(\|lc)|(penalty))" /e /r /s</v>
      </c>
      <c r="AG82" s="1" t="str">
        <f t="shared" si="41"/>
        <v>EC</v>
      </c>
      <c r="AH82" s="96" t="str">
        <f t="shared" ref="AH82:AH146" si="53">refinertdcruntimes&amp;" --tripid "&amp;A82&amp;" --locoid "&amp;B82&amp;" --swversion "&amp;C82&amp;" --startMP "&amp;D82&amp;" --initTime "&amp;TEXT(E82,"yyyy-mm-ddTHH:MM:SS")&amp;" --startdatetime "&amp;TEXT(F82,"yyyy-mm-ddTHH:MM:SS")&amp;" --delay "&amp;G82&amp;" --endMP "&amp;H82&amp;" --enddatetime "&amp;TEXT(I82,"yyyy-mm-ddTHH:MM:SS")&amp;" --enforcementcount "&amp;J82&amp;IF(outputrefinedruntimes," &gt;&gt;"&amp;RefinedRTDCRunTimesOutputFile,"")</f>
        <v>"%USERPROFILE%\Documents\GitHub\eaglep3\Utilities\RefineRTDCRunTimes.py" --tripid 168-05 --locoid 4008 --swversion DE.1.0.7.0 --startMP 204:232987 --initTime 2016-10-05T12:52:58 --startdatetime 2016-10-05T12:58:30 --delay 1 --endMP 204:147 --enddatetime 2016-10-05T13:38:10 --enforcementcount 0 &gt;&gt;C:\Users\stu\Documents\GitHub\eaglep3-reporting\EC\2016-10-05-refined-times.txt</v>
      </c>
      <c r="AI82" s="130" t="str">
        <f t="shared" ref="AI82:AI146" si="54">"echo {""issue"":{""subject"":"""&amp;R82&amp;""",""project_id"":79,""tracker_id"":40,""status_id"":"&amp;redmine_status&amp;",""priority_id"":"&amp;redmine_priority&amp;",""assigned_to_id"":"&amp;redmine_assignee&amp;",""start_date"":"""&amp;TEXT(I82,"YYYY-mm-dd")&amp;""",""description"":"""&amp;AJ82&amp;""",""custom_fields"":[{""id"":1,""name"":""Subdivision"",""value"":"""&amp;AG82&amp;"""},{""id"":4,""name"":""Milepost"",""value"":"""&amp;Z82&amp;"""},{""id"":17,""name"":""Train ID"",""value"":"""&amp;A82&amp;"""},{""id"":16,""name"":""Locomotive ID"",""value"":"""&amp;B82&amp;"""},{""id"":130,""name"":""Impact"",""value"":"""&amp;AK82&amp;"""},{""id"":150,""name"":""Time of Event (Mountain Time)"",""value"":"""&amp;TEXT(I82,"hh:mm:ss")&amp;"""},{""id"":151,""name"":""Denver Issue ID"",""value"":"""&amp;"""},{""id"":178,""name"":""Operational Impact"",""value"":"""&amp;redmine_op_impact&amp;"""},{""id"":179,""name"":""Denver Segment Assigned"",""value"":"""&amp;AL82&amp;"""}]}}"&amp;"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{"issue":{"subject":"","project_id":79,"tracker_id":40,"status_id":1,"priority_id":2,"assigned_to_id":23,"start_date":"2016-10-05","description":"","custom_fields":[{"id":1,"name":"Subdivision","value":"EC"},{"id":4,"name":"Milepost","value":"0.0147"},{"id":17,"name":"Train ID","value":"168-05"},{"id":16,"name":"Locomotive ID","value":"4008"},{"id":130,"name":"Impact","value":""},{"id":150,"name":"Time of Event (Mountain Time)","value":"13:38:10"},{"id":151,"name":"Denver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501</v>
      </c>
      <c r="B83" s="7">
        <v>4003</v>
      </c>
      <c r="C83" s="24" t="s">
        <v>106</v>
      </c>
      <c r="D83" s="24" t="s">
        <v>199</v>
      </c>
      <c r="E83" s="15">
        <v>42648.503622685188</v>
      </c>
      <c r="F83" s="15">
        <v>42648.510601851849</v>
      </c>
      <c r="G83" s="7">
        <v>3</v>
      </c>
      <c r="H83" s="15" t="s">
        <v>638</v>
      </c>
      <c r="I83" s="15">
        <v>42648.553715277776</v>
      </c>
      <c r="J83" s="7">
        <v>0</v>
      </c>
      <c r="K83" s="117" t="str">
        <f t="shared" si="42"/>
        <v>4003/4004</v>
      </c>
      <c r="L83" s="24" t="str">
        <f>VLOOKUP(A83,'Trips&amp;Operators'!$C$1:$E$10000,3,FALSE)</f>
        <v>DE LA ROSA</v>
      </c>
      <c r="M83" s="6">
        <f t="shared" si="43"/>
        <v>4.3113425927003846E-2</v>
      </c>
      <c r="N83" s="7">
        <f t="shared" si="44"/>
        <v>62.083333334885538</v>
      </c>
      <c r="O83" s="7"/>
      <c r="P83" s="7"/>
      <c r="Q83" s="25"/>
      <c r="R83" s="25"/>
      <c r="S83" s="37">
        <f t="shared" si="45"/>
        <v>1</v>
      </c>
      <c r="T83" s="52" t="str">
        <f t="shared" si="39"/>
        <v>NorthBound</v>
      </c>
      <c r="U83" s="159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2" t="str">
        <f t="shared" si="46"/>
        <v>https://search-rtdc-monitor-bjffxe2xuh6vdkpspy63sjmuny.us-east-1.es.amazonaws.com/_plugin/kibana/#/discover/Steve-Slow-Train-Analysis-(2080s-and-2083s)?_g=(refreshInterval:(display:Off,section:0,value:0),time:(from:'2016-10-05 11:05:13-0600',mode:absolute,to:'2016-10-05 14:17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83" s="54" t="str">
        <f t="shared" si="47"/>
        <v>N</v>
      </c>
      <c r="X83" s="164">
        <f>VALUE(LEFT(AD83,4))-VALUE(LEFT(AD82,4))</f>
        <v>1</v>
      </c>
      <c r="Y83" s="69">
        <f t="shared" si="48"/>
        <v>4.5699999999999998E-2</v>
      </c>
      <c r="Z83" s="69">
        <f t="shared" si="49"/>
        <v>23.330500000000001</v>
      </c>
      <c r="AA83" s="69">
        <f t="shared" si="50"/>
        <v>23.284800000000001</v>
      </c>
      <c r="AB83" s="66" t="e">
        <f>VLOOKUP(A83,Enforcements!$C$7:$K$21,8,0)</f>
        <v>#N/A</v>
      </c>
      <c r="AC83" s="62" t="e">
        <f>VLOOKUP(A83,Enforcements!$C$7:$E$21,3,0)</f>
        <v>#N/A</v>
      </c>
      <c r="AD83" s="63" t="str">
        <f t="shared" si="40"/>
        <v>0169-05</v>
      </c>
      <c r="AE83" s="95" t="str">
        <f t="shared" si="51"/>
        <v>aws s3 cp s3://rtdc.mdm.uploadarchive.raw/RTDC4003/ "%USERPROFILE%\AppData\Local\Temp\OnboardLogs"\RTDC4003\2016-10-05 --exclude "*" --recursive --include "*20161005*" &amp; "%USERPROFILE%\Documents\GitHub\mrs-test-scripts\Headless Mode &amp; Sideloading\WalkAndUnGZ.bat" "%USERPROFILE%\AppData\Local\Temp\OnboardLogs"\RTDC4003\2016-10-05 &amp; aws s3 cp s3://rtdc.mdm.uploadarchive.raw/RTDC4003/ "%USERPROFILE%\AppData\Local\Temp\OnboardLogs"\RTDC4003\2016-10-06 --exclude "*" --recursive --include "*20161006*" &amp; "%USERPROFILE%\Documents\GitHub\mrs-test-scripts\Headless Mode &amp; Sideloading\WalkAndUnGZ.bat" "%USERPROFILE%\AppData\Local\Temp\OnboardLogs"\RTDC4003\2016-10-06</v>
      </c>
      <c r="AF83" s="92" t="str">
        <f t="shared" si="52"/>
        <v>"C:\Program Files (x86)\AstroGrep\AstroGrep.exe" /spath="%USERPROFILE%\AppData\Local\Temp\OnboardLogs" /stypes="app*4003*20161005*" /stext=" 19:.+((SYSTEM_STATE.+slice.+state.+changed )|(ment ac)|(system.+state.+changed )|(\[timeout)|(PRM\|1\|D)|(kpr)|(kdp)|(\|lc)|(penalty))" /e /r /s</v>
      </c>
      <c r="AG83" s="1" t="str">
        <f t="shared" si="41"/>
        <v>EC</v>
      </c>
      <c r="AH83" s="96" t="str">
        <f t="shared" si="53"/>
        <v>"%USERPROFILE%\Documents\GitHub\eaglep3\Utilities\RefineRTDCRunTimes.py" --tripid 169-05 --locoid 4003 --swversion DE.1.0.7.0 --startMP 204:457 --initTime 2016-10-05T12:05:13 --startdatetime 2016-10-05T12:15:16 --delay 3 --endMP 204:233305 --enddatetime 2016-10-05T13:17:21 --enforcementcount 0 &gt;&gt;C:\Users\stu\Documents\GitHub\eaglep3-reporting\EC\2016-10-05-refined-times.txt</v>
      </c>
      <c r="AI83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{"issue":{"subject":"","project_id":79,"tracker_id":40,"status_id":1,"priority_id":2,"assigned_to_id":23,"start_date":"2016-10-05","description":"","custom_fields":[{"id":1,"name":"Subdivision","value":"EC"},{"id":4,"name":"Milepost","value":"23.3305"},{"id":17,"name":"Train ID","value":"169-05"},{"id":16,"name":"Locomotive ID","value":"4003"},{"id":130,"name":"Impact","value":""},{"id":150,"name":"Time of Event (Mountain Time)","value":"13:17:21"},{"id":151,"name":"Denver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402</v>
      </c>
      <c r="B84" s="7">
        <v>4017</v>
      </c>
      <c r="C84" s="24" t="s">
        <v>106</v>
      </c>
      <c r="D84" s="24" t="s">
        <v>327</v>
      </c>
      <c r="E84" s="15">
        <v>42648.549571759257</v>
      </c>
      <c r="F84" s="15">
        <v>42648.553043981483</v>
      </c>
      <c r="G84" s="7">
        <v>3</v>
      </c>
      <c r="H84" s="15" t="s">
        <v>209</v>
      </c>
      <c r="I84" s="15">
        <v>42648.581203703703</v>
      </c>
      <c r="J84" s="7">
        <v>0</v>
      </c>
      <c r="K84" s="117" t="str">
        <f t="shared" si="42"/>
        <v>4017/4018</v>
      </c>
      <c r="L84" s="24" t="str">
        <f>VLOOKUP(A84,'Trips&amp;Operators'!$C$1:$E$10000,3,FALSE)</f>
        <v>BROWN</v>
      </c>
      <c r="M84" s="6">
        <f t="shared" si="43"/>
        <v>2.8159722220152617E-2</v>
      </c>
      <c r="N84" s="7">
        <f t="shared" si="44"/>
        <v>40.549999997019768</v>
      </c>
      <c r="O84" s="7"/>
      <c r="P84" s="7"/>
      <c r="Q84" s="25"/>
      <c r="R84" s="25"/>
      <c r="S84" s="37">
        <f t="shared" si="45"/>
        <v>1</v>
      </c>
      <c r="T84" s="52" t="str">
        <f t="shared" si="39"/>
        <v>Southbound</v>
      </c>
      <c r="U84" s="159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2" t="str">
        <f t="shared" si="46"/>
        <v>https://search-rtdc-monitor-bjffxe2xuh6vdkpspy63sjmuny.us-east-1.es.amazonaws.com/_plugin/kibana/#/discover/Steve-Slow-Train-Analysis-(2080s-and-2083s)?_g=(refreshInterval:(display:Off,section:0,value:0),time:(from:'2016-10-05 12:11:23-0600',mode:absolute,to:'2016-10-05 14:56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4" s="54" t="str">
        <f t="shared" si="47"/>
        <v>N</v>
      </c>
      <c r="X84" s="164">
        <f>VALUE(LEFT(AD84,4))-VALUE(LEFT(AD83,4))</f>
        <v>1</v>
      </c>
      <c r="Y84" s="69">
        <f t="shared" si="48"/>
        <v>23.299299999999999</v>
      </c>
      <c r="Z84" s="69">
        <f t="shared" si="49"/>
        <v>1.5599999999999999E-2</v>
      </c>
      <c r="AA84" s="69">
        <f t="shared" si="50"/>
        <v>23.2837</v>
      </c>
      <c r="AB84" s="66" t="str">
        <f>VLOOKUP(A84,Enforcements!$C$7:$K$21,8,0)</f>
        <v>Bulletin (2)</v>
      </c>
      <c r="AC84" s="62" t="str">
        <f>VLOOKUP(A84,Enforcements!$C$7:$E$21,3,0)</f>
        <v>GRADE CROSSING</v>
      </c>
      <c r="AD84" s="63" t="str">
        <f t="shared" si="40"/>
        <v>0170-05</v>
      </c>
      <c r="AE84" s="95" t="str">
        <f t="shared" si="51"/>
        <v>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 &amp; aws s3 cp s3://rtdc.mdm.uploadarchive.raw/RTDC4017/ "%USERPROFILE%\AppData\Local\Temp\OnboardLogs"\RTDC4017\2016-10-06 --exclude "*" --recursive --include "*20161006*" &amp; "%USERPROFILE%\Documents\GitHub\mrs-test-scripts\Headless Mode &amp; Sideloading\WalkAndUnGZ.bat" "%USERPROFILE%\AppData\Local\Temp\OnboardLogs"\RTDC4017\2016-10-06</v>
      </c>
      <c r="AF84" s="92" t="str">
        <f t="shared" si="52"/>
        <v>"C:\Program Files (x86)\AstroGrep\AstroGrep.exe" /spath="%USERPROFILE%\AppData\Local\Temp\OnboardLogs" /stypes="app*4017*20161005*" /stext=" 19:.+((SYSTEM_STATE.+slice.+state.+changed )|(ment ac)|(system.+state.+changed )|(\[timeout)|(PRM\|1\|D)|(kpr)|(kdp)|(\|lc)|(penalty))" /e /r /s</v>
      </c>
      <c r="AG84" s="1" t="str">
        <f t="shared" si="41"/>
        <v>EC</v>
      </c>
      <c r="AH84" s="96" t="str">
        <f t="shared" si="53"/>
        <v>"%USERPROFILE%\Documents\GitHub\eaglep3\Utilities\RefineRTDCRunTimes.py" --tripid 170-05 --locoid 4017 --swversion DE.1.0.7.0 --startMP 204:232993 --initTime 2016-10-05T13:11:23 --startdatetime 2016-10-05T13:16:23 --delay 3 --endMP 204:156 --enddatetime 2016-10-05T13:56:56 --enforcementcount 0 &gt;&gt;C:\Users\stu\Documents\GitHub\eaglep3-reporting\EC\2016-10-05-refined-times.txt</v>
      </c>
      <c r="AI84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{"issue":{"subject":"","project_id":79,"tracker_id":40,"status_id":1,"priority_id":2,"assigned_to_id":23,"start_date":"2016-10-05","description":"","custom_fields":[{"id":1,"name":"Subdivision","value":"EC"},{"id":4,"name":"Milepost","value":"0.0156"},{"id":17,"name":"Train ID","value":"170-05"},{"id":16,"name":"Locomotive ID","value":"4017"},{"id":130,"name":"Impact","value":""},{"id":150,"name":"Time of Event (Mountain Time)","value":"13:56:56"},{"id":151,"name":"Denver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507</v>
      </c>
      <c r="B85" s="7">
        <v>4027</v>
      </c>
      <c r="C85" s="24" t="s">
        <v>106</v>
      </c>
      <c r="D85" s="24" t="s">
        <v>262</v>
      </c>
      <c r="E85" s="15">
        <v>42648.518692129626</v>
      </c>
      <c r="F85" s="15">
        <v>42648.521215277775</v>
      </c>
      <c r="G85" s="7">
        <v>1</v>
      </c>
      <c r="H85" s="15" t="s">
        <v>258</v>
      </c>
      <c r="I85" s="15">
        <v>42648.556643518517</v>
      </c>
      <c r="J85" s="7">
        <v>0</v>
      </c>
      <c r="K85" s="117" t="str">
        <f t="shared" si="42"/>
        <v>4027/4028</v>
      </c>
      <c r="L85" s="24" t="str">
        <f>VLOOKUP(A85,'Trips&amp;Operators'!$C$1:$E$10000,3,FALSE)</f>
        <v>ARVIDSON</v>
      </c>
      <c r="M85" s="6">
        <f t="shared" si="43"/>
        <v>3.5428240742476191E-2</v>
      </c>
      <c r="N85" s="7">
        <f t="shared" si="44"/>
        <v>51.016666669165716</v>
      </c>
      <c r="O85" s="7"/>
      <c r="P85" s="7"/>
      <c r="Q85" s="25"/>
      <c r="R85" s="25"/>
      <c r="S85" s="37">
        <f t="shared" si="45"/>
        <v>1</v>
      </c>
      <c r="T85" s="52" t="str">
        <f t="shared" si="39"/>
        <v>NorthBound</v>
      </c>
      <c r="U85" s="159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2" t="str">
        <f t="shared" si="46"/>
        <v>https://search-rtdc-monitor-bjffxe2xuh6vdkpspy63sjmuny.us-east-1.es.amazonaws.com/_plugin/kibana/#/discover/Steve-Slow-Train-Analysis-(2080s-and-2083s)?_g=(refreshInterval:(display:Off,section:0,value:0),time:(from:'2016-10-05 11:26:55-0600',mode:absolute,to:'2016-10-05 14:21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85" s="54" t="str">
        <f t="shared" si="47"/>
        <v>N</v>
      </c>
      <c r="X85" s="164">
        <f>VALUE(LEFT(AD85,4))-VALUE(LEFT(AD84,4))</f>
        <v>1</v>
      </c>
      <c r="Y85" s="69">
        <f t="shared" si="48"/>
        <v>4.4699999999999997E-2</v>
      </c>
      <c r="Z85" s="69">
        <f t="shared" si="49"/>
        <v>23.330200000000001</v>
      </c>
      <c r="AA85" s="69">
        <f t="shared" si="50"/>
        <v>23.285500000000003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 t="shared" si="40"/>
        <v>0171-05</v>
      </c>
      <c r="AE85" s="95" t="str">
        <f t="shared" si="51"/>
        <v>aws s3 cp s3://rtdc.mdm.uploadarchive.raw/RTDC4027/ "%USERPROFILE%\AppData\Local\Temp\OnboardLogs"\RTDC4027\2016-10-05 --exclude "*" --recursive --include "*20161005*" &amp; "%USERPROFILE%\Documents\GitHub\mrs-test-scripts\Headless Mode &amp; Sideloading\WalkAndUnGZ.bat" "%USERPROFILE%\AppData\Local\Temp\OnboardLogs"\RTDC4027\2016-10-05 &amp; aws s3 cp s3://rtdc.mdm.uploadarchive.raw/RTDC4027/ "%USERPROFILE%\AppData\Local\Temp\OnboardLogs"\RTDC4027\2016-10-06 --exclude "*" --recursive --include "*20161006*" &amp; "%USERPROFILE%\Documents\GitHub\mrs-test-scripts\Headless Mode &amp; Sideloading\WalkAndUnGZ.bat" "%USERPROFILE%\AppData\Local\Temp\OnboardLogs"\RTDC4027\2016-10-06</v>
      </c>
      <c r="AF85" s="92" t="str">
        <f t="shared" si="52"/>
        <v>"C:\Program Files (x86)\AstroGrep\AstroGrep.exe" /spath="%USERPROFILE%\AppData\Local\Temp\OnboardLogs" /stypes="app*4027*20161005*" /stext=" 19:.+((SYSTEM_STATE.+slice.+state.+changed )|(ment ac)|(system.+state.+changed )|(\[timeout)|(PRM\|1\|D)|(kpr)|(kdp)|(\|lc)|(penalty))" /e /r /s</v>
      </c>
      <c r="AG85" s="1" t="str">
        <f t="shared" si="41"/>
        <v>EC</v>
      </c>
      <c r="AH85" s="96" t="str">
        <f t="shared" si="53"/>
        <v>"%USERPROFILE%\Documents\GitHub\eaglep3\Utilities\RefineRTDCRunTimes.py" --tripid 171-05 --locoid 4027 --swversion DE.1.0.7.0 --startMP 204:447 --initTime 2016-10-05T12:26:55 --startdatetime 2016-10-05T12:30:33 --delay 1 --endMP 204:233302 --enddatetime 2016-10-05T13:21:34 --enforcementcount 0 &gt;&gt;C:\Users\stu\Documents\GitHub\eaglep3-reporting\EC\2016-10-05-refined-times.txt</v>
      </c>
      <c r="AI85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{"issue":{"subject":"","project_id":79,"tracker_id":40,"status_id":1,"priority_id":2,"assigned_to_id":23,"start_date":"2016-10-05","description":"","custom_fields":[{"id":1,"name":"Subdivision","value":"EC"},{"id":4,"name":"Milepost","value":"23.3302"},{"id":17,"name":"Train ID","value":"171-05"},{"id":16,"name":"Locomotive ID","value":"4027"},{"id":130,"name":"Impact","value":""},{"id":150,"name":"Time of Event (Mountain Time)","value":"13:21:34"},{"id":151,"name":"Denver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512</v>
      </c>
      <c r="B86" s="7">
        <v>4004</v>
      </c>
      <c r="C86" s="24" t="s">
        <v>106</v>
      </c>
      <c r="D86" s="24" t="s">
        <v>247</v>
      </c>
      <c r="E86" s="15">
        <v>42648.556273148148</v>
      </c>
      <c r="F86" s="15">
        <v>42648.559918981482</v>
      </c>
      <c r="G86" s="7">
        <v>2</v>
      </c>
      <c r="H86" s="15" t="s">
        <v>246</v>
      </c>
      <c r="I86" s="15">
        <v>42648.587025462963</v>
      </c>
      <c r="J86" s="7">
        <v>0</v>
      </c>
      <c r="K86" s="117" t="str">
        <f t="shared" si="42"/>
        <v>4003/4004</v>
      </c>
      <c r="L86" s="24" t="str">
        <f>VLOOKUP(A86,'Trips&amp;Operators'!$C$1:$E$10000,3,FALSE)</f>
        <v>DE LA ROSA</v>
      </c>
      <c r="M86" s="6">
        <f t="shared" si="43"/>
        <v>2.7106481480586808E-2</v>
      </c>
      <c r="N86" s="7">
        <f t="shared" si="44"/>
        <v>39.033333332045004</v>
      </c>
      <c r="O86" s="7"/>
      <c r="P86" s="7"/>
      <c r="Q86" s="25"/>
      <c r="R86" s="25"/>
      <c r="S86" s="37">
        <f t="shared" si="45"/>
        <v>1</v>
      </c>
      <c r="T86" s="52" t="str">
        <f t="shared" si="39"/>
        <v>Southbound</v>
      </c>
      <c r="U86" s="159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2" t="str">
        <f t="shared" si="46"/>
        <v>https://search-rtdc-monitor-bjffxe2xuh6vdkpspy63sjmuny.us-east-1.es.amazonaws.com/_plugin/kibana/#/discover/Steve-Slow-Train-Analysis-(2080s-and-2083s)?_g=(refreshInterval:(display:Off,section:0,value:0),time:(from:'2016-10-05 12:21:02-0600',mode:absolute,to:'2016-10-05 15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6" s="54" t="str">
        <f t="shared" si="47"/>
        <v>N</v>
      </c>
      <c r="X86" s="164">
        <f t="shared" ref="X86:X94" si="55">VALUE(LEFT(AD86,4))-VALUE(LEFT(AD85,4))</f>
        <v>1</v>
      </c>
      <c r="Y86" s="69">
        <f t="shared" si="48"/>
        <v>23.296900000000001</v>
      </c>
      <c r="Z86" s="69">
        <f t="shared" si="49"/>
        <v>1.6500000000000001E-2</v>
      </c>
      <c r="AA86" s="69">
        <f t="shared" si="50"/>
        <v>23.2804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 t="shared" si="40"/>
        <v>0172-05</v>
      </c>
      <c r="AE86" s="95" t="str">
        <f t="shared" si="51"/>
        <v>aws s3 cp s3://rtdc.mdm.uploadarchive.raw/RTDC4004/ "%USERPROFILE%\AppData\Local\Temp\OnboardLogs"\RTDC4004\2016-10-05 --exclude "*" --recursive --include "*20161005*" &amp; "%USERPROFILE%\Documents\GitHub\mrs-test-scripts\Headless Mode &amp; Sideloading\WalkAndUnGZ.bat" "%USERPROFILE%\AppData\Local\Temp\OnboardLogs"\RTDC4004\2016-10-05 &amp; aws s3 cp s3://rtdc.mdm.uploadarchive.raw/RTDC4004/ "%USERPROFILE%\AppData\Local\Temp\OnboardLogs"\RTDC4004\2016-10-06 --exclude "*" --recursive --include "*20161006*" &amp; "%USERPROFILE%\Documents\GitHub\mrs-test-scripts\Headless Mode &amp; Sideloading\WalkAndUnGZ.bat" "%USERPROFILE%\AppData\Local\Temp\OnboardLogs"\RTDC4004\2016-10-06</v>
      </c>
      <c r="AF86" s="92" t="str">
        <f t="shared" si="52"/>
        <v>"C:\Program Files (x86)\AstroGrep\AstroGrep.exe" /spath="%USERPROFILE%\AppData\Local\Temp\OnboardLogs" /stypes="app*4004*20161005*" /stext=" 20:.+((SYSTEM_STATE.+slice.+state.+changed )|(ment ac)|(system.+state.+changed )|(\[timeout)|(PRM\|1\|D)|(kpr)|(kdp)|(\|lc)|(penalty))" /e /r /s</v>
      </c>
      <c r="AG86" s="1" t="str">
        <f t="shared" si="41"/>
        <v>EC</v>
      </c>
      <c r="AH86" s="96" t="str">
        <f t="shared" si="53"/>
        <v>"%USERPROFILE%\Documents\GitHub\eaglep3\Utilities\RefineRTDCRunTimes.py" --tripid 172-05 --locoid 4004 --swversion DE.1.0.7.0 --startMP 204:232969 --initTime 2016-10-05T13:21:02 --startdatetime 2016-10-05T13:26:17 --delay 2 --endMP 204:165 --enddatetime 2016-10-05T14:05:19 --enforcementcount 0 &gt;&gt;C:\Users\stu\Documents\GitHub\eaglep3-reporting\EC\2016-10-05-refined-times.txt</v>
      </c>
      <c r="AI86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{"issue":{"subject":"","project_id":79,"tracker_id":40,"status_id":1,"priority_id":2,"assigned_to_id":23,"start_date":"2016-10-05","description":"","custom_fields":[{"id":1,"name":"Subdivision","value":"EC"},{"id":4,"name":"Milepost","value":"0.0165"},{"id":17,"name":"Train ID","value":"172-05"},{"id":16,"name":"Locomotive ID","value":"4004"},{"id":130,"name":"Impact","value":""},{"id":150,"name":"Time of Event (Mountain Time)","value":"14:05:19"},{"id":151,"name":"Denver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403</v>
      </c>
      <c r="B87" s="7">
        <v>4016</v>
      </c>
      <c r="C87" s="24" t="s">
        <v>106</v>
      </c>
      <c r="D87" s="24" t="s">
        <v>259</v>
      </c>
      <c r="E87" s="15">
        <v>42648.530960648146</v>
      </c>
      <c r="F87" s="15">
        <v>42648.534224537034</v>
      </c>
      <c r="G87" s="7">
        <v>3</v>
      </c>
      <c r="H87" s="15" t="s">
        <v>640</v>
      </c>
      <c r="I87" s="15">
        <v>42648.566469907404</v>
      </c>
      <c r="J87" s="7">
        <v>0</v>
      </c>
      <c r="K87" s="117" t="str">
        <f t="shared" si="42"/>
        <v>4015/4016</v>
      </c>
      <c r="L87" s="24" t="str">
        <f>VLOOKUP(A87,'Trips&amp;Operators'!$C$1:$E$10000,3,FALSE)</f>
        <v>STORY</v>
      </c>
      <c r="M87" s="6">
        <f t="shared" si="43"/>
        <v>3.2245370370219462E-2</v>
      </c>
      <c r="N87" s="7">
        <f t="shared" si="44"/>
        <v>46.433333333116025</v>
      </c>
      <c r="O87" s="7"/>
      <c r="P87" s="7"/>
      <c r="Q87" s="25"/>
      <c r="R87" s="25"/>
      <c r="S87" s="37">
        <f t="shared" si="45"/>
        <v>1</v>
      </c>
      <c r="T87" s="52" t="str">
        <f t="shared" si="39"/>
        <v>NorthBound</v>
      </c>
      <c r="U87" s="159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2" t="str">
        <f t="shared" si="46"/>
        <v>https://search-rtdc-monitor-bjffxe2xuh6vdkpspy63sjmuny.us-east-1.es.amazonaws.com/_plugin/kibana/#/discover/Steve-Slow-Train-Analysis-(2080s-and-2083s)?_g=(refreshInterval:(display:Off,section:0,value:0),time:(from:'2016-10-05 11:44:35-0600',mode:absolute,to:'2016-10-05 14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7" s="54" t="str">
        <f t="shared" si="47"/>
        <v>N</v>
      </c>
      <c r="X87" s="164">
        <f t="shared" si="55"/>
        <v>1</v>
      </c>
      <c r="Y87" s="69">
        <f t="shared" si="48"/>
        <v>4.6699999999999998E-2</v>
      </c>
      <c r="Z87" s="69">
        <f t="shared" si="49"/>
        <v>23.327200000000001</v>
      </c>
      <c r="AA87" s="69">
        <f t="shared" si="50"/>
        <v>23.2805</v>
      </c>
      <c r="AB87" s="66" t="str">
        <f>VLOOKUP(A87,Enforcements!$C$7:$K$21,8,0)</f>
        <v>Speed (6)</v>
      </c>
      <c r="AC87" s="62" t="str">
        <f>VLOOKUP(A87,Enforcements!$C$7:$E$21,3,0)</f>
        <v>PERMANENT SPEED RESTRICTION</v>
      </c>
      <c r="AD87" s="63" t="str">
        <f t="shared" si="40"/>
        <v>0173-05</v>
      </c>
      <c r="AE87" s="95" t="str">
        <f t="shared" si="51"/>
        <v>aws s3 cp s3://rtdc.mdm.uploadarchive.raw/RTDC4016/ "%USERPROFILE%\AppData\Local\Temp\OnboardLogs"\RTDC4016\2016-10-05 --exclude "*" --recursive --include "*20161005*" &amp; "%USERPROFILE%\Documents\GitHub\mrs-test-scripts\Headless Mode &amp; Sideloading\WalkAndUnGZ.bat" "%USERPROFILE%\AppData\Local\Temp\OnboardLogs"\RTDC4016\2016-10-05 &amp; aws s3 cp s3://rtdc.mdm.uploadarchive.raw/RTDC4016/ "%USERPROFILE%\AppData\Local\Temp\OnboardLogs"\RTDC4016\2016-10-06 --exclude "*" --recursive --include "*20161006*" &amp; "%USERPROFILE%\Documents\GitHub\mrs-test-scripts\Headless Mode &amp; Sideloading\WalkAndUnGZ.bat" "%USERPROFILE%\AppData\Local\Temp\OnboardLogs"\RTDC4016\2016-10-06</v>
      </c>
      <c r="AF87" s="92" t="str">
        <f t="shared" si="52"/>
        <v>"C:\Program Files (x86)\AstroGrep\AstroGrep.exe" /spath="%USERPROFILE%\AppData\Local\Temp\OnboardLogs" /stypes="app*4016*20161005*" /stext=" 19:.+((SYSTEM_STATE.+slice.+state.+changed )|(ment ac)|(system.+state.+changed )|(\[timeout)|(PRM\|1\|D)|(kpr)|(kdp)|(\|lc)|(penalty))" /e /r /s</v>
      </c>
      <c r="AG87" s="1" t="str">
        <f t="shared" si="41"/>
        <v>EC</v>
      </c>
      <c r="AH87" s="96" t="str">
        <f t="shared" si="53"/>
        <v>"%USERPROFILE%\Documents\GitHub\eaglep3\Utilities\RefineRTDCRunTimes.py" --tripid 173-05 --locoid 4016 --swversion DE.1.0.7.0 --startMP 204:467 --initTime 2016-10-05T12:44:35 --startdatetime 2016-10-05T12:49:17 --delay 3 --endMP 204:233272 --enddatetime 2016-10-05T13:35:43 --enforcementcount 0 &gt;&gt;C:\Users\stu\Documents\GitHub\eaglep3-reporting\EC\2016-10-05-refined-times.txt</v>
      </c>
      <c r="AI87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{"issue":{"subject":"","project_id":79,"tracker_id":40,"status_id":1,"priority_id":2,"assigned_to_id":23,"start_date":"2016-10-05","description":"","custom_fields":[{"id":1,"name":"Subdivision","value":"EC"},{"id":4,"name":"Milepost","value":"23.3272"},{"id":17,"name":"Train ID","value":"173-05"},{"id":16,"name":"Locomotive ID","value":"4016"},{"id":130,"name":"Impact","value":""},{"id":150,"name":"Time of Event (Mountain Time)","value":"13:35:43"},{"id":151,"name":"Denver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514</v>
      </c>
      <c r="B88" s="7">
        <v>4028</v>
      </c>
      <c r="C88" s="24" t="s">
        <v>106</v>
      </c>
      <c r="D88" s="24" t="s">
        <v>221</v>
      </c>
      <c r="E88" s="15">
        <v>42648.567372685182</v>
      </c>
      <c r="F88" s="15">
        <v>42648.570601851854</v>
      </c>
      <c r="G88" s="7">
        <v>1</v>
      </c>
      <c r="H88" s="15" t="s">
        <v>198</v>
      </c>
      <c r="I88" s="15">
        <v>42648.597245370373</v>
      </c>
      <c r="J88" s="7">
        <v>0</v>
      </c>
      <c r="K88" s="117" t="str">
        <f t="shared" si="42"/>
        <v>4027/4028</v>
      </c>
      <c r="L88" s="24" t="str">
        <f>VLOOKUP(A88,'Trips&amp;Operators'!$C$1:$E$10000,3,FALSE)</f>
        <v>ARVIDSON</v>
      </c>
      <c r="M88" s="6">
        <f t="shared" si="43"/>
        <v>2.6643518518540077E-2</v>
      </c>
      <c r="N88" s="7">
        <f t="shared" si="44"/>
        <v>38.366666666697711</v>
      </c>
      <c r="O88" s="7"/>
      <c r="P88" s="7"/>
      <c r="Q88" s="25"/>
      <c r="R88" s="25"/>
      <c r="S88" s="37">
        <f t="shared" si="45"/>
        <v>1</v>
      </c>
      <c r="T88" s="52" t="str">
        <f t="shared" si="39"/>
        <v>Southbound</v>
      </c>
      <c r="U88" s="159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2" t="str">
        <f t="shared" si="46"/>
        <v>https://search-rtdc-monitor-bjffxe2xuh6vdkpspy63sjmuny.us-east-1.es.amazonaws.com/_plugin/kibana/#/discover/Steve-Slow-Train-Analysis-(2080s-and-2083s)?_g=(refreshInterval:(display:Off,section:0,value:0),time:(from:'2016-10-05 12:37:01-0600',mode:absolute,to:'2016-10-05 15:20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88" s="54" t="str">
        <f t="shared" si="47"/>
        <v>N</v>
      </c>
      <c r="X88" s="164">
        <f t="shared" si="55"/>
        <v>1</v>
      </c>
      <c r="Y88" s="69">
        <f t="shared" si="48"/>
        <v>23.297699999999999</v>
      </c>
      <c r="Z88" s="69">
        <f t="shared" si="49"/>
        <v>1.52E-2</v>
      </c>
      <c r="AA88" s="69">
        <f t="shared" si="50"/>
        <v>23.282499999999999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 t="shared" si="40"/>
        <v>0174-05</v>
      </c>
      <c r="AE88" s="95" t="str">
        <f t="shared" si="51"/>
        <v>aws s3 cp s3://rtdc.mdm.uploadarchive.raw/RTDC4028/ "%USERPROFILE%\AppData\Local\Temp\OnboardLogs"\RTDC4028\2016-10-05 --exclude "*" --recursive --include "*20161005*" &amp; "%USERPROFILE%\Documents\GitHub\mrs-test-scripts\Headless Mode &amp; Sideloading\WalkAndUnGZ.bat" "%USERPROFILE%\AppData\Local\Temp\OnboardLogs"\RTDC4028\2016-10-05 &amp; aws s3 cp s3://rtdc.mdm.uploadarchive.raw/RTDC4028/ "%USERPROFILE%\AppData\Local\Temp\OnboardLogs"\RTDC4028\2016-10-06 --exclude "*" --recursive --include "*20161006*" &amp; "%USERPROFILE%\Documents\GitHub\mrs-test-scripts\Headless Mode &amp; Sideloading\WalkAndUnGZ.bat" "%USERPROFILE%\AppData\Local\Temp\OnboardLogs"\RTDC4028\2016-10-06</v>
      </c>
      <c r="AF88" s="92" t="str">
        <f t="shared" si="52"/>
        <v>"C:\Program Files (x86)\AstroGrep\AstroGrep.exe" /spath="%USERPROFILE%\AppData\Local\Temp\OnboardLogs" /stypes="app*4028*20161005*" /stext=" 20:.+((SYSTEM_STATE.+slice.+state.+changed )|(ment ac)|(system.+state.+changed )|(\[timeout)|(PRM\|1\|D)|(kpr)|(kdp)|(\|lc)|(penalty))" /e /r /s</v>
      </c>
      <c r="AG88" s="1" t="str">
        <f t="shared" si="41"/>
        <v>EC</v>
      </c>
      <c r="AH88" s="96" t="str">
        <f t="shared" si="53"/>
        <v>"%USERPROFILE%\Documents\GitHub\eaglep3\Utilities\RefineRTDCRunTimes.py" --tripid 174-05 --locoid 4028 --swversion DE.1.0.7.0 --startMP 204:232977 --initTime 2016-10-05T13:37:01 --startdatetime 2016-10-05T13:41:40 --delay 1 --endMP 204:152 --enddatetime 2016-10-05T14:20:02 --enforcementcount 0 &gt;&gt;C:\Users\stu\Documents\GitHub\eaglep3-reporting\EC\2016-10-05-refined-times.txt</v>
      </c>
      <c r="AI88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{"issue":{"subject":"","project_id":79,"tracker_id":40,"status_id":1,"priority_id":2,"assigned_to_id":23,"start_date":"2016-10-05","description":"","custom_fields":[{"id":1,"name":"Subdivision","value":"EC"},{"id":4,"name":"Milepost","value":"0.0152"},{"id":17,"name":"Train ID","value":"174-05"},{"id":16,"name":"Locomotive ID","value":"4028"},{"id":130,"name":"Impact","value":""},{"id":150,"name":"Time of Event (Mountain Time)","value":"14:20:02"},{"id":151,"name":"Denver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781</v>
      </c>
      <c r="B89" s="7"/>
      <c r="C89" s="24"/>
      <c r="D89" s="24"/>
      <c r="E89" s="15"/>
      <c r="F89" s="15"/>
      <c r="G89" s="7"/>
      <c r="H89" s="15"/>
      <c r="I89" s="15"/>
      <c r="J89" s="7"/>
      <c r="K89" s="117"/>
      <c r="L89" s="24"/>
      <c r="M89" s="6"/>
      <c r="N89" s="7"/>
      <c r="O89" s="7"/>
      <c r="P89" s="7">
        <v>1</v>
      </c>
      <c r="Q89" s="25"/>
      <c r="R89" s="25" t="s">
        <v>777</v>
      </c>
      <c r="S89" s="37">
        <v>0</v>
      </c>
      <c r="T89" s="52" t="str">
        <f t="shared" si="39"/>
        <v>NorthBound</v>
      </c>
      <c r="U89" s="159"/>
      <c r="V89" s="102"/>
      <c r="W89" s="54"/>
      <c r="X89" s="164">
        <f t="shared" si="55"/>
        <v>1</v>
      </c>
      <c r="Y89" s="69"/>
      <c r="Z89" s="69"/>
      <c r="AA89" s="69"/>
      <c r="AB89" s="66"/>
      <c r="AC89" s="62"/>
      <c r="AD89" s="63" t="str">
        <f t="shared" si="40"/>
        <v>0175-05</v>
      </c>
      <c r="AE89" s="95"/>
      <c r="AF89" s="92"/>
      <c r="AG89" s="1" t="str">
        <f t="shared" si="41"/>
        <v>EC</v>
      </c>
      <c r="AH89" s="96"/>
      <c r="AI89" s="130"/>
      <c r="AJ89" s="55"/>
      <c r="AK89" s="55"/>
      <c r="AL89" s="55"/>
    </row>
    <row r="90" spans="1:38" s="1" customFormat="1" x14ac:dyDescent="0.25">
      <c r="A90" s="39" t="s">
        <v>516</v>
      </c>
      <c r="B90" s="7">
        <v>4015</v>
      </c>
      <c r="C90" s="24" t="s">
        <v>106</v>
      </c>
      <c r="D90" s="24" t="s">
        <v>625</v>
      </c>
      <c r="E90" s="15">
        <v>42648.576504629629</v>
      </c>
      <c r="F90" s="15">
        <v>42648.617708333331</v>
      </c>
      <c r="G90" s="7">
        <v>2</v>
      </c>
      <c r="H90" s="15" t="s">
        <v>198</v>
      </c>
      <c r="I90" s="15">
        <v>42648.642164351855</v>
      </c>
      <c r="J90" s="7">
        <v>0</v>
      </c>
      <c r="K90" s="117" t="str">
        <f t="shared" ref="K90:K121" si="56">IF(ISEVEN(B90),(B90-1)&amp;"/"&amp;B90,B90&amp;"/"&amp;(B90+1))</f>
        <v>4015/4016</v>
      </c>
      <c r="L90" s="24" t="str">
        <f>VLOOKUP(A90,'Trips&amp;Operators'!$C$1:$E$10000,3,FALSE)</f>
        <v>STORY</v>
      </c>
      <c r="M90" s="6">
        <f t="shared" ref="M90:M121" si="57">I90-F90</f>
        <v>2.4456018523778766E-2</v>
      </c>
      <c r="N90" s="7">
        <f>24*60*SUM($M90:$M90)</f>
        <v>35.216666674241424</v>
      </c>
      <c r="O90" s="7"/>
      <c r="P90" s="7"/>
      <c r="Q90" s="25"/>
      <c r="R90" s="25"/>
      <c r="S90" s="37">
        <f>SUM(U90:U90)/IF(AG90="EC",12,1)</f>
        <v>1</v>
      </c>
      <c r="T90" s="52" t="str">
        <f t="shared" si="39"/>
        <v>Southbound</v>
      </c>
      <c r="U90" s="159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2" t="str">
        <f t="shared" ref="V90:V121" si="58">"https://search-rtdc-monitor-bjffxe2xuh6vdkpspy63sjmuny.us-east-1.es.amazonaws.com/_plugin/kibana/#/discover/Steve-Slow-Train-Analysis-(2080s-and-2083s)?_g=(refreshInterval:(display:Off,section:0,value:0),time:(from:'"&amp;TEXT(E90-1/24,"yyyy-MM-DD hh:mm:ss")&amp;"-0600',mode:absolute,to:'"&amp;TEXT(I90+1/24,"yyyy-MM-DD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90&amp;"%22')),sort:!(Time,asc))"</f>
        <v>https://search-rtdc-monitor-bjffxe2xuh6vdkpspy63sjmuny.us-east-1.es.amazonaws.com/_plugin/kibana/#/discover/Steve-Slow-Train-Analysis-(2080s-and-2083s)?_g=(refreshInterval:(display:Off,section:0,value:0),time:(from:'2016-10-05 12:50:10-0600',mode:absolute,to:'2016-10-05 16:24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0" s="54" t="str">
        <f t="shared" ref="W90:W121" si="59">IF(AA90&lt;IF(AG90="EC",23,5.65),"Y","N")</f>
        <v>N</v>
      </c>
      <c r="X90" s="164">
        <f t="shared" si="55"/>
        <v>1</v>
      </c>
      <c r="Y90" s="69">
        <f t="shared" ref="Y90:Y121" si="60">RIGHT(D90,LEN(D90)-4)/10000</f>
        <v>23.296099999999999</v>
      </c>
      <c r="Z90" s="69">
        <f t="shared" ref="Z90:Z121" si="61">RIGHT(H90,LEN(H90)-4)/10000</f>
        <v>1.52E-2</v>
      </c>
      <c r="AA90" s="69">
        <f t="shared" ref="AA90:AA121" si="62">ABS(Z90-Y90)</f>
        <v>23.280899999999999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 t="shared" si="40"/>
        <v>0176-05</v>
      </c>
      <c r="AE90" s="95" t="str">
        <f t="shared" ref="AE90:AE121" si="63"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s3://rtdc.mdm.uploadarchive.raw/RTDC4015/ "%USERPROFILE%\AppData\Local\Temp\OnboardLogs"\RTDC4015\2016-10-05 --exclude "*" --recursive --include "*20161005*" &amp; "%USERPROFILE%\Documents\GitHub\mrs-test-scripts\Headless Mode &amp; Sideloading\WalkAndUnGZ.bat" "%USERPROFILE%\AppData\Local\Temp\OnboardLogs"\RTDC4015\2016-10-05 &amp; aws s3 cp s3://rtdc.mdm.uploadarchive.raw/RTDC4015/ "%USERPROFILE%\AppData\Local\Temp\OnboardLogs"\RTDC4015\2016-10-06 --exclude "*" --recursive --include "*20161006*" &amp; "%USERPROFILE%\Documents\GitHub\mrs-test-scripts\Headless Mode &amp; Sideloading\WalkAndUnGZ.bat" "%USERPROFILE%\AppData\Local\Temp\OnboardLogs"\RTDC4015\2016-10-06</v>
      </c>
      <c r="AF90" s="92" t="str">
        <f t="shared" ref="AF90:AF121" si="64"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/stypes="app*4015*20161005*" /stext=" 21:.+((SYSTEM_STATE.+slice.+state.+changed )|(ment ac)|(system.+state.+changed )|(\[timeout)|(PRM\|1\|D)|(kpr)|(kdp)|(\|lc)|(penalty))" /e /r /s</v>
      </c>
      <c r="AG90" s="1" t="str">
        <f t="shared" si="41"/>
        <v>EC</v>
      </c>
      <c r="AH90" s="96" t="str">
        <f t="shared" si="53"/>
        <v>"%USERPROFILE%\Documents\GitHub\eaglep3\Utilities\RefineRTDCRunTimes.py" --tripid 176-05 --locoid 4015 --swversion DE.1.0.7.0 --startMP 204:232961 --initTime 2016-10-05T13:50:10 --startdatetime 2016-10-05T14:49:30 --delay 2 --endMP 204:152 --enddatetime 2016-10-05T15:24:43 --enforcementcount 0 &gt;&gt;C:\Users\stu\Documents\GitHub\eaglep3-reporting\EC\2016-10-05-refined-times.txt</v>
      </c>
      <c r="AI90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{"issue":{"subject":"","project_id":79,"tracker_id":40,"status_id":1,"priority_id":2,"assigned_to_id":23,"start_date":"2016-10-05","description":"","custom_fields":[{"id":1,"name":"Subdivision","value":"EC"},{"id":4,"name":"Milepost","value":"0.0152"},{"id":17,"name":"Train ID","value":"176-05"},{"id":16,"name":"Locomotive ID","value":"4015"},{"id":130,"name":"Impact","value":""},{"id":150,"name":"Time of Event (Mountain Time)","value":"15:24:43"},{"id":151,"name":"Denver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401</v>
      </c>
      <c r="B91" s="7">
        <v>4025</v>
      </c>
      <c r="C91" s="24" t="s">
        <v>106</v>
      </c>
      <c r="D91" s="24" t="s">
        <v>641</v>
      </c>
      <c r="E91" s="15">
        <v>42648.560081018521</v>
      </c>
      <c r="F91" s="15">
        <v>42648.561030092591</v>
      </c>
      <c r="G91" s="7">
        <v>1</v>
      </c>
      <c r="H91" s="15" t="s">
        <v>264</v>
      </c>
      <c r="I91" s="15">
        <v>42648.593159722222</v>
      </c>
      <c r="J91" s="7">
        <v>0</v>
      </c>
      <c r="K91" s="117" t="str">
        <f t="shared" si="56"/>
        <v>4025/4026</v>
      </c>
      <c r="L91" s="24" t="str">
        <f>VLOOKUP(A91,'Trips&amp;Operators'!$C$1:$E$10000,3,FALSE)</f>
        <v>BONDS</v>
      </c>
      <c r="M91" s="6">
        <f t="shared" si="57"/>
        <v>3.2129629631526768E-2</v>
      </c>
      <c r="N91" s="7"/>
      <c r="O91" s="7"/>
      <c r="P91" s="7">
        <f>24*60*SUM($M91:$M91)</f>
        <v>46.266666669398546</v>
      </c>
      <c r="Q91" s="25"/>
      <c r="R91" s="25" t="s">
        <v>281</v>
      </c>
      <c r="S91" s="37">
        <f>SUM(U91:U91)/IF(AG91="EC",12,1)</f>
        <v>0.75</v>
      </c>
      <c r="T91" s="52" t="str">
        <f t="shared" si="39"/>
        <v>NorthBound</v>
      </c>
      <c r="U91" s="159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9</v>
      </c>
      <c r="V91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12:26:31-0600',mode:absolute,to:'2016-10-05 15:14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1" s="54" t="str">
        <f t="shared" si="59"/>
        <v>Y</v>
      </c>
      <c r="X91" s="164">
        <f t="shared" si="55"/>
        <v>1</v>
      </c>
      <c r="Y91" s="69">
        <f t="shared" si="60"/>
        <v>3.7183000000000002</v>
      </c>
      <c r="Z91" s="69">
        <f t="shared" si="61"/>
        <v>23.332100000000001</v>
      </c>
      <c r="AA91" s="69">
        <f t="shared" si="62"/>
        <v>19.613800000000001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 t="shared" si="40"/>
        <v>0177-05</v>
      </c>
      <c r="AE91" s="95" t="str">
        <f t="shared" si="63"/>
        <v>aws s3 cp s3://rtdc.mdm.uploadarchive.raw/RTDC4025/ "%USERPROFILE%\AppData\Local\Temp\OnboardLogs"\RTDC4025\2016-10-05 --exclude "*" --recursive --include "*20161005*" &amp; "%USERPROFILE%\Documents\GitHub\mrs-test-scripts\Headless Mode &amp; Sideloading\WalkAndUnGZ.bat" "%USERPROFILE%\AppData\Local\Temp\OnboardLogs"\RTDC4025\2016-10-05 &amp; aws s3 cp s3://rtdc.mdm.uploadarchive.raw/RTDC4025/ "%USERPROFILE%\AppData\Local\Temp\OnboardLogs"\RTDC4025\2016-10-06 --exclude "*" --recursive --include "*20161006*" &amp; "%USERPROFILE%\Documents\GitHub\mrs-test-scripts\Headless Mode &amp; Sideloading\WalkAndUnGZ.bat" "%USERPROFILE%\AppData\Local\Temp\OnboardLogs"\RTDC4025\2016-10-06</v>
      </c>
      <c r="AF91" s="92" t="str">
        <f t="shared" si="64"/>
        <v>"C:\Program Files (x86)\AstroGrep\AstroGrep.exe" /spath="%USERPROFILE%\AppData\Local\Temp\OnboardLogs" /stypes="app*4025*20161005*" /stext=" 20:.+((SYSTEM_STATE.+slice.+state.+changed )|(ment ac)|(system.+state.+changed )|(\[timeout)|(PRM\|1\|D)|(kpr)|(kdp)|(\|lc)|(penalty))" /e /r /s</v>
      </c>
      <c r="AG91" s="1" t="str">
        <f t="shared" si="41"/>
        <v>EC</v>
      </c>
      <c r="AH91" s="96" t="str">
        <f t="shared" si="53"/>
        <v>"%USERPROFILE%\Documents\GitHub\eaglep3\Utilities\RefineRTDCRunTimes.py" --tripid 177-05 --locoid 4025 --swversion DE.1.0.7.0 --startMP 204:37183 --initTime 2016-10-05T13:26:31 --startdatetime 2016-10-05T13:27:53 --delay 1 --endMP 204:233321 --enddatetime 2016-10-05T14:14:09 --enforcementcount 0 &gt;&gt;C:\Users\stu\Documents\GitHub\eaglep3-reporting\EC\2016-10-05-refined-times.txt</v>
      </c>
      <c r="AI91" s="130" t="str">
        <f t="shared" si="54"/>
        <v>echo {"issue":{"subject":"Onboard in-route failure","project_id":79,"tracker_id":40,"status_id":1,"priority_id":2,"assigned_to_id":23,"start_date":"2016-10-05","description":"Triplex-induced comm failure at 2016/10/05 19:15:46 UTC","custom_fields":[{"id":1,"name":"Subdivision","value":"EC"},{"id":4,"name":"Milepost","value":"23.3321"},{"id":17,"name":"Train ID","value":"177-05"},{"id":16,"name":"Locomotive ID","value":"4025"},{"id":130,"name":"Impact","value":"Unexpected Cut-Out or Disengaged"},{"id":150,"name":"Time of Event (Mountain Time)","value":"14:14:09"},{"id":151,"name":"Denver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91" s="55" t="s">
        <v>783</v>
      </c>
      <c r="AK91" s="55" t="s">
        <v>140</v>
      </c>
      <c r="AL91" s="55" t="s">
        <v>207</v>
      </c>
    </row>
    <row r="92" spans="1:38" s="1" customFormat="1" x14ac:dyDescent="0.25">
      <c r="A92" s="39" t="s">
        <v>401</v>
      </c>
      <c r="B92" s="7">
        <v>4025</v>
      </c>
      <c r="C92" s="24" t="s">
        <v>106</v>
      </c>
      <c r="D92" s="24" t="s">
        <v>277</v>
      </c>
      <c r="E92" s="15">
        <v>42648.548587962963</v>
      </c>
      <c r="F92" s="15">
        <v>42648.561030092591</v>
      </c>
      <c r="G92" s="7">
        <v>1</v>
      </c>
      <c r="H92" s="15" t="s">
        <v>642</v>
      </c>
      <c r="I92" s="15">
        <v>42648.593159722222</v>
      </c>
      <c r="J92" s="7">
        <v>0</v>
      </c>
      <c r="K92" s="117" t="str">
        <f t="shared" si="56"/>
        <v>4025/4026</v>
      </c>
      <c r="L92" s="24" t="str">
        <f>VLOOKUP(A92,'Trips&amp;Operators'!$C$1:$E$10000,3,FALSE)</f>
        <v>BONDS</v>
      </c>
      <c r="M92" s="6">
        <f t="shared" si="57"/>
        <v>3.2129629631526768E-2</v>
      </c>
      <c r="N92" s="7"/>
      <c r="O92" s="7"/>
      <c r="P92" s="7"/>
      <c r="Q92" s="25"/>
      <c r="R92" s="25"/>
      <c r="S92" s="37"/>
      <c r="T92" s="52" t="str">
        <f t="shared" si="39"/>
        <v>NorthBound</v>
      </c>
      <c r="U92" s="159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0</v>
      </c>
      <c r="V92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12:09:58-0600',mode:absolute,to:'2016-10-05 15:14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2" s="54" t="str">
        <f t="shared" si="59"/>
        <v>Y</v>
      </c>
      <c r="X92" s="164">
        <f t="shared" si="55"/>
        <v>0</v>
      </c>
      <c r="Y92" s="69">
        <f t="shared" si="60"/>
        <v>4.6899999999999997E-2</v>
      </c>
      <c r="Z92" s="69">
        <f t="shared" si="61"/>
        <v>2.6208999999999998</v>
      </c>
      <c r="AA92" s="69">
        <f t="shared" si="62"/>
        <v>2.5739999999999998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 t="shared" si="40"/>
        <v>0177-05</v>
      </c>
      <c r="AE92" s="95" t="str">
        <f t="shared" si="63"/>
        <v>aws s3 cp s3://rtdc.mdm.uploadarchive.raw/RTDC4025/ "%USERPROFILE%\AppData\Local\Temp\OnboardLogs"\RTDC4025\2016-10-05 --exclude "*" --recursive --include "*20161005*" &amp; "%USERPROFILE%\Documents\GitHub\mrs-test-scripts\Headless Mode &amp; Sideloading\WalkAndUnGZ.bat" "%USERPROFILE%\AppData\Local\Temp\OnboardLogs"\RTDC4025\2016-10-05 &amp; aws s3 cp s3://rtdc.mdm.uploadarchive.raw/RTDC4025/ "%USERPROFILE%\AppData\Local\Temp\OnboardLogs"\RTDC4025\2016-10-06 --exclude "*" --recursive --include "*20161006*" &amp; "%USERPROFILE%\Documents\GitHub\mrs-test-scripts\Headless Mode &amp; Sideloading\WalkAndUnGZ.bat" "%USERPROFILE%\AppData\Local\Temp\OnboardLogs"\RTDC4025\2016-10-06</v>
      </c>
      <c r="AF92" s="92" t="str">
        <f t="shared" si="64"/>
        <v>"C:\Program Files (x86)\AstroGrep\AstroGrep.exe" /spath="%USERPROFILE%\AppData\Local\Temp\OnboardLogs" /stypes="app*4025*20161005*" /stext=" 20:.+((SYSTEM_STATE.+slice.+state.+changed )|(ment ac)|(system.+state.+changed )|(\[timeout)|(PRM\|1\|D)|(kpr)|(kdp)|(\|lc)|(penalty))" /e /r /s</v>
      </c>
      <c r="AG92" s="1" t="str">
        <f t="shared" si="41"/>
        <v>EC</v>
      </c>
      <c r="AH92" s="96" t="str">
        <f t="shared" si="53"/>
        <v>"%USERPROFILE%\Documents\GitHub\eaglep3\Utilities\RefineRTDCRunTimes.py" --tripid 177-05 --locoid 4025 --swversion DE.1.0.7.0 --startMP 204:469 --initTime 2016-10-05T13:09:58 --startdatetime 2016-10-05T13:27:53 --delay 1 --endMP 204:26209 --enddatetime 2016-10-05T14:14:09 --enforcementcount 0 &gt;&gt;C:\Users\stu\Documents\GitHub\eaglep3-reporting\EC\2016-10-05-refined-times.txt</v>
      </c>
      <c r="AI92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{"issue":{"subject":"","project_id":79,"tracker_id":40,"status_id":1,"priority_id":2,"assigned_to_id":23,"start_date":"2016-10-05","description":"","custom_fields":[{"id":1,"name":"Subdivision","value":"EC"},{"id":4,"name":"Milepost","value":"2.6209"},{"id":17,"name":"Train ID","value":"177-05"},{"id":16,"name":"Locomotive ID","value":"4025"},{"id":130,"name":"Impact","value":""},{"id":150,"name":"Time of Event (Mountain Time)","value":"14:14:09"},{"id":151,"name":"Denver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521</v>
      </c>
      <c r="B93" s="7">
        <v>4026</v>
      </c>
      <c r="C93" s="24" t="s">
        <v>106</v>
      </c>
      <c r="D93" s="24" t="s">
        <v>261</v>
      </c>
      <c r="E93" s="15">
        <v>42648.596006944441</v>
      </c>
      <c r="F93" s="15">
        <v>42648.598865740743</v>
      </c>
      <c r="G93" s="7">
        <v>1</v>
      </c>
      <c r="H93" s="15" t="s">
        <v>643</v>
      </c>
      <c r="I93" s="15">
        <v>42648.629513888889</v>
      </c>
      <c r="J93" s="7">
        <v>0</v>
      </c>
      <c r="K93" s="117" t="str">
        <f t="shared" si="56"/>
        <v>4025/4026</v>
      </c>
      <c r="L93" s="24" t="str">
        <f>VLOOKUP(A93,'Trips&amp;Operators'!$C$1:$E$10000,3,FALSE)</f>
        <v>BONDS</v>
      </c>
      <c r="M93" s="6">
        <f t="shared" si="57"/>
        <v>3.0648148145701271E-2</v>
      </c>
      <c r="N93" s="7">
        <f t="shared" ref="N93:N109" si="65">24*60*SUM($M93:$M93)</f>
        <v>44.13333332980983</v>
      </c>
      <c r="O93" s="7"/>
      <c r="P93" s="7"/>
      <c r="Q93" s="25"/>
      <c r="R93" s="25"/>
      <c r="S93" s="37">
        <f t="shared" ref="S93:S124" si="66">SUM(U93:U93)/IF(AG93="EC",12,1)</f>
        <v>1</v>
      </c>
      <c r="T93" s="52" t="str">
        <f t="shared" si="39"/>
        <v>Southbound</v>
      </c>
      <c r="U93" s="159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13:18:15-0600',mode:absolute,to:'2016-10-05 16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3" s="54" t="str">
        <f t="shared" si="59"/>
        <v>N</v>
      </c>
      <c r="X93" s="164">
        <f t="shared" si="55"/>
        <v>1</v>
      </c>
      <c r="Y93" s="69">
        <f t="shared" si="60"/>
        <v>23.300599999999999</v>
      </c>
      <c r="Z93" s="69">
        <f t="shared" si="61"/>
        <v>0.1179</v>
      </c>
      <c r="AA93" s="69">
        <f t="shared" si="62"/>
        <v>23.182700000000001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 t="shared" si="40"/>
        <v>0178-05</v>
      </c>
      <c r="AE93" s="95" t="str">
        <f t="shared" si="63"/>
        <v>aws s3 cp s3://rtdc.mdm.uploadarchive.raw/RTDC4026/ "%USERPROFILE%\AppData\Local\Temp\OnboardLogs"\RTDC4026\2016-10-05 --exclude "*" --recursive --include "*20161005*" &amp; "%USERPROFILE%\Documents\GitHub\mrs-test-scripts\Headless Mode &amp; Sideloading\WalkAndUnGZ.bat" "%USERPROFILE%\AppData\Local\Temp\OnboardLogs"\RTDC4026\2016-10-05 &amp; aws s3 cp s3://rtdc.mdm.uploadarchive.raw/RTDC4026/ "%USERPROFILE%\AppData\Local\Temp\OnboardLogs"\RTDC4026\2016-10-06 --exclude "*" --recursive --include "*20161006*" &amp; "%USERPROFILE%\Documents\GitHub\mrs-test-scripts\Headless Mode &amp; Sideloading\WalkAndUnGZ.bat" "%USERPROFILE%\AppData\Local\Temp\OnboardLogs"\RTDC4026\2016-10-06</v>
      </c>
      <c r="AF93" s="92" t="str">
        <f t="shared" si="64"/>
        <v>"C:\Program Files (x86)\AstroGrep\AstroGrep.exe" /spath="%USERPROFILE%\AppData\Local\Temp\OnboardLogs" /stypes="app*4026*20161005*" /stext=" 21:.+((SYSTEM_STATE.+slice.+state.+changed )|(ment ac)|(system.+state.+changed )|(\[timeout)|(PRM\|1\|D)|(kpr)|(kdp)|(\|lc)|(penalty))" /e /r /s</v>
      </c>
      <c r="AG93" s="1" t="str">
        <f t="shared" si="41"/>
        <v>EC</v>
      </c>
      <c r="AH93" s="96" t="str">
        <f t="shared" si="53"/>
        <v>"%USERPROFILE%\Documents\GitHub\eaglep3\Utilities\RefineRTDCRunTimes.py" --tripid 178-05 --locoid 4026 --swversion DE.1.0.7.0 --startMP 204:233006 --initTime 2016-10-05T14:18:15 --startdatetime 2016-10-05T14:22:22 --delay 1 --endMP 204:1179 --enddatetime 2016-10-05T15:06:30 --enforcementcount 0 &gt;&gt;C:\Users\stu\Documents\GitHub\eaglep3-reporting\EC\2016-10-05-refined-times.txt</v>
      </c>
      <c r="AI93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{"issue":{"subject":"","project_id":79,"tracker_id":40,"status_id":1,"priority_id":2,"assigned_to_id":23,"start_date":"2016-10-05","description":"","custom_fields":[{"id":1,"name":"Subdivision","value":"EC"},{"id":4,"name":"Milepost","value":"0.1179"},{"id":17,"name":"Train ID","value":"178-05"},{"id":16,"name":"Locomotive ID","value":"4026"},{"id":130,"name":"Impact","value":""},{"id":150,"name":"Time of Event (Mountain Time)","value":"15:06:30"},{"id":151,"name":"Denver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x14ac:dyDescent="0.25">
      <c r="A94" s="39" t="s">
        <v>513</v>
      </c>
      <c r="B94" s="7">
        <v>4009</v>
      </c>
      <c r="C94" s="24" t="s">
        <v>106</v>
      </c>
      <c r="D94" s="24" t="s">
        <v>220</v>
      </c>
      <c r="E94" s="15">
        <v>42648.559803240743</v>
      </c>
      <c r="F94" s="15">
        <v>42648.563020833331</v>
      </c>
      <c r="G94" s="7">
        <v>1</v>
      </c>
      <c r="H94" s="15" t="s">
        <v>288</v>
      </c>
      <c r="I94" s="15">
        <v>42648.600428240738</v>
      </c>
      <c r="J94" s="7">
        <v>0</v>
      </c>
      <c r="K94" s="117" t="str">
        <f t="shared" si="56"/>
        <v>4009/4010</v>
      </c>
      <c r="L94" s="24" t="str">
        <f>VLOOKUP(A94,'Trips&amp;Operators'!$C$1:$E$10000,3,FALSE)</f>
        <v>BARTLETT</v>
      </c>
      <c r="M94" s="6">
        <f t="shared" si="57"/>
        <v>3.7407407406135462E-2</v>
      </c>
      <c r="N94" s="7">
        <f t="shared" si="65"/>
        <v>53.866666664835066</v>
      </c>
      <c r="O94" s="7"/>
      <c r="P94" s="7"/>
      <c r="Q94" s="25"/>
      <c r="R94" s="25"/>
      <c r="S94" s="37">
        <f t="shared" si="66"/>
        <v>1</v>
      </c>
      <c r="T94" s="52" t="str">
        <f t="shared" si="39"/>
        <v>NorthBound</v>
      </c>
      <c r="U94" s="159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12:26:07-0600',mode:absolute,to:'2016-10-05 15:24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4" s="54" t="str">
        <f t="shared" si="59"/>
        <v>N</v>
      </c>
      <c r="X94" s="164">
        <f t="shared" si="55"/>
        <v>1</v>
      </c>
      <c r="Y94" s="69">
        <f t="shared" si="60"/>
        <v>4.6399999999999997E-2</v>
      </c>
      <c r="Z94" s="69">
        <f t="shared" si="61"/>
        <v>23.331600000000002</v>
      </c>
      <c r="AA94" s="69">
        <f t="shared" si="62"/>
        <v>23.285200000000003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 t="shared" si="40"/>
        <v>0179-05</v>
      </c>
      <c r="AE94" s="95" t="str">
        <f t="shared" si="63"/>
        <v>aws s3 cp s3://rtdc.mdm.uploadarchive.raw/RTDC4009/ "%USERPROFILE%\AppData\Local\Temp\OnboardLogs"\RTDC4009\2016-10-05 --exclude "*" --recursive --include "*20161005*" &amp; "%USERPROFILE%\Documents\GitHub\mrs-test-scripts\Headless Mode &amp; Sideloading\WalkAndUnGZ.bat" "%USERPROFILE%\AppData\Local\Temp\OnboardLogs"\RTDC4009\2016-10-05 &amp; aws s3 cp s3://rtdc.mdm.uploadarchive.raw/RTDC4009/ "%USERPROFILE%\AppData\Local\Temp\OnboardLogs"\RTDC4009\2016-10-06 --exclude "*" --recursive --include "*20161006*" &amp; "%USERPROFILE%\Documents\GitHub\mrs-test-scripts\Headless Mode &amp; Sideloading\WalkAndUnGZ.bat" "%USERPROFILE%\AppData\Local\Temp\OnboardLogs"\RTDC4009\2016-10-06</v>
      </c>
      <c r="AF94" s="92" t="str">
        <f t="shared" si="64"/>
        <v>"C:\Program Files (x86)\AstroGrep\AstroGrep.exe" /spath="%USERPROFILE%\AppData\Local\Temp\OnboardLogs" /stypes="app*4009*20161005*" /stext=" 20:.+((SYSTEM_STATE.+slice.+state.+changed )|(ment ac)|(system.+state.+changed )|(\[timeout)|(PRM\|1\|D)|(kpr)|(kdp)|(\|lc)|(penalty))" /e /r /s</v>
      </c>
      <c r="AG94" s="1" t="str">
        <f t="shared" si="41"/>
        <v>EC</v>
      </c>
      <c r="AH94" s="96" t="str">
        <f t="shared" si="53"/>
        <v>"%USERPROFILE%\Documents\GitHub\eaglep3\Utilities\RefineRTDCRunTimes.py" --tripid 179-05 --locoid 4009 --swversion DE.1.0.7.0 --startMP 204:464 --initTime 2016-10-05T13:26:07 --startdatetime 2016-10-05T13:30:45 --delay 1 --endMP 204:233316 --enddatetime 2016-10-05T14:24:37 --enforcementcount 0 &gt;&gt;C:\Users\stu\Documents\GitHub\eaglep3-reporting\EC\2016-10-05-refined-times.txt</v>
      </c>
      <c r="AI94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{"issue":{"subject":"","project_id":79,"tracker_id":40,"status_id":1,"priority_id":2,"assigned_to_id":23,"start_date":"2016-10-05","description":"","custom_fields":[{"id":1,"name":"Subdivision","value":"EC"},{"id":4,"name":"Milepost","value":"23.3316"},{"id":17,"name":"Train ID","value":"179-05"},{"id":16,"name":"Locomotive ID","value":"4009"},{"id":130,"name":"Impact","value":""},{"id":150,"name":"Time of Event (Mountain Time)","value":"14:24:37"},{"id":151,"name":"Denver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1" customFormat="1" x14ac:dyDescent="0.25">
      <c r="A95" s="39" t="s">
        <v>406</v>
      </c>
      <c r="B95" s="7">
        <v>4010</v>
      </c>
      <c r="C95" s="24" t="s">
        <v>106</v>
      </c>
      <c r="D95" s="24" t="s">
        <v>294</v>
      </c>
      <c r="E95" s="15">
        <v>42648.602430555555</v>
      </c>
      <c r="F95" s="15">
        <v>42648.604490740741</v>
      </c>
      <c r="G95" s="7">
        <v>1</v>
      </c>
      <c r="H95" s="15" t="s">
        <v>263</v>
      </c>
      <c r="I95" s="15">
        <v>42648.634444444448</v>
      </c>
      <c r="J95" s="7">
        <v>0</v>
      </c>
      <c r="K95" s="117" t="str">
        <f t="shared" si="56"/>
        <v>4009/4010</v>
      </c>
      <c r="L95" s="24" t="str">
        <f>VLOOKUP(A95,'Trips&amp;Operators'!$C$1:$E$10000,3,FALSE)</f>
        <v>BARTLETT</v>
      </c>
      <c r="M95" s="6">
        <f t="shared" si="57"/>
        <v>2.9953703706269152E-2</v>
      </c>
      <c r="N95" s="7">
        <f t="shared" si="65"/>
        <v>43.13333333702758</v>
      </c>
      <c r="O95" s="7"/>
      <c r="P95" s="7"/>
      <c r="Q95" s="25"/>
      <c r="R95" s="25"/>
      <c r="S95" s="37">
        <f t="shared" si="66"/>
        <v>1</v>
      </c>
      <c r="T95" s="52" t="str">
        <f t="shared" si="39"/>
        <v>Southbound</v>
      </c>
      <c r="U95" s="159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13:27:30-0600',mode:absolute,to:'2016-10-05 16:13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5" s="54" t="str">
        <f t="shared" si="59"/>
        <v>N</v>
      </c>
      <c r="X95" s="164">
        <f t="shared" ref="X95:X126" si="67">VALUE(LEFT(AD95,4))-VALUE(LEFT(AD94,4))</f>
        <v>1</v>
      </c>
      <c r="Y95" s="69">
        <f t="shared" si="60"/>
        <v>23.298200000000001</v>
      </c>
      <c r="Z95" s="69">
        <f t="shared" si="61"/>
        <v>1.6299999999999999E-2</v>
      </c>
      <c r="AA95" s="69">
        <f t="shared" si="62"/>
        <v>23.2819</v>
      </c>
      <c r="AB95" s="66" t="str">
        <f>VLOOKUP(A95,Enforcements!$C$7:$K$21,8,0)</f>
        <v>Bulletin (2)</v>
      </c>
      <c r="AC95" s="62" t="str">
        <f>VLOOKUP(A95,Enforcements!$C$7:$E$21,3,0)</f>
        <v>GRADE CROSSING</v>
      </c>
      <c r="AD95" s="63" t="str">
        <f t="shared" si="40"/>
        <v>0180-05</v>
      </c>
      <c r="AE95" s="95" t="str">
        <f t="shared" si="63"/>
        <v>aws s3 cp s3://rtdc.mdm.uploadarchive.raw/RTDC4010/ "%USERPROFILE%\AppData\Local\Temp\OnboardLogs"\RTDC4010\2016-10-05 --exclude "*" --recursive --include "*20161005*" &amp; "%USERPROFILE%\Documents\GitHub\mrs-test-scripts\Headless Mode &amp; Sideloading\WalkAndUnGZ.bat" "%USERPROFILE%\AppData\Local\Temp\OnboardLogs"\RTDC4010\2016-10-05 &amp; aws s3 cp s3://rtdc.mdm.uploadarchive.raw/RTDC4010/ "%USERPROFILE%\AppData\Local\Temp\OnboardLogs"\RTDC4010\2016-10-06 --exclude "*" --recursive --include "*20161006*" &amp; "%USERPROFILE%\Documents\GitHub\mrs-test-scripts\Headless Mode &amp; Sideloading\WalkAndUnGZ.bat" "%USERPROFILE%\AppData\Local\Temp\OnboardLogs"\RTDC4010\2016-10-06</v>
      </c>
      <c r="AF95" s="92" t="str">
        <f t="shared" si="64"/>
        <v>"C:\Program Files (x86)\AstroGrep\AstroGrep.exe" /spath="%USERPROFILE%\AppData\Local\Temp\OnboardLogs" /stypes="app*4010*20161005*" /stext=" 21:.+((SYSTEM_STATE.+slice.+state.+changed )|(ment ac)|(system.+state.+changed )|(\[timeout)|(PRM\|1\|D)|(kpr)|(kdp)|(\|lc)|(penalty))" /e /r /s</v>
      </c>
      <c r="AG95" s="1" t="str">
        <f t="shared" si="41"/>
        <v>EC</v>
      </c>
      <c r="AH95" s="96" t="str">
        <f t="shared" si="53"/>
        <v>"%USERPROFILE%\Documents\GitHub\eaglep3\Utilities\RefineRTDCRunTimes.py" --tripid 180-05 --locoid 4010 --swversion DE.1.0.7.0 --startMP 204:232982 --initTime 2016-10-05T14:27:30 --startdatetime 2016-10-05T14:30:28 --delay 1 --endMP 204:163 --enddatetime 2016-10-05T15:13:36 --enforcementcount 0 &gt;&gt;C:\Users\stu\Documents\GitHub\eaglep3-reporting\EC\2016-10-05-refined-times.txt</v>
      </c>
      <c r="AI95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{"issue":{"subject":"","project_id":79,"tracker_id":40,"status_id":1,"priority_id":2,"assigned_to_id":23,"start_date":"2016-10-05","description":"","custom_fields":[{"id":1,"name":"Subdivision","value":"EC"},{"id":4,"name":"Milepost","value":"0.0163"},{"id":17,"name":"Train ID","value":"180-05"},{"id":16,"name":"Locomotive ID","value":"4010"},{"id":130,"name":"Impact","value":""},{"id":150,"name":"Time of Event (Mountain Time)","value":"15:13:36"},{"id":151,"name":"Denver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1" customFormat="1" x14ac:dyDescent="0.25">
      <c r="A96" s="39" t="s">
        <v>515</v>
      </c>
      <c r="B96" s="7">
        <v>4007</v>
      </c>
      <c r="C96" s="24" t="s">
        <v>106</v>
      </c>
      <c r="D96" s="24" t="s">
        <v>291</v>
      </c>
      <c r="E96" s="15">
        <v>42648.569618055553</v>
      </c>
      <c r="F96" s="15">
        <v>42648.573078703703</v>
      </c>
      <c r="G96" s="7">
        <v>1</v>
      </c>
      <c r="H96" s="15" t="s">
        <v>274</v>
      </c>
      <c r="I96" s="15">
        <v>42648.602708333332</v>
      </c>
      <c r="J96" s="7">
        <v>0</v>
      </c>
      <c r="K96" s="117" t="str">
        <f t="shared" si="56"/>
        <v>4007/4008</v>
      </c>
      <c r="L96" s="24" t="str">
        <f>VLOOKUP(A96,'Trips&amp;Operators'!$C$1:$E$10000,3,FALSE)</f>
        <v>CRAYTON</v>
      </c>
      <c r="M96" s="6">
        <f t="shared" si="57"/>
        <v>2.9629629629198462E-2</v>
      </c>
      <c r="N96" s="7">
        <f t="shared" si="65"/>
        <v>42.666666666045785</v>
      </c>
      <c r="O96" s="7"/>
      <c r="P96" s="7"/>
      <c r="Q96" s="25"/>
      <c r="R96" s="25"/>
      <c r="S96" s="37">
        <f t="shared" si="66"/>
        <v>1</v>
      </c>
      <c r="T96" s="52" t="str">
        <f t="shared" si="39"/>
        <v>NorthBound</v>
      </c>
      <c r="U96" s="159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12:40:15-0600',mode:absolute,to:'2016-10-05 15:27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6" s="54" t="str">
        <f t="shared" si="59"/>
        <v>N</v>
      </c>
      <c r="X96" s="164">
        <f t="shared" si="67"/>
        <v>1</v>
      </c>
      <c r="Y96" s="69">
        <f t="shared" si="60"/>
        <v>4.4200000000000003E-2</v>
      </c>
      <c r="Z96" s="69">
        <f t="shared" si="61"/>
        <v>23.329699999999999</v>
      </c>
      <c r="AA96" s="69">
        <f t="shared" si="62"/>
        <v>23.285499999999999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 t="shared" si="40"/>
        <v>0181-05</v>
      </c>
      <c r="AE96" s="95" t="str">
        <f t="shared" si="63"/>
        <v>aws s3 cp s3://rtdc.mdm.uploadarchive.raw/RTDC4007/ "%USERPROFILE%\AppData\Local\Temp\OnboardLogs"\RTDC4007\2016-10-05 --exclude "*" --recursive --include "*20161005*" &amp; "%USERPROFILE%\Documents\GitHub\mrs-test-scripts\Headless Mode &amp; Sideloading\WalkAndUnGZ.bat" "%USERPROFILE%\AppData\Local\Temp\OnboardLogs"\RTDC4007\2016-10-05 &amp; 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</v>
      </c>
      <c r="AF96" s="92" t="str">
        <f t="shared" si="64"/>
        <v>"C:\Program Files (x86)\AstroGrep\AstroGrep.exe" /spath="%USERPROFILE%\AppData\Local\Temp\OnboardLogs" /stypes="app*4007*20161005*" /stext=" 20:.+((SYSTEM_STATE.+slice.+state.+changed )|(ment ac)|(system.+state.+changed )|(\[timeout)|(PRM\|1\|D)|(kpr)|(kdp)|(\|lc)|(penalty))" /e /r /s</v>
      </c>
      <c r="AG96" s="1" t="str">
        <f t="shared" si="41"/>
        <v>EC</v>
      </c>
      <c r="AH96" s="96" t="str">
        <f t="shared" si="53"/>
        <v>"%USERPROFILE%\Documents\GitHub\eaglep3\Utilities\RefineRTDCRunTimes.py" --tripid 181-05 --locoid 4007 --swversion DE.1.0.7.0 --startMP 204:442 --initTime 2016-10-05T13:40:15 --startdatetime 2016-10-05T13:45:14 --delay 1 --endMP 204:233297 --enddatetime 2016-10-05T14:27:54 --enforcementcount 0 &gt;&gt;C:\Users\stu\Documents\GitHub\eaglep3-reporting\EC\2016-10-05-refined-times.txt</v>
      </c>
      <c r="AI96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{"issue":{"subject":"","project_id":79,"tracker_id":40,"status_id":1,"priority_id":2,"assigned_to_id":23,"start_date":"2016-10-05","description":"","custom_fields":[{"id":1,"name":"Subdivision","value":"EC"},{"id":4,"name":"Milepost","value":"23.3297"},{"id":17,"name":"Train ID","value":"181-05"},{"id":16,"name":"Locomotive ID","value":"4007"},{"id":130,"name":"Impact","value":""},{"id":150,"name":"Time of Event (Mountain Time)","value":"14:27:54"},{"id":151,"name":"Denver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1" customFormat="1" x14ac:dyDescent="0.25">
      <c r="A97" s="39" t="s">
        <v>523</v>
      </c>
      <c r="B97" s="7">
        <v>4008</v>
      </c>
      <c r="C97" s="24" t="s">
        <v>106</v>
      </c>
      <c r="D97" s="24" t="s">
        <v>295</v>
      </c>
      <c r="E97" s="15">
        <v>42648.606770833336</v>
      </c>
      <c r="F97" s="15">
        <v>42648.612002314818</v>
      </c>
      <c r="G97" s="7">
        <v>1</v>
      </c>
      <c r="H97" s="15" t="s">
        <v>212</v>
      </c>
      <c r="I97" s="15">
        <v>42648.640104166669</v>
      </c>
      <c r="J97" s="7">
        <v>0</v>
      </c>
      <c r="K97" s="117" t="str">
        <f t="shared" si="56"/>
        <v>4007/4008</v>
      </c>
      <c r="L97" s="24" t="str">
        <f>VLOOKUP(A97,'Trips&amp;Operators'!$C$1:$E$10000,3,FALSE)</f>
        <v>CRAYTON</v>
      </c>
      <c r="M97" s="6">
        <f t="shared" si="57"/>
        <v>2.810185185080627E-2</v>
      </c>
      <c r="N97" s="7">
        <f t="shared" si="65"/>
        <v>40.466666665161029</v>
      </c>
      <c r="O97" s="7"/>
      <c r="P97" s="7"/>
      <c r="Q97" s="25"/>
      <c r="R97" s="25"/>
      <c r="S97" s="37">
        <f t="shared" si="66"/>
        <v>1</v>
      </c>
      <c r="T97" s="52" t="str">
        <f t="shared" si="39"/>
        <v>Southbound</v>
      </c>
      <c r="U97" s="159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13:33:45-0600',mode:absolute,to:'2016-10-05 16:21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7" s="54" t="str">
        <f t="shared" si="59"/>
        <v>N</v>
      </c>
      <c r="X97" s="164">
        <f t="shared" si="67"/>
        <v>1</v>
      </c>
      <c r="Y97" s="69">
        <f t="shared" si="60"/>
        <v>23.297899999999998</v>
      </c>
      <c r="Z97" s="69">
        <f t="shared" si="61"/>
        <v>1.4500000000000001E-2</v>
      </c>
      <c r="AA97" s="69">
        <f t="shared" si="62"/>
        <v>23.283399999999997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 t="shared" si="40"/>
        <v>0182-05</v>
      </c>
      <c r="AE97" s="95" t="str">
        <f t="shared" si="63"/>
        <v>aws s3 cp s3://rtdc.mdm.uploadarchive.raw/RTDC4008/ "%USERPROFILE%\AppData\Local\Temp\OnboardLogs"\RTDC4008\2016-10-05 --exclude "*" --recursive --include "*20161005*" &amp; "%USERPROFILE%\Documents\GitHub\mrs-test-scripts\Headless Mode &amp; Sideloading\WalkAndUnGZ.bat" "%USERPROFILE%\AppData\Local\Temp\OnboardLogs"\RTDC4008\2016-10-05 &amp; 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</v>
      </c>
      <c r="AF97" s="92" t="str">
        <f t="shared" si="64"/>
        <v>"C:\Program Files (x86)\AstroGrep\AstroGrep.exe" /spath="%USERPROFILE%\AppData\Local\Temp\OnboardLogs" /stypes="app*4008*20161005*" /stext=" 21:.+((SYSTEM_STATE.+slice.+state.+changed )|(ment ac)|(system.+state.+changed )|(\[timeout)|(PRM\|1\|D)|(kpr)|(kdp)|(\|lc)|(penalty))" /e /r /s</v>
      </c>
      <c r="AG97" s="1" t="str">
        <f t="shared" si="41"/>
        <v>EC</v>
      </c>
      <c r="AH97" s="96" t="str">
        <f t="shared" si="53"/>
        <v>"%USERPROFILE%\Documents\GitHub\eaglep3\Utilities\RefineRTDCRunTimes.py" --tripid 182-05 --locoid 4008 --swversion DE.1.0.7.0 --startMP 204:232979 --initTime 2016-10-05T14:33:45 --startdatetime 2016-10-05T14:41:17 --delay 1 --endMP 204:145 --enddatetime 2016-10-05T15:21:45 --enforcementcount 0 &gt;&gt;C:\Users\stu\Documents\GitHub\eaglep3-reporting\EC\2016-10-05-refined-times.txt</v>
      </c>
      <c r="AI97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{"issue":{"subject":"","project_id":79,"tracker_id":40,"status_id":1,"priority_id":2,"assigned_to_id":23,"start_date":"2016-10-05","description":"","custom_fields":[{"id":1,"name":"Subdivision","value":"EC"},{"id":4,"name":"Milepost","value":"0.0145"},{"id":17,"name":"Train ID","value":"182-05"},{"id":16,"name":"Locomotive ID","value":"4008"},{"id":130,"name":"Impact","value":""},{"id":150,"name":"Time of Event (Mountain Time)","value":"15:21:45"},{"id":151,"name":"Denver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1" customFormat="1" x14ac:dyDescent="0.25">
      <c r="A98" s="39" t="s">
        <v>517</v>
      </c>
      <c r="B98" s="7">
        <v>4018</v>
      </c>
      <c r="C98" s="24" t="s">
        <v>106</v>
      </c>
      <c r="D98" s="24" t="s">
        <v>277</v>
      </c>
      <c r="E98" s="15">
        <v>42648.582974537036</v>
      </c>
      <c r="F98" s="15">
        <v>42648.584467592591</v>
      </c>
      <c r="G98" s="7">
        <v>1</v>
      </c>
      <c r="H98" s="15" t="s">
        <v>644</v>
      </c>
      <c r="I98" s="15">
        <v>42648.611840277779</v>
      </c>
      <c r="J98" s="7">
        <v>0</v>
      </c>
      <c r="K98" s="117" t="str">
        <f t="shared" si="56"/>
        <v>4017/4018</v>
      </c>
      <c r="L98" s="24" t="str">
        <f>VLOOKUP(A98,'Trips&amp;Operators'!$C$1:$E$10000,3,FALSE)</f>
        <v>BROWN</v>
      </c>
      <c r="M98" s="6">
        <f t="shared" si="57"/>
        <v>2.7372685188311152E-2</v>
      </c>
      <c r="N98" s="7">
        <f t="shared" si="65"/>
        <v>39.416666671168059</v>
      </c>
      <c r="O98" s="7"/>
      <c r="P98" s="7"/>
      <c r="Q98" s="25"/>
      <c r="R98" s="25"/>
      <c r="S98" s="37">
        <f t="shared" si="66"/>
        <v>1</v>
      </c>
      <c r="T98" s="52" t="str">
        <f t="shared" si="39"/>
        <v>NorthBound</v>
      </c>
      <c r="U98" s="159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12:59:29-0600',mode:absolute,to:'2016-10-05 15:41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8" s="54" t="str">
        <f t="shared" si="59"/>
        <v>N</v>
      </c>
      <c r="X98" s="164">
        <f t="shared" si="67"/>
        <v>1</v>
      </c>
      <c r="Y98" s="69">
        <f t="shared" si="60"/>
        <v>4.6899999999999997E-2</v>
      </c>
      <c r="Z98" s="69">
        <f t="shared" si="61"/>
        <v>23.332999999999998</v>
      </c>
      <c r="AA98" s="69">
        <f t="shared" si="62"/>
        <v>23.286099999999998</v>
      </c>
      <c r="AB98" s="66" t="e">
        <f>VLOOKUP(A98,Enforcements!$C$7:$K$21,8,0)</f>
        <v>#N/A</v>
      </c>
      <c r="AC98" s="62" t="e">
        <f>VLOOKUP(A98,Enforcements!$C$7:$E$21,3,0)</f>
        <v>#N/A</v>
      </c>
      <c r="AD98" s="63" t="str">
        <f t="shared" si="40"/>
        <v>0183-05</v>
      </c>
      <c r="AE98" s="95" t="str">
        <f t="shared" si="63"/>
        <v>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 &amp; aws s3 cp s3://rtdc.mdm.uploadarchive.raw/RTDC4018/ "%USERPROFILE%\AppData\Local\Temp\OnboardLogs"\RTDC4018\2016-10-06 --exclude "*" --recursive --include "*20161006*" &amp; "%USERPROFILE%\Documents\GitHub\mrs-test-scripts\Headless Mode &amp; Sideloading\WalkAndUnGZ.bat" "%USERPROFILE%\AppData\Local\Temp\OnboardLogs"\RTDC4018\2016-10-06</v>
      </c>
      <c r="AF98" s="92" t="str">
        <f t="shared" si="64"/>
        <v>"C:\Program Files (x86)\AstroGrep\AstroGrep.exe" /spath="%USERPROFILE%\AppData\Local\Temp\OnboardLogs" /stypes="app*4018*20161005*" /stext=" 20:.+((SYSTEM_STATE.+slice.+state.+changed )|(ment ac)|(system.+state.+changed )|(\[timeout)|(PRM\|1\|D)|(kpr)|(kdp)|(\|lc)|(penalty))" /e /r /s</v>
      </c>
      <c r="AG98" s="1" t="str">
        <f t="shared" si="41"/>
        <v>EC</v>
      </c>
      <c r="AH98" s="96" t="str">
        <f t="shared" si="53"/>
        <v>"%USERPROFILE%\Documents\GitHub\eaglep3\Utilities\RefineRTDCRunTimes.py" --tripid 183-05 --locoid 4018 --swversion DE.1.0.7.0 --startMP 204:469 --initTime 2016-10-05T13:59:29 --startdatetime 2016-10-05T14:01:38 --delay 1 --endMP 204:233330 --enddatetime 2016-10-05T14:41:03 --enforcementcount 0 &gt;&gt;C:\Users\stu\Documents\GitHub\eaglep3-reporting\EC\2016-10-05-refined-times.txt</v>
      </c>
      <c r="AI98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{"issue":{"subject":"","project_id":79,"tracker_id":40,"status_id":1,"priority_id":2,"assigned_to_id":23,"start_date":"2016-10-05","description":"","custom_fields":[{"id":1,"name":"Subdivision","value":"EC"},{"id":4,"name":"Milepost","value":"23.333"},{"id":17,"name":"Train ID","value":"183-05"},{"id":16,"name":"Locomotive ID","value":"4018"},{"id":130,"name":"Impact","value":""},{"id":150,"name":"Time of Event (Mountain Time)","value":"14:41:03"},{"id":151,"name":"Denver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525</v>
      </c>
      <c r="B99" s="7">
        <v>4017</v>
      </c>
      <c r="C99" s="24" t="s">
        <v>106</v>
      </c>
      <c r="D99" s="24" t="s">
        <v>273</v>
      </c>
      <c r="E99" s="15">
        <v>42648.61478009259</v>
      </c>
      <c r="F99" s="15">
        <v>42648.623784722222</v>
      </c>
      <c r="G99" s="7">
        <v>1</v>
      </c>
      <c r="H99" s="15" t="s">
        <v>263</v>
      </c>
      <c r="I99" s="15">
        <v>42648.653912037036</v>
      </c>
      <c r="J99" s="7">
        <v>0</v>
      </c>
      <c r="K99" s="117" t="str">
        <f t="shared" si="56"/>
        <v>4017/4018</v>
      </c>
      <c r="L99" s="24" t="str">
        <f>VLOOKUP(A99,'Trips&amp;Operators'!$C$1:$E$10000,3,FALSE)</f>
        <v>BROWN</v>
      </c>
      <c r="M99" s="6">
        <f t="shared" si="57"/>
        <v>3.0127314814308193E-2</v>
      </c>
      <c r="N99" s="7">
        <f t="shared" si="65"/>
        <v>43.383333332603797</v>
      </c>
      <c r="O99" s="7"/>
      <c r="P99" s="7"/>
      <c r="Q99" s="25"/>
      <c r="R99" s="25"/>
      <c r="S99" s="37">
        <f t="shared" si="66"/>
        <v>1</v>
      </c>
      <c r="T99" s="52" t="str">
        <f t="shared" si="39"/>
        <v>Southbound</v>
      </c>
      <c r="U99" s="159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13:45:17-0600',mode:absolute,to:'2016-10-05 16:41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9" s="54" t="str">
        <f t="shared" si="59"/>
        <v>N</v>
      </c>
      <c r="X99" s="164">
        <f t="shared" si="67"/>
        <v>1</v>
      </c>
      <c r="Y99" s="69">
        <f t="shared" si="60"/>
        <v>23.299800000000001</v>
      </c>
      <c r="Z99" s="69">
        <f t="shared" si="61"/>
        <v>1.6299999999999999E-2</v>
      </c>
      <c r="AA99" s="69">
        <f t="shared" si="62"/>
        <v>23.2835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 t="shared" si="40"/>
        <v>0184-05</v>
      </c>
      <c r="AE99" s="95" t="str">
        <f t="shared" si="63"/>
        <v>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 &amp; aws s3 cp s3://rtdc.mdm.uploadarchive.raw/RTDC4017/ "%USERPROFILE%\AppData\Local\Temp\OnboardLogs"\RTDC4017\2016-10-06 --exclude "*" --recursive --include "*20161006*" &amp; "%USERPROFILE%\Documents\GitHub\mrs-test-scripts\Headless Mode &amp; Sideloading\WalkAndUnGZ.bat" "%USERPROFILE%\AppData\Local\Temp\OnboardLogs"\RTDC4017\2016-10-06</v>
      </c>
      <c r="AF99" s="92" t="str">
        <f t="shared" si="64"/>
        <v>"C:\Program Files (x86)\AstroGrep\AstroGrep.exe" /spath="%USERPROFILE%\AppData\Local\Temp\OnboardLogs" /stypes="app*4017*20161005*" /stext=" 21:.+((SYSTEM_STATE.+slice.+state.+changed )|(ment ac)|(system.+state.+changed )|(\[timeout)|(PRM\|1\|D)|(kpr)|(kdp)|(\|lc)|(penalty))" /e /r /s</v>
      </c>
      <c r="AG99" s="1" t="str">
        <f t="shared" si="41"/>
        <v>EC</v>
      </c>
      <c r="AH99" s="96" t="str">
        <f t="shared" si="53"/>
        <v>"%USERPROFILE%\Documents\GitHub\eaglep3\Utilities\RefineRTDCRunTimes.py" --tripid 184-05 --locoid 4017 --swversion DE.1.0.7.0 --startMP 204:232998 --initTime 2016-10-05T14:45:17 --startdatetime 2016-10-05T14:58:15 --delay 1 --endMP 204:163 --enddatetime 2016-10-05T15:41:38 --enforcementcount 0 &gt;&gt;C:\Users\stu\Documents\GitHub\eaglep3-reporting\EC\2016-10-05-refined-times.txt</v>
      </c>
      <c r="AI99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{"issue":{"subject":"","project_id":79,"tracker_id":40,"status_id":1,"priority_id":2,"assigned_to_id":23,"start_date":"2016-10-05","description":"","custom_fields":[{"id":1,"name":"Subdivision","value":"EC"},{"id":4,"name":"Milepost","value":"0.0163"},{"id":17,"name":"Train ID","value":"184-05"},{"id":16,"name":"Locomotive ID","value":"4017"},{"id":130,"name":"Impact","value":""},{"id":150,"name":"Time of Event (Mountain Time)","value":"15:41:38"},{"id":151,"name":"Denver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518</v>
      </c>
      <c r="B100" s="7">
        <v>4003</v>
      </c>
      <c r="C100" s="24" t="s">
        <v>106</v>
      </c>
      <c r="D100" s="24" t="s">
        <v>199</v>
      </c>
      <c r="E100" s="15">
        <v>42648.588634259257</v>
      </c>
      <c r="F100" s="15">
        <v>42648.594189814816</v>
      </c>
      <c r="G100" s="7">
        <v>2</v>
      </c>
      <c r="H100" s="15" t="s">
        <v>645</v>
      </c>
      <c r="I100" s="15">
        <v>42648.618379629632</v>
      </c>
      <c r="J100" s="7">
        <v>0</v>
      </c>
      <c r="K100" s="117" t="str">
        <f t="shared" si="56"/>
        <v>4003/4004</v>
      </c>
      <c r="L100" s="24" t="str">
        <f>VLOOKUP(A100,'Trips&amp;Operators'!$C$1:$E$10000,3,FALSE)</f>
        <v>STAMBAUGH</v>
      </c>
      <c r="M100" s="6">
        <f t="shared" si="57"/>
        <v>2.4189814816054422E-2</v>
      </c>
      <c r="N100" s="7">
        <f t="shared" si="65"/>
        <v>34.833333335118368</v>
      </c>
      <c r="O100" s="7"/>
      <c r="P100" s="7"/>
      <c r="Q100" s="25"/>
      <c r="R100" s="25"/>
      <c r="S100" s="37">
        <f t="shared" si="66"/>
        <v>1</v>
      </c>
      <c r="T100" s="52" t="str">
        <f t="shared" si="39"/>
        <v>NorthBound</v>
      </c>
      <c r="U100" s="159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13:07:38-0600',mode:absolute,to:'2016-10-05 15:50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00" s="54" t="str">
        <f t="shared" si="59"/>
        <v>N</v>
      </c>
      <c r="X100" s="164">
        <f t="shared" si="67"/>
        <v>1</v>
      </c>
      <c r="Y100" s="69">
        <f t="shared" si="60"/>
        <v>4.5699999999999998E-2</v>
      </c>
      <c r="Z100" s="69">
        <f t="shared" si="61"/>
        <v>23.334</v>
      </c>
      <c r="AA100" s="69">
        <f t="shared" si="62"/>
        <v>23.2883</v>
      </c>
      <c r="AB100" s="66" t="e">
        <f>VLOOKUP(A100,Enforcements!$C$7:$K$21,8,0)</f>
        <v>#N/A</v>
      </c>
      <c r="AC100" s="62" t="e">
        <f>VLOOKUP(A100,Enforcements!$C$7:$E$21,3,0)</f>
        <v>#N/A</v>
      </c>
      <c r="AD100" s="63" t="str">
        <f t="shared" si="40"/>
        <v>0185-05</v>
      </c>
      <c r="AE100" s="95" t="str">
        <f t="shared" si="63"/>
        <v>aws s3 cp s3://rtdc.mdm.uploadarchive.raw/RTDC4003/ "%USERPROFILE%\AppData\Local\Temp\OnboardLogs"\RTDC4003\2016-10-05 --exclude "*" --recursive --include "*20161005*" &amp; "%USERPROFILE%\Documents\GitHub\mrs-test-scripts\Headless Mode &amp; Sideloading\WalkAndUnGZ.bat" "%USERPROFILE%\AppData\Local\Temp\OnboardLogs"\RTDC4003\2016-10-05 &amp; aws s3 cp s3://rtdc.mdm.uploadarchive.raw/RTDC4003/ "%USERPROFILE%\AppData\Local\Temp\OnboardLogs"\RTDC4003\2016-10-06 --exclude "*" --recursive --include "*20161006*" &amp; "%USERPROFILE%\Documents\GitHub\mrs-test-scripts\Headless Mode &amp; Sideloading\WalkAndUnGZ.bat" "%USERPROFILE%\AppData\Local\Temp\OnboardLogs"\RTDC4003\2016-10-06</v>
      </c>
      <c r="AF100" s="92" t="str">
        <f t="shared" si="64"/>
        <v>"C:\Program Files (x86)\AstroGrep\AstroGrep.exe" /spath="%USERPROFILE%\AppData\Local\Temp\OnboardLogs" /stypes="app*4003*20161005*" /stext=" 20:.+((SYSTEM_STATE.+slice.+state.+changed )|(ment ac)|(system.+state.+changed )|(\[timeout)|(PRM\|1\|D)|(kpr)|(kdp)|(\|lc)|(penalty))" /e /r /s</v>
      </c>
      <c r="AG100" s="1" t="str">
        <f t="shared" si="41"/>
        <v>EC</v>
      </c>
      <c r="AH100" s="96" t="str">
        <f t="shared" si="53"/>
        <v>"%USERPROFILE%\Documents\GitHub\eaglep3\Utilities\RefineRTDCRunTimes.py" --tripid 185-05 --locoid 4003 --swversion DE.1.0.7.0 --startMP 204:457 --initTime 2016-10-05T14:07:38 --startdatetime 2016-10-05T14:15:38 --delay 2 --endMP 204:233340 --enddatetime 2016-10-05T14:50:28 --enforcementcount 0 &gt;&gt;C:\Users\stu\Documents\GitHub\eaglep3-reporting\EC\2016-10-05-refined-times.txt</v>
      </c>
      <c r="AI100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{"issue":{"subject":"","project_id":79,"tracker_id":40,"status_id":1,"priority_id":2,"assigned_to_id":23,"start_date":"2016-10-05","description":"","custom_fields":[{"id":1,"name":"Subdivision","value":"EC"},{"id":4,"name":"Milepost","value":"23.334"},{"id":17,"name":"Train ID","value":"185-05"},{"id":16,"name":"Locomotive ID","value":"4003"},{"id":130,"name":"Impact","value":""},{"id":150,"name":"Time of Event (Mountain Time)","value":"14:50:28"},{"id":151,"name":"Denver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407</v>
      </c>
      <c r="B101" s="7">
        <v>4004</v>
      </c>
      <c r="C101" s="24" t="s">
        <v>106</v>
      </c>
      <c r="D101" s="24" t="s">
        <v>646</v>
      </c>
      <c r="E101" s="15">
        <v>42648.628622685188</v>
      </c>
      <c r="F101" s="15">
        <v>42648.633217592593</v>
      </c>
      <c r="G101" s="7">
        <v>1</v>
      </c>
      <c r="H101" s="15" t="s">
        <v>212</v>
      </c>
      <c r="I101" s="15">
        <v>42648.661851851852</v>
      </c>
      <c r="J101" s="7">
        <v>0</v>
      </c>
      <c r="K101" s="117" t="str">
        <f t="shared" si="56"/>
        <v>4003/4004</v>
      </c>
      <c r="L101" s="24" t="str">
        <f>VLOOKUP(A101,'Trips&amp;Operators'!$C$1:$E$10000,3,FALSE)</f>
        <v>STAMBAUGH</v>
      </c>
      <c r="M101" s="6">
        <f t="shared" si="57"/>
        <v>2.8634259258979E-2</v>
      </c>
      <c r="N101" s="7">
        <f t="shared" si="65"/>
        <v>41.23333333292976</v>
      </c>
      <c r="O101" s="7"/>
      <c r="P101" s="7"/>
      <c r="Q101" s="25"/>
      <c r="R101" s="25"/>
      <c r="S101" s="37">
        <f t="shared" si="66"/>
        <v>1</v>
      </c>
      <c r="T101" s="52" t="str">
        <f t="shared" si="39"/>
        <v>Southbound</v>
      </c>
      <c r="U101" s="159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14:05:13-0600',mode:absolute,to:'2016-10-05 16:53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01" s="54" t="str">
        <f t="shared" si="59"/>
        <v>N</v>
      </c>
      <c r="X101" s="164">
        <f t="shared" si="67"/>
        <v>1</v>
      </c>
      <c r="Y101" s="69">
        <f t="shared" si="60"/>
        <v>23.303000000000001</v>
      </c>
      <c r="Z101" s="69">
        <f t="shared" si="61"/>
        <v>1.4500000000000001E-2</v>
      </c>
      <c r="AA101" s="69">
        <f t="shared" si="62"/>
        <v>23.288499999999999</v>
      </c>
      <c r="AB101" s="66" t="str">
        <f>VLOOKUP(A101,Enforcements!$C$7:$K$21,8,0)</f>
        <v>Speed (6)</v>
      </c>
      <c r="AC101" s="62" t="str">
        <f>VLOOKUP(A101,Enforcements!$C$7:$E$21,3,0)</f>
        <v>PERMANENT SPEED RESTRICTION</v>
      </c>
      <c r="AD101" s="63" t="str">
        <f t="shared" si="40"/>
        <v>0186-05</v>
      </c>
      <c r="AE101" s="95" t="str">
        <f t="shared" si="63"/>
        <v>aws s3 cp s3://rtdc.mdm.uploadarchive.raw/RTDC4004/ "%USERPROFILE%\AppData\Local\Temp\OnboardLogs"\RTDC4004\2016-10-05 --exclude "*" --recursive --include "*20161005*" &amp; "%USERPROFILE%\Documents\GitHub\mrs-test-scripts\Headless Mode &amp; Sideloading\WalkAndUnGZ.bat" "%USERPROFILE%\AppData\Local\Temp\OnboardLogs"\RTDC4004\2016-10-05 &amp; aws s3 cp s3://rtdc.mdm.uploadarchive.raw/RTDC4004/ "%USERPROFILE%\AppData\Local\Temp\OnboardLogs"\RTDC4004\2016-10-06 --exclude "*" --recursive --include "*20161006*" &amp; "%USERPROFILE%\Documents\GitHub\mrs-test-scripts\Headless Mode &amp; Sideloading\WalkAndUnGZ.bat" "%USERPROFILE%\AppData\Local\Temp\OnboardLogs"\RTDC4004\2016-10-06</v>
      </c>
      <c r="AF101" s="92" t="str">
        <f t="shared" si="64"/>
        <v>"C:\Program Files (x86)\AstroGrep\AstroGrep.exe" /spath="%USERPROFILE%\AppData\Local\Temp\OnboardLogs" /stypes="app*4004*20161005*" /stext=" 21:.+((SYSTEM_STATE.+slice.+state.+changed )|(ment ac)|(system.+state.+changed )|(\[timeout)|(PRM\|1\|D)|(kpr)|(kdp)|(\|lc)|(penalty))" /e /r /s</v>
      </c>
      <c r="AG101" s="1" t="str">
        <f t="shared" si="41"/>
        <v>EC</v>
      </c>
      <c r="AH101" s="96" t="str">
        <f t="shared" si="53"/>
        <v>"%USERPROFILE%\Documents\GitHub\eaglep3\Utilities\RefineRTDCRunTimes.py" --tripid 186-05 --locoid 4004 --swversion DE.1.0.7.0 --startMP 204:233030 --initTime 2016-10-05T15:05:13 --startdatetime 2016-10-05T15:11:50 --delay 1 --endMP 204:145 --enddatetime 2016-10-05T15:53:04 --enforcementcount 0 &gt;&gt;C:\Users\stu\Documents\GitHub\eaglep3-reporting\EC\2016-10-05-refined-times.txt</v>
      </c>
      <c r="AI101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{"issue":{"subject":"","project_id":79,"tracker_id":40,"status_id":1,"priority_id":2,"assigned_to_id":23,"start_date":"2016-10-05","description":"","custom_fields":[{"id":1,"name":"Subdivision","value":"EC"},{"id":4,"name":"Milepost","value":"0.0145"},{"id":17,"name":"Train ID","value":"186-05"},{"id":16,"name":"Locomotive ID","value":"4004"},{"id":130,"name":"Impact","value":""},{"id":150,"name":"Time of Event (Mountain Time)","value":"15:53:04"},{"id":151,"name":"Denver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522</v>
      </c>
      <c r="B102" s="7">
        <v>4027</v>
      </c>
      <c r="C102" s="24" t="s">
        <v>106</v>
      </c>
      <c r="D102" s="24" t="s">
        <v>243</v>
      </c>
      <c r="E102" s="15">
        <v>42648.6018287037</v>
      </c>
      <c r="F102" s="15">
        <v>42648.604502314818</v>
      </c>
      <c r="G102" s="7">
        <v>1</v>
      </c>
      <c r="H102" s="15" t="s">
        <v>647</v>
      </c>
      <c r="I102" s="15">
        <v>42648.630740740744</v>
      </c>
      <c r="J102" s="7">
        <v>0</v>
      </c>
      <c r="K102" s="117" t="str">
        <f t="shared" si="56"/>
        <v>4027/4028</v>
      </c>
      <c r="L102" s="24" t="str">
        <f>VLOOKUP(A102,'Trips&amp;Operators'!$C$1:$E$10000,3,FALSE)</f>
        <v>ARVIDSON</v>
      </c>
      <c r="M102" s="6">
        <f t="shared" si="57"/>
        <v>2.6238425925839692E-2</v>
      </c>
      <c r="N102" s="7">
        <f t="shared" si="65"/>
        <v>37.783333333209157</v>
      </c>
      <c r="O102" s="7"/>
      <c r="P102" s="7"/>
      <c r="Q102" s="25"/>
      <c r="R102" s="25"/>
      <c r="S102" s="37">
        <f t="shared" si="66"/>
        <v>1</v>
      </c>
      <c r="T102" s="52" t="str">
        <f t="shared" si="39"/>
        <v>NorthBound</v>
      </c>
      <c r="U102" s="159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13:26:38-0600',mode:absolute,to:'2016-10-05 16:08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02" s="54" t="str">
        <f t="shared" si="59"/>
        <v>N</v>
      </c>
      <c r="X102" s="164">
        <f t="shared" si="67"/>
        <v>1</v>
      </c>
      <c r="Y102" s="69">
        <f t="shared" si="60"/>
        <v>4.4900000000000002E-2</v>
      </c>
      <c r="Z102" s="69">
        <f t="shared" si="61"/>
        <v>23.3355</v>
      </c>
      <c r="AA102" s="69">
        <f t="shared" si="62"/>
        <v>23.290600000000001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 t="shared" si="40"/>
        <v>0187-05</v>
      </c>
      <c r="AE102" s="95" t="str">
        <f t="shared" si="63"/>
        <v>aws s3 cp s3://rtdc.mdm.uploadarchive.raw/RTDC4027/ "%USERPROFILE%\AppData\Local\Temp\OnboardLogs"\RTDC4027\2016-10-05 --exclude "*" --recursive --include "*20161005*" &amp; "%USERPROFILE%\Documents\GitHub\mrs-test-scripts\Headless Mode &amp; Sideloading\WalkAndUnGZ.bat" "%USERPROFILE%\AppData\Local\Temp\OnboardLogs"\RTDC4027\2016-10-05 &amp; aws s3 cp s3://rtdc.mdm.uploadarchive.raw/RTDC4027/ "%USERPROFILE%\AppData\Local\Temp\OnboardLogs"\RTDC4027\2016-10-06 --exclude "*" --recursive --include "*20161006*" &amp; "%USERPROFILE%\Documents\GitHub\mrs-test-scripts\Headless Mode &amp; Sideloading\WalkAndUnGZ.bat" "%USERPROFILE%\AppData\Local\Temp\OnboardLogs"\RTDC4027\2016-10-06</v>
      </c>
      <c r="AF102" s="92" t="str">
        <f t="shared" si="64"/>
        <v>"C:\Program Files (x86)\AstroGrep\AstroGrep.exe" /spath="%USERPROFILE%\AppData\Local\Temp\OnboardLogs" /stypes="app*4027*20161005*" /stext=" 21:.+((SYSTEM_STATE.+slice.+state.+changed )|(ment ac)|(system.+state.+changed )|(\[timeout)|(PRM\|1\|D)|(kpr)|(kdp)|(\|lc)|(penalty))" /e /r /s</v>
      </c>
      <c r="AG102" s="1" t="str">
        <f t="shared" si="41"/>
        <v>EC</v>
      </c>
      <c r="AH102" s="96" t="str">
        <f t="shared" si="53"/>
        <v>"%USERPROFILE%\Documents\GitHub\eaglep3\Utilities\RefineRTDCRunTimes.py" --tripid 187-05 --locoid 4027 --swversion DE.1.0.7.0 --startMP 204:449 --initTime 2016-10-05T14:26:38 --startdatetime 2016-10-05T14:30:29 --delay 1 --endMP 204:233355 --enddatetime 2016-10-05T15:08:16 --enforcementcount 0 &gt;&gt;C:\Users\stu\Documents\GitHub\eaglep3-reporting\EC\2016-10-05-refined-times.txt</v>
      </c>
      <c r="AI102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{"issue":{"subject":"","project_id":79,"tracker_id":40,"status_id":1,"priority_id":2,"assigned_to_id":23,"start_date":"2016-10-05","description":"","custom_fields":[{"id":1,"name":"Subdivision","value":"EC"},{"id":4,"name":"Milepost","value":"23.3355"},{"id":17,"name":"Train ID","value":"187-05"},{"id":16,"name":"Locomotive ID","value":"4027"},{"id":130,"name":"Impact","value":""},{"id":150,"name":"Time of Event (Mountain Time)","value":"15:08:16"},{"id":151,"name":"Denver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529</v>
      </c>
      <c r="B103" s="7">
        <v>4028</v>
      </c>
      <c r="C103" s="24" t="s">
        <v>106</v>
      </c>
      <c r="D103" s="24" t="s">
        <v>332</v>
      </c>
      <c r="E103" s="15">
        <v>42648.638599537036</v>
      </c>
      <c r="F103" s="15">
        <v>42648.643460648149</v>
      </c>
      <c r="G103" s="7">
        <v>1</v>
      </c>
      <c r="H103" s="15" t="s">
        <v>196</v>
      </c>
      <c r="I103" s="15">
        <v>42648.674155092594</v>
      </c>
      <c r="J103" s="7">
        <v>0</v>
      </c>
      <c r="K103" s="117" t="str">
        <f t="shared" si="56"/>
        <v>4027/4028</v>
      </c>
      <c r="L103" s="24" t="str">
        <f>VLOOKUP(A103,'Trips&amp;Operators'!$C$1:$E$10000,3,FALSE)</f>
        <v>ARVIDSON</v>
      </c>
      <c r="M103" s="6">
        <f t="shared" si="57"/>
        <v>3.0694444445543922E-2</v>
      </c>
      <c r="N103" s="7">
        <f t="shared" si="65"/>
        <v>44.200000001583248</v>
      </c>
      <c r="O103" s="7"/>
      <c r="P103" s="7"/>
      <c r="Q103" s="25"/>
      <c r="R103" s="25"/>
      <c r="S103" s="37">
        <f t="shared" si="66"/>
        <v>1</v>
      </c>
      <c r="T103" s="52" t="str">
        <f t="shared" si="39"/>
        <v>Southbound</v>
      </c>
      <c r="U103" s="159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14:19:35-0600',mode:absolute,to:'2016-10-05 17:10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03" s="54" t="str">
        <f t="shared" si="59"/>
        <v>N</v>
      </c>
      <c r="X103" s="164">
        <f t="shared" si="67"/>
        <v>1</v>
      </c>
      <c r="Y103" s="69">
        <f t="shared" si="60"/>
        <v>23.301300000000001</v>
      </c>
      <c r="Z103" s="69">
        <f t="shared" si="61"/>
        <v>1.4999999999999999E-2</v>
      </c>
      <c r="AA103" s="69">
        <f t="shared" si="62"/>
        <v>23.286300000000001</v>
      </c>
      <c r="AB103" s="66" t="e">
        <f>VLOOKUP(A103,Enforcements!$C$7:$K$21,8,0)</f>
        <v>#N/A</v>
      </c>
      <c r="AC103" s="62" t="e">
        <f>VLOOKUP(A103,Enforcements!$C$7:$E$21,3,0)</f>
        <v>#N/A</v>
      </c>
      <c r="AD103" s="63" t="str">
        <f t="shared" si="40"/>
        <v>0188-05</v>
      </c>
      <c r="AE103" s="95" t="str">
        <f t="shared" si="63"/>
        <v>aws s3 cp s3://rtdc.mdm.uploadarchive.raw/RTDC4028/ "%USERPROFILE%\AppData\Local\Temp\OnboardLogs"\RTDC4028\2016-10-05 --exclude "*" --recursive --include "*20161005*" &amp; "%USERPROFILE%\Documents\GitHub\mrs-test-scripts\Headless Mode &amp; Sideloading\WalkAndUnGZ.bat" "%USERPROFILE%\AppData\Local\Temp\OnboardLogs"\RTDC4028\2016-10-05 &amp; aws s3 cp s3://rtdc.mdm.uploadarchive.raw/RTDC4028/ "%USERPROFILE%\AppData\Local\Temp\OnboardLogs"\RTDC4028\2016-10-06 --exclude "*" --recursive --include "*20161006*" &amp; "%USERPROFILE%\Documents\GitHub\mrs-test-scripts\Headless Mode &amp; Sideloading\WalkAndUnGZ.bat" "%USERPROFILE%\AppData\Local\Temp\OnboardLogs"\RTDC4028\2016-10-06</v>
      </c>
      <c r="AF103" s="92" t="str">
        <f t="shared" si="64"/>
        <v>"C:\Program Files (x86)\AstroGrep\AstroGrep.exe" /spath="%USERPROFILE%\AppData\Local\Temp\OnboardLogs" /stypes="app*4028*20161005*" /stext=" 22:.+((SYSTEM_STATE.+slice.+state.+changed )|(ment ac)|(system.+state.+changed )|(\[timeout)|(PRM\|1\|D)|(kpr)|(kdp)|(\|lc)|(penalty))" /e /r /s</v>
      </c>
      <c r="AG103" s="1" t="str">
        <f t="shared" si="41"/>
        <v>EC</v>
      </c>
      <c r="AH103" s="96" t="str">
        <f t="shared" si="53"/>
        <v>"%USERPROFILE%\Documents\GitHub\eaglep3\Utilities\RefineRTDCRunTimes.py" --tripid 188-05 --locoid 4028 --swversion DE.1.0.7.0 --startMP 204:233013 --initTime 2016-10-05T15:19:35 --startdatetime 2016-10-05T15:26:35 --delay 1 --endMP 204:150 --enddatetime 2016-10-05T16:10:47 --enforcementcount 0 &gt;&gt;C:\Users\stu\Documents\GitHub\eaglep3-reporting\EC\2016-10-05-refined-times.txt</v>
      </c>
      <c r="AI103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{"issue":{"subject":"","project_id":79,"tracker_id":40,"status_id":1,"priority_id":2,"assigned_to_id":23,"start_date":"2016-10-05","description":"","custom_fields":[{"id":1,"name":"Subdivision","value":"EC"},{"id":4,"name":"Milepost","value":"0.015"},{"id":17,"name":"Train ID","value":"188-05"},{"id":16,"name":"Locomotive ID","value":"4028"},{"id":130,"name":"Impact","value":""},{"id":150,"name":"Time of Event (Mountain Time)","value":"16:10:47"},{"id":151,"name":"Denver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526</v>
      </c>
      <c r="B104" s="7">
        <v>4016</v>
      </c>
      <c r="C104" s="24" t="s">
        <v>106</v>
      </c>
      <c r="D104" s="24" t="s">
        <v>283</v>
      </c>
      <c r="E104" s="15">
        <v>42648.616747685184</v>
      </c>
      <c r="F104" s="15">
        <v>42648.617708333331</v>
      </c>
      <c r="G104" s="7">
        <v>1</v>
      </c>
      <c r="H104" s="15" t="s">
        <v>325</v>
      </c>
      <c r="I104" s="15">
        <v>42648.642164351855</v>
      </c>
      <c r="J104" s="7">
        <v>0</v>
      </c>
      <c r="K104" s="117" t="str">
        <f t="shared" si="56"/>
        <v>4015/4016</v>
      </c>
      <c r="L104" s="24" t="str">
        <f>VLOOKUP(A104,'Trips&amp;Operators'!$C$1:$E$10000,3,FALSE)</f>
        <v>STORY</v>
      </c>
      <c r="M104" s="6">
        <f t="shared" si="57"/>
        <v>2.4456018523778766E-2</v>
      </c>
      <c r="N104" s="7">
        <f t="shared" si="65"/>
        <v>35.216666674241424</v>
      </c>
      <c r="O104" s="7"/>
      <c r="P104" s="7"/>
      <c r="Q104" s="25"/>
      <c r="R104" s="25"/>
      <c r="S104" s="37">
        <f t="shared" si="66"/>
        <v>1</v>
      </c>
      <c r="T104" s="52" t="str">
        <f t="shared" si="39"/>
        <v>NorthBound</v>
      </c>
      <c r="U104" s="159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13:48:07-0600',mode:absolute,to:'2016-10-05 16:24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4" s="54" t="str">
        <f t="shared" si="59"/>
        <v>N</v>
      </c>
      <c r="X104" s="164">
        <f t="shared" si="67"/>
        <v>1</v>
      </c>
      <c r="Y104" s="69">
        <f t="shared" si="60"/>
        <v>4.3799999999999999E-2</v>
      </c>
      <c r="Z104" s="69">
        <f t="shared" si="61"/>
        <v>23.329799999999999</v>
      </c>
      <c r="AA104" s="69">
        <f t="shared" si="62"/>
        <v>23.285999999999998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 t="shared" si="40"/>
        <v>0189-05</v>
      </c>
      <c r="AE104" s="95" t="str">
        <f t="shared" si="63"/>
        <v>aws s3 cp s3://rtdc.mdm.uploadarchive.raw/RTDC4016/ "%USERPROFILE%\AppData\Local\Temp\OnboardLogs"\RTDC4016\2016-10-05 --exclude "*" --recursive --include "*20161005*" &amp; "%USERPROFILE%\Documents\GitHub\mrs-test-scripts\Headless Mode &amp; Sideloading\WalkAndUnGZ.bat" "%USERPROFILE%\AppData\Local\Temp\OnboardLogs"\RTDC4016\2016-10-05 &amp; aws s3 cp s3://rtdc.mdm.uploadarchive.raw/RTDC4016/ "%USERPROFILE%\AppData\Local\Temp\OnboardLogs"\RTDC4016\2016-10-06 --exclude "*" --recursive --include "*20161006*" &amp; "%USERPROFILE%\Documents\GitHub\mrs-test-scripts\Headless Mode &amp; Sideloading\WalkAndUnGZ.bat" "%USERPROFILE%\AppData\Local\Temp\OnboardLogs"\RTDC4016\2016-10-06</v>
      </c>
      <c r="AF104" s="92" t="str">
        <f t="shared" si="64"/>
        <v>"C:\Program Files (x86)\AstroGrep\AstroGrep.exe" /spath="%USERPROFILE%\AppData\Local\Temp\OnboardLogs" /stypes="app*4016*20161005*" /stext=" 21:.+((SYSTEM_STATE.+slice.+state.+changed )|(ment ac)|(system.+state.+changed )|(\[timeout)|(PRM\|1\|D)|(kpr)|(kdp)|(\|lc)|(penalty))" /e /r /s</v>
      </c>
      <c r="AG104" s="1" t="str">
        <f t="shared" si="41"/>
        <v>EC</v>
      </c>
      <c r="AH104" s="96" t="str">
        <f t="shared" si="53"/>
        <v>"%USERPROFILE%\Documents\GitHub\eaglep3\Utilities\RefineRTDCRunTimes.py" --tripid 189-05 --locoid 4016 --swversion DE.1.0.7.0 --startMP 204:438 --initTime 2016-10-05T14:48:07 --startdatetime 2016-10-05T14:49:30 --delay 1 --endMP 204:233298 --enddatetime 2016-10-05T15:24:43 --enforcementcount 0 &gt;&gt;C:\Users\stu\Documents\GitHub\eaglep3-reporting\EC\2016-10-05-refined-times.txt</v>
      </c>
      <c r="AI104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{"issue":{"subject":"","project_id":79,"tracker_id":40,"status_id":1,"priority_id":2,"assigned_to_id":23,"start_date":"2016-10-05","description":"","custom_fields":[{"id":1,"name":"Subdivision","value":"EC"},{"id":4,"name":"Milepost","value":"23.3298"},{"id":17,"name":"Train ID","value":"189-05"},{"id":16,"name":"Locomotive ID","value":"4016"},{"id":130,"name":"Impact","value":""},{"id":150,"name":"Time of Event (Mountain Time)","value":"15:24:43"},{"id":151,"name":"Denver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410</v>
      </c>
      <c r="B105" s="7">
        <v>4015</v>
      </c>
      <c r="C105" s="24" t="s">
        <v>106</v>
      </c>
      <c r="D105" s="24" t="s">
        <v>276</v>
      </c>
      <c r="E105" s="15">
        <v>42648.649664351855</v>
      </c>
      <c r="F105" s="15">
        <v>42648.65384259259</v>
      </c>
      <c r="G105" s="7">
        <v>1</v>
      </c>
      <c r="H105" s="15" t="s">
        <v>196</v>
      </c>
      <c r="I105" s="15">
        <v>42648.680543981478</v>
      </c>
      <c r="J105" s="7">
        <v>0</v>
      </c>
      <c r="K105" s="117" t="str">
        <f t="shared" si="56"/>
        <v>4015/4016</v>
      </c>
      <c r="L105" s="24" t="str">
        <f>VLOOKUP(A105,'Trips&amp;Operators'!$C$1:$E$10000,3,FALSE)</f>
        <v>STORY</v>
      </c>
      <c r="M105" s="6">
        <f t="shared" si="57"/>
        <v>2.6701388887886424E-2</v>
      </c>
      <c r="N105" s="7">
        <f t="shared" si="65"/>
        <v>38.44999999855645</v>
      </c>
      <c r="O105" s="7"/>
      <c r="P105" s="7"/>
      <c r="Q105" s="25"/>
      <c r="R105" s="25"/>
      <c r="S105" s="37">
        <f t="shared" si="66"/>
        <v>1</v>
      </c>
      <c r="T105" s="52" t="str">
        <f t="shared" si="39"/>
        <v>Southbound</v>
      </c>
      <c r="U105" s="159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14:35:31-0600',mode:absolute,to:'2016-10-05 17:19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5" s="54" t="str">
        <f t="shared" si="59"/>
        <v>N</v>
      </c>
      <c r="X105" s="164">
        <f t="shared" si="67"/>
        <v>1</v>
      </c>
      <c r="Y105" s="69">
        <f t="shared" si="60"/>
        <v>23.299399999999999</v>
      </c>
      <c r="Z105" s="69">
        <f t="shared" si="61"/>
        <v>1.4999999999999999E-2</v>
      </c>
      <c r="AA105" s="69">
        <f t="shared" si="62"/>
        <v>23.284399999999998</v>
      </c>
      <c r="AB105" s="66" t="e">
        <f>VLOOKUP(A105,Enforcements!$C$7:$K$21,8,0)</f>
        <v>#N/A</v>
      </c>
      <c r="AC105" s="62" t="e">
        <f>VLOOKUP(A105,Enforcements!$C$7:$E$21,3,0)</f>
        <v>#N/A</v>
      </c>
      <c r="AD105" s="63" t="str">
        <f t="shared" si="40"/>
        <v>0190-05</v>
      </c>
      <c r="AE105" s="95" t="str">
        <f t="shared" si="63"/>
        <v>aws s3 cp s3://rtdc.mdm.uploadarchive.raw/RTDC4015/ "%USERPROFILE%\AppData\Local\Temp\OnboardLogs"\RTDC4015\2016-10-05 --exclude "*" --recursive --include "*20161005*" &amp; "%USERPROFILE%\Documents\GitHub\mrs-test-scripts\Headless Mode &amp; Sideloading\WalkAndUnGZ.bat" "%USERPROFILE%\AppData\Local\Temp\OnboardLogs"\RTDC4015\2016-10-05 &amp; aws s3 cp s3://rtdc.mdm.uploadarchive.raw/RTDC4015/ "%USERPROFILE%\AppData\Local\Temp\OnboardLogs"\RTDC4015\2016-10-06 --exclude "*" --recursive --include "*20161006*" &amp; "%USERPROFILE%\Documents\GitHub\mrs-test-scripts\Headless Mode &amp; Sideloading\WalkAndUnGZ.bat" "%USERPROFILE%\AppData\Local\Temp\OnboardLogs"\RTDC4015\2016-10-06</v>
      </c>
      <c r="AF105" s="92" t="str">
        <f t="shared" si="64"/>
        <v>"C:\Program Files (x86)\AstroGrep\AstroGrep.exe" /spath="%USERPROFILE%\AppData\Local\Temp\OnboardLogs" /stypes="app*4015*20161005*" /stext=" 22:.+((SYSTEM_STATE.+slice.+state.+changed )|(ment ac)|(system.+state.+changed )|(\[timeout)|(PRM\|1\|D)|(kpr)|(kdp)|(\|lc)|(penalty))" /e /r /s</v>
      </c>
      <c r="AG105" s="1" t="str">
        <f t="shared" si="41"/>
        <v>EC</v>
      </c>
      <c r="AH105" s="96" t="str">
        <f t="shared" si="53"/>
        <v>"%USERPROFILE%\Documents\GitHub\eaglep3\Utilities\RefineRTDCRunTimes.py" --tripid 190-05 --locoid 4015 --swversion DE.1.0.7.0 --startMP 204:232994 --initTime 2016-10-05T15:35:31 --startdatetime 2016-10-05T15:41:32 --delay 1 --endMP 204:150 --enddatetime 2016-10-05T16:19:59 --enforcementcount 0 &gt;&gt;C:\Users\stu\Documents\GitHub\eaglep3-reporting\EC\2016-10-05-refined-times.txt</v>
      </c>
      <c r="AI105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{"issue":{"subject":"","project_id":79,"tracker_id":40,"status_id":1,"priority_id":2,"assigned_to_id":23,"start_date":"2016-10-05","description":"","custom_fields":[{"id":1,"name":"Subdivision","value":"EC"},{"id":4,"name":"Milepost","value":"0.015"},{"id":17,"name":"Train ID","value":"190-05"},{"id":16,"name":"Locomotive ID","value":"4015"},{"id":130,"name":"Impact","value":""},{"id":150,"name":"Time of Event (Mountain Time)","value":"16:19:59"},{"id":151,"name":"Denver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527</v>
      </c>
      <c r="B106" s="7">
        <v>4002</v>
      </c>
      <c r="C106" s="24" t="s">
        <v>106</v>
      </c>
      <c r="D106" s="24" t="s">
        <v>648</v>
      </c>
      <c r="E106" s="15">
        <v>42648.623263888891</v>
      </c>
      <c r="F106" s="15">
        <v>42648.626481481479</v>
      </c>
      <c r="G106" s="7">
        <v>2</v>
      </c>
      <c r="H106" s="15" t="s">
        <v>229</v>
      </c>
      <c r="I106" s="15">
        <v>42648.652106481481</v>
      </c>
      <c r="J106" s="7">
        <v>0</v>
      </c>
      <c r="K106" s="117" t="str">
        <f t="shared" si="56"/>
        <v>4001/4002</v>
      </c>
      <c r="L106" s="24" t="str">
        <f>VLOOKUP(A106,'Trips&amp;Operators'!$C$1:$E$10000,3,FALSE)</f>
        <v>HILLS</v>
      </c>
      <c r="M106" s="6">
        <f t="shared" si="57"/>
        <v>2.5625000002037268E-2</v>
      </c>
      <c r="N106" s="7">
        <f t="shared" si="65"/>
        <v>36.900000002933666</v>
      </c>
      <c r="O106" s="7"/>
      <c r="P106" s="7"/>
      <c r="Q106" s="25"/>
      <c r="R106" s="25"/>
      <c r="S106" s="37">
        <f t="shared" si="66"/>
        <v>1</v>
      </c>
      <c r="T106" s="52" t="str">
        <f t="shared" si="39"/>
        <v>NorthBound</v>
      </c>
      <c r="U106" s="159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13:57:30-0600',mode:absolute,to:'2016-10-05 16:39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6" s="54" t="str">
        <f t="shared" si="59"/>
        <v>N</v>
      </c>
      <c r="X106" s="164">
        <f t="shared" si="67"/>
        <v>1</v>
      </c>
      <c r="Y106" s="69">
        <f t="shared" si="60"/>
        <v>0.14940000000000001</v>
      </c>
      <c r="Z106" s="69">
        <f t="shared" si="61"/>
        <v>23.328800000000001</v>
      </c>
      <c r="AA106" s="69">
        <f t="shared" si="62"/>
        <v>23.179400000000001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 t="shared" si="40"/>
        <v>0191-05</v>
      </c>
      <c r="AE106" s="95" t="str">
        <f t="shared" si="63"/>
        <v>aws s3 cp s3://rtdc.mdm.uploadarchive.raw/RTDC4002/ "%USERPROFILE%\AppData\Local\Temp\OnboardLogs"\RTDC4002\2016-10-05 --exclude "*" --recursive --include "*20161005*" &amp; "%USERPROFILE%\Documents\GitHub\mrs-test-scripts\Headless Mode &amp; Sideloading\WalkAndUnGZ.bat" "%USERPROFILE%\AppData\Local\Temp\OnboardLogs"\RTDC4002\2016-10-05 &amp; aws s3 cp s3://rtdc.mdm.uploadarchive.raw/RTDC4002/ "%USERPROFILE%\AppData\Local\Temp\OnboardLogs"\RTDC4002\2016-10-06 --exclude "*" --recursive --include "*20161006*" &amp; "%USERPROFILE%\Documents\GitHub\mrs-test-scripts\Headless Mode &amp; Sideloading\WalkAndUnGZ.bat" "%USERPROFILE%\AppData\Local\Temp\OnboardLogs"\RTDC4002\2016-10-06</v>
      </c>
      <c r="AF106" s="92" t="str">
        <f t="shared" si="64"/>
        <v>"C:\Program Files (x86)\AstroGrep\AstroGrep.exe" /spath="%USERPROFILE%\AppData\Local\Temp\OnboardLogs" /stypes="app*4002*20161005*" /stext=" 21:.+((SYSTEM_STATE.+slice.+state.+changed )|(ment ac)|(system.+state.+changed )|(\[timeout)|(PRM\|1\|D)|(kpr)|(kdp)|(\|lc)|(penalty))" /e /r /s</v>
      </c>
      <c r="AG106" s="1" t="str">
        <f t="shared" si="41"/>
        <v>EC</v>
      </c>
      <c r="AH106" s="96" t="str">
        <f t="shared" si="53"/>
        <v>"%USERPROFILE%\Documents\GitHub\eaglep3\Utilities\RefineRTDCRunTimes.py" --tripid 191-05 --locoid 4002 --swversion DE.1.0.7.0 --startMP 204:1494 --initTime 2016-10-05T14:57:30 --startdatetime 2016-10-05T15:02:08 --delay 2 --endMP 204:233288 --enddatetime 2016-10-05T15:39:02 --enforcementcount 0 &gt;&gt;C:\Users\stu\Documents\GitHub\eaglep3-reporting\EC\2016-10-05-refined-times.txt</v>
      </c>
      <c r="AI106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{"issue":{"subject":"","project_id":79,"tracker_id":40,"status_id":1,"priority_id":2,"assigned_to_id":23,"start_date":"2016-10-05","description":"","custom_fields":[{"id":1,"name":"Subdivision","value":"EC"},{"id":4,"name":"Milepost","value":"23.3288"},{"id":17,"name":"Train ID","value":"191-05"},{"id":16,"name":"Locomotive ID","value":"4002"},{"id":130,"name":"Impact","value":""},{"id":150,"name":"Time of Event (Mountain Time)","value":"15:39:02"},{"id":151,"name":"Denver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532</v>
      </c>
      <c r="B107" s="7">
        <v>4001</v>
      </c>
      <c r="C107" s="24" t="s">
        <v>106</v>
      </c>
      <c r="D107" s="24" t="s">
        <v>279</v>
      </c>
      <c r="E107" s="15">
        <v>42648.656435185185</v>
      </c>
      <c r="F107" s="15">
        <v>42648.664768518516</v>
      </c>
      <c r="G107" s="7">
        <v>1</v>
      </c>
      <c r="H107" s="15" t="s">
        <v>196</v>
      </c>
      <c r="I107" s="15">
        <v>42648.692719907405</v>
      </c>
      <c r="J107" s="7">
        <v>0</v>
      </c>
      <c r="K107" s="117" t="str">
        <f t="shared" si="56"/>
        <v>4001/4002</v>
      </c>
      <c r="L107" s="24" t="str">
        <f>VLOOKUP(A107,'Trips&amp;Operators'!$C$1:$E$10000,3,FALSE)</f>
        <v>HILLS</v>
      </c>
      <c r="M107" s="6">
        <f t="shared" si="57"/>
        <v>2.7951388889050577E-2</v>
      </c>
      <c r="N107" s="7">
        <f t="shared" si="65"/>
        <v>40.250000000232831</v>
      </c>
      <c r="O107" s="7"/>
      <c r="P107" s="7"/>
      <c r="Q107" s="25"/>
      <c r="R107" s="25"/>
      <c r="S107" s="37">
        <f t="shared" si="66"/>
        <v>1</v>
      </c>
      <c r="T107" s="52" t="str">
        <f t="shared" si="39"/>
        <v>Southbound</v>
      </c>
      <c r="U107" s="159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14:45:16-0600',mode:absolute,to:'2016-10-05 17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7" s="54" t="str">
        <f t="shared" si="59"/>
        <v>N</v>
      </c>
      <c r="X107" s="164">
        <f t="shared" si="67"/>
        <v>1</v>
      </c>
      <c r="Y107" s="69">
        <f t="shared" si="60"/>
        <v>23.297499999999999</v>
      </c>
      <c r="Z107" s="69">
        <f t="shared" si="61"/>
        <v>1.4999999999999999E-2</v>
      </c>
      <c r="AA107" s="69">
        <f t="shared" si="62"/>
        <v>23.282499999999999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 t="shared" si="40"/>
        <v>0192-05</v>
      </c>
      <c r="AE107" s="95" t="str">
        <f t="shared" si="63"/>
        <v>aws s3 cp s3://rtdc.mdm.uploadarchive.raw/RTDC4001/ "%USERPROFILE%\AppData\Local\Temp\OnboardLogs"\RTDC4001\2016-10-05 --exclude "*" --recursive --include "*20161005*" &amp; "%USERPROFILE%\Documents\GitHub\mrs-test-scripts\Headless Mode &amp; Sideloading\WalkAndUnGZ.bat" "%USERPROFILE%\AppData\Local\Temp\OnboardLogs"\RTDC4001\2016-10-05 &amp; aws s3 cp s3://rtdc.mdm.uploadarchive.raw/RTDC4001/ "%USERPROFILE%\AppData\Local\Temp\OnboardLogs"\RTDC4001\2016-10-06 --exclude "*" --recursive --include "*20161006*" &amp; "%USERPROFILE%\Documents\GitHub\mrs-test-scripts\Headless Mode &amp; Sideloading\WalkAndUnGZ.bat" "%USERPROFILE%\AppData\Local\Temp\OnboardLogs"\RTDC4001\2016-10-06</v>
      </c>
      <c r="AF107" s="92" t="str">
        <f t="shared" si="64"/>
        <v>"C:\Program Files (x86)\AstroGrep\AstroGrep.exe" /spath="%USERPROFILE%\AppData\Local\Temp\OnboardLogs" /stypes="app*4001*20161005*" /stext=" 22:.+((SYSTEM_STATE.+slice.+state.+changed )|(ment ac)|(system.+state.+changed )|(\[timeout)|(PRM\|1\|D)|(kpr)|(kdp)|(\|lc)|(penalty))" /e /r /s</v>
      </c>
      <c r="AG107" s="1" t="str">
        <f t="shared" si="41"/>
        <v>EC</v>
      </c>
      <c r="AH107" s="96" t="str">
        <f t="shared" si="53"/>
        <v>"%USERPROFILE%\Documents\GitHub\eaglep3\Utilities\RefineRTDCRunTimes.py" --tripid 192-05 --locoid 4001 --swversion DE.1.0.7.0 --startMP 204:232975 --initTime 2016-10-05T15:45:16 --startdatetime 2016-10-05T15:57:16 --delay 1 --endMP 204:150 --enddatetime 2016-10-05T16:37:31 --enforcementcount 0 &gt;&gt;C:\Users\stu\Documents\GitHub\eaglep3-reporting\EC\2016-10-05-refined-times.txt</v>
      </c>
      <c r="AI107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{"issue":{"subject":"","project_id":79,"tracker_id":40,"status_id":1,"priority_id":2,"assigned_to_id":23,"start_date":"2016-10-05","description":"","custom_fields":[{"id":1,"name":"Subdivision","value":"EC"},{"id":4,"name":"Milepost","value":"0.015"},{"id":17,"name":"Train ID","value":"192-05"},{"id":16,"name":"Locomotive ID","value":"4001"},{"id":130,"name":"Impact","value":""},{"id":150,"name":"Time of Event (Mountain Time)","value":"16:37:31"},{"id":151,"name":"Denver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412</v>
      </c>
      <c r="B108" s="7">
        <v>4009</v>
      </c>
      <c r="C108" s="24" t="s">
        <v>106</v>
      </c>
      <c r="D108" s="24" t="s">
        <v>293</v>
      </c>
      <c r="E108" s="15">
        <v>42648.638599537036</v>
      </c>
      <c r="F108" s="15">
        <v>42648.640370370369</v>
      </c>
      <c r="G108" s="7">
        <v>1</v>
      </c>
      <c r="H108" s="15" t="s">
        <v>649</v>
      </c>
      <c r="I108" s="15">
        <v>42648.66810185185</v>
      </c>
      <c r="J108" s="7">
        <v>0</v>
      </c>
      <c r="K108" s="117" t="str">
        <f t="shared" si="56"/>
        <v>4009/4010</v>
      </c>
      <c r="L108" s="24" t="str">
        <f>VLOOKUP(A108,'Trips&amp;Operators'!$C$1:$E$10000,3,FALSE)</f>
        <v>BONDS</v>
      </c>
      <c r="M108" s="6">
        <f t="shared" si="57"/>
        <v>2.7731481481168885E-2</v>
      </c>
      <c r="N108" s="7">
        <f t="shared" si="65"/>
        <v>39.933333332883194</v>
      </c>
      <c r="O108" s="7"/>
      <c r="P108" s="7"/>
      <c r="Q108" s="25"/>
      <c r="R108" s="25"/>
      <c r="S108" s="37">
        <f t="shared" si="66"/>
        <v>1</v>
      </c>
      <c r="T108" s="52" t="str">
        <f t="shared" si="39"/>
        <v>NorthBound</v>
      </c>
      <c r="U108" s="159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14:19:35-0600',mode:absolute,to:'2016-10-05 17:02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8" s="54" t="str">
        <f t="shared" si="59"/>
        <v>N</v>
      </c>
      <c r="X108" s="164">
        <f t="shared" si="67"/>
        <v>1</v>
      </c>
      <c r="Y108" s="69">
        <f t="shared" si="60"/>
        <v>4.8000000000000001E-2</v>
      </c>
      <c r="Z108" s="69">
        <f t="shared" si="61"/>
        <v>23.323399999999999</v>
      </c>
      <c r="AA108" s="69">
        <f t="shared" si="62"/>
        <v>23.275400000000001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 t="shared" si="40"/>
        <v>0193-05</v>
      </c>
      <c r="AE108" s="95" t="str">
        <f t="shared" si="63"/>
        <v>aws s3 cp s3://rtdc.mdm.uploadarchive.raw/RTDC4009/ "%USERPROFILE%\AppData\Local\Temp\OnboardLogs"\RTDC4009\2016-10-05 --exclude "*" --recursive --include "*20161005*" &amp; "%USERPROFILE%\Documents\GitHub\mrs-test-scripts\Headless Mode &amp; Sideloading\WalkAndUnGZ.bat" "%USERPROFILE%\AppData\Local\Temp\OnboardLogs"\RTDC4009\2016-10-05 &amp; aws s3 cp s3://rtdc.mdm.uploadarchive.raw/RTDC4009/ "%USERPROFILE%\AppData\Local\Temp\OnboardLogs"\RTDC4009\2016-10-06 --exclude "*" --recursive --include "*20161006*" &amp; "%USERPROFILE%\Documents\GitHub\mrs-test-scripts\Headless Mode &amp; Sideloading\WalkAndUnGZ.bat" "%USERPROFILE%\AppData\Local\Temp\OnboardLogs"\RTDC4009\2016-10-06</v>
      </c>
      <c r="AF108" s="92" t="str">
        <f t="shared" si="64"/>
        <v>"C:\Program Files (x86)\AstroGrep\AstroGrep.exe" /spath="%USERPROFILE%\AppData\Local\Temp\OnboardLogs" /stypes="app*4009*20161005*" /stext=" 22:.+((SYSTEM_STATE.+slice.+state.+changed )|(ment ac)|(system.+state.+changed )|(\[timeout)|(PRM\|1\|D)|(kpr)|(kdp)|(\|lc)|(penalty))" /e /r /s</v>
      </c>
      <c r="AG108" s="1" t="str">
        <f t="shared" si="41"/>
        <v>EC</v>
      </c>
      <c r="AH108" s="96" t="str">
        <f t="shared" si="53"/>
        <v>"%USERPROFILE%\Documents\GitHub\eaglep3\Utilities\RefineRTDCRunTimes.py" --tripid 193-05 --locoid 4009 --swversion DE.1.0.7.0 --startMP 204:480 --initTime 2016-10-05T15:19:35 --startdatetime 2016-10-05T15:22:08 --delay 1 --endMP 204:233234 --enddatetime 2016-10-05T16:02:04 --enforcementcount 0 &gt;&gt;C:\Users\stu\Documents\GitHub\eaglep3-reporting\EC\2016-10-05-refined-times.txt</v>
      </c>
      <c r="AI108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{"issue":{"subject":"","project_id":79,"tracker_id":40,"status_id":1,"priority_id":2,"assigned_to_id":23,"start_date":"2016-10-05","description":"","custom_fields":[{"id":1,"name":"Subdivision","value":"EC"},{"id":4,"name":"Milepost","value":"23.3234"},{"id":17,"name":"Train ID","value":"193-05"},{"id":16,"name":"Locomotive ID","value":"4009"},{"id":130,"name":"Impact","value":""},{"id":150,"name":"Time of Event (Mountain Time)","value":"16:02:04"},{"id":151,"name":"Denver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414</v>
      </c>
      <c r="B109" s="7">
        <v>4010</v>
      </c>
      <c r="C109" s="24" t="s">
        <v>106</v>
      </c>
      <c r="D109" s="24" t="s">
        <v>650</v>
      </c>
      <c r="E109" s="15">
        <v>42648.669907407406</v>
      </c>
      <c r="F109" s="15">
        <v>42648.674571759257</v>
      </c>
      <c r="G109" s="7">
        <v>1</v>
      </c>
      <c r="H109" s="15" t="s">
        <v>198</v>
      </c>
      <c r="I109" s="15">
        <v>42648.703587962962</v>
      </c>
      <c r="J109" s="7">
        <v>0</v>
      </c>
      <c r="K109" s="117" t="str">
        <f t="shared" si="56"/>
        <v>4009/4010</v>
      </c>
      <c r="L109" s="24" t="str">
        <f>VLOOKUP(A109,'Trips&amp;Operators'!$C$1:$E$10000,3,FALSE)</f>
        <v>BONDS</v>
      </c>
      <c r="M109" s="6">
        <f t="shared" si="57"/>
        <v>2.9016203705396038E-2</v>
      </c>
      <c r="N109" s="7">
        <f t="shared" si="65"/>
        <v>41.783333335770294</v>
      </c>
      <c r="O109" s="7"/>
      <c r="P109" s="7"/>
      <c r="Q109" s="25"/>
      <c r="R109" s="25"/>
      <c r="S109" s="37">
        <f t="shared" si="66"/>
        <v>1</v>
      </c>
      <c r="T109" s="52" t="str">
        <f t="shared" si="39"/>
        <v>Southbound</v>
      </c>
      <c r="U109" s="159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15:04:40-0600',mode:absolute,to:'2016-10-05 17:53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09" s="54" t="str">
        <f t="shared" si="59"/>
        <v>N</v>
      </c>
      <c r="X109" s="164">
        <f t="shared" si="67"/>
        <v>1</v>
      </c>
      <c r="Y109" s="69">
        <f t="shared" si="60"/>
        <v>23.291899999999998</v>
      </c>
      <c r="Z109" s="69">
        <f t="shared" si="61"/>
        <v>1.52E-2</v>
      </c>
      <c r="AA109" s="69">
        <f t="shared" si="62"/>
        <v>23.276699999999998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 t="shared" si="40"/>
        <v>0194-05</v>
      </c>
      <c r="AE109" s="95" t="str">
        <f t="shared" si="63"/>
        <v>aws s3 cp s3://rtdc.mdm.uploadarchive.raw/RTDC4010/ "%USERPROFILE%\AppData\Local\Temp\OnboardLogs"\RTDC4010\2016-10-05 --exclude "*" --recursive --include "*20161005*" &amp; "%USERPROFILE%\Documents\GitHub\mrs-test-scripts\Headless Mode &amp; Sideloading\WalkAndUnGZ.bat" "%USERPROFILE%\AppData\Local\Temp\OnboardLogs"\RTDC4010\2016-10-05 &amp; aws s3 cp s3://rtdc.mdm.uploadarchive.raw/RTDC4010/ "%USERPROFILE%\AppData\Local\Temp\OnboardLogs"\RTDC4010\2016-10-06 --exclude "*" --recursive --include "*20161006*" &amp; "%USERPROFILE%\Documents\GitHub\mrs-test-scripts\Headless Mode &amp; Sideloading\WalkAndUnGZ.bat" "%USERPROFILE%\AppData\Local\Temp\OnboardLogs"\RTDC4010\2016-10-06</v>
      </c>
      <c r="AF109" s="92" t="str">
        <f t="shared" si="64"/>
        <v>"C:\Program Files (x86)\AstroGrep\AstroGrep.exe" /spath="%USERPROFILE%\AppData\Local\Temp\OnboardLogs" /stypes="app*4010*20161005*" /stext=" 22:.+((SYSTEM_STATE.+slice.+state.+changed )|(ment ac)|(system.+state.+changed )|(\[timeout)|(PRM\|1\|D)|(kpr)|(kdp)|(\|lc)|(penalty))" /e /r /s</v>
      </c>
      <c r="AG109" s="1" t="str">
        <f t="shared" si="41"/>
        <v>EC</v>
      </c>
      <c r="AH109" s="96" t="str">
        <f t="shared" si="53"/>
        <v>"%USERPROFILE%\Documents\GitHub\eaglep3\Utilities\RefineRTDCRunTimes.py" --tripid 194-05 --locoid 4010 --swversion DE.1.0.7.0 --startMP 204:232919 --initTime 2016-10-05T16:04:40 --startdatetime 2016-10-05T16:11:23 --delay 1 --endMP 204:152 --enddatetime 2016-10-05T16:53:10 --enforcementcount 0 &gt;&gt;C:\Users\stu\Documents\GitHub\eaglep3-reporting\EC\2016-10-05-refined-times.txt</v>
      </c>
      <c r="AI109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{"issue":{"subject":"","project_id":79,"tracker_id":40,"status_id":1,"priority_id":2,"assigned_to_id":23,"start_date":"2016-10-05","description":"","custom_fields":[{"id":1,"name":"Subdivision","value":"EC"},{"id":4,"name":"Milepost","value":"0.0152"},{"id":17,"name":"Train ID","value":"194-05"},{"id":16,"name":"Locomotive ID","value":"4010"},{"id":130,"name":"Impact","value":""},{"id":150,"name":"Time of Event (Mountain Time)","value":"16:53:10"},{"id":151,"name":"Denver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530</v>
      </c>
      <c r="B110" s="7">
        <v>4007</v>
      </c>
      <c r="C110" s="24" t="s">
        <v>106</v>
      </c>
      <c r="D110" s="24" t="s">
        <v>195</v>
      </c>
      <c r="E110" s="15">
        <v>42648.641504629632</v>
      </c>
      <c r="F110" s="15">
        <v>42648.72216435185</v>
      </c>
      <c r="G110" s="7">
        <v>2</v>
      </c>
      <c r="H110" s="15" t="s">
        <v>195</v>
      </c>
      <c r="I110" s="15">
        <v>42648.747291666667</v>
      </c>
      <c r="J110" s="7">
        <v>0</v>
      </c>
      <c r="K110" s="117" t="str">
        <f t="shared" si="56"/>
        <v>4007/4008</v>
      </c>
      <c r="L110" s="24" t="str">
        <f>VLOOKUP(A110,'Trips&amp;Operators'!$C$1:$E$10000,3,FALSE)</f>
        <v>CRAYTON</v>
      </c>
      <c r="M110" s="6">
        <f t="shared" si="57"/>
        <v>2.5127314816927537E-2</v>
      </c>
      <c r="N110" s="7"/>
      <c r="O110" s="7"/>
      <c r="P110" s="7">
        <f>24*60*SUM($M110:$M110)</f>
        <v>36.183333336375654</v>
      </c>
      <c r="Q110" s="25"/>
      <c r="R110" s="25" t="s">
        <v>281</v>
      </c>
      <c r="S110" s="37">
        <f t="shared" si="66"/>
        <v>0</v>
      </c>
      <c r="T110" s="52" t="str">
        <f t="shared" si="39"/>
        <v>NorthBound</v>
      </c>
      <c r="U110" s="159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0</v>
      </c>
      <c r="V110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14:23:46-0600',mode:absolute,to:'2016-10-05 18:56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0" s="54" t="str">
        <f t="shared" si="59"/>
        <v>Y</v>
      </c>
      <c r="X110" s="164">
        <f t="shared" si="67"/>
        <v>1</v>
      </c>
      <c r="Y110" s="69">
        <f t="shared" si="60"/>
        <v>4.53E-2</v>
      </c>
      <c r="Z110" s="69">
        <f t="shared" si="61"/>
        <v>4.53E-2</v>
      </c>
      <c r="AA110" s="69">
        <f t="shared" si="62"/>
        <v>0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 t="shared" si="40"/>
        <v>0195-05</v>
      </c>
      <c r="AE110" s="95" t="str">
        <f t="shared" si="63"/>
        <v>aws s3 cp s3://rtdc.mdm.uploadarchive.raw/RTDC4007/ "%USERPROFILE%\AppData\Local\Temp\OnboardLogs"\RTDC4007\2016-10-05 --exclude "*" --recursive --include "*20161005*" &amp; "%USERPROFILE%\Documents\GitHub\mrs-test-scripts\Headless Mode &amp; Sideloading\WalkAndUnGZ.bat" "%USERPROFILE%\AppData\Local\Temp\OnboardLogs"\RTDC4007\2016-10-05 &amp; 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</v>
      </c>
      <c r="AF110" s="92" t="str">
        <f t="shared" si="64"/>
        <v>"C:\Program Files (x86)\AstroGrep\AstroGrep.exe" /spath="%USERPROFILE%\AppData\Local\Temp\OnboardLogs" /stypes="app*4007*20161005*" /stext=" 23:.+((SYSTEM_STATE.+slice.+state.+changed )|(ment ac)|(system.+state.+changed )|(\[timeout)|(PRM\|1\|D)|(kpr)|(kdp)|(\|lc)|(penalty))" /e /r /s</v>
      </c>
      <c r="AG110" s="1" t="str">
        <f t="shared" si="41"/>
        <v>EC</v>
      </c>
      <c r="AH110" s="96" t="str">
        <f t="shared" si="53"/>
        <v>"%USERPROFILE%\Documents\GitHub\eaglep3\Utilities\RefineRTDCRunTimes.py" --tripid 195-05 --locoid 4007 --swversion DE.1.0.7.0 --startMP 204:453 --initTime 2016-10-05T15:23:46 --startdatetime 2016-10-05T17:19:55 --delay 2 --endMP 204:453 --enddatetime 2016-10-05T17:56:06 --enforcementcount 0 &gt;&gt;C:\Users\stu\Documents\GitHub\eaglep3-reporting\EC\2016-10-05-refined-times.txt</v>
      </c>
      <c r="AI110" s="130" t="str">
        <f t="shared" si="54"/>
        <v>echo {"issue":{"subject":"Onboard in-route failure","project_id":79,"tracker_id":40,"status_id":1,"priority_id":2,"assigned_to_id":23,"start_date":"2016-10-05","description":"Multiple CPU faults around 2016-10-05 15:25:34.000 ","custom_fields":[{"id":1,"name":"Subdivision","value":"EC"},{"id":4,"name":"Milepost","value":"0.0453"},{"id":17,"name":"Train ID","value":"195-05"},{"id":16,"name":"Locomotive ID","value":"4007"},{"id":130,"name":"Impact","value":"Failed State"},{"id":150,"name":"Time of Event (Mountain Time)","value":"17:56:06"},{"id":151,"name":"Denver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10" s="55" t="s">
        <v>770</v>
      </c>
      <c r="AK110" s="55" t="s">
        <v>137</v>
      </c>
      <c r="AL110" s="55" t="s">
        <v>207</v>
      </c>
    </row>
    <row r="111" spans="1:38" x14ac:dyDescent="0.25">
      <c r="A111" s="39" t="s">
        <v>537</v>
      </c>
      <c r="B111" s="7">
        <v>4008</v>
      </c>
      <c r="C111" s="24" t="s">
        <v>106</v>
      </c>
      <c r="D111" s="24" t="s">
        <v>639</v>
      </c>
      <c r="E111" s="15">
        <v>42648.683113425926</v>
      </c>
      <c r="F111" s="15">
        <v>42648.684861111113</v>
      </c>
      <c r="G111" s="7">
        <v>1</v>
      </c>
      <c r="H111" s="15" t="s">
        <v>126</v>
      </c>
      <c r="I111" s="15">
        <v>42648.715798611112</v>
      </c>
      <c r="J111" s="7">
        <v>0</v>
      </c>
      <c r="K111" s="117" t="str">
        <f t="shared" si="56"/>
        <v>4007/4008</v>
      </c>
      <c r="L111" s="24" t="str">
        <f>VLOOKUP(A111,'Trips&amp;Operators'!$C$1:$E$10000,3,FALSE)</f>
        <v>CRAYTON</v>
      </c>
      <c r="M111" s="6">
        <f t="shared" si="57"/>
        <v>3.0937499999708962E-2</v>
      </c>
      <c r="N111" s="7">
        <f t="shared" ref="N111:N133" si="68">24*60*SUM($M111:$M111)</f>
        <v>44.549999999580905</v>
      </c>
      <c r="O111" s="7"/>
      <c r="P111" s="7"/>
      <c r="Q111" s="25"/>
      <c r="R111" s="25"/>
      <c r="S111" s="37">
        <f t="shared" si="66"/>
        <v>1</v>
      </c>
      <c r="T111" s="52" t="str">
        <f t="shared" si="39"/>
        <v>Southbound</v>
      </c>
      <c r="U111" s="159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15:23:41-0600',mode:absolute,to:'2016-10-05 18:10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1" s="54" t="str">
        <f t="shared" si="59"/>
        <v>N</v>
      </c>
      <c r="X111" s="164">
        <f t="shared" si="67"/>
        <v>1</v>
      </c>
      <c r="Y111" s="69">
        <f t="shared" si="60"/>
        <v>23.2987</v>
      </c>
      <c r="Z111" s="69">
        <f t="shared" si="61"/>
        <v>1.54E-2</v>
      </c>
      <c r="AA111" s="69">
        <f t="shared" si="62"/>
        <v>23.283300000000001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 t="shared" si="40"/>
        <v>0196-05</v>
      </c>
      <c r="AE111" s="95" t="str">
        <f t="shared" si="63"/>
        <v>aws s3 cp s3://rtdc.mdm.uploadarchive.raw/RTDC4008/ "%USERPROFILE%\AppData\Local\Temp\OnboardLogs"\RTDC4008\2016-10-05 --exclude "*" --recursive --include "*20161005*" &amp; "%USERPROFILE%\Documents\GitHub\mrs-test-scripts\Headless Mode &amp; Sideloading\WalkAndUnGZ.bat" "%USERPROFILE%\AppData\Local\Temp\OnboardLogs"\RTDC4008\2016-10-05 &amp; 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</v>
      </c>
      <c r="AF111" s="92" t="str">
        <f t="shared" si="64"/>
        <v>"C:\Program Files (x86)\AstroGrep\AstroGrep.exe" /spath="%USERPROFILE%\AppData\Local\Temp\OnboardLogs" /stypes="app*4008*20161005*" /stext=" 23:.+((SYSTEM_STATE.+slice.+state.+changed )|(ment ac)|(system.+state.+changed )|(\[timeout)|(PRM\|1\|D)|(kpr)|(kdp)|(\|lc)|(penalty))" /e /r /s</v>
      </c>
      <c r="AG111" s="1" t="str">
        <f t="shared" si="41"/>
        <v>EC</v>
      </c>
      <c r="AH111" s="96" t="str">
        <f t="shared" si="53"/>
        <v>"%USERPROFILE%\Documents\GitHub\eaglep3\Utilities\RefineRTDCRunTimes.py" --tripid 196-05 --locoid 4008 --swversion DE.1.0.7.0 --startMP 204:232987 --initTime 2016-10-05T16:23:41 --startdatetime 2016-10-05T16:26:12 --delay 1 --endMP 204:154 --enddatetime 2016-10-05T17:10:45 --enforcementcount 0 &gt;&gt;C:\Users\stu\Documents\GitHub\eaglep3-reporting\EC\2016-10-05-refined-times.txt</v>
      </c>
      <c r="AI111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{"issue":{"subject":"","project_id":79,"tracker_id":40,"status_id":1,"priority_id":2,"assigned_to_id":23,"start_date":"2016-10-05","description":"","custom_fields":[{"id":1,"name":"Subdivision","value":"EC"},{"id":4,"name":"Milepost","value":"0.0154"},{"id":17,"name":"Train ID","value":"196-05"},{"id":16,"name":"Locomotive ID","value":"4008"},{"id":130,"name":"Impact","value":""},{"id":150,"name":"Time of Event (Mountain Time)","value":"17:10:45"},{"id":151,"name":"Denver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531</v>
      </c>
      <c r="B112" s="7">
        <v>4018</v>
      </c>
      <c r="C112" s="24" t="s">
        <v>106</v>
      </c>
      <c r="D112" s="24" t="s">
        <v>293</v>
      </c>
      <c r="E112" s="15">
        <v>42648.655891203707</v>
      </c>
      <c r="F112" s="15">
        <v>42648.657430555555</v>
      </c>
      <c r="G112" s="7">
        <v>1</v>
      </c>
      <c r="H112" s="15" t="s">
        <v>284</v>
      </c>
      <c r="I112" s="15">
        <v>42648.684155092589</v>
      </c>
      <c r="J112" s="7">
        <v>0</v>
      </c>
      <c r="K112" s="117" t="str">
        <f t="shared" si="56"/>
        <v>4017/4018</v>
      </c>
      <c r="L112" s="24" t="str">
        <f>VLOOKUP(A112,'Trips&amp;Operators'!$C$1:$E$10000,3,FALSE)</f>
        <v>BROWN</v>
      </c>
      <c r="M112" s="6">
        <f t="shared" si="57"/>
        <v>2.6724537034169771E-2</v>
      </c>
      <c r="N112" s="7">
        <f t="shared" si="68"/>
        <v>38.48333332920447</v>
      </c>
      <c r="O112" s="7"/>
      <c r="P112" s="7"/>
      <c r="Q112" s="25"/>
      <c r="R112" s="25"/>
      <c r="S112" s="37">
        <f t="shared" si="66"/>
        <v>1</v>
      </c>
      <c r="T112" s="52" t="str">
        <f t="shared" si="39"/>
        <v>NorthBound</v>
      </c>
      <c r="U112" s="159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14:44:29-0600',mode:absolute,to:'2016-10-05 17:25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2" s="54" t="str">
        <f t="shared" si="59"/>
        <v>N</v>
      </c>
      <c r="X112" s="164">
        <f t="shared" si="67"/>
        <v>1</v>
      </c>
      <c r="Y112" s="69">
        <f t="shared" si="60"/>
        <v>4.8000000000000001E-2</v>
      </c>
      <c r="Z112" s="69">
        <f t="shared" si="61"/>
        <v>23.329499999999999</v>
      </c>
      <c r="AA112" s="69">
        <f t="shared" si="62"/>
        <v>23.281500000000001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 t="shared" si="40"/>
        <v>0197-05</v>
      </c>
      <c r="AE112" s="95" t="str">
        <f t="shared" si="63"/>
        <v>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 &amp; aws s3 cp s3://rtdc.mdm.uploadarchive.raw/RTDC4018/ "%USERPROFILE%\AppData\Local\Temp\OnboardLogs"\RTDC4018\2016-10-06 --exclude "*" --recursive --include "*20161006*" &amp; "%USERPROFILE%\Documents\GitHub\mrs-test-scripts\Headless Mode &amp; Sideloading\WalkAndUnGZ.bat" "%USERPROFILE%\AppData\Local\Temp\OnboardLogs"\RTDC4018\2016-10-06</v>
      </c>
      <c r="AF112" s="92" t="str">
        <f t="shared" si="64"/>
        <v>"C:\Program Files (x86)\AstroGrep\AstroGrep.exe" /spath="%USERPROFILE%\AppData\Local\Temp\OnboardLogs" /stypes="app*4018*20161005*" /stext=" 22:.+((SYSTEM_STATE.+slice.+state.+changed )|(ment ac)|(system.+state.+changed )|(\[timeout)|(PRM\|1\|D)|(kpr)|(kdp)|(\|lc)|(penalty))" /e /r /s</v>
      </c>
      <c r="AG112" s="1" t="str">
        <f t="shared" si="41"/>
        <v>EC</v>
      </c>
      <c r="AH112" s="96" t="str">
        <f t="shared" si="53"/>
        <v>"%USERPROFILE%\Documents\GitHub\eaglep3\Utilities\RefineRTDCRunTimes.py" --tripid 197-05 --locoid 4018 --swversion DE.1.0.7.0 --startMP 204:480 --initTime 2016-10-05T15:44:29 --startdatetime 2016-10-05T15:46:42 --delay 1 --endMP 204:233295 --enddatetime 2016-10-05T16:25:11 --enforcementcount 0 &gt;&gt;C:\Users\stu\Documents\GitHub\eaglep3-reporting\EC\2016-10-05-refined-times.txt</v>
      </c>
      <c r="AI112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{"issue":{"subject":"","project_id":79,"tracker_id":40,"status_id":1,"priority_id":2,"assigned_to_id":23,"start_date":"2016-10-05","description":"","custom_fields":[{"id":1,"name":"Subdivision","value":"EC"},{"id":4,"name":"Milepost","value":"23.3295"},{"id":17,"name":"Train ID","value":"197-05"},{"id":16,"name":"Locomotive ID","value":"4018"},{"id":130,"name":"Impact","value":""},{"id":150,"name":"Time of Event (Mountain Time)","value":"16:25:11"},{"id":151,"name":"Denver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541</v>
      </c>
      <c r="B113" s="7">
        <v>4017</v>
      </c>
      <c r="C113" s="24" t="s">
        <v>106</v>
      </c>
      <c r="D113" s="24" t="s">
        <v>279</v>
      </c>
      <c r="E113" s="15">
        <v>42648.689155092594</v>
      </c>
      <c r="F113" s="15">
        <v>42648.6952662037</v>
      </c>
      <c r="G113" s="7">
        <v>6</v>
      </c>
      <c r="H113" s="15" t="s">
        <v>213</v>
      </c>
      <c r="I113" s="15">
        <v>42648.723113425927</v>
      </c>
      <c r="J113" s="7">
        <v>0</v>
      </c>
      <c r="K113" s="117" t="str">
        <f t="shared" si="56"/>
        <v>4017/4018</v>
      </c>
      <c r="L113" s="24" t="str">
        <f>VLOOKUP(A113,'Trips&amp;Operators'!$C$1:$E$10000,3,FALSE)</f>
        <v>BROWN</v>
      </c>
      <c r="M113" s="6">
        <f t="shared" si="57"/>
        <v>2.7847222227137536E-2</v>
      </c>
      <c r="N113" s="7">
        <f t="shared" si="68"/>
        <v>40.100000007078052</v>
      </c>
      <c r="O113" s="7"/>
      <c r="P113" s="7"/>
      <c r="Q113" s="25"/>
      <c r="R113" s="25"/>
      <c r="S113" s="37">
        <f t="shared" si="66"/>
        <v>1</v>
      </c>
      <c r="T113" s="52" t="str">
        <f t="shared" si="39"/>
        <v>Southbound</v>
      </c>
      <c r="U113" s="159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15:32:23-0600',mode:absolute,to:'2016-10-05 18:21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3" s="54" t="str">
        <f t="shared" si="59"/>
        <v>N</v>
      </c>
      <c r="X113" s="164">
        <f t="shared" si="67"/>
        <v>1</v>
      </c>
      <c r="Y113" s="69">
        <f t="shared" si="60"/>
        <v>23.297499999999999</v>
      </c>
      <c r="Z113" s="69">
        <f t="shared" si="61"/>
        <v>1.41E-2</v>
      </c>
      <c r="AA113" s="69">
        <f t="shared" si="62"/>
        <v>23.2834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 t="shared" si="40"/>
        <v>0198-05</v>
      </c>
      <c r="AE113" s="95" t="str">
        <f t="shared" si="63"/>
        <v>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 &amp; aws s3 cp s3://rtdc.mdm.uploadarchive.raw/RTDC4017/ "%USERPROFILE%\AppData\Local\Temp\OnboardLogs"\RTDC4017\2016-10-06 --exclude "*" --recursive --include "*20161006*" &amp; "%USERPROFILE%\Documents\GitHub\mrs-test-scripts\Headless Mode &amp; Sideloading\WalkAndUnGZ.bat" "%USERPROFILE%\AppData\Local\Temp\OnboardLogs"\RTDC4017\2016-10-06</v>
      </c>
      <c r="AF113" s="92" t="str">
        <f t="shared" si="64"/>
        <v>"C:\Program Files (x86)\AstroGrep\AstroGrep.exe" /spath="%USERPROFILE%\AppData\Local\Temp\OnboardLogs" /stypes="app*4017*20161005*" /stext=" 23:.+((SYSTEM_STATE.+slice.+state.+changed )|(ment ac)|(system.+state.+changed )|(\[timeout)|(PRM\|1\|D)|(kpr)|(kdp)|(\|lc)|(penalty))" /e /r /s</v>
      </c>
      <c r="AG113" s="1" t="str">
        <f t="shared" si="41"/>
        <v>EC</v>
      </c>
      <c r="AH113" s="96" t="str">
        <f t="shared" si="53"/>
        <v>"%USERPROFILE%\Documents\GitHub\eaglep3\Utilities\RefineRTDCRunTimes.py" --tripid 198-05 --locoid 4017 --swversion DE.1.0.7.0 --startMP 204:232975 --initTime 2016-10-05T16:32:23 --startdatetime 2016-10-05T16:41:11 --delay 6 --endMP 204:141 --enddatetime 2016-10-05T17:21:17 --enforcementcount 0 &gt;&gt;C:\Users\stu\Documents\GitHub\eaglep3-reporting\EC\2016-10-05-refined-times.txt</v>
      </c>
      <c r="AI113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{"issue":{"subject":"","project_id":79,"tracker_id":40,"status_id":1,"priority_id":2,"assigned_to_id":23,"start_date":"2016-10-05","description":"","custom_fields":[{"id":1,"name":"Subdivision","value":"EC"},{"id":4,"name":"Milepost","value":"0.0141"},{"id":17,"name":"Train ID","value":"198-05"},{"id":16,"name":"Locomotive ID","value":"4017"},{"id":130,"name":"Impact","value":""},{"id":150,"name":"Time of Event (Mountain Time)","value":"17:21:17"},{"id":151,"name":"Denver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533</v>
      </c>
      <c r="B114" s="7">
        <v>4003</v>
      </c>
      <c r="C114" s="24" t="s">
        <v>106</v>
      </c>
      <c r="D114" s="24" t="s">
        <v>336</v>
      </c>
      <c r="E114" s="15">
        <v>42648.663217592592</v>
      </c>
      <c r="F114" s="15">
        <v>42648.668425925927</v>
      </c>
      <c r="G114" s="7">
        <v>1</v>
      </c>
      <c r="H114" s="15" t="s">
        <v>328</v>
      </c>
      <c r="I114" s="15">
        <v>42648.692326388889</v>
      </c>
      <c r="J114" s="7">
        <v>0</v>
      </c>
      <c r="K114" s="117" t="str">
        <f t="shared" si="56"/>
        <v>4003/4004</v>
      </c>
      <c r="L114" s="24" t="str">
        <f>VLOOKUP(A114,'Trips&amp;Operators'!$C$1:$E$10000,3,FALSE)</f>
        <v>STAMBAUGH</v>
      </c>
      <c r="M114" s="6">
        <f t="shared" si="57"/>
        <v>2.3900462962046731E-2</v>
      </c>
      <c r="N114" s="7">
        <f t="shared" si="68"/>
        <v>34.416666665347293</v>
      </c>
      <c r="O114" s="7"/>
      <c r="P114" s="7"/>
      <c r="Q114" s="25"/>
      <c r="R114" s="25"/>
      <c r="S114" s="37">
        <f t="shared" si="66"/>
        <v>1</v>
      </c>
      <c r="T114" s="52" t="str">
        <f t="shared" si="39"/>
        <v>NorthBound</v>
      </c>
      <c r="U114" s="159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14:55:02-0600',mode:absolute,to:'2016-10-05 17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14" s="54" t="str">
        <f t="shared" si="59"/>
        <v>N</v>
      </c>
      <c r="X114" s="164">
        <f t="shared" si="67"/>
        <v>1</v>
      </c>
      <c r="Y114" s="69">
        <f t="shared" si="60"/>
        <v>4.5999999999999999E-2</v>
      </c>
      <c r="Z114" s="69">
        <f t="shared" si="61"/>
        <v>23.3325</v>
      </c>
      <c r="AA114" s="69">
        <f t="shared" si="62"/>
        <v>23.2865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 t="shared" si="40"/>
        <v>0199-05</v>
      </c>
      <c r="AE114" s="95" t="str">
        <f t="shared" si="63"/>
        <v>aws s3 cp s3://rtdc.mdm.uploadarchive.raw/RTDC4003/ "%USERPROFILE%\AppData\Local\Temp\OnboardLogs"\RTDC4003\2016-10-05 --exclude "*" --recursive --include "*20161005*" &amp; "%USERPROFILE%\Documents\GitHub\mrs-test-scripts\Headless Mode &amp; Sideloading\WalkAndUnGZ.bat" "%USERPROFILE%\AppData\Local\Temp\OnboardLogs"\RTDC4003\2016-10-05 &amp; aws s3 cp s3://rtdc.mdm.uploadarchive.raw/RTDC4003/ "%USERPROFILE%\AppData\Local\Temp\OnboardLogs"\RTDC4003\2016-10-06 --exclude "*" --recursive --include "*20161006*" &amp; "%USERPROFILE%\Documents\GitHub\mrs-test-scripts\Headless Mode &amp; Sideloading\WalkAndUnGZ.bat" "%USERPROFILE%\AppData\Local\Temp\OnboardLogs"\RTDC4003\2016-10-06</v>
      </c>
      <c r="AF114" s="92" t="str">
        <f t="shared" si="64"/>
        <v>"C:\Program Files (x86)\AstroGrep\AstroGrep.exe" /spath="%USERPROFILE%\AppData\Local\Temp\OnboardLogs" /stypes="app*4003*20161005*" /stext=" 22:.+((SYSTEM_STATE.+slice.+state.+changed )|(ment ac)|(system.+state.+changed )|(\[timeout)|(PRM\|1\|D)|(kpr)|(kdp)|(\|lc)|(penalty))" /e /r /s</v>
      </c>
      <c r="AG114" s="1" t="str">
        <f t="shared" si="41"/>
        <v>EC</v>
      </c>
      <c r="AH114" s="96" t="str">
        <f t="shared" si="53"/>
        <v>"%USERPROFILE%\Documents\GitHub\eaglep3\Utilities\RefineRTDCRunTimes.py" --tripid 199-05 --locoid 4003 --swversion DE.1.0.7.0 --startMP 204:460 --initTime 2016-10-05T15:55:02 --startdatetime 2016-10-05T16:02:32 --delay 1 --endMP 204:233325 --enddatetime 2016-10-05T16:36:57 --enforcementcount 0 &gt;&gt;C:\Users\stu\Documents\GitHub\eaglep3-reporting\EC\2016-10-05-refined-times.txt</v>
      </c>
      <c r="AI114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{"issue":{"subject":"","project_id":79,"tracker_id":40,"status_id":1,"priority_id":2,"assigned_to_id":23,"start_date":"2016-10-05","description":"","custom_fields":[{"id":1,"name":"Subdivision","value":"EC"},{"id":4,"name":"Milepost","value":"23.3325"},{"id":17,"name":"Train ID","value":"199-05"},{"id":16,"name":"Locomotive ID","value":"4003"},{"id":130,"name":"Impact","value":""},{"id":150,"name":"Time of Event (Mountain Time)","value":"16:36:57"},{"id":151,"name":"Denver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545</v>
      </c>
      <c r="B115" s="7">
        <v>4004</v>
      </c>
      <c r="C115" s="24" t="s">
        <v>106</v>
      </c>
      <c r="D115" s="24" t="s">
        <v>651</v>
      </c>
      <c r="E115" s="15">
        <v>42648.70040509259</v>
      </c>
      <c r="F115" s="15">
        <v>42648.705983796295</v>
      </c>
      <c r="G115" s="7">
        <v>1</v>
      </c>
      <c r="H115" s="15" t="s">
        <v>292</v>
      </c>
      <c r="I115" s="15">
        <v>42648.733391203707</v>
      </c>
      <c r="J115" s="7">
        <v>0</v>
      </c>
      <c r="K115" s="117" t="str">
        <f t="shared" si="56"/>
        <v>4003/4004</v>
      </c>
      <c r="L115" s="24" t="str">
        <f>VLOOKUP(A115,'Trips&amp;Operators'!$C$1:$E$10000,3,FALSE)</f>
        <v>STAMBAUGH</v>
      </c>
      <c r="M115" s="6">
        <f t="shared" si="57"/>
        <v>2.7407407411374152E-2</v>
      </c>
      <c r="N115" s="7">
        <f t="shared" si="68"/>
        <v>39.466666672378778</v>
      </c>
      <c r="O115" s="7"/>
      <c r="P115" s="7"/>
      <c r="Q115" s="25"/>
      <c r="R115" s="25"/>
      <c r="S115" s="37">
        <f t="shared" si="66"/>
        <v>1</v>
      </c>
      <c r="T115" s="52" t="str">
        <f t="shared" si="39"/>
        <v>Southbound</v>
      </c>
      <c r="U115" s="159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15:48:35-0600',mode:absolute,to:'2016-10-05 18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15" s="54" t="str">
        <f t="shared" si="59"/>
        <v>N</v>
      </c>
      <c r="X115" s="164">
        <f t="shared" si="67"/>
        <v>1</v>
      </c>
      <c r="Y115" s="69">
        <f t="shared" si="60"/>
        <v>23.302499999999998</v>
      </c>
      <c r="Z115" s="69">
        <f t="shared" si="61"/>
        <v>1.32E-2</v>
      </c>
      <c r="AA115" s="69">
        <f t="shared" si="62"/>
        <v>23.289299999999997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 t="shared" si="40"/>
        <v>0200-05</v>
      </c>
      <c r="AE115" s="95" t="str">
        <f t="shared" si="63"/>
        <v>aws s3 cp s3://rtdc.mdm.uploadarchive.raw/RTDC4004/ "%USERPROFILE%\AppData\Local\Temp\OnboardLogs"\RTDC4004\2016-10-05 --exclude "*" --recursive --include "*20161005*" &amp; "%USERPROFILE%\Documents\GitHub\mrs-test-scripts\Headless Mode &amp; Sideloading\WalkAndUnGZ.bat" "%USERPROFILE%\AppData\Local\Temp\OnboardLogs"\RTDC4004\2016-10-05 &amp; aws s3 cp s3://rtdc.mdm.uploadarchive.raw/RTDC4004/ "%USERPROFILE%\AppData\Local\Temp\OnboardLogs"\RTDC4004\2016-10-06 --exclude "*" --recursive --include "*20161006*" &amp; "%USERPROFILE%\Documents\GitHub\mrs-test-scripts\Headless Mode &amp; Sideloading\WalkAndUnGZ.bat" "%USERPROFILE%\AppData\Local\Temp\OnboardLogs"\RTDC4004\2016-10-06</v>
      </c>
      <c r="AF115" s="92" t="str">
        <f t="shared" si="64"/>
        <v>"C:\Program Files (x86)\AstroGrep\AstroGrep.exe" /spath="%USERPROFILE%\AppData\Local\Temp\OnboardLogs" /stypes="app*4004*20161005*" /stext=" 23:.+((SYSTEM_STATE.+slice.+state.+changed )|(ment ac)|(system.+state.+changed )|(\[timeout)|(PRM\|1\|D)|(kpr)|(kdp)|(\|lc)|(penalty))" /e /r /s</v>
      </c>
      <c r="AG115" s="1" t="str">
        <f t="shared" si="41"/>
        <v>EC</v>
      </c>
      <c r="AH115" s="96" t="str">
        <f t="shared" si="53"/>
        <v>"%USERPROFILE%\Documents\GitHub\eaglep3\Utilities\RefineRTDCRunTimes.py" --tripid 200-05 --locoid 4004 --swversion DE.1.0.7.0 --startMP 204:233025 --initTime 2016-10-05T16:48:35 --startdatetime 2016-10-05T16:56:37 --delay 1 --endMP 204:132 --enddatetime 2016-10-05T17:36:05 --enforcementcount 0 &gt;&gt;C:\Users\stu\Documents\GitHub\eaglep3-reporting\EC\2016-10-05-refined-times.txt</v>
      </c>
      <c r="AI115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{"issue":{"subject":"","project_id":79,"tracker_id":40,"status_id":1,"priority_id":2,"assigned_to_id":23,"start_date":"2016-10-05","description":"","custom_fields":[{"id":1,"name":"Subdivision","value":"EC"},{"id":4,"name":"Milepost","value":"0.0132"},{"id":17,"name":"Train ID","value":"200-05"},{"id":16,"name":"Locomotive ID","value":"4004"},{"id":130,"name":"Impact","value":""},{"id":150,"name":"Time of Event (Mountain Time)","value":"17:36:05"},{"id":151,"name":"Denver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535</v>
      </c>
      <c r="B116" s="7">
        <v>4027</v>
      </c>
      <c r="C116" s="24" t="s">
        <v>106</v>
      </c>
      <c r="D116" s="24" t="s">
        <v>259</v>
      </c>
      <c r="E116" s="15">
        <v>42648.676134259258</v>
      </c>
      <c r="F116" s="15">
        <v>42648.678287037037</v>
      </c>
      <c r="G116" s="7">
        <v>1</v>
      </c>
      <c r="H116" s="15" t="s">
        <v>260</v>
      </c>
      <c r="I116" s="15">
        <v>42648.709189814814</v>
      </c>
      <c r="J116" s="7">
        <v>0</v>
      </c>
      <c r="K116" s="117" t="str">
        <f t="shared" si="56"/>
        <v>4027/4028</v>
      </c>
      <c r="L116" s="24" t="str">
        <f>VLOOKUP(A116,'Trips&amp;Operators'!$C$1:$E$10000,3,FALSE)</f>
        <v>ARVIDSON</v>
      </c>
      <c r="M116" s="6">
        <f t="shared" si="57"/>
        <v>3.0902777776645962E-2</v>
      </c>
      <c r="N116" s="7">
        <f t="shared" si="68"/>
        <v>44.499999998370185</v>
      </c>
      <c r="O116" s="7"/>
      <c r="P116" s="7"/>
      <c r="Q116" s="25"/>
      <c r="R116" s="25"/>
      <c r="S116" s="37">
        <f t="shared" si="66"/>
        <v>1</v>
      </c>
      <c r="T116" s="52" t="str">
        <f t="shared" si="39"/>
        <v>NorthBound</v>
      </c>
      <c r="U116" s="159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15:13:38-0600',mode:absolute,to:'2016-10-05 18:01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6" s="54" t="str">
        <f t="shared" si="59"/>
        <v>N</v>
      </c>
      <c r="X116" s="164">
        <f t="shared" si="67"/>
        <v>1</v>
      </c>
      <c r="Y116" s="69">
        <f t="shared" si="60"/>
        <v>4.6699999999999998E-2</v>
      </c>
      <c r="Z116" s="69">
        <f t="shared" si="61"/>
        <v>23.328900000000001</v>
      </c>
      <c r="AA116" s="69">
        <f t="shared" si="62"/>
        <v>23.2822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 t="shared" si="40"/>
        <v>0201-05</v>
      </c>
      <c r="AE116" s="95" t="str">
        <f t="shared" si="63"/>
        <v>aws s3 cp s3://rtdc.mdm.uploadarchive.raw/RTDC4027/ "%USERPROFILE%\AppData\Local\Temp\OnboardLogs"\RTDC4027\2016-10-05 --exclude "*" --recursive --include "*20161005*" &amp; "%USERPROFILE%\Documents\GitHub\mrs-test-scripts\Headless Mode &amp; Sideloading\WalkAndUnGZ.bat" "%USERPROFILE%\AppData\Local\Temp\OnboardLogs"\RTDC4027\2016-10-05 &amp; aws s3 cp s3://rtdc.mdm.uploadarchive.raw/RTDC4027/ "%USERPROFILE%\AppData\Local\Temp\OnboardLogs"\RTDC4027\2016-10-06 --exclude "*" --recursive --include "*20161006*" &amp; "%USERPROFILE%\Documents\GitHub\mrs-test-scripts\Headless Mode &amp; Sideloading\WalkAndUnGZ.bat" "%USERPROFILE%\AppData\Local\Temp\OnboardLogs"\RTDC4027\2016-10-06</v>
      </c>
      <c r="AF116" s="92" t="str">
        <f t="shared" si="64"/>
        <v>"C:\Program Files (x86)\AstroGrep\AstroGrep.exe" /spath="%USERPROFILE%\AppData\Local\Temp\OnboardLogs" /stypes="app*4027*20161005*" /stext=" 23:.+((SYSTEM_STATE.+slice.+state.+changed )|(ment ac)|(system.+state.+changed )|(\[timeout)|(PRM\|1\|D)|(kpr)|(kdp)|(\|lc)|(penalty))" /e /r /s</v>
      </c>
      <c r="AG116" s="1" t="str">
        <f t="shared" si="41"/>
        <v>EC</v>
      </c>
      <c r="AH116" s="96" t="str">
        <f t="shared" si="53"/>
        <v>"%USERPROFILE%\Documents\GitHub\eaglep3\Utilities\RefineRTDCRunTimes.py" --tripid 201-05 --locoid 4027 --swversion DE.1.0.7.0 --startMP 204:467 --initTime 2016-10-05T16:13:38 --startdatetime 2016-10-05T16:16:44 --delay 1 --endMP 204:233289 --enddatetime 2016-10-05T17:01:14 --enforcementcount 0 &gt;&gt;C:\Users\stu\Documents\GitHub\eaglep3-reporting\EC\2016-10-05-refined-times.txt</v>
      </c>
      <c r="AI116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{"issue":{"subject":"","project_id":79,"tracker_id":40,"status_id":1,"priority_id":2,"assigned_to_id":23,"start_date":"2016-10-05","description":"","custom_fields":[{"id":1,"name":"Subdivision","value":"EC"},{"id":4,"name":"Milepost","value":"23.3289"},{"id":17,"name":"Train ID","value":"201-05"},{"id":16,"name":"Locomotive ID","value":"4027"},{"id":130,"name":"Impact","value":""},{"id":150,"name":"Time of Event (Mountain Time)","value":"17:01:14"},{"id":151,"name":"Denver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549</v>
      </c>
      <c r="B117" s="7">
        <v>4028</v>
      </c>
      <c r="C117" s="24" t="s">
        <v>106</v>
      </c>
      <c r="D117" s="24" t="s">
        <v>247</v>
      </c>
      <c r="E117" s="15">
        <v>42648.714074074072</v>
      </c>
      <c r="F117" s="15">
        <v>42648.716805555552</v>
      </c>
      <c r="G117" s="7">
        <v>1</v>
      </c>
      <c r="H117" s="15" t="s">
        <v>212</v>
      </c>
      <c r="I117" s="15">
        <v>42648.744502314818</v>
      </c>
      <c r="J117" s="7">
        <v>0</v>
      </c>
      <c r="K117" s="117" t="str">
        <f t="shared" si="56"/>
        <v>4027/4028</v>
      </c>
      <c r="L117" s="24" t="str">
        <f>VLOOKUP(A117,'Trips&amp;Operators'!$C$1:$E$10000,3,FALSE)</f>
        <v>ARVIDSON</v>
      </c>
      <c r="M117" s="6">
        <f t="shared" si="57"/>
        <v>2.7696759265381843E-2</v>
      </c>
      <c r="N117" s="7">
        <f t="shared" si="68"/>
        <v>39.883333342149854</v>
      </c>
      <c r="O117" s="7"/>
      <c r="P117" s="7"/>
      <c r="Q117" s="25"/>
      <c r="R117" s="25"/>
      <c r="S117" s="37">
        <f t="shared" si="66"/>
        <v>1</v>
      </c>
      <c r="T117" s="52" t="str">
        <f t="shared" si="39"/>
        <v>Southbound</v>
      </c>
      <c r="U117" s="159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16:08:16-0600',mode:absolute,to:'2016-10-05 18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17" s="54" t="str">
        <f t="shared" si="59"/>
        <v>N</v>
      </c>
      <c r="X117" s="164">
        <f t="shared" si="67"/>
        <v>1</v>
      </c>
      <c r="Y117" s="69">
        <f t="shared" si="60"/>
        <v>23.296900000000001</v>
      </c>
      <c r="Z117" s="69">
        <f t="shared" si="61"/>
        <v>1.4500000000000001E-2</v>
      </c>
      <c r="AA117" s="69">
        <f t="shared" si="62"/>
        <v>23.282399999999999</v>
      </c>
      <c r="AB117" s="66" t="e">
        <f>VLOOKUP(A117,Enforcements!$C$7:$K$21,8,0)</f>
        <v>#N/A</v>
      </c>
      <c r="AC117" s="62" t="e">
        <f>VLOOKUP(A117,Enforcements!$C$7:$E$21,3,0)</f>
        <v>#N/A</v>
      </c>
      <c r="AD117" s="63" t="str">
        <f t="shared" si="40"/>
        <v>0202-05</v>
      </c>
      <c r="AE117" s="95" t="str">
        <f t="shared" si="63"/>
        <v>aws s3 cp s3://rtdc.mdm.uploadarchive.raw/RTDC4028/ "%USERPROFILE%\AppData\Local\Temp\OnboardLogs"\RTDC4028\2016-10-05 --exclude "*" --recursive --include "*20161005*" &amp; "%USERPROFILE%\Documents\GitHub\mrs-test-scripts\Headless Mode &amp; Sideloading\WalkAndUnGZ.bat" "%USERPROFILE%\AppData\Local\Temp\OnboardLogs"\RTDC4028\2016-10-05 &amp; aws s3 cp s3://rtdc.mdm.uploadarchive.raw/RTDC4028/ "%USERPROFILE%\AppData\Local\Temp\OnboardLogs"\RTDC4028\2016-10-06 --exclude "*" --recursive --include "*20161006*" &amp; "%USERPROFILE%\Documents\GitHub\mrs-test-scripts\Headless Mode &amp; Sideloading\WalkAndUnGZ.bat" "%USERPROFILE%\AppData\Local\Temp\OnboardLogs"\RTDC4028\2016-10-06</v>
      </c>
      <c r="AF117" s="92" t="str">
        <f t="shared" si="64"/>
        <v>"C:\Program Files (x86)\AstroGrep\AstroGrep.exe" /spath="%USERPROFILE%\AppData\Local\Temp\OnboardLogs" /stypes="app*4028*20161005*" /stext=" 23:.+((SYSTEM_STATE.+slice.+state.+changed )|(ment ac)|(system.+state.+changed )|(\[timeout)|(PRM\|1\|D)|(kpr)|(kdp)|(\|lc)|(penalty))" /e /r /s</v>
      </c>
      <c r="AG117" s="1" t="str">
        <f t="shared" si="41"/>
        <v>EC</v>
      </c>
      <c r="AH117" s="96" t="str">
        <f t="shared" si="53"/>
        <v>"%USERPROFILE%\Documents\GitHub\eaglep3\Utilities\RefineRTDCRunTimes.py" --tripid 202-05 --locoid 4028 --swversion DE.1.0.7.0 --startMP 204:232969 --initTime 2016-10-05T17:08:16 --startdatetime 2016-10-05T17:12:12 --delay 1 --endMP 204:145 --enddatetime 2016-10-05T17:52:05 --enforcementcount 0 &gt;&gt;C:\Users\stu\Documents\GitHub\eaglep3-reporting\EC\2016-10-05-refined-times.txt</v>
      </c>
      <c r="AI117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{"issue":{"subject":"","project_id":79,"tracker_id":40,"status_id":1,"priority_id":2,"assigned_to_id":23,"start_date":"2016-10-05","description":"","custom_fields":[{"id":1,"name":"Subdivision","value":"EC"},{"id":4,"name":"Milepost","value":"0.0145"},{"id":17,"name":"Train ID","value":"202-05"},{"id":16,"name":"Locomotive ID","value":"4028"},{"id":130,"name":"Impact","value":""},{"id":150,"name":"Time of Event (Mountain Time)","value":"17:52:05"},{"id":151,"name":"Denver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536</v>
      </c>
      <c r="B118" s="7">
        <v>4016</v>
      </c>
      <c r="C118" s="24" t="s">
        <v>106</v>
      </c>
      <c r="D118" s="24" t="s">
        <v>243</v>
      </c>
      <c r="E118" s="15">
        <v>42648.682280092595</v>
      </c>
      <c r="F118" s="15">
        <v>42648.688275462962</v>
      </c>
      <c r="G118" s="7">
        <v>7</v>
      </c>
      <c r="H118" s="15" t="s">
        <v>652</v>
      </c>
      <c r="I118" s="15">
        <v>42648.715358796297</v>
      </c>
      <c r="J118" s="7">
        <v>0</v>
      </c>
      <c r="K118" s="117" t="str">
        <f t="shared" si="56"/>
        <v>4015/4016</v>
      </c>
      <c r="L118" s="24" t="str">
        <f>VLOOKUP(A118,'Trips&amp;Operators'!$C$1:$E$10000,3,FALSE)</f>
        <v>STORY</v>
      </c>
      <c r="M118" s="6">
        <f t="shared" si="57"/>
        <v>2.7083333334303461E-2</v>
      </c>
      <c r="N118" s="7">
        <f t="shared" si="68"/>
        <v>39.000000001396984</v>
      </c>
      <c r="O118" s="7"/>
      <c r="P118" s="7"/>
      <c r="Q118" s="25"/>
      <c r="R118" s="25"/>
      <c r="S118" s="37">
        <f t="shared" si="66"/>
        <v>1</v>
      </c>
      <c r="T118" s="52" t="str">
        <f t="shared" si="39"/>
        <v>NorthBound</v>
      </c>
      <c r="U118" s="159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15:22:29-0600',mode:absolute,to:'2016-10-05 18:10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8" s="54" t="str">
        <f t="shared" si="59"/>
        <v>N</v>
      </c>
      <c r="X118" s="164">
        <f t="shared" si="67"/>
        <v>1</v>
      </c>
      <c r="Y118" s="69">
        <f t="shared" si="60"/>
        <v>4.4900000000000002E-2</v>
      </c>
      <c r="Z118" s="69">
        <f t="shared" si="61"/>
        <v>23.328099999999999</v>
      </c>
      <c r="AA118" s="69">
        <f t="shared" si="62"/>
        <v>23.283200000000001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 t="shared" si="40"/>
        <v>0203-05</v>
      </c>
      <c r="AE118" s="95" t="str">
        <f t="shared" si="63"/>
        <v>aws s3 cp s3://rtdc.mdm.uploadarchive.raw/RTDC4016/ "%USERPROFILE%\AppData\Local\Temp\OnboardLogs"\RTDC4016\2016-10-05 --exclude "*" --recursive --include "*20161005*" &amp; "%USERPROFILE%\Documents\GitHub\mrs-test-scripts\Headless Mode &amp; Sideloading\WalkAndUnGZ.bat" "%USERPROFILE%\AppData\Local\Temp\OnboardLogs"\RTDC4016\2016-10-05 &amp; aws s3 cp s3://rtdc.mdm.uploadarchive.raw/RTDC4016/ "%USERPROFILE%\AppData\Local\Temp\OnboardLogs"\RTDC4016\2016-10-06 --exclude "*" --recursive --include "*20161006*" &amp; "%USERPROFILE%\Documents\GitHub\mrs-test-scripts\Headless Mode &amp; Sideloading\WalkAndUnGZ.bat" "%USERPROFILE%\AppData\Local\Temp\OnboardLogs"\RTDC4016\2016-10-06</v>
      </c>
      <c r="AF118" s="92" t="str">
        <f t="shared" si="64"/>
        <v>"C:\Program Files (x86)\AstroGrep\AstroGrep.exe" /spath="%USERPROFILE%\AppData\Local\Temp\OnboardLogs" /stypes="app*4016*20161005*" /stext=" 23:.+((SYSTEM_STATE.+slice.+state.+changed )|(ment ac)|(system.+state.+changed )|(\[timeout)|(PRM\|1\|D)|(kpr)|(kdp)|(\|lc)|(penalty))" /e /r /s</v>
      </c>
      <c r="AG118" s="1" t="str">
        <f t="shared" si="41"/>
        <v>EC</v>
      </c>
      <c r="AH118" s="96" t="str">
        <f t="shared" si="53"/>
        <v>"%USERPROFILE%\Documents\GitHub\eaglep3\Utilities\RefineRTDCRunTimes.py" --tripid 203-05 --locoid 4016 --swversion DE.1.0.7.0 --startMP 204:449 --initTime 2016-10-05T16:22:29 --startdatetime 2016-10-05T16:31:07 --delay 7 --endMP 204:233281 --enddatetime 2016-10-05T17:10:07 --enforcementcount 0 &gt;&gt;C:\Users\stu\Documents\GitHub\eaglep3-reporting\EC\2016-10-05-refined-times.txt</v>
      </c>
      <c r="AI118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{"issue":{"subject":"","project_id":79,"tracker_id":40,"status_id":1,"priority_id":2,"assigned_to_id":23,"start_date":"2016-10-05","description":"","custom_fields":[{"id":1,"name":"Subdivision","value":"EC"},{"id":4,"name":"Milepost","value":"23.3281"},{"id":17,"name":"Train ID","value":"203-05"},{"id":16,"name":"Locomotive ID","value":"4016"},{"id":130,"name":"Impact","value":""},{"id":150,"name":"Time of Event (Mountain Time)","value":"17:10:07"},{"id":151,"name":"Denver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419</v>
      </c>
      <c r="B119" s="7">
        <v>4015</v>
      </c>
      <c r="C119" s="24" t="s">
        <v>106</v>
      </c>
      <c r="D119" s="24" t="s">
        <v>620</v>
      </c>
      <c r="E119" s="15">
        <v>42648.720729166664</v>
      </c>
      <c r="F119" s="15">
        <v>42648.726678240739</v>
      </c>
      <c r="G119" s="7">
        <v>2</v>
      </c>
      <c r="H119" s="15" t="s">
        <v>653</v>
      </c>
      <c r="I119" s="15">
        <v>42648.756180555552</v>
      </c>
      <c r="J119" s="7">
        <v>0</v>
      </c>
      <c r="K119" s="117" t="str">
        <f t="shared" si="56"/>
        <v>4015/4016</v>
      </c>
      <c r="L119" s="24" t="str">
        <f>VLOOKUP(A119,'Trips&amp;Operators'!$C$1:$E$10000,3,FALSE)</f>
        <v>STORY</v>
      </c>
      <c r="M119" s="6">
        <f t="shared" si="57"/>
        <v>2.9502314813726116E-2</v>
      </c>
      <c r="N119" s="7">
        <f t="shared" si="68"/>
        <v>42.483333331765607</v>
      </c>
      <c r="O119" s="7"/>
      <c r="P119" s="7"/>
      <c r="Q119" s="25"/>
      <c r="R119" s="25"/>
      <c r="S119" s="37">
        <f t="shared" si="66"/>
        <v>1</v>
      </c>
      <c r="T119" s="52" t="str">
        <f t="shared" si="39"/>
        <v>Southbound</v>
      </c>
      <c r="U119" s="159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16:17:51-0600',mode:absolute,to:'2016-10-05 19:08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9" s="54" t="str">
        <f t="shared" si="59"/>
        <v>N</v>
      </c>
      <c r="X119" s="164">
        <f t="shared" si="67"/>
        <v>1</v>
      </c>
      <c r="Y119" s="69">
        <f t="shared" si="60"/>
        <v>23.297599999999999</v>
      </c>
      <c r="Z119" s="69">
        <f t="shared" si="61"/>
        <v>2.3800000000000002E-2</v>
      </c>
      <c r="AA119" s="69">
        <f t="shared" si="62"/>
        <v>23.273799999999998</v>
      </c>
      <c r="AB119" s="66" t="str">
        <f>VLOOKUP(A119,Enforcements!$C$7:$K$21,8,0)</f>
        <v>Bulletin (2)</v>
      </c>
      <c r="AC119" s="62" t="str">
        <f>VLOOKUP(A119,Enforcements!$C$7:$E$21,3,0)</f>
        <v>GRADE CROSSING</v>
      </c>
      <c r="AD119" s="63" t="str">
        <f t="shared" si="40"/>
        <v>0204-05</v>
      </c>
      <c r="AE119" s="95" t="str">
        <f t="shared" si="63"/>
        <v>aws s3 cp s3://rtdc.mdm.uploadarchive.raw/RTDC4015/ "%USERPROFILE%\AppData\Local\Temp\OnboardLogs"\RTDC4015\2016-10-05 --exclude "*" --recursive --include "*20161005*" &amp; "%USERPROFILE%\Documents\GitHub\mrs-test-scripts\Headless Mode &amp; Sideloading\WalkAndUnGZ.bat" "%USERPROFILE%\AppData\Local\Temp\OnboardLogs"\RTDC4015\2016-10-05 &amp; aws s3 cp s3://rtdc.mdm.uploadarchive.raw/RTDC4015/ "%USERPROFILE%\AppData\Local\Temp\OnboardLogs"\RTDC4015\2016-10-06 --exclude "*" --recursive --include "*20161006*" &amp; "%USERPROFILE%\Documents\GitHub\mrs-test-scripts\Headless Mode &amp; Sideloading\WalkAndUnGZ.bat" "%USERPROFILE%\AppData\Local\Temp\OnboardLogs"\RTDC4015\2016-10-06</v>
      </c>
      <c r="AF119" s="92" t="str">
        <f t="shared" si="64"/>
        <v>"C:\Program Files (x86)\AstroGrep\AstroGrep.exe" /spath="%USERPROFILE%\AppData\Local\Temp\OnboardLogs" /stypes="app*4015*20161006*" /stext=" 00:.+((SYSTEM_STATE.+slice.+state.+changed )|(ment ac)|(system.+state.+changed )|(\[timeout)|(PRM\|1\|D)|(kpr)|(kdp)|(\|lc)|(penalty))" /e /r /s</v>
      </c>
      <c r="AG119" s="1" t="str">
        <f t="shared" si="41"/>
        <v>EC</v>
      </c>
      <c r="AH119" s="96" t="str">
        <f t="shared" si="53"/>
        <v>"%USERPROFILE%\Documents\GitHub\eaglep3\Utilities\RefineRTDCRunTimes.py" --tripid 204-05 --locoid 4015 --swversion DE.1.0.7.0 --startMP 204:232976 --initTime 2016-10-05T17:17:51 --startdatetime 2016-10-05T17:26:25 --delay 2 --endMP 204:238 --enddatetime 2016-10-05T18:08:54 --enforcementcount 0 &gt;&gt;C:\Users\stu\Documents\GitHub\eaglep3-reporting\EC\2016-10-05-refined-times.txt</v>
      </c>
      <c r="AI119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{"issue":{"subject":"","project_id":79,"tracker_id":40,"status_id":1,"priority_id":2,"assigned_to_id":23,"start_date":"2016-10-05","description":"","custom_fields":[{"id":1,"name":"Subdivision","value":"EC"},{"id":4,"name":"Milepost","value":"0.0238"},{"id":17,"name":"Train ID","value":"204-05"},{"id":16,"name":"Locomotive ID","value":"4015"},{"id":130,"name":"Impact","value":""},{"id":150,"name":"Time of Event (Mountain Time)","value":"18:08:54"},{"id":151,"name":"Denver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544</v>
      </c>
      <c r="B120" s="7">
        <v>4002</v>
      </c>
      <c r="C120" s="24" t="s">
        <v>106</v>
      </c>
      <c r="D120" s="24" t="s">
        <v>203</v>
      </c>
      <c r="E120" s="15">
        <v>42648.696018518516</v>
      </c>
      <c r="F120" s="15">
        <v>42648.698506944442</v>
      </c>
      <c r="G120" s="7">
        <v>1</v>
      </c>
      <c r="H120" s="15" t="s">
        <v>214</v>
      </c>
      <c r="I120" s="15">
        <v>42648.723935185182</v>
      </c>
      <c r="J120" s="7">
        <v>0</v>
      </c>
      <c r="K120" s="117" t="str">
        <f t="shared" si="56"/>
        <v>4001/4002</v>
      </c>
      <c r="L120" s="24" t="str">
        <f>VLOOKUP(A120,'Trips&amp;Operators'!$C$1:$E$10000,3,FALSE)</f>
        <v>HILLS</v>
      </c>
      <c r="M120" s="6">
        <f t="shared" si="57"/>
        <v>2.5428240740438923E-2</v>
      </c>
      <c r="N120" s="7">
        <f t="shared" si="68"/>
        <v>36.616666666232049</v>
      </c>
      <c r="O120" s="7"/>
      <c r="P120" s="7"/>
      <c r="Q120" s="25"/>
      <c r="R120" s="25"/>
      <c r="S120" s="37">
        <f t="shared" si="66"/>
        <v>1</v>
      </c>
      <c r="T120" s="52" t="str">
        <f t="shared" si="39"/>
        <v>NorthBound</v>
      </c>
      <c r="U120" s="159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15:42:16-0600',mode:absolute,to:'2016-10-05 18:22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0" s="54" t="str">
        <f t="shared" si="59"/>
        <v>N</v>
      </c>
      <c r="X120" s="164">
        <f t="shared" si="67"/>
        <v>1</v>
      </c>
      <c r="Y120" s="69">
        <f t="shared" si="60"/>
        <v>4.58E-2</v>
      </c>
      <c r="Z120" s="69">
        <f t="shared" si="61"/>
        <v>23.331199999999999</v>
      </c>
      <c r="AA120" s="69">
        <f t="shared" si="62"/>
        <v>23.285399999999999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 t="shared" si="40"/>
        <v>0205-05</v>
      </c>
      <c r="AE120" s="95" t="str">
        <f t="shared" si="63"/>
        <v>aws s3 cp s3://rtdc.mdm.uploadarchive.raw/RTDC4002/ "%USERPROFILE%\AppData\Local\Temp\OnboardLogs"\RTDC4002\2016-10-05 --exclude "*" --recursive --include "*20161005*" &amp; "%USERPROFILE%\Documents\GitHub\mrs-test-scripts\Headless Mode &amp; Sideloading\WalkAndUnGZ.bat" "%USERPROFILE%\AppData\Local\Temp\OnboardLogs"\RTDC4002\2016-10-05 &amp; aws s3 cp s3://rtdc.mdm.uploadarchive.raw/RTDC4002/ "%USERPROFILE%\AppData\Local\Temp\OnboardLogs"\RTDC4002\2016-10-06 --exclude "*" --recursive --include "*20161006*" &amp; "%USERPROFILE%\Documents\GitHub\mrs-test-scripts\Headless Mode &amp; Sideloading\WalkAndUnGZ.bat" "%USERPROFILE%\AppData\Local\Temp\OnboardLogs"\RTDC4002\2016-10-06</v>
      </c>
      <c r="AF120" s="92" t="str">
        <f t="shared" si="64"/>
        <v>"C:\Program Files (x86)\AstroGrep\AstroGrep.exe" /spath="%USERPROFILE%\AppData\Local\Temp\OnboardLogs" /stypes="app*4002*20161005*" /stext=" 23:.+((SYSTEM_STATE.+slice.+state.+changed )|(ment ac)|(system.+state.+changed )|(\[timeout)|(PRM\|1\|D)|(kpr)|(kdp)|(\|lc)|(penalty))" /e /r /s</v>
      </c>
      <c r="AG120" s="1" t="str">
        <f t="shared" si="41"/>
        <v>EC</v>
      </c>
      <c r="AH120" s="96" t="str">
        <f t="shared" si="53"/>
        <v>"%USERPROFILE%\Documents\GitHub\eaglep3\Utilities\RefineRTDCRunTimes.py" --tripid 205-05 --locoid 4002 --swversion DE.1.0.7.0 --startMP 204:458 --initTime 2016-10-05T16:42:16 --startdatetime 2016-10-05T16:45:51 --delay 1 --endMP 204:233312 --enddatetime 2016-10-05T17:22:28 --enforcementcount 0 &gt;&gt;C:\Users\stu\Documents\GitHub\eaglep3-reporting\EC\2016-10-05-refined-times.txt</v>
      </c>
      <c r="AI120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{"issue":{"subject":"","project_id":79,"tracker_id":40,"status_id":1,"priority_id":2,"assigned_to_id":23,"start_date":"2016-10-05","description":"","custom_fields":[{"id":1,"name":"Subdivision","value":"EC"},{"id":4,"name":"Milepost","value":"23.3312"},{"id":17,"name":"Train ID","value":"205-05"},{"id":16,"name":"Locomotive ID","value":"4002"},{"id":130,"name":"Impact","value":""},{"id":150,"name":"Time of Event (Mountain Time)","value":"17:22:28"},{"id":151,"name":"Denver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418</v>
      </c>
      <c r="B121" s="7">
        <v>4001</v>
      </c>
      <c r="C121" s="24" t="s">
        <v>106</v>
      </c>
      <c r="D121" s="24" t="s">
        <v>244</v>
      </c>
      <c r="E121" s="15">
        <v>42648.727800925924</v>
      </c>
      <c r="F121" s="15">
        <v>42648.737245370372</v>
      </c>
      <c r="G121" s="7">
        <v>2</v>
      </c>
      <c r="H121" s="15" t="s">
        <v>126</v>
      </c>
      <c r="I121" s="15">
        <v>42648.767013888886</v>
      </c>
      <c r="J121" s="7">
        <v>0</v>
      </c>
      <c r="K121" s="117" t="str">
        <f t="shared" si="56"/>
        <v>4001/4002</v>
      </c>
      <c r="L121" s="24" t="str">
        <f>VLOOKUP(A121,'Trips&amp;Operators'!$C$1:$E$10000,3,FALSE)</f>
        <v>HILLS</v>
      </c>
      <c r="M121" s="6">
        <f t="shared" si="57"/>
        <v>2.9768518514174502E-2</v>
      </c>
      <c r="N121" s="7">
        <f t="shared" si="68"/>
        <v>42.866666660411283</v>
      </c>
      <c r="O121" s="7"/>
      <c r="P121" s="7"/>
      <c r="Q121" s="25"/>
      <c r="R121" s="25"/>
      <c r="S121" s="37">
        <f t="shared" si="66"/>
        <v>1</v>
      </c>
      <c r="T121" s="52" t="str">
        <f t="shared" si="39"/>
        <v>Southbound</v>
      </c>
      <c r="U121" s="159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2" t="str">
        <f t="shared" si="58"/>
        <v>https://search-rtdc-monitor-bjffxe2xuh6vdkpspy63sjmuny.us-east-1.es.amazonaws.com/_plugin/kibana/#/discover/Steve-Slow-Train-Analysis-(2080s-and-2083s)?_g=(refreshInterval:(display:Off,section:0,value:0),time:(from:'2016-10-05 16:28:02-0600',mode:absolute,to:'2016-10-05 19:24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1" s="54" t="str">
        <f t="shared" si="59"/>
        <v>N</v>
      </c>
      <c r="X121" s="164">
        <f t="shared" si="67"/>
        <v>1</v>
      </c>
      <c r="Y121" s="69">
        <f t="shared" si="60"/>
        <v>23.297999999999998</v>
      </c>
      <c r="Z121" s="69">
        <f t="shared" si="61"/>
        <v>1.54E-2</v>
      </c>
      <c r="AA121" s="69">
        <f t="shared" si="62"/>
        <v>23.282599999999999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 t="shared" si="40"/>
        <v>0206-05</v>
      </c>
      <c r="AE121" s="95" t="str">
        <f t="shared" si="63"/>
        <v>aws s3 cp s3://rtdc.mdm.uploadarchive.raw/RTDC4001/ "%USERPROFILE%\AppData\Local\Temp\OnboardLogs"\RTDC4001\2016-10-05 --exclude "*" --recursive --include "*20161005*" &amp; "%USERPROFILE%\Documents\GitHub\mrs-test-scripts\Headless Mode &amp; Sideloading\WalkAndUnGZ.bat" "%USERPROFILE%\AppData\Local\Temp\OnboardLogs"\RTDC4001\2016-10-05 &amp; aws s3 cp s3://rtdc.mdm.uploadarchive.raw/RTDC4001/ "%USERPROFILE%\AppData\Local\Temp\OnboardLogs"\RTDC4001\2016-10-06 --exclude "*" --recursive --include "*20161006*" &amp; "%USERPROFILE%\Documents\GitHub\mrs-test-scripts\Headless Mode &amp; Sideloading\WalkAndUnGZ.bat" "%USERPROFILE%\AppData\Local\Temp\OnboardLogs"\RTDC4001\2016-10-06</v>
      </c>
      <c r="AF121" s="92" t="str">
        <f t="shared" si="64"/>
        <v>"C:\Program Files (x86)\AstroGrep\AstroGrep.exe" /spath="%USERPROFILE%\AppData\Local\Temp\OnboardLogs" /stypes="app*4001*20161006*" /stext=" 00:.+((SYSTEM_STATE.+slice.+state.+changed )|(ment ac)|(system.+state.+changed )|(\[timeout)|(PRM\|1\|D)|(kpr)|(kdp)|(\|lc)|(penalty))" /e /r /s</v>
      </c>
      <c r="AG121" s="1" t="str">
        <f t="shared" si="41"/>
        <v>EC</v>
      </c>
      <c r="AH121" s="96" t="str">
        <f t="shared" si="53"/>
        <v>"%USERPROFILE%\Documents\GitHub\eaglep3\Utilities\RefineRTDCRunTimes.py" --tripid 206-05 --locoid 4001 --swversion DE.1.0.7.0 --startMP 204:232980 --initTime 2016-10-05T17:28:02 --startdatetime 2016-10-05T17:41:38 --delay 2 --endMP 204:154 --enddatetime 2016-10-05T18:24:30 --enforcementcount 0 &gt;&gt;C:\Users\stu\Documents\GitHub\eaglep3-reporting\EC\2016-10-05-refined-times.txt</v>
      </c>
      <c r="AI121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{"issue":{"subject":"","project_id":79,"tracker_id":40,"status_id":1,"priority_id":2,"assigned_to_id":23,"start_date":"2016-10-05","description":"","custom_fields":[{"id":1,"name":"Subdivision","value":"EC"},{"id":4,"name":"Milepost","value":"0.0154"},{"id":17,"name":"Train ID","value":"206-05"},{"id":16,"name":"Locomotive ID","value":"4001"},{"id":130,"name":"Impact","value":""},{"id":150,"name":"Time of Event (Mountain Time)","value":"18:24:30"},{"id":151,"name":"Denver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546</v>
      </c>
      <c r="B122" s="7">
        <v>4009</v>
      </c>
      <c r="C122" s="24" t="s">
        <v>106</v>
      </c>
      <c r="D122" s="24" t="s">
        <v>203</v>
      </c>
      <c r="E122" s="15">
        <v>42648.705416666664</v>
      </c>
      <c r="F122" s="15">
        <v>42648.708564814813</v>
      </c>
      <c r="G122" s="7">
        <v>1</v>
      </c>
      <c r="H122" s="15" t="s">
        <v>634</v>
      </c>
      <c r="I122" s="15">
        <v>42648.733761574076</v>
      </c>
      <c r="J122" s="7">
        <v>0</v>
      </c>
      <c r="K122" s="117" t="str">
        <f t="shared" ref="K122:K153" si="69">IF(ISEVEN(B122),(B122-1)&amp;"/"&amp;B122,B122&amp;"/"&amp;(B122+1))</f>
        <v>4009/4010</v>
      </c>
      <c r="L122" s="24" t="str">
        <f>VLOOKUP(A122,'Trips&amp;Operators'!$C$1:$E$10000,3,FALSE)</f>
        <v>BONDS</v>
      </c>
      <c r="M122" s="6">
        <f t="shared" ref="M122:M153" si="70">I122-F122</f>
        <v>2.5196759263053536E-2</v>
      </c>
      <c r="N122" s="7">
        <f t="shared" si="68"/>
        <v>36.283333338797092</v>
      </c>
      <c r="O122" s="7"/>
      <c r="P122" s="7"/>
      <c r="Q122" s="25"/>
      <c r="R122" s="25"/>
      <c r="S122" s="37">
        <f t="shared" si="66"/>
        <v>1</v>
      </c>
      <c r="T122" s="52" t="str">
        <f t="shared" si="39"/>
        <v>NorthBound</v>
      </c>
      <c r="U122" s="159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2" t="str">
        <f t="shared" ref="V122:V153" si="71">"https://search-rtdc-monitor-bjffxe2xuh6vdkpspy63sjmuny.us-east-1.es.amazonaws.com/_plugin/kibana/#/discover/Steve-Slow-Train-Analysis-(2080s-and-2083s)?_g=(refreshInterval:(display:Off,section:0,value:0),time:(from:'"&amp;TEXT(E122-1/24,"yyyy-MM-DD hh:mm:ss")&amp;"-0600',mode:absolute,to:'"&amp;TEXT(I122+1/24,"yyyy-MM-DD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122&amp;"%22')),sort:!(Time,asc))"</f>
        <v>https://search-rtdc-monitor-bjffxe2xuh6vdkpspy63sjmuny.us-east-1.es.amazonaws.com/_plugin/kibana/#/discover/Steve-Slow-Train-Analysis-(2080s-and-2083s)?_g=(refreshInterval:(display:Off,section:0,value:0),time:(from:'2016-10-05 15:55:48-0600',mode:absolute,to:'2016-10-05 18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2" s="54" t="str">
        <f t="shared" ref="W122:W153" si="72">IF(AA122&lt;IF(AG122="EC",23,5.65),"Y","N")</f>
        <v>N</v>
      </c>
      <c r="X122" s="164">
        <f t="shared" si="67"/>
        <v>1</v>
      </c>
      <c r="Y122" s="69">
        <f t="shared" ref="Y122:Y153" si="73">RIGHT(D122,LEN(D122)-4)/10000</f>
        <v>4.58E-2</v>
      </c>
      <c r="Z122" s="69">
        <f t="shared" ref="Z122:Z153" si="74">RIGHT(H122,LEN(H122)-4)/10000</f>
        <v>23.331</v>
      </c>
      <c r="AA122" s="69">
        <f t="shared" ref="AA122:AA153" si="75">ABS(Z122-Y122)</f>
        <v>23.2852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 t="shared" si="40"/>
        <v>0207-05</v>
      </c>
      <c r="AE122" s="95" t="str">
        <f t="shared" ref="AE122:AE153" si="76"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s3://rtdc.mdm.uploadarchive.raw/RTDC4009/ "%USERPROFILE%\AppData\Local\Temp\OnboardLogs"\RTDC4009\2016-10-05 --exclude "*" --recursive --include "*20161005*" &amp; "%USERPROFILE%\Documents\GitHub\mrs-test-scripts\Headless Mode &amp; Sideloading\WalkAndUnGZ.bat" "%USERPROFILE%\AppData\Local\Temp\OnboardLogs"\RTDC4009\2016-10-05 &amp; aws s3 cp s3://rtdc.mdm.uploadarchive.raw/RTDC4009/ "%USERPROFILE%\AppData\Local\Temp\OnboardLogs"\RTDC4009\2016-10-06 --exclude "*" --recursive --include "*20161006*" &amp; "%USERPROFILE%\Documents\GitHub\mrs-test-scripts\Headless Mode &amp; Sideloading\WalkAndUnGZ.bat" "%USERPROFILE%\AppData\Local\Temp\OnboardLogs"\RTDC4009\2016-10-06</v>
      </c>
      <c r="AF122" s="92" t="str">
        <f t="shared" ref="AF122:AF153" si="77"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/stypes="app*4009*20161005*" /stext=" 23:.+((SYSTEM_STATE.+slice.+state.+changed )|(ment ac)|(system.+state.+changed )|(\[timeout)|(PRM\|1\|D)|(kpr)|(kdp)|(\|lc)|(penalty))" /e /r /s</v>
      </c>
      <c r="AG122" s="1" t="str">
        <f t="shared" si="41"/>
        <v>EC</v>
      </c>
      <c r="AH122" s="96" t="str">
        <f t="shared" si="53"/>
        <v>"%USERPROFILE%\Documents\GitHub\eaglep3\Utilities\RefineRTDCRunTimes.py" --tripid 207-05 --locoid 4009 --swversion DE.1.0.7.0 --startMP 204:458 --initTime 2016-10-05T16:55:48 --startdatetime 2016-10-05T17:00:20 --delay 1 --endMP 204:233310 --enddatetime 2016-10-05T17:36:37 --enforcementcount 0 &gt;&gt;C:\Users\stu\Documents\GitHub\eaglep3-reporting\EC\2016-10-05-refined-times.txt</v>
      </c>
      <c r="AI122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{"issue":{"subject":"","project_id":79,"tracker_id":40,"status_id":1,"priority_id":2,"assigned_to_id":23,"start_date":"2016-10-05","description":"","custom_fields":[{"id":1,"name":"Subdivision","value":"EC"},{"id":4,"name":"Milepost","value":"23.331"},{"id":17,"name":"Train ID","value":"207-05"},{"id":16,"name":"Locomotive ID","value":"4009"},{"id":130,"name":"Impact","value":""},{"id":150,"name":"Time of Event (Mountain Time)","value":"17:36:37"},{"id":151,"name":"Denver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x14ac:dyDescent="0.25">
      <c r="A123" s="39" t="s">
        <v>556</v>
      </c>
      <c r="B123" s="7">
        <v>4010</v>
      </c>
      <c r="C123" s="24" t="s">
        <v>106</v>
      </c>
      <c r="D123" s="24" t="s">
        <v>339</v>
      </c>
      <c r="E123" s="15">
        <v>42648.737986111111</v>
      </c>
      <c r="F123" s="15">
        <v>42648.747569444444</v>
      </c>
      <c r="G123" s="7">
        <v>1</v>
      </c>
      <c r="H123" s="15" t="s">
        <v>654</v>
      </c>
      <c r="I123" s="15">
        <v>42648.777326388888</v>
      </c>
      <c r="J123" s="7">
        <v>0</v>
      </c>
      <c r="K123" s="117" t="str">
        <f t="shared" si="69"/>
        <v>4009/4010</v>
      </c>
      <c r="L123" s="24" t="str">
        <f>VLOOKUP(A123,'Trips&amp;Operators'!$C$1:$E$10000,3,FALSE)</f>
        <v>BONDS</v>
      </c>
      <c r="M123" s="6">
        <f t="shared" si="70"/>
        <v>2.9756944444670808E-2</v>
      </c>
      <c r="N123" s="7">
        <f t="shared" si="68"/>
        <v>42.850000000325963</v>
      </c>
      <c r="O123" s="7"/>
      <c r="P123" s="7"/>
      <c r="Q123" s="25"/>
      <c r="R123" s="25"/>
      <c r="S123" s="37">
        <f t="shared" si="66"/>
        <v>1</v>
      </c>
      <c r="T123" s="52" t="str">
        <f t="shared" si="39"/>
        <v>Southbound</v>
      </c>
      <c r="U123" s="159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16:42:42-0600',mode:absolute,to:'2016-10-05 19:39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3" s="54" t="str">
        <f t="shared" si="72"/>
        <v>N</v>
      </c>
      <c r="X123" s="164">
        <f t="shared" si="67"/>
        <v>1</v>
      </c>
      <c r="Y123" s="69">
        <f t="shared" si="73"/>
        <v>23.298100000000002</v>
      </c>
      <c r="Z123" s="69">
        <f t="shared" si="74"/>
        <v>9.4999999999999998E-3</v>
      </c>
      <c r="AA123" s="69">
        <f t="shared" si="75"/>
        <v>23.288600000000002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 t="shared" si="40"/>
        <v>0208-05</v>
      </c>
      <c r="AE123" s="95" t="str">
        <f t="shared" si="76"/>
        <v>aws s3 cp s3://rtdc.mdm.uploadarchive.raw/RTDC4010/ "%USERPROFILE%\AppData\Local\Temp\OnboardLogs"\RTDC4010\2016-10-05 --exclude "*" --recursive --include "*20161005*" &amp; "%USERPROFILE%\Documents\GitHub\mrs-test-scripts\Headless Mode &amp; Sideloading\WalkAndUnGZ.bat" "%USERPROFILE%\AppData\Local\Temp\OnboardLogs"\RTDC4010\2016-10-05 &amp; aws s3 cp s3://rtdc.mdm.uploadarchive.raw/RTDC4010/ "%USERPROFILE%\AppData\Local\Temp\OnboardLogs"\RTDC4010\2016-10-06 --exclude "*" --recursive --include "*20161006*" &amp; "%USERPROFILE%\Documents\GitHub\mrs-test-scripts\Headless Mode &amp; Sideloading\WalkAndUnGZ.bat" "%USERPROFILE%\AppData\Local\Temp\OnboardLogs"\RTDC4010\2016-10-06</v>
      </c>
      <c r="AF123" s="92" t="str">
        <f t="shared" si="77"/>
        <v>"C:\Program Files (x86)\AstroGrep\AstroGrep.exe" /spath="%USERPROFILE%\AppData\Local\Temp\OnboardLogs" /stypes="app*4010*20161006*" /stext=" 00:.+((SYSTEM_STATE.+slice.+state.+changed )|(ment ac)|(system.+state.+changed )|(\[timeout)|(PRM\|1\|D)|(kpr)|(kdp)|(\|lc)|(penalty))" /e /r /s</v>
      </c>
      <c r="AG123" s="1" t="str">
        <f t="shared" si="41"/>
        <v>EC</v>
      </c>
      <c r="AH123" s="96" t="str">
        <f t="shared" si="53"/>
        <v>"%USERPROFILE%\Documents\GitHub\eaglep3\Utilities\RefineRTDCRunTimes.py" --tripid 208-05 --locoid 4010 --swversion DE.1.0.7.0 --startMP 204:232981 --initTime 2016-10-05T17:42:42 --startdatetime 2016-10-05T17:56:30 --delay 1 --endMP 204:95 --enddatetime 2016-10-05T18:39:21 --enforcementcount 0 &gt;&gt;C:\Users\stu\Documents\GitHub\eaglep3-reporting\EC\2016-10-05-refined-times.txt</v>
      </c>
      <c r="AI123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{"issue":{"subject":"","project_id":79,"tracker_id":40,"status_id":1,"priority_id":2,"assigned_to_id":23,"start_date":"2016-10-05","description":"","custom_fields":[{"id":1,"name":"Subdivision","value":"EC"},{"id":4,"name":"Milepost","value":"0.0095"},{"id":17,"name":"Train ID","value":"208-05"},{"id":16,"name":"Locomotive ID","value":"4010"},{"id":130,"name":"Impact","value":""},{"id":150,"name":"Time of Event (Mountain Time)","value":"18:39:21"},{"id":151,"name":"Denver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551</v>
      </c>
      <c r="B124" s="7">
        <v>4007</v>
      </c>
      <c r="C124" s="24" t="s">
        <v>106</v>
      </c>
      <c r="D124" s="24" t="s">
        <v>655</v>
      </c>
      <c r="E124" s="15">
        <v>42648.719722222224</v>
      </c>
      <c r="F124" s="15">
        <v>42648.72216435185</v>
      </c>
      <c r="G124" s="7">
        <v>2</v>
      </c>
      <c r="H124" s="15" t="s">
        <v>656</v>
      </c>
      <c r="I124" s="15">
        <v>42648.747291666667</v>
      </c>
      <c r="J124" s="7">
        <v>0</v>
      </c>
      <c r="K124" s="117" t="str">
        <f t="shared" si="69"/>
        <v>4007/4008</v>
      </c>
      <c r="L124" s="24" t="str">
        <f>VLOOKUP(A124,'Trips&amp;Operators'!$C$1:$E$10000,3,FALSE)</f>
        <v>STURGEON</v>
      </c>
      <c r="M124" s="6">
        <f t="shared" si="70"/>
        <v>2.5127314816927537E-2</v>
      </c>
      <c r="N124" s="7">
        <f t="shared" si="68"/>
        <v>36.183333336375654</v>
      </c>
      <c r="O124" s="7"/>
      <c r="P124" s="7"/>
      <c r="Q124" s="25"/>
      <c r="R124" s="25"/>
      <c r="S124" s="37">
        <f t="shared" si="66"/>
        <v>1</v>
      </c>
      <c r="T124" s="52" t="str">
        <f t="shared" si="39"/>
        <v>NorthBound</v>
      </c>
      <c r="U124" s="159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16:16:24-0600',mode:absolute,to:'2016-10-05 18:56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4" s="54" t="str">
        <f t="shared" si="72"/>
        <v>N</v>
      </c>
      <c r="X124" s="164">
        <f t="shared" si="67"/>
        <v>1</v>
      </c>
      <c r="Y124" s="69">
        <f t="shared" si="73"/>
        <v>4.2599999999999999E-2</v>
      </c>
      <c r="Z124" s="69">
        <f t="shared" si="74"/>
        <v>23.328399999999998</v>
      </c>
      <c r="AA124" s="69">
        <f t="shared" si="75"/>
        <v>23.285799999999998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 t="shared" si="40"/>
        <v>0209-05</v>
      </c>
      <c r="AE124" s="95" t="str">
        <f t="shared" si="76"/>
        <v>aws s3 cp s3://rtdc.mdm.uploadarchive.raw/RTDC4007/ "%USERPROFILE%\AppData\Local\Temp\OnboardLogs"\RTDC4007\2016-10-05 --exclude "*" --recursive --include "*20161005*" &amp; "%USERPROFILE%\Documents\GitHub\mrs-test-scripts\Headless Mode &amp; Sideloading\WalkAndUnGZ.bat" "%USERPROFILE%\AppData\Local\Temp\OnboardLogs"\RTDC4007\2016-10-05 &amp; 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</v>
      </c>
      <c r="AF124" s="92" t="str">
        <f t="shared" si="77"/>
        <v>"C:\Program Files (x86)\AstroGrep\AstroGrep.exe" /spath="%USERPROFILE%\AppData\Local\Temp\OnboardLogs" /stypes="app*4007*20161005*" /stext=" 23:.+((SYSTEM_STATE.+slice.+state.+changed )|(ment ac)|(system.+state.+changed )|(\[timeout)|(PRM\|1\|D)|(kpr)|(kdp)|(\|lc)|(penalty))" /e /r /s</v>
      </c>
      <c r="AG124" s="1" t="str">
        <f t="shared" si="41"/>
        <v>EC</v>
      </c>
      <c r="AH124" s="96" t="str">
        <f t="shared" si="53"/>
        <v>"%USERPROFILE%\Documents\GitHub\eaglep3\Utilities\RefineRTDCRunTimes.py" --tripid 209-05 --locoid 4007 --swversion DE.1.0.7.0 --startMP 204:426 --initTime 2016-10-05T17:16:24 --startdatetime 2016-10-05T17:19:55 --delay 2 --endMP 204:233284 --enddatetime 2016-10-05T17:56:06 --enforcementcount 0 &gt;&gt;C:\Users\stu\Documents\GitHub\eaglep3-reporting\EC\2016-10-05-refined-times.txt</v>
      </c>
      <c r="AI124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{"issue":{"subject":"","project_id":79,"tracker_id":40,"status_id":1,"priority_id":2,"assigned_to_id":23,"start_date":"2016-10-05","description":"","custom_fields":[{"id":1,"name":"Subdivision","value":"EC"},{"id":4,"name":"Milepost","value":"23.3284"},{"id":17,"name":"Train ID","value":"209-05"},{"id":16,"name":"Locomotive ID","value":"4007"},{"id":130,"name":"Impact","value":""},{"id":150,"name":"Time of Event (Mountain Time)","value":"17:56:06"},{"id":151,"name":"Denver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558</v>
      </c>
      <c r="B125" s="7">
        <v>4008</v>
      </c>
      <c r="C125" s="24" t="s">
        <v>106</v>
      </c>
      <c r="D125" s="24" t="s">
        <v>244</v>
      </c>
      <c r="E125" s="15">
        <v>42648.750081018516</v>
      </c>
      <c r="F125" s="15">
        <v>42648.758009259262</v>
      </c>
      <c r="G125" s="7">
        <v>2</v>
      </c>
      <c r="H125" s="15" t="s">
        <v>126</v>
      </c>
      <c r="I125" s="15">
        <v>42648.785162037035</v>
      </c>
      <c r="J125" s="7">
        <v>0</v>
      </c>
      <c r="K125" s="117" t="str">
        <f t="shared" si="69"/>
        <v>4007/4008</v>
      </c>
      <c r="L125" s="24" t="str">
        <f>VLOOKUP(A125,'Trips&amp;Operators'!$C$1:$E$10000,3,FALSE)</f>
        <v>STURGEON</v>
      </c>
      <c r="M125" s="6">
        <f t="shared" si="70"/>
        <v>2.7152777773153502E-2</v>
      </c>
      <c r="N125" s="7">
        <f t="shared" si="68"/>
        <v>39.099999993341044</v>
      </c>
      <c r="O125" s="7"/>
      <c r="P125" s="7"/>
      <c r="Q125" s="25"/>
      <c r="R125" s="25"/>
      <c r="S125" s="37">
        <f t="shared" ref="S125:S156" si="78">SUM(U125:U125)/IF(AG125="EC",12,1)</f>
        <v>1</v>
      </c>
      <c r="T125" s="52" t="str">
        <f t="shared" si="39"/>
        <v>Southbound</v>
      </c>
      <c r="U125" s="159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17:00:07-0600',mode:absolute,to:'2016-10-05 19:50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25" s="54" t="str">
        <f t="shared" si="72"/>
        <v>N</v>
      </c>
      <c r="X125" s="164">
        <f t="shared" si="67"/>
        <v>1</v>
      </c>
      <c r="Y125" s="69">
        <f t="shared" si="73"/>
        <v>23.297999999999998</v>
      </c>
      <c r="Z125" s="69">
        <f t="shared" si="74"/>
        <v>1.54E-2</v>
      </c>
      <c r="AA125" s="69">
        <f t="shared" si="75"/>
        <v>23.282599999999999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 t="shared" si="40"/>
        <v>0210-05</v>
      </c>
      <c r="AE125" s="95" t="str">
        <f t="shared" si="76"/>
        <v>aws s3 cp s3://rtdc.mdm.uploadarchive.raw/RTDC4008/ "%USERPROFILE%\AppData\Local\Temp\OnboardLogs"\RTDC4008\2016-10-05 --exclude "*" --recursive --include "*20161005*" &amp; "%USERPROFILE%\Documents\GitHub\mrs-test-scripts\Headless Mode &amp; Sideloading\WalkAndUnGZ.bat" "%USERPROFILE%\AppData\Local\Temp\OnboardLogs"\RTDC4008\2016-10-05 &amp; 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</v>
      </c>
      <c r="AF125" s="92" t="str">
        <f t="shared" si="77"/>
        <v>"C:\Program Files (x86)\AstroGrep\AstroGrep.exe" /spath="%USERPROFILE%\AppData\Local\Temp\OnboardLogs" /stypes="app*4008*20161006*" /stext=" 00:.+((SYSTEM_STATE.+slice.+state.+changed )|(ment ac)|(system.+state.+changed )|(\[timeout)|(PRM\|1\|D)|(kpr)|(kdp)|(\|lc)|(penalty))" /e /r /s</v>
      </c>
      <c r="AG125" s="1" t="str">
        <f t="shared" si="41"/>
        <v>EC</v>
      </c>
      <c r="AH125" s="96" t="str">
        <f t="shared" si="53"/>
        <v>"%USERPROFILE%\Documents\GitHub\eaglep3\Utilities\RefineRTDCRunTimes.py" --tripid 210-05 --locoid 4008 --swversion DE.1.0.7.0 --startMP 204:232980 --initTime 2016-10-05T18:00:07 --startdatetime 2016-10-05T18:11:32 --delay 2 --endMP 204:154 --enddatetime 2016-10-05T18:50:38 --enforcementcount 0 &gt;&gt;C:\Users\stu\Documents\GitHub\eaglep3-reporting\EC\2016-10-05-refined-times.txt</v>
      </c>
      <c r="AI125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{"issue":{"subject":"","project_id":79,"tracker_id":40,"status_id":1,"priority_id":2,"assigned_to_id":23,"start_date":"2016-10-05","description":"","custom_fields":[{"id":1,"name":"Subdivision","value":"EC"},{"id":4,"name":"Milepost","value":"0.0154"},{"id":17,"name":"Train ID","value":"210-05"},{"id":16,"name":"Locomotive ID","value":"4008"},{"id":130,"name":"Impact","value":""},{"id":150,"name":"Time of Event (Mountain Time)","value":"18:50:38"},{"id":151,"name":"Denver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552</v>
      </c>
      <c r="B126" s="7">
        <v>4018</v>
      </c>
      <c r="C126" s="24" t="s">
        <v>106</v>
      </c>
      <c r="D126" s="24" t="s">
        <v>203</v>
      </c>
      <c r="E126" s="15">
        <v>42648.724768518521</v>
      </c>
      <c r="F126" s="15">
        <v>42648.729398148149</v>
      </c>
      <c r="G126" s="7">
        <v>3</v>
      </c>
      <c r="H126" s="15" t="s">
        <v>215</v>
      </c>
      <c r="I126" s="15">
        <v>42648.756030092591</v>
      </c>
      <c r="J126" s="7">
        <v>0</v>
      </c>
      <c r="K126" s="117" t="str">
        <f t="shared" si="69"/>
        <v>4017/4018</v>
      </c>
      <c r="L126" s="24" t="str">
        <f>VLOOKUP(A126,'Trips&amp;Operators'!$C$1:$E$10000,3,FALSE)</f>
        <v>BROWN</v>
      </c>
      <c r="M126" s="6">
        <f t="shared" si="70"/>
        <v>2.6631944441760425E-2</v>
      </c>
      <c r="N126" s="7">
        <f t="shared" si="68"/>
        <v>38.349999996135011</v>
      </c>
      <c r="O126" s="7"/>
      <c r="P126" s="7"/>
      <c r="Q126" s="25"/>
      <c r="R126" s="25"/>
      <c r="S126" s="37">
        <f t="shared" si="78"/>
        <v>1</v>
      </c>
      <c r="T126" s="52" t="str">
        <f t="shared" si="39"/>
        <v>NorthBound</v>
      </c>
      <c r="U126" s="159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16:23:40-0600',mode:absolute,to:'2016-10-05 19:08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6" s="54" t="str">
        <f t="shared" si="72"/>
        <v>N</v>
      </c>
      <c r="X126" s="164">
        <f t="shared" si="67"/>
        <v>1</v>
      </c>
      <c r="Y126" s="69">
        <f t="shared" si="73"/>
        <v>4.58E-2</v>
      </c>
      <c r="Z126" s="69">
        <f t="shared" si="74"/>
        <v>23.33</v>
      </c>
      <c r="AA126" s="69">
        <f t="shared" si="75"/>
        <v>23.284199999999998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 t="shared" si="40"/>
        <v>0211-05</v>
      </c>
      <c r="AE126" s="95" t="str">
        <f t="shared" si="76"/>
        <v>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 &amp; aws s3 cp s3://rtdc.mdm.uploadarchive.raw/RTDC4018/ "%USERPROFILE%\AppData\Local\Temp\OnboardLogs"\RTDC4018\2016-10-06 --exclude "*" --recursive --include "*20161006*" &amp; "%USERPROFILE%\Documents\GitHub\mrs-test-scripts\Headless Mode &amp; Sideloading\WalkAndUnGZ.bat" "%USERPROFILE%\AppData\Local\Temp\OnboardLogs"\RTDC4018\2016-10-06</v>
      </c>
      <c r="AF126" s="92" t="str">
        <f t="shared" si="77"/>
        <v>"C:\Program Files (x86)\AstroGrep\AstroGrep.exe" /spath="%USERPROFILE%\AppData\Local\Temp\OnboardLogs" /stypes="app*4018*20161006*" /stext=" 00:.+((SYSTEM_STATE.+slice.+state.+changed )|(ment ac)|(system.+state.+changed )|(\[timeout)|(PRM\|1\|D)|(kpr)|(kdp)|(\|lc)|(penalty))" /e /r /s</v>
      </c>
      <c r="AG126" s="1" t="str">
        <f t="shared" si="41"/>
        <v>EC</v>
      </c>
      <c r="AH126" s="96" t="str">
        <f t="shared" si="53"/>
        <v>"%USERPROFILE%\Documents\GitHub\eaglep3\Utilities\RefineRTDCRunTimes.py" --tripid 211-05 --locoid 4018 --swversion DE.1.0.7.0 --startMP 204:458 --initTime 2016-10-05T17:23:40 --startdatetime 2016-10-05T17:30:20 --delay 3 --endMP 204:233300 --enddatetime 2016-10-05T18:08:41 --enforcementcount 0 &gt;&gt;C:\Users\stu\Documents\GitHub\eaglep3-reporting\EC\2016-10-05-refined-times.txt</v>
      </c>
      <c r="AI126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{"issue":{"subject":"","project_id":79,"tracker_id":40,"status_id":1,"priority_id":2,"assigned_to_id":23,"start_date":"2016-10-05","description":"","custom_fields":[{"id":1,"name":"Subdivision","value":"EC"},{"id":4,"name":"Milepost","value":"23.33"},{"id":17,"name":"Train ID","value":"211-05"},{"id":16,"name":"Locomotive ID","value":"4018"},{"id":130,"name":"Impact","value":""},{"id":150,"name":"Time of Event (Mountain Time)","value":"18:08:41"},{"id":151,"name":"Denver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421</v>
      </c>
      <c r="B127" s="7">
        <v>4017</v>
      </c>
      <c r="C127" s="24" t="s">
        <v>106</v>
      </c>
      <c r="D127" s="24" t="s">
        <v>327</v>
      </c>
      <c r="E127" s="15">
        <v>42648.762245370373</v>
      </c>
      <c r="F127" s="15">
        <v>42648.76834490741</v>
      </c>
      <c r="G127" s="7">
        <v>1</v>
      </c>
      <c r="H127" s="15" t="s">
        <v>353</v>
      </c>
      <c r="I127" s="15">
        <v>42648.795601851853</v>
      </c>
      <c r="J127" s="7">
        <v>0</v>
      </c>
      <c r="K127" s="117" t="str">
        <f t="shared" si="69"/>
        <v>4017/4018</v>
      </c>
      <c r="L127" s="24" t="str">
        <f>VLOOKUP(A127,'Trips&amp;Operators'!$C$1:$E$10000,3,FALSE)</f>
        <v>BROWN</v>
      </c>
      <c r="M127" s="6">
        <f t="shared" si="70"/>
        <v>2.7256944442342501E-2</v>
      </c>
      <c r="N127" s="7">
        <f t="shared" si="68"/>
        <v>39.249999996973202</v>
      </c>
      <c r="O127" s="7"/>
      <c r="P127" s="7"/>
      <c r="Q127" s="25"/>
      <c r="R127" s="25"/>
      <c r="S127" s="37">
        <f t="shared" si="78"/>
        <v>1</v>
      </c>
      <c r="T127" s="52" t="str">
        <f t="shared" si="39"/>
        <v>Southbound</v>
      </c>
      <c r="U127" s="159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17:17:38-0600',mode:absolute,to:'2016-10-05 20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7" s="54" t="str">
        <f t="shared" si="72"/>
        <v>N</v>
      </c>
      <c r="X127" s="164">
        <f t="shared" ref="X127:X158" si="79">VALUE(LEFT(AD127,4))-VALUE(LEFT(AD126,4))</f>
        <v>1</v>
      </c>
      <c r="Y127" s="69">
        <f t="shared" si="73"/>
        <v>23.299299999999999</v>
      </c>
      <c r="Z127" s="69">
        <f t="shared" si="74"/>
        <v>1.55E-2</v>
      </c>
      <c r="AA127" s="69">
        <f t="shared" si="75"/>
        <v>23.283799999999999</v>
      </c>
      <c r="AB127" s="66" t="e">
        <f>VLOOKUP(A127,Enforcements!$C$7:$K$21,8,0)</f>
        <v>#N/A</v>
      </c>
      <c r="AC127" s="62" t="e">
        <f>VLOOKUP(A127,Enforcements!$C$7:$E$21,3,0)</f>
        <v>#N/A</v>
      </c>
      <c r="AD127" s="63" t="str">
        <f t="shared" si="40"/>
        <v>0212-05</v>
      </c>
      <c r="AE127" s="95" t="str">
        <f t="shared" si="76"/>
        <v>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 &amp; aws s3 cp s3://rtdc.mdm.uploadarchive.raw/RTDC4017/ "%USERPROFILE%\AppData\Local\Temp\OnboardLogs"\RTDC4017\2016-10-06 --exclude "*" --recursive --include "*20161006*" &amp; "%USERPROFILE%\Documents\GitHub\mrs-test-scripts\Headless Mode &amp; Sideloading\WalkAndUnGZ.bat" "%USERPROFILE%\AppData\Local\Temp\OnboardLogs"\RTDC4017\2016-10-06</v>
      </c>
      <c r="AF127" s="92" t="str">
        <f t="shared" si="77"/>
        <v>"C:\Program Files (x86)\AstroGrep\AstroGrep.exe" /spath="%USERPROFILE%\AppData\Local\Temp\OnboardLogs" /stypes="app*4017*20161006*" /stext=" 01:.+((SYSTEM_STATE.+slice.+state.+changed )|(ment ac)|(system.+state.+changed )|(\[timeout)|(PRM\|1\|D)|(kpr)|(kdp)|(\|lc)|(penalty))" /e /r /s</v>
      </c>
      <c r="AG127" s="1" t="str">
        <f t="shared" si="41"/>
        <v>EC</v>
      </c>
      <c r="AH127" s="96" t="str">
        <f t="shared" si="53"/>
        <v>"%USERPROFILE%\Documents\GitHub\eaglep3\Utilities\RefineRTDCRunTimes.py" --tripid 212-05 --locoid 4017 --swversion DE.1.0.7.0 --startMP 204:232993 --initTime 2016-10-05T18:17:38 --startdatetime 2016-10-05T18:26:25 --delay 1 --endMP 204:155 --enddatetime 2016-10-05T19:05:40 --enforcementcount 0 &gt;&gt;C:\Users\stu\Documents\GitHub\eaglep3-reporting\EC\2016-10-05-refined-times.txt</v>
      </c>
      <c r="AI127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{"issue":{"subject":"","project_id":79,"tracker_id":40,"status_id":1,"priority_id":2,"assigned_to_id":23,"start_date":"2016-10-05","description":"","custom_fields":[{"id":1,"name":"Subdivision","value":"EC"},{"id":4,"name":"Milepost","value":"0.0155"},{"id":17,"name":"Train ID","value":"212-05"},{"id":16,"name":"Locomotive ID","value":"4017"},{"id":130,"name":"Impact","value":""},{"id":150,"name":"Time of Event (Mountain Time)","value":"19:05:40"},{"id":151,"name":"Denver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554</v>
      </c>
      <c r="B128" s="7">
        <v>4003</v>
      </c>
      <c r="C128" s="24" t="s">
        <v>106</v>
      </c>
      <c r="D128" s="24" t="s">
        <v>336</v>
      </c>
      <c r="E128" s="15">
        <v>42648.735011574077</v>
      </c>
      <c r="F128" s="15">
        <v>42648.739803240744</v>
      </c>
      <c r="G128" s="7">
        <v>2</v>
      </c>
      <c r="H128" s="15" t="s">
        <v>286</v>
      </c>
      <c r="I128" s="15">
        <v>42648.763923611114</v>
      </c>
      <c r="J128" s="7">
        <v>0</v>
      </c>
      <c r="K128" s="117" t="str">
        <f t="shared" si="69"/>
        <v>4003/4004</v>
      </c>
      <c r="L128" s="24" t="str">
        <f>VLOOKUP(A128,'Trips&amp;Operators'!$C$1:$E$10000,3,FALSE)</f>
        <v>YANAI</v>
      </c>
      <c r="M128" s="6">
        <f t="shared" si="70"/>
        <v>2.4120370369928423E-2</v>
      </c>
      <c r="N128" s="7">
        <f t="shared" si="68"/>
        <v>34.73333333269693</v>
      </c>
      <c r="O128" s="7"/>
      <c r="P128" s="7"/>
      <c r="Q128" s="25"/>
      <c r="R128" s="25"/>
      <c r="S128" s="37">
        <f t="shared" si="78"/>
        <v>1</v>
      </c>
      <c r="T128" s="52" t="str">
        <f t="shared" si="39"/>
        <v>NorthBound</v>
      </c>
      <c r="U128" s="159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16:38:25-0600',mode:absolute,to:'2016-10-05 19:20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8" s="54" t="str">
        <f t="shared" si="72"/>
        <v>N</v>
      </c>
      <c r="X128" s="164">
        <f t="shared" si="79"/>
        <v>1</v>
      </c>
      <c r="Y128" s="69">
        <f t="shared" si="73"/>
        <v>4.5999999999999999E-2</v>
      </c>
      <c r="Z128" s="69">
        <f t="shared" si="74"/>
        <v>23.329899999999999</v>
      </c>
      <c r="AA128" s="69">
        <f t="shared" si="75"/>
        <v>23.283899999999999</v>
      </c>
      <c r="AB128" s="66" t="e">
        <f>VLOOKUP(A128,Enforcements!$C$7:$K$21,8,0)</f>
        <v>#N/A</v>
      </c>
      <c r="AC128" s="62" t="e">
        <f>VLOOKUP(A128,Enforcements!$C$7:$E$21,3,0)</f>
        <v>#N/A</v>
      </c>
      <c r="AD128" s="63" t="str">
        <f t="shared" si="40"/>
        <v>0213-05</v>
      </c>
      <c r="AE128" s="95" t="str">
        <f t="shared" si="76"/>
        <v>aws s3 cp s3://rtdc.mdm.uploadarchive.raw/RTDC4003/ "%USERPROFILE%\AppData\Local\Temp\OnboardLogs"\RTDC4003\2016-10-05 --exclude "*" --recursive --include "*20161005*" &amp; "%USERPROFILE%\Documents\GitHub\mrs-test-scripts\Headless Mode &amp; Sideloading\WalkAndUnGZ.bat" "%USERPROFILE%\AppData\Local\Temp\OnboardLogs"\RTDC4003\2016-10-05 &amp; aws s3 cp s3://rtdc.mdm.uploadarchive.raw/RTDC4003/ "%USERPROFILE%\AppData\Local\Temp\OnboardLogs"\RTDC4003\2016-10-06 --exclude "*" --recursive --include "*20161006*" &amp; "%USERPROFILE%\Documents\GitHub\mrs-test-scripts\Headless Mode &amp; Sideloading\WalkAndUnGZ.bat" "%USERPROFILE%\AppData\Local\Temp\OnboardLogs"\RTDC4003\2016-10-06</v>
      </c>
      <c r="AF128" s="92" t="str">
        <f t="shared" si="77"/>
        <v>"C:\Program Files (x86)\AstroGrep\AstroGrep.exe" /spath="%USERPROFILE%\AppData\Local\Temp\OnboardLogs" /stypes="app*4003*20161006*" /stext=" 00:.+((SYSTEM_STATE.+slice.+state.+changed )|(ment ac)|(system.+state.+changed )|(\[timeout)|(PRM\|1\|D)|(kpr)|(kdp)|(\|lc)|(penalty))" /e /r /s</v>
      </c>
      <c r="AG128" s="1" t="str">
        <f t="shared" si="41"/>
        <v>EC</v>
      </c>
      <c r="AH128" s="96" t="str">
        <f t="shared" si="53"/>
        <v>"%USERPROFILE%\Documents\GitHub\eaglep3\Utilities\RefineRTDCRunTimes.py" --tripid 213-05 --locoid 4003 --swversion DE.1.0.7.0 --startMP 204:460 --initTime 2016-10-05T17:38:25 --startdatetime 2016-10-05T17:45:19 --delay 2 --endMP 204:233299 --enddatetime 2016-10-05T18:20:03 --enforcementcount 0 &gt;&gt;C:\Users\stu\Documents\GitHub\eaglep3-reporting\EC\2016-10-05-refined-times.txt</v>
      </c>
      <c r="AI128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{"issue":{"subject":"","project_id":79,"tracker_id":40,"status_id":1,"priority_id":2,"assigned_to_id":23,"start_date":"2016-10-05","description":"","custom_fields":[{"id":1,"name":"Subdivision","value":"EC"},{"id":4,"name":"Milepost","value":"23.3299"},{"id":17,"name":"Train ID","value":"213-05"},{"id":16,"name":"Locomotive ID","value":"4003"},{"id":130,"name":"Impact","value":""},{"id":150,"name":"Time of Event (Mountain Time)","value":"18:20:03"},{"id":151,"name":"Denver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564</v>
      </c>
      <c r="B129" s="7">
        <v>4004</v>
      </c>
      <c r="C129" s="24" t="s">
        <v>106</v>
      </c>
      <c r="D129" s="24" t="s">
        <v>244</v>
      </c>
      <c r="E129" s="15">
        <v>42648.775254629632</v>
      </c>
      <c r="F129" s="15">
        <v>42648.778622685182</v>
      </c>
      <c r="G129" s="7">
        <v>1</v>
      </c>
      <c r="H129" s="15" t="s">
        <v>126</v>
      </c>
      <c r="I129" s="15">
        <v>42648.805810185186</v>
      </c>
      <c r="J129" s="7">
        <v>0</v>
      </c>
      <c r="K129" s="117" t="str">
        <f t="shared" si="69"/>
        <v>4003/4004</v>
      </c>
      <c r="L129" s="24" t="str">
        <f>VLOOKUP(A129,'Trips&amp;Operators'!$C$1:$E$10000,3,FALSE)</f>
        <v>YANAI</v>
      </c>
      <c r="M129" s="6">
        <f t="shared" si="70"/>
        <v>2.718750000349246E-2</v>
      </c>
      <c r="N129" s="7">
        <f t="shared" si="68"/>
        <v>39.150000005029142</v>
      </c>
      <c r="O129" s="7"/>
      <c r="P129" s="7"/>
      <c r="Q129" s="25"/>
      <c r="R129" s="25"/>
      <c r="S129" s="37">
        <f t="shared" si="78"/>
        <v>1</v>
      </c>
      <c r="T129" s="52" t="str">
        <f t="shared" si="39"/>
        <v>Southbound</v>
      </c>
      <c r="U129" s="159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17:36:22-0600',mode:absolute,to:'2016-10-05 20:20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9" s="54" t="str">
        <f t="shared" si="72"/>
        <v>N</v>
      </c>
      <c r="X129" s="164">
        <f t="shared" si="79"/>
        <v>1</v>
      </c>
      <c r="Y129" s="69">
        <f t="shared" si="73"/>
        <v>23.297999999999998</v>
      </c>
      <c r="Z129" s="69">
        <f t="shared" si="74"/>
        <v>1.54E-2</v>
      </c>
      <c r="AA129" s="69">
        <f t="shared" si="75"/>
        <v>23.282599999999999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 t="shared" si="40"/>
        <v>0214-05</v>
      </c>
      <c r="AE129" s="95" t="str">
        <f t="shared" si="76"/>
        <v>aws s3 cp s3://rtdc.mdm.uploadarchive.raw/RTDC4004/ "%USERPROFILE%\AppData\Local\Temp\OnboardLogs"\RTDC4004\2016-10-05 --exclude "*" --recursive --include "*20161005*" &amp; "%USERPROFILE%\Documents\GitHub\mrs-test-scripts\Headless Mode &amp; Sideloading\WalkAndUnGZ.bat" "%USERPROFILE%\AppData\Local\Temp\OnboardLogs"\RTDC4004\2016-10-05 &amp; aws s3 cp s3://rtdc.mdm.uploadarchive.raw/RTDC4004/ "%USERPROFILE%\AppData\Local\Temp\OnboardLogs"\RTDC4004\2016-10-06 --exclude "*" --recursive --include "*20161006*" &amp; "%USERPROFILE%\Documents\GitHub\mrs-test-scripts\Headless Mode &amp; Sideloading\WalkAndUnGZ.bat" "%USERPROFILE%\AppData\Local\Temp\OnboardLogs"\RTDC4004\2016-10-06</v>
      </c>
      <c r="AF129" s="92" t="str">
        <f t="shared" si="77"/>
        <v>"C:\Program Files (x86)\AstroGrep\AstroGrep.exe" /spath="%USERPROFILE%\AppData\Local\Temp\OnboardLogs" /stypes="app*4004*20161006*" /stext=" 01:.+((SYSTEM_STATE.+slice.+state.+changed )|(ment ac)|(system.+state.+changed )|(\[timeout)|(PRM\|1\|D)|(kpr)|(kdp)|(\|lc)|(penalty))" /e /r /s</v>
      </c>
      <c r="AG129" s="1" t="str">
        <f t="shared" si="41"/>
        <v>EC</v>
      </c>
      <c r="AH129" s="96" t="str">
        <f t="shared" si="53"/>
        <v>"%USERPROFILE%\Documents\GitHub\eaglep3\Utilities\RefineRTDCRunTimes.py" --tripid 214-05 --locoid 4004 --swversion DE.1.0.7.0 --startMP 204:232980 --initTime 2016-10-05T18:36:22 --startdatetime 2016-10-05T18:41:13 --delay 1 --endMP 204:154 --enddatetime 2016-10-05T19:20:22 --enforcementcount 0 &gt;&gt;C:\Users\stu\Documents\GitHub\eaglep3-reporting\EC\2016-10-05-refined-times.txt</v>
      </c>
      <c r="AI129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{"issue":{"subject":"","project_id":79,"tracker_id":40,"status_id":1,"priority_id":2,"assigned_to_id":23,"start_date":"2016-10-05","description":"","custom_fields":[{"id":1,"name":"Subdivision","value":"EC"},{"id":4,"name":"Milepost","value":"0.0154"},{"id":17,"name":"Train ID","value":"214-05"},{"id":16,"name":"Locomotive ID","value":"4004"},{"id":130,"name":"Impact","value":""},{"id":150,"name":"Time of Event (Mountain Time)","value":"19:20:22"},{"id":151,"name":"Denver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557</v>
      </c>
      <c r="B130" s="7">
        <v>4027</v>
      </c>
      <c r="C130" s="24" t="s">
        <v>106</v>
      </c>
      <c r="D130" s="24" t="s">
        <v>201</v>
      </c>
      <c r="E130" s="15">
        <v>42648.747037037036</v>
      </c>
      <c r="F130" s="15">
        <v>42648.750347222223</v>
      </c>
      <c r="G130" s="7">
        <v>1</v>
      </c>
      <c r="H130" s="15" t="s">
        <v>215</v>
      </c>
      <c r="I130" s="15">
        <v>42648.774756944447</v>
      </c>
      <c r="J130" s="7">
        <v>0</v>
      </c>
      <c r="K130" s="117" t="str">
        <f t="shared" si="69"/>
        <v>4027/4028</v>
      </c>
      <c r="L130" s="24" t="str">
        <f>VLOOKUP(A130,'Trips&amp;Operators'!$C$1:$E$10000,3,FALSE)</f>
        <v>STAMBAUGH</v>
      </c>
      <c r="M130" s="6">
        <f t="shared" si="70"/>
        <v>2.4409722223936114E-2</v>
      </c>
      <c r="N130" s="7">
        <f t="shared" si="68"/>
        <v>35.150000002468005</v>
      </c>
      <c r="O130" s="7"/>
      <c r="P130" s="7"/>
      <c r="Q130" s="25"/>
      <c r="R130" s="25"/>
      <c r="S130" s="37">
        <f t="shared" si="78"/>
        <v>1</v>
      </c>
      <c r="T130" s="52" t="str">
        <f t="shared" si="39"/>
        <v>NorthBound</v>
      </c>
      <c r="U130" s="159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16:55:44-0600',mode:absolute,to:'2016-10-05 19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0" s="54" t="str">
        <f t="shared" si="72"/>
        <v>N</v>
      </c>
      <c r="X130" s="164">
        <f t="shared" si="79"/>
        <v>1</v>
      </c>
      <c r="Y130" s="69">
        <f t="shared" si="73"/>
        <v>4.5100000000000001E-2</v>
      </c>
      <c r="Z130" s="69">
        <f t="shared" si="74"/>
        <v>23.33</v>
      </c>
      <c r="AA130" s="69">
        <f t="shared" si="75"/>
        <v>23.284899999999997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 t="shared" si="40"/>
        <v>0215-05</v>
      </c>
      <c r="AE130" s="95" t="str">
        <f t="shared" si="76"/>
        <v>aws s3 cp s3://rtdc.mdm.uploadarchive.raw/RTDC4027/ "%USERPROFILE%\AppData\Local\Temp\OnboardLogs"\RTDC4027\2016-10-05 --exclude "*" --recursive --include "*20161005*" &amp; "%USERPROFILE%\Documents\GitHub\mrs-test-scripts\Headless Mode &amp; Sideloading\WalkAndUnGZ.bat" "%USERPROFILE%\AppData\Local\Temp\OnboardLogs"\RTDC4027\2016-10-05 &amp; aws s3 cp s3://rtdc.mdm.uploadarchive.raw/RTDC4027/ "%USERPROFILE%\AppData\Local\Temp\OnboardLogs"\RTDC4027\2016-10-06 --exclude "*" --recursive --include "*20161006*" &amp; "%USERPROFILE%\Documents\GitHub\mrs-test-scripts\Headless Mode &amp; Sideloading\WalkAndUnGZ.bat" "%USERPROFILE%\AppData\Local\Temp\OnboardLogs"\RTDC4027\2016-10-06</v>
      </c>
      <c r="AF130" s="92" t="str">
        <f t="shared" si="77"/>
        <v>"C:\Program Files (x86)\AstroGrep\AstroGrep.exe" /spath="%USERPROFILE%\AppData\Local\Temp\OnboardLogs" /stypes="app*4027*20161006*" /stext=" 00:.+((SYSTEM_STATE.+slice.+state.+changed )|(ment ac)|(system.+state.+changed )|(\[timeout)|(PRM\|1\|D)|(kpr)|(kdp)|(\|lc)|(penalty))" /e /r /s</v>
      </c>
      <c r="AG130" s="1" t="str">
        <f t="shared" si="41"/>
        <v>EC</v>
      </c>
      <c r="AH130" s="96" t="str">
        <f t="shared" si="53"/>
        <v>"%USERPROFILE%\Documents\GitHub\eaglep3\Utilities\RefineRTDCRunTimes.py" --tripid 215-05 --locoid 4027 --swversion DE.1.0.7.0 --startMP 204:451 --initTime 2016-10-05T17:55:44 --startdatetime 2016-10-05T18:00:30 --delay 1 --endMP 204:233300 --enddatetime 2016-10-05T18:35:39 --enforcementcount 0 &gt;&gt;C:\Users\stu\Documents\GitHub\eaglep3-reporting\EC\2016-10-05-refined-times.txt</v>
      </c>
      <c r="AI130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{"issue":{"subject":"","project_id":79,"tracker_id":40,"status_id":1,"priority_id":2,"assigned_to_id":23,"start_date":"2016-10-05","description":"","custom_fields":[{"id":1,"name":"Subdivision","value":"EC"},{"id":4,"name":"Milepost","value":"23.33"},{"id":17,"name":"Train ID","value":"215-05"},{"id":16,"name":"Locomotive ID","value":"4027"},{"id":130,"name":"Impact","value":""},{"id":150,"name":"Time of Event (Mountain Time)","value":"18:35:39"},{"id":151,"name":"Denver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422</v>
      </c>
      <c r="B131" s="7">
        <v>4028</v>
      </c>
      <c r="C131" s="24" t="s">
        <v>106</v>
      </c>
      <c r="D131" s="24" t="s">
        <v>287</v>
      </c>
      <c r="E131" s="15">
        <v>42648.783449074072</v>
      </c>
      <c r="F131" s="15">
        <v>42648.7890625</v>
      </c>
      <c r="G131" s="7">
        <v>1</v>
      </c>
      <c r="H131" s="15" t="s">
        <v>190</v>
      </c>
      <c r="I131" s="15">
        <v>42648.816608796296</v>
      </c>
      <c r="J131" s="7">
        <v>0</v>
      </c>
      <c r="K131" s="117" t="str">
        <f t="shared" si="69"/>
        <v>4027/4028</v>
      </c>
      <c r="L131" s="24" t="str">
        <f>VLOOKUP(A131,'Trips&amp;Operators'!$C$1:$E$10000,3,FALSE)</f>
        <v>STAMBAUGH</v>
      </c>
      <c r="M131" s="6">
        <f t="shared" si="70"/>
        <v>2.7546296296350192E-2</v>
      </c>
      <c r="N131" s="7">
        <f t="shared" si="68"/>
        <v>39.666666666744277</v>
      </c>
      <c r="O131" s="7"/>
      <c r="P131" s="7"/>
      <c r="Q131" s="25"/>
      <c r="R131" s="25"/>
      <c r="S131" s="37">
        <f t="shared" si="78"/>
        <v>1</v>
      </c>
      <c r="T131" s="52" t="str">
        <f t="shared" si="39"/>
        <v>Southbound</v>
      </c>
      <c r="U131" s="159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17:48:10-0600',mode:absolute,to:'2016-10-05 20:35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31" s="54" t="str">
        <f t="shared" si="72"/>
        <v>N</v>
      </c>
      <c r="X131" s="164">
        <f t="shared" si="79"/>
        <v>1</v>
      </c>
      <c r="Y131" s="69">
        <f t="shared" si="73"/>
        <v>23.298500000000001</v>
      </c>
      <c r="Z131" s="69">
        <f t="shared" si="74"/>
        <v>1.49E-2</v>
      </c>
      <c r="AA131" s="69">
        <f t="shared" si="75"/>
        <v>23.2836</v>
      </c>
      <c r="AB131" s="66" t="e">
        <f>VLOOKUP(A131,Enforcements!$C$7:$K$21,8,0)</f>
        <v>#N/A</v>
      </c>
      <c r="AC131" s="62" t="e">
        <f>VLOOKUP(A131,Enforcements!$C$7:$E$21,3,0)</f>
        <v>#N/A</v>
      </c>
      <c r="AD131" s="63" t="str">
        <f t="shared" si="40"/>
        <v>0216-05</v>
      </c>
      <c r="AE131" s="95" t="str">
        <f t="shared" si="76"/>
        <v>aws s3 cp s3://rtdc.mdm.uploadarchive.raw/RTDC4028/ "%USERPROFILE%\AppData\Local\Temp\OnboardLogs"\RTDC4028\2016-10-05 --exclude "*" --recursive --include "*20161005*" &amp; "%USERPROFILE%\Documents\GitHub\mrs-test-scripts\Headless Mode &amp; Sideloading\WalkAndUnGZ.bat" "%USERPROFILE%\AppData\Local\Temp\OnboardLogs"\RTDC4028\2016-10-05 &amp; aws s3 cp s3://rtdc.mdm.uploadarchive.raw/RTDC4028/ "%USERPROFILE%\AppData\Local\Temp\OnboardLogs"\RTDC4028\2016-10-06 --exclude "*" --recursive --include "*20161006*" &amp; "%USERPROFILE%\Documents\GitHub\mrs-test-scripts\Headless Mode &amp; Sideloading\WalkAndUnGZ.bat" "%USERPROFILE%\AppData\Local\Temp\OnboardLogs"\RTDC4028\2016-10-06</v>
      </c>
      <c r="AF131" s="92" t="str">
        <f t="shared" si="77"/>
        <v>"C:\Program Files (x86)\AstroGrep\AstroGrep.exe" /spath="%USERPROFILE%\AppData\Local\Temp\OnboardLogs" /stypes="app*4028*20161006*" /stext=" 01:.+((SYSTEM_STATE.+slice.+state.+changed )|(ment ac)|(system.+state.+changed )|(\[timeout)|(PRM\|1\|D)|(kpr)|(kdp)|(\|lc)|(penalty))" /e /r /s</v>
      </c>
      <c r="AG131" s="1" t="str">
        <f t="shared" si="41"/>
        <v>EC</v>
      </c>
      <c r="AH131" s="96" t="str">
        <f t="shared" si="53"/>
        <v>"%USERPROFILE%\Documents\GitHub\eaglep3\Utilities\RefineRTDCRunTimes.py" --tripid 216-05 --locoid 4028 --swversion DE.1.0.7.0 --startMP 204:232985 --initTime 2016-10-05T18:48:10 --startdatetime 2016-10-05T18:56:15 --delay 1 --endMP 204:149 --enddatetime 2016-10-05T19:35:55 --enforcementcount 0 &gt;&gt;C:\Users\stu\Documents\GitHub\eaglep3-reporting\EC\2016-10-05-refined-times.txt</v>
      </c>
      <c r="AI131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{"issue":{"subject":"","project_id":79,"tracker_id":40,"status_id":1,"priority_id":2,"assigned_to_id":23,"start_date":"2016-10-05","description":"","custom_fields":[{"id":1,"name":"Subdivision","value":"EC"},{"id":4,"name":"Milepost","value":"0.0149"},{"id":17,"name":"Train ID","value":"216-05"},{"id":16,"name":"Locomotive ID","value":"4028"},{"id":130,"name":"Impact","value":""},{"id":150,"name":"Time of Event (Mountain Time)","value":"19:35:55"},{"id":151,"name":"Denver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563</v>
      </c>
      <c r="B132" s="7">
        <v>4016</v>
      </c>
      <c r="C132" s="24" t="s">
        <v>106</v>
      </c>
      <c r="D132" s="24" t="s">
        <v>657</v>
      </c>
      <c r="E132" s="15">
        <v>42648.758657407408</v>
      </c>
      <c r="F132" s="15">
        <v>42648.760625000003</v>
      </c>
      <c r="G132" s="7">
        <v>1</v>
      </c>
      <c r="H132" s="15" t="s">
        <v>197</v>
      </c>
      <c r="I132" s="15">
        <v>42648.784872685188</v>
      </c>
      <c r="J132" s="7">
        <v>0</v>
      </c>
      <c r="K132" s="117" t="str">
        <f t="shared" si="69"/>
        <v>4015/4016</v>
      </c>
      <c r="L132" s="24" t="str">
        <f>VLOOKUP(A132,'Trips&amp;Operators'!$C$1:$E$10000,3,FALSE)</f>
        <v>LEVIN</v>
      </c>
      <c r="M132" s="6">
        <f t="shared" si="70"/>
        <v>2.4247685185400769E-2</v>
      </c>
      <c r="N132" s="7">
        <f t="shared" si="68"/>
        <v>34.916666666977108</v>
      </c>
      <c r="O132" s="7"/>
      <c r="P132" s="7"/>
      <c r="Q132" s="25"/>
      <c r="R132" s="25"/>
      <c r="S132" s="37">
        <f t="shared" si="78"/>
        <v>1</v>
      </c>
      <c r="T132" s="52" t="str">
        <f t="shared" si="39"/>
        <v>NorthBound</v>
      </c>
      <c r="U132" s="159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17:12:28-0600',mode:absolute,to:'2016-10-05 19:50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2" s="54" t="str">
        <f t="shared" si="72"/>
        <v>N</v>
      </c>
      <c r="X132" s="164">
        <f t="shared" si="79"/>
        <v>1</v>
      </c>
      <c r="Y132" s="69">
        <f t="shared" si="73"/>
        <v>5.28E-2</v>
      </c>
      <c r="Z132" s="69">
        <f t="shared" si="74"/>
        <v>23.3291</v>
      </c>
      <c r="AA132" s="69">
        <f t="shared" si="75"/>
        <v>23.276299999999999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 t="shared" si="40"/>
        <v>0217-05</v>
      </c>
      <c r="AE132" s="95" t="str">
        <f t="shared" si="76"/>
        <v>aws s3 cp s3://rtdc.mdm.uploadarchive.raw/RTDC4016/ "%USERPROFILE%\AppData\Local\Temp\OnboardLogs"\RTDC4016\2016-10-05 --exclude "*" --recursive --include "*20161005*" &amp; "%USERPROFILE%\Documents\GitHub\mrs-test-scripts\Headless Mode &amp; Sideloading\WalkAndUnGZ.bat" "%USERPROFILE%\AppData\Local\Temp\OnboardLogs"\RTDC4016\2016-10-05 &amp; aws s3 cp s3://rtdc.mdm.uploadarchive.raw/RTDC4016/ "%USERPROFILE%\AppData\Local\Temp\OnboardLogs"\RTDC4016\2016-10-06 --exclude "*" --recursive --include "*20161006*" &amp; "%USERPROFILE%\Documents\GitHub\mrs-test-scripts\Headless Mode &amp; Sideloading\WalkAndUnGZ.bat" "%USERPROFILE%\AppData\Local\Temp\OnboardLogs"\RTDC4016\2016-10-06</v>
      </c>
      <c r="AF132" s="92" t="str">
        <f t="shared" si="77"/>
        <v>"C:\Program Files (x86)\AstroGrep\AstroGrep.exe" /spath="%USERPROFILE%\AppData\Local\Temp\OnboardLogs" /stypes="app*4016*20161006*" /stext=" 00:.+((SYSTEM_STATE.+slice.+state.+changed )|(ment ac)|(system.+state.+changed )|(\[timeout)|(PRM\|1\|D)|(kpr)|(kdp)|(\|lc)|(penalty))" /e /r /s</v>
      </c>
      <c r="AG132" s="1" t="str">
        <f t="shared" si="41"/>
        <v>EC</v>
      </c>
      <c r="AH132" s="96" t="str">
        <f t="shared" si="53"/>
        <v>"%USERPROFILE%\Documents\GitHub\eaglep3\Utilities\RefineRTDCRunTimes.py" --tripid 217-05 --locoid 4016 --swversion DE.1.0.7.0 --startMP 204:528 --initTime 2016-10-05T18:12:28 --startdatetime 2016-10-05T18:15:18 --delay 1 --endMP 204:233291 --enddatetime 2016-10-05T18:50:13 --enforcementcount 0 &gt;&gt;C:\Users\stu\Documents\GitHub\eaglep3-reporting\EC\2016-10-05-refined-times.txt</v>
      </c>
      <c r="AI132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{"issue":{"subject":"","project_id":79,"tracker_id":40,"status_id":1,"priority_id":2,"assigned_to_id":23,"start_date":"2016-10-05","description":"","custom_fields":[{"id":1,"name":"Subdivision","value":"EC"},{"id":4,"name":"Milepost","value":"23.3291"},{"id":17,"name":"Train ID","value":"217-05"},{"id":16,"name":"Locomotive ID","value":"4016"},{"id":130,"name":"Impact","value":""},{"id":150,"name":"Time of Event (Mountain Time)","value":"18:50:13"},{"id":151,"name":"Denver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570</v>
      </c>
      <c r="B133" s="7">
        <v>4015</v>
      </c>
      <c r="C133" s="24" t="s">
        <v>106</v>
      </c>
      <c r="D133" s="24" t="s">
        <v>230</v>
      </c>
      <c r="E133" s="15">
        <v>42648.791342592594</v>
      </c>
      <c r="F133" s="15">
        <v>42648.799479166664</v>
      </c>
      <c r="G133" s="7">
        <v>5</v>
      </c>
      <c r="H133" s="15" t="s">
        <v>209</v>
      </c>
      <c r="I133" s="15">
        <v>42648.825856481482</v>
      </c>
      <c r="J133" s="7">
        <v>0</v>
      </c>
      <c r="K133" s="117" t="str">
        <f t="shared" si="69"/>
        <v>4015/4016</v>
      </c>
      <c r="L133" s="24" t="str">
        <f>VLOOKUP(A133,'Trips&amp;Operators'!$C$1:$E$10000,3,FALSE)</f>
        <v>STORY</v>
      </c>
      <c r="M133" s="6">
        <f t="shared" si="70"/>
        <v>2.6377314818091691E-2</v>
      </c>
      <c r="N133" s="7">
        <f t="shared" si="68"/>
        <v>37.983333338052034</v>
      </c>
      <c r="O133" s="7"/>
      <c r="P133" s="7"/>
      <c r="Q133" s="25"/>
      <c r="R133" s="25"/>
      <c r="S133" s="37">
        <f t="shared" si="78"/>
        <v>1</v>
      </c>
      <c r="T133" s="52" t="str">
        <f t="shared" si="39"/>
        <v>Southbound</v>
      </c>
      <c r="U133" s="159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17:59:32-0600',mode:absolute,to:'2016-10-05 20:49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3" s="54" t="str">
        <f t="shared" si="72"/>
        <v>N</v>
      </c>
      <c r="X133" s="164">
        <f t="shared" si="79"/>
        <v>1</v>
      </c>
      <c r="Y133" s="69">
        <f t="shared" si="73"/>
        <v>23.2988</v>
      </c>
      <c r="Z133" s="69">
        <f t="shared" si="74"/>
        <v>1.5599999999999999E-2</v>
      </c>
      <c r="AA133" s="69">
        <f t="shared" si="75"/>
        <v>23.283200000000001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 t="shared" si="40"/>
        <v>0218-05</v>
      </c>
      <c r="AE133" s="95" t="str">
        <f t="shared" si="76"/>
        <v>aws s3 cp s3://rtdc.mdm.uploadarchive.raw/RTDC4015/ "%USERPROFILE%\AppData\Local\Temp\OnboardLogs"\RTDC4015\2016-10-05 --exclude "*" --recursive --include "*20161005*" &amp; "%USERPROFILE%\Documents\GitHub\mrs-test-scripts\Headless Mode &amp; Sideloading\WalkAndUnGZ.bat" "%USERPROFILE%\AppData\Local\Temp\OnboardLogs"\RTDC4015\2016-10-05 &amp; aws s3 cp s3://rtdc.mdm.uploadarchive.raw/RTDC4015/ "%USERPROFILE%\AppData\Local\Temp\OnboardLogs"\RTDC4015\2016-10-06 --exclude "*" --recursive --include "*20161006*" &amp; "%USERPROFILE%\Documents\GitHub\mrs-test-scripts\Headless Mode &amp; Sideloading\WalkAndUnGZ.bat" "%USERPROFILE%\AppData\Local\Temp\OnboardLogs"\RTDC4015\2016-10-06</v>
      </c>
      <c r="AF133" s="92" t="str">
        <f t="shared" si="77"/>
        <v>"C:\Program Files (x86)\AstroGrep\AstroGrep.exe" /spath="%USERPROFILE%\AppData\Local\Temp\OnboardLogs" /stypes="app*4015*20161006*" /stext=" 01:.+((SYSTEM_STATE.+slice.+state.+changed )|(ment ac)|(system.+state.+changed )|(\[timeout)|(PRM\|1\|D)|(kpr)|(kdp)|(\|lc)|(penalty))" /e /r /s</v>
      </c>
      <c r="AG133" s="1" t="str">
        <f t="shared" si="41"/>
        <v>EC</v>
      </c>
      <c r="AH133" s="96" t="str">
        <f t="shared" si="53"/>
        <v>"%USERPROFILE%\Documents\GitHub\eaglep3\Utilities\RefineRTDCRunTimes.py" --tripid 218-05 --locoid 4015 --swversion DE.1.0.7.0 --startMP 204:232988 --initTime 2016-10-05T18:59:32 --startdatetime 2016-10-05T19:11:15 --delay 5 --endMP 204:156 --enddatetime 2016-10-05T19:49:14 --enforcementcount 0 &gt;&gt;C:\Users\stu\Documents\GitHub\eaglep3-reporting\EC\2016-10-05-refined-times.txt</v>
      </c>
      <c r="AI133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{"issue":{"subject":"","project_id":79,"tracker_id":40,"status_id":1,"priority_id":2,"assigned_to_id":23,"start_date":"2016-10-05","description":"","custom_fields":[{"id":1,"name":"Subdivision","value":"EC"},{"id":4,"name":"Milepost","value":"0.0156"},{"id":17,"name":"Train ID","value":"218-05"},{"id":16,"name":"Locomotive ID","value":"4015"},{"id":130,"name":"Impact","value":""},{"id":150,"name":"Time of Event (Mountain Time)","value":"19:49:14"},{"id":151,"name":"Denver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x14ac:dyDescent="0.25">
      <c r="A134" s="39" t="s">
        <v>566</v>
      </c>
      <c r="B134" s="7">
        <v>4002</v>
      </c>
      <c r="C134" s="24" t="s">
        <v>106</v>
      </c>
      <c r="D134" s="24" t="s">
        <v>658</v>
      </c>
      <c r="E134" s="15">
        <v>42648.77553240741</v>
      </c>
      <c r="F134" s="15">
        <v>42648.776817129627</v>
      </c>
      <c r="G134" s="7">
        <v>1</v>
      </c>
      <c r="H134" s="15" t="s">
        <v>265</v>
      </c>
      <c r="I134" s="15">
        <v>42648.798807870371</v>
      </c>
      <c r="J134" s="7">
        <v>0</v>
      </c>
      <c r="K134" s="117" t="str">
        <f t="shared" si="69"/>
        <v>4001/4002</v>
      </c>
      <c r="L134" s="24" t="str">
        <f>VLOOKUP(A134,'Trips&amp;Operators'!$C$1:$E$10000,3,FALSE)</f>
        <v>COOLAHAN</v>
      </c>
      <c r="M134" s="6">
        <f t="shared" si="70"/>
        <v>2.199074074451346E-2</v>
      </c>
      <c r="N134" s="7"/>
      <c r="O134" s="7"/>
      <c r="P134" s="7">
        <f>24*60*SUM($M134:$M134)</f>
        <v>31.666666672099382</v>
      </c>
      <c r="Q134" s="25"/>
      <c r="R134" s="25" t="s">
        <v>772</v>
      </c>
      <c r="S134" s="37">
        <f t="shared" si="78"/>
        <v>1</v>
      </c>
      <c r="T134" s="52" t="str">
        <f t="shared" si="39"/>
        <v>NorthBound</v>
      </c>
      <c r="U134" s="159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17:36:46-0600',mode:absolute,to:'2016-10-05 20:10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4" s="54" t="str">
        <f t="shared" si="72"/>
        <v>Y</v>
      </c>
      <c r="X134" s="164">
        <f t="shared" si="79"/>
        <v>1</v>
      </c>
      <c r="Y134" s="69">
        <f t="shared" si="73"/>
        <v>1.9134</v>
      </c>
      <c r="Z134" s="69">
        <f t="shared" si="74"/>
        <v>23.328700000000001</v>
      </c>
      <c r="AA134" s="69">
        <f t="shared" si="75"/>
        <v>21.415300000000002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 t="shared" si="40"/>
        <v>0219-05</v>
      </c>
      <c r="AE134" s="95" t="str">
        <f t="shared" si="76"/>
        <v>aws s3 cp s3://rtdc.mdm.uploadarchive.raw/RTDC4002/ "%USERPROFILE%\AppData\Local\Temp\OnboardLogs"\RTDC4002\2016-10-05 --exclude "*" --recursive --include "*20161005*" &amp; "%USERPROFILE%\Documents\GitHub\mrs-test-scripts\Headless Mode &amp; Sideloading\WalkAndUnGZ.bat" "%USERPROFILE%\AppData\Local\Temp\OnboardLogs"\RTDC4002\2016-10-05 &amp; aws s3 cp s3://rtdc.mdm.uploadarchive.raw/RTDC4002/ "%USERPROFILE%\AppData\Local\Temp\OnboardLogs"\RTDC4002\2016-10-06 --exclude "*" --recursive --include "*20161006*" &amp; "%USERPROFILE%\Documents\GitHub\mrs-test-scripts\Headless Mode &amp; Sideloading\WalkAndUnGZ.bat" "%USERPROFILE%\AppData\Local\Temp\OnboardLogs"\RTDC4002\2016-10-06</v>
      </c>
      <c r="AF134" s="92" t="str">
        <f t="shared" si="77"/>
        <v>"C:\Program Files (x86)\AstroGrep\AstroGrep.exe" /spath="%USERPROFILE%\AppData\Local\Temp\OnboardLogs" /stypes="app*4002*20161006*" /stext=" 01:.+((SYSTEM_STATE.+slice.+state.+changed )|(ment ac)|(system.+state.+changed )|(\[timeout)|(PRM\|1\|D)|(kpr)|(kdp)|(\|lc)|(penalty))" /e /r /s</v>
      </c>
      <c r="AG134" s="1" t="str">
        <f t="shared" si="41"/>
        <v>EC</v>
      </c>
      <c r="AH134" s="96" t="str">
        <f t="shared" si="53"/>
        <v>"%USERPROFILE%\Documents\GitHub\eaglep3\Utilities\RefineRTDCRunTimes.py" --tripid 219-05 --locoid 4002 --swversion DE.1.0.7.0 --startMP 204:19134 --initTime 2016-10-05T18:36:46 --startdatetime 2016-10-05T18:38:37 --delay 1 --endMP 204:233287 --enddatetime 2016-10-05T19:10:17 --enforcementcount 0 &gt;&gt;C:\Users\stu\Documents\GitHub\eaglep3-reporting\EC\2016-10-05-refined-times.txt</v>
      </c>
      <c r="AI134" s="130" t="str">
        <f t="shared" si="54"/>
        <v>echo {"issue":{"subject":"Operator incorrectly entered clearance number (1523 vs 1623)","project_id":79,"tracker_id":40,"status_id":1,"priority_id":2,"assigned_to_id":23,"start_date":"2016-10-05","description":"Need a deeper look from STMS folks. Blank 1001 (no trip IDs available) at 2016-10-05 18:30:12.","custom_fields":[{"id":1,"name":"Subdivision","value":"EC"},{"id":4,"name":"Milepost","value":"23.3287"},{"id":17,"name":"Train ID","value":"219-05"},{"id":16,"name":"Locomotive ID","value":"4002"},{"id":130,"name":"Impact","value":""},{"id":150,"name":"Time of Event (Mountain Time)","value":"19:10:17"},{"id":151,"name":"Denver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 t="s">
        <v>771</v>
      </c>
      <c r="AK134" s="55"/>
      <c r="AL134" s="55"/>
    </row>
    <row r="135" spans="1:38" s="23" customFormat="1" x14ac:dyDescent="0.25">
      <c r="A135" s="39" t="s">
        <v>574</v>
      </c>
      <c r="B135" s="7">
        <v>4001</v>
      </c>
      <c r="C135" s="24" t="s">
        <v>106</v>
      </c>
      <c r="D135" s="24" t="s">
        <v>659</v>
      </c>
      <c r="E135" s="15">
        <v>42648.806122685186</v>
      </c>
      <c r="F135" s="15">
        <v>42648.809976851851</v>
      </c>
      <c r="G135" s="7">
        <v>2</v>
      </c>
      <c r="H135" s="15" t="s">
        <v>213</v>
      </c>
      <c r="I135" s="15">
        <v>42648.836354166669</v>
      </c>
      <c r="J135" s="7">
        <v>0</v>
      </c>
      <c r="K135" s="117" t="str">
        <f t="shared" si="69"/>
        <v>4001/4002</v>
      </c>
      <c r="L135" s="24" t="str">
        <f>VLOOKUP(A135,'Trips&amp;Operators'!$C$1:$E$10000,3,FALSE)</f>
        <v>COOLAHAN</v>
      </c>
      <c r="M135" s="6">
        <f t="shared" si="70"/>
        <v>2.6377314818091691E-2</v>
      </c>
      <c r="N135" s="7">
        <f t="shared" ref="N135:N166" si="80">24*60*SUM($M135:$M135)</f>
        <v>37.983333338052034</v>
      </c>
      <c r="O135" s="7"/>
      <c r="P135" s="7"/>
      <c r="Q135" s="25"/>
      <c r="R135" s="25"/>
      <c r="S135" s="37">
        <f t="shared" si="78"/>
        <v>1</v>
      </c>
      <c r="T135" s="52" t="str">
        <f t="shared" si="39"/>
        <v>Southbound</v>
      </c>
      <c r="U135" s="159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18:20:49-0600',mode:absolute,to:'2016-10-05 21:04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5" s="54" t="str">
        <f t="shared" si="72"/>
        <v>N</v>
      </c>
      <c r="X135" s="164">
        <f t="shared" si="79"/>
        <v>1</v>
      </c>
      <c r="Y135" s="69">
        <f t="shared" si="73"/>
        <v>23.297000000000001</v>
      </c>
      <c r="Z135" s="69">
        <f t="shared" si="74"/>
        <v>1.41E-2</v>
      </c>
      <c r="AA135" s="69">
        <f t="shared" si="75"/>
        <v>23.282900000000001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 t="shared" si="40"/>
        <v>0220-05</v>
      </c>
      <c r="AE135" s="95" t="str">
        <f t="shared" si="76"/>
        <v>aws s3 cp s3://rtdc.mdm.uploadarchive.raw/RTDC4001/ "%USERPROFILE%\AppData\Local\Temp\OnboardLogs"\RTDC4001\2016-10-05 --exclude "*" --recursive --include "*20161005*" &amp; "%USERPROFILE%\Documents\GitHub\mrs-test-scripts\Headless Mode &amp; Sideloading\WalkAndUnGZ.bat" "%USERPROFILE%\AppData\Local\Temp\OnboardLogs"\RTDC4001\2016-10-05 &amp; aws s3 cp s3://rtdc.mdm.uploadarchive.raw/RTDC4001/ "%USERPROFILE%\AppData\Local\Temp\OnboardLogs"\RTDC4001\2016-10-06 --exclude "*" --recursive --include "*20161006*" &amp; "%USERPROFILE%\Documents\GitHub\mrs-test-scripts\Headless Mode &amp; Sideloading\WalkAndUnGZ.bat" "%USERPROFILE%\AppData\Local\Temp\OnboardLogs"\RTDC4001\2016-10-06</v>
      </c>
      <c r="AF135" s="92" t="str">
        <f t="shared" si="77"/>
        <v>"C:\Program Files (x86)\AstroGrep\AstroGrep.exe" /spath="%USERPROFILE%\AppData\Local\Temp\OnboardLogs" /stypes="app*4001*20161006*" /stext=" 02:.+((SYSTEM_STATE.+slice.+state.+changed )|(ment ac)|(system.+state.+changed )|(\[timeout)|(PRM\|1\|D)|(kpr)|(kdp)|(\|lc)|(penalty))" /e /r /s</v>
      </c>
      <c r="AG135" s="1" t="str">
        <f t="shared" si="41"/>
        <v>EC</v>
      </c>
      <c r="AH135" s="96" t="str">
        <f t="shared" si="53"/>
        <v>"%USERPROFILE%\Documents\GitHub\eaglep3\Utilities\RefineRTDCRunTimes.py" --tripid 220-05 --locoid 4001 --swversion DE.1.0.7.0 --startMP 204:232970 --initTime 2016-10-05T19:20:49 --startdatetime 2016-10-05T19:26:22 --delay 2 --endMP 204:141 --enddatetime 2016-10-05T20:04:21 --enforcementcount 0 &gt;&gt;C:\Users\stu\Documents\GitHub\eaglep3-reporting\EC\2016-10-05-refined-times.txt</v>
      </c>
      <c r="AI135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{"issue":{"subject":"","project_id":79,"tracker_id":40,"status_id":1,"priority_id":2,"assigned_to_id":23,"start_date":"2016-10-05","description":"","custom_fields":[{"id":1,"name":"Subdivision","value":"EC"},{"id":4,"name":"Milepost","value":"0.0141"},{"id":17,"name":"Train ID","value":"220-05"},{"id":16,"name":"Locomotive ID","value":"4001"},{"id":130,"name":"Impact","value":""},{"id":150,"name":"Time of Event (Mountain Time)","value":"20:04:21"},{"id":151,"name":"Denver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x14ac:dyDescent="0.25">
      <c r="A136" s="39" t="s">
        <v>569</v>
      </c>
      <c r="B136" s="7">
        <v>4007</v>
      </c>
      <c r="C136" s="24" t="s">
        <v>106</v>
      </c>
      <c r="D136" s="24" t="s">
        <v>220</v>
      </c>
      <c r="E136" s="15">
        <v>42648.786782407406</v>
      </c>
      <c r="F136" s="15">
        <v>42648.791898148149</v>
      </c>
      <c r="G136" s="7">
        <v>2</v>
      </c>
      <c r="H136" s="15" t="s">
        <v>274</v>
      </c>
      <c r="I136" s="15">
        <v>42648.817673611113</v>
      </c>
      <c r="J136" s="7">
        <v>0</v>
      </c>
      <c r="K136" s="117" t="str">
        <f t="shared" si="69"/>
        <v>4007/4008</v>
      </c>
      <c r="L136" s="24" t="str">
        <f>VLOOKUP(A136,'Trips&amp;Operators'!$C$1:$E$10000,3,FALSE)</f>
        <v>STURGEON</v>
      </c>
      <c r="M136" s="6">
        <f t="shared" si="70"/>
        <v>2.5775462963792961E-2</v>
      </c>
      <c r="N136" s="7">
        <f t="shared" si="80"/>
        <v>37.116666667861864</v>
      </c>
      <c r="O136" s="7"/>
      <c r="P136" s="7"/>
      <c r="Q136" s="25"/>
      <c r="R136" s="25"/>
      <c r="S136" s="37">
        <f t="shared" si="78"/>
        <v>1</v>
      </c>
      <c r="T136" s="52" t="str">
        <f t="shared" si="39"/>
        <v>NorthBound</v>
      </c>
      <c r="U136" s="159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17:52:58-0600',mode:absolute,to:'2016-10-05 20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6" s="54" t="str">
        <f t="shared" si="72"/>
        <v>N</v>
      </c>
      <c r="X136" s="164">
        <f t="shared" si="79"/>
        <v>1</v>
      </c>
      <c r="Y136" s="69">
        <f t="shared" si="73"/>
        <v>4.6399999999999997E-2</v>
      </c>
      <c r="Z136" s="69">
        <f t="shared" si="74"/>
        <v>23.329699999999999</v>
      </c>
      <c r="AA136" s="69">
        <f t="shared" si="75"/>
        <v>23.283300000000001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 t="shared" si="40"/>
        <v>0221-05</v>
      </c>
      <c r="AE136" s="95" t="str">
        <f t="shared" si="76"/>
        <v>aws s3 cp s3://rtdc.mdm.uploadarchive.raw/RTDC4007/ "%USERPROFILE%\AppData\Local\Temp\OnboardLogs"\RTDC4007\2016-10-05 --exclude "*" --recursive --include "*20161005*" &amp; "%USERPROFILE%\Documents\GitHub\mrs-test-scripts\Headless Mode &amp; Sideloading\WalkAndUnGZ.bat" "%USERPROFILE%\AppData\Local\Temp\OnboardLogs"\RTDC4007\2016-10-05 &amp; 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</v>
      </c>
      <c r="AF136" s="92" t="str">
        <f t="shared" si="77"/>
        <v>"C:\Program Files (x86)\AstroGrep\AstroGrep.exe" /spath="%USERPROFILE%\AppData\Local\Temp\OnboardLogs" /stypes="app*4007*20161006*" /stext=" 01:.+((SYSTEM_STATE.+slice.+state.+changed )|(ment ac)|(system.+state.+changed )|(\[timeout)|(PRM\|1\|D)|(kpr)|(kdp)|(\|lc)|(penalty))" /e /r /s</v>
      </c>
      <c r="AG136" s="1" t="str">
        <f t="shared" si="41"/>
        <v>EC</v>
      </c>
      <c r="AH136" s="96" t="str">
        <f t="shared" si="53"/>
        <v>"%USERPROFILE%\Documents\GitHub\eaglep3\Utilities\RefineRTDCRunTimes.py" --tripid 221-05 --locoid 4007 --swversion DE.1.0.7.0 --startMP 204:464 --initTime 2016-10-05T18:52:58 --startdatetime 2016-10-05T19:00:20 --delay 2 --endMP 204:233297 --enddatetime 2016-10-05T19:37:27 --enforcementcount 0 &gt;&gt;C:\Users\stu\Documents\GitHub\eaglep3-reporting\EC\2016-10-05-refined-times.txt</v>
      </c>
      <c r="AI136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{"issue":{"subject":"","project_id":79,"tracker_id":40,"status_id":1,"priority_id":2,"assigned_to_id":23,"start_date":"2016-10-05","description":"","custom_fields":[{"id":1,"name":"Subdivision","value":"EC"},{"id":4,"name":"Milepost","value":"23.3297"},{"id":17,"name":"Train ID","value":"221-05"},{"id":16,"name":"Locomotive ID","value":"4007"},{"id":130,"name":"Impact","value":""},{"id":150,"name":"Time of Event (Mountain Time)","value":"19:37:27"},{"id":151,"name":"Denver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577</v>
      </c>
      <c r="B137" s="7">
        <v>4008</v>
      </c>
      <c r="C137" s="24" t="s">
        <v>106</v>
      </c>
      <c r="D137" s="24" t="s">
        <v>330</v>
      </c>
      <c r="E137" s="15">
        <v>42648.825324074074</v>
      </c>
      <c r="F137" s="15">
        <v>42648.830763888887</v>
      </c>
      <c r="G137" s="7">
        <v>2</v>
      </c>
      <c r="H137" s="15" t="s">
        <v>212</v>
      </c>
      <c r="I137" s="15">
        <v>42648.857997685183</v>
      </c>
      <c r="J137" s="7">
        <v>0</v>
      </c>
      <c r="K137" s="117" t="str">
        <f t="shared" si="69"/>
        <v>4007/4008</v>
      </c>
      <c r="L137" s="24" t="str">
        <f>VLOOKUP(A137,'Trips&amp;Operators'!$C$1:$E$10000,3,FALSE)</f>
        <v>STURGEON</v>
      </c>
      <c r="M137" s="6">
        <f t="shared" si="70"/>
        <v>2.7233796296059154E-2</v>
      </c>
      <c r="N137" s="7">
        <f t="shared" si="80"/>
        <v>39.216666666325182</v>
      </c>
      <c r="O137" s="7"/>
      <c r="P137" s="7"/>
      <c r="Q137" s="25"/>
      <c r="R137" s="25"/>
      <c r="S137" s="37">
        <f t="shared" si="78"/>
        <v>1</v>
      </c>
      <c r="T137" s="52" t="str">
        <f t="shared" si="39"/>
        <v>Southbound</v>
      </c>
      <c r="U137" s="159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18:48:28-0600',mode:absolute,to:'2016-10-05 21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7" s="54" t="str">
        <f t="shared" si="72"/>
        <v>N</v>
      </c>
      <c r="X137" s="164">
        <f t="shared" si="79"/>
        <v>1</v>
      </c>
      <c r="Y137" s="69">
        <f t="shared" si="73"/>
        <v>23.2974</v>
      </c>
      <c r="Z137" s="69">
        <f t="shared" si="74"/>
        <v>1.4500000000000001E-2</v>
      </c>
      <c r="AA137" s="69">
        <f t="shared" si="75"/>
        <v>23.282899999999998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 t="shared" si="40"/>
        <v>0222-05</v>
      </c>
      <c r="AE137" s="95" t="str">
        <f t="shared" si="76"/>
        <v>aws s3 cp s3://rtdc.mdm.uploadarchive.raw/RTDC4008/ "%USERPROFILE%\AppData\Local\Temp\OnboardLogs"\RTDC4008\2016-10-05 --exclude "*" --recursive --include "*20161005*" &amp; "%USERPROFILE%\Documents\GitHub\mrs-test-scripts\Headless Mode &amp; Sideloading\WalkAndUnGZ.bat" "%USERPROFILE%\AppData\Local\Temp\OnboardLogs"\RTDC4008\2016-10-05 &amp; 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</v>
      </c>
      <c r="AF137" s="92" t="str">
        <f t="shared" si="77"/>
        <v>"C:\Program Files (x86)\AstroGrep\AstroGrep.exe" /spath="%USERPROFILE%\AppData\Local\Temp\OnboardLogs" /stypes="app*4008*20161006*" /stext=" 02:.+((SYSTEM_STATE.+slice.+state.+changed )|(ment ac)|(system.+state.+changed )|(\[timeout)|(PRM\|1\|D)|(kpr)|(kdp)|(\|lc)|(penalty))" /e /r /s</v>
      </c>
      <c r="AG137" s="1" t="str">
        <f t="shared" si="41"/>
        <v>EC</v>
      </c>
      <c r="AH137" s="96" t="str">
        <f t="shared" si="53"/>
        <v>"%USERPROFILE%\Documents\GitHub\eaglep3\Utilities\RefineRTDCRunTimes.py" --tripid 222-05 --locoid 4008 --swversion DE.1.0.7.0 --startMP 204:232974 --initTime 2016-10-05T19:48:28 --startdatetime 2016-10-05T19:56:18 --delay 2 --endMP 204:145 --enddatetime 2016-10-05T20:35:31 --enforcementcount 0 &gt;&gt;C:\Users\stu\Documents\GitHub\eaglep3-reporting\EC\2016-10-05-refined-times.txt</v>
      </c>
      <c r="AI137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{"issue":{"subject":"","project_id":79,"tracker_id":40,"status_id":1,"priority_id":2,"assigned_to_id":23,"start_date":"2016-10-05","description":"","custom_fields":[{"id":1,"name":"Subdivision","value":"EC"},{"id":4,"name":"Milepost","value":"0.0145"},{"id":17,"name":"Train ID","value":"222-05"},{"id":16,"name":"Locomotive ID","value":"4008"},{"id":130,"name":"Impact","value":""},{"id":150,"name":"Time of Event (Mountain Time)","value":"20:35:31"},{"id":151,"name":"Denver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575</v>
      </c>
      <c r="B138" s="7">
        <v>4003</v>
      </c>
      <c r="C138" s="24" t="s">
        <v>106</v>
      </c>
      <c r="D138" s="24" t="s">
        <v>201</v>
      </c>
      <c r="E138" s="15">
        <v>42648.809016203704</v>
      </c>
      <c r="F138" s="15">
        <v>42648.812789351854</v>
      </c>
      <c r="G138" s="7">
        <v>1</v>
      </c>
      <c r="H138" s="15" t="s">
        <v>634</v>
      </c>
      <c r="I138" s="15">
        <v>42648.837233796294</v>
      </c>
      <c r="J138" s="7">
        <v>0</v>
      </c>
      <c r="K138" s="117" t="str">
        <f t="shared" si="69"/>
        <v>4003/4004</v>
      </c>
      <c r="L138" s="24" t="str">
        <f>VLOOKUP(A138,'Trips&amp;Operators'!$C$1:$E$10000,3,FALSE)</f>
        <v>YANAI</v>
      </c>
      <c r="M138" s="6">
        <f t="shared" si="70"/>
        <v>2.4444444439723156E-2</v>
      </c>
      <c r="N138" s="7">
        <f t="shared" si="80"/>
        <v>35.199999993201345</v>
      </c>
      <c r="O138" s="7"/>
      <c r="P138" s="7"/>
      <c r="Q138" s="25"/>
      <c r="R138" s="25"/>
      <c r="S138" s="37">
        <f t="shared" si="78"/>
        <v>1</v>
      </c>
      <c r="T138" s="52" t="str">
        <f t="shared" si="39"/>
        <v>NorthBound</v>
      </c>
      <c r="U138" s="159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18:24:59-0600',mode:absolute,to:'2016-10-05 21:05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8" s="54" t="str">
        <f t="shared" si="72"/>
        <v>N</v>
      </c>
      <c r="X138" s="164">
        <f t="shared" si="79"/>
        <v>1</v>
      </c>
      <c r="Y138" s="69">
        <f t="shared" si="73"/>
        <v>4.5100000000000001E-2</v>
      </c>
      <c r="Z138" s="69">
        <f t="shared" si="74"/>
        <v>23.331</v>
      </c>
      <c r="AA138" s="69">
        <f t="shared" si="75"/>
        <v>23.285899999999998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 t="shared" si="40"/>
        <v>0223-05</v>
      </c>
      <c r="AE138" s="95" t="str">
        <f t="shared" si="76"/>
        <v>aws s3 cp s3://rtdc.mdm.uploadarchive.raw/RTDC4003/ "%USERPROFILE%\AppData\Local\Temp\OnboardLogs"\RTDC4003\2016-10-05 --exclude "*" --recursive --include "*20161005*" &amp; "%USERPROFILE%\Documents\GitHub\mrs-test-scripts\Headless Mode &amp; Sideloading\WalkAndUnGZ.bat" "%USERPROFILE%\AppData\Local\Temp\OnboardLogs"\RTDC4003\2016-10-05 &amp; aws s3 cp s3://rtdc.mdm.uploadarchive.raw/RTDC4003/ "%USERPROFILE%\AppData\Local\Temp\OnboardLogs"\RTDC4003\2016-10-06 --exclude "*" --recursive --include "*20161006*" &amp; "%USERPROFILE%\Documents\GitHub\mrs-test-scripts\Headless Mode &amp; Sideloading\WalkAndUnGZ.bat" "%USERPROFILE%\AppData\Local\Temp\OnboardLogs"\RTDC4003\2016-10-06</v>
      </c>
      <c r="AF138" s="92" t="str">
        <f t="shared" si="77"/>
        <v>"C:\Program Files (x86)\AstroGrep\AstroGrep.exe" /spath="%USERPROFILE%\AppData\Local\Temp\OnboardLogs" /stypes="app*4003*20161006*" /stext=" 02:.+((SYSTEM_STATE.+slice.+state.+changed )|(ment ac)|(system.+state.+changed )|(\[timeout)|(PRM\|1\|D)|(kpr)|(kdp)|(\|lc)|(penalty))" /e /r /s</v>
      </c>
      <c r="AG138" s="1" t="str">
        <f t="shared" si="41"/>
        <v>EC</v>
      </c>
      <c r="AH138" s="96" t="str">
        <f t="shared" si="53"/>
        <v>"%USERPROFILE%\Documents\GitHub\eaglep3\Utilities\RefineRTDCRunTimes.py" --tripid 223-05 --locoid 4003 --swversion DE.1.0.7.0 --startMP 204:451 --initTime 2016-10-05T19:24:59 --startdatetime 2016-10-05T19:30:25 --delay 1 --endMP 204:233310 --enddatetime 2016-10-05T20:05:37 --enforcementcount 0 &gt;&gt;C:\Users\stu\Documents\GitHub\eaglep3-reporting\EC\2016-10-05-refined-times.txt</v>
      </c>
      <c r="AI138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{"issue":{"subject":"","project_id":79,"tracker_id":40,"status_id":1,"priority_id":2,"assigned_to_id":23,"start_date":"2016-10-05","description":"","custom_fields":[{"id":1,"name":"Subdivision","value":"EC"},{"id":4,"name":"Milepost","value":"23.331"},{"id":17,"name":"Train ID","value":"223-05"},{"id":16,"name":"Locomotive ID","value":"4003"},{"id":130,"name":"Impact","value":""},{"id":150,"name":"Time of Event (Mountain Time)","value":"20:05:37"},{"id":151,"name":"Denver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579</v>
      </c>
      <c r="B139" s="7">
        <v>4004</v>
      </c>
      <c r="C139" s="24" t="s">
        <v>106</v>
      </c>
      <c r="D139" s="24" t="s">
        <v>639</v>
      </c>
      <c r="E139" s="15">
        <v>42648.838483796295</v>
      </c>
      <c r="F139" s="15">
        <v>42648.851550925923</v>
      </c>
      <c r="G139" s="7">
        <v>1</v>
      </c>
      <c r="H139" s="15" t="s">
        <v>198</v>
      </c>
      <c r="I139" s="15">
        <v>42648.87736111111</v>
      </c>
      <c r="J139" s="7">
        <v>0</v>
      </c>
      <c r="K139" s="117" t="str">
        <f t="shared" si="69"/>
        <v>4003/4004</v>
      </c>
      <c r="L139" s="24" t="str">
        <f>VLOOKUP(A139,'Trips&amp;Operators'!$C$1:$E$10000,3,FALSE)</f>
        <v>YANAI</v>
      </c>
      <c r="M139" s="6">
        <f t="shared" si="70"/>
        <v>2.5810185186855961E-2</v>
      </c>
      <c r="N139" s="7">
        <f t="shared" si="80"/>
        <v>37.166666669072583</v>
      </c>
      <c r="O139" s="7"/>
      <c r="P139" s="7"/>
      <c r="Q139" s="25"/>
      <c r="R139" s="25"/>
      <c r="S139" s="37">
        <f t="shared" si="78"/>
        <v>1</v>
      </c>
      <c r="T139" s="52" t="str">
        <f t="shared" si="39"/>
        <v>Southbound</v>
      </c>
      <c r="U139" s="159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19:07:25-0600',mode:absolute,to:'2016-10-05 22:03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9" s="54" t="str">
        <f t="shared" si="72"/>
        <v>N</v>
      </c>
      <c r="X139" s="164">
        <f t="shared" si="79"/>
        <v>1</v>
      </c>
      <c r="Y139" s="69">
        <f t="shared" si="73"/>
        <v>23.2987</v>
      </c>
      <c r="Z139" s="69">
        <f t="shared" si="74"/>
        <v>1.52E-2</v>
      </c>
      <c r="AA139" s="69">
        <f t="shared" si="75"/>
        <v>23.2835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 t="shared" si="40"/>
        <v>0224-05</v>
      </c>
      <c r="AE139" s="95" t="str">
        <f t="shared" si="76"/>
        <v>aws s3 cp s3://rtdc.mdm.uploadarchive.raw/RTDC4004/ "%USERPROFILE%\AppData\Local\Temp\OnboardLogs"\RTDC4004\2016-10-05 --exclude "*" --recursive --include "*20161005*" &amp; "%USERPROFILE%\Documents\GitHub\mrs-test-scripts\Headless Mode &amp; Sideloading\WalkAndUnGZ.bat" "%USERPROFILE%\AppData\Local\Temp\OnboardLogs"\RTDC4004\2016-10-05 &amp; aws s3 cp s3://rtdc.mdm.uploadarchive.raw/RTDC4004/ "%USERPROFILE%\AppData\Local\Temp\OnboardLogs"\RTDC4004\2016-10-06 --exclude "*" --recursive --include "*20161006*" &amp; "%USERPROFILE%\Documents\GitHub\mrs-test-scripts\Headless Mode &amp; Sideloading\WalkAndUnGZ.bat" "%USERPROFILE%\AppData\Local\Temp\OnboardLogs"\RTDC4004\2016-10-06</v>
      </c>
      <c r="AF139" s="92" t="str">
        <f t="shared" si="77"/>
        <v>"C:\Program Files (x86)\AstroGrep\AstroGrep.exe" /spath="%USERPROFILE%\AppData\Local\Temp\OnboardLogs" /stypes="app*4004*20161006*" /stext=" 03:.+((SYSTEM_STATE.+slice.+state.+changed )|(ment ac)|(system.+state.+changed )|(\[timeout)|(PRM\|1\|D)|(kpr)|(kdp)|(\|lc)|(penalty))" /e /r /s</v>
      </c>
      <c r="AG139" s="1" t="str">
        <f t="shared" si="41"/>
        <v>EC</v>
      </c>
      <c r="AH139" s="96" t="str">
        <f t="shared" si="53"/>
        <v>"%USERPROFILE%\Documents\GitHub\eaglep3\Utilities\RefineRTDCRunTimes.py" --tripid 224-05 --locoid 4004 --swversion DE.1.0.7.0 --startMP 204:232987 --initTime 2016-10-05T20:07:25 --startdatetime 2016-10-05T20:26:14 --delay 1 --endMP 204:152 --enddatetime 2016-10-05T21:03:24 --enforcementcount 0 &gt;&gt;C:\Users\stu\Documents\GitHub\eaglep3-reporting\EC\2016-10-05-refined-times.txt</v>
      </c>
      <c r="AI139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{"issue":{"subject":"","project_id":79,"tracker_id":40,"status_id":1,"priority_id":2,"assigned_to_id":23,"start_date":"2016-10-05","description":"","custom_fields":[{"id":1,"name":"Subdivision","value":"EC"},{"id":4,"name":"Milepost","value":"0.0152"},{"id":17,"name":"Train ID","value":"224-05"},{"id":16,"name":"Locomotive ID","value":"4004"},{"id":130,"name":"Impact","value":""},{"id":150,"name":"Time of Event (Mountain Time)","value":"21:03:24"},{"id":151,"name":"Denver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578</v>
      </c>
      <c r="B140" s="7">
        <v>4016</v>
      </c>
      <c r="C140" s="24" t="s">
        <v>106</v>
      </c>
      <c r="D140" s="24" t="s">
        <v>195</v>
      </c>
      <c r="E140" s="15">
        <v>42648.827673611115</v>
      </c>
      <c r="F140" s="15">
        <v>42648.83357638889</v>
      </c>
      <c r="G140" s="7">
        <v>1</v>
      </c>
      <c r="H140" s="15" t="s">
        <v>215</v>
      </c>
      <c r="I140" s="15">
        <v>42648.859456018516</v>
      </c>
      <c r="J140" s="7">
        <v>0</v>
      </c>
      <c r="K140" s="117" t="str">
        <f t="shared" si="69"/>
        <v>4015/4016</v>
      </c>
      <c r="L140" s="24" t="str">
        <f>VLOOKUP(A140,'Trips&amp;Operators'!$C$1:$E$10000,3,FALSE)</f>
        <v>LEVIN</v>
      </c>
      <c r="M140" s="6">
        <f t="shared" si="70"/>
        <v>2.5879629625706002E-2</v>
      </c>
      <c r="N140" s="7">
        <f t="shared" si="80"/>
        <v>37.266666661016643</v>
      </c>
      <c r="O140" s="7"/>
      <c r="P140" s="7"/>
      <c r="Q140" s="25"/>
      <c r="R140" s="25"/>
      <c r="S140" s="37">
        <f t="shared" si="78"/>
        <v>1</v>
      </c>
      <c r="T140" s="52" t="str">
        <f t="shared" si="39"/>
        <v>NorthBound</v>
      </c>
      <c r="U140" s="159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18:51:51-0600',mode:absolute,to:'2016-10-05 21:37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0" s="54" t="str">
        <f t="shared" si="72"/>
        <v>N</v>
      </c>
      <c r="X140" s="164">
        <f t="shared" si="79"/>
        <v>1</v>
      </c>
      <c r="Y140" s="69">
        <f t="shared" si="73"/>
        <v>4.53E-2</v>
      </c>
      <c r="Z140" s="69">
        <f t="shared" si="74"/>
        <v>23.33</v>
      </c>
      <c r="AA140" s="69">
        <f t="shared" si="75"/>
        <v>23.284699999999997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 t="shared" si="40"/>
        <v>0225-05</v>
      </c>
      <c r="AE140" s="95" t="str">
        <f t="shared" si="76"/>
        <v>aws s3 cp s3://rtdc.mdm.uploadarchive.raw/RTDC4016/ "%USERPROFILE%\AppData\Local\Temp\OnboardLogs"\RTDC4016\2016-10-05 --exclude "*" --recursive --include "*20161005*" &amp; "%USERPROFILE%\Documents\GitHub\mrs-test-scripts\Headless Mode &amp; Sideloading\WalkAndUnGZ.bat" "%USERPROFILE%\AppData\Local\Temp\OnboardLogs"\RTDC4016\2016-10-05 &amp; aws s3 cp s3://rtdc.mdm.uploadarchive.raw/RTDC4016/ "%USERPROFILE%\AppData\Local\Temp\OnboardLogs"\RTDC4016\2016-10-06 --exclude "*" --recursive --include "*20161006*" &amp; "%USERPROFILE%\Documents\GitHub\mrs-test-scripts\Headless Mode &amp; Sideloading\WalkAndUnGZ.bat" "%USERPROFILE%\AppData\Local\Temp\OnboardLogs"\RTDC4016\2016-10-06</v>
      </c>
      <c r="AF140" s="92" t="str">
        <f t="shared" si="77"/>
        <v>"C:\Program Files (x86)\AstroGrep\AstroGrep.exe" /spath="%USERPROFILE%\AppData\Local\Temp\OnboardLogs" /stypes="app*4016*20161006*" /stext=" 02:.+((SYSTEM_STATE.+slice.+state.+changed )|(ment ac)|(system.+state.+changed )|(\[timeout)|(PRM\|1\|D)|(kpr)|(kdp)|(\|lc)|(penalty))" /e /r /s</v>
      </c>
      <c r="AG140" s="1" t="str">
        <f t="shared" si="41"/>
        <v>EC</v>
      </c>
      <c r="AH140" s="96" t="str">
        <f t="shared" si="53"/>
        <v>"%USERPROFILE%\Documents\GitHub\eaglep3\Utilities\RefineRTDCRunTimes.py" --tripid 225-05 --locoid 4016 --swversion DE.1.0.7.0 --startMP 204:453 --initTime 2016-10-05T19:51:51 --startdatetime 2016-10-05T20:00:21 --delay 1 --endMP 204:233300 --enddatetime 2016-10-05T20:37:37 --enforcementcount 0 &gt;&gt;C:\Users\stu\Documents\GitHub\eaglep3-reporting\EC\2016-10-05-refined-times.txt</v>
      </c>
      <c r="AI140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{"issue":{"subject":"","project_id":79,"tracker_id":40,"status_id":1,"priority_id":2,"assigned_to_id":23,"start_date":"2016-10-05","description":"","custom_fields":[{"id":1,"name":"Subdivision","value":"EC"},{"id":4,"name":"Milepost","value":"23.33"},{"id":17,"name":"Train ID","value":"225-05"},{"id":16,"name":"Locomotive ID","value":"4016"},{"id":130,"name":"Impact","value":""},{"id":150,"name":"Time of Event (Mountain Time)","value":"20:37:37"},{"id":151,"name":"Denver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582</v>
      </c>
      <c r="B141" s="7">
        <v>4015</v>
      </c>
      <c r="C141" s="24" t="s">
        <v>106</v>
      </c>
      <c r="D141" s="24" t="s">
        <v>221</v>
      </c>
      <c r="E141" s="15">
        <v>42648.867476851854</v>
      </c>
      <c r="F141" s="15">
        <v>42648.872395833336</v>
      </c>
      <c r="G141" s="7">
        <v>2</v>
      </c>
      <c r="H141" s="15" t="s">
        <v>660</v>
      </c>
      <c r="I141" s="15">
        <v>42648.914189814815</v>
      </c>
      <c r="J141" s="7">
        <v>0</v>
      </c>
      <c r="K141" s="117" t="str">
        <f t="shared" si="69"/>
        <v>4015/4016</v>
      </c>
      <c r="L141" s="24" t="str">
        <f>VLOOKUP(A141,'Trips&amp;Operators'!$C$1:$E$10000,3,FALSE)</f>
        <v>LEVIN</v>
      </c>
      <c r="M141" s="6">
        <f t="shared" si="70"/>
        <v>4.1793981479713693E-2</v>
      </c>
      <c r="N141" s="7">
        <f t="shared" si="80"/>
        <v>60.183333330787718</v>
      </c>
      <c r="O141" s="7"/>
      <c r="P141" s="7"/>
      <c r="Q141" s="25"/>
      <c r="R141" s="25" t="s">
        <v>773</v>
      </c>
      <c r="S141" s="37">
        <f t="shared" si="78"/>
        <v>1</v>
      </c>
      <c r="T141" s="52" t="str">
        <f t="shared" ref="T141:T204" si="81">IF(ISEVEN(LEFT(AD141,4)),"Southbound","NorthBound")</f>
        <v>Southbound</v>
      </c>
      <c r="U141" s="159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19:49:10-0600',mode:absolute,to:'2016-10-05 22:56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1" s="54" t="str">
        <f t="shared" si="72"/>
        <v>N</v>
      </c>
      <c r="X141" s="164">
        <f t="shared" si="79"/>
        <v>1</v>
      </c>
      <c r="Y141" s="69">
        <f t="shared" si="73"/>
        <v>23.297699999999999</v>
      </c>
      <c r="Z141" s="69">
        <f t="shared" si="74"/>
        <v>1.7000000000000001E-2</v>
      </c>
      <c r="AA141" s="69">
        <f t="shared" si="75"/>
        <v>23.2807</v>
      </c>
      <c r="AB141" s="66" t="e">
        <f>VLOOKUP(A141,Enforcements!$C$7:$K$21,8,0)</f>
        <v>#N/A</v>
      </c>
      <c r="AC141" s="62" t="e">
        <f>VLOOKUP(A141,Enforcements!$C$7:$E$21,3,0)</f>
        <v>#N/A</v>
      </c>
      <c r="AD141" s="63" t="str">
        <f t="shared" ref="AD141:AD204" si="82">IF(LEN(A141)=6,"0"&amp;A141,A141)</f>
        <v>0226-05</v>
      </c>
      <c r="AE141" s="95" t="str">
        <f t="shared" si="76"/>
        <v>aws s3 cp s3://rtdc.mdm.uploadarchive.raw/RTDC4015/ "%USERPROFILE%\AppData\Local\Temp\OnboardLogs"\RTDC4015\2016-10-05 --exclude "*" --recursive --include "*20161005*" &amp; "%USERPROFILE%\Documents\GitHub\mrs-test-scripts\Headless Mode &amp; Sideloading\WalkAndUnGZ.bat" "%USERPROFILE%\AppData\Local\Temp\OnboardLogs"\RTDC4015\2016-10-05 &amp; aws s3 cp s3://rtdc.mdm.uploadarchive.raw/RTDC4015/ "%USERPROFILE%\AppData\Local\Temp\OnboardLogs"\RTDC4015\2016-10-06 --exclude "*" --recursive --include "*20161006*" &amp; "%USERPROFILE%\Documents\GitHub\mrs-test-scripts\Headless Mode &amp; Sideloading\WalkAndUnGZ.bat" "%USERPROFILE%\AppData\Local\Temp\OnboardLogs"\RTDC4015\2016-10-06</v>
      </c>
      <c r="AF141" s="92" t="str">
        <f t="shared" si="77"/>
        <v>"C:\Program Files (x86)\AstroGrep\AstroGrep.exe" /spath="%USERPROFILE%\AppData\Local\Temp\OnboardLogs" /stypes="app*4015*20161006*" /stext=" 03:.+((SYSTEM_STATE.+slice.+state.+changed )|(ment ac)|(system.+state.+changed )|(\[timeout)|(PRM\|1\|D)|(kpr)|(kdp)|(\|lc)|(penalty))" /e /r /s</v>
      </c>
      <c r="AG141" s="1" t="str">
        <f t="shared" ref="AG141:AG204" si="83">IFERROR(IF(VALUE(LEFT(AD141,2))&lt;=2,"EC",IF(OR(VALUE(LEFT(AD141,2))=8,VALUE(LEFT(AD141,2))=18),"NW","Other")),"Other")</f>
        <v>EC</v>
      </c>
      <c r="AH141" s="96" t="str">
        <f t="shared" si="53"/>
        <v>"%USERPROFILE%\Documents\GitHub\eaglep3\Utilities\RefineRTDCRunTimes.py" --tripid 226-05 --locoid 4015 --swversion DE.1.0.7.0 --startMP 204:232977 --initTime 2016-10-05T20:49:10 --startdatetime 2016-10-05T20:56:15 --delay 2 --endMP 204:170 --enddatetime 2016-10-05T21:56:26 --enforcementcount 0 &gt;&gt;C:\Users\stu\Documents\GitHub\eaglep3-reporting\EC\2016-10-05-refined-times.txt</v>
      </c>
      <c r="AI141" s="130" t="str">
        <f t="shared" si="54"/>
        <v>echo {"issue":{"subject":"Delayed at 40th","project_id":79,"tracker_id":40,"status_id":1,"priority_id":2,"assigned_to_id":23,"start_date":"2016-10-05","description":"","custom_fields":[{"id":1,"name":"Subdivision","value":"EC"},{"id":4,"name":"Milepost","value":"0.017"},{"id":17,"name":"Train ID","value":"226-05"},{"id":16,"name":"Locomotive ID","value":"4015"},{"id":130,"name":"Impact","value":""},{"id":150,"name":"Time of Event (Mountain Time)","value":"21:56:26"},{"id":151,"name":"Denver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s="23" customFormat="1" x14ac:dyDescent="0.25">
      <c r="A142" s="39" t="s">
        <v>580</v>
      </c>
      <c r="B142" s="7">
        <v>4042</v>
      </c>
      <c r="C142" s="24" t="s">
        <v>106</v>
      </c>
      <c r="D142" s="24" t="s">
        <v>201</v>
      </c>
      <c r="E142" s="15">
        <v>42648.852349537039</v>
      </c>
      <c r="F142" s="15">
        <v>42648.854386574072</v>
      </c>
      <c r="G142" s="7">
        <v>1</v>
      </c>
      <c r="H142" s="15" t="s">
        <v>290</v>
      </c>
      <c r="I142" s="15">
        <v>42648.879606481481</v>
      </c>
      <c r="J142" s="7">
        <v>0</v>
      </c>
      <c r="K142" s="117" t="str">
        <f t="shared" si="69"/>
        <v>4041/4042</v>
      </c>
      <c r="L142" s="24" t="str">
        <f>VLOOKUP(A142,'Trips&amp;Operators'!$C$1:$E$10000,3,FALSE)</f>
        <v>COOLAHAN</v>
      </c>
      <c r="M142" s="6">
        <f t="shared" si="70"/>
        <v>2.5219907409336884E-2</v>
      </c>
      <c r="N142" s="7">
        <f t="shared" si="80"/>
        <v>36.316666669445112</v>
      </c>
      <c r="O142" s="7"/>
      <c r="P142" s="7"/>
      <c r="Q142" s="25"/>
      <c r="R142" s="25"/>
      <c r="S142" s="37">
        <f t="shared" si="78"/>
        <v>1</v>
      </c>
      <c r="T142" s="52" t="str">
        <f t="shared" si="81"/>
        <v>NorthBound</v>
      </c>
      <c r="U142" s="159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19:27:23-0600',mode:absolute,to:'2016-10-05 22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2" s="54" t="str">
        <f t="shared" si="72"/>
        <v>N</v>
      </c>
      <c r="X142" s="164">
        <f t="shared" si="79"/>
        <v>1</v>
      </c>
      <c r="Y142" s="69">
        <f t="shared" si="73"/>
        <v>4.5100000000000001E-2</v>
      </c>
      <c r="Z142" s="69">
        <f t="shared" si="74"/>
        <v>23.331900000000001</v>
      </c>
      <c r="AA142" s="69">
        <f t="shared" si="75"/>
        <v>23.286799999999999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 t="shared" si="82"/>
        <v>0227-05</v>
      </c>
      <c r="AE142" s="95" t="str">
        <f t="shared" si="76"/>
        <v>aws s3 cp s3://rtdc.mdm.uploadarchive.raw/RTDC4042/ "%USERPROFILE%\AppData\Local\Temp\OnboardLogs"\RTDC4042\2016-10-05 --exclude "*" --recursive --include "*20161005*" &amp; "%USERPROFILE%\Documents\GitHub\mrs-test-scripts\Headless Mode &amp; Sideloading\WalkAndUnGZ.bat" "%USERPROFILE%\AppData\Local\Temp\OnboardLogs"\RTDC4042\2016-10-05 &amp; aws s3 cp s3://rtdc.mdm.uploadarchive.raw/RTDC4042/ "%USERPROFILE%\AppData\Local\Temp\OnboardLogs"\RTDC4042\2016-10-06 --exclude "*" --recursive --include "*20161006*" &amp; "%USERPROFILE%\Documents\GitHub\mrs-test-scripts\Headless Mode &amp; Sideloading\WalkAndUnGZ.bat" "%USERPROFILE%\AppData\Local\Temp\OnboardLogs"\RTDC4042\2016-10-06</v>
      </c>
      <c r="AF142" s="92" t="str">
        <f t="shared" si="77"/>
        <v>"C:\Program Files (x86)\AstroGrep\AstroGrep.exe" /spath="%USERPROFILE%\AppData\Local\Temp\OnboardLogs" /stypes="app*4042*20161006*" /stext=" 03:.+((SYSTEM_STATE.+slice.+state.+changed )|(ment ac)|(system.+state.+changed )|(\[timeout)|(PRM\|1\|D)|(kpr)|(kdp)|(\|lc)|(penalty))" /e /r /s</v>
      </c>
      <c r="AG142" s="1" t="str">
        <f t="shared" si="83"/>
        <v>EC</v>
      </c>
      <c r="AH142" s="96" t="str">
        <f t="shared" si="53"/>
        <v>"%USERPROFILE%\Documents\GitHub\eaglep3\Utilities\RefineRTDCRunTimes.py" --tripid 227-05 --locoid 4042 --swversion DE.1.0.7.0 --startMP 204:451 --initTime 2016-10-05T20:27:23 --startdatetime 2016-10-05T20:30:19 --delay 1 --endMP 204:233319 --enddatetime 2016-10-05T21:06:38 --enforcementcount 0 &gt;&gt;C:\Users\stu\Documents\GitHub\eaglep3-reporting\EC\2016-10-05-refined-times.txt</v>
      </c>
      <c r="AI142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{"issue":{"subject":"","project_id":79,"tracker_id":40,"status_id":1,"priority_id":2,"assigned_to_id":23,"start_date":"2016-10-05","description":"","custom_fields":[{"id":1,"name":"Subdivision","value":"EC"},{"id":4,"name":"Milepost","value":"23.3319"},{"id":17,"name":"Train ID","value":"227-05"},{"id":16,"name":"Locomotive ID","value":"4042"},{"id":130,"name":"Impact","value":""},{"id":150,"name":"Time of Event (Mountain Time)","value":"21:06:38"},{"id":151,"name":"Denver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427</v>
      </c>
      <c r="B143" s="7">
        <v>4041</v>
      </c>
      <c r="C143" s="24" t="s">
        <v>106</v>
      </c>
      <c r="D143" s="24" t="s">
        <v>261</v>
      </c>
      <c r="E143" s="15">
        <v>42648.889456018522</v>
      </c>
      <c r="F143" s="15">
        <v>42648.89366898148</v>
      </c>
      <c r="G143" s="7">
        <v>1</v>
      </c>
      <c r="H143" s="15" t="s">
        <v>196</v>
      </c>
      <c r="I143" s="15">
        <v>42648.933981481481</v>
      </c>
      <c r="J143" s="7">
        <v>0</v>
      </c>
      <c r="K143" s="117" t="str">
        <f t="shared" si="69"/>
        <v>4041/4042</v>
      </c>
      <c r="L143" s="24" t="str">
        <f>VLOOKUP(A143,'Trips&amp;Operators'!$C$1:$E$10000,3,FALSE)</f>
        <v>COOLAHAN</v>
      </c>
      <c r="M143" s="6">
        <f t="shared" si="70"/>
        <v>4.0312500001164153E-2</v>
      </c>
      <c r="N143" s="7">
        <f t="shared" si="80"/>
        <v>58.050000001676381</v>
      </c>
      <c r="O143" s="7"/>
      <c r="P143" s="7"/>
      <c r="Q143" s="25"/>
      <c r="R143" s="25" t="s">
        <v>773</v>
      </c>
      <c r="S143" s="37">
        <f t="shared" si="78"/>
        <v>1</v>
      </c>
      <c r="T143" s="52" t="str">
        <f t="shared" si="81"/>
        <v>Southbound</v>
      </c>
      <c r="U143" s="159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20:20:49-0600',mode:absolute,to:'2016-10-05 23:24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3" s="54" t="str">
        <f t="shared" si="72"/>
        <v>N</v>
      </c>
      <c r="X143" s="164">
        <f t="shared" si="79"/>
        <v>1</v>
      </c>
      <c r="Y143" s="69">
        <f t="shared" si="73"/>
        <v>23.300599999999999</v>
      </c>
      <c r="Z143" s="69">
        <f t="shared" si="74"/>
        <v>1.4999999999999999E-2</v>
      </c>
      <c r="AA143" s="69">
        <f t="shared" si="75"/>
        <v>23.285599999999999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 t="shared" si="82"/>
        <v>0228-05</v>
      </c>
      <c r="AE143" s="95" t="str">
        <f t="shared" si="76"/>
        <v>aws s3 cp s3://rtdc.mdm.uploadarchive.raw/RTDC4041/ "%USERPROFILE%\AppData\Local\Temp\OnboardLogs"\RTDC4041\2016-10-05 --exclude "*" --recursive --include "*20161005*" &amp; "%USERPROFILE%\Documents\GitHub\mrs-test-scripts\Headless Mode &amp; Sideloading\WalkAndUnGZ.bat" "%USERPROFILE%\AppData\Local\Temp\OnboardLogs"\RTDC4041\2016-10-05 &amp; aws s3 cp s3://rtdc.mdm.uploadarchive.raw/RTDC4041/ "%USERPROFILE%\AppData\Local\Temp\OnboardLogs"\RTDC4041\2016-10-06 --exclude "*" --recursive --include "*20161006*" &amp; "%USERPROFILE%\Documents\GitHub\mrs-test-scripts\Headless Mode &amp; Sideloading\WalkAndUnGZ.bat" "%USERPROFILE%\AppData\Local\Temp\OnboardLogs"\RTDC4041\2016-10-06</v>
      </c>
      <c r="AF143" s="92" t="str">
        <f t="shared" si="77"/>
        <v>"C:\Program Files (x86)\AstroGrep\AstroGrep.exe" /spath="%USERPROFILE%\AppData\Local\Temp\OnboardLogs" /stypes="app*4041*20161006*" /stext=" 04:.+((SYSTEM_STATE.+slice.+state.+changed )|(ment ac)|(system.+state.+changed )|(\[timeout)|(PRM\|1\|D)|(kpr)|(kdp)|(\|lc)|(penalty))" /e /r /s</v>
      </c>
      <c r="AG143" s="1" t="str">
        <f t="shared" si="83"/>
        <v>EC</v>
      </c>
      <c r="AH143" s="96" t="str">
        <f t="shared" si="53"/>
        <v>"%USERPROFILE%\Documents\GitHub\eaglep3\Utilities\RefineRTDCRunTimes.py" --tripid 228-05 --locoid 4041 --swversion DE.1.0.7.0 --startMP 204:233006 --initTime 2016-10-05T21:20:49 --startdatetime 2016-10-05T21:26:53 --delay 1 --endMP 204:150 --enddatetime 2016-10-05T22:24:56 --enforcementcount 0 &gt;&gt;C:\Users\stu\Documents\GitHub\eaglep3-reporting\EC\2016-10-05-refined-times.txt</v>
      </c>
      <c r="AI143" s="130" t="str">
        <f t="shared" si="54"/>
        <v>echo {"issue":{"subject":"Delayed at 40th","project_id":79,"tracker_id":40,"status_id":1,"priority_id":2,"assigned_to_id":23,"start_date":"2016-10-05","description":"","custom_fields":[{"id":1,"name":"Subdivision","value":"EC"},{"id":4,"name":"Milepost","value":"0.015"},{"id":17,"name":"Train ID","value":"228-05"},{"id":16,"name":"Locomotive ID","value":"4041"},{"id":130,"name":"Impact","value":""},{"id":150,"name":"Time of Event (Mountain Time)","value":"22:24:56"},{"id":151,"name":"Denver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581</v>
      </c>
      <c r="B144" s="7">
        <v>4007</v>
      </c>
      <c r="C144" s="24" t="s">
        <v>106</v>
      </c>
      <c r="D144" s="24" t="s">
        <v>202</v>
      </c>
      <c r="E144" s="15">
        <v>42648.865879629629</v>
      </c>
      <c r="F144" s="15">
        <v>42648.875277777777</v>
      </c>
      <c r="G144" s="7">
        <v>1</v>
      </c>
      <c r="H144" s="15" t="s">
        <v>258</v>
      </c>
      <c r="I144" s="15">
        <v>42648.907233796293</v>
      </c>
      <c r="J144" s="7">
        <v>0</v>
      </c>
      <c r="K144" s="117" t="str">
        <f t="shared" si="69"/>
        <v>4007/4008</v>
      </c>
      <c r="L144" s="24" t="str">
        <f>VLOOKUP(A144,'Trips&amp;Operators'!$C$1:$E$10000,3,FALSE)</f>
        <v>STURGEON</v>
      </c>
      <c r="M144" s="6">
        <f t="shared" si="70"/>
        <v>3.195601851621177E-2</v>
      </c>
      <c r="N144" s="7">
        <f t="shared" si="80"/>
        <v>46.016666663344949</v>
      </c>
      <c r="O144" s="7"/>
      <c r="P144" s="7"/>
      <c r="Q144" s="25"/>
      <c r="R144" s="25"/>
      <c r="S144" s="37">
        <f t="shared" si="78"/>
        <v>1</v>
      </c>
      <c r="T144" s="52" t="str">
        <f t="shared" si="81"/>
        <v>NorthBound</v>
      </c>
      <c r="U144" s="159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19:46:52-0600',mode:absolute,to:'2016-10-05 22:46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44" s="54" t="str">
        <f t="shared" si="72"/>
        <v>N</v>
      </c>
      <c r="X144" s="164">
        <f t="shared" si="79"/>
        <v>1</v>
      </c>
      <c r="Y144" s="69">
        <f t="shared" si="73"/>
        <v>4.5499999999999999E-2</v>
      </c>
      <c r="Z144" s="69">
        <f t="shared" si="74"/>
        <v>23.330200000000001</v>
      </c>
      <c r="AA144" s="69">
        <f t="shared" si="75"/>
        <v>23.284700000000001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 t="shared" si="82"/>
        <v>0229-05</v>
      </c>
      <c r="AE144" s="95" t="str">
        <f t="shared" si="76"/>
        <v>aws s3 cp s3://rtdc.mdm.uploadarchive.raw/RTDC4007/ "%USERPROFILE%\AppData\Local\Temp\OnboardLogs"\RTDC4007\2016-10-05 --exclude "*" --recursive --include "*20161005*" &amp; "%USERPROFILE%\Documents\GitHub\mrs-test-scripts\Headless Mode &amp; Sideloading\WalkAndUnGZ.bat" "%USERPROFILE%\AppData\Local\Temp\OnboardLogs"\RTDC4007\2016-10-05 &amp; 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</v>
      </c>
      <c r="AF144" s="92" t="str">
        <f t="shared" si="77"/>
        <v>"C:\Program Files (x86)\AstroGrep\AstroGrep.exe" /spath="%USERPROFILE%\AppData\Local\Temp\OnboardLogs" /stypes="app*4007*20161006*" /stext=" 03:.+((SYSTEM_STATE.+slice.+state.+changed )|(ment ac)|(system.+state.+changed )|(\[timeout)|(PRM\|1\|D)|(kpr)|(kdp)|(\|lc)|(penalty))" /e /r /s</v>
      </c>
      <c r="AG144" s="1" t="str">
        <f t="shared" si="83"/>
        <v>EC</v>
      </c>
      <c r="AH144" s="96" t="str">
        <f t="shared" si="53"/>
        <v>"%USERPROFILE%\Documents\GitHub\eaglep3\Utilities\RefineRTDCRunTimes.py" --tripid 229-05 --locoid 4007 --swversion DE.1.0.7.0 --startMP 204:455 --initTime 2016-10-05T20:46:52 --startdatetime 2016-10-05T21:00:24 --delay 1 --endMP 204:233302 --enddatetime 2016-10-05T21:46:25 --enforcementcount 0 &gt;&gt;C:\Users\stu\Documents\GitHub\eaglep3-reporting\EC\2016-10-05-refined-times.txt</v>
      </c>
      <c r="AI144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{"issue":{"subject":"","project_id":79,"tracker_id":40,"status_id":1,"priority_id":2,"assigned_to_id":23,"start_date":"2016-10-05","description":"","custom_fields":[{"id":1,"name":"Subdivision","value":"EC"},{"id":4,"name":"Milepost","value":"23.3302"},{"id":17,"name":"Train ID","value":"229-05"},{"id":16,"name":"Locomotive ID","value":"4007"},{"id":130,"name":"Impact","value":""},{"id":150,"name":"Time of Event (Mountain Time)","value":"21:46:25"},{"id":151,"name":"Denver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585</v>
      </c>
      <c r="B145" s="7">
        <v>4008</v>
      </c>
      <c r="C145" s="24" t="s">
        <v>106</v>
      </c>
      <c r="D145" s="24" t="s">
        <v>639</v>
      </c>
      <c r="E145" s="15">
        <v>42648.910196759258</v>
      </c>
      <c r="F145" s="15">
        <v>42648.914178240739</v>
      </c>
      <c r="G145" s="7">
        <v>2</v>
      </c>
      <c r="H145" s="15" t="s">
        <v>661</v>
      </c>
      <c r="I145" s="15">
        <v>42648.955347222225</v>
      </c>
      <c r="J145" s="7">
        <v>0</v>
      </c>
      <c r="K145" s="117" t="str">
        <f t="shared" si="69"/>
        <v>4007/4008</v>
      </c>
      <c r="L145" s="24" t="str">
        <f>VLOOKUP(A145,'Trips&amp;Operators'!$C$1:$E$10000,3,FALSE)</f>
        <v>STURGEON</v>
      </c>
      <c r="M145" s="6">
        <f t="shared" si="70"/>
        <v>4.1168981486407574E-2</v>
      </c>
      <c r="N145" s="7">
        <f t="shared" si="80"/>
        <v>59.283333340426907</v>
      </c>
      <c r="O145" s="7"/>
      <c r="P145" s="7"/>
      <c r="Q145" s="25"/>
      <c r="R145" s="25" t="s">
        <v>773</v>
      </c>
      <c r="S145" s="37">
        <f t="shared" si="78"/>
        <v>1</v>
      </c>
      <c r="T145" s="52" t="str">
        <f t="shared" si="81"/>
        <v>Southbound</v>
      </c>
      <c r="U145" s="159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20:50:41-0600',mode:absolute,to:'2016-10-05 23:55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45" s="54" t="str">
        <f t="shared" si="72"/>
        <v>N</v>
      </c>
      <c r="X145" s="164">
        <f t="shared" si="79"/>
        <v>1</v>
      </c>
      <c r="Y145" s="69">
        <f t="shared" si="73"/>
        <v>23.2987</v>
      </c>
      <c r="Z145" s="69">
        <f t="shared" si="74"/>
        <v>1.6899999999999998E-2</v>
      </c>
      <c r="AA145" s="69">
        <f t="shared" si="75"/>
        <v>23.2818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 t="shared" si="82"/>
        <v>0230-05</v>
      </c>
      <c r="AE145" s="95" t="str">
        <f t="shared" si="76"/>
        <v>aws s3 cp s3://rtdc.mdm.uploadarchive.raw/RTDC4008/ "%USERPROFILE%\AppData\Local\Temp\OnboardLogs"\RTDC4008\2016-10-05 --exclude "*" --recursive --include "*20161005*" &amp; "%USERPROFILE%\Documents\GitHub\mrs-test-scripts\Headless Mode &amp; Sideloading\WalkAndUnGZ.bat" "%USERPROFILE%\AppData\Local\Temp\OnboardLogs"\RTDC4008\2016-10-05 &amp; 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</v>
      </c>
      <c r="AF145" s="92" t="str">
        <f t="shared" si="77"/>
        <v>"C:\Program Files (x86)\AstroGrep\AstroGrep.exe" /spath="%USERPROFILE%\AppData\Local\Temp\OnboardLogs" /stypes="app*4008*20161006*" /stext=" 04:.+((SYSTEM_STATE.+slice.+state.+changed )|(ment ac)|(system.+state.+changed )|(\[timeout)|(PRM\|1\|D)|(kpr)|(kdp)|(\|lc)|(penalty))" /e /r /s</v>
      </c>
      <c r="AG145" s="1" t="str">
        <f t="shared" si="83"/>
        <v>EC</v>
      </c>
      <c r="AH145" s="96" t="str">
        <f t="shared" si="53"/>
        <v>"%USERPROFILE%\Documents\GitHub\eaglep3\Utilities\RefineRTDCRunTimes.py" --tripid 230-05 --locoid 4008 --swversion DE.1.0.7.0 --startMP 204:232987 --initTime 2016-10-05T21:50:41 --startdatetime 2016-10-05T21:56:25 --delay 2 --endMP 204:169 --enddatetime 2016-10-05T22:55:42 --enforcementcount 0 &gt;&gt;C:\Users\stu\Documents\GitHub\eaglep3-reporting\EC\2016-10-05-refined-times.txt</v>
      </c>
      <c r="AI145" s="130" t="str">
        <f t="shared" si="54"/>
        <v>echo {"issue":{"subject":"Delayed at 40th","project_id":79,"tracker_id":40,"status_id":1,"priority_id":2,"assigned_to_id":23,"start_date":"2016-10-05","description":"","custom_fields":[{"id":1,"name":"Subdivision","value":"EC"},{"id":4,"name":"Milepost","value":"0.0169"},{"id":17,"name":"Train ID","value":"230-05"},{"id":16,"name":"Locomotive ID","value":"4008"},{"id":130,"name":"Impact","value":""},{"id":150,"name":"Time of Event (Mountain Time)","value":"22:55:42"},{"id":151,"name":"Denver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583</v>
      </c>
      <c r="B146" s="7">
        <v>4003</v>
      </c>
      <c r="C146" s="24" t="s">
        <v>106</v>
      </c>
      <c r="D146" s="24" t="s">
        <v>220</v>
      </c>
      <c r="E146" s="15">
        <v>42648.878576388888</v>
      </c>
      <c r="F146" s="15">
        <v>42648.896249999998</v>
      </c>
      <c r="G146" s="7">
        <v>1</v>
      </c>
      <c r="H146" s="15" t="s">
        <v>215</v>
      </c>
      <c r="I146" s="15">
        <v>42648.923993055556</v>
      </c>
      <c r="J146" s="7">
        <v>0</v>
      </c>
      <c r="K146" s="117" t="str">
        <f t="shared" si="69"/>
        <v>4003/4004</v>
      </c>
      <c r="L146" s="24" t="str">
        <f>VLOOKUP(A146,'Trips&amp;Operators'!$C$1:$E$10000,3,FALSE)</f>
        <v>YANAI</v>
      </c>
      <c r="M146" s="6">
        <f t="shared" si="70"/>
        <v>2.7743055557948537E-2</v>
      </c>
      <c r="N146" s="7">
        <f t="shared" si="80"/>
        <v>39.950000003445894</v>
      </c>
      <c r="O146" s="7"/>
      <c r="P146" s="7"/>
      <c r="Q146" s="25"/>
      <c r="R146" s="25"/>
      <c r="S146" s="37">
        <f t="shared" si="78"/>
        <v>1</v>
      </c>
      <c r="T146" s="52" t="str">
        <f t="shared" si="81"/>
        <v>NorthBound</v>
      </c>
      <c r="U146" s="159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20:05:09-0600',mode:absolute,to:'2016-10-05 23:10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6" s="54" t="str">
        <f t="shared" si="72"/>
        <v>N</v>
      </c>
      <c r="X146" s="164">
        <f t="shared" si="79"/>
        <v>1</v>
      </c>
      <c r="Y146" s="69">
        <f t="shared" si="73"/>
        <v>4.6399999999999997E-2</v>
      </c>
      <c r="Z146" s="69">
        <f t="shared" si="74"/>
        <v>23.33</v>
      </c>
      <c r="AA146" s="69">
        <f t="shared" si="75"/>
        <v>23.2836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 t="shared" si="82"/>
        <v>0231-05</v>
      </c>
      <c r="AE146" s="95" t="str">
        <f t="shared" si="76"/>
        <v>aws s3 cp s3://rtdc.mdm.uploadarchive.raw/RTDC4003/ "%USERPROFILE%\AppData\Local\Temp\OnboardLogs"\RTDC4003\2016-10-05 --exclude "*" --recursive --include "*20161005*" &amp; "%USERPROFILE%\Documents\GitHub\mrs-test-scripts\Headless Mode &amp; Sideloading\WalkAndUnGZ.bat" "%USERPROFILE%\AppData\Local\Temp\OnboardLogs"\RTDC4003\2016-10-05 &amp; aws s3 cp s3://rtdc.mdm.uploadarchive.raw/RTDC4003/ "%USERPROFILE%\AppData\Local\Temp\OnboardLogs"\RTDC4003\2016-10-06 --exclude "*" --recursive --include "*20161006*" &amp; "%USERPROFILE%\Documents\GitHub\mrs-test-scripts\Headless Mode &amp; Sideloading\WalkAndUnGZ.bat" "%USERPROFILE%\AppData\Local\Temp\OnboardLogs"\RTDC4003\2016-10-06</v>
      </c>
      <c r="AF146" s="92" t="str">
        <f t="shared" si="77"/>
        <v>"C:\Program Files (x86)\AstroGrep\AstroGrep.exe" /spath="%USERPROFILE%\AppData\Local\Temp\OnboardLogs" /stypes="app*4003*20161006*" /stext=" 04:.+((SYSTEM_STATE.+slice.+state.+changed )|(ment ac)|(system.+state.+changed )|(\[timeout)|(PRM\|1\|D)|(kpr)|(kdp)|(\|lc)|(penalty))" /e /r /s</v>
      </c>
      <c r="AG146" s="1" t="str">
        <f t="shared" si="83"/>
        <v>EC</v>
      </c>
      <c r="AH146" s="96" t="str">
        <f t="shared" si="53"/>
        <v>"%USERPROFILE%\Documents\GitHub\eaglep3\Utilities\RefineRTDCRunTimes.py" --tripid 231-05 --locoid 4003 --swversion DE.1.0.7.0 --startMP 204:464 --initTime 2016-10-05T21:05:09 --startdatetime 2016-10-05T21:30:36 --delay 1 --endMP 204:233300 --enddatetime 2016-10-05T22:10:33 --enforcementcount 0 &gt;&gt;C:\Users\stu\Documents\GitHub\eaglep3-reporting\EC\2016-10-05-refined-times.txt</v>
      </c>
      <c r="AI146" s="130" t="str">
        <f t="shared" si="54"/>
        <v>echo {"issue":{"subject":"","project_id":79,"tracker_id":40,"status_id":1,"priority_id":2,"assigned_to_id":23,"start_date":"2016-10-05","description":"","custom_fields":[{"id":1,"name":"Subdivision","value":"EC"},{"id":4,"name":"Milepost","value":"23.33"},{"id":17,"name":"Train ID","value":"231-05"},{"id":16,"name":"Locomotive ID","value":"4003"},{"id":130,"name":"Impact","value":""},{"id":150,"name":"Time of Event (Mountain Time)","value":"22:10:33"},{"id":151,"name":"Denver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588</v>
      </c>
      <c r="B147" s="7">
        <v>4004</v>
      </c>
      <c r="C147" s="24" t="s">
        <v>106</v>
      </c>
      <c r="D147" s="24" t="s">
        <v>231</v>
      </c>
      <c r="E147" s="15">
        <v>42648.931481481479</v>
      </c>
      <c r="F147" s="15">
        <v>42648.934907407405</v>
      </c>
      <c r="G147" s="7">
        <v>1</v>
      </c>
      <c r="H147" s="15" t="s">
        <v>662</v>
      </c>
      <c r="I147" s="15">
        <v>42648.984583333331</v>
      </c>
      <c r="J147" s="7">
        <v>0</v>
      </c>
      <c r="K147" s="117" t="str">
        <f t="shared" si="69"/>
        <v>4003/4004</v>
      </c>
      <c r="L147" s="24" t="str">
        <f>VLOOKUP(A147,'Trips&amp;Operators'!$C$1:$E$10000,3,FALSE)</f>
        <v>YANAI</v>
      </c>
      <c r="M147" s="6">
        <f t="shared" si="70"/>
        <v>4.9675925925839692E-2</v>
      </c>
      <c r="N147" s="7">
        <f t="shared" si="80"/>
        <v>71.533333333209157</v>
      </c>
      <c r="O147" s="7"/>
      <c r="P147" s="7"/>
      <c r="Q147" s="25"/>
      <c r="R147" s="25" t="s">
        <v>773</v>
      </c>
      <c r="S147" s="37">
        <f t="shared" si="78"/>
        <v>1</v>
      </c>
      <c r="T147" s="52" t="str">
        <f t="shared" si="81"/>
        <v>Southbound</v>
      </c>
      <c r="U147" s="159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21:21:20-0600',mode:absolute,to:'2016-10-06 00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7" s="54" t="str">
        <f t="shared" si="72"/>
        <v>N</v>
      </c>
      <c r="X147" s="164">
        <f t="shared" si="79"/>
        <v>1</v>
      </c>
      <c r="Y147" s="69">
        <f t="shared" si="73"/>
        <v>23.299099999999999</v>
      </c>
      <c r="Z147" s="69">
        <f t="shared" si="74"/>
        <v>2.5399999999999999E-2</v>
      </c>
      <c r="AA147" s="69">
        <f t="shared" si="75"/>
        <v>23.273699999999998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 t="shared" si="82"/>
        <v>0232-05</v>
      </c>
      <c r="AE147" s="95" t="str">
        <f t="shared" si="76"/>
        <v>aws s3 cp s3://rtdc.mdm.uploadarchive.raw/RTDC4004/ "%USERPROFILE%\AppData\Local\Temp\OnboardLogs"\RTDC4004\2016-10-05 --exclude "*" --recursive --include "*20161005*" &amp; "%USERPROFILE%\Documents\GitHub\mrs-test-scripts\Headless Mode &amp; Sideloading\WalkAndUnGZ.bat" "%USERPROFILE%\AppData\Local\Temp\OnboardLogs"\RTDC4004\2016-10-05 &amp; aws s3 cp s3://rtdc.mdm.uploadarchive.raw/RTDC4004/ "%USERPROFILE%\AppData\Local\Temp\OnboardLogs"\RTDC4004\2016-10-06 --exclude "*" --recursive --include "*20161006*" &amp; "%USERPROFILE%\Documents\GitHub\mrs-test-scripts\Headless Mode &amp; Sideloading\WalkAndUnGZ.bat" "%USERPROFILE%\AppData\Local\Temp\OnboardLogs"\RTDC4004\2016-10-06</v>
      </c>
      <c r="AF147" s="92" t="str">
        <f t="shared" si="77"/>
        <v>"C:\Program Files (x86)\AstroGrep\AstroGrep.exe" /spath="%USERPROFILE%\AppData\Local\Temp\OnboardLogs" /stypes="app*4004*20161006*" /stext=" 05:.+((SYSTEM_STATE.+slice.+state.+changed )|(ment ac)|(system.+state.+changed )|(\[timeout)|(PRM\|1\|D)|(kpr)|(kdp)|(\|lc)|(penalty))" /e /r /s</v>
      </c>
      <c r="AG147" s="1" t="str">
        <f t="shared" si="83"/>
        <v>EC</v>
      </c>
      <c r="AH147" s="96" t="str">
        <f t="shared" ref="AH147:AH210" si="84"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232-05 --locoid 4004 --swversion DE.1.0.7.0 --startMP 204:232991 --initTime 2016-10-05T22:21:20 --startdatetime 2016-10-05T22:26:16 --delay 1 --endMP 204:254 --enddatetime 2016-10-05T23:37:48 --enforcementcount 0 &gt;&gt;C:\Users\stu\Documents\GitHub\eaglep3-reporting\EC\2016-10-05-refined-times.txt</v>
      </c>
      <c r="AI147" s="130" t="str">
        <f t="shared" ref="AI147:AI210" si="85"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Z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-X POST -H ""Content-Type: application/json"" -H ""X-Redmine-API-Key: "&amp;redm_api_key&amp;""" "&amp;redm_url&amp;" --data @-"</f>
        <v>echo {"issue":{"subject":"Delayed at 40th","project_id":79,"tracker_id":40,"status_id":1,"priority_id":2,"assigned_to_id":23,"start_date":"2016-10-05","description":"","custom_fields":[{"id":1,"name":"Subdivision","value":"EC"},{"id":4,"name":"Milepost","value":"0.0254"},{"id":17,"name":"Train ID","value":"232-05"},{"id":16,"name":"Locomotive ID","value":"4004"},{"id":130,"name":"Impact","value":""},{"id":150,"name":"Time of Event (Mountain Time)","value":"23:37:48"},{"id":151,"name":"Denver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586</v>
      </c>
      <c r="B148" s="7">
        <v>4016</v>
      </c>
      <c r="C148" s="24" t="s">
        <v>106</v>
      </c>
      <c r="D148" s="24" t="s">
        <v>663</v>
      </c>
      <c r="E148" s="15">
        <v>42648.915393518517</v>
      </c>
      <c r="F148" s="15">
        <v>42648.916875000003</v>
      </c>
      <c r="G148" s="7">
        <v>1</v>
      </c>
      <c r="H148" s="15" t="s">
        <v>664</v>
      </c>
      <c r="I148" s="15">
        <v>42648.944201388891</v>
      </c>
      <c r="J148" s="7">
        <v>0</v>
      </c>
      <c r="K148" s="117" t="str">
        <f t="shared" si="69"/>
        <v>4015/4016</v>
      </c>
      <c r="L148" s="24" t="str">
        <f>VLOOKUP(A148,'Trips&amp;Operators'!$C$1:$E$10000,3,FALSE)</f>
        <v>LEVIN</v>
      </c>
      <c r="M148" s="6">
        <f t="shared" si="70"/>
        <v>2.73263888884685E-2</v>
      </c>
      <c r="N148" s="7">
        <f t="shared" si="80"/>
        <v>39.34999999939464</v>
      </c>
      <c r="O148" s="7"/>
      <c r="P148" s="7"/>
      <c r="Q148" s="25"/>
      <c r="R148" s="25"/>
      <c r="S148" s="37">
        <f t="shared" si="78"/>
        <v>1</v>
      </c>
      <c r="T148" s="52" t="str">
        <f t="shared" si="81"/>
        <v>NorthBound</v>
      </c>
      <c r="U148" s="159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20:58:10-0600',mode:absolute,to:'2016-10-05 23:39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8" s="54" t="str">
        <f t="shared" si="72"/>
        <v>N</v>
      </c>
      <c r="X148" s="164">
        <f t="shared" si="79"/>
        <v>1</v>
      </c>
      <c r="Y148" s="69">
        <f t="shared" si="73"/>
        <v>4.8800000000000003E-2</v>
      </c>
      <c r="Z148" s="69">
        <f t="shared" si="74"/>
        <v>23.334199999999999</v>
      </c>
      <c r="AA148" s="69">
        <f t="shared" si="75"/>
        <v>23.285399999999999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 t="shared" si="82"/>
        <v>0233-05</v>
      </c>
      <c r="AE148" s="95" t="str">
        <f t="shared" si="76"/>
        <v>aws s3 cp s3://rtdc.mdm.uploadarchive.raw/RTDC4016/ "%USERPROFILE%\AppData\Local\Temp\OnboardLogs"\RTDC4016\2016-10-05 --exclude "*" --recursive --include "*20161005*" &amp; "%USERPROFILE%\Documents\GitHub\mrs-test-scripts\Headless Mode &amp; Sideloading\WalkAndUnGZ.bat" "%USERPROFILE%\AppData\Local\Temp\OnboardLogs"\RTDC4016\2016-10-05 &amp; aws s3 cp s3://rtdc.mdm.uploadarchive.raw/RTDC4016/ "%USERPROFILE%\AppData\Local\Temp\OnboardLogs"\RTDC4016\2016-10-06 --exclude "*" --recursive --include "*20161006*" &amp; "%USERPROFILE%\Documents\GitHub\mrs-test-scripts\Headless Mode &amp; Sideloading\WalkAndUnGZ.bat" "%USERPROFILE%\AppData\Local\Temp\OnboardLogs"\RTDC4016\2016-10-06</v>
      </c>
      <c r="AF148" s="92" t="str">
        <f t="shared" si="77"/>
        <v>"C:\Program Files (x86)\AstroGrep\AstroGrep.exe" /spath="%USERPROFILE%\AppData\Local\Temp\OnboardLogs" /stypes="app*4016*20161006*" /stext=" 04:.+((SYSTEM_STATE.+slice.+state.+changed )|(ment ac)|(system.+state.+changed )|(\[timeout)|(PRM\|1\|D)|(kpr)|(kdp)|(\|lc)|(penalty))" /e /r /s</v>
      </c>
      <c r="AG148" s="1" t="str">
        <f t="shared" si="83"/>
        <v>EC</v>
      </c>
      <c r="AH148" s="96" t="str">
        <f t="shared" si="84"/>
        <v>"%USERPROFILE%\Documents\GitHub\eaglep3\Utilities\RefineRTDCRunTimes.py" --tripid 233-05 --locoid 4016 --swversion DE.1.0.7.0 --startMP 204:488 --initTime 2016-10-05T21:58:10 --startdatetime 2016-10-05T22:00:18 --delay 1 --endMP 204:233342 --enddatetime 2016-10-05T22:39:39 --enforcementcount 0 &gt;&gt;C:\Users\stu\Documents\GitHub\eaglep3-reporting\EC\2016-10-05-refined-times.txt</v>
      </c>
      <c r="AI148" s="130" t="str">
        <f t="shared" si="85"/>
        <v>echo {"issue":{"subject":"","project_id":79,"tracker_id":40,"status_id":1,"priority_id":2,"assigned_to_id":23,"start_date":"2016-10-05","description":"","custom_fields":[{"id":1,"name":"Subdivision","value":"EC"},{"id":4,"name":"Milepost","value":"23.3342"},{"id":17,"name":"Train ID","value":"233-05"},{"id":16,"name":"Locomotive ID","value":"4016"},{"id":130,"name":"Impact","value":""},{"id":150,"name":"Time of Event (Mountain Time)","value":"22:39:39"},{"id":151,"name":"Denver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428</v>
      </c>
      <c r="B149" s="7">
        <v>4015</v>
      </c>
      <c r="C149" s="24" t="s">
        <v>106</v>
      </c>
      <c r="D149" s="24" t="s">
        <v>332</v>
      </c>
      <c r="E149" s="15">
        <v>42648.950740740744</v>
      </c>
      <c r="F149" s="15">
        <v>42649.009571759256</v>
      </c>
      <c r="G149" s="7">
        <v>1</v>
      </c>
      <c r="H149" s="15" t="s">
        <v>209</v>
      </c>
      <c r="I149" s="15">
        <v>42649.034259259257</v>
      </c>
      <c r="J149" s="7">
        <v>0</v>
      </c>
      <c r="K149" s="117" t="str">
        <f t="shared" si="69"/>
        <v>4015/4016</v>
      </c>
      <c r="L149" s="24" t="str">
        <f>VLOOKUP(A149,'Trips&amp;Operators'!$C$1:$E$10000,3,FALSE)</f>
        <v>LEVIN</v>
      </c>
      <c r="M149" s="6">
        <f t="shared" si="70"/>
        <v>2.4687500001164153E-2</v>
      </c>
      <c r="N149" s="7">
        <f t="shared" si="80"/>
        <v>35.550000001676381</v>
      </c>
      <c r="O149" s="7"/>
      <c r="P149" s="7"/>
      <c r="Q149" s="25"/>
      <c r="R149" s="25"/>
      <c r="S149" s="37">
        <f t="shared" si="78"/>
        <v>1</v>
      </c>
      <c r="T149" s="52" t="str">
        <f t="shared" si="81"/>
        <v>Southbound</v>
      </c>
      <c r="U149" s="159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21:49:04-0600',mode:absolute,to:'2016-10-06 01:49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9" s="54" t="str">
        <f t="shared" si="72"/>
        <v>N</v>
      </c>
      <c r="X149" s="164">
        <f t="shared" si="79"/>
        <v>1</v>
      </c>
      <c r="Y149" s="69">
        <f t="shared" si="73"/>
        <v>23.301300000000001</v>
      </c>
      <c r="Z149" s="69">
        <f t="shared" si="74"/>
        <v>1.5599999999999999E-2</v>
      </c>
      <c r="AA149" s="69">
        <f t="shared" si="75"/>
        <v>23.285700000000002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 t="shared" si="82"/>
        <v>0234-05</v>
      </c>
      <c r="AE149" s="95" t="str">
        <f t="shared" si="76"/>
        <v>aws s3 cp s3://rtdc.mdm.uploadarchive.raw/RTDC4015/ "%USERPROFILE%\AppData\Local\Temp\OnboardLogs"\RTDC4015\2016-10-06 --exclude "*" --recursive --include "*20161006*" &amp; "%USERPROFILE%\Documents\GitHub\mrs-test-scripts\Headless Mode &amp; Sideloading\WalkAndUnGZ.bat" "%USERPROFILE%\AppData\Local\Temp\OnboardLogs"\RTDC4015\2016-10-06 &amp; aws s3 cp s3://rtdc.mdm.uploadarchive.raw/RTDC4015/ "%USERPROFILE%\AppData\Local\Temp\OnboardLogs"\RTDC4015\2016-10-07 --exclude "*" --recursive --include "*20161007*" &amp; "%USERPROFILE%\Documents\GitHub\mrs-test-scripts\Headless Mode &amp; Sideloading\WalkAndUnGZ.bat" "%USERPROFILE%\AppData\Local\Temp\OnboardLogs"\RTDC4015\2016-10-07</v>
      </c>
      <c r="AF149" s="92" t="str">
        <f t="shared" si="77"/>
        <v>"C:\Program Files (x86)\AstroGrep\AstroGrep.exe" /spath="%USERPROFILE%\AppData\Local\Temp\OnboardLogs" /stypes="app*4015*20161006*" /stext=" 06:.+((SYSTEM_STATE.+slice.+state.+changed )|(ment ac)|(system.+state.+changed )|(\[timeout)|(PRM\|1\|D)|(kpr)|(kdp)|(\|lc)|(penalty))" /e /r /s</v>
      </c>
      <c r="AG149" s="1" t="str">
        <f t="shared" si="83"/>
        <v>EC</v>
      </c>
      <c r="AH149" s="96" t="str">
        <f t="shared" si="84"/>
        <v>"%USERPROFILE%\Documents\GitHub\eaglep3\Utilities\RefineRTDCRunTimes.py" --tripid 234-05 --locoid 4015 --swversion DE.1.0.7.0 --startMP 204:233013 --initTime 2016-10-05T22:49:04 --startdatetime 2016-10-06T00:13:47 --delay 1 --endMP 204:156 --enddatetime 2016-10-06T00:49:20 --enforcementcount 0 &gt;&gt;C:\Users\stu\Documents\GitHub\eaglep3-reporting\EC\2016-10-05-refined-times.txt</v>
      </c>
      <c r="AI149" s="130" t="str">
        <f t="shared" si="85"/>
        <v>echo {"issue":{"subject":"","project_id":79,"tracker_id":40,"status_id":1,"priority_id":2,"assigned_to_id":23,"start_date":"2016-10-06","description":"","custom_fields":[{"id":1,"name":"Subdivision","value":"EC"},{"id":4,"name":"Milepost","value":"0.0156"},{"id":17,"name":"Train ID","value":"234-05"},{"id":16,"name":"Locomotive ID","value":"4015"},{"id":130,"name":"Impact","value":""},{"id":150,"name":"Time of Event (Mountain Time)","value":"00:49:20"},{"id":151,"name":"Denver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589</v>
      </c>
      <c r="B150" s="7">
        <v>4042</v>
      </c>
      <c r="C150" s="24" t="s">
        <v>106</v>
      </c>
      <c r="D150" s="24" t="s">
        <v>283</v>
      </c>
      <c r="E150" s="15">
        <v>42648.939375000002</v>
      </c>
      <c r="F150" s="15">
        <v>42648.940937500003</v>
      </c>
      <c r="G150" s="7">
        <v>1</v>
      </c>
      <c r="H150" s="15" t="s">
        <v>257</v>
      </c>
      <c r="I150" s="15">
        <v>42648.968206018515</v>
      </c>
      <c r="J150" s="7">
        <v>0</v>
      </c>
      <c r="K150" s="117" t="str">
        <f t="shared" si="69"/>
        <v>4041/4042</v>
      </c>
      <c r="L150" s="24" t="str">
        <f>VLOOKUP(A150,'Trips&amp;Operators'!$C$1:$E$10000,3,FALSE)</f>
        <v>COOLAHAN</v>
      </c>
      <c r="M150" s="6">
        <f t="shared" si="70"/>
        <v>2.7268518511846196E-2</v>
      </c>
      <c r="N150" s="7">
        <f t="shared" si="80"/>
        <v>39.266666657058522</v>
      </c>
      <c r="O150" s="7"/>
      <c r="P150" s="7"/>
      <c r="Q150" s="25"/>
      <c r="R150" s="25"/>
      <c r="S150" s="37">
        <f t="shared" si="78"/>
        <v>1</v>
      </c>
      <c r="T150" s="52" t="str">
        <f t="shared" si="81"/>
        <v>NorthBound</v>
      </c>
      <c r="U150" s="159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21:32:42-0600',mode:absolute,to:'2016-10-06 00:14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0" s="54" t="str">
        <f t="shared" si="72"/>
        <v>N</v>
      </c>
      <c r="X150" s="164">
        <f t="shared" si="79"/>
        <v>1</v>
      </c>
      <c r="Y150" s="69">
        <f t="shared" si="73"/>
        <v>4.3799999999999999E-2</v>
      </c>
      <c r="Z150" s="69">
        <f t="shared" si="74"/>
        <v>23.3308</v>
      </c>
      <c r="AA150" s="69">
        <f t="shared" si="75"/>
        <v>23.286999999999999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 t="shared" si="82"/>
        <v>0235-05</v>
      </c>
      <c r="AE150" s="95" t="str">
        <f t="shared" si="76"/>
        <v>aws s3 cp s3://rtdc.mdm.uploadarchive.raw/RTDC4042/ "%USERPROFILE%\AppData\Local\Temp\OnboardLogs"\RTDC4042\2016-10-05 --exclude "*" --recursive --include "*20161005*" &amp; "%USERPROFILE%\Documents\GitHub\mrs-test-scripts\Headless Mode &amp; Sideloading\WalkAndUnGZ.bat" "%USERPROFILE%\AppData\Local\Temp\OnboardLogs"\RTDC4042\2016-10-05 &amp; aws s3 cp s3://rtdc.mdm.uploadarchive.raw/RTDC4042/ "%USERPROFILE%\AppData\Local\Temp\OnboardLogs"\RTDC4042\2016-10-06 --exclude "*" --recursive --include "*20161006*" &amp; "%USERPROFILE%\Documents\GitHub\mrs-test-scripts\Headless Mode &amp; Sideloading\WalkAndUnGZ.bat" "%USERPROFILE%\AppData\Local\Temp\OnboardLogs"\RTDC4042\2016-10-06</v>
      </c>
      <c r="AF150" s="92" t="str">
        <f t="shared" si="77"/>
        <v>"C:\Program Files (x86)\AstroGrep\AstroGrep.exe" /spath="%USERPROFILE%\AppData\Local\Temp\OnboardLogs" /stypes="app*4042*20161006*" /stext=" 05:.+((SYSTEM_STATE.+slice.+state.+changed )|(ment ac)|(system.+state.+changed )|(\[timeout)|(PRM\|1\|D)|(kpr)|(kdp)|(\|lc)|(penalty))" /e /r /s</v>
      </c>
      <c r="AG150" s="1" t="str">
        <f t="shared" si="83"/>
        <v>EC</v>
      </c>
      <c r="AH150" s="96" t="str">
        <f t="shared" si="84"/>
        <v>"%USERPROFILE%\Documents\GitHub\eaglep3\Utilities\RefineRTDCRunTimes.py" --tripid 235-05 --locoid 4042 --swversion DE.1.0.7.0 --startMP 204:438 --initTime 2016-10-05T22:32:42 --startdatetime 2016-10-05T22:34:57 --delay 1 --endMP 204:233308 --enddatetime 2016-10-05T23:14:13 --enforcementcount 0 &gt;&gt;C:\Users\stu\Documents\GitHub\eaglep3-reporting\EC\2016-10-05-refined-times.txt</v>
      </c>
      <c r="AI150" s="130" t="str">
        <f t="shared" si="85"/>
        <v>echo {"issue":{"subject":"","project_id":79,"tracker_id":40,"status_id":1,"priority_id":2,"assigned_to_id":23,"start_date":"2016-10-05","description":"","custom_fields":[{"id":1,"name":"Subdivision","value":"EC"},{"id":4,"name":"Milepost","value":"23.3308"},{"id":17,"name":"Train ID","value":"235-05"},{"id":16,"name":"Locomotive ID","value":"4042"},{"id":130,"name":"Impact","value":""},{"id":150,"name":"Time of Event (Mountain Time)","value":"23:14:13"},{"id":151,"name":"Denver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592</v>
      </c>
      <c r="B151" s="7">
        <v>4041</v>
      </c>
      <c r="C151" s="24" t="s">
        <v>106</v>
      </c>
      <c r="D151" s="24" t="s">
        <v>231</v>
      </c>
      <c r="E151" s="15">
        <v>42648.974861111114</v>
      </c>
      <c r="F151" s="15">
        <v>42648.9766087963</v>
      </c>
      <c r="G151" s="7">
        <v>1</v>
      </c>
      <c r="H151" s="15" t="s">
        <v>341</v>
      </c>
      <c r="I151" s="15">
        <v>42649.013553240744</v>
      </c>
      <c r="J151" s="7">
        <v>0</v>
      </c>
      <c r="K151" s="117" t="str">
        <f t="shared" si="69"/>
        <v>4041/4042</v>
      </c>
      <c r="L151" s="24" t="str">
        <f>VLOOKUP(A151,'Trips&amp;Operators'!$C$1:$E$10000,3,FALSE)</f>
        <v>COOLAHAN</v>
      </c>
      <c r="M151" s="6">
        <f t="shared" si="70"/>
        <v>3.6944444444088731E-2</v>
      </c>
      <c r="N151" s="7">
        <f t="shared" si="80"/>
        <v>53.199999999487773</v>
      </c>
      <c r="O151" s="7"/>
      <c r="P151" s="7"/>
      <c r="Q151" s="25"/>
      <c r="R151" s="25"/>
      <c r="S151" s="37">
        <f t="shared" si="78"/>
        <v>1</v>
      </c>
      <c r="T151" s="52" t="str">
        <f t="shared" si="81"/>
        <v>Southbound</v>
      </c>
      <c r="U151" s="159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22:23:48-0600',mode:absolute,to:'2016-10-06 01:19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1" s="54" t="str">
        <f t="shared" si="72"/>
        <v>N</v>
      </c>
      <c r="X151" s="164">
        <f t="shared" si="79"/>
        <v>1</v>
      </c>
      <c r="Y151" s="69">
        <f t="shared" si="73"/>
        <v>23.299099999999999</v>
      </c>
      <c r="Z151" s="69">
        <f t="shared" si="74"/>
        <v>1.34E-2</v>
      </c>
      <c r="AA151" s="69">
        <f t="shared" si="75"/>
        <v>23.285699999999999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 t="shared" si="82"/>
        <v>0236-05</v>
      </c>
      <c r="AE151" s="95" t="str">
        <f t="shared" si="76"/>
        <v>aws s3 cp s3://rtdc.mdm.uploadarchive.raw/RTDC4041/ "%USERPROFILE%\AppData\Local\Temp\OnboardLogs"\RTDC4041\2016-10-05 --exclude "*" --recursive --include "*20161005*" &amp; "%USERPROFILE%\Documents\GitHub\mrs-test-scripts\Headless Mode &amp; Sideloading\WalkAndUnGZ.bat" "%USERPROFILE%\AppData\Local\Temp\OnboardLogs"\RTDC4041\2016-10-05 &amp; aws s3 cp s3://rtdc.mdm.uploadarchive.raw/RTDC4041/ "%USERPROFILE%\AppData\Local\Temp\OnboardLogs"\RTDC4041\2016-10-06 --exclude "*" --recursive --include "*20161006*" &amp; "%USERPROFILE%\Documents\GitHub\mrs-test-scripts\Headless Mode &amp; Sideloading\WalkAndUnGZ.bat" "%USERPROFILE%\AppData\Local\Temp\OnboardLogs"\RTDC4041\2016-10-06</v>
      </c>
      <c r="AF151" s="92" t="str">
        <f t="shared" si="77"/>
        <v>"C:\Program Files (x86)\AstroGrep\AstroGrep.exe" /spath="%USERPROFILE%\AppData\Local\Temp\OnboardLogs" /stypes="app*4041*20161006*" /stext=" 06:.+((SYSTEM_STATE.+slice.+state.+changed )|(ment ac)|(system.+state.+changed )|(\[timeout)|(PRM\|1\|D)|(kpr)|(kdp)|(\|lc)|(penalty))" /e /r /s</v>
      </c>
      <c r="AG151" s="1" t="str">
        <f t="shared" si="83"/>
        <v>EC</v>
      </c>
      <c r="AH151" s="96" t="str">
        <f t="shared" si="84"/>
        <v>"%USERPROFILE%\Documents\GitHub\eaglep3\Utilities\RefineRTDCRunTimes.py" --tripid 236-05 --locoid 4041 --swversion DE.1.0.7.0 --startMP 204:232991 --initTime 2016-10-05T23:23:48 --startdatetime 2016-10-05T23:26:19 --delay 1 --endMP 204:134 --enddatetime 2016-10-06T00:19:31 --enforcementcount 0 &gt;&gt;C:\Users\stu\Documents\GitHub\eaglep3-reporting\EC\2016-10-05-refined-times.txt</v>
      </c>
      <c r="AI151" s="130" t="str">
        <f t="shared" si="85"/>
        <v>echo {"issue":{"subject":"","project_id":79,"tracker_id":40,"status_id":1,"priority_id":2,"assigned_to_id":23,"start_date":"2016-10-06","description":"","custom_fields":[{"id":1,"name":"Subdivision","value":"EC"},{"id":4,"name":"Milepost","value":"0.0134"},{"id":17,"name":"Train ID","value":"236-05"},{"id":16,"name":"Locomotive ID","value":"4041"},{"id":130,"name":"Impact","value":""},{"id":150,"name":"Time of Event (Mountain Time)","value":"00:19:31"},{"id":151,"name":"Denver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s="23" customFormat="1" x14ac:dyDescent="0.25">
      <c r="A152" s="39" t="s">
        <v>591</v>
      </c>
      <c r="B152" s="7">
        <v>4007</v>
      </c>
      <c r="C152" s="24" t="s">
        <v>106</v>
      </c>
      <c r="D152" s="24" t="s">
        <v>243</v>
      </c>
      <c r="E152" s="15">
        <v>42648.958055555559</v>
      </c>
      <c r="F152" s="15">
        <v>42648.95988425926</v>
      </c>
      <c r="G152" s="7">
        <v>2</v>
      </c>
      <c r="H152" s="15" t="s">
        <v>282</v>
      </c>
      <c r="I152" s="15">
        <v>42648.997581018521</v>
      </c>
      <c r="J152" s="7">
        <v>0</v>
      </c>
      <c r="K152" s="117" t="str">
        <f t="shared" si="69"/>
        <v>4007/4008</v>
      </c>
      <c r="L152" s="24" t="str">
        <f>VLOOKUP(A152,'Trips&amp;Operators'!$C$1:$E$10000,3,FALSE)</f>
        <v>STURGEON</v>
      </c>
      <c r="M152" s="6">
        <f t="shared" si="70"/>
        <v>3.7696759260143153E-2</v>
      </c>
      <c r="N152" s="7">
        <f t="shared" si="80"/>
        <v>54.283333334606141</v>
      </c>
      <c r="O152" s="7"/>
      <c r="P152" s="7"/>
      <c r="Q152" s="25"/>
      <c r="R152" s="25"/>
      <c r="S152" s="37">
        <f t="shared" si="78"/>
        <v>1</v>
      </c>
      <c r="T152" s="52" t="str">
        <f t="shared" si="81"/>
        <v>NorthBound</v>
      </c>
      <c r="U152" s="159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21:59:36-0600',mode:absolute,to:'2016-10-06 00:56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52" s="54" t="str">
        <f t="shared" si="72"/>
        <v>N</v>
      </c>
      <c r="X152" s="164">
        <f t="shared" si="79"/>
        <v>1</v>
      </c>
      <c r="Y152" s="69">
        <f t="shared" si="73"/>
        <v>4.4900000000000002E-2</v>
      </c>
      <c r="Z152" s="69">
        <f t="shared" si="74"/>
        <v>23.3276</v>
      </c>
      <c r="AA152" s="69">
        <f t="shared" si="75"/>
        <v>23.282700000000002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 t="shared" si="82"/>
        <v>0237-05</v>
      </c>
      <c r="AE152" s="95" t="str">
        <f t="shared" si="76"/>
        <v>aws s3 cp s3://rtdc.mdm.uploadarchive.raw/RTDC4007/ "%USERPROFILE%\AppData\Local\Temp\OnboardLogs"\RTDC4007\2016-10-05 --exclude "*" --recursive --include "*20161005*" &amp; "%USERPROFILE%\Documents\GitHub\mrs-test-scripts\Headless Mode &amp; Sideloading\WalkAndUnGZ.bat" "%USERPROFILE%\AppData\Local\Temp\OnboardLogs"\RTDC4007\2016-10-05 &amp; 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</v>
      </c>
      <c r="AF152" s="92" t="str">
        <f t="shared" si="77"/>
        <v>"C:\Program Files (x86)\AstroGrep\AstroGrep.exe" /spath="%USERPROFILE%\AppData\Local\Temp\OnboardLogs" /stypes="app*4007*20161006*" /stext=" 05:.+((SYSTEM_STATE.+slice.+state.+changed )|(ment ac)|(system.+state.+changed )|(\[timeout)|(PRM\|1\|D)|(kpr)|(kdp)|(\|lc)|(penalty))" /e /r /s</v>
      </c>
      <c r="AG152" s="1" t="str">
        <f t="shared" si="83"/>
        <v>EC</v>
      </c>
      <c r="AH152" s="96" t="str">
        <f t="shared" si="84"/>
        <v>"%USERPROFILE%\Documents\GitHub\eaglep3\Utilities\RefineRTDCRunTimes.py" --tripid 237-05 --locoid 4007 --swversion DE.1.0.7.0 --startMP 204:449 --initTime 2016-10-05T22:59:36 --startdatetime 2016-10-05T23:02:14 --delay 2 --endMP 204:233276 --enddatetime 2016-10-05T23:56:31 --enforcementcount 0 &gt;&gt;C:\Users\stu\Documents\GitHub\eaglep3-reporting\EC\2016-10-05-refined-times.txt</v>
      </c>
      <c r="AI152" s="130" t="str">
        <f t="shared" si="85"/>
        <v>echo {"issue":{"subject":"","project_id":79,"tracker_id":40,"status_id":1,"priority_id":2,"assigned_to_id":23,"start_date":"2016-10-05","description":"","custom_fields":[{"id":1,"name":"Subdivision","value":"EC"},{"id":4,"name":"Milepost","value":"23.3276"},{"id":17,"name":"Train ID","value":"237-05"},{"id":16,"name":"Locomotive ID","value":"4007"},{"id":130,"name":"Impact","value":""},{"id":150,"name":"Time of Event (Mountain Time)","value":"23:56:31"},{"id":151,"name":"Denver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594</v>
      </c>
      <c r="B153" s="7">
        <v>4008</v>
      </c>
      <c r="C153" s="24" t="s">
        <v>106</v>
      </c>
      <c r="D153" s="24" t="s">
        <v>665</v>
      </c>
      <c r="E153" s="15">
        <v>42649.000833333332</v>
      </c>
      <c r="F153" s="15">
        <v>42649.003252314818</v>
      </c>
      <c r="G153" s="7">
        <v>1</v>
      </c>
      <c r="H153" s="15" t="s">
        <v>193</v>
      </c>
      <c r="I153" s="15">
        <v>42649.031099537038</v>
      </c>
      <c r="J153" s="7">
        <v>0</v>
      </c>
      <c r="K153" s="117" t="str">
        <f t="shared" si="69"/>
        <v>4007/4008</v>
      </c>
      <c r="L153" s="24" t="str">
        <f>VLOOKUP(A153,'Trips&amp;Operators'!$C$1:$E$10000,3,FALSE)</f>
        <v>STURGEON</v>
      </c>
      <c r="M153" s="6">
        <f t="shared" si="70"/>
        <v>2.7847222219861578E-2</v>
      </c>
      <c r="N153" s="7">
        <f t="shared" si="80"/>
        <v>40.099999996600673</v>
      </c>
      <c r="O153" s="7"/>
      <c r="P153" s="7"/>
      <c r="Q153" s="25"/>
      <c r="R153" s="25"/>
      <c r="S153" s="37">
        <f t="shared" si="78"/>
        <v>1</v>
      </c>
      <c r="T153" s="52" t="str">
        <f t="shared" si="81"/>
        <v>Southbound</v>
      </c>
      <c r="U153" s="159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2" t="str">
        <f t="shared" si="71"/>
        <v>https://search-rtdc-monitor-bjffxe2xuh6vdkpspy63sjmuny.us-east-1.es.amazonaws.com/_plugin/kibana/#/discover/Steve-Slow-Train-Analysis-(2080s-and-2083s)?_g=(refreshInterval:(display:Off,section:0,value:0),time:(from:'2016-10-05 23:01:12-0600',mode:absolute,to:'2016-10-06 01:44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53" s="54" t="str">
        <f t="shared" si="72"/>
        <v>N</v>
      </c>
      <c r="X153" s="164">
        <f t="shared" si="79"/>
        <v>1</v>
      </c>
      <c r="Y153" s="69">
        <f t="shared" si="73"/>
        <v>23.296199999999999</v>
      </c>
      <c r="Z153" s="69">
        <f t="shared" si="74"/>
        <v>1.5800000000000002E-2</v>
      </c>
      <c r="AA153" s="69">
        <f t="shared" si="75"/>
        <v>23.2804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 t="shared" si="82"/>
        <v>0238-05</v>
      </c>
      <c r="AE153" s="95" t="str">
        <f t="shared" si="76"/>
        <v>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 &amp; aws s3 cp s3://rtdc.mdm.uploadarchive.raw/RTDC4008/ "%USERPROFILE%\AppData\Local\Temp\OnboardLogs"\RTDC4008\2016-10-07 --exclude "*" --recursive --include "*20161007*" &amp; "%USERPROFILE%\Documents\GitHub\mrs-test-scripts\Headless Mode &amp; Sideloading\WalkAndUnGZ.bat" "%USERPROFILE%\AppData\Local\Temp\OnboardLogs"\RTDC4008\2016-10-07</v>
      </c>
      <c r="AF153" s="92" t="str">
        <f t="shared" si="77"/>
        <v>"C:\Program Files (x86)\AstroGrep\AstroGrep.exe" /spath="%USERPROFILE%\AppData\Local\Temp\OnboardLogs" /stypes="app*4008*20161006*" /stext=" 06:.+((SYSTEM_STATE.+slice.+state.+changed )|(ment ac)|(system.+state.+changed )|(\[timeout)|(PRM\|1\|D)|(kpr)|(kdp)|(\|lc)|(penalty))" /e /r /s</v>
      </c>
      <c r="AG153" s="1" t="str">
        <f t="shared" si="83"/>
        <v>EC</v>
      </c>
      <c r="AH153" s="96" t="str">
        <f t="shared" si="84"/>
        <v>"%USERPROFILE%\Documents\GitHub\eaglep3\Utilities\RefineRTDCRunTimes.py" --tripid 238-05 --locoid 4008 --swversion DE.1.0.7.0 --startMP 204:232962 --initTime 2016-10-06T00:01:12 --startdatetime 2016-10-06T00:04:41 --delay 1 --endMP 204:158 --enddatetime 2016-10-06T00:44:47 --enforcementcount 0 &gt;&gt;C:\Users\stu\Documents\GitHub\eaglep3-reporting\EC\2016-10-05-refined-times.txt</v>
      </c>
      <c r="AI153" s="130" t="str">
        <f t="shared" si="85"/>
        <v>echo {"issue":{"subject":"","project_id":79,"tracker_id":40,"status_id":1,"priority_id":2,"assigned_to_id":23,"start_date":"2016-10-06","description":"","custom_fields":[{"id":1,"name":"Subdivision","value":"EC"},{"id":4,"name":"Milepost","value":"0.0158"},{"id":17,"name":"Train ID","value":"238-05"},{"id":16,"name":"Locomotive ID","value":"4008"},{"id":130,"name":"Impact","value":""},{"id":150,"name":"Time of Event (Mountain Time)","value":"00:44:47"},{"id":151,"name":"Denver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593</v>
      </c>
      <c r="B154" s="7">
        <v>4003</v>
      </c>
      <c r="C154" s="24" t="s">
        <v>106</v>
      </c>
      <c r="D154" s="24" t="s">
        <v>666</v>
      </c>
      <c r="E154" s="15">
        <v>42648.985636574071</v>
      </c>
      <c r="F154" s="15">
        <v>42648.986770833333</v>
      </c>
      <c r="G154" s="7">
        <v>0</v>
      </c>
      <c r="H154" s="15" t="s">
        <v>274</v>
      </c>
      <c r="I154" s="15">
        <v>42649.010671296295</v>
      </c>
      <c r="J154" s="7">
        <v>0</v>
      </c>
      <c r="K154" s="117" t="str">
        <f t="shared" ref="K154:K185" si="86">IF(ISEVEN(B154),(B154-1)&amp;"/"&amp;B154,B154&amp;"/"&amp;(B154+1))</f>
        <v>4003/4004</v>
      </c>
      <c r="L154" s="24" t="str">
        <f>VLOOKUP(A154,'Trips&amp;Operators'!$C$1:$E$10000,3,FALSE)</f>
        <v>YANAI</v>
      </c>
      <c r="M154" s="6">
        <f t="shared" ref="M154:M185" si="87">I154-F154</f>
        <v>2.3900462962046731E-2</v>
      </c>
      <c r="N154" s="7">
        <f t="shared" si="80"/>
        <v>34.416666665347293</v>
      </c>
      <c r="O154" s="7"/>
      <c r="P154" s="7"/>
      <c r="Q154" s="25"/>
      <c r="R154" s="25"/>
      <c r="S154" s="37">
        <f t="shared" si="78"/>
        <v>1</v>
      </c>
      <c r="T154" s="52" t="str">
        <f t="shared" si="81"/>
        <v>NorthBound</v>
      </c>
      <c r="U154" s="159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2" t="str">
        <f t="shared" ref="V154:V185" si="88">"https://search-rtdc-monitor-bjffxe2xuh6vdkpspy63sjmuny.us-east-1.es.amazonaws.com/_plugin/kibana/#/discover/Steve-Slow-Train-Analysis-(2080s-and-2083s)?_g=(refreshInterval:(display:Off,section:0,value:0),time:(from:'"&amp;TEXT(E154-1/24,"yyyy-MM-DD hh:mm:ss")&amp;"-0600',mode:absolute,to:'"&amp;TEXT(I154+1/24,"yyyy-MM-DD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https://search-rtdc-monitor-bjffxe2xuh6vdkpspy63sjmuny.us-east-1.es.amazonaws.com/_plugin/kibana/#/discover/Steve-Slow-Train-Analysis-(2080s-and-2083s)?_g=(refreshInterval:(display:Off,section:0,value:0),time:(from:'2016-10-05 22:39:19-0600',mode:absolute,to:'2016-10-06 01:15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4" s="54" t="str">
        <f t="shared" ref="W154:W185" si="89">IF(AA154&lt;IF(AG154="EC",23,5.65),"Y","N")</f>
        <v>N</v>
      </c>
      <c r="X154" s="164">
        <f t="shared" si="79"/>
        <v>1</v>
      </c>
      <c r="Y154" s="69">
        <f t="shared" ref="Y154:Y185" si="90">RIGHT(D154,LEN(D154)-4)/10000</f>
        <v>5.57E-2</v>
      </c>
      <c r="Z154" s="69">
        <f t="shared" ref="Z154:Z185" si="91">RIGHT(H154,LEN(H154)-4)/10000</f>
        <v>23.329699999999999</v>
      </c>
      <c r="AA154" s="69">
        <f t="shared" ref="AA154:AA185" si="92">ABS(Z154-Y154)</f>
        <v>23.273999999999997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 t="shared" si="82"/>
        <v>0239-05</v>
      </c>
      <c r="AE154" s="95" t="str">
        <f t="shared" ref="AE154:AE185" si="93"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s3://rtdc.mdm.uploadarchive.raw/RTDC4003/ "%USERPROFILE%\AppData\Local\Temp\OnboardLogs"\RTDC4003\2016-10-05 --exclude "*" --recursive --include "*20161005*" &amp; "%USERPROFILE%\Documents\GitHub\mrs-test-scripts\Headless Mode &amp; Sideloading\WalkAndUnGZ.bat" "%USERPROFILE%\AppData\Local\Temp\OnboardLogs"\RTDC4003\2016-10-05 &amp; aws s3 cp s3://rtdc.mdm.uploadarchive.raw/RTDC4003/ "%USERPROFILE%\AppData\Local\Temp\OnboardLogs"\RTDC4003\2016-10-06 --exclude "*" --recursive --include "*20161006*" &amp; "%USERPROFILE%\Documents\GitHub\mrs-test-scripts\Headless Mode &amp; Sideloading\WalkAndUnGZ.bat" "%USERPROFILE%\AppData\Local\Temp\OnboardLogs"\RTDC4003\2016-10-06</v>
      </c>
      <c r="AF154" s="92" t="str">
        <f t="shared" ref="AF154:AF185" si="94"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/stypes="app*4003*20161006*" /stext=" 06:.+((SYSTEM_STATE.+slice.+state.+changed )|(ment ac)|(system.+state.+changed )|(\[timeout)|(PRM\|1\|D)|(kpr)|(kdp)|(\|lc)|(penalty))" /e /r /s</v>
      </c>
      <c r="AG154" s="1" t="str">
        <f t="shared" si="83"/>
        <v>EC</v>
      </c>
      <c r="AH154" s="96" t="str">
        <f t="shared" si="84"/>
        <v>"%USERPROFILE%\Documents\GitHub\eaglep3\Utilities\RefineRTDCRunTimes.py" --tripid 239-05 --locoid 4003 --swversion DE.1.0.7.0 --startMP 204:557 --initTime 2016-10-05T23:39:19 --startdatetime 2016-10-05T23:40:57 --delay 0 --endMP 204:233297 --enddatetime 2016-10-06T00:15:22 --enforcementcount 0 &gt;&gt;C:\Users\stu\Documents\GitHub\eaglep3-reporting\EC\2016-10-05-refined-times.txt</v>
      </c>
      <c r="AI154" s="130" t="str">
        <f t="shared" si="85"/>
        <v>echo {"issue":{"subject":"","project_id":79,"tracker_id":40,"status_id":1,"priority_id":2,"assigned_to_id":23,"start_date":"2016-10-06","description":"","custom_fields":[{"id":1,"name":"Subdivision","value":"EC"},{"id":4,"name":"Milepost","value":"23.3297"},{"id":17,"name":"Train ID","value":"239-05"},{"id":16,"name":"Locomotive ID","value":"4003"},{"id":130,"name":"Impact","value":""},{"id":150,"name":"Time of Event (Mountain Time)","value":"00:15:22"},{"id":151,"name":"Denver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596</v>
      </c>
      <c r="B155" s="7">
        <v>4004</v>
      </c>
      <c r="C155" s="24" t="s">
        <v>106</v>
      </c>
      <c r="D155" s="24" t="s">
        <v>244</v>
      </c>
      <c r="E155" s="15">
        <v>42649.015104166669</v>
      </c>
      <c r="F155" s="15">
        <v>42649.018206018518</v>
      </c>
      <c r="G155" s="7">
        <v>1</v>
      </c>
      <c r="H155" s="15" t="s">
        <v>190</v>
      </c>
      <c r="I155" s="15">
        <v>42649.043900462966</v>
      </c>
      <c r="J155" s="7">
        <v>0</v>
      </c>
      <c r="K155" s="117" t="str">
        <f t="shared" si="86"/>
        <v>4003/4004</v>
      </c>
      <c r="L155" s="24" t="str">
        <f>VLOOKUP(A155,'Trips&amp;Operators'!$C$1:$E$10000,3,FALSE)</f>
        <v>YANAI</v>
      </c>
      <c r="M155" s="6">
        <f t="shared" si="87"/>
        <v>2.5694444448163267E-2</v>
      </c>
      <c r="N155" s="7">
        <f t="shared" si="80"/>
        <v>37.000000005355105</v>
      </c>
      <c r="O155" s="7"/>
      <c r="P155" s="7"/>
      <c r="Q155" s="25"/>
      <c r="R155" s="25"/>
      <c r="S155" s="37">
        <f t="shared" si="78"/>
        <v>1</v>
      </c>
      <c r="T155" s="52" t="str">
        <f t="shared" si="81"/>
        <v>Southbound</v>
      </c>
      <c r="U155" s="159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23:21:45-0600',mode:absolute,to:'2016-10-06 02:03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5" s="54" t="str">
        <f t="shared" si="89"/>
        <v>N</v>
      </c>
      <c r="X155" s="164">
        <f t="shared" si="79"/>
        <v>1</v>
      </c>
      <c r="Y155" s="69">
        <f t="shared" si="90"/>
        <v>23.297999999999998</v>
      </c>
      <c r="Z155" s="69">
        <f t="shared" si="91"/>
        <v>1.49E-2</v>
      </c>
      <c r="AA155" s="69">
        <f t="shared" si="92"/>
        <v>23.283099999999997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 t="shared" si="82"/>
        <v>0240-05</v>
      </c>
      <c r="AE155" s="95" t="str">
        <f t="shared" si="93"/>
        <v>aws s3 cp s3://rtdc.mdm.uploadarchive.raw/RTDC4004/ "%USERPROFILE%\AppData\Local\Temp\OnboardLogs"\RTDC4004\2016-10-06 --exclude "*" --recursive --include "*20161006*" &amp; "%USERPROFILE%\Documents\GitHub\mrs-test-scripts\Headless Mode &amp; Sideloading\WalkAndUnGZ.bat" "%USERPROFILE%\AppData\Local\Temp\OnboardLogs"\RTDC4004\2016-10-06 &amp; aws s3 cp s3://rtdc.mdm.uploadarchive.raw/RTDC4004/ "%USERPROFILE%\AppData\Local\Temp\OnboardLogs"\RTDC4004\2016-10-07 --exclude "*" --recursive --include "*20161007*" &amp; "%USERPROFILE%\Documents\GitHub\mrs-test-scripts\Headless Mode &amp; Sideloading\WalkAndUnGZ.bat" "%USERPROFILE%\AppData\Local\Temp\OnboardLogs"\RTDC4004\2016-10-07</v>
      </c>
      <c r="AF155" s="92" t="str">
        <f t="shared" si="94"/>
        <v>"C:\Program Files (x86)\AstroGrep\AstroGrep.exe" /spath="%USERPROFILE%\AppData\Local\Temp\OnboardLogs" /stypes="app*4004*20161006*" /stext=" 07:.+((SYSTEM_STATE.+slice.+state.+changed )|(ment ac)|(system.+state.+changed )|(\[timeout)|(PRM\|1\|D)|(kpr)|(kdp)|(\|lc)|(penalty))" /e /r /s</v>
      </c>
      <c r="AG155" s="1" t="str">
        <f t="shared" si="83"/>
        <v>EC</v>
      </c>
      <c r="AH155" s="96" t="str">
        <f t="shared" si="84"/>
        <v>"%USERPROFILE%\Documents\GitHub\eaglep3\Utilities\RefineRTDCRunTimes.py" --tripid 240-05 --locoid 4004 --swversion DE.1.0.7.0 --startMP 204:232980 --initTime 2016-10-06T00:21:45 --startdatetime 2016-10-06T00:26:13 --delay 1 --endMP 204:149 --enddatetime 2016-10-06T01:03:13 --enforcementcount 0 &gt;&gt;C:\Users\stu\Documents\GitHub\eaglep3-reporting\EC\2016-10-05-refined-times.txt</v>
      </c>
      <c r="AI155" s="130" t="str">
        <f t="shared" si="85"/>
        <v>echo {"issue":{"subject":"","project_id":79,"tracker_id":40,"status_id":1,"priority_id":2,"assigned_to_id":23,"start_date":"2016-10-06","description":"","custom_fields":[{"id":1,"name":"Subdivision","value":"EC"},{"id":4,"name":"Milepost","value":"0.0149"},{"id":17,"name":"Train ID","value":"240-05"},{"id":16,"name":"Locomotive ID","value":"4004"},{"id":130,"name":"Impact","value":""},{"id":150,"name":"Time of Event (Mountain Time)","value":"01:03:13"},{"id":151,"name":"Denver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595</v>
      </c>
      <c r="B156" s="7">
        <v>4016</v>
      </c>
      <c r="C156" s="24" t="s">
        <v>106</v>
      </c>
      <c r="D156" s="24" t="s">
        <v>289</v>
      </c>
      <c r="E156" s="15">
        <v>42649.008263888885</v>
      </c>
      <c r="F156" s="15">
        <v>42649.009571759256</v>
      </c>
      <c r="G156" s="7">
        <v>1</v>
      </c>
      <c r="H156" s="15" t="s">
        <v>229</v>
      </c>
      <c r="I156" s="15">
        <v>42649.034259259257</v>
      </c>
      <c r="J156" s="7">
        <v>0</v>
      </c>
      <c r="K156" s="117" t="str">
        <f t="shared" si="86"/>
        <v>4015/4016</v>
      </c>
      <c r="L156" s="24" t="str">
        <f>VLOOKUP(A156,'Trips&amp;Operators'!$C$1:$E$10000,3,FALSE)</f>
        <v>LEVIN</v>
      </c>
      <c r="M156" s="6">
        <f t="shared" si="87"/>
        <v>2.4687500001164153E-2</v>
      </c>
      <c r="N156" s="7">
        <f t="shared" si="80"/>
        <v>35.550000001676381</v>
      </c>
      <c r="O156" s="7"/>
      <c r="P156" s="7"/>
      <c r="Q156" s="25"/>
      <c r="R156" s="25"/>
      <c r="S156" s="37">
        <f t="shared" si="78"/>
        <v>1</v>
      </c>
      <c r="T156" s="52" t="str">
        <f t="shared" si="81"/>
        <v>NorthBound</v>
      </c>
      <c r="U156" s="159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23:11:54-0600',mode:absolute,to:'2016-10-06 01:49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6" s="54" t="str">
        <f t="shared" si="89"/>
        <v>N</v>
      </c>
      <c r="X156" s="164">
        <f t="shared" si="79"/>
        <v>1</v>
      </c>
      <c r="Y156" s="69">
        <f t="shared" si="90"/>
        <v>4.4600000000000001E-2</v>
      </c>
      <c r="Z156" s="69">
        <f t="shared" si="91"/>
        <v>23.328800000000001</v>
      </c>
      <c r="AA156" s="69">
        <f t="shared" si="92"/>
        <v>23.284200000000002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 t="shared" si="82"/>
        <v>0241-05</v>
      </c>
      <c r="AE156" s="95" t="str">
        <f t="shared" si="93"/>
        <v>aws s3 cp s3://rtdc.mdm.uploadarchive.raw/RTDC4016/ "%USERPROFILE%\AppData\Local\Temp\OnboardLogs"\RTDC4016\2016-10-06 --exclude "*" --recursive --include "*20161006*" &amp; "%USERPROFILE%\Documents\GitHub\mrs-test-scripts\Headless Mode &amp; Sideloading\WalkAndUnGZ.bat" "%USERPROFILE%\AppData\Local\Temp\OnboardLogs"\RTDC4016\2016-10-06 &amp; aws s3 cp s3://rtdc.mdm.uploadarchive.raw/RTDC4016/ "%USERPROFILE%\AppData\Local\Temp\OnboardLogs"\RTDC4016\2016-10-07 --exclude "*" --recursive --include "*20161007*" &amp; "%USERPROFILE%\Documents\GitHub\mrs-test-scripts\Headless Mode &amp; Sideloading\WalkAndUnGZ.bat" "%USERPROFILE%\AppData\Local\Temp\OnboardLogs"\RTDC4016\2016-10-07</v>
      </c>
      <c r="AF156" s="92" t="str">
        <f t="shared" si="94"/>
        <v>"C:\Program Files (x86)\AstroGrep\AstroGrep.exe" /spath="%USERPROFILE%\AppData\Local\Temp\OnboardLogs" /stypes="app*4016*20161006*" /stext=" 06:.+((SYSTEM_STATE.+slice.+state.+changed )|(ment ac)|(system.+state.+changed )|(\[timeout)|(PRM\|1\|D)|(kpr)|(kdp)|(\|lc)|(penalty))" /e /r /s</v>
      </c>
      <c r="AG156" s="1" t="str">
        <f t="shared" si="83"/>
        <v>EC</v>
      </c>
      <c r="AH156" s="96" t="str">
        <f t="shared" si="84"/>
        <v>"%USERPROFILE%\Documents\GitHub\eaglep3\Utilities\RefineRTDCRunTimes.py" --tripid 241-05 --locoid 4016 --swversion DE.1.0.7.0 --startMP 204:446 --initTime 2016-10-06T00:11:54 --startdatetime 2016-10-06T00:13:47 --delay 1 --endMP 204:233288 --enddatetime 2016-10-06T00:49:20 --enforcementcount 0 &gt;&gt;C:\Users\stu\Documents\GitHub\eaglep3-reporting\EC\2016-10-05-refined-times.txt</v>
      </c>
      <c r="AI156" s="130" t="str">
        <f t="shared" si="85"/>
        <v>echo {"issue":{"subject":"","project_id":79,"tracker_id":40,"status_id":1,"priority_id":2,"assigned_to_id":23,"start_date":"2016-10-06","description":"","custom_fields":[{"id":1,"name":"Subdivision","value":"EC"},{"id":4,"name":"Milepost","value":"23.3288"},{"id":17,"name":"Train ID","value":"241-05"},{"id":16,"name":"Locomotive ID","value":"4016"},{"id":130,"name":"Impact","value":""},{"id":150,"name":"Time of Event (Mountain Time)","value":"00:49:20"},{"id":151,"name":"Denver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599</v>
      </c>
      <c r="B157" s="7">
        <v>4015</v>
      </c>
      <c r="C157" s="24" t="s">
        <v>106</v>
      </c>
      <c r="D157" s="24" t="s">
        <v>279</v>
      </c>
      <c r="E157" s="15">
        <v>42649.036006944443</v>
      </c>
      <c r="F157" s="15">
        <v>42649.0391087963</v>
      </c>
      <c r="G157" s="7">
        <v>1</v>
      </c>
      <c r="H157" s="15" t="s">
        <v>246</v>
      </c>
      <c r="I157" s="15">
        <v>42649.06585648148</v>
      </c>
      <c r="J157" s="7">
        <v>0</v>
      </c>
      <c r="K157" s="117" t="str">
        <f t="shared" si="86"/>
        <v>4015/4016</v>
      </c>
      <c r="L157" s="24" t="str">
        <f>VLOOKUP(A157,'Trips&amp;Operators'!$C$1:$E$10000,3,FALSE)</f>
        <v>LEVIN</v>
      </c>
      <c r="M157" s="6">
        <f t="shared" si="87"/>
        <v>2.6747685180453118E-2</v>
      </c>
      <c r="N157" s="7">
        <f t="shared" si="80"/>
        <v>38.51666665985249</v>
      </c>
      <c r="O157" s="7"/>
      <c r="P157" s="7"/>
      <c r="Q157" s="25"/>
      <c r="R157" s="25"/>
      <c r="S157" s="37">
        <f t="shared" ref="S157:S188" si="95">SUM(U157:U157)/IF(AG157="EC",12,1)</f>
        <v>1</v>
      </c>
      <c r="T157" s="52" t="str">
        <f t="shared" si="81"/>
        <v>Southbound</v>
      </c>
      <c r="U157" s="159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23:51:51-0600',mode:absolute,to:'2016-10-06 02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7" s="54" t="str">
        <f t="shared" si="89"/>
        <v>N</v>
      </c>
      <c r="X157" s="164">
        <f t="shared" si="79"/>
        <v>1</v>
      </c>
      <c r="Y157" s="69">
        <f t="shared" si="90"/>
        <v>23.297499999999999</v>
      </c>
      <c r="Z157" s="69">
        <f t="shared" si="91"/>
        <v>1.6500000000000001E-2</v>
      </c>
      <c r="AA157" s="69">
        <f t="shared" si="92"/>
        <v>23.280999999999999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 t="shared" si="82"/>
        <v>0242-05</v>
      </c>
      <c r="AE157" s="95" t="str">
        <f t="shared" si="93"/>
        <v>aws s3 cp s3://rtdc.mdm.uploadarchive.raw/RTDC4015/ "%USERPROFILE%\AppData\Local\Temp\OnboardLogs"\RTDC4015\2016-10-06 --exclude "*" --recursive --include "*20161006*" &amp; "%USERPROFILE%\Documents\GitHub\mrs-test-scripts\Headless Mode &amp; Sideloading\WalkAndUnGZ.bat" "%USERPROFILE%\AppData\Local\Temp\OnboardLogs"\RTDC4015\2016-10-06 &amp; aws s3 cp s3://rtdc.mdm.uploadarchive.raw/RTDC4015/ "%USERPROFILE%\AppData\Local\Temp\OnboardLogs"\RTDC4015\2016-10-07 --exclude "*" --recursive --include "*20161007*" &amp; "%USERPROFILE%\Documents\GitHub\mrs-test-scripts\Headless Mode &amp; Sideloading\WalkAndUnGZ.bat" "%USERPROFILE%\AppData\Local\Temp\OnboardLogs"\RTDC4015\2016-10-07</v>
      </c>
      <c r="AF157" s="92" t="str">
        <f t="shared" si="94"/>
        <v>"C:\Program Files (x86)\AstroGrep\AstroGrep.exe" /spath="%USERPROFILE%\AppData\Local\Temp\OnboardLogs" /stypes="app*4015*20161006*" /stext=" 07:.+((SYSTEM_STATE.+slice.+state.+changed )|(ment ac)|(system.+state.+changed )|(\[timeout)|(PRM\|1\|D)|(kpr)|(kdp)|(\|lc)|(penalty))" /e /r /s</v>
      </c>
      <c r="AG157" s="1" t="str">
        <f t="shared" si="83"/>
        <v>EC</v>
      </c>
      <c r="AH157" s="96" t="str">
        <f t="shared" si="84"/>
        <v>"%USERPROFILE%\Documents\GitHub\eaglep3\Utilities\RefineRTDCRunTimes.py" --tripid 242-05 --locoid 4015 --swversion DE.1.0.7.0 --startMP 204:232975 --initTime 2016-10-06T00:51:51 --startdatetime 2016-10-06T00:56:19 --delay 1 --endMP 204:165 --enddatetime 2016-10-06T01:34:50 --enforcementcount 0 &gt;&gt;C:\Users\stu\Documents\GitHub\eaglep3-reporting\EC\2016-10-05-refined-times.txt</v>
      </c>
      <c r="AI157" s="130" t="str">
        <f t="shared" si="85"/>
        <v>echo {"issue":{"subject":"","project_id":79,"tracker_id":40,"status_id":1,"priority_id":2,"assigned_to_id":23,"start_date":"2016-10-06","description":"","custom_fields":[{"id":1,"name":"Subdivision","value":"EC"},{"id":4,"name":"Milepost","value":"0.0165"},{"id":17,"name":"Train ID","value":"242-05"},{"id":16,"name":"Locomotive ID","value":"4015"},{"id":130,"name":"Impact","value":""},{"id":150,"name":"Time of Event (Mountain Time)","value":"01:34:50"},{"id":151,"name":"Denver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597</v>
      </c>
      <c r="B158" s="7">
        <v>4042</v>
      </c>
      <c r="C158" s="24" t="s">
        <v>106</v>
      </c>
      <c r="D158" s="24" t="s">
        <v>206</v>
      </c>
      <c r="E158" s="15">
        <v>42649.019328703704</v>
      </c>
      <c r="F158" s="15">
        <v>42649.021111111113</v>
      </c>
      <c r="G158" s="7">
        <v>1</v>
      </c>
      <c r="H158" s="15" t="s">
        <v>232</v>
      </c>
      <c r="I158" s="15">
        <v>42649.045555555553</v>
      </c>
      <c r="J158" s="7">
        <v>0</v>
      </c>
      <c r="K158" s="117" t="str">
        <f t="shared" si="86"/>
        <v>4041/4042</v>
      </c>
      <c r="L158" s="24" t="str">
        <f>VLOOKUP(A158,'Trips&amp;Operators'!$C$1:$E$10000,3,FALSE)</f>
        <v>COOLAHAN</v>
      </c>
      <c r="M158" s="6">
        <f t="shared" si="87"/>
        <v>2.4444444439723156E-2</v>
      </c>
      <c r="N158" s="7">
        <f t="shared" si="80"/>
        <v>35.199999993201345</v>
      </c>
      <c r="O158" s="7"/>
      <c r="P158" s="7"/>
      <c r="Q158" s="25"/>
      <c r="R158" s="25"/>
      <c r="S158" s="37">
        <f t="shared" si="95"/>
        <v>1</v>
      </c>
      <c r="T158" s="52" t="str">
        <f t="shared" si="81"/>
        <v>NorthBound</v>
      </c>
      <c r="U158" s="159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23:27:50-0600',mode:absolute,to:'2016-10-06 02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8" s="54" t="str">
        <f t="shared" si="89"/>
        <v>N</v>
      </c>
      <c r="X158" s="164">
        <f t="shared" si="79"/>
        <v>1</v>
      </c>
      <c r="Y158" s="69">
        <f t="shared" si="90"/>
        <v>4.6199999999999998E-2</v>
      </c>
      <c r="Z158" s="69">
        <f t="shared" si="91"/>
        <v>23.3309</v>
      </c>
      <c r="AA158" s="69">
        <f t="shared" si="92"/>
        <v>23.284700000000001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 t="shared" si="82"/>
        <v>0243-05</v>
      </c>
      <c r="AE158" s="95" t="str">
        <f t="shared" si="93"/>
        <v>aws s3 cp s3://rtdc.mdm.uploadarchive.raw/RTDC4042/ "%USERPROFILE%\AppData\Local\Temp\OnboardLogs"\RTDC4042\2016-10-06 --exclude "*" --recursive --include "*20161006*" &amp; "%USERPROFILE%\Documents\GitHub\mrs-test-scripts\Headless Mode &amp; Sideloading\WalkAndUnGZ.bat" "%USERPROFILE%\AppData\Local\Temp\OnboardLogs"\RTDC4042\2016-10-06 &amp; aws s3 cp s3://rtdc.mdm.uploadarchive.raw/RTDC4042/ "%USERPROFILE%\AppData\Local\Temp\OnboardLogs"\RTDC4042\2016-10-07 --exclude "*" --recursive --include "*20161007*" &amp; "%USERPROFILE%\Documents\GitHub\mrs-test-scripts\Headless Mode &amp; Sideloading\WalkAndUnGZ.bat" "%USERPROFILE%\AppData\Local\Temp\OnboardLogs"\RTDC4042\2016-10-07</v>
      </c>
      <c r="AF158" s="92" t="str">
        <f t="shared" si="94"/>
        <v>"C:\Program Files (x86)\AstroGrep\AstroGrep.exe" /spath="%USERPROFILE%\AppData\Local\Temp\OnboardLogs" /stypes="app*4042*20161006*" /stext=" 07:.+((SYSTEM_STATE.+slice.+state.+changed )|(ment ac)|(system.+state.+changed )|(\[timeout)|(PRM\|1\|D)|(kpr)|(kdp)|(\|lc)|(penalty))" /e /r /s</v>
      </c>
      <c r="AG158" s="1" t="str">
        <f t="shared" si="83"/>
        <v>EC</v>
      </c>
      <c r="AH158" s="96" t="str">
        <f t="shared" si="84"/>
        <v>"%USERPROFILE%\Documents\GitHub\eaglep3\Utilities\RefineRTDCRunTimes.py" --tripid 243-05 --locoid 4042 --swversion DE.1.0.7.0 --startMP 204:462 --initTime 2016-10-06T00:27:50 --startdatetime 2016-10-06T00:30:24 --delay 1 --endMP 204:233309 --enddatetime 2016-10-06T01:05:36 --enforcementcount 0 &gt;&gt;C:\Users\stu\Documents\GitHub\eaglep3-reporting\EC\2016-10-05-refined-times.txt</v>
      </c>
      <c r="AI158" s="130" t="str">
        <f t="shared" si="85"/>
        <v>echo {"issue":{"subject":"","project_id":79,"tracker_id":40,"status_id":1,"priority_id":2,"assigned_to_id":23,"start_date":"2016-10-06","description":"","custom_fields":[{"id":1,"name":"Subdivision","value":"EC"},{"id":4,"name":"Milepost","value":"23.3309"},{"id":17,"name":"Train ID","value":"243-05"},{"id":16,"name":"Locomotive ID","value":"4042"},{"id":130,"name":"Impact","value":""},{"id":150,"name":"Time of Event (Mountain Time)","value":"01:05:36"},{"id":151,"name":"Denver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601</v>
      </c>
      <c r="B159" s="7">
        <v>4041</v>
      </c>
      <c r="C159" s="24" t="s">
        <v>106</v>
      </c>
      <c r="D159" s="24" t="s">
        <v>238</v>
      </c>
      <c r="E159" s="15">
        <v>42649.055324074077</v>
      </c>
      <c r="F159" s="15">
        <v>42649.059942129628</v>
      </c>
      <c r="G159" s="7">
        <v>2</v>
      </c>
      <c r="H159" s="15" t="s">
        <v>292</v>
      </c>
      <c r="I159" s="15">
        <v>42649.085694444446</v>
      </c>
      <c r="J159" s="7">
        <v>0</v>
      </c>
      <c r="K159" s="117" t="str">
        <f t="shared" si="86"/>
        <v>4041/4042</v>
      </c>
      <c r="L159" s="24" t="str">
        <f>VLOOKUP(A159,'Trips&amp;Operators'!$C$1:$E$10000,3,FALSE)</f>
        <v>COOLAHAN</v>
      </c>
      <c r="M159" s="6">
        <f t="shared" si="87"/>
        <v>2.5752314817509614E-2</v>
      </c>
      <c r="N159" s="7">
        <f t="shared" si="80"/>
        <v>37.083333337213844</v>
      </c>
      <c r="O159" s="7"/>
      <c r="P159" s="7"/>
      <c r="Q159" s="25"/>
      <c r="R159" s="25"/>
      <c r="S159" s="37">
        <f t="shared" si="95"/>
        <v>1</v>
      </c>
      <c r="T159" s="52" t="str">
        <f t="shared" si="81"/>
        <v>Southbound</v>
      </c>
      <c r="U159" s="159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https://search-rtdc-monitor-bjffxe2xuh6vdkpspy63sjmuny.us-east-1.es.amazonaws.com/_plugin/kibana/#/discover/Steve-Slow-Train-Analysis-(2080s-and-2083s)?_g=(refreshInterval:(display:Off,section:0,value:0),time:(from:'2016-10-06 00:19:40-0600',mode:absolute,to:'2016-10-06 03:03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9" s="54" t="str">
        <f t="shared" si="89"/>
        <v>N</v>
      </c>
      <c r="X159" s="164">
        <f t="shared" ref="X159:X190" si="96">VALUE(LEFT(AD159,4))-VALUE(LEFT(AD158,4))</f>
        <v>1</v>
      </c>
      <c r="Y159" s="69">
        <f t="shared" si="90"/>
        <v>23.2986</v>
      </c>
      <c r="Z159" s="69">
        <f t="shared" si="91"/>
        <v>1.32E-2</v>
      </c>
      <c r="AA159" s="69">
        <f t="shared" si="92"/>
        <v>23.285399999999999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 t="shared" si="82"/>
        <v>0244-05</v>
      </c>
      <c r="AE159" s="95" t="str">
        <f t="shared" si="93"/>
        <v>aws s3 cp s3://rtdc.mdm.uploadarchive.raw/RTDC4041/ "%USERPROFILE%\AppData\Local\Temp\OnboardLogs"\RTDC4041\2016-10-06 --exclude "*" --recursive --include "*20161006*" &amp; "%USERPROFILE%\Documents\GitHub\mrs-test-scripts\Headless Mode &amp; Sideloading\WalkAndUnGZ.bat" "%USERPROFILE%\AppData\Local\Temp\OnboardLogs"\RTDC4041\2016-10-06 &amp; aws s3 cp s3://rtdc.mdm.uploadarchive.raw/RTDC4041/ "%USERPROFILE%\AppData\Local\Temp\OnboardLogs"\RTDC4041\2016-10-07 --exclude "*" --recursive --include "*20161007*" &amp; "%USERPROFILE%\Documents\GitHub\mrs-test-scripts\Headless Mode &amp; Sideloading\WalkAndUnGZ.bat" "%USERPROFILE%\AppData\Local\Temp\OnboardLogs"\RTDC4041\2016-10-07</v>
      </c>
      <c r="AF159" s="92" t="str">
        <f t="shared" si="94"/>
        <v>"C:\Program Files (x86)\AstroGrep\AstroGrep.exe" /spath="%USERPROFILE%\AppData\Local\Temp\OnboardLogs" /stypes="app*4041*20161006*" /stext=" 08:.+((SYSTEM_STATE.+slice.+state.+changed )|(ment ac)|(system.+state.+changed )|(\[timeout)|(PRM\|1\|D)|(kpr)|(kdp)|(\|lc)|(penalty))" /e /r /s</v>
      </c>
      <c r="AG159" s="1" t="str">
        <f t="shared" si="83"/>
        <v>EC</v>
      </c>
      <c r="AH159" s="96" t="str">
        <f t="shared" si="84"/>
        <v>"%USERPROFILE%\Documents\GitHub\eaglep3\Utilities\RefineRTDCRunTimes.py" --tripid 244-05 --locoid 4041 --swversion DE.1.0.7.0 --startMP 204:232986 --initTime 2016-10-06T01:19:40 --startdatetime 2016-10-06T01:26:19 --delay 2 --endMP 204:132 --enddatetime 2016-10-06T02:03:24 --enforcementcount 0 &gt;&gt;C:\Users\stu\Documents\GitHub\eaglep3-reporting\EC\2016-10-05-refined-times.txt</v>
      </c>
      <c r="AI159" s="130" t="str">
        <f t="shared" si="85"/>
        <v>echo {"issue":{"subject":"","project_id":79,"tracker_id":40,"status_id":1,"priority_id":2,"assigned_to_id":23,"start_date":"2016-10-06","description":"","custom_fields":[{"id":1,"name":"Subdivision","value":"EC"},{"id":4,"name":"Milepost","value":"0.0132"},{"id":17,"name":"Train ID","value":"244-05"},{"id":16,"name":"Locomotive ID","value":"4041"},{"id":130,"name":"Impact","value":""},{"id":150,"name":"Time of Event (Mountain Time)","value":"02:03:24"},{"id":151,"name":"Denver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374</v>
      </c>
      <c r="B160" s="7">
        <v>4032</v>
      </c>
      <c r="C160" s="24" t="s">
        <v>106</v>
      </c>
      <c r="D160" s="24" t="s">
        <v>708</v>
      </c>
      <c r="E160" s="15">
        <v>42648.212847222225</v>
      </c>
      <c r="F160" s="15">
        <v>42648.214386574073</v>
      </c>
      <c r="G160" s="7">
        <v>1</v>
      </c>
      <c r="H160" s="15" t="s">
        <v>358</v>
      </c>
      <c r="I160" s="15">
        <v>42648.226504629631</v>
      </c>
      <c r="J160" s="7">
        <v>0</v>
      </c>
      <c r="K160" s="117" t="str">
        <f t="shared" si="86"/>
        <v>4031/4032</v>
      </c>
      <c r="L160" s="24" t="str">
        <f>VLOOKUP(A160,'Trips&amp;Operators'!$C$1:$E$10000,3,FALSE)</f>
        <v>STARKS</v>
      </c>
      <c r="M160" s="6">
        <f t="shared" si="87"/>
        <v>1.2118055557948537E-2</v>
      </c>
      <c r="N160" s="7">
        <f t="shared" si="80"/>
        <v>17.450000003445894</v>
      </c>
      <c r="O160" s="7"/>
      <c r="P160" s="7"/>
      <c r="Q160" s="25"/>
      <c r="R160" s="25"/>
      <c r="S160" s="37">
        <f t="shared" si="95"/>
        <v>1</v>
      </c>
      <c r="T160" s="52" t="str">
        <f t="shared" si="81"/>
        <v>Southbound</v>
      </c>
      <c r="U160" s="159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04:06:30-0600',mode:absolute,to:'2016-10-05 06:26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0" s="54" t="str">
        <f t="shared" si="89"/>
        <v>N</v>
      </c>
      <c r="X160" s="164">
        <f t="shared" si="96"/>
        <v>556</v>
      </c>
      <c r="Y160" s="69">
        <f t="shared" si="90"/>
        <v>5.8623000000000003</v>
      </c>
      <c r="Z160" s="69">
        <f t="shared" si="91"/>
        <v>7.6200000000000004E-2</v>
      </c>
      <c r="AA160" s="69">
        <f t="shared" si="92"/>
        <v>5.7861000000000002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 t="shared" si="82"/>
        <v>0800-05</v>
      </c>
      <c r="AE160" s="95" t="str">
        <f t="shared" si="93"/>
        <v>aws s3 cp s3://rtdc.mdm.uploadarchive.raw/RTDC4032/ "%USERPROFILE%\AppData\Local\Temp\OnboardLogs"\RTDC4032\2016-10-05 --exclude "*" --recursive --include "*20161005*" &amp; "%USERPROFILE%\Documents\GitHub\mrs-test-scripts\Headless Mode &amp; Sideloading\WalkAndUnGZ.bat" "%USERPROFILE%\AppData\Local\Temp\OnboardLogs"\RTDC4032\2016-10-05 &amp; 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</v>
      </c>
      <c r="AF160" s="92" t="str">
        <f t="shared" si="94"/>
        <v>"C:\Program Files (x86)\AstroGrep\AstroGrep.exe" /spath="%USERPROFILE%\AppData\Local\Temp\OnboardLogs" /stypes="app*4032*20161005*" /stext=" 11:.+((SYSTEM_STATE.+slice.+state.+changed )|(ment ac)|(system.+state.+changed )|(\[timeout)|(PRM\|1\|D)|(kpr)|(kdp)|(\|lc)|(penalty))" /e /r /s</v>
      </c>
      <c r="AG160" s="1" t="str">
        <f t="shared" si="83"/>
        <v>NW</v>
      </c>
      <c r="AH160" s="96" t="str">
        <f t="shared" si="84"/>
        <v>"%USERPROFILE%\Documents\GitHub\eaglep3\Utilities\RefineRTDCRunTimes.py" --tripid 800-05 --locoid 4032 --swversion DE.1.0.7.0 --startMP 300:58623 --initTime 2016-10-05T05:06:30 --startdatetime 2016-10-05T05:08:43 --delay 1 --endMP 204:762 --enddatetime 2016-10-05T05:26:10 --enforcementcount 0 &gt;&gt;C:\Users\stu\Documents\GitHub\eaglep3-reporting\EC\2016-10-05-refined-times.txt</v>
      </c>
      <c r="AI160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{"issue":{"subject":"","project_id":79,"tracker_id":40,"status_id":1,"priority_id":2,"assigned_to_id":23,"start_date":"2016-10-05","description":"","custom_fields":[{"id":1,"name":"Subdivision","value":"NW"},{"id":4,"name":"Milepost","value":"0.0762"},{"id":17,"name":"Train ID","value":"800-05"},{"id":16,"name":"Locomotive ID","value":"4032"},{"id":130,"name":"Impact","value":""},{"id":150,"name":"Time of Event (Mountain Time)","value":"05:26:10"},{"id":151,"name":"Denver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452</v>
      </c>
      <c r="B161" s="7">
        <v>4031</v>
      </c>
      <c r="C161" s="24" t="s">
        <v>106</v>
      </c>
      <c r="D161" s="24" t="s">
        <v>709</v>
      </c>
      <c r="E161" s="15">
        <v>42648.242384259262</v>
      </c>
      <c r="F161" s="15">
        <v>42648.243946759256</v>
      </c>
      <c r="G161" s="7">
        <v>1</v>
      </c>
      <c r="H161" s="15" t="s">
        <v>710</v>
      </c>
      <c r="I161" s="15">
        <v>42648.253865740742</v>
      </c>
      <c r="J161" s="7">
        <v>0</v>
      </c>
      <c r="K161" s="117" t="str">
        <f t="shared" si="86"/>
        <v>4031/4032</v>
      </c>
      <c r="L161" s="24" t="str">
        <f>VLOOKUP(A161,'Trips&amp;Operators'!$C$1:$E$10000,3,FALSE)</f>
        <v>STARKS</v>
      </c>
      <c r="M161" s="6">
        <f t="shared" si="87"/>
        <v>9.9189814864075743E-3</v>
      </c>
      <c r="N161" s="7">
        <f t="shared" si="80"/>
        <v>14.283333340426907</v>
      </c>
      <c r="O161" s="7"/>
      <c r="P161" s="7"/>
      <c r="Q161" s="25"/>
      <c r="R161" s="25"/>
      <c r="S161" s="37">
        <f t="shared" si="95"/>
        <v>1</v>
      </c>
      <c r="T161" s="52" t="str">
        <f t="shared" si="81"/>
        <v>NorthBound</v>
      </c>
      <c r="U161" s="159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04:49:02-0600',mode:absolute,to:'2016-10-05 07:05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1" s="54" t="str">
        <f t="shared" si="89"/>
        <v>N</v>
      </c>
      <c r="X161" s="164">
        <f t="shared" si="96"/>
        <v>1</v>
      </c>
      <c r="Y161" s="69">
        <f t="shared" si="90"/>
        <v>0.1053</v>
      </c>
      <c r="Z161" s="69">
        <f t="shared" si="91"/>
        <v>5.8949999999999996</v>
      </c>
      <c r="AA161" s="69">
        <f t="shared" si="92"/>
        <v>5.7896999999999998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 t="shared" si="82"/>
        <v>0801-05</v>
      </c>
      <c r="AE161" s="95" t="str">
        <f t="shared" si="93"/>
        <v>aws s3 cp s3://rtdc.mdm.uploadarchive.raw/RTDC4031/ "%USERPROFILE%\AppData\Local\Temp\OnboardLogs"\RTDC4031\2016-10-05 --exclude "*" --recursive --include "*20161005*" &amp; "%USERPROFILE%\Documents\GitHub\mrs-test-scripts\Headless Mode &amp; Sideloading\WalkAndUnGZ.bat" "%USERPROFILE%\AppData\Local\Temp\OnboardLogs"\RTDC4031\2016-10-05 &amp; aws s3 cp s3://rtdc.mdm.uploadarchive.raw/RTDC4031/ "%USERPROFILE%\AppData\Local\Temp\OnboardLogs"\RTDC4031\2016-10-06 --exclude "*" --recursive --include "*20161006*" &amp; "%USERPROFILE%\Documents\GitHub\mrs-test-scripts\Headless Mode &amp; Sideloading\WalkAndUnGZ.bat" "%USERPROFILE%\AppData\Local\Temp\OnboardLogs"\RTDC4031\2016-10-06</v>
      </c>
      <c r="AF161" s="92" t="str">
        <f t="shared" si="94"/>
        <v>"C:\Program Files (x86)\AstroGrep\AstroGrep.exe" /spath="%USERPROFILE%\AppData\Local\Temp\OnboardLogs" /stypes="app*4031*20161005*" /stext=" 12:.+((SYSTEM_STATE.+slice.+state.+changed )|(ment ac)|(system.+state.+changed )|(\[timeout)|(PRM\|1\|D)|(kpr)|(kdp)|(\|lc)|(penalty))" /e /r /s</v>
      </c>
      <c r="AG161" s="1" t="str">
        <f t="shared" si="83"/>
        <v>NW</v>
      </c>
      <c r="AH161" s="96" t="str">
        <f t="shared" si="84"/>
        <v>"%USERPROFILE%\Documents\GitHub\eaglep3\Utilities\RefineRTDCRunTimes.py" --tripid 801-05 --locoid 4031 --swversion DE.1.0.7.0 --startMP 204:1053 --initTime 2016-10-05T05:49:02 --startdatetime 2016-10-05T05:51:17 --delay 1 --endMP 300:58950 --enddatetime 2016-10-05T06:05:34 --enforcementcount 0 &gt;&gt;C:\Users\stu\Documents\GitHub\eaglep3-reporting\EC\2016-10-05-refined-times.txt</v>
      </c>
      <c r="AI161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{"issue":{"subject":"","project_id":79,"tracker_id":40,"status_id":1,"priority_id":2,"assigned_to_id":23,"start_date":"2016-10-05","description":"","custom_fields":[{"id":1,"name":"Subdivision","value":"NW"},{"id":4,"name":"Milepost","value":"5.895"},{"id":17,"name":"Train ID","value":"801-05"},{"id":16,"name":"Locomotive ID","value":"4031"},{"id":130,"name":"Impact","value":""},{"id":150,"name":"Time of Event (Mountain Time)","value":"06:05:34"},{"id":151,"name":"Denver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s="23" customFormat="1" x14ac:dyDescent="0.25">
      <c r="A162" s="39" t="s">
        <v>457</v>
      </c>
      <c r="B162" s="7">
        <v>4032</v>
      </c>
      <c r="C162" s="24" t="s">
        <v>106</v>
      </c>
      <c r="D162" s="24" t="s">
        <v>711</v>
      </c>
      <c r="E162" s="15">
        <v>42648.255243055559</v>
      </c>
      <c r="F162" s="15">
        <v>42648.256921296299</v>
      </c>
      <c r="G162" s="7">
        <v>1</v>
      </c>
      <c r="H162" s="15" t="s">
        <v>361</v>
      </c>
      <c r="I162" s="15">
        <v>42648.26840277778</v>
      </c>
      <c r="J162" s="7">
        <v>0</v>
      </c>
      <c r="K162" s="117" t="str">
        <f t="shared" si="86"/>
        <v>4031/4032</v>
      </c>
      <c r="L162" s="24" t="str">
        <f>VLOOKUP(A162,'Trips&amp;Operators'!$C$1:$E$10000,3,FALSE)</f>
        <v>STARKS</v>
      </c>
      <c r="M162" s="6">
        <f t="shared" si="87"/>
        <v>1.1481481480586808E-2</v>
      </c>
      <c r="N162" s="7">
        <f t="shared" si="80"/>
        <v>16.533333332045004</v>
      </c>
      <c r="O162" s="7"/>
      <c r="P162" s="7"/>
      <c r="Q162" s="25"/>
      <c r="R162" s="25"/>
      <c r="S162" s="37">
        <f t="shared" si="95"/>
        <v>1</v>
      </c>
      <c r="T162" s="52" t="str">
        <f t="shared" si="81"/>
        <v>Southbound</v>
      </c>
      <c r="U162" s="159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05:07:33-0600',mode:absolute,to:'2016-10-05 07:26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2" s="54" t="str">
        <f t="shared" si="89"/>
        <v>N</v>
      </c>
      <c r="X162" s="164">
        <f t="shared" si="96"/>
        <v>1</v>
      </c>
      <c r="Y162" s="69">
        <f t="shared" si="90"/>
        <v>5.8628</v>
      </c>
      <c r="Z162" s="69">
        <f t="shared" si="91"/>
        <v>7.3300000000000004E-2</v>
      </c>
      <c r="AA162" s="69">
        <f t="shared" si="92"/>
        <v>5.7895000000000003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 t="shared" si="82"/>
        <v>0802-05</v>
      </c>
      <c r="AE162" s="95" t="str">
        <f t="shared" si="93"/>
        <v>aws s3 cp s3://rtdc.mdm.uploadarchive.raw/RTDC4032/ "%USERPROFILE%\AppData\Local\Temp\OnboardLogs"\RTDC4032\2016-10-05 --exclude "*" --recursive --include "*20161005*" &amp; "%USERPROFILE%\Documents\GitHub\mrs-test-scripts\Headless Mode &amp; Sideloading\WalkAndUnGZ.bat" "%USERPROFILE%\AppData\Local\Temp\OnboardLogs"\RTDC4032\2016-10-05 &amp; 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</v>
      </c>
      <c r="AF162" s="92" t="str">
        <f t="shared" si="94"/>
        <v>"C:\Program Files (x86)\AstroGrep\AstroGrep.exe" /spath="%USERPROFILE%\AppData\Local\Temp\OnboardLogs" /stypes="app*4032*20161005*" /stext=" 12:.+((SYSTEM_STATE.+slice.+state.+changed )|(ment ac)|(system.+state.+changed )|(\[timeout)|(PRM\|1\|D)|(kpr)|(kdp)|(\|lc)|(penalty))" /e /r /s</v>
      </c>
      <c r="AG162" s="1" t="str">
        <f t="shared" si="83"/>
        <v>NW</v>
      </c>
      <c r="AH162" s="96" t="str">
        <f t="shared" si="84"/>
        <v>"%USERPROFILE%\Documents\GitHub\eaglep3\Utilities\RefineRTDCRunTimes.py" --tripid 802-05 --locoid 4032 --swversion DE.1.0.7.0 --startMP 300:58628 --initTime 2016-10-05T06:07:33 --startdatetime 2016-10-05T06:09:58 --delay 1 --endMP 204:733 --enddatetime 2016-10-05T06:26:30 --enforcementcount 0 &gt;&gt;C:\Users\stu\Documents\GitHub\eaglep3-reporting\EC\2016-10-05-refined-times.txt</v>
      </c>
      <c r="AI162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{"issue":{"subject":"","project_id":79,"tracker_id":40,"status_id":1,"priority_id":2,"assigned_to_id":23,"start_date":"2016-10-05","description":"","custom_fields":[{"id":1,"name":"Subdivision","value":"NW"},{"id":4,"name":"Milepost","value":"0.0733"},{"id":17,"name":"Train ID","value":"802-05"},{"id":16,"name":"Locomotive ID","value":"4032"},{"id":130,"name":"Impact","value":""},{"id":150,"name":"Time of Event (Mountain Time)","value":"06:26:30"},{"id":151,"name":"Denver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459</v>
      </c>
      <c r="B163" s="7">
        <v>4020</v>
      </c>
      <c r="C163" s="24" t="s">
        <v>106</v>
      </c>
      <c r="D163" s="24" t="s">
        <v>300</v>
      </c>
      <c r="E163" s="15">
        <v>42648.25818287037</v>
      </c>
      <c r="F163" s="15">
        <v>42648.264756944445</v>
      </c>
      <c r="G163" s="7">
        <v>1</v>
      </c>
      <c r="H163" s="15" t="s">
        <v>712</v>
      </c>
      <c r="I163" s="15">
        <v>42648.274375000001</v>
      </c>
      <c r="J163" s="7">
        <v>0</v>
      </c>
      <c r="K163" s="117" t="str">
        <f t="shared" si="86"/>
        <v>4019/4020</v>
      </c>
      <c r="L163" s="24" t="str">
        <f>VLOOKUP(A163,'Trips&amp;Operators'!$C$1:$E$10000,3,FALSE)</f>
        <v>GEBRETEKLE</v>
      </c>
      <c r="M163" s="6">
        <f t="shared" si="87"/>
        <v>9.6180555556202307E-3</v>
      </c>
      <c r="N163" s="7">
        <f t="shared" si="80"/>
        <v>13.850000000093132</v>
      </c>
      <c r="O163" s="7"/>
      <c r="P163" s="7"/>
      <c r="Q163" s="25"/>
      <c r="R163" s="25"/>
      <c r="S163" s="37">
        <f t="shared" si="95"/>
        <v>1</v>
      </c>
      <c r="T163" s="52" t="str">
        <f t="shared" si="81"/>
        <v>NorthBound</v>
      </c>
      <c r="U163" s="159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05:11:47-0600',mode:absolute,to:'2016-10-05 07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63" s="54" t="str">
        <f t="shared" si="89"/>
        <v>N</v>
      </c>
      <c r="X163" s="164">
        <f t="shared" si="96"/>
        <v>1</v>
      </c>
      <c r="Y163" s="69">
        <f t="shared" si="90"/>
        <v>9.7600000000000006E-2</v>
      </c>
      <c r="Z163" s="69">
        <f t="shared" si="91"/>
        <v>5.8994999999999997</v>
      </c>
      <c r="AA163" s="69">
        <f t="shared" si="92"/>
        <v>5.8018999999999998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 t="shared" si="82"/>
        <v>0803-05</v>
      </c>
      <c r="AE163" s="95" t="str">
        <f t="shared" si="93"/>
        <v>aws s3 cp s3://rtdc.mdm.uploadarchive.raw/RTDC4020/ "%USERPROFILE%\AppData\Local\Temp\OnboardLogs"\RTDC4020\2016-10-05 --exclude "*" --recursive --include "*20161005*" &amp; "%USERPROFILE%\Documents\GitHub\mrs-test-scripts\Headless Mode &amp; Sideloading\WalkAndUnGZ.bat" "%USERPROFILE%\AppData\Local\Temp\OnboardLogs"\RTDC4020\2016-10-05 &amp; aws s3 cp s3://rtdc.mdm.uploadarchive.raw/RTDC4020/ "%USERPROFILE%\AppData\Local\Temp\OnboardLogs"\RTDC4020\2016-10-06 --exclude "*" --recursive --include "*20161006*" &amp; "%USERPROFILE%\Documents\GitHub\mrs-test-scripts\Headless Mode &amp; Sideloading\WalkAndUnGZ.bat" "%USERPROFILE%\AppData\Local\Temp\OnboardLogs"\RTDC4020\2016-10-06</v>
      </c>
      <c r="AF163" s="92" t="str">
        <f t="shared" si="94"/>
        <v>"C:\Program Files (x86)\AstroGrep\AstroGrep.exe" /spath="%USERPROFILE%\AppData\Local\Temp\OnboardLogs" /stypes="app*4020*20161005*" /stext=" 12:.+((SYSTEM_STATE.+slice.+state.+changed )|(ment ac)|(system.+state.+changed )|(\[timeout)|(PRM\|1\|D)|(kpr)|(kdp)|(\|lc)|(penalty))" /e /r /s</v>
      </c>
      <c r="AG163" s="1" t="str">
        <f t="shared" si="83"/>
        <v>NW</v>
      </c>
      <c r="AH163" s="96" t="str">
        <f t="shared" si="84"/>
        <v>"%USERPROFILE%\Documents\GitHub\eaglep3\Utilities\RefineRTDCRunTimes.py" --tripid 803-05 --locoid 4020 --swversion DE.1.0.7.0 --startMP 204:976 --initTime 2016-10-05T06:11:47 --startdatetime 2016-10-05T06:21:15 --delay 1 --endMP 300:58995 --enddatetime 2016-10-05T06:35:06 --enforcementcount 0 &gt;&gt;C:\Users\stu\Documents\GitHub\eaglep3-reporting\EC\2016-10-05-refined-times.txt</v>
      </c>
      <c r="AI163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{"issue":{"subject":"","project_id":79,"tracker_id":40,"status_id":1,"priority_id":2,"assigned_to_id":23,"start_date":"2016-10-05","description":"","custom_fields":[{"id":1,"name":"Subdivision","value":"NW"},{"id":4,"name":"Milepost","value":"5.8995"},{"id":17,"name":"Train ID","value":"803-05"},{"id":16,"name":"Locomotive ID","value":"4020"},{"id":130,"name":"Impact","value":""},{"id":150,"name":"Time of Event (Mountain Time)","value":"06:35:06"},{"id":151,"name":"Denver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s="23" customFormat="1" x14ac:dyDescent="0.25">
      <c r="A164" s="39" t="s">
        <v>376</v>
      </c>
      <c r="B164" s="7">
        <v>4019</v>
      </c>
      <c r="C164" s="24" t="s">
        <v>106</v>
      </c>
      <c r="D164" s="24" t="s">
        <v>766</v>
      </c>
      <c r="E164" s="15">
        <v>42648.275601851848</v>
      </c>
      <c r="F164" s="15">
        <v>42648.276817129627</v>
      </c>
      <c r="G164" s="7">
        <v>1</v>
      </c>
      <c r="H164" s="15" t="s">
        <v>721</v>
      </c>
      <c r="I164" s="15">
        <v>42648.289178240739</v>
      </c>
      <c r="J164" s="7">
        <v>0</v>
      </c>
      <c r="K164" s="117" t="str">
        <f t="shared" si="86"/>
        <v>4019/4020</v>
      </c>
      <c r="L164" s="24" t="str">
        <f>VLOOKUP(A164,'Trips&amp;Operators'!$C$1:$E$10000,3,FALSE)</f>
        <v>GEBRETEKLE</v>
      </c>
      <c r="M164" s="6">
        <f t="shared" si="87"/>
        <v>1.2361111112113576E-2</v>
      </c>
      <c r="N164" s="7">
        <f t="shared" si="80"/>
        <v>17.80000000144355</v>
      </c>
      <c r="O164" s="7"/>
      <c r="P164" s="7"/>
      <c r="Q164" s="25"/>
      <c r="R164" s="25"/>
      <c r="S164" s="37">
        <f t="shared" si="95"/>
        <v>1</v>
      </c>
      <c r="T164" s="52" t="str">
        <f t="shared" si="81"/>
        <v>Southbound</v>
      </c>
      <c r="U164" s="159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05:36:52-0600',mode:absolute,to:'2016-10-05 07:56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64" s="54" t="str">
        <f t="shared" si="89"/>
        <v>N</v>
      </c>
      <c r="X164" s="164">
        <f t="shared" si="96"/>
        <v>1</v>
      </c>
      <c r="Y164" s="69">
        <f t="shared" si="90"/>
        <v>5.8688000000000002</v>
      </c>
      <c r="Z164" s="69">
        <f t="shared" si="91"/>
        <v>6.8900000000000003E-2</v>
      </c>
      <c r="AA164" s="69">
        <f t="shared" si="92"/>
        <v>5.7999000000000001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 t="shared" si="82"/>
        <v>0804-05</v>
      </c>
      <c r="AE164" s="95" t="str">
        <f t="shared" si="93"/>
        <v>aws s3 cp s3://rtdc.mdm.uploadarchive.raw/RTDC4019/ "%USERPROFILE%\AppData\Local\Temp\OnboardLogs"\RTDC4019\2016-10-05 --exclude "*" --recursive --include "*20161005*" &amp; "%USERPROFILE%\Documents\GitHub\mrs-test-scripts\Headless Mode &amp; Sideloading\WalkAndUnGZ.bat" "%USERPROFILE%\AppData\Local\Temp\OnboardLogs"\RTDC4019\2016-10-05 &amp; aws s3 cp s3://rtdc.mdm.uploadarchive.raw/RTDC4019/ "%USERPROFILE%\AppData\Local\Temp\OnboardLogs"\RTDC4019\2016-10-06 --exclude "*" --recursive --include "*20161006*" &amp; "%USERPROFILE%\Documents\GitHub\mrs-test-scripts\Headless Mode &amp; Sideloading\WalkAndUnGZ.bat" "%USERPROFILE%\AppData\Local\Temp\OnboardLogs"\RTDC4019\2016-10-06</v>
      </c>
      <c r="AF164" s="92" t="str">
        <f t="shared" si="94"/>
        <v>"C:\Program Files (x86)\AstroGrep\AstroGrep.exe" /spath="%USERPROFILE%\AppData\Local\Temp\OnboardLogs" /stypes="app*4019*20161005*" /stext=" 12:.+((SYSTEM_STATE.+slice.+state.+changed )|(ment ac)|(system.+state.+changed )|(\[timeout)|(PRM\|1\|D)|(kpr)|(kdp)|(\|lc)|(penalty))" /e /r /s</v>
      </c>
      <c r="AG164" s="1" t="str">
        <f t="shared" si="83"/>
        <v>NW</v>
      </c>
      <c r="AH164" s="96" t="str">
        <f t="shared" si="84"/>
        <v>"%USERPROFILE%\Documents\GitHub\eaglep3\Utilities\RefineRTDCRunTimes.py" --tripid 804-05 --locoid 4019 --swversion DE.1.0.7.0 --startMP 300:58688 --initTime 2016-10-05T06:36:52 --startdatetime 2016-10-05T06:38:37 --delay 1 --endMP 204:689 --enddatetime 2016-10-05T06:56:25 --enforcementcount 0 &gt;&gt;C:\Users\stu\Documents\GitHub\eaglep3-reporting\EC\2016-10-05-refined-times.txt</v>
      </c>
      <c r="AI164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{"issue":{"subject":"","project_id":79,"tracker_id":40,"status_id":1,"priority_id":2,"assigned_to_id":23,"start_date":"2016-10-05","description":"","custom_fields":[{"id":1,"name":"Subdivision","value":"NW"},{"id":4,"name":"Milepost","value":"0.0689"},{"id":17,"name":"Train ID","value":"804-05"},{"id":16,"name":"Locomotive ID","value":"4019"},{"id":130,"name":"Impact","value":""},{"id":150,"name":"Time of Event (Mountain Time)","value":"06:56:25"},{"id":151,"name":"Denver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464</v>
      </c>
      <c r="B165" s="7">
        <v>4031</v>
      </c>
      <c r="C165" s="24" t="s">
        <v>106</v>
      </c>
      <c r="D165" s="24" t="s">
        <v>767</v>
      </c>
      <c r="E165" s="15">
        <v>42648.282210648147</v>
      </c>
      <c r="F165" s="15">
        <v>42648.282986111109</v>
      </c>
      <c r="G165" s="7">
        <v>1</v>
      </c>
      <c r="H165" s="15" t="s">
        <v>363</v>
      </c>
      <c r="I165" s="15">
        <v>42648.295428240737</v>
      </c>
      <c r="J165" s="7">
        <v>0</v>
      </c>
      <c r="K165" s="117" t="str">
        <f t="shared" si="86"/>
        <v>4031/4032</v>
      </c>
      <c r="L165" s="24" t="str">
        <f>VLOOKUP(A165,'Trips&amp;Operators'!$C$1:$E$10000,3,FALSE)</f>
        <v>STARKS</v>
      </c>
      <c r="M165" s="6">
        <f t="shared" si="87"/>
        <v>1.244212962774327E-2</v>
      </c>
      <c r="N165" s="7">
        <f t="shared" si="80"/>
        <v>17.916666663950309</v>
      </c>
      <c r="O165" s="7"/>
      <c r="P165" s="7"/>
      <c r="Q165" s="25"/>
      <c r="R165" s="25"/>
      <c r="S165" s="37">
        <f t="shared" si="95"/>
        <v>1</v>
      </c>
      <c r="T165" s="52" t="str">
        <f t="shared" si="81"/>
        <v>NorthBound</v>
      </c>
      <c r="U165" s="159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05:46:23-0600',mode:absolute,to:'2016-10-05 08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5" s="54" t="str">
        <f t="shared" si="89"/>
        <v>N</v>
      </c>
      <c r="X165" s="164">
        <f t="shared" si="96"/>
        <v>1</v>
      </c>
      <c r="Y165" s="69">
        <f t="shared" si="90"/>
        <v>0.1011</v>
      </c>
      <c r="Z165" s="69">
        <f t="shared" si="91"/>
        <v>5.8929</v>
      </c>
      <c r="AA165" s="69">
        <f t="shared" si="92"/>
        <v>5.7918000000000003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 t="shared" si="82"/>
        <v>0805-05</v>
      </c>
      <c r="AE165" s="95" t="str">
        <f t="shared" si="93"/>
        <v>aws s3 cp s3://rtdc.mdm.uploadarchive.raw/RTDC4031/ "%USERPROFILE%\AppData\Local\Temp\OnboardLogs"\RTDC4031\2016-10-05 --exclude "*" --recursive --include "*20161005*" &amp; "%USERPROFILE%\Documents\GitHub\mrs-test-scripts\Headless Mode &amp; Sideloading\WalkAndUnGZ.bat" "%USERPROFILE%\AppData\Local\Temp\OnboardLogs"\RTDC4031\2016-10-05 &amp; aws s3 cp s3://rtdc.mdm.uploadarchive.raw/RTDC4031/ "%USERPROFILE%\AppData\Local\Temp\OnboardLogs"\RTDC4031\2016-10-06 --exclude "*" --recursive --include "*20161006*" &amp; "%USERPROFILE%\Documents\GitHub\mrs-test-scripts\Headless Mode &amp; Sideloading\WalkAndUnGZ.bat" "%USERPROFILE%\AppData\Local\Temp\OnboardLogs"\RTDC4031\2016-10-06</v>
      </c>
      <c r="AF165" s="92" t="str">
        <f t="shared" si="94"/>
        <v>"C:\Program Files (x86)\AstroGrep\AstroGrep.exe" /spath="%USERPROFILE%\AppData\Local\Temp\OnboardLogs" /stypes="app*4031*20161005*" /stext=" 13:.+((SYSTEM_STATE.+slice.+state.+changed )|(ment ac)|(system.+state.+changed )|(\[timeout)|(PRM\|1\|D)|(kpr)|(kdp)|(\|lc)|(penalty))" /e /r /s</v>
      </c>
      <c r="AG165" s="1" t="str">
        <f t="shared" si="83"/>
        <v>NW</v>
      </c>
      <c r="AH165" s="96" t="str">
        <f t="shared" si="84"/>
        <v>"%USERPROFILE%\Documents\GitHub\eaglep3\Utilities\RefineRTDCRunTimes.py" --tripid 805-05 --locoid 4031 --swversion DE.1.0.7.0 --startMP 204:1011 --initTime 2016-10-05T06:46:23 --startdatetime 2016-10-05T06:47:30 --delay 1 --endMP 300:58929 --enddatetime 2016-10-05T07:05:25 --enforcementcount 0 &gt;&gt;C:\Users\stu\Documents\GitHub\eaglep3-reporting\EC\2016-10-05-refined-times.txt</v>
      </c>
      <c r="AI165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{"issue":{"subject":"","project_id":79,"tracker_id":40,"status_id":1,"priority_id":2,"assigned_to_id":23,"start_date":"2016-10-05","description":"","custom_fields":[{"id":1,"name":"Subdivision","value":"NW"},{"id":4,"name":"Milepost","value":"5.8929"},{"id":17,"name":"Train ID","value":"805-05"},{"id":16,"name":"Locomotive ID","value":"4031"},{"id":130,"name":"Impact","value":""},{"id":150,"name":"Time of Event (Mountain Time)","value":"07:05:25"},{"id":151,"name":"Denver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468</v>
      </c>
      <c r="B166" s="7">
        <v>4032</v>
      </c>
      <c r="C166" s="24" t="s">
        <v>106</v>
      </c>
      <c r="D166" s="24" t="s">
        <v>355</v>
      </c>
      <c r="E166" s="15">
        <v>42648.296342592592</v>
      </c>
      <c r="F166" s="15">
        <v>42648.297129629631</v>
      </c>
      <c r="G166" s="7">
        <v>1</v>
      </c>
      <c r="H166" s="15" t="s">
        <v>357</v>
      </c>
      <c r="I166" s="15">
        <v>42648.31045138889</v>
      </c>
      <c r="J166" s="7">
        <v>0</v>
      </c>
      <c r="K166" s="117" t="str">
        <f t="shared" si="86"/>
        <v>4031/4032</v>
      </c>
      <c r="L166" s="24" t="str">
        <f>VLOOKUP(A166,'Trips&amp;Operators'!$C$1:$E$10000,3,FALSE)</f>
        <v>STARKS</v>
      </c>
      <c r="M166" s="6">
        <f t="shared" si="87"/>
        <v>1.3321759259270038E-2</v>
      </c>
      <c r="N166" s="7">
        <f t="shared" si="80"/>
        <v>19.183333333348855</v>
      </c>
      <c r="O166" s="7"/>
      <c r="P166" s="7"/>
      <c r="Q166" s="25"/>
      <c r="R166" s="25"/>
      <c r="S166" s="37">
        <f t="shared" si="95"/>
        <v>1</v>
      </c>
      <c r="T166" s="52" t="str">
        <f t="shared" si="81"/>
        <v>Southbound</v>
      </c>
      <c r="U166" s="159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06:06:44-0600',mode:absolute,to:'2016-10-05 08:27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6" s="54" t="str">
        <f t="shared" si="89"/>
        <v>N</v>
      </c>
      <c r="X166" s="164">
        <f t="shared" si="96"/>
        <v>1</v>
      </c>
      <c r="Y166" s="69">
        <f t="shared" si="90"/>
        <v>5.8605999999999998</v>
      </c>
      <c r="Z166" s="69">
        <f t="shared" si="91"/>
        <v>7.1499999999999994E-2</v>
      </c>
      <c r="AA166" s="69">
        <f t="shared" si="92"/>
        <v>5.7890999999999995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 t="shared" si="82"/>
        <v>0806-05</v>
      </c>
      <c r="AE166" s="95" t="str">
        <f t="shared" si="93"/>
        <v>aws s3 cp s3://rtdc.mdm.uploadarchive.raw/RTDC4032/ "%USERPROFILE%\AppData\Local\Temp\OnboardLogs"\RTDC4032\2016-10-05 --exclude "*" --recursive --include "*20161005*" &amp; "%USERPROFILE%\Documents\GitHub\mrs-test-scripts\Headless Mode &amp; Sideloading\WalkAndUnGZ.bat" "%USERPROFILE%\AppData\Local\Temp\OnboardLogs"\RTDC4032\2016-10-05 &amp; 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</v>
      </c>
      <c r="AF166" s="92" t="str">
        <f t="shared" si="94"/>
        <v>"C:\Program Files (x86)\AstroGrep\AstroGrep.exe" /spath="%USERPROFILE%\AppData\Local\Temp\OnboardLogs" /stypes="app*4032*20161005*" /stext=" 13:.+((SYSTEM_STATE.+slice.+state.+changed )|(ment ac)|(system.+state.+changed )|(\[timeout)|(PRM\|1\|D)|(kpr)|(kdp)|(\|lc)|(penalty))" /e /r /s</v>
      </c>
      <c r="AG166" s="1" t="str">
        <f t="shared" si="83"/>
        <v>NW</v>
      </c>
      <c r="AH166" s="96" t="str">
        <f t="shared" si="84"/>
        <v>"%USERPROFILE%\Documents\GitHub\eaglep3\Utilities\RefineRTDCRunTimes.py" --tripid 806-05 --locoid 4032 --swversion DE.1.0.7.0 --startMP 300:58606 --initTime 2016-10-05T07:06:44 --startdatetime 2016-10-05T07:07:52 --delay 1 --endMP 204:715 --enddatetime 2016-10-05T07:27:03 --enforcementcount 0 &gt;&gt;C:\Users\stu\Documents\GitHub\eaglep3-reporting\EC\2016-10-05-refined-times.txt</v>
      </c>
      <c r="AI166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{"issue":{"subject":"","project_id":79,"tracker_id":40,"status_id":1,"priority_id":2,"assigned_to_id":23,"start_date":"2016-10-05","description":"","custom_fields":[{"id":1,"name":"Subdivision","value":"NW"},{"id":4,"name":"Milepost","value":"0.0715"},{"id":17,"name":"Train ID","value":"806-05"},{"id":16,"name":"Locomotive ID","value":"4032"},{"id":130,"name":"Impact","value":""},{"id":150,"name":"Time of Event (Mountain Time)","value":"07:27:03"},{"id":151,"name":"Denver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467</v>
      </c>
      <c r="B167" s="7">
        <v>4020</v>
      </c>
      <c r="C167" s="24" t="s">
        <v>106</v>
      </c>
      <c r="D167" s="24" t="s">
        <v>365</v>
      </c>
      <c r="E167" s="15">
        <v>42648.291388888887</v>
      </c>
      <c r="F167" s="15">
        <v>42648.306620370371</v>
      </c>
      <c r="G167" s="7">
        <v>1</v>
      </c>
      <c r="H167" s="15" t="s">
        <v>754</v>
      </c>
      <c r="I167" s="15">
        <v>42648.31658564815</v>
      </c>
      <c r="J167" s="7">
        <v>0</v>
      </c>
      <c r="K167" s="117" t="str">
        <f t="shared" si="86"/>
        <v>4019/4020</v>
      </c>
      <c r="L167" s="24" t="str">
        <f>VLOOKUP(A167,'Trips&amp;Operators'!$C$1:$E$10000,3,FALSE)</f>
        <v>GEBRETEKLE</v>
      </c>
      <c r="M167" s="6">
        <f t="shared" si="87"/>
        <v>9.9652777789742686E-3</v>
      </c>
      <c r="N167" s="7">
        <f t="shared" ref="N167:N198" si="97">24*60*SUM($M167:$M167)</f>
        <v>14.350000001722947</v>
      </c>
      <c r="O167" s="7"/>
      <c r="P167" s="7"/>
      <c r="Q167" s="25"/>
      <c r="R167" s="25"/>
      <c r="S167" s="37">
        <f t="shared" si="95"/>
        <v>1</v>
      </c>
      <c r="T167" s="52" t="str">
        <f t="shared" si="81"/>
        <v>NorthBound</v>
      </c>
      <c r="U167" s="159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05:59:36-0600',mode:absolute,to:'2016-10-05 08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67" s="54" t="str">
        <f t="shared" si="89"/>
        <v>N</v>
      </c>
      <c r="X167" s="164">
        <f t="shared" si="96"/>
        <v>1</v>
      </c>
      <c r="Y167" s="69">
        <f t="shared" si="90"/>
        <v>9.74E-2</v>
      </c>
      <c r="Z167" s="69">
        <f t="shared" si="91"/>
        <v>5.8948</v>
      </c>
      <c r="AA167" s="69">
        <f t="shared" si="92"/>
        <v>5.7973999999999997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 t="shared" si="82"/>
        <v>0807-05</v>
      </c>
      <c r="AE167" s="95" t="str">
        <f t="shared" si="93"/>
        <v>aws s3 cp s3://rtdc.mdm.uploadarchive.raw/RTDC4020/ "%USERPROFILE%\AppData\Local\Temp\OnboardLogs"\RTDC4020\2016-10-05 --exclude "*" --recursive --include "*20161005*" &amp; "%USERPROFILE%\Documents\GitHub\mrs-test-scripts\Headless Mode &amp; Sideloading\WalkAndUnGZ.bat" "%USERPROFILE%\AppData\Local\Temp\OnboardLogs"\RTDC4020\2016-10-05 &amp; aws s3 cp s3://rtdc.mdm.uploadarchive.raw/RTDC4020/ "%USERPROFILE%\AppData\Local\Temp\OnboardLogs"\RTDC4020\2016-10-06 --exclude "*" --recursive --include "*20161006*" &amp; "%USERPROFILE%\Documents\GitHub\mrs-test-scripts\Headless Mode &amp; Sideloading\WalkAndUnGZ.bat" "%USERPROFILE%\AppData\Local\Temp\OnboardLogs"\RTDC4020\2016-10-06</v>
      </c>
      <c r="AF167" s="92" t="str">
        <f t="shared" si="94"/>
        <v>"C:\Program Files (x86)\AstroGrep\AstroGrep.exe" /spath="%USERPROFILE%\AppData\Local\Temp\OnboardLogs" /stypes="app*4020*20161005*" /stext=" 13:.+((SYSTEM_STATE.+slice.+state.+changed )|(ment ac)|(system.+state.+changed )|(\[timeout)|(PRM\|1\|D)|(kpr)|(kdp)|(\|lc)|(penalty))" /e /r /s</v>
      </c>
      <c r="AG167" s="1" t="str">
        <f t="shared" si="83"/>
        <v>NW</v>
      </c>
      <c r="AH167" s="96" t="str">
        <f t="shared" si="84"/>
        <v>"%USERPROFILE%\Documents\GitHub\eaglep3\Utilities\RefineRTDCRunTimes.py" --tripid 807-05 --locoid 4020 --swversion DE.1.0.7.0 --startMP 204:974 --initTime 2016-10-05T06:59:36 --startdatetime 2016-10-05T07:21:32 --delay 1 --endMP 300:58948 --enddatetime 2016-10-05T07:35:53 --enforcementcount 0 &gt;&gt;C:\Users\stu\Documents\GitHub\eaglep3-reporting\EC\2016-10-05-refined-times.txt</v>
      </c>
      <c r="AI167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{"issue":{"subject":"","project_id":79,"tracker_id":40,"status_id":1,"priority_id":2,"assigned_to_id":23,"start_date":"2016-10-05","description":"","custom_fields":[{"id":1,"name":"Subdivision","value":"NW"},{"id":4,"name":"Milepost","value":"5.8948"},{"id":17,"name":"Train ID","value":"807-05"},{"id":16,"name":"Locomotive ID","value":"4020"},{"id":130,"name":"Impact","value":""},{"id":150,"name":"Time of Event (Mountain Time)","value":"07:35:53"},{"id":151,"name":"Denver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472</v>
      </c>
      <c r="B168" s="7">
        <v>4019</v>
      </c>
      <c r="C168" s="24" t="s">
        <v>106</v>
      </c>
      <c r="D168" s="24" t="s">
        <v>713</v>
      </c>
      <c r="E168" s="15">
        <v>42648.318159722221</v>
      </c>
      <c r="F168" s="15">
        <v>42648.319780092592</v>
      </c>
      <c r="G168" s="7">
        <v>1</v>
      </c>
      <c r="H168" s="15" t="s">
        <v>714</v>
      </c>
      <c r="I168" s="15">
        <v>42648.33085648148</v>
      </c>
      <c r="J168" s="7">
        <v>0</v>
      </c>
      <c r="K168" s="117" t="str">
        <f t="shared" si="86"/>
        <v>4019/4020</v>
      </c>
      <c r="L168" s="24" t="str">
        <f>VLOOKUP(A168,'Trips&amp;Operators'!$C$1:$E$10000,3,FALSE)</f>
        <v>GEBRETEKLE</v>
      </c>
      <c r="M168" s="6">
        <f t="shared" si="87"/>
        <v>1.1076388887886424E-2</v>
      </c>
      <c r="N168" s="7">
        <f t="shared" si="97"/>
        <v>15.94999999855645</v>
      </c>
      <c r="O168" s="7"/>
      <c r="P168" s="7"/>
      <c r="Q168" s="25"/>
      <c r="R168" s="25"/>
      <c r="S168" s="37">
        <f t="shared" si="95"/>
        <v>1</v>
      </c>
      <c r="T168" s="52" t="str">
        <f t="shared" si="81"/>
        <v>Southbound</v>
      </c>
      <c r="U168" s="159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06:38:09-0600',mode:absolute,to:'2016-10-05 08:56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68" s="54" t="str">
        <f t="shared" si="89"/>
        <v>N</v>
      </c>
      <c r="X168" s="164">
        <f t="shared" si="96"/>
        <v>1</v>
      </c>
      <c r="Y168" s="69">
        <f t="shared" si="90"/>
        <v>5.8638000000000003</v>
      </c>
      <c r="Z168" s="69">
        <f t="shared" si="91"/>
        <v>6.9099999999999995E-2</v>
      </c>
      <c r="AA168" s="69">
        <f t="shared" si="92"/>
        <v>5.7947000000000006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 t="shared" si="82"/>
        <v>0808-05</v>
      </c>
      <c r="AE168" s="95" t="str">
        <f t="shared" si="93"/>
        <v>aws s3 cp s3://rtdc.mdm.uploadarchive.raw/RTDC4019/ "%USERPROFILE%\AppData\Local\Temp\OnboardLogs"\RTDC4019\2016-10-05 --exclude "*" --recursive --include "*20161005*" &amp; "%USERPROFILE%\Documents\GitHub\mrs-test-scripts\Headless Mode &amp; Sideloading\WalkAndUnGZ.bat" "%USERPROFILE%\AppData\Local\Temp\OnboardLogs"\RTDC4019\2016-10-05 &amp; aws s3 cp s3://rtdc.mdm.uploadarchive.raw/RTDC4019/ "%USERPROFILE%\AppData\Local\Temp\OnboardLogs"\RTDC4019\2016-10-06 --exclude "*" --recursive --include "*20161006*" &amp; "%USERPROFILE%\Documents\GitHub\mrs-test-scripts\Headless Mode &amp; Sideloading\WalkAndUnGZ.bat" "%USERPROFILE%\AppData\Local\Temp\OnboardLogs"\RTDC4019\2016-10-06</v>
      </c>
      <c r="AF168" s="92" t="str">
        <f t="shared" si="94"/>
        <v>"C:\Program Files (x86)\AstroGrep\AstroGrep.exe" /spath="%USERPROFILE%\AppData\Local\Temp\OnboardLogs" /stypes="app*4019*20161005*" /stext=" 13:.+((SYSTEM_STATE.+slice.+state.+changed )|(ment ac)|(system.+state.+changed )|(\[timeout)|(PRM\|1\|D)|(kpr)|(kdp)|(\|lc)|(penalty))" /e /r /s</v>
      </c>
      <c r="AG168" s="1" t="str">
        <f t="shared" si="83"/>
        <v>NW</v>
      </c>
      <c r="AH168" s="96" t="str">
        <f t="shared" si="84"/>
        <v>"%USERPROFILE%\Documents\GitHub\eaglep3\Utilities\RefineRTDCRunTimes.py" --tripid 808-05 --locoid 4019 --swversion DE.1.0.7.0 --startMP 300:58638 --initTime 2016-10-05T07:38:09 --startdatetime 2016-10-05T07:40:29 --delay 1 --endMP 204:691 --enddatetime 2016-10-05T07:56:26 --enforcementcount 0 &gt;&gt;C:\Users\stu\Documents\GitHub\eaglep3-reporting\EC\2016-10-05-refined-times.txt</v>
      </c>
      <c r="AI168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{"issue":{"subject":"","project_id":79,"tracker_id":40,"status_id":1,"priority_id":2,"assigned_to_id":23,"start_date":"2016-10-05","description":"","custom_fields":[{"id":1,"name":"Subdivision","value":"NW"},{"id":4,"name":"Milepost","value":"0.0691"},{"id":17,"name":"Train ID","value":"808-05"},{"id":16,"name":"Locomotive ID","value":"4019"},{"id":130,"name":"Impact","value":""},{"id":150,"name":"Time of Event (Mountain Time)","value":"07:56:26"},{"id":151,"name":"Denver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473</v>
      </c>
      <c r="B169" s="7">
        <v>4031</v>
      </c>
      <c r="C169" s="24" t="s">
        <v>106</v>
      </c>
      <c r="D169" s="24" t="s">
        <v>367</v>
      </c>
      <c r="E169" s="15">
        <v>42648.325289351851</v>
      </c>
      <c r="F169" s="15">
        <v>42648.327349537038</v>
      </c>
      <c r="G169" s="7">
        <v>1</v>
      </c>
      <c r="H169" s="15" t="s">
        <v>715</v>
      </c>
      <c r="I169" s="15">
        <v>42648.337071759262</v>
      </c>
      <c r="J169" s="7">
        <v>0</v>
      </c>
      <c r="K169" s="117" t="str">
        <f t="shared" si="86"/>
        <v>4031/4032</v>
      </c>
      <c r="L169" s="24" t="str">
        <f>VLOOKUP(A169,'Trips&amp;Operators'!$C$1:$E$10000,3,FALSE)</f>
        <v>STARKS</v>
      </c>
      <c r="M169" s="6">
        <f t="shared" si="87"/>
        <v>9.7222222248092294E-3</v>
      </c>
      <c r="N169" s="7">
        <f t="shared" si="97"/>
        <v>14.00000000372529</v>
      </c>
      <c r="O169" s="7"/>
      <c r="P169" s="7"/>
      <c r="Q169" s="25"/>
      <c r="R169" s="25"/>
      <c r="S169" s="37">
        <f t="shared" si="95"/>
        <v>1</v>
      </c>
      <c r="T169" s="52" t="str">
        <f t="shared" si="81"/>
        <v>NorthBound</v>
      </c>
      <c r="U169" s="159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06:48:25-0600',mode:absolute,to:'2016-10-05 09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69" s="54" t="str">
        <f t="shared" si="89"/>
        <v>N</v>
      </c>
      <c r="X169" s="164">
        <f t="shared" si="96"/>
        <v>1</v>
      </c>
      <c r="Y169" s="69">
        <f t="shared" si="90"/>
        <v>0.1002</v>
      </c>
      <c r="Z169" s="69">
        <f t="shared" si="91"/>
        <v>5.8936999999999999</v>
      </c>
      <c r="AA169" s="69">
        <f t="shared" si="92"/>
        <v>5.7934999999999999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 t="shared" si="82"/>
        <v>0809-05</v>
      </c>
      <c r="AE169" s="95" t="str">
        <f t="shared" si="93"/>
        <v>aws s3 cp s3://rtdc.mdm.uploadarchive.raw/RTDC4031/ "%USERPROFILE%\AppData\Local\Temp\OnboardLogs"\RTDC4031\2016-10-05 --exclude "*" --recursive --include "*20161005*" &amp; "%USERPROFILE%\Documents\GitHub\mrs-test-scripts\Headless Mode &amp; Sideloading\WalkAndUnGZ.bat" "%USERPROFILE%\AppData\Local\Temp\OnboardLogs"\RTDC4031\2016-10-05 &amp; aws s3 cp s3://rtdc.mdm.uploadarchive.raw/RTDC4031/ "%USERPROFILE%\AppData\Local\Temp\OnboardLogs"\RTDC4031\2016-10-06 --exclude "*" --recursive --include "*20161006*" &amp; "%USERPROFILE%\Documents\GitHub\mrs-test-scripts\Headless Mode &amp; Sideloading\WalkAndUnGZ.bat" "%USERPROFILE%\AppData\Local\Temp\OnboardLogs"\RTDC4031\2016-10-06</v>
      </c>
      <c r="AF169" s="92" t="str">
        <f t="shared" si="94"/>
        <v>"C:\Program Files (x86)\AstroGrep\AstroGrep.exe" /spath="%USERPROFILE%\AppData\Local\Temp\OnboardLogs" /stypes="app*4031*20161005*" /stext=" 14:.+((SYSTEM_STATE.+slice.+state.+changed )|(ment ac)|(system.+state.+changed )|(\[timeout)|(PRM\|1\|D)|(kpr)|(kdp)|(\|lc)|(penalty))" /e /r /s</v>
      </c>
      <c r="AG169" s="1" t="str">
        <f t="shared" si="83"/>
        <v>NW</v>
      </c>
      <c r="AH169" s="96" t="str">
        <f t="shared" si="84"/>
        <v>"%USERPROFILE%\Documents\GitHub\eaglep3\Utilities\RefineRTDCRunTimes.py" --tripid 809-05 --locoid 4031 --swversion DE.1.0.7.0 --startMP 204:1002 --initTime 2016-10-05T07:48:25 --startdatetime 2016-10-05T07:51:23 --delay 1 --endMP 300:58937 --enddatetime 2016-10-05T08:05:23 --enforcementcount 0 &gt;&gt;C:\Users\stu\Documents\GitHub\eaglep3-reporting\EC\2016-10-05-refined-times.txt</v>
      </c>
      <c r="AI169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{"issue":{"subject":"","project_id":79,"tracker_id":40,"status_id":1,"priority_id":2,"assigned_to_id":23,"start_date":"2016-10-05","description":"","custom_fields":[{"id":1,"name":"Subdivision","value":"NW"},{"id":4,"name":"Milepost","value":"5.8937"},{"id":17,"name":"Train ID","value":"809-05"},{"id":16,"name":"Locomotive ID","value":"4031"},{"id":130,"name":"Impact","value":""},{"id":150,"name":"Time of Event (Mountain Time)","value":"08:05:23"},{"id":151,"name":"Denver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382</v>
      </c>
      <c r="B170" s="7">
        <v>4032</v>
      </c>
      <c r="C170" s="24" t="s">
        <v>106</v>
      </c>
      <c r="D170" s="24" t="s">
        <v>359</v>
      </c>
      <c r="E170" s="15">
        <v>42648.338321759256</v>
      </c>
      <c r="F170" s="15">
        <v>42648.339733796296</v>
      </c>
      <c r="G170" s="7">
        <v>1</v>
      </c>
      <c r="H170" s="15" t="s">
        <v>716</v>
      </c>
      <c r="I170" s="15">
        <v>42648.352523148147</v>
      </c>
      <c r="J170" s="7">
        <v>0</v>
      </c>
      <c r="K170" s="117" t="str">
        <f t="shared" si="86"/>
        <v>4031/4032</v>
      </c>
      <c r="L170" s="24" t="str">
        <f>VLOOKUP(A170,'Trips&amp;Operators'!$C$1:$E$10000,3,FALSE)</f>
        <v>STARKS</v>
      </c>
      <c r="M170" s="6">
        <f t="shared" si="87"/>
        <v>1.2789351851097308E-2</v>
      </c>
      <c r="N170" s="7">
        <f t="shared" si="97"/>
        <v>18.416666665580124</v>
      </c>
      <c r="O170" s="7"/>
      <c r="P170" s="7"/>
      <c r="Q170" s="25"/>
      <c r="R170" s="25"/>
      <c r="S170" s="37">
        <f t="shared" si="95"/>
        <v>1</v>
      </c>
      <c r="T170" s="52" t="str">
        <f t="shared" si="81"/>
        <v>Southbound</v>
      </c>
      <c r="U170" s="159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07:07:11-0600',mode:absolute,to:'2016-10-05 09:27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0" s="54" t="str">
        <f t="shared" si="89"/>
        <v>N</v>
      </c>
      <c r="X170" s="164">
        <f t="shared" si="96"/>
        <v>1</v>
      </c>
      <c r="Y170" s="69">
        <f t="shared" si="90"/>
        <v>5.8608000000000002</v>
      </c>
      <c r="Z170" s="69">
        <f t="shared" si="91"/>
        <v>8.1500000000000003E-2</v>
      </c>
      <c r="AA170" s="69">
        <f t="shared" si="92"/>
        <v>5.7793000000000001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 t="shared" si="82"/>
        <v>0810-05</v>
      </c>
      <c r="AE170" s="95" t="str">
        <f t="shared" si="93"/>
        <v>aws s3 cp s3://rtdc.mdm.uploadarchive.raw/RTDC4032/ "%USERPROFILE%\AppData\Local\Temp\OnboardLogs"\RTDC4032\2016-10-05 --exclude "*" --recursive --include "*20161005*" &amp; "%USERPROFILE%\Documents\GitHub\mrs-test-scripts\Headless Mode &amp; Sideloading\WalkAndUnGZ.bat" "%USERPROFILE%\AppData\Local\Temp\OnboardLogs"\RTDC4032\2016-10-05 &amp; 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</v>
      </c>
      <c r="AF170" s="92" t="str">
        <f t="shared" si="94"/>
        <v>"C:\Program Files (x86)\AstroGrep\AstroGrep.exe" /spath="%USERPROFILE%\AppData\Local\Temp\OnboardLogs" /stypes="app*4032*20161005*" /stext=" 14:.+((SYSTEM_STATE.+slice.+state.+changed )|(ment ac)|(system.+state.+changed )|(\[timeout)|(PRM\|1\|D)|(kpr)|(kdp)|(\|lc)|(penalty))" /e /r /s</v>
      </c>
      <c r="AG170" s="1" t="str">
        <f t="shared" si="83"/>
        <v>NW</v>
      </c>
      <c r="AH170" s="96" t="str">
        <f t="shared" si="84"/>
        <v>"%USERPROFILE%\Documents\GitHub\eaglep3\Utilities\RefineRTDCRunTimes.py" --tripid 810-05 --locoid 4032 --swversion DE.1.0.7.0 --startMP 300:58608 --initTime 2016-10-05T08:07:11 --startdatetime 2016-10-05T08:09:13 --delay 1 --endMP 204:815 --enddatetime 2016-10-05T08:27:38 --enforcementcount 0 &gt;&gt;C:\Users\stu\Documents\GitHub\eaglep3-reporting\EC\2016-10-05-refined-times.txt</v>
      </c>
      <c r="AI170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{"issue":{"subject":"","project_id":79,"tracker_id":40,"status_id":1,"priority_id":2,"assigned_to_id":23,"start_date":"2016-10-05","description":"","custom_fields":[{"id":1,"name":"Subdivision","value":"NW"},{"id":4,"name":"Milepost","value":"0.0815"},{"id":17,"name":"Train ID","value":"810-05"},{"id":16,"name":"Locomotive ID","value":"4032"},{"id":130,"name":"Impact","value":""},{"id":150,"name":"Time of Event (Mountain Time)","value":"08:27:38"},{"id":151,"name":"Denver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384</v>
      </c>
      <c r="B171" s="7">
        <v>4020</v>
      </c>
      <c r="C171" s="24" t="s">
        <v>106</v>
      </c>
      <c r="D171" s="24" t="s">
        <v>717</v>
      </c>
      <c r="E171" s="15">
        <v>42648.345891203702</v>
      </c>
      <c r="F171" s="15">
        <v>42648.348101851851</v>
      </c>
      <c r="G171" s="7">
        <v>1</v>
      </c>
      <c r="H171" s="15" t="s">
        <v>718</v>
      </c>
      <c r="I171" s="15">
        <v>42648.358842592592</v>
      </c>
      <c r="J171" s="7">
        <v>0</v>
      </c>
      <c r="K171" s="117" t="str">
        <f t="shared" si="86"/>
        <v>4019/4020</v>
      </c>
      <c r="L171" s="24" t="str">
        <f>VLOOKUP(A171,'Trips&amp;Operators'!$C$1:$E$10000,3,FALSE)</f>
        <v>GEBRETEKLE</v>
      </c>
      <c r="M171" s="6">
        <f t="shared" si="87"/>
        <v>1.0740740741312038E-2</v>
      </c>
      <c r="N171" s="7">
        <f t="shared" si="97"/>
        <v>15.466666667489335</v>
      </c>
      <c r="O171" s="7"/>
      <c r="P171" s="7"/>
      <c r="Q171" s="25"/>
      <c r="R171" s="25"/>
      <c r="S171" s="37">
        <f t="shared" si="95"/>
        <v>1</v>
      </c>
      <c r="T171" s="52" t="str">
        <f t="shared" si="81"/>
        <v>NorthBound</v>
      </c>
      <c r="U171" s="159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07:18:05-0600',mode:absolute,to:'2016-10-05 09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71" s="54" t="str">
        <f t="shared" si="89"/>
        <v>N</v>
      </c>
      <c r="X171" s="164">
        <f t="shared" si="96"/>
        <v>1</v>
      </c>
      <c r="Y171" s="69">
        <f t="shared" si="90"/>
        <v>9.6500000000000002E-2</v>
      </c>
      <c r="Z171" s="69">
        <f t="shared" si="91"/>
        <v>5.8979999999999997</v>
      </c>
      <c r="AA171" s="69">
        <f t="shared" si="92"/>
        <v>5.8014999999999999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 t="shared" si="82"/>
        <v>0811-05</v>
      </c>
      <c r="AE171" s="95" t="str">
        <f t="shared" si="93"/>
        <v>aws s3 cp s3://rtdc.mdm.uploadarchive.raw/RTDC4020/ "%USERPROFILE%\AppData\Local\Temp\OnboardLogs"\RTDC4020\2016-10-05 --exclude "*" --recursive --include "*20161005*" &amp; "%USERPROFILE%\Documents\GitHub\mrs-test-scripts\Headless Mode &amp; Sideloading\WalkAndUnGZ.bat" "%USERPROFILE%\AppData\Local\Temp\OnboardLogs"\RTDC4020\2016-10-05 &amp; aws s3 cp s3://rtdc.mdm.uploadarchive.raw/RTDC4020/ "%USERPROFILE%\AppData\Local\Temp\OnboardLogs"\RTDC4020\2016-10-06 --exclude "*" --recursive --include "*20161006*" &amp; "%USERPROFILE%\Documents\GitHub\mrs-test-scripts\Headless Mode &amp; Sideloading\WalkAndUnGZ.bat" "%USERPROFILE%\AppData\Local\Temp\OnboardLogs"\RTDC4020\2016-10-06</v>
      </c>
      <c r="AF171" s="92" t="str">
        <f t="shared" si="94"/>
        <v>"C:\Program Files (x86)\AstroGrep\AstroGrep.exe" /spath="%USERPROFILE%\AppData\Local\Temp\OnboardLogs" /stypes="app*4020*20161005*" /stext=" 14:.+((SYSTEM_STATE.+slice.+state.+changed )|(ment ac)|(system.+state.+changed )|(\[timeout)|(PRM\|1\|D)|(kpr)|(kdp)|(\|lc)|(penalty))" /e /r /s</v>
      </c>
      <c r="AG171" s="1" t="str">
        <f t="shared" si="83"/>
        <v>NW</v>
      </c>
      <c r="AH171" s="96" t="str">
        <f t="shared" si="84"/>
        <v>"%USERPROFILE%\Documents\GitHub\eaglep3\Utilities\RefineRTDCRunTimes.py" --tripid 811-05 --locoid 4020 --swversion DE.1.0.7.0 --startMP 204:965 --initTime 2016-10-05T08:18:05 --startdatetime 2016-10-05T08:21:16 --delay 1 --endMP 300:58980 --enddatetime 2016-10-05T08:36:44 --enforcementcount 0 &gt;&gt;C:\Users\stu\Documents\GitHub\eaglep3-reporting\EC\2016-10-05-refined-times.txt</v>
      </c>
      <c r="AI171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{"issue":{"subject":"","project_id":79,"tracker_id":40,"status_id":1,"priority_id":2,"assigned_to_id":23,"start_date":"2016-10-05","description":"","custom_fields":[{"id":1,"name":"Subdivision","value":"NW"},{"id":4,"name":"Milepost","value":"5.898"},{"id":17,"name":"Train ID","value":"811-05"},{"id":16,"name":"Locomotive ID","value":"4020"},{"id":130,"name":"Impact","value":""},{"id":150,"name":"Time of Event (Mountain Time)","value":"08:36:44"},{"id":151,"name":"Denver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x14ac:dyDescent="0.25">
      <c r="A172" s="39" t="s">
        <v>385</v>
      </c>
      <c r="B172" s="7">
        <v>4019</v>
      </c>
      <c r="C172" s="24" t="s">
        <v>106</v>
      </c>
      <c r="D172" s="24" t="s">
        <v>719</v>
      </c>
      <c r="E172" s="15">
        <v>42648.359907407408</v>
      </c>
      <c r="F172" s="15">
        <v>42648.361273148148</v>
      </c>
      <c r="G172" s="7">
        <v>1</v>
      </c>
      <c r="H172" s="15" t="s">
        <v>322</v>
      </c>
      <c r="I172" s="15">
        <v>42648.371458333335</v>
      </c>
      <c r="J172" s="7">
        <v>0</v>
      </c>
      <c r="K172" s="117" t="str">
        <f t="shared" si="86"/>
        <v>4019/4020</v>
      </c>
      <c r="L172" s="24" t="str">
        <f>VLOOKUP(A172,'Trips&amp;Operators'!$C$1:$E$10000,3,FALSE)</f>
        <v>GEBRETEKLE</v>
      </c>
      <c r="M172" s="6">
        <f t="shared" si="87"/>
        <v>1.0185185186855961E-2</v>
      </c>
      <c r="N172" s="7">
        <f t="shared" si="97"/>
        <v>14.666666669072583</v>
      </c>
      <c r="O172" s="7"/>
      <c r="P172" s="7"/>
      <c r="Q172" s="25"/>
      <c r="R172" s="25"/>
      <c r="S172" s="37">
        <f t="shared" si="95"/>
        <v>1</v>
      </c>
      <c r="T172" s="52" t="str">
        <f t="shared" si="81"/>
        <v>Southbound</v>
      </c>
      <c r="U172" s="159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07:38:16-0600',mode:absolute,to:'2016-10-05 09:54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72" s="54" t="str">
        <f t="shared" si="89"/>
        <v>N</v>
      </c>
      <c r="X172" s="164">
        <f t="shared" si="96"/>
        <v>1</v>
      </c>
      <c r="Y172" s="69">
        <f t="shared" si="90"/>
        <v>5.8658000000000001</v>
      </c>
      <c r="Z172" s="69">
        <f t="shared" si="91"/>
        <v>7.1199999999999999E-2</v>
      </c>
      <c r="AA172" s="69">
        <f t="shared" si="92"/>
        <v>5.7946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 t="shared" si="82"/>
        <v>0812-05</v>
      </c>
      <c r="AE172" s="95" t="str">
        <f t="shared" si="93"/>
        <v>aws s3 cp s3://rtdc.mdm.uploadarchive.raw/RTDC4019/ "%USERPROFILE%\AppData\Local\Temp\OnboardLogs"\RTDC4019\2016-10-05 --exclude "*" --recursive --include "*20161005*" &amp; "%USERPROFILE%\Documents\GitHub\mrs-test-scripts\Headless Mode &amp; Sideloading\WalkAndUnGZ.bat" "%USERPROFILE%\AppData\Local\Temp\OnboardLogs"\RTDC4019\2016-10-05 &amp; aws s3 cp s3://rtdc.mdm.uploadarchive.raw/RTDC4019/ "%USERPROFILE%\AppData\Local\Temp\OnboardLogs"\RTDC4019\2016-10-06 --exclude "*" --recursive --include "*20161006*" &amp; "%USERPROFILE%\Documents\GitHub\mrs-test-scripts\Headless Mode &amp; Sideloading\WalkAndUnGZ.bat" "%USERPROFILE%\AppData\Local\Temp\OnboardLogs"\RTDC4019\2016-10-06</v>
      </c>
      <c r="AF172" s="92" t="str">
        <f t="shared" si="94"/>
        <v>"C:\Program Files (x86)\AstroGrep\AstroGrep.exe" /spath="%USERPROFILE%\AppData\Local\Temp\OnboardLogs" /stypes="app*4019*20161005*" /stext=" 14:.+((SYSTEM_STATE.+slice.+state.+changed )|(ment ac)|(system.+state.+changed )|(\[timeout)|(PRM\|1\|D)|(kpr)|(kdp)|(\|lc)|(penalty))" /e /r /s</v>
      </c>
      <c r="AG172" s="1" t="str">
        <f t="shared" si="83"/>
        <v>NW</v>
      </c>
      <c r="AH172" s="96" t="str">
        <f t="shared" si="84"/>
        <v>"%USERPROFILE%\Documents\GitHub\eaglep3\Utilities\RefineRTDCRunTimes.py" --tripid 812-05 --locoid 4019 --swversion DE.1.0.7.0 --startMP 300:58658 --initTime 2016-10-05T08:38:16 --startdatetime 2016-10-05T08:40:14 --delay 1 --endMP 204:712 --enddatetime 2016-10-05T08:54:54 --enforcementcount 0 &gt;&gt;C:\Users\stu\Documents\GitHub\eaglep3-reporting\EC\2016-10-05-refined-times.txt</v>
      </c>
      <c r="AI172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{"issue":{"subject":"","project_id":79,"tracker_id":40,"status_id":1,"priority_id":2,"assigned_to_id":23,"start_date":"2016-10-05","description":"","custom_fields":[{"id":1,"name":"Subdivision","value":"NW"},{"id":4,"name":"Milepost","value":"0.0712"},{"id":17,"name":"Train ID","value":"812-05"},{"id":16,"name":"Locomotive ID","value":"4019"},{"id":130,"name":"Impact","value":""},{"id":150,"name":"Time of Event (Mountain Time)","value":"08:54:54"},{"id":151,"name":"Denver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x14ac:dyDescent="0.25">
      <c r="A173" s="39" t="s">
        <v>484</v>
      </c>
      <c r="B173" s="7">
        <v>4020</v>
      </c>
      <c r="C173" s="24" t="s">
        <v>106</v>
      </c>
      <c r="D173" s="24" t="s">
        <v>371</v>
      </c>
      <c r="E173" s="15">
        <v>42648.387303240743</v>
      </c>
      <c r="F173" s="15">
        <v>42648.389756944445</v>
      </c>
      <c r="G173" s="7">
        <v>1</v>
      </c>
      <c r="H173" s="15" t="s">
        <v>356</v>
      </c>
      <c r="I173" s="15">
        <v>42648.399201388886</v>
      </c>
      <c r="J173" s="7">
        <v>0</v>
      </c>
      <c r="K173" s="117" t="str">
        <f t="shared" si="86"/>
        <v>4019/4020</v>
      </c>
      <c r="L173" s="24" t="str">
        <f>VLOOKUP(A173,'Trips&amp;Operators'!$C$1:$E$10000,3,FALSE)</f>
        <v>GEBRETEKLE</v>
      </c>
      <c r="M173" s="6">
        <f t="shared" si="87"/>
        <v>9.444444440305233E-3</v>
      </c>
      <c r="N173" s="7">
        <f t="shared" si="97"/>
        <v>13.599999994039536</v>
      </c>
      <c r="O173" s="7"/>
      <c r="P173" s="7"/>
      <c r="Q173" s="25"/>
      <c r="R173" s="25"/>
      <c r="S173" s="37">
        <f t="shared" si="95"/>
        <v>1</v>
      </c>
      <c r="T173" s="52" t="str">
        <f t="shared" si="81"/>
        <v>NorthBound</v>
      </c>
      <c r="U173" s="159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08:17:43-0600',mode:absolute,to:'2016-10-05 10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73" s="54" t="str">
        <f t="shared" si="89"/>
        <v>N</v>
      </c>
      <c r="X173" s="164">
        <f t="shared" si="96"/>
        <v>1</v>
      </c>
      <c r="Y173" s="69">
        <f t="shared" si="90"/>
        <v>0.1016</v>
      </c>
      <c r="Z173" s="69">
        <f t="shared" si="91"/>
        <v>5.8930999999999996</v>
      </c>
      <c r="AA173" s="69">
        <f t="shared" si="92"/>
        <v>5.7914999999999992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 t="shared" si="82"/>
        <v>0813-05</v>
      </c>
      <c r="AE173" s="95" t="str">
        <f t="shared" si="93"/>
        <v>aws s3 cp s3://rtdc.mdm.uploadarchive.raw/RTDC4020/ "%USERPROFILE%\AppData\Local\Temp\OnboardLogs"\RTDC4020\2016-10-05 --exclude "*" --recursive --include "*20161005*" &amp; "%USERPROFILE%\Documents\GitHub\mrs-test-scripts\Headless Mode &amp; Sideloading\WalkAndUnGZ.bat" "%USERPROFILE%\AppData\Local\Temp\OnboardLogs"\RTDC4020\2016-10-05 &amp; aws s3 cp s3://rtdc.mdm.uploadarchive.raw/RTDC4020/ "%USERPROFILE%\AppData\Local\Temp\OnboardLogs"\RTDC4020\2016-10-06 --exclude "*" --recursive --include "*20161006*" &amp; "%USERPROFILE%\Documents\GitHub\mrs-test-scripts\Headless Mode &amp; Sideloading\WalkAndUnGZ.bat" "%USERPROFILE%\AppData\Local\Temp\OnboardLogs"\RTDC4020\2016-10-06</v>
      </c>
      <c r="AF173" s="92" t="str">
        <f t="shared" si="94"/>
        <v>"C:\Program Files (x86)\AstroGrep\AstroGrep.exe" /spath="%USERPROFILE%\AppData\Local\Temp\OnboardLogs" /stypes="app*4020*20161005*" /stext=" 15:.+((SYSTEM_STATE.+slice.+state.+changed )|(ment ac)|(system.+state.+changed )|(\[timeout)|(PRM\|1\|D)|(kpr)|(kdp)|(\|lc)|(penalty))" /e /r /s</v>
      </c>
      <c r="AG173" s="1" t="str">
        <f t="shared" si="83"/>
        <v>NW</v>
      </c>
      <c r="AH173" s="96" t="str">
        <f t="shared" si="84"/>
        <v>"%USERPROFILE%\Documents\GitHub\eaglep3\Utilities\RefineRTDCRunTimes.py" --tripid 813-05 --locoid 4020 --swversion DE.1.0.7.0 --startMP 204:1016 --initTime 2016-10-05T09:17:43 --startdatetime 2016-10-05T09:21:15 --delay 1 --endMP 300:58931 --enddatetime 2016-10-05T09:34:51 --enforcementcount 0 &gt;&gt;C:\Users\stu\Documents\GitHub\eaglep3-reporting\EC\2016-10-05-refined-times.txt</v>
      </c>
      <c r="AI173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{"issue":{"subject":"","project_id":79,"tracker_id":40,"status_id":1,"priority_id":2,"assigned_to_id":23,"start_date":"2016-10-05","description":"","custom_fields":[{"id":1,"name":"Subdivision","value":"NW"},{"id":4,"name":"Milepost","value":"5.8931"},{"id":17,"name":"Train ID","value":"813-05"},{"id":16,"name":"Locomotive ID","value":"4020"},{"id":130,"name":"Impact","value":""},{"id":150,"name":"Time of Event (Mountain Time)","value":"09:34:51"},{"id":151,"name":"Denver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487</v>
      </c>
      <c r="B174" s="7">
        <v>4019</v>
      </c>
      <c r="C174" s="24" t="s">
        <v>106</v>
      </c>
      <c r="D174" s="24" t="s">
        <v>720</v>
      </c>
      <c r="E174" s="15">
        <v>42648.40053240741</v>
      </c>
      <c r="F174" s="15">
        <v>42648.402106481481</v>
      </c>
      <c r="G174" s="7">
        <v>1</v>
      </c>
      <c r="H174" s="15" t="s">
        <v>721</v>
      </c>
      <c r="I174" s="15">
        <v>42648.412939814814</v>
      </c>
      <c r="J174" s="7">
        <v>0</v>
      </c>
      <c r="K174" s="117" t="str">
        <f t="shared" si="86"/>
        <v>4019/4020</v>
      </c>
      <c r="L174" s="24" t="str">
        <f>VLOOKUP(A174,'Trips&amp;Operators'!$C$1:$E$10000,3,FALSE)</f>
        <v>GEBRETEKLE</v>
      </c>
      <c r="M174" s="6">
        <f t="shared" si="87"/>
        <v>1.0833333333721384E-2</v>
      </c>
      <c r="N174" s="7">
        <f t="shared" si="97"/>
        <v>15.600000000558794</v>
      </c>
      <c r="O174" s="7"/>
      <c r="P174" s="7"/>
      <c r="Q174" s="25"/>
      <c r="R174" s="25"/>
      <c r="S174" s="37">
        <f t="shared" si="95"/>
        <v>1</v>
      </c>
      <c r="T174" s="52" t="str">
        <f t="shared" si="81"/>
        <v>Southbound</v>
      </c>
      <c r="U174" s="159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08:36:46-0600',mode:absolute,to:'2016-10-05 10:54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74" s="54" t="str">
        <f t="shared" si="89"/>
        <v>N</v>
      </c>
      <c r="X174" s="164">
        <f t="shared" si="96"/>
        <v>1</v>
      </c>
      <c r="Y174" s="69">
        <f t="shared" si="90"/>
        <v>5.8677000000000001</v>
      </c>
      <c r="Z174" s="69">
        <f t="shared" si="91"/>
        <v>6.8900000000000003E-2</v>
      </c>
      <c r="AA174" s="69">
        <f t="shared" si="92"/>
        <v>5.7988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 t="shared" si="82"/>
        <v>0814-05</v>
      </c>
      <c r="AE174" s="95" t="str">
        <f t="shared" si="93"/>
        <v>aws s3 cp s3://rtdc.mdm.uploadarchive.raw/RTDC4019/ "%USERPROFILE%\AppData\Local\Temp\OnboardLogs"\RTDC4019\2016-10-05 --exclude "*" --recursive --include "*20161005*" &amp; "%USERPROFILE%\Documents\GitHub\mrs-test-scripts\Headless Mode &amp; Sideloading\WalkAndUnGZ.bat" "%USERPROFILE%\AppData\Local\Temp\OnboardLogs"\RTDC4019\2016-10-05 &amp; aws s3 cp s3://rtdc.mdm.uploadarchive.raw/RTDC4019/ "%USERPROFILE%\AppData\Local\Temp\OnboardLogs"\RTDC4019\2016-10-06 --exclude "*" --recursive --include "*20161006*" &amp; "%USERPROFILE%\Documents\GitHub\mrs-test-scripts\Headless Mode &amp; Sideloading\WalkAndUnGZ.bat" "%USERPROFILE%\AppData\Local\Temp\OnboardLogs"\RTDC4019\2016-10-06</v>
      </c>
      <c r="AF174" s="92" t="str">
        <f t="shared" si="94"/>
        <v>"C:\Program Files (x86)\AstroGrep\AstroGrep.exe" /spath="%USERPROFILE%\AppData\Local\Temp\OnboardLogs" /stypes="app*4019*20161005*" /stext=" 15:.+((SYSTEM_STATE.+slice.+state.+changed )|(ment ac)|(system.+state.+changed )|(\[timeout)|(PRM\|1\|D)|(kpr)|(kdp)|(\|lc)|(penalty))" /e /r /s</v>
      </c>
      <c r="AG174" s="1" t="str">
        <f t="shared" si="83"/>
        <v>NW</v>
      </c>
      <c r="AH174" s="96" t="str">
        <f t="shared" si="84"/>
        <v>"%USERPROFILE%\Documents\GitHub\eaglep3\Utilities\RefineRTDCRunTimes.py" --tripid 814-05 --locoid 4019 --swversion DE.1.0.7.0 --startMP 300:58677 --initTime 2016-10-05T09:36:46 --startdatetime 2016-10-05T09:39:02 --delay 1 --endMP 204:689 --enddatetime 2016-10-05T09:54:38 --enforcementcount 0 &gt;&gt;C:\Users\stu\Documents\GitHub\eaglep3-reporting\EC\2016-10-05-refined-times.txt</v>
      </c>
      <c r="AI174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{"issue":{"subject":"","project_id":79,"tracker_id":40,"status_id":1,"priority_id":2,"assigned_to_id":23,"start_date":"2016-10-05","description":"","custom_fields":[{"id":1,"name":"Subdivision","value":"NW"},{"id":4,"name":"Milepost","value":"0.0689"},{"id":17,"name":"Train ID","value":"814-05"},{"id":16,"name":"Locomotive ID","value":"4019"},{"id":130,"name":"Impact","value":""},{"id":150,"name":"Time of Event (Mountain Time)","value":"09:54:38"},{"id":151,"name":"Denver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393</v>
      </c>
      <c r="B175" s="7">
        <v>4020</v>
      </c>
      <c r="C175" s="24" t="s">
        <v>106</v>
      </c>
      <c r="D175" s="24" t="s">
        <v>364</v>
      </c>
      <c r="E175" s="15">
        <v>42648.430127314816</v>
      </c>
      <c r="F175" s="15">
        <v>42648.431493055556</v>
      </c>
      <c r="G175" s="7">
        <v>1</v>
      </c>
      <c r="H175" s="15" t="s">
        <v>722</v>
      </c>
      <c r="I175" s="15">
        <v>42648.44059027778</v>
      </c>
      <c r="J175" s="7">
        <v>0</v>
      </c>
      <c r="K175" s="117" t="str">
        <f t="shared" si="86"/>
        <v>4019/4020</v>
      </c>
      <c r="L175" s="24" t="str">
        <f>VLOOKUP(A175,'Trips&amp;Operators'!$C$1:$E$10000,3,FALSE)</f>
        <v>GEBRETEKLE</v>
      </c>
      <c r="M175" s="6">
        <f t="shared" si="87"/>
        <v>9.0972222242271528E-3</v>
      </c>
      <c r="N175" s="7">
        <f t="shared" si="97"/>
        <v>13.1000000028871</v>
      </c>
      <c r="O175" s="7"/>
      <c r="P175" s="7"/>
      <c r="Q175" s="25"/>
      <c r="R175" s="25"/>
      <c r="S175" s="37">
        <f t="shared" si="95"/>
        <v>1</v>
      </c>
      <c r="T175" s="52" t="str">
        <f t="shared" si="81"/>
        <v>NorthBound</v>
      </c>
      <c r="U175" s="159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09:19:23-0600',mode:absolute,to:'2016-10-05 11:34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75" s="54" t="str">
        <f t="shared" si="89"/>
        <v>N</v>
      </c>
      <c r="X175" s="164">
        <f t="shared" si="96"/>
        <v>1</v>
      </c>
      <c r="Y175" s="69">
        <f t="shared" si="90"/>
        <v>9.7199999999999995E-2</v>
      </c>
      <c r="Z175" s="69">
        <f t="shared" si="91"/>
        <v>5.8982000000000001</v>
      </c>
      <c r="AA175" s="69">
        <f t="shared" si="92"/>
        <v>5.8010000000000002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 t="shared" si="82"/>
        <v>0815-05</v>
      </c>
      <c r="AE175" s="95" t="str">
        <f t="shared" si="93"/>
        <v>aws s3 cp s3://rtdc.mdm.uploadarchive.raw/RTDC4020/ "%USERPROFILE%\AppData\Local\Temp\OnboardLogs"\RTDC4020\2016-10-05 --exclude "*" --recursive --include "*20161005*" &amp; "%USERPROFILE%\Documents\GitHub\mrs-test-scripts\Headless Mode &amp; Sideloading\WalkAndUnGZ.bat" "%USERPROFILE%\AppData\Local\Temp\OnboardLogs"\RTDC4020\2016-10-05 &amp; aws s3 cp s3://rtdc.mdm.uploadarchive.raw/RTDC4020/ "%USERPROFILE%\AppData\Local\Temp\OnboardLogs"\RTDC4020\2016-10-06 --exclude "*" --recursive --include "*20161006*" &amp; "%USERPROFILE%\Documents\GitHub\mrs-test-scripts\Headless Mode &amp; Sideloading\WalkAndUnGZ.bat" "%USERPROFILE%\AppData\Local\Temp\OnboardLogs"\RTDC4020\2016-10-06</v>
      </c>
      <c r="AF175" s="92" t="str">
        <f t="shared" si="94"/>
        <v>"C:\Program Files (x86)\AstroGrep\AstroGrep.exe" /spath="%USERPROFILE%\AppData\Local\Temp\OnboardLogs" /stypes="app*4020*20161005*" /stext=" 16:.+((SYSTEM_STATE.+slice.+state.+changed )|(ment ac)|(system.+state.+changed )|(\[timeout)|(PRM\|1\|D)|(kpr)|(kdp)|(\|lc)|(penalty))" /e /r /s</v>
      </c>
      <c r="AG175" s="1" t="str">
        <f t="shared" si="83"/>
        <v>NW</v>
      </c>
      <c r="AH175" s="96" t="str">
        <f t="shared" si="84"/>
        <v>"%USERPROFILE%\Documents\GitHub\eaglep3\Utilities\RefineRTDCRunTimes.py" --tripid 815-05 --locoid 4020 --swversion DE.1.0.7.0 --startMP 204:972 --initTime 2016-10-05T10:19:23 --startdatetime 2016-10-05T10:21:21 --delay 1 --endMP 300:58982 --enddatetime 2016-10-05T10:34:27 --enforcementcount 0 &gt;&gt;C:\Users\stu\Documents\GitHub\eaglep3-reporting\EC\2016-10-05-refined-times.txt</v>
      </c>
      <c r="AI175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{"issue":{"subject":"","project_id":79,"tracker_id":40,"status_id":1,"priority_id":2,"assigned_to_id":23,"start_date":"2016-10-05","description":"","custom_fields":[{"id":1,"name":"Subdivision","value":"NW"},{"id":4,"name":"Milepost","value":"5.8982"},{"id":17,"name":"Train ID","value":"815-05"},{"id":16,"name":"Locomotive ID","value":"4020"},{"id":130,"name":"Impact","value":""},{"id":150,"name":"Time of Event (Mountain Time)","value":"10:34:27"},{"id":151,"name":"Denver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394</v>
      </c>
      <c r="B176" s="7">
        <v>4019</v>
      </c>
      <c r="C176" s="24" t="s">
        <v>106</v>
      </c>
      <c r="D176" s="24" t="s">
        <v>723</v>
      </c>
      <c r="E176" s="15">
        <v>42648.442997685182</v>
      </c>
      <c r="F176" s="15">
        <v>42648.444641203707</v>
      </c>
      <c r="G176" s="7">
        <v>1</v>
      </c>
      <c r="H176" s="15" t="s">
        <v>360</v>
      </c>
      <c r="I176" s="15">
        <v>42648.454467592594</v>
      </c>
      <c r="J176" s="7">
        <v>0</v>
      </c>
      <c r="K176" s="117" t="str">
        <f t="shared" si="86"/>
        <v>4019/4020</v>
      </c>
      <c r="L176" s="24" t="str">
        <f>VLOOKUP(A176,'Trips&amp;Operators'!$C$1:$E$10000,3,FALSE)</f>
        <v>GEBRETEKLE</v>
      </c>
      <c r="M176" s="6">
        <f t="shared" si="87"/>
        <v>9.8263888867222704E-3</v>
      </c>
      <c r="N176" s="7">
        <f t="shared" si="97"/>
        <v>14.149999996880069</v>
      </c>
      <c r="O176" s="7"/>
      <c r="P176" s="7"/>
      <c r="Q176" s="25"/>
      <c r="R176" s="25"/>
      <c r="S176" s="37">
        <f t="shared" si="95"/>
        <v>1</v>
      </c>
      <c r="T176" s="52" t="str">
        <f t="shared" si="81"/>
        <v>Southbound</v>
      </c>
      <c r="U176" s="159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09:37:55-0600',mode:absolute,to:'2016-10-05 11:54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76" s="54" t="str">
        <f t="shared" si="89"/>
        <v>N</v>
      </c>
      <c r="X176" s="164">
        <f t="shared" si="96"/>
        <v>1</v>
      </c>
      <c r="Y176" s="69">
        <f t="shared" si="90"/>
        <v>5.8673000000000002</v>
      </c>
      <c r="Z176" s="69">
        <f t="shared" si="91"/>
        <v>7.0099999999999996E-2</v>
      </c>
      <c r="AA176" s="69">
        <f t="shared" si="92"/>
        <v>5.7972000000000001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 t="shared" si="82"/>
        <v>0816-05</v>
      </c>
      <c r="AE176" s="95" t="str">
        <f t="shared" si="93"/>
        <v>aws s3 cp s3://rtdc.mdm.uploadarchive.raw/RTDC4019/ "%USERPROFILE%\AppData\Local\Temp\OnboardLogs"\RTDC4019\2016-10-05 --exclude "*" --recursive --include "*20161005*" &amp; "%USERPROFILE%\Documents\GitHub\mrs-test-scripts\Headless Mode &amp; Sideloading\WalkAndUnGZ.bat" "%USERPROFILE%\AppData\Local\Temp\OnboardLogs"\RTDC4019\2016-10-05 &amp; aws s3 cp s3://rtdc.mdm.uploadarchive.raw/RTDC4019/ "%USERPROFILE%\AppData\Local\Temp\OnboardLogs"\RTDC4019\2016-10-06 --exclude "*" --recursive --include "*20161006*" &amp; "%USERPROFILE%\Documents\GitHub\mrs-test-scripts\Headless Mode &amp; Sideloading\WalkAndUnGZ.bat" "%USERPROFILE%\AppData\Local\Temp\OnboardLogs"\RTDC4019\2016-10-06</v>
      </c>
      <c r="AF176" s="92" t="str">
        <f t="shared" si="94"/>
        <v>"C:\Program Files (x86)\AstroGrep\AstroGrep.exe" /spath="%USERPROFILE%\AppData\Local\Temp\OnboardLogs" /stypes="app*4019*20161005*" /stext=" 16:.+((SYSTEM_STATE.+slice.+state.+changed )|(ment ac)|(system.+state.+changed )|(\[timeout)|(PRM\|1\|D)|(kpr)|(kdp)|(\|lc)|(penalty))" /e /r /s</v>
      </c>
      <c r="AG176" s="1" t="str">
        <f t="shared" si="83"/>
        <v>NW</v>
      </c>
      <c r="AH176" s="96" t="str">
        <f t="shared" si="84"/>
        <v>"%USERPROFILE%\Documents\GitHub\eaglep3\Utilities\RefineRTDCRunTimes.py" --tripid 816-05 --locoid 4019 --swversion DE.1.0.7.0 --startMP 300:58673 --initTime 2016-10-05T10:37:55 --startdatetime 2016-10-05T10:40:17 --delay 1 --endMP 204:701 --enddatetime 2016-10-05T10:54:26 --enforcementcount 0 &gt;&gt;C:\Users\stu\Documents\GitHub\eaglep3-reporting\EC\2016-10-05-refined-times.txt</v>
      </c>
      <c r="AI176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{"issue":{"subject":"","project_id":79,"tracker_id":40,"status_id":1,"priority_id":2,"assigned_to_id":23,"start_date":"2016-10-05","description":"","custom_fields":[{"id":1,"name":"Subdivision","value":"NW"},{"id":4,"name":"Milepost","value":"0.0701"},{"id":17,"name":"Train ID","value":"816-05"},{"id":16,"name":"Locomotive ID","value":"4019"},{"id":130,"name":"Impact","value":""},{"id":150,"name":"Time of Event (Mountain Time)","value":"10:54:26"},{"id":151,"name":"Denver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397</v>
      </c>
      <c r="B177" s="7">
        <v>4020</v>
      </c>
      <c r="C177" s="24" t="s">
        <v>106</v>
      </c>
      <c r="D177" s="24" t="s">
        <v>724</v>
      </c>
      <c r="E177" s="15">
        <v>42648.460763888892</v>
      </c>
      <c r="F177" s="15">
        <v>42648.473553240743</v>
      </c>
      <c r="G177" s="7">
        <v>6</v>
      </c>
      <c r="H177" s="15" t="s">
        <v>297</v>
      </c>
      <c r="I177" s="15">
        <v>42648.487210648149</v>
      </c>
      <c r="J177" s="7">
        <v>0</v>
      </c>
      <c r="K177" s="117" t="str">
        <f t="shared" si="86"/>
        <v>4019/4020</v>
      </c>
      <c r="L177" s="24" t="str">
        <f>VLOOKUP(A177,'Trips&amp;Operators'!$C$1:$E$10000,3,FALSE)</f>
        <v>BARTELL</v>
      </c>
      <c r="M177" s="6">
        <f t="shared" si="87"/>
        <v>1.3657407405844424E-2</v>
      </c>
      <c r="N177" s="7">
        <f t="shared" si="97"/>
        <v>19.66666666441597</v>
      </c>
      <c r="O177" s="7"/>
      <c r="P177" s="7"/>
      <c r="Q177" s="25"/>
      <c r="R177" s="25"/>
      <c r="S177" s="37">
        <f t="shared" si="95"/>
        <v>1</v>
      </c>
      <c r="T177" s="52" t="str">
        <f t="shared" si="81"/>
        <v>NorthBound</v>
      </c>
      <c r="U177" s="159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10:03:30-0600',mode:absolute,to:'2016-10-05 12:41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77" s="54" t="str">
        <f t="shared" si="89"/>
        <v>N</v>
      </c>
      <c r="X177" s="164">
        <f t="shared" si="96"/>
        <v>1</v>
      </c>
      <c r="Y177" s="69">
        <f t="shared" si="90"/>
        <v>0.1</v>
      </c>
      <c r="Z177" s="69">
        <f t="shared" si="91"/>
        <v>5.8925999999999998</v>
      </c>
      <c r="AA177" s="69">
        <f t="shared" si="92"/>
        <v>5.7926000000000002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 t="shared" si="82"/>
        <v>0817-05</v>
      </c>
      <c r="AE177" s="95" t="str">
        <f t="shared" si="93"/>
        <v>aws s3 cp s3://rtdc.mdm.uploadarchive.raw/RTDC4020/ "%USERPROFILE%\AppData\Local\Temp\OnboardLogs"\RTDC4020\2016-10-05 --exclude "*" --recursive --include "*20161005*" &amp; "%USERPROFILE%\Documents\GitHub\mrs-test-scripts\Headless Mode &amp; Sideloading\WalkAndUnGZ.bat" "%USERPROFILE%\AppData\Local\Temp\OnboardLogs"\RTDC4020\2016-10-05 &amp; aws s3 cp s3://rtdc.mdm.uploadarchive.raw/RTDC4020/ "%USERPROFILE%\AppData\Local\Temp\OnboardLogs"\RTDC4020\2016-10-06 --exclude "*" --recursive --include "*20161006*" &amp; "%USERPROFILE%\Documents\GitHub\mrs-test-scripts\Headless Mode &amp; Sideloading\WalkAndUnGZ.bat" "%USERPROFILE%\AppData\Local\Temp\OnboardLogs"\RTDC4020\2016-10-06</v>
      </c>
      <c r="AF177" s="92" t="str">
        <f t="shared" si="94"/>
        <v>"C:\Program Files (x86)\AstroGrep\AstroGrep.exe" /spath="%USERPROFILE%\AppData\Local\Temp\OnboardLogs" /stypes="app*4020*20161005*" /stext=" 17:.+((SYSTEM_STATE.+slice.+state.+changed )|(ment ac)|(system.+state.+changed )|(\[timeout)|(PRM\|1\|D)|(kpr)|(kdp)|(\|lc)|(penalty))" /e /r /s</v>
      </c>
      <c r="AG177" s="1" t="str">
        <f t="shared" si="83"/>
        <v>NW</v>
      </c>
      <c r="AH177" s="96" t="str">
        <f t="shared" si="84"/>
        <v>"%USERPROFILE%\Documents\GitHub\eaglep3\Utilities\RefineRTDCRunTimes.py" --tripid 817-05 --locoid 4020 --swversion DE.1.0.7.0 --startMP 204:1000 --initTime 2016-10-05T11:03:30 --startdatetime 2016-10-05T11:21:55 --delay 6 --endMP 300:58926 --enddatetime 2016-10-05T11:41:35 --enforcementcount 0 &gt;&gt;C:\Users\stu\Documents\GitHub\eaglep3-reporting\EC\2016-10-05-refined-times.txt</v>
      </c>
      <c r="AI177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{"issue":{"subject":"","project_id":79,"tracker_id":40,"status_id":1,"priority_id":2,"assigned_to_id":23,"start_date":"2016-10-05","description":"","custom_fields":[{"id":1,"name":"Subdivision","value":"NW"},{"id":4,"name":"Milepost","value":"5.8926"},{"id":17,"name":"Train ID","value":"817-05"},{"id":16,"name":"Locomotive ID","value":"4020"},{"id":130,"name":"Impact","value":""},{"id":150,"name":"Time of Event (Mountain Time)","value":"11:41:35"},{"id":151,"name":"Denver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400</v>
      </c>
      <c r="B178" s="7">
        <v>4019</v>
      </c>
      <c r="C178" s="24" t="s">
        <v>106</v>
      </c>
      <c r="D178" s="24" t="s">
        <v>354</v>
      </c>
      <c r="E178" s="15">
        <v>42648.493402777778</v>
      </c>
      <c r="F178" s="15">
        <v>42648.495451388888</v>
      </c>
      <c r="G178" s="7">
        <v>1</v>
      </c>
      <c r="H178" s="15" t="s">
        <v>725</v>
      </c>
      <c r="I178" s="15">
        <v>42648.506585648145</v>
      </c>
      <c r="J178" s="7">
        <v>0</v>
      </c>
      <c r="K178" s="117" t="str">
        <f t="shared" si="86"/>
        <v>4019/4020</v>
      </c>
      <c r="L178" s="24" t="str">
        <f>VLOOKUP(A178,'Trips&amp;Operators'!$C$1:$E$10000,3,FALSE)</f>
        <v>BARTELL</v>
      </c>
      <c r="M178" s="6">
        <f t="shared" si="87"/>
        <v>1.113425925723277E-2</v>
      </c>
      <c r="N178" s="7">
        <f t="shared" si="97"/>
        <v>16.033333330415189</v>
      </c>
      <c r="O178" s="7"/>
      <c r="P178" s="7"/>
      <c r="Q178" s="25"/>
      <c r="R178" s="25"/>
      <c r="S178" s="37">
        <f t="shared" si="95"/>
        <v>1</v>
      </c>
      <c r="T178" s="52" t="str">
        <f t="shared" si="81"/>
        <v>Southbound</v>
      </c>
      <c r="U178" s="159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10:50:30-0600',mode:absolute,to:'2016-10-05 13:09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78" s="54" t="str">
        <f t="shared" si="89"/>
        <v>N</v>
      </c>
      <c r="X178" s="164">
        <f t="shared" si="96"/>
        <v>1</v>
      </c>
      <c r="Y178" s="69">
        <f t="shared" si="90"/>
        <v>5.8609</v>
      </c>
      <c r="Z178" s="69">
        <f t="shared" si="91"/>
        <v>6.8000000000000005E-2</v>
      </c>
      <c r="AA178" s="69">
        <f t="shared" si="92"/>
        <v>5.7929000000000004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 t="shared" si="82"/>
        <v>0818-05</v>
      </c>
      <c r="AE178" s="95" t="str">
        <f t="shared" si="93"/>
        <v>aws s3 cp s3://rtdc.mdm.uploadarchive.raw/RTDC4019/ "%USERPROFILE%\AppData\Local\Temp\OnboardLogs"\RTDC4019\2016-10-05 --exclude "*" --recursive --include "*20161005*" &amp; "%USERPROFILE%\Documents\GitHub\mrs-test-scripts\Headless Mode &amp; Sideloading\WalkAndUnGZ.bat" "%USERPROFILE%\AppData\Local\Temp\OnboardLogs"\RTDC4019\2016-10-05 &amp; aws s3 cp s3://rtdc.mdm.uploadarchive.raw/RTDC4019/ "%USERPROFILE%\AppData\Local\Temp\OnboardLogs"\RTDC4019\2016-10-06 --exclude "*" --recursive --include "*20161006*" &amp; "%USERPROFILE%\Documents\GitHub\mrs-test-scripts\Headless Mode &amp; Sideloading\WalkAndUnGZ.bat" "%USERPROFILE%\AppData\Local\Temp\OnboardLogs"\RTDC4019\2016-10-06</v>
      </c>
      <c r="AF178" s="92" t="str">
        <f t="shared" si="94"/>
        <v>"C:\Program Files (x86)\AstroGrep\AstroGrep.exe" /spath="%USERPROFILE%\AppData\Local\Temp\OnboardLogs" /stypes="app*4019*20161005*" /stext=" 18:.+((SYSTEM_STATE.+slice.+state.+changed )|(ment ac)|(system.+state.+changed )|(\[timeout)|(PRM\|1\|D)|(kpr)|(kdp)|(\|lc)|(penalty))" /e /r /s</v>
      </c>
      <c r="AG178" s="1" t="str">
        <f t="shared" si="83"/>
        <v>NW</v>
      </c>
      <c r="AH178" s="96" t="str">
        <f t="shared" si="84"/>
        <v>"%USERPROFILE%\Documents\GitHub\eaglep3\Utilities\RefineRTDCRunTimes.py" --tripid 818-05 --locoid 4019 --swversion DE.1.0.7.0 --startMP 300:58609 --initTime 2016-10-05T11:50:30 --startdatetime 2016-10-05T11:53:27 --delay 1 --endMP 204:680 --enddatetime 2016-10-05T12:09:29 --enforcementcount 0 &gt;&gt;C:\Users\stu\Documents\GitHub\eaglep3-reporting\EC\2016-10-05-refined-times.txt</v>
      </c>
      <c r="AI178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{"issue":{"subject":"","project_id":79,"tracker_id":40,"status_id":1,"priority_id":2,"assigned_to_id":23,"start_date":"2016-10-05","description":"","custom_fields":[{"id":1,"name":"Subdivision","value":"NW"},{"id":4,"name":"Milepost","value":"0.068"},{"id":17,"name":"Train ID","value":"818-05"},{"id":16,"name":"Locomotive ID","value":"4019"},{"id":130,"name":"Impact","value":""},{"id":150,"name":"Time of Event (Mountain Time)","value":"12:09:29"},{"id":151,"name":"Denver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504</v>
      </c>
      <c r="B179" s="7">
        <v>4020</v>
      </c>
      <c r="C179" s="24" t="s">
        <v>106</v>
      </c>
      <c r="D179" s="24" t="s">
        <v>364</v>
      </c>
      <c r="E179" s="15">
        <v>42648.511087962965</v>
      </c>
      <c r="F179" s="15">
        <v>42648.514791666668</v>
      </c>
      <c r="G179" s="7">
        <v>1</v>
      </c>
      <c r="H179" s="15" t="s">
        <v>726</v>
      </c>
      <c r="I179" s="15">
        <v>42648.524953703702</v>
      </c>
      <c r="J179" s="7">
        <v>0</v>
      </c>
      <c r="K179" s="117" t="str">
        <f t="shared" si="86"/>
        <v>4019/4020</v>
      </c>
      <c r="L179" s="24" t="str">
        <f>VLOOKUP(A179,'Trips&amp;Operators'!$C$1:$E$10000,3,FALSE)</f>
        <v>GEBRETEKLE</v>
      </c>
      <c r="M179" s="6">
        <f t="shared" si="87"/>
        <v>1.0162037033296656E-2</v>
      </c>
      <c r="N179" s="7">
        <f t="shared" si="97"/>
        <v>14.633333327947184</v>
      </c>
      <c r="O179" s="7"/>
      <c r="P179" s="7"/>
      <c r="Q179" s="25"/>
      <c r="R179" s="25"/>
      <c r="S179" s="37">
        <f t="shared" si="95"/>
        <v>1</v>
      </c>
      <c r="T179" s="52" t="str">
        <f t="shared" si="81"/>
        <v>NorthBound</v>
      </c>
      <c r="U179" s="159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11:15:58-0600',mode:absolute,to:'2016-10-05 13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79" s="54" t="str">
        <f t="shared" si="89"/>
        <v>N</v>
      </c>
      <c r="X179" s="164">
        <f t="shared" si="96"/>
        <v>1</v>
      </c>
      <c r="Y179" s="69">
        <f t="shared" si="90"/>
        <v>9.7199999999999995E-2</v>
      </c>
      <c r="Z179" s="69">
        <f t="shared" si="91"/>
        <v>5.8993000000000002</v>
      </c>
      <c r="AA179" s="69">
        <f t="shared" si="92"/>
        <v>5.8021000000000003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 t="shared" si="82"/>
        <v>0819-05</v>
      </c>
      <c r="AE179" s="95" t="str">
        <f t="shared" si="93"/>
        <v>aws s3 cp s3://rtdc.mdm.uploadarchive.raw/RTDC4020/ "%USERPROFILE%\AppData\Local\Temp\OnboardLogs"\RTDC4020\2016-10-05 --exclude "*" --recursive --include "*20161005*" &amp; "%USERPROFILE%\Documents\GitHub\mrs-test-scripts\Headless Mode &amp; Sideloading\WalkAndUnGZ.bat" "%USERPROFILE%\AppData\Local\Temp\OnboardLogs"\RTDC4020\2016-10-05 &amp; aws s3 cp s3://rtdc.mdm.uploadarchive.raw/RTDC4020/ "%USERPROFILE%\AppData\Local\Temp\OnboardLogs"\RTDC4020\2016-10-06 --exclude "*" --recursive --include "*20161006*" &amp; "%USERPROFILE%\Documents\GitHub\mrs-test-scripts\Headless Mode &amp; Sideloading\WalkAndUnGZ.bat" "%USERPROFILE%\AppData\Local\Temp\OnboardLogs"\RTDC4020\2016-10-06</v>
      </c>
      <c r="AF179" s="92" t="str">
        <f t="shared" si="94"/>
        <v>"C:\Program Files (x86)\AstroGrep\AstroGrep.exe" /spath="%USERPROFILE%\AppData\Local\Temp\OnboardLogs" /stypes="app*4020*20161005*" /stext=" 18:.+((SYSTEM_STATE.+slice.+state.+changed )|(ment ac)|(system.+state.+changed )|(\[timeout)|(PRM\|1\|D)|(kpr)|(kdp)|(\|lc)|(penalty))" /e /r /s</v>
      </c>
      <c r="AG179" s="1" t="str">
        <f t="shared" si="83"/>
        <v>NW</v>
      </c>
      <c r="AH179" s="96" t="str">
        <f t="shared" si="84"/>
        <v>"%USERPROFILE%\Documents\GitHub\eaglep3\Utilities\RefineRTDCRunTimes.py" --tripid 819-05 --locoid 4020 --swversion DE.1.0.7.0 --startMP 204:972 --initTime 2016-10-05T12:15:58 --startdatetime 2016-10-05T12:21:18 --delay 1 --endMP 300:58993 --enddatetime 2016-10-05T12:35:56 --enforcementcount 0 &gt;&gt;C:\Users\stu\Documents\GitHub\eaglep3-reporting\EC\2016-10-05-refined-times.txt</v>
      </c>
      <c r="AI179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{"issue":{"subject":"","project_id":79,"tracker_id":40,"status_id":1,"priority_id":2,"assigned_to_id":23,"start_date":"2016-10-05","description":"","custom_fields":[{"id":1,"name":"Subdivision","value":"NW"},{"id":4,"name":"Milepost","value":"5.8993"},{"id":17,"name":"Train ID","value":"819-05"},{"id":16,"name":"Locomotive ID","value":"4020"},{"id":130,"name":"Impact","value":""},{"id":150,"name":"Time of Event (Mountain Time)","value":"12:35:56"},{"id":151,"name":"Denver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509</v>
      </c>
      <c r="B180" s="7">
        <v>4019</v>
      </c>
      <c r="C180" s="24" t="s">
        <v>106</v>
      </c>
      <c r="D180" s="24" t="s">
        <v>727</v>
      </c>
      <c r="E180" s="15">
        <v>42648.527037037034</v>
      </c>
      <c r="F180" s="15">
        <v>42648.529050925928</v>
      </c>
      <c r="G180" s="7">
        <v>2</v>
      </c>
      <c r="H180" s="15" t="s">
        <v>366</v>
      </c>
      <c r="I180" s="15">
        <v>42648.539039351854</v>
      </c>
      <c r="J180" s="7">
        <v>0</v>
      </c>
      <c r="K180" s="117" t="str">
        <f t="shared" si="86"/>
        <v>4019/4020</v>
      </c>
      <c r="L180" s="24" t="str">
        <f>VLOOKUP(A180,'Trips&amp;Operators'!$C$1:$E$10000,3,FALSE)</f>
        <v>GEBRETEKLE</v>
      </c>
      <c r="M180" s="6">
        <f t="shared" si="87"/>
        <v>9.9884259252576157E-3</v>
      </c>
      <c r="N180" s="7">
        <f t="shared" si="97"/>
        <v>14.383333332370967</v>
      </c>
      <c r="O180" s="7"/>
      <c r="P180" s="7"/>
      <c r="Q180" s="25"/>
      <c r="R180" s="25"/>
      <c r="S180" s="37">
        <f t="shared" si="95"/>
        <v>1</v>
      </c>
      <c r="T180" s="52" t="str">
        <f t="shared" si="81"/>
        <v>Southbound</v>
      </c>
      <c r="U180" s="159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11:38:56-0600',mode:absolute,to:'2016-10-05 13:56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80" s="54" t="str">
        <f t="shared" si="89"/>
        <v>N</v>
      </c>
      <c r="X180" s="164">
        <f t="shared" si="96"/>
        <v>1</v>
      </c>
      <c r="Y180" s="69">
        <f t="shared" si="90"/>
        <v>5.8686999999999996</v>
      </c>
      <c r="Z180" s="69">
        <f t="shared" si="91"/>
        <v>6.8699999999999997E-2</v>
      </c>
      <c r="AA180" s="69">
        <f t="shared" si="92"/>
        <v>5.8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 t="shared" si="82"/>
        <v>0820-05</v>
      </c>
      <c r="AE180" s="95" t="str">
        <f t="shared" si="93"/>
        <v>aws s3 cp s3://rtdc.mdm.uploadarchive.raw/RTDC4019/ "%USERPROFILE%\AppData\Local\Temp\OnboardLogs"\RTDC4019\2016-10-05 --exclude "*" --recursive --include "*20161005*" &amp; "%USERPROFILE%\Documents\GitHub\mrs-test-scripts\Headless Mode &amp; Sideloading\WalkAndUnGZ.bat" "%USERPROFILE%\AppData\Local\Temp\OnboardLogs"\RTDC4019\2016-10-05 &amp; aws s3 cp s3://rtdc.mdm.uploadarchive.raw/RTDC4019/ "%USERPROFILE%\AppData\Local\Temp\OnboardLogs"\RTDC4019\2016-10-06 --exclude "*" --recursive --include "*20161006*" &amp; "%USERPROFILE%\Documents\GitHub\mrs-test-scripts\Headless Mode &amp; Sideloading\WalkAndUnGZ.bat" "%USERPROFILE%\AppData\Local\Temp\OnboardLogs"\RTDC4019\2016-10-06</v>
      </c>
      <c r="AF180" s="92" t="str">
        <f t="shared" si="94"/>
        <v>"C:\Program Files (x86)\AstroGrep\AstroGrep.exe" /spath="%USERPROFILE%\AppData\Local\Temp\OnboardLogs" /stypes="app*4019*20161005*" /stext=" 18:.+((SYSTEM_STATE.+slice.+state.+changed )|(ment ac)|(system.+state.+changed )|(\[timeout)|(PRM\|1\|D)|(kpr)|(kdp)|(\|lc)|(penalty))" /e /r /s</v>
      </c>
      <c r="AG180" s="1" t="str">
        <f t="shared" si="83"/>
        <v>NW</v>
      </c>
      <c r="AH180" s="96" t="str">
        <f t="shared" si="84"/>
        <v>"%USERPROFILE%\Documents\GitHub\eaglep3\Utilities\RefineRTDCRunTimes.py" --tripid 820-05 --locoid 4019 --swversion DE.1.0.7.0 --startMP 300:58687 --initTime 2016-10-05T12:38:56 --startdatetime 2016-10-05T12:41:50 --delay 2 --endMP 204:687 --enddatetime 2016-10-05T12:56:13 --enforcementcount 0 &gt;&gt;C:\Users\stu\Documents\GitHub\eaglep3-reporting\EC\2016-10-05-refined-times.txt</v>
      </c>
      <c r="AI180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{"issue":{"subject":"","project_id":79,"tracker_id":40,"status_id":1,"priority_id":2,"assigned_to_id":23,"start_date":"2016-10-05","description":"","custom_fields":[{"id":1,"name":"Subdivision","value":"NW"},{"id":4,"name":"Milepost","value":"0.0687"},{"id":17,"name":"Train ID","value":"820-05"},{"id":16,"name":"Locomotive ID","value":"4019"},{"id":130,"name":"Impact","value":""},{"id":150,"name":"Time of Event (Mountain Time)","value":"12:56:13"},{"id":151,"name":"Denver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404</v>
      </c>
      <c r="B181" s="7">
        <v>4020</v>
      </c>
      <c r="C181" s="24" t="s">
        <v>106</v>
      </c>
      <c r="D181" s="24" t="s">
        <v>298</v>
      </c>
      <c r="E181" s="15">
        <v>42648.547129629631</v>
      </c>
      <c r="F181" s="15">
        <v>42648.556539351855</v>
      </c>
      <c r="G181" s="7">
        <v>1</v>
      </c>
      <c r="H181" s="15" t="s">
        <v>728</v>
      </c>
      <c r="I181" s="15">
        <v>42648.566516203704</v>
      </c>
      <c r="J181" s="7">
        <v>0</v>
      </c>
      <c r="K181" s="117" t="str">
        <f t="shared" si="86"/>
        <v>4019/4020</v>
      </c>
      <c r="L181" s="24" t="str">
        <f>VLOOKUP(A181,'Trips&amp;Operators'!$C$1:$E$10000,3,FALSE)</f>
        <v>MOSES</v>
      </c>
      <c r="M181" s="6">
        <f t="shared" si="87"/>
        <v>9.9768518484779634E-3</v>
      </c>
      <c r="N181" s="7">
        <f t="shared" si="97"/>
        <v>14.366666661808267</v>
      </c>
      <c r="O181" s="7"/>
      <c r="P181" s="7"/>
      <c r="Q181" s="25"/>
      <c r="R181" s="25"/>
      <c r="S181" s="37">
        <f t="shared" si="95"/>
        <v>1</v>
      </c>
      <c r="T181" s="52" t="str">
        <f t="shared" si="81"/>
        <v>NorthBound</v>
      </c>
      <c r="U181" s="159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12:07:52-0600',mode:absolute,to:'2016-10-05 14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81" s="54" t="str">
        <f t="shared" si="89"/>
        <v>N</v>
      </c>
      <c r="X181" s="164">
        <f t="shared" si="96"/>
        <v>1</v>
      </c>
      <c r="Y181" s="69">
        <f t="shared" si="90"/>
        <v>9.7799999999999998E-2</v>
      </c>
      <c r="Z181" s="69">
        <f t="shared" si="91"/>
        <v>5.899</v>
      </c>
      <c r="AA181" s="69">
        <f t="shared" si="92"/>
        <v>5.8011999999999997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 t="shared" si="82"/>
        <v>0821-05</v>
      </c>
      <c r="AE181" s="95" t="str">
        <f t="shared" si="93"/>
        <v>aws s3 cp s3://rtdc.mdm.uploadarchive.raw/RTDC4020/ "%USERPROFILE%\AppData\Local\Temp\OnboardLogs"\RTDC4020\2016-10-05 --exclude "*" --recursive --include "*20161005*" &amp; "%USERPROFILE%\Documents\GitHub\mrs-test-scripts\Headless Mode &amp; Sideloading\WalkAndUnGZ.bat" "%USERPROFILE%\AppData\Local\Temp\OnboardLogs"\RTDC4020\2016-10-05 &amp; aws s3 cp s3://rtdc.mdm.uploadarchive.raw/RTDC4020/ "%USERPROFILE%\AppData\Local\Temp\OnboardLogs"\RTDC4020\2016-10-06 --exclude "*" --recursive --include "*20161006*" &amp; "%USERPROFILE%\Documents\GitHub\mrs-test-scripts\Headless Mode &amp; Sideloading\WalkAndUnGZ.bat" "%USERPROFILE%\AppData\Local\Temp\OnboardLogs"\RTDC4020\2016-10-06</v>
      </c>
      <c r="AF181" s="92" t="str">
        <f t="shared" si="94"/>
        <v>"C:\Program Files (x86)\AstroGrep\AstroGrep.exe" /spath="%USERPROFILE%\AppData\Local\Temp\OnboardLogs" /stypes="app*4020*20161005*" /stext=" 19:.+((SYSTEM_STATE.+slice.+state.+changed )|(ment ac)|(system.+state.+changed )|(\[timeout)|(PRM\|1\|D)|(kpr)|(kdp)|(\|lc)|(penalty))" /e /r /s</v>
      </c>
      <c r="AG181" s="1" t="str">
        <f t="shared" si="83"/>
        <v>NW</v>
      </c>
      <c r="AH181" s="96" t="str">
        <f t="shared" si="84"/>
        <v>"%USERPROFILE%\Documents\GitHub\eaglep3\Utilities\RefineRTDCRunTimes.py" --tripid 821-05 --locoid 4020 --swversion DE.1.0.7.0 --startMP 204:978 --initTime 2016-10-05T13:07:52 --startdatetime 2016-10-05T13:21:25 --delay 1 --endMP 300:58990 --enddatetime 2016-10-05T13:35:47 --enforcementcount 0 &gt;&gt;C:\Users\stu\Documents\GitHub\eaglep3-reporting\EC\2016-10-05-refined-times.txt</v>
      </c>
      <c r="AI181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{"issue":{"subject":"","project_id":79,"tracker_id":40,"status_id":1,"priority_id":2,"assigned_to_id":23,"start_date":"2016-10-05","description":"","custom_fields":[{"id":1,"name":"Subdivision","value":"NW"},{"id":4,"name":"Milepost","value":"5.899"},{"id":17,"name":"Train ID","value":"821-05"},{"id":16,"name":"Locomotive ID","value":"4020"},{"id":130,"name":"Impact","value":""},{"id":150,"name":"Time of Event (Mountain Time)","value":"13:35:47"},{"id":151,"name":"Denver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s="23" customFormat="1" x14ac:dyDescent="0.25">
      <c r="A182" s="39" t="s">
        <v>405</v>
      </c>
      <c r="B182" s="7">
        <v>4019</v>
      </c>
      <c r="C182" s="24" t="s">
        <v>106</v>
      </c>
      <c r="D182" s="24" t="s">
        <v>720</v>
      </c>
      <c r="E182" s="15">
        <v>42648.567696759259</v>
      </c>
      <c r="F182" s="15">
        <v>42648.569826388892</v>
      </c>
      <c r="G182" s="7">
        <v>1</v>
      </c>
      <c r="H182" s="15" t="s">
        <v>729</v>
      </c>
      <c r="I182" s="15">
        <v>42648.579930555556</v>
      </c>
      <c r="J182" s="7">
        <v>0</v>
      </c>
      <c r="K182" s="117" t="str">
        <f t="shared" si="86"/>
        <v>4019/4020</v>
      </c>
      <c r="L182" s="24" t="str">
        <f>VLOOKUP(A182,'Trips&amp;Operators'!$C$1:$E$10000,3,FALSE)</f>
        <v>MOSES</v>
      </c>
      <c r="M182" s="6">
        <f t="shared" si="87"/>
        <v>1.0104166663950309E-2</v>
      </c>
      <c r="N182" s="7">
        <f t="shared" si="97"/>
        <v>14.549999996088445</v>
      </c>
      <c r="O182" s="7"/>
      <c r="P182" s="7"/>
      <c r="Q182" s="25"/>
      <c r="R182" s="25"/>
      <c r="S182" s="37">
        <f t="shared" si="95"/>
        <v>1</v>
      </c>
      <c r="T182" s="52" t="str">
        <f t="shared" si="81"/>
        <v>Southbound</v>
      </c>
      <c r="U182" s="159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12:37:29-0600',mode:absolute,to:'2016-10-05 14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82" s="54" t="str">
        <f t="shared" si="89"/>
        <v>N</v>
      </c>
      <c r="X182" s="164">
        <f t="shared" si="96"/>
        <v>1</v>
      </c>
      <c r="Y182" s="69">
        <f t="shared" si="90"/>
        <v>5.8677000000000001</v>
      </c>
      <c r="Z182" s="69">
        <f t="shared" si="91"/>
        <v>7.2599999999999998E-2</v>
      </c>
      <c r="AA182" s="69">
        <f t="shared" si="92"/>
        <v>5.7950999999999997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 t="shared" si="82"/>
        <v>0822-05</v>
      </c>
      <c r="AE182" s="95" t="str">
        <f t="shared" si="93"/>
        <v>aws s3 cp s3://rtdc.mdm.uploadarchive.raw/RTDC4019/ "%USERPROFILE%\AppData\Local\Temp\OnboardLogs"\RTDC4019\2016-10-05 --exclude "*" --recursive --include "*20161005*" &amp; "%USERPROFILE%\Documents\GitHub\mrs-test-scripts\Headless Mode &amp; Sideloading\WalkAndUnGZ.bat" "%USERPROFILE%\AppData\Local\Temp\OnboardLogs"\RTDC4019\2016-10-05 &amp; aws s3 cp s3://rtdc.mdm.uploadarchive.raw/RTDC4019/ "%USERPROFILE%\AppData\Local\Temp\OnboardLogs"\RTDC4019\2016-10-06 --exclude "*" --recursive --include "*20161006*" &amp; "%USERPROFILE%\Documents\GitHub\mrs-test-scripts\Headless Mode &amp; Sideloading\WalkAndUnGZ.bat" "%USERPROFILE%\AppData\Local\Temp\OnboardLogs"\RTDC4019\2016-10-06</v>
      </c>
      <c r="AF182" s="92" t="str">
        <f t="shared" si="94"/>
        <v>"C:\Program Files (x86)\AstroGrep\AstroGrep.exe" /spath="%USERPROFILE%\AppData\Local\Temp\OnboardLogs" /stypes="app*4019*20161005*" /stext=" 19:.+((SYSTEM_STATE.+slice.+state.+changed )|(ment ac)|(system.+state.+changed )|(\[timeout)|(PRM\|1\|D)|(kpr)|(kdp)|(\|lc)|(penalty))" /e /r /s</v>
      </c>
      <c r="AG182" s="1" t="str">
        <f t="shared" si="83"/>
        <v>NW</v>
      </c>
      <c r="AH182" s="96" t="str">
        <f t="shared" si="84"/>
        <v>"%USERPROFILE%\Documents\GitHub\eaglep3\Utilities\RefineRTDCRunTimes.py" --tripid 822-05 --locoid 4019 --swversion DE.1.0.7.0 --startMP 300:58677 --initTime 2016-10-05T13:37:29 --startdatetime 2016-10-05T13:40:33 --delay 1 --endMP 204:726 --enddatetime 2016-10-05T13:55:06 --enforcementcount 0 &gt;&gt;C:\Users\stu\Documents\GitHub\eaglep3-reporting\EC\2016-10-05-refined-times.txt</v>
      </c>
      <c r="AI182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{"issue":{"subject":"","project_id":79,"tracker_id":40,"status_id":1,"priority_id":2,"assigned_to_id":23,"start_date":"2016-10-05","description":"","custom_fields":[{"id":1,"name":"Subdivision","value":"NW"},{"id":4,"name":"Milepost","value":"0.0726"},{"id":17,"name":"Train ID","value":"822-05"},{"id":16,"name":"Locomotive ID","value":"4019"},{"id":130,"name":"Impact","value":""},{"id":150,"name":"Time of Event (Mountain Time)","value":"13:55:06"},{"id":151,"name":"Denver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520</v>
      </c>
      <c r="B183" s="7">
        <v>4020</v>
      </c>
      <c r="C183" s="24" t="s">
        <v>106</v>
      </c>
      <c r="D183" s="24" t="s">
        <v>730</v>
      </c>
      <c r="E183" s="15">
        <v>42648.595925925925</v>
      </c>
      <c r="F183" s="15">
        <v>42648.59815972222</v>
      </c>
      <c r="G183" s="7">
        <v>1</v>
      </c>
      <c r="H183" s="15" t="s">
        <v>731</v>
      </c>
      <c r="I183" s="15">
        <v>42648.60800925926</v>
      </c>
      <c r="J183" s="7">
        <v>0</v>
      </c>
      <c r="K183" s="117" t="str">
        <f t="shared" si="86"/>
        <v>4019/4020</v>
      </c>
      <c r="L183" s="24" t="str">
        <f>VLOOKUP(A183,'Trips&amp;Operators'!$C$1:$E$10000,3,FALSE)</f>
        <v>MOSES</v>
      </c>
      <c r="M183" s="6">
        <f t="shared" si="87"/>
        <v>9.8495370402815752E-3</v>
      </c>
      <c r="N183" s="7">
        <f t="shared" si="97"/>
        <v>14.183333338005468</v>
      </c>
      <c r="O183" s="7"/>
      <c r="P183" s="7"/>
      <c r="Q183" s="25"/>
      <c r="R183" s="25"/>
      <c r="S183" s="37">
        <f t="shared" si="95"/>
        <v>1</v>
      </c>
      <c r="T183" s="52" t="str">
        <f t="shared" si="81"/>
        <v>NorthBound</v>
      </c>
      <c r="U183" s="159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13:18:08-0600',mode:absolute,to:'2016-10-05 15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83" s="54" t="str">
        <f t="shared" si="89"/>
        <v>N</v>
      </c>
      <c r="X183" s="164">
        <f t="shared" si="96"/>
        <v>1</v>
      </c>
      <c r="Y183" s="69">
        <f t="shared" si="90"/>
        <v>0.1014</v>
      </c>
      <c r="Z183" s="69">
        <f t="shared" si="91"/>
        <v>5.8983999999999996</v>
      </c>
      <c r="AA183" s="69">
        <f t="shared" si="92"/>
        <v>5.7969999999999997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 t="shared" si="82"/>
        <v>0823-05</v>
      </c>
      <c r="AE183" s="95" t="str">
        <f t="shared" si="93"/>
        <v>aws s3 cp s3://rtdc.mdm.uploadarchive.raw/RTDC4020/ "%USERPROFILE%\AppData\Local\Temp\OnboardLogs"\RTDC4020\2016-10-05 --exclude "*" --recursive --include "*20161005*" &amp; "%USERPROFILE%\Documents\GitHub\mrs-test-scripts\Headless Mode &amp; Sideloading\WalkAndUnGZ.bat" "%USERPROFILE%\AppData\Local\Temp\OnboardLogs"\RTDC4020\2016-10-05 &amp; aws s3 cp s3://rtdc.mdm.uploadarchive.raw/RTDC4020/ "%USERPROFILE%\AppData\Local\Temp\OnboardLogs"\RTDC4020\2016-10-06 --exclude "*" --recursive --include "*20161006*" &amp; "%USERPROFILE%\Documents\GitHub\mrs-test-scripts\Headless Mode &amp; Sideloading\WalkAndUnGZ.bat" "%USERPROFILE%\AppData\Local\Temp\OnboardLogs"\RTDC4020\2016-10-06</v>
      </c>
      <c r="AF183" s="92" t="str">
        <f t="shared" si="94"/>
        <v>"C:\Program Files (x86)\AstroGrep\AstroGrep.exe" /spath="%USERPROFILE%\AppData\Local\Temp\OnboardLogs" /stypes="app*4020*20161005*" /stext=" 20:.+((SYSTEM_STATE.+slice.+state.+changed )|(ment ac)|(system.+state.+changed )|(\[timeout)|(PRM\|1\|D)|(kpr)|(kdp)|(\|lc)|(penalty))" /e /r /s</v>
      </c>
      <c r="AG183" s="1" t="str">
        <f t="shared" si="83"/>
        <v>NW</v>
      </c>
      <c r="AH183" s="96" t="str">
        <f t="shared" si="84"/>
        <v>"%USERPROFILE%\Documents\GitHub\eaglep3\Utilities\RefineRTDCRunTimes.py" --tripid 823-05 --locoid 4020 --swversion DE.1.0.7.0 --startMP 204:1014 --initTime 2016-10-05T14:18:08 --startdatetime 2016-10-05T14:21:21 --delay 1 --endMP 300:58984 --enddatetime 2016-10-05T14:35:32 --enforcementcount 0 &gt;&gt;C:\Users\stu\Documents\GitHub\eaglep3-reporting\EC\2016-10-05-refined-times.txt</v>
      </c>
      <c r="AI183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{"issue":{"subject":"","project_id":79,"tracker_id":40,"status_id":1,"priority_id":2,"assigned_to_id":23,"start_date":"2016-10-05","description":"","custom_fields":[{"id":1,"name":"Subdivision","value":"NW"},{"id":4,"name":"Milepost","value":"5.8984"},{"id":17,"name":"Train ID","value":"823-05"},{"id":16,"name":"Locomotive ID","value":"4020"},{"id":130,"name":"Impact","value":""},{"id":150,"name":"Time of Event (Mountain Time)","value":"14:35:32"},{"id":151,"name":"Denver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524</v>
      </c>
      <c r="B184" s="7">
        <v>4019</v>
      </c>
      <c r="C184" s="24" t="s">
        <v>106</v>
      </c>
      <c r="D184" s="24" t="s">
        <v>732</v>
      </c>
      <c r="E184" s="15">
        <v>42648.609965277778</v>
      </c>
      <c r="F184" s="15">
        <v>42648.611620370371</v>
      </c>
      <c r="G184" s="7">
        <v>1</v>
      </c>
      <c r="H184" s="15" t="s">
        <v>362</v>
      </c>
      <c r="I184" s="15">
        <v>42648.621562499997</v>
      </c>
      <c r="J184" s="7">
        <v>0</v>
      </c>
      <c r="K184" s="117" t="str">
        <f t="shared" si="86"/>
        <v>4019/4020</v>
      </c>
      <c r="L184" s="24" t="str">
        <f>VLOOKUP(A184,'Trips&amp;Operators'!$C$1:$E$10000,3,FALSE)</f>
        <v>MOSES</v>
      </c>
      <c r="M184" s="6">
        <f t="shared" si="87"/>
        <v>9.9421296254149638E-3</v>
      </c>
      <c r="N184" s="7">
        <f t="shared" si="97"/>
        <v>14.316666660597548</v>
      </c>
      <c r="O184" s="7"/>
      <c r="P184" s="7"/>
      <c r="Q184" s="25"/>
      <c r="R184" s="25"/>
      <c r="S184" s="37">
        <f t="shared" si="95"/>
        <v>1</v>
      </c>
      <c r="T184" s="52" t="str">
        <f t="shared" si="81"/>
        <v>Southbound</v>
      </c>
      <c r="U184" s="159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13:38:21-0600',mode:absolute,to:'2016-10-05 15:55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84" s="54" t="str">
        <f t="shared" si="89"/>
        <v>N</v>
      </c>
      <c r="X184" s="164">
        <f t="shared" si="96"/>
        <v>1</v>
      </c>
      <c r="Y184" s="69">
        <f t="shared" si="90"/>
        <v>5.8655999999999997</v>
      </c>
      <c r="Z184" s="69">
        <f t="shared" si="91"/>
        <v>6.7799999999999999E-2</v>
      </c>
      <c r="AA184" s="69">
        <f t="shared" si="92"/>
        <v>5.7977999999999996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 t="shared" si="82"/>
        <v>0824-05</v>
      </c>
      <c r="AE184" s="95" t="str">
        <f t="shared" si="93"/>
        <v>aws s3 cp s3://rtdc.mdm.uploadarchive.raw/RTDC4019/ "%USERPROFILE%\AppData\Local\Temp\OnboardLogs"\RTDC4019\2016-10-05 --exclude "*" --recursive --include "*20161005*" &amp; "%USERPROFILE%\Documents\GitHub\mrs-test-scripts\Headless Mode &amp; Sideloading\WalkAndUnGZ.bat" "%USERPROFILE%\AppData\Local\Temp\OnboardLogs"\RTDC4019\2016-10-05 &amp; aws s3 cp s3://rtdc.mdm.uploadarchive.raw/RTDC4019/ "%USERPROFILE%\AppData\Local\Temp\OnboardLogs"\RTDC4019\2016-10-06 --exclude "*" --recursive --include "*20161006*" &amp; "%USERPROFILE%\Documents\GitHub\mrs-test-scripts\Headless Mode &amp; Sideloading\WalkAndUnGZ.bat" "%USERPROFILE%\AppData\Local\Temp\OnboardLogs"\RTDC4019\2016-10-06</v>
      </c>
      <c r="AF184" s="92" t="str">
        <f t="shared" si="94"/>
        <v>"C:\Program Files (x86)\AstroGrep\AstroGrep.exe" /spath="%USERPROFILE%\AppData\Local\Temp\OnboardLogs" /stypes="app*4019*20161005*" /stext=" 20:.+((SYSTEM_STATE.+slice.+state.+changed )|(ment ac)|(system.+state.+changed )|(\[timeout)|(PRM\|1\|D)|(kpr)|(kdp)|(\|lc)|(penalty))" /e /r /s</v>
      </c>
      <c r="AG184" s="1" t="str">
        <f t="shared" si="83"/>
        <v>NW</v>
      </c>
      <c r="AH184" s="96" t="str">
        <f t="shared" si="84"/>
        <v>"%USERPROFILE%\Documents\GitHub\eaglep3\Utilities\RefineRTDCRunTimes.py" --tripid 824-05 --locoid 4019 --swversion DE.1.0.7.0 --startMP 300:58656 --initTime 2016-10-05T14:38:21 --startdatetime 2016-10-05T14:40:44 --delay 1 --endMP 204:678 --enddatetime 2016-10-05T14:55:03 --enforcementcount 0 &gt;&gt;C:\Users\stu\Documents\GitHub\eaglep3-reporting\EC\2016-10-05-refined-times.txt</v>
      </c>
      <c r="AI184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{"issue":{"subject":"","project_id":79,"tracker_id":40,"status_id":1,"priority_id":2,"assigned_to_id":23,"start_date":"2016-10-05","description":"","custom_fields":[{"id":1,"name":"Subdivision","value":"NW"},{"id":4,"name":"Milepost","value":"0.0678"},{"id":17,"name":"Train ID","value":"824-05"},{"id":16,"name":"Locomotive ID","value":"4019"},{"id":130,"name":"Impact","value":""},{"id":150,"name":"Time of Event (Mountain Time)","value":"14:55:03"},{"id":151,"name":"Denver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s="23" customFormat="1" x14ac:dyDescent="0.25">
      <c r="A185" s="39" t="s">
        <v>408</v>
      </c>
      <c r="B185" s="7">
        <v>4020</v>
      </c>
      <c r="C185" s="24" t="s">
        <v>106</v>
      </c>
      <c r="D185" s="24" t="s">
        <v>733</v>
      </c>
      <c r="E185" s="15">
        <v>42648.636608796296</v>
      </c>
      <c r="F185" s="15">
        <v>42648.639849537038</v>
      </c>
      <c r="G185" s="7">
        <v>1</v>
      </c>
      <c r="H185" s="15" t="s">
        <v>718</v>
      </c>
      <c r="I185" s="15">
        <v>42648.649525462963</v>
      </c>
      <c r="J185" s="7">
        <v>0</v>
      </c>
      <c r="K185" s="117" t="str">
        <f t="shared" si="86"/>
        <v>4019/4020</v>
      </c>
      <c r="L185" s="24" t="str">
        <f>VLOOKUP(A185,'Trips&amp;Operators'!$C$1:$E$10000,3,FALSE)</f>
        <v>MOSES</v>
      </c>
      <c r="M185" s="6">
        <f t="shared" si="87"/>
        <v>9.6759259249665774E-3</v>
      </c>
      <c r="N185" s="7">
        <f t="shared" si="97"/>
        <v>13.933333331951872</v>
      </c>
      <c r="O185" s="7"/>
      <c r="P185" s="7"/>
      <c r="Q185" s="25"/>
      <c r="R185" s="25"/>
      <c r="S185" s="37">
        <f t="shared" si="95"/>
        <v>1</v>
      </c>
      <c r="T185" s="52" t="str">
        <f t="shared" si="81"/>
        <v>NorthBound</v>
      </c>
      <c r="U185" s="159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2" t="str">
        <f t="shared" si="88"/>
        <v>https://search-rtdc-monitor-bjffxe2xuh6vdkpspy63sjmuny.us-east-1.es.amazonaws.com/_plugin/kibana/#/discover/Steve-Slow-Train-Analysis-(2080s-and-2083s)?_g=(refreshInterval:(display:Off,section:0,value:0),time:(from:'2016-10-05 14:16:43-0600',mode:absolute,to:'2016-10-05 16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85" s="54" t="str">
        <f t="shared" si="89"/>
        <v>N</v>
      </c>
      <c r="X185" s="164">
        <f t="shared" si="96"/>
        <v>1</v>
      </c>
      <c r="Y185" s="69">
        <f t="shared" si="90"/>
        <v>9.5799999999999996E-2</v>
      </c>
      <c r="Z185" s="69">
        <f t="shared" si="91"/>
        <v>5.8979999999999997</v>
      </c>
      <c r="AA185" s="69">
        <f t="shared" si="92"/>
        <v>5.8022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 t="shared" si="82"/>
        <v>0825-05</v>
      </c>
      <c r="AE185" s="95" t="str">
        <f t="shared" si="93"/>
        <v>aws s3 cp s3://rtdc.mdm.uploadarchive.raw/RTDC4020/ "%USERPROFILE%\AppData\Local\Temp\OnboardLogs"\RTDC4020\2016-10-05 --exclude "*" --recursive --include "*20161005*" &amp; "%USERPROFILE%\Documents\GitHub\mrs-test-scripts\Headless Mode &amp; Sideloading\WalkAndUnGZ.bat" "%USERPROFILE%\AppData\Local\Temp\OnboardLogs"\RTDC4020\2016-10-05 &amp; aws s3 cp s3://rtdc.mdm.uploadarchive.raw/RTDC4020/ "%USERPROFILE%\AppData\Local\Temp\OnboardLogs"\RTDC4020\2016-10-06 --exclude "*" --recursive --include "*20161006*" &amp; "%USERPROFILE%\Documents\GitHub\mrs-test-scripts\Headless Mode &amp; Sideloading\WalkAndUnGZ.bat" "%USERPROFILE%\AppData\Local\Temp\OnboardLogs"\RTDC4020\2016-10-06</v>
      </c>
      <c r="AF185" s="92" t="str">
        <f t="shared" si="94"/>
        <v>"C:\Program Files (x86)\AstroGrep\AstroGrep.exe" /spath="%USERPROFILE%\AppData\Local\Temp\OnboardLogs" /stypes="app*4020*20161005*" /stext=" 21:.+((SYSTEM_STATE.+slice.+state.+changed )|(ment ac)|(system.+state.+changed )|(\[timeout)|(PRM\|1\|D)|(kpr)|(kdp)|(\|lc)|(penalty))" /e /r /s</v>
      </c>
      <c r="AG185" s="1" t="str">
        <f t="shared" si="83"/>
        <v>NW</v>
      </c>
      <c r="AH185" s="96" t="str">
        <f t="shared" si="84"/>
        <v>"%USERPROFILE%\Documents\GitHub\eaglep3\Utilities\RefineRTDCRunTimes.py" --tripid 825-05 --locoid 4020 --swversion DE.1.0.7.0 --startMP 204:958 --initTime 2016-10-05T15:16:43 --startdatetime 2016-10-05T15:21:23 --delay 1 --endMP 300:58980 --enddatetime 2016-10-05T15:35:19 --enforcementcount 0 &gt;&gt;C:\Users\stu\Documents\GitHub\eaglep3-reporting\EC\2016-10-05-refined-times.txt</v>
      </c>
      <c r="AI185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{"issue":{"subject":"","project_id":79,"tracker_id":40,"status_id":1,"priority_id":2,"assigned_to_id":23,"start_date":"2016-10-05","description":"","custom_fields":[{"id":1,"name":"Subdivision","value":"NW"},{"id":4,"name":"Milepost","value":"5.898"},{"id":17,"name":"Train ID","value":"825-05"},{"id":16,"name":"Locomotive ID","value":"4020"},{"id":130,"name":"Impact","value":""},{"id":150,"name":"Time of Event (Mountain Time)","value":"15:35:19"},{"id":151,"name":"Denver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s="23" customFormat="1" x14ac:dyDescent="0.25">
      <c r="A186" s="39" t="s">
        <v>411</v>
      </c>
      <c r="B186" s="7">
        <v>4019</v>
      </c>
      <c r="C186" s="24" t="s">
        <v>106</v>
      </c>
      <c r="D186" s="24" t="s">
        <v>734</v>
      </c>
      <c r="E186" s="15">
        <v>42648.651585648149</v>
      </c>
      <c r="F186" s="15">
        <v>42648.65357638889</v>
      </c>
      <c r="G186" s="7">
        <v>1</v>
      </c>
      <c r="H186" s="15" t="s">
        <v>735</v>
      </c>
      <c r="I186" s="15">
        <v>42648.664293981485</v>
      </c>
      <c r="J186" s="7">
        <v>0</v>
      </c>
      <c r="K186" s="117" t="str">
        <f t="shared" ref="K186:K217" si="98">IF(ISEVEN(B186),(B186-1)&amp;"/"&amp;B186,B186&amp;"/"&amp;(B186+1))</f>
        <v>4019/4020</v>
      </c>
      <c r="L186" s="24" t="str">
        <f>VLOOKUP(A186,'Trips&amp;Operators'!$C$1:$E$10000,3,FALSE)</f>
        <v>MOSES</v>
      </c>
      <c r="M186" s="6">
        <f t="shared" ref="M186:M217" si="99">I186-F186</f>
        <v>1.0717592595028691E-2</v>
      </c>
      <c r="N186" s="7">
        <f t="shared" si="97"/>
        <v>15.433333336841315</v>
      </c>
      <c r="O186" s="7"/>
      <c r="P186" s="7"/>
      <c r="Q186" s="25"/>
      <c r="R186" s="25"/>
      <c r="S186" s="37">
        <f t="shared" si="95"/>
        <v>1</v>
      </c>
      <c r="T186" s="52" t="str">
        <f t="shared" si="81"/>
        <v>Southbound</v>
      </c>
      <c r="U186" s="159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2" t="str">
        <f t="shared" ref="V186:V217" si="100">"https://search-rtdc-monitor-bjffxe2xuh6vdkpspy63sjmuny.us-east-1.es.amazonaws.com/_plugin/kibana/#/discover/Steve-Slow-Train-Analysis-(2080s-and-2083s)?_g=(refreshInterval:(display:Off,section:0,value:0),time:(from:'"&amp;TEXT(E186-1/24,"yyyy-MM-DD hh:mm:ss")&amp;"-0600',mode:absolute,to:'"&amp;TEXT(I186+1/24,"yyyy-MM-DD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186&amp;"%22')),sort:!(Time,asc))"</f>
        <v>https://search-rtdc-monitor-bjffxe2xuh6vdkpspy63sjmuny.us-east-1.es.amazonaws.com/_plugin/kibana/#/discover/Steve-Slow-Train-Analysis-(2080s-and-2083s)?_g=(refreshInterval:(display:Off,section:0,value:0),time:(from:'2016-10-05 14:38:17-0600',mode:absolute,to:'2016-10-05 16:56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86" s="54" t="str">
        <f t="shared" ref="W186:W217" si="101">IF(AA186&lt;IF(AG186="EC",23,5.65),"Y","N")</f>
        <v>N</v>
      </c>
      <c r="X186" s="164">
        <f t="shared" si="96"/>
        <v>1</v>
      </c>
      <c r="Y186" s="69">
        <f t="shared" ref="Y186:Y217" si="102">RIGHT(D186,LEN(D186)-4)/10000</f>
        <v>5.8666</v>
      </c>
      <c r="Z186" s="69">
        <f t="shared" ref="Z186:Z217" si="103">RIGHT(H186,LEN(H186)-4)/10000</f>
        <v>6.9400000000000003E-2</v>
      </c>
      <c r="AA186" s="69">
        <f t="shared" ref="AA186:AA217" si="104">ABS(Z186-Y186)</f>
        <v>5.7972000000000001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 t="shared" si="82"/>
        <v>0826-05</v>
      </c>
      <c r="AE186" s="95" t="str">
        <f t="shared" ref="AE186:AE217" si="105"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s3://rtdc.mdm.uploadarchive.raw/RTDC4019/ "%USERPROFILE%\AppData\Local\Temp\OnboardLogs"\RTDC4019\2016-10-05 --exclude "*" --recursive --include "*20161005*" &amp; "%USERPROFILE%\Documents\GitHub\mrs-test-scripts\Headless Mode &amp; Sideloading\WalkAndUnGZ.bat" "%USERPROFILE%\AppData\Local\Temp\OnboardLogs"\RTDC4019\2016-10-05 &amp; aws s3 cp s3://rtdc.mdm.uploadarchive.raw/RTDC4019/ "%USERPROFILE%\AppData\Local\Temp\OnboardLogs"\RTDC4019\2016-10-06 --exclude "*" --recursive --include "*20161006*" &amp; "%USERPROFILE%\Documents\GitHub\mrs-test-scripts\Headless Mode &amp; Sideloading\WalkAndUnGZ.bat" "%USERPROFILE%\AppData\Local\Temp\OnboardLogs"\RTDC4019\2016-10-06</v>
      </c>
      <c r="AF186" s="92" t="str">
        <f t="shared" ref="AF186:AF217" si="106"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/stypes="app*4019*20161005*" /stext=" 21:.+((SYSTEM_STATE.+slice.+state.+changed )|(ment ac)|(system.+state.+changed )|(\[timeout)|(PRM\|1\|D)|(kpr)|(kdp)|(\|lc)|(penalty))" /e /r /s</v>
      </c>
      <c r="AG186" s="1" t="str">
        <f t="shared" si="83"/>
        <v>NW</v>
      </c>
      <c r="AH186" s="96" t="str">
        <f t="shared" si="84"/>
        <v>"%USERPROFILE%\Documents\GitHub\eaglep3\Utilities\RefineRTDCRunTimes.py" --tripid 826-05 --locoid 4019 --swversion DE.1.0.7.0 --startMP 300:58666 --initTime 2016-10-05T15:38:17 --startdatetime 2016-10-05T15:41:09 --delay 1 --endMP 204:694 --enddatetime 2016-10-05T15:56:35 --enforcementcount 0 &gt;&gt;C:\Users\stu\Documents\GitHub\eaglep3-reporting\EC\2016-10-05-refined-times.txt</v>
      </c>
      <c r="AI186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{"issue":{"subject":"","project_id":79,"tracker_id":40,"status_id":1,"priority_id":2,"assigned_to_id":23,"start_date":"2016-10-05","description":"","custom_fields":[{"id":1,"name":"Subdivision","value":"NW"},{"id":4,"name":"Milepost","value":"0.0694"},{"id":17,"name":"Train ID","value":"826-05"},{"id":16,"name":"Locomotive ID","value":"4019"},{"id":130,"name":"Impact","value":""},{"id":150,"name":"Time of Event (Mountain Time)","value":"15:56:35"},{"id":151,"name":"Denver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s="23" customFormat="1" x14ac:dyDescent="0.25">
      <c r="A187" s="39" t="s">
        <v>413</v>
      </c>
      <c r="B187" s="7">
        <v>4031</v>
      </c>
      <c r="C187" s="24" t="s">
        <v>106</v>
      </c>
      <c r="D187" s="24" t="s">
        <v>368</v>
      </c>
      <c r="E187" s="15">
        <v>42648.65797453704</v>
      </c>
      <c r="F187" s="15">
        <v>42648.660729166666</v>
      </c>
      <c r="G187" s="7">
        <v>1</v>
      </c>
      <c r="H187" s="15" t="s">
        <v>736</v>
      </c>
      <c r="I187" s="15">
        <v>42648.670983796299</v>
      </c>
      <c r="J187" s="7">
        <v>0</v>
      </c>
      <c r="K187" s="117" t="str">
        <f t="shared" si="98"/>
        <v>4031/4032</v>
      </c>
      <c r="L187" s="24" t="str">
        <f>VLOOKUP(A187,'Trips&amp;Operators'!$C$1:$E$10000,3,FALSE)</f>
        <v>LEVERE</v>
      </c>
      <c r="M187" s="6">
        <f t="shared" si="99"/>
        <v>1.025462963298196E-2</v>
      </c>
      <c r="N187" s="7">
        <f t="shared" si="97"/>
        <v>14.766666671494022</v>
      </c>
      <c r="O187" s="7"/>
      <c r="P187" s="7"/>
      <c r="Q187" s="25"/>
      <c r="R187" s="25"/>
      <c r="S187" s="37">
        <f t="shared" si="95"/>
        <v>1</v>
      </c>
      <c r="T187" s="52" t="str">
        <f t="shared" si="81"/>
        <v>NorthBound</v>
      </c>
      <c r="U187" s="159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14:47:29-0600',mode:absolute,to:'2016-10-05 17:06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87" s="54" t="str">
        <f t="shared" si="101"/>
        <v>N</v>
      </c>
      <c r="X187" s="164">
        <f t="shared" si="96"/>
        <v>1</v>
      </c>
      <c r="Y187" s="69">
        <f t="shared" si="102"/>
        <v>9.8500000000000004E-2</v>
      </c>
      <c r="Z187" s="69">
        <f t="shared" si="103"/>
        <v>5.8928000000000003</v>
      </c>
      <c r="AA187" s="69">
        <f t="shared" si="104"/>
        <v>5.7943000000000007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 t="shared" si="82"/>
        <v>0827-05</v>
      </c>
      <c r="AE187" s="95" t="str">
        <f t="shared" si="105"/>
        <v>aws s3 cp s3://rtdc.mdm.uploadarchive.raw/RTDC4031/ "%USERPROFILE%\AppData\Local\Temp\OnboardLogs"\RTDC4031\2016-10-05 --exclude "*" --recursive --include "*20161005*" &amp; "%USERPROFILE%\Documents\GitHub\mrs-test-scripts\Headless Mode &amp; Sideloading\WalkAndUnGZ.bat" "%USERPROFILE%\AppData\Local\Temp\OnboardLogs"\RTDC4031\2016-10-05 &amp; aws s3 cp s3://rtdc.mdm.uploadarchive.raw/RTDC4031/ "%USERPROFILE%\AppData\Local\Temp\OnboardLogs"\RTDC4031\2016-10-06 --exclude "*" --recursive --include "*20161006*" &amp; "%USERPROFILE%\Documents\GitHub\mrs-test-scripts\Headless Mode &amp; Sideloading\WalkAndUnGZ.bat" "%USERPROFILE%\AppData\Local\Temp\OnboardLogs"\RTDC4031\2016-10-06</v>
      </c>
      <c r="AF187" s="92" t="str">
        <f t="shared" si="106"/>
        <v>"C:\Program Files (x86)\AstroGrep\AstroGrep.exe" /spath="%USERPROFILE%\AppData\Local\Temp\OnboardLogs" /stypes="app*4031*20161005*" /stext=" 22:.+((SYSTEM_STATE.+slice.+state.+changed )|(ment ac)|(system.+state.+changed )|(\[timeout)|(PRM\|1\|D)|(kpr)|(kdp)|(\|lc)|(penalty))" /e /r /s</v>
      </c>
      <c r="AG187" s="1" t="str">
        <f t="shared" si="83"/>
        <v>NW</v>
      </c>
      <c r="AH187" s="96" t="str">
        <f t="shared" si="84"/>
        <v>"%USERPROFILE%\Documents\GitHub\eaglep3\Utilities\RefineRTDCRunTimes.py" --tripid 827-05 --locoid 4031 --swversion DE.1.0.7.0 --startMP 204:985 --initTime 2016-10-05T15:47:29 --startdatetime 2016-10-05T15:51:27 --delay 1 --endMP 300:58928 --enddatetime 2016-10-05T16:06:13 --enforcementcount 0 &gt;&gt;C:\Users\stu\Documents\GitHub\eaglep3-reporting\EC\2016-10-05-refined-times.txt</v>
      </c>
      <c r="AI187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{"issue":{"subject":"","project_id":79,"tracker_id":40,"status_id":1,"priority_id":2,"assigned_to_id":23,"start_date":"2016-10-05","description":"","custom_fields":[{"id":1,"name":"Subdivision","value":"NW"},{"id":4,"name":"Milepost","value":"5.8928"},{"id":17,"name":"Train ID","value":"827-05"},{"id":16,"name":"Locomotive ID","value":"4031"},{"id":130,"name":"Impact","value":""},{"id":150,"name":"Time of Event (Mountain Time)","value":"16:06:13"},{"id":151,"name":"Denver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s="23" customFormat="1" x14ac:dyDescent="0.25">
      <c r="A188" s="39" t="s">
        <v>534</v>
      </c>
      <c r="B188" s="7">
        <v>4032</v>
      </c>
      <c r="C188" s="24" t="s">
        <v>106</v>
      </c>
      <c r="D188" s="24" t="s">
        <v>354</v>
      </c>
      <c r="E188" s="15">
        <v>42648.672812500001</v>
      </c>
      <c r="F188" s="15">
        <v>42648.674444444441</v>
      </c>
      <c r="G188" s="7">
        <v>1</v>
      </c>
      <c r="H188" s="15" t="s">
        <v>737</v>
      </c>
      <c r="I188" s="15">
        <v>42648.685300925928</v>
      </c>
      <c r="J188" s="7">
        <v>0</v>
      </c>
      <c r="K188" s="117" t="str">
        <f t="shared" si="98"/>
        <v>4031/4032</v>
      </c>
      <c r="L188" s="24" t="str">
        <f>VLOOKUP(A188,'Trips&amp;Operators'!$C$1:$E$10000,3,FALSE)</f>
        <v>LEVERE</v>
      </c>
      <c r="M188" s="6">
        <f t="shared" si="99"/>
        <v>1.0856481487280689E-2</v>
      </c>
      <c r="N188" s="7">
        <f t="shared" si="97"/>
        <v>15.633333341684192</v>
      </c>
      <c r="O188" s="7"/>
      <c r="P188" s="7"/>
      <c r="Q188" s="25"/>
      <c r="R188" s="25"/>
      <c r="S188" s="37">
        <f t="shared" si="95"/>
        <v>1</v>
      </c>
      <c r="T188" s="52" t="str">
        <f t="shared" si="81"/>
        <v>Southbound</v>
      </c>
      <c r="U188" s="159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15:08:51-0600',mode:absolute,to:'2016-10-05 17:26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88" s="54" t="str">
        <f t="shared" si="101"/>
        <v>N</v>
      </c>
      <c r="X188" s="164">
        <f t="shared" si="96"/>
        <v>1</v>
      </c>
      <c r="Y188" s="69">
        <f t="shared" si="102"/>
        <v>5.8609</v>
      </c>
      <c r="Z188" s="69">
        <f t="shared" si="103"/>
        <v>6.8199999999999997E-2</v>
      </c>
      <c r="AA188" s="69">
        <f t="shared" si="104"/>
        <v>5.7927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 t="shared" si="82"/>
        <v>0828-05</v>
      </c>
      <c r="AE188" s="95" t="str">
        <f t="shared" si="105"/>
        <v>aws s3 cp s3://rtdc.mdm.uploadarchive.raw/RTDC4032/ "%USERPROFILE%\AppData\Local\Temp\OnboardLogs"\RTDC4032\2016-10-05 --exclude "*" --recursive --include "*20161005*" &amp; "%USERPROFILE%\Documents\GitHub\mrs-test-scripts\Headless Mode &amp; Sideloading\WalkAndUnGZ.bat" "%USERPROFILE%\AppData\Local\Temp\OnboardLogs"\RTDC4032\2016-10-05 &amp; 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</v>
      </c>
      <c r="AF188" s="92" t="str">
        <f t="shared" si="106"/>
        <v>"C:\Program Files (x86)\AstroGrep\AstroGrep.exe" /spath="%USERPROFILE%\AppData\Local\Temp\OnboardLogs" /stypes="app*4032*20161005*" /stext=" 22:.+((SYSTEM_STATE.+slice.+state.+changed )|(ment ac)|(system.+state.+changed )|(\[timeout)|(PRM\|1\|D)|(kpr)|(kdp)|(\|lc)|(penalty))" /e /r /s</v>
      </c>
      <c r="AG188" s="1" t="str">
        <f t="shared" si="83"/>
        <v>NW</v>
      </c>
      <c r="AH188" s="96" t="str">
        <f t="shared" si="84"/>
        <v>"%USERPROFILE%\Documents\GitHub\eaglep3\Utilities\RefineRTDCRunTimes.py" --tripid 828-05 --locoid 4032 --swversion DE.1.0.7.0 --startMP 300:58609 --initTime 2016-10-05T16:08:51 --startdatetime 2016-10-05T16:11:12 --delay 1 --endMP 204:682 --enddatetime 2016-10-05T16:26:50 --enforcementcount 0 &gt;&gt;C:\Users\stu\Documents\GitHub\eaglep3-reporting\EC\2016-10-05-refined-times.txt</v>
      </c>
      <c r="AI188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{"issue":{"subject":"","project_id":79,"tracker_id":40,"status_id":1,"priority_id":2,"assigned_to_id":23,"start_date":"2016-10-05","description":"","custom_fields":[{"id":1,"name":"Subdivision","value":"NW"},{"id":4,"name":"Milepost","value":"0.0682"},{"id":17,"name":"Train ID","value":"828-05"},{"id":16,"name":"Locomotive ID","value":"4032"},{"id":130,"name":"Impact","value":""},{"id":150,"name":"Time of Event (Mountain Time)","value":"16:26:50"},{"id":151,"name":"Denver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415</v>
      </c>
      <c r="B189" s="7">
        <v>4020</v>
      </c>
      <c r="C189" s="24" t="s">
        <v>106</v>
      </c>
      <c r="D189" s="24" t="s">
        <v>738</v>
      </c>
      <c r="E189" s="15">
        <v>42648.678379629629</v>
      </c>
      <c r="F189" s="15">
        <v>42648.681539351855</v>
      </c>
      <c r="G189" s="7">
        <v>1</v>
      </c>
      <c r="H189" s="15" t="s">
        <v>739</v>
      </c>
      <c r="I189" s="15">
        <v>42648.691481481481</v>
      </c>
      <c r="J189" s="7">
        <v>0</v>
      </c>
      <c r="K189" s="117" t="str">
        <f t="shared" si="98"/>
        <v>4019/4020</v>
      </c>
      <c r="L189" s="24" t="str">
        <f>VLOOKUP(A189,'Trips&amp;Operators'!$C$1:$E$10000,3,FALSE)</f>
        <v>MOSES</v>
      </c>
      <c r="M189" s="6">
        <f t="shared" si="99"/>
        <v>9.9421296254149638E-3</v>
      </c>
      <c r="N189" s="7">
        <f t="shared" si="97"/>
        <v>14.316666660597548</v>
      </c>
      <c r="O189" s="7"/>
      <c r="P189" s="7"/>
      <c r="Q189" s="25"/>
      <c r="R189" s="25"/>
      <c r="S189" s="37">
        <f t="shared" ref="S189:S220" si="107">SUM(U189:U189)/IF(AG189="EC",12,1)</f>
        <v>1</v>
      </c>
      <c r="T189" s="52" t="str">
        <f t="shared" si="81"/>
        <v>NorthBound</v>
      </c>
      <c r="U189" s="159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15:16:52-0600',mode:absolute,to:'2016-10-05 17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89" s="54" t="str">
        <f t="shared" si="101"/>
        <v>N</v>
      </c>
      <c r="X189" s="164">
        <f t="shared" si="96"/>
        <v>1</v>
      </c>
      <c r="Y189" s="69">
        <f t="shared" si="102"/>
        <v>9.8599999999999993E-2</v>
      </c>
      <c r="Z189" s="69">
        <f t="shared" si="103"/>
        <v>5.8960999999999997</v>
      </c>
      <c r="AA189" s="69">
        <f t="shared" si="104"/>
        <v>5.7974999999999994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 t="shared" si="82"/>
        <v>0829-05</v>
      </c>
      <c r="AE189" s="95" t="str">
        <f t="shared" si="105"/>
        <v>aws s3 cp s3://rtdc.mdm.uploadarchive.raw/RTDC4020/ "%USERPROFILE%\AppData\Local\Temp\OnboardLogs"\RTDC4020\2016-10-05 --exclude "*" --recursive --include "*20161005*" &amp; "%USERPROFILE%\Documents\GitHub\mrs-test-scripts\Headless Mode &amp; Sideloading\WalkAndUnGZ.bat" "%USERPROFILE%\AppData\Local\Temp\OnboardLogs"\RTDC4020\2016-10-05 &amp; aws s3 cp s3://rtdc.mdm.uploadarchive.raw/RTDC4020/ "%USERPROFILE%\AppData\Local\Temp\OnboardLogs"\RTDC4020\2016-10-06 --exclude "*" --recursive --include "*20161006*" &amp; "%USERPROFILE%\Documents\GitHub\mrs-test-scripts\Headless Mode &amp; Sideloading\WalkAndUnGZ.bat" "%USERPROFILE%\AppData\Local\Temp\OnboardLogs"\RTDC4020\2016-10-06</v>
      </c>
      <c r="AF189" s="92" t="str">
        <f t="shared" si="106"/>
        <v>"C:\Program Files (x86)\AstroGrep\AstroGrep.exe" /spath="%USERPROFILE%\AppData\Local\Temp\OnboardLogs" /stypes="app*4020*20161005*" /stext=" 22:.+((SYSTEM_STATE.+slice.+state.+changed )|(ment ac)|(system.+state.+changed )|(\[timeout)|(PRM\|1\|D)|(kpr)|(kdp)|(\|lc)|(penalty))" /e /r /s</v>
      </c>
      <c r="AG189" s="1" t="str">
        <f t="shared" si="83"/>
        <v>NW</v>
      </c>
      <c r="AH189" s="96" t="str">
        <f t="shared" si="84"/>
        <v>"%USERPROFILE%\Documents\GitHub\eaglep3\Utilities\RefineRTDCRunTimes.py" --tripid 829-05 --locoid 4020 --swversion DE.1.0.7.0 --startMP 204:986 --initTime 2016-10-05T16:16:52 --startdatetime 2016-10-05T16:21:25 --delay 1 --endMP 300:58961 --enddatetime 2016-10-05T16:35:44 --enforcementcount 0 &gt;&gt;C:\Users\stu\Documents\GitHub\eaglep3-reporting\EC\2016-10-05-refined-times.txt</v>
      </c>
      <c r="AI189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{"issue":{"subject":"","project_id":79,"tracker_id":40,"status_id":1,"priority_id":2,"assigned_to_id":23,"start_date":"2016-10-05","description":"","custom_fields":[{"id":1,"name":"Subdivision","value":"NW"},{"id":4,"name":"Milepost","value":"5.8961"},{"id":17,"name":"Train ID","value":"829-05"},{"id":16,"name":"Locomotive ID","value":"4020"},{"id":130,"name":"Impact","value":""},{"id":150,"name":"Time of Event (Mountain Time)","value":"16:35:44"},{"id":151,"name":"Denver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542</v>
      </c>
      <c r="B190" s="7">
        <v>4019</v>
      </c>
      <c r="C190" s="24" t="s">
        <v>106</v>
      </c>
      <c r="D190" s="24" t="s">
        <v>713</v>
      </c>
      <c r="E190" s="15">
        <v>42648.693009259259</v>
      </c>
      <c r="F190" s="15">
        <v>42648.737442129626</v>
      </c>
      <c r="G190" s="7">
        <v>2</v>
      </c>
      <c r="H190" s="15" t="s">
        <v>714</v>
      </c>
      <c r="I190" s="15">
        <v>42648.747442129628</v>
      </c>
      <c r="J190" s="7">
        <v>0</v>
      </c>
      <c r="K190" s="117" t="str">
        <f t="shared" si="98"/>
        <v>4019/4020</v>
      </c>
      <c r="L190" s="24" t="str">
        <f>VLOOKUP(A190,'Trips&amp;Operators'!$C$1:$E$10000,3,FALSE)</f>
        <v>MOSES</v>
      </c>
      <c r="M190" s="6">
        <f t="shared" si="99"/>
        <v>1.0000000002037268E-2</v>
      </c>
      <c r="N190" s="7">
        <f t="shared" si="97"/>
        <v>14.400000002933666</v>
      </c>
      <c r="O190" s="7"/>
      <c r="P190" s="7"/>
      <c r="Q190" s="25"/>
      <c r="R190" s="25"/>
      <c r="S190" s="37">
        <f t="shared" si="107"/>
        <v>1</v>
      </c>
      <c r="T190" s="52" t="str">
        <f t="shared" si="81"/>
        <v>Southbound</v>
      </c>
      <c r="U190" s="159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15:37:56-0600',mode:absolute,to:'2016-10-05 18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90" s="54" t="str">
        <f t="shared" si="101"/>
        <v>N</v>
      </c>
      <c r="X190" s="164">
        <f t="shared" si="96"/>
        <v>1</v>
      </c>
      <c r="Y190" s="69">
        <f t="shared" si="102"/>
        <v>5.8638000000000003</v>
      </c>
      <c r="Z190" s="69">
        <f t="shared" si="103"/>
        <v>6.9099999999999995E-2</v>
      </c>
      <c r="AA190" s="69">
        <f t="shared" si="104"/>
        <v>5.7947000000000006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 t="shared" si="82"/>
        <v>0830-05</v>
      </c>
      <c r="AE190" s="95" t="str">
        <f t="shared" si="105"/>
        <v>aws s3 cp s3://rtdc.mdm.uploadarchive.raw/RTDC4019/ "%USERPROFILE%\AppData\Local\Temp\OnboardLogs"\RTDC4019\2016-10-05 --exclude "*" --recursive --include "*20161005*" &amp; "%USERPROFILE%\Documents\GitHub\mrs-test-scripts\Headless Mode &amp; Sideloading\WalkAndUnGZ.bat" "%USERPROFILE%\AppData\Local\Temp\OnboardLogs"\RTDC4019\2016-10-05 &amp; aws s3 cp s3://rtdc.mdm.uploadarchive.raw/RTDC4019/ "%USERPROFILE%\AppData\Local\Temp\OnboardLogs"\RTDC4019\2016-10-06 --exclude "*" --recursive --include "*20161006*" &amp; "%USERPROFILE%\Documents\GitHub\mrs-test-scripts\Headless Mode &amp; Sideloading\WalkAndUnGZ.bat" "%USERPROFILE%\AppData\Local\Temp\OnboardLogs"\RTDC4019\2016-10-06</v>
      </c>
      <c r="AF190" s="92" t="str">
        <f t="shared" si="106"/>
        <v>"C:\Program Files (x86)\AstroGrep\AstroGrep.exe" /spath="%USERPROFILE%\AppData\Local\Temp\OnboardLogs" /stypes="app*4019*20161005*" /stext=" 23:.+((SYSTEM_STATE.+slice.+state.+changed )|(ment ac)|(system.+state.+changed )|(\[timeout)|(PRM\|1\|D)|(kpr)|(kdp)|(\|lc)|(penalty))" /e /r /s</v>
      </c>
      <c r="AG190" s="1" t="str">
        <f t="shared" si="83"/>
        <v>NW</v>
      </c>
      <c r="AH190" s="96" t="str">
        <f t="shared" si="84"/>
        <v>"%USERPROFILE%\Documents\GitHub\eaglep3\Utilities\RefineRTDCRunTimes.py" --tripid 830-05 --locoid 4019 --swversion DE.1.0.7.0 --startMP 300:58638 --initTime 2016-10-05T16:37:56 --startdatetime 2016-10-05T17:41:55 --delay 2 --endMP 204:691 --enddatetime 2016-10-05T17:56:19 --enforcementcount 0 &gt;&gt;C:\Users\stu\Documents\GitHub\eaglep3-reporting\EC\2016-10-05-refined-times.txt</v>
      </c>
      <c r="AI190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{"issue":{"subject":"","project_id":79,"tracker_id":40,"status_id":1,"priority_id":2,"assigned_to_id":23,"start_date":"2016-10-05","description":"","custom_fields":[{"id":1,"name":"Subdivision","value":"NW"},{"id":4,"name":"Milepost","value":"0.0691"},{"id":17,"name":"Train ID","value":"830-05"},{"id":16,"name":"Locomotive ID","value":"4019"},{"id":130,"name":"Impact","value":""},{"id":150,"name":"Time of Event (Mountain Time)","value":"17:56:19"},{"id":151,"name":"Denver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s="23" customFormat="1" x14ac:dyDescent="0.25">
      <c r="A191" s="39" t="s">
        <v>543</v>
      </c>
      <c r="B191" s="7">
        <v>4031</v>
      </c>
      <c r="C191" s="24" t="s">
        <v>106</v>
      </c>
      <c r="D191" s="24" t="s">
        <v>740</v>
      </c>
      <c r="E191" s="15">
        <v>42648.695509259262</v>
      </c>
      <c r="F191" s="15">
        <v>42648.702314814815</v>
      </c>
      <c r="G191" s="7">
        <v>1</v>
      </c>
      <c r="H191" s="15" t="s">
        <v>741</v>
      </c>
      <c r="I191" s="15">
        <v>42648.712581018517</v>
      </c>
      <c r="J191" s="7">
        <v>0</v>
      </c>
      <c r="K191" s="117" t="str">
        <f t="shared" si="98"/>
        <v>4031/4032</v>
      </c>
      <c r="L191" s="24" t="str">
        <f>VLOOKUP(A191,'Trips&amp;Operators'!$C$1:$E$10000,3,FALSE)</f>
        <v>LEVERE</v>
      </c>
      <c r="M191" s="6">
        <f t="shared" si="99"/>
        <v>1.0266203702485655E-2</v>
      </c>
      <c r="N191" s="7">
        <f t="shared" si="97"/>
        <v>14.783333331579342</v>
      </c>
      <c r="O191" s="7"/>
      <c r="P191" s="7"/>
      <c r="Q191" s="25"/>
      <c r="R191" s="25"/>
      <c r="S191" s="37">
        <f t="shared" si="107"/>
        <v>1</v>
      </c>
      <c r="T191" s="52" t="str">
        <f t="shared" si="81"/>
        <v>NorthBound</v>
      </c>
      <c r="U191" s="159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15:41:32-0600',mode:absolute,to:'2016-10-05 18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1" s="54" t="str">
        <f t="shared" si="101"/>
        <v>N</v>
      </c>
      <c r="X191" s="164">
        <f t="shared" ref="X191:X222" si="108">VALUE(LEFT(AD191,4))-VALUE(LEFT(AD190,4))</f>
        <v>1</v>
      </c>
      <c r="Y191" s="69">
        <f t="shared" si="102"/>
        <v>9.64E-2</v>
      </c>
      <c r="Z191" s="69">
        <f t="shared" si="103"/>
        <v>5.8944000000000001</v>
      </c>
      <c r="AA191" s="69">
        <f t="shared" si="104"/>
        <v>5.798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 t="shared" si="82"/>
        <v>0831-05</v>
      </c>
      <c r="AE191" s="95" t="str">
        <f t="shared" si="105"/>
        <v>aws s3 cp s3://rtdc.mdm.uploadarchive.raw/RTDC4031/ "%USERPROFILE%\AppData\Local\Temp\OnboardLogs"\RTDC4031\2016-10-05 --exclude "*" --recursive --include "*20161005*" &amp; "%USERPROFILE%\Documents\GitHub\mrs-test-scripts\Headless Mode &amp; Sideloading\WalkAndUnGZ.bat" "%USERPROFILE%\AppData\Local\Temp\OnboardLogs"\RTDC4031\2016-10-05 &amp; aws s3 cp s3://rtdc.mdm.uploadarchive.raw/RTDC4031/ "%USERPROFILE%\AppData\Local\Temp\OnboardLogs"\RTDC4031\2016-10-06 --exclude "*" --recursive --include "*20161006*" &amp; "%USERPROFILE%\Documents\GitHub\mrs-test-scripts\Headless Mode &amp; Sideloading\WalkAndUnGZ.bat" "%USERPROFILE%\AppData\Local\Temp\OnboardLogs"\RTDC4031\2016-10-06</v>
      </c>
      <c r="AF191" s="92" t="str">
        <f t="shared" si="106"/>
        <v>"C:\Program Files (x86)\AstroGrep\AstroGrep.exe" /spath="%USERPROFILE%\AppData\Local\Temp\OnboardLogs" /stypes="app*4031*20161005*" /stext=" 23:.+((SYSTEM_STATE.+slice.+state.+changed )|(ment ac)|(system.+state.+changed )|(\[timeout)|(PRM\|1\|D)|(kpr)|(kdp)|(\|lc)|(penalty))" /e /r /s</v>
      </c>
      <c r="AG191" s="1" t="str">
        <f t="shared" si="83"/>
        <v>NW</v>
      </c>
      <c r="AH191" s="96" t="str">
        <f t="shared" si="84"/>
        <v>"%USERPROFILE%\Documents\GitHub\eaglep3\Utilities\RefineRTDCRunTimes.py" --tripid 831-05 --locoid 4031 --swversion DE.1.0.7.0 --startMP 204:964 --initTime 2016-10-05T16:41:32 --startdatetime 2016-10-05T16:51:20 --delay 1 --endMP 300:58944 --enddatetime 2016-10-05T17:06:07 --enforcementcount 0 &gt;&gt;C:\Users\stu\Documents\GitHub\eaglep3-reporting\EC\2016-10-05-refined-times.txt</v>
      </c>
      <c r="AI191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{"issue":{"subject":"","project_id":79,"tracker_id":40,"status_id":1,"priority_id":2,"assigned_to_id":23,"start_date":"2016-10-05","description":"","custom_fields":[{"id":1,"name":"Subdivision","value":"NW"},{"id":4,"name":"Milepost","value":"5.8944"},{"id":17,"name":"Train ID","value":"831-05"},{"id":16,"name":"Locomotive ID","value":"4031"},{"id":130,"name":"Impact","value":""},{"id":150,"name":"Time of Event (Mountain Time)","value":"17:06:07"},{"id":151,"name":"Denver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417</v>
      </c>
      <c r="B192" s="7">
        <v>4032</v>
      </c>
      <c r="C192" s="24" t="s">
        <v>106</v>
      </c>
      <c r="D192" s="24" t="s">
        <v>248</v>
      </c>
      <c r="E192" s="15">
        <v>42648.714108796295</v>
      </c>
      <c r="F192" s="15">
        <v>42648.715937499997</v>
      </c>
      <c r="G192" s="7">
        <v>1</v>
      </c>
      <c r="H192" s="15" t="s">
        <v>714</v>
      </c>
      <c r="I192" s="15">
        <v>42648.730185185188</v>
      </c>
      <c r="J192" s="7">
        <v>0</v>
      </c>
      <c r="K192" s="117" t="str">
        <f t="shared" si="98"/>
        <v>4031/4032</v>
      </c>
      <c r="L192" s="24" t="str">
        <f>VLOOKUP(A192,'Trips&amp;Operators'!$C$1:$E$10000,3,FALSE)</f>
        <v>LEVERE</v>
      </c>
      <c r="M192" s="6">
        <f t="shared" si="99"/>
        <v>1.4247685190639459E-2</v>
      </c>
      <c r="N192" s="7">
        <f t="shared" si="97"/>
        <v>20.51666667452082</v>
      </c>
      <c r="O192" s="7"/>
      <c r="P192" s="7"/>
      <c r="Q192" s="25"/>
      <c r="R192" s="25"/>
      <c r="S192" s="37">
        <f t="shared" si="107"/>
        <v>1</v>
      </c>
      <c r="T192" s="52" t="str">
        <f t="shared" si="81"/>
        <v>Southbound</v>
      </c>
      <c r="U192" s="159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16:08:19-0600',mode:absolute,to:'2016-10-05 18:31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2" s="54" t="str">
        <f t="shared" si="101"/>
        <v>N</v>
      </c>
      <c r="X192" s="164">
        <f t="shared" si="108"/>
        <v>1</v>
      </c>
      <c r="Y192" s="69">
        <f t="shared" si="102"/>
        <v>5.8616999999999999</v>
      </c>
      <c r="Z192" s="69">
        <f t="shared" si="103"/>
        <v>6.9099999999999995E-2</v>
      </c>
      <c r="AA192" s="69">
        <f t="shared" si="104"/>
        <v>5.7926000000000002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 t="shared" si="82"/>
        <v>0832-05</v>
      </c>
      <c r="AE192" s="95" t="str">
        <f t="shared" si="105"/>
        <v>aws s3 cp s3://rtdc.mdm.uploadarchive.raw/RTDC4032/ "%USERPROFILE%\AppData\Local\Temp\OnboardLogs"\RTDC4032\2016-10-05 --exclude "*" --recursive --include "*20161005*" &amp; "%USERPROFILE%\Documents\GitHub\mrs-test-scripts\Headless Mode &amp; Sideloading\WalkAndUnGZ.bat" "%USERPROFILE%\AppData\Local\Temp\OnboardLogs"\RTDC4032\2016-10-05 &amp; 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</v>
      </c>
      <c r="AF192" s="92" t="str">
        <f t="shared" si="106"/>
        <v>"C:\Program Files (x86)\AstroGrep\AstroGrep.exe" /spath="%USERPROFILE%\AppData\Local\Temp\OnboardLogs" /stypes="app*4032*20161005*" /stext=" 23:.+((SYSTEM_STATE.+slice.+state.+changed )|(ment ac)|(system.+state.+changed )|(\[timeout)|(PRM\|1\|D)|(kpr)|(kdp)|(\|lc)|(penalty))" /e /r /s</v>
      </c>
      <c r="AG192" s="1" t="str">
        <f t="shared" si="83"/>
        <v>NW</v>
      </c>
      <c r="AH192" s="96" t="str">
        <f t="shared" si="84"/>
        <v>"%USERPROFILE%\Documents\GitHub\eaglep3\Utilities\RefineRTDCRunTimes.py" --tripid 832-05 --locoid 4032 --swversion DE.1.0.7.0 --startMP 300:58617 --initTime 2016-10-05T17:08:19 --startdatetime 2016-10-05T17:10:57 --delay 1 --endMP 204:691 --enddatetime 2016-10-05T17:31:28 --enforcementcount 0 &gt;&gt;C:\Users\stu\Documents\GitHub\eaglep3-reporting\EC\2016-10-05-refined-times.txt</v>
      </c>
      <c r="AI192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{"issue":{"subject":"","project_id":79,"tracker_id":40,"status_id":1,"priority_id":2,"assigned_to_id":23,"start_date":"2016-10-05","description":"","custom_fields":[{"id":1,"name":"Subdivision","value":"NW"},{"id":4,"name":"Milepost","value":"0.0691"},{"id":17,"name":"Train ID","value":"832-05"},{"id":16,"name":"Locomotive ID","value":"4032"},{"id":130,"name":"Impact","value":""},{"id":150,"name":"Time of Event (Mountain Time)","value":"17:31:28"},{"id":151,"name":"Denver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s="23" customFormat="1" x14ac:dyDescent="0.25">
      <c r="A193" s="39" t="s">
        <v>550</v>
      </c>
      <c r="B193" s="7">
        <v>4020</v>
      </c>
      <c r="C193" s="24" t="s">
        <v>106</v>
      </c>
      <c r="D193" s="24" t="s">
        <v>742</v>
      </c>
      <c r="E193" s="15">
        <v>42648.717916666668</v>
      </c>
      <c r="F193" s="15">
        <v>42648.72314814815</v>
      </c>
      <c r="G193" s="7">
        <v>1</v>
      </c>
      <c r="H193" s="15" t="s">
        <v>718</v>
      </c>
      <c r="I193" s="15">
        <v>42648.73300925926</v>
      </c>
      <c r="J193" s="7">
        <v>0</v>
      </c>
      <c r="K193" s="117" t="str">
        <f t="shared" si="98"/>
        <v>4019/4020</v>
      </c>
      <c r="L193" s="24" t="str">
        <f>VLOOKUP(A193,'Trips&amp;Operators'!$C$1:$E$10000,3,FALSE)</f>
        <v>MOSES</v>
      </c>
      <c r="M193" s="6">
        <f t="shared" si="99"/>
        <v>9.8611111097852699E-3</v>
      </c>
      <c r="N193" s="7">
        <f t="shared" si="97"/>
        <v>14.199999998090789</v>
      </c>
      <c r="O193" s="7"/>
      <c r="P193" s="7"/>
      <c r="Q193" s="25"/>
      <c r="R193" s="25"/>
      <c r="S193" s="37">
        <f t="shared" si="107"/>
        <v>1</v>
      </c>
      <c r="T193" s="52" t="str">
        <f t="shared" si="81"/>
        <v>NorthBound</v>
      </c>
      <c r="U193" s="159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16:13:48-0600',mode:absolute,to:'2016-10-05 18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93" s="54" t="str">
        <f t="shared" si="101"/>
        <v>N</v>
      </c>
      <c r="X193" s="164">
        <f t="shared" si="108"/>
        <v>1</v>
      </c>
      <c r="Y193" s="69">
        <f t="shared" si="102"/>
        <v>9.8799999999999999E-2</v>
      </c>
      <c r="Z193" s="69">
        <f t="shared" si="103"/>
        <v>5.8979999999999997</v>
      </c>
      <c r="AA193" s="69">
        <f t="shared" si="104"/>
        <v>5.7991999999999999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 t="shared" si="82"/>
        <v>0833-05</v>
      </c>
      <c r="AE193" s="95" t="str">
        <f t="shared" si="105"/>
        <v>aws s3 cp s3://rtdc.mdm.uploadarchive.raw/RTDC4020/ "%USERPROFILE%\AppData\Local\Temp\OnboardLogs"\RTDC4020\2016-10-05 --exclude "*" --recursive --include "*20161005*" &amp; "%USERPROFILE%\Documents\GitHub\mrs-test-scripts\Headless Mode &amp; Sideloading\WalkAndUnGZ.bat" "%USERPROFILE%\AppData\Local\Temp\OnboardLogs"\RTDC4020\2016-10-05 &amp; aws s3 cp s3://rtdc.mdm.uploadarchive.raw/RTDC4020/ "%USERPROFILE%\AppData\Local\Temp\OnboardLogs"\RTDC4020\2016-10-06 --exclude "*" --recursive --include "*20161006*" &amp; "%USERPROFILE%\Documents\GitHub\mrs-test-scripts\Headless Mode &amp; Sideloading\WalkAndUnGZ.bat" "%USERPROFILE%\AppData\Local\Temp\OnboardLogs"\RTDC4020\2016-10-06</v>
      </c>
      <c r="AF193" s="92" t="str">
        <f t="shared" si="106"/>
        <v>"C:\Program Files (x86)\AstroGrep\AstroGrep.exe" /spath="%USERPROFILE%\AppData\Local\Temp\OnboardLogs" /stypes="app*4020*20161005*" /stext=" 23:.+((SYSTEM_STATE.+slice.+state.+changed )|(ment ac)|(system.+state.+changed )|(\[timeout)|(PRM\|1\|D)|(kpr)|(kdp)|(\|lc)|(penalty))" /e /r /s</v>
      </c>
      <c r="AG193" s="1" t="str">
        <f t="shared" si="83"/>
        <v>NW</v>
      </c>
      <c r="AH193" s="96" t="str">
        <f t="shared" si="84"/>
        <v>"%USERPROFILE%\Documents\GitHub\eaglep3\Utilities\RefineRTDCRunTimes.py" --tripid 833-05 --locoid 4020 --swversion DE.1.0.7.0 --startMP 204:988 --initTime 2016-10-05T17:13:48 --startdatetime 2016-10-05T17:21:20 --delay 1 --endMP 300:58980 --enddatetime 2016-10-05T17:35:32 --enforcementcount 0 &gt;&gt;C:\Users\stu\Documents\GitHub\eaglep3-reporting\EC\2016-10-05-refined-times.txt</v>
      </c>
      <c r="AI193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{"issue":{"subject":"","project_id":79,"tracker_id":40,"status_id":1,"priority_id":2,"assigned_to_id":23,"start_date":"2016-10-05","description":"","custom_fields":[{"id":1,"name":"Subdivision","value":"NW"},{"id":4,"name":"Milepost","value":"5.898"},{"id":17,"name":"Train ID","value":"833-05"},{"id":16,"name":"Locomotive ID","value":"4020"},{"id":130,"name":"Impact","value":""},{"id":150,"name":"Time of Event (Mountain Time)","value":"17:35:32"},{"id":151,"name":"Denver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s="23" customFormat="1" x14ac:dyDescent="0.25">
      <c r="A194" s="39" t="s">
        <v>553</v>
      </c>
      <c r="B194" s="7">
        <v>4019</v>
      </c>
      <c r="C194" s="24" t="s">
        <v>106</v>
      </c>
      <c r="D194" s="24" t="s">
        <v>743</v>
      </c>
      <c r="E194" s="15">
        <v>42648.735439814816</v>
      </c>
      <c r="F194" s="15">
        <v>42648.737442129626</v>
      </c>
      <c r="G194" s="7">
        <v>1</v>
      </c>
      <c r="H194" s="15" t="s">
        <v>714</v>
      </c>
      <c r="I194" s="15">
        <v>42648.747442129628</v>
      </c>
      <c r="J194" s="7">
        <v>0</v>
      </c>
      <c r="K194" s="117" t="str">
        <f t="shared" si="98"/>
        <v>4019/4020</v>
      </c>
      <c r="L194" s="24" t="str">
        <f>VLOOKUP(A194,'Trips&amp;Operators'!$C$1:$E$10000,3,FALSE)</f>
        <v>MOSES</v>
      </c>
      <c r="M194" s="6">
        <f t="shared" si="99"/>
        <v>1.0000000002037268E-2</v>
      </c>
      <c r="N194" s="7">
        <f t="shared" si="97"/>
        <v>14.400000002933666</v>
      </c>
      <c r="O194" s="7"/>
      <c r="P194" s="7"/>
      <c r="Q194" s="25"/>
      <c r="R194" s="25"/>
      <c r="S194" s="37">
        <f t="shared" si="107"/>
        <v>1</v>
      </c>
      <c r="T194" s="52" t="str">
        <f t="shared" si="81"/>
        <v>Southbound</v>
      </c>
      <c r="U194" s="159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16:39:02-0600',mode:absolute,to:'2016-10-05 18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94" s="54" t="str">
        <f t="shared" si="101"/>
        <v>N</v>
      </c>
      <c r="X194" s="164">
        <f t="shared" si="108"/>
        <v>1</v>
      </c>
      <c r="Y194" s="69">
        <f t="shared" si="102"/>
        <v>5.8674999999999997</v>
      </c>
      <c r="Z194" s="69">
        <f t="shared" si="103"/>
        <v>6.9099999999999995E-2</v>
      </c>
      <c r="AA194" s="69">
        <f t="shared" si="104"/>
        <v>5.7984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 t="shared" si="82"/>
        <v>0834-05</v>
      </c>
      <c r="AE194" s="95" t="str">
        <f t="shared" si="105"/>
        <v>aws s3 cp s3://rtdc.mdm.uploadarchive.raw/RTDC4019/ "%USERPROFILE%\AppData\Local\Temp\OnboardLogs"\RTDC4019\2016-10-05 --exclude "*" --recursive --include "*20161005*" &amp; "%USERPROFILE%\Documents\GitHub\mrs-test-scripts\Headless Mode &amp; Sideloading\WalkAndUnGZ.bat" "%USERPROFILE%\AppData\Local\Temp\OnboardLogs"\RTDC4019\2016-10-05 &amp; aws s3 cp s3://rtdc.mdm.uploadarchive.raw/RTDC4019/ "%USERPROFILE%\AppData\Local\Temp\OnboardLogs"\RTDC4019\2016-10-06 --exclude "*" --recursive --include "*20161006*" &amp; "%USERPROFILE%\Documents\GitHub\mrs-test-scripts\Headless Mode &amp; Sideloading\WalkAndUnGZ.bat" "%USERPROFILE%\AppData\Local\Temp\OnboardLogs"\RTDC4019\2016-10-06</v>
      </c>
      <c r="AF194" s="92" t="str">
        <f t="shared" si="106"/>
        <v>"C:\Program Files (x86)\AstroGrep\AstroGrep.exe" /spath="%USERPROFILE%\AppData\Local\Temp\OnboardLogs" /stypes="app*4019*20161005*" /stext=" 23:.+((SYSTEM_STATE.+slice.+state.+changed )|(ment ac)|(system.+state.+changed )|(\[timeout)|(PRM\|1\|D)|(kpr)|(kdp)|(\|lc)|(penalty))" /e /r /s</v>
      </c>
      <c r="AG194" s="1" t="str">
        <f t="shared" si="83"/>
        <v>NW</v>
      </c>
      <c r="AH194" s="96" t="str">
        <f t="shared" si="84"/>
        <v>"%USERPROFILE%\Documents\GitHub\eaglep3\Utilities\RefineRTDCRunTimes.py" --tripid 834-05 --locoid 4019 --swversion DE.1.0.7.0 --startMP 300:58675 --initTime 2016-10-05T17:39:02 --startdatetime 2016-10-05T17:41:55 --delay 1 --endMP 204:691 --enddatetime 2016-10-05T17:56:19 --enforcementcount 0 &gt;&gt;C:\Users\stu\Documents\GitHub\eaglep3-reporting\EC\2016-10-05-refined-times.txt</v>
      </c>
      <c r="AI194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{"issue":{"subject":"","project_id":79,"tracker_id":40,"status_id":1,"priority_id":2,"assigned_to_id":23,"start_date":"2016-10-05","description":"","custom_fields":[{"id":1,"name":"Subdivision","value":"NW"},{"id":4,"name":"Milepost","value":"0.0691"},{"id":17,"name":"Train ID","value":"834-05"},{"id":16,"name":"Locomotive ID","value":"4019"},{"id":130,"name":"Impact","value":""},{"id":150,"name":"Time of Event (Mountain Time)","value":"17:56:19"},{"id":151,"name":"Denver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555</v>
      </c>
      <c r="B195" s="7">
        <v>4031</v>
      </c>
      <c r="C195" s="24" t="s">
        <v>106</v>
      </c>
      <c r="D195" s="24" t="s">
        <v>364</v>
      </c>
      <c r="E195" s="15">
        <v>42648.736527777779</v>
      </c>
      <c r="F195" s="15">
        <v>42648.743946759256</v>
      </c>
      <c r="G195" s="7">
        <v>1</v>
      </c>
      <c r="H195" s="15" t="s">
        <v>744</v>
      </c>
      <c r="I195" s="15">
        <v>42648.753981481481</v>
      </c>
      <c r="J195" s="7">
        <v>0</v>
      </c>
      <c r="K195" s="117" t="str">
        <f t="shared" si="98"/>
        <v>4031/4032</v>
      </c>
      <c r="L195" s="24" t="str">
        <f>VLOOKUP(A195,'Trips&amp;Operators'!$C$1:$E$10000,3,FALSE)</f>
        <v>LEVERE</v>
      </c>
      <c r="M195" s="6">
        <f t="shared" si="99"/>
        <v>1.0034722225100268E-2</v>
      </c>
      <c r="N195" s="7">
        <f t="shared" si="97"/>
        <v>14.450000004144385</v>
      </c>
      <c r="O195" s="7"/>
      <c r="P195" s="7"/>
      <c r="Q195" s="25"/>
      <c r="R195" s="25"/>
      <c r="S195" s="37">
        <f t="shared" si="107"/>
        <v>1</v>
      </c>
      <c r="T195" s="52" t="str">
        <f t="shared" si="81"/>
        <v>NorthBound</v>
      </c>
      <c r="U195" s="159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16:40:36-0600',mode:absolute,to:'2016-10-05 19:05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5" s="54" t="str">
        <f t="shared" si="101"/>
        <v>N</v>
      </c>
      <c r="X195" s="164">
        <f t="shared" si="108"/>
        <v>1</v>
      </c>
      <c r="Y195" s="69">
        <f t="shared" si="102"/>
        <v>9.7199999999999995E-2</v>
      </c>
      <c r="Z195" s="69">
        <f t="shared" si="103"/>
        <v>5.8971</v>
      </c>
      <c r="AA195" s="69">
        <f t="shared" si="104"/>
        <v>5.7999000000000001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 t="shared" si="82"/>
        <v>0835-05</v>
      </c>
      <c r="AE195" s="95" t="str">
        <f t="shared" si="105"/>
        <v>aws s3 cp s3://rtdc.mdm.uploadarchive.raw/RTDC4031/ "%USERPROFILE%\AppData\Local\Temp\OnboardLogs"\RTDC4031\2016-10-05 --exclude "*" --recursive --include "*20161005*" &amp; "%USERPROFILE%\Documents\GitHub\mrs-test-scripts\Headless Mode &amp; Sideloading\WalkAndUnGZ.bat" "%USERPROFILE%\AppData\Local\Temp\OnboardLogs"\RTDC4031\2016-10-05 &amp; aws s3 cp s3://rtdc.mdm.uploadarchive.raw/RTDC4031/ "%USERPROFILE%\AppData\Local\Temp\OnboardLogs"\RTDC4031\2016-10-06 --exclude "*" --recursive --include "*20161006*" &amp; "%USERPROFILE%\Documents\GitHub\mrs-test-scripts\Headless Mode &amp; Sideloading\WalkAndUnGZ.bat" "%USERPROFILE%\AppData\Local\Temp\OnboardLogs"\RTDC4031\2016-10-06</v>
      </c>
      <c r="AF195" s="92" t="str">
        <f t="shared" si="106"/>
        <v>"C:\Program Files (x86)\AstroGrep\AstroGrep.exe" /spath="%USERPROFILE%\AppData\Local\Temp\OnboardLogs" /stypes="app*4031*20161006*" /stext=" 00:.+((SYSTEM_STATE.+slice.+state.+changed )|(ment ac)|(system.+state.+changed )|(\[timeout)|(PRM\|1\|D)|(kpr)|(kdp)|(\|lc)|(penalty))" /e /r /s</v>
      </c>
      <c r="AG195" s="1" t="str">
        <f t="shared" si="83"/>
        <v>NW</v>
      </c>
      <c r="AH195" s="96" t="str">
        <f t="shared" si="84"/>
        <v>"%USERPROFILE%\Documents\GitHub\eaglep3\Utilities\RefineRTDCRunTimes.py" --tripid 835-05 --locoid 4031 --swversion DE.1.0.7.0 --startMP 204:972 --initTime 2016-10-05T17:40:36 --startdatetime 2016-10-05T17:51:17 --delay 1 --endMP 300:58971 --enddatetime 2016-10-05T18:05:44 --enforcementcount 0 &gt;&gt;C:\Users\stu\Documents\GitHub\eaglep3-reporting\EC\2016-10-05-refined-times.txt</v>
      </c>
      <c r="AI195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{"issue":{"subject":"","project_id":79,"tracker_id":40,"status_id":1,"priority_id":2,"assigned_to_id":23,"start_date":"2016-10-05","description":"","custom_fields":[{"id":1,"name":"Subdivision","value":"NW"},{"id":4,"name":"Milepost","value":"5.8971"},{"id":17,"name":"Train ID","value":"835-05"},{"id":16,"name":"Locomotive ID","value":"4031"},{"id":130,"name":"Impact","value":""},{"id":150,"name":"Time of Event (Mountain Time)","value":"18:05:44"},{"id":151,"name":"Denver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s="23" customFormat="1" x14ac:dyDescent="0.25">
      <c r="A196" s="39" t="s">
        <v>561</v>
      </c>
      <c r="B196" s="7">
        <v>4032</v>
      </c>
      <c r="C196" s="24" t="s">
        <v>106</v>
      </c>
      <c r="D196" s="24" t="s">
        <v>745</v>
      </c>
      <c r="E196" s="15">
        <v>42648.75582175926</v>
      </c>
      <c r="F196" s="15">
        <v>42648.757951388892</v>
      </c>
      <c r="G196" s="7">
        <v>1</v>
      </c>
      <c r="H196" s="15" t="s">
        <v>746</v>
      </c>
      <c r="I196" s="15">
        <v>42648.768622685187</v>
      </c>
      <c r="J196" s="7">
        <v>0</v>
      </c>
      <c r="K196" s="117" t="str">
        <f t="shared" si="98"/>
        <v>4031/4032</v>
      </c>
      <c r="L196" s="24" t="str">
        <f>VLOOKUP(A196,'Trips&amp;Operators'!$C$1:$E$10000,3,FALSE)</f>
        <v>LEVERE</v>
      </c>
      <c r="M196" s="6">
        <f t="shared" si="99"/>
        <v>1.0671296295186039E-2</v>
      </c>
      <c r="N196" s="7">
        <f t="shared" si="97"/>
        <v>15.366666665067896</v>
      </c>
      <c r="O196" s="7"/>
      <c r="P196" s="7"/>
      <c r="Q196" s="25"/>
      <c r="R196" s="25"/>
      <c r="S196" s="37">
        <f t="shared" si="107"/>
        <v>1</v>
      </c>
      <c r="T196" s="52" t="str">
        <f t="shared" si="81"/>
        <v>Southbound</v>
      </c>
      <c r="U196" s="159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17:08:23-0600',mode:absolute,to:'2016-10-05 19:26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6" s="54" t="str">
        <f t="shared" si="101"/>
        <v>N</v>
      </c>
      <c r="X196" s="164">
        <f t="shared" si="108"/>
        <v>1</v>
      </c>
      <c r="Y196" s="69">
        <f t="shared" si="102"/>
        <v>5.8644999999999996</v>
      </c>
      <c r="Z196" s="69">
        <f t="shared" si="103"/>
        <v>6.7500000000000004E-2</v>
      </c>
      <c r="AA196" s="69">
        <f t="shared" si="104"/>
        <v>5.7969999999999997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 t="shared" si="82"/>
        <v>0836-05</v>
      </c>
      <c r="AE196" s="95" t="str">
        <f t="shared" si="105"/>
        <v>aws s3 cp s3://rtdc.mdm.uploadarchive.raw/RTDC4032/ "%USERPROFILE%\AppData\Local\Temp\OnboardLogs"\RTDC4032\2016-10-05 --exclude "*" --recursive --include "*20161005*" &amp; "%USERPROFILE%\Documents\GitHub\mrs-test-scripts\Headless Mode &amp; Sideloading\WalkAndUnGZ.bat" "%USERPROFILE%\AppData\Local\Temp\OnboardLogs"\RTDC4032\2016-10-05 &amp; 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</v>
      </c>
      <c r="AF196" s="92" t="str">
        <f t="shared" si="106"/>
        <v>"C:\Program Files (x86)\AstroGrep\AstroGrep.exe" /spath="%USERPROFILE%\AppData\Local\Temp\OnboardLogs" /stypes="app*4032*20161006*" /stext=" 00:.+((SYSTEM_STATE.+slice.+state.+changed )|(ment ac)|(system.+state.+changed )|(\[timeout)|(PRM\|1\|D)|(kpr)|(kdp)|(\|lc)|(penalty))" /e /r /s</v>
      </c>
      <c r="AG196" s="1" t="str">
        <f t="shared" si="83"/>
        <v>NW</v>
      </c>
      <c r="AH196" s="96" t="str">
        <f t="shared" si="84"/>
        <v>"%USERPROFILE%\Documents\GitHub\eaglep3\Utilities\RefineRTDCRunTimes.py" --tripid 836-05 --locoid 4032 --swversion DE.1.0.7.0 --startMP 300:58645 --initTime 2016-10-05T18:08:23 --startdatetime 2016-10-05T18:11:27 --delay 1 --endMP 204:675 --enddatetime 2016-10-05T18:26:49 --enforcementcount 0 &gt;&gt;C:\Users\stu\Documents\GitHub\eaglep3-reporting\EC\2016-10-05-refined-times.txt</v>
      </c>
      <c r="AI196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{"issue":{"subject":"","project_id":79,"tracker_id":40,"status_id":1,"priority_id":2,"assigned_to_id":23,"start_date":"2016-10-05","description":"","custom_fields":[{"id":1,"name":"Subdivision","value":"NW"},{"id":4,"name":"Milepost","value":"0.0675"},{"id":17,"name":"Train ID","value":"836-05"},{"id":16,"name":"Locomotive ID","value":"4032"},{"id":130,"name":"Impact","value":""},{"id":150,"name":"Time of Event (Mountain Time)","value":"18:26:49"},{"id":151,"name":"Denver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s="23" customFormat="1" x14ac:dyDescent="0.25">
      <c r="A197" s="39" t="s">
        <v>420</v>
      </c>
      <c r="B197" s="7">
        <v>4020</v>
      </c>
      <c r="C197" s="24" t="s">
        <v>106</v>
      </c>
      <c r="D197" s="24" t="s">
        <v>733</v>
      </c>
      <c r="E197" s="15">
        <v>42648.761932870373</v>
      </c>
      <c r="F197" s="15">
        <v>42648.764780092592</v>
      </c>
      <c r="G197" s="7">
        <v>1</v>
      </c>
      <c r="H197" s="15" t="s">
        <v>747</v>
      </c>
      <c r="I197" s="15">
        <v>42648.774259259262</v>
      </c>
      <c r="J197" s="7">
        <v>0</v>
      </c>
      <c r="K197" s="117" t="str">
        <f t="shared" si="98"/>
        <v>4019/4020</v>
      </c>
      <c r="L197" s="24" t="str">
        <f>VLOOKUP(A197,'Trips&amp;Operators'!$C$1:$E$10000,3,FALSE)</f>
        <v>MOSES</v>
      </c>
      <c r="M197" s="6">
        <f t="shared" si="99"/>
        <v>9.4791666706441902E-3</v>
      </c>
      <c r="N197" s="7">
        <f t="shared" si="97"/>
        <v>13.650000005727634</v>
      </c>
      <c r="O197" s="7"/>
      <c r="P197" s="7"/>
      <c r="Q197" s="25"/>
      <c r="R197" s="25"/>
      <c r="S197" s="37">
        <f t="shared" si="107"/>
        <v>1</v>
      </c>
      <c r="T197" s="52" t="str">
        <f t="shared" si="81"/>
        <v>NorthBound</v>
      </c>
      <c r="U197" s="159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17:17:11-0600',mode:absolute,to:'2016-10-05 19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97" s="54" t="str">
        <f t="shared" si="101"/>
        <v>N</v>
      </c>
      <c r="X197" s="164">
        <f t="shared" si="108"/>
        <v>1</v>
      </c>
      <c r="Y197" s="69">
        <f t="shared" si="102"/>
        <v>9.5799999999999996E-2</v>
      </c>
      <c r="Z197" s="69">
        <f t="shared" si="103"/>
        <v>5.8952</v>
      </c>
      <c r="AA197" s="69">
        <f t="shared" si="104"/>
        <v>5.7994000000000003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 t="shared" si="82"/>
        <v>0837-05</v>
      </c>
      <c r="AE197" s="95" t="str">
        <f t="shared" si="105"/>
        <v>aws s3 cp s3://rtdc.mdm.uploadarchive.raw/RTDC4020/ "%USERPROFILE%\AppData\Local\Temp\OnboardLogs"\RTDC4020\2016-10-05 --exclude "*" --recursive --include "*20161005*" &amp; "%USERPROFILE%\Documents\GitHub\mrs-test-scripts\Headless Mode &amp; Sideloading\WalkAndUnGZ.bat" "%USERPROFILE%\AppData\Local\Temp\OnboardLogs"\RTDC4020\2016-10-05 &amp; aws s3 cp s3://rtdc.mdm.uploadarchive.raw/RTDC4020/ "%USERPROFILE%\AppData\Local\Temp\OnboardLogs"\RTDC4020\2016-10-06 --exclude "*" --recursive --include "*20161006*" &amp; "%USERPROFILE%\Documents\GitHub\mrs-test-scripts\Headless Mode &amp; Sideloading\WalkAndUnGZ.bat" "%USERPROFILE%\AppData\Local\Temp\OnboardLogs"\RTDC4020\2016-10-06</v>
      </c>
      <c r="AF197" s="92" t="str">
        <f t="shared" si="106"/>
        <v>"C:\Program Files (x86)\AstroGrep\AstroGrep.exe" /spath="%USERPROFILE%\AppData\Local\Temp\OnboardLogs" /stypes="app*4020*20161006*" /stext=" 00:.+((SYSTEM_STATE.+slice.+state.+changed )|(ment ac)|(system.+state.+changed )|(\[timeout)|(PRM\|1\|D)|(kpr)|(kdp)|(\|lc)|(penalty))" /e /r /s</v>
      </c>
      <c r="AG197" s="1" t="str">
        <f t="shared" si="83"/>
        <v>NW</v>
      </c>
      <c r="AH197" s="96" t="str">
        <f t="shared" si="84"/>
        <v>"%USERPROFILE%\Documents\GitHub\eaglep3\Utilities\RefineRTDCRunTimes.py" --tripid 837-05 --locoid 4020 --swversion DE.1.0.7.0 --startMP 204:958 --initTime 2016-10-05T18:17:11 --startdatetime 2016-10-05T18:21:17 --delay 1 --endMP 300:58952 --enddatetime 2016-10-05T18:34:56 --enforcementcount 0 &gt;&gt;C:\Users\stu\Documents\GitHub\eaglep3-reporting\EC\2016-10-05-refined-times.txt</v>
      </c>
      <c r="AI197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{"issue":{"subject":"","project_id":79,"tracker_id":40,"status_id":1,"priority_id":2,"assigned_to_id":23,"start_date":"2016-10-05","description":"","custom_fields":[{"id":1,"name":"Subdivision","value":"NW"},{"id":4,"name":"Milepost","value":"5.8952"},{"id":17,"name":"Train ID","value":"837-05"},{"id":16,"name":"Locomotive ID","value":"4020"},{"id":130,"name":"Impact","value":""},{"id":150,"name":"Time of Event (Mountain Time)","value":"18:34:56"},{"id":151,"name":"Denver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s="23" customFormat="1" x14ac:dyDescent="0.25">
      <c r="A198" s="39" t="s">
        <v>565</v>
      </c>
      <c r="B198" s="7">
        <v>4019</v>
      </c>
      <c r="C198" s="24" t="s">
        <v>106</v>
      </c>
      <c r="D198" s="24" t="s">
        <v>748</v>
      </c>
      <c r="E198" s="15">
        <v>42648.77553240741</v>
      </c>
      <c r="F198" s="15">
        <v>42648.777951388889</v>
      </c>
      <c r="G198" s="7">
        <v>1</v>
      </c>
      <c r="H198" s="15" t="s">
        <v>737</v>
      </c>
      <c r="I198" s="15">
        <v>42648.789872685185</v>
      </c>
      <c r="J198" s="7">
        <v>0</v>
      </c>
      <c r="K198" s="117" t="str">
        <f t="shared" si="98"/>
        <v>4019/4020</v>
      </c>
      <c r="L198" s="24" t="str">
        <f>VLOOKUP(A198,'Trips&amp;Operators'!$C$1:$E$10000,3,FALSE)</f>
        <v>MOSES</v>
      </c>
      <c r="M198" s="6">
        <f t="shared" si="99"/>
        <v>1.1921296296350192E-2</v>
      </c>
      <c r="N198" s="7">
        <f t="shared" si="97"/>
        <v>17.166666666744277</v>
      </c>
      <c r="O198" s="7"/>
      <c r="P198" s="7"/>
      <c r="Q198" s="25"/>
      <c r="R198" s="25"/>
      <c r="S198" s="37">
        <f t="shared" si="107"/>
        <v>1</v>
      </c>
      <c r="T198" s="52" t="str">
        <f t="shared" si="81"/>
        <v>Southbound</v>
      </c>
      <c r="U198" s="159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17:36:46-0600',mode:absolute,to:'2016-10-05 19:57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98" s="54" t="str">
        <f t="shared" si="101"/>
        <v>N</v>
      </c>
      <c r="X198" s="164">
        <f t="shared" si="108"/>
        <v>1</v>
      </c>
      <c r="Y198" s="69">
        <f t="shared" si="102"/>
        <v>5.8634000000000004</v>
      </c>
      <c r="Z198" s="69">
        <f t="shared" si="103"/>
        <v>6.8199999999999997E-2</v>
      </c>
      <c r="AA198" s="69">
        <f t="shared" si="104"/>
        <v>5.7952000000000004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 t="shared" si="82"/>
        <v>0838-05</v>
      </c>
      <c r="AE198" s="95" t="str">
        <f t="shared" si="105"/>
        <v>aws s3 cp s3://rtdc.mdm.uploadarchive.raw/RTDC4019/ "%USERPROFILE%\AppData\Local\Temp\OnboardLogs"\RTDC4019\2016-10-05 --exclude "*" --recursive --include "*20161005*" &amp; "%USERPROFILE%\Documents\GitHub\mrs-test-scripts\Headless Mode &amp; Sideloading\WalkAndUnGZ.bat" "%USERPROFILE%\AppData\Local\Temp\OnboardLogs"\RTDC4019\2016-10-05 &amp; aws s3 cp s3://rtdc.mdm.uploadarchive.raw/RTDC4019/ "%USERPROFILE%\AppData\Local\Temp\OnboardLogs"\RTDC4019\2016-10-06 --exclude "*" --recursive --include "*20161006*" &amp; "%USERPROFILE%\Documents\GitHub\mrs-test-scripts\Headless Mode &amp; Sideloading\WalkAndUnGZ.bat" "%USERPROFILE%\AppData\Local\Temp\OnboardLogs"\RTDC4019\2016-10-06</v>
      </c>
      <c r="AF198" s="92" t="str">
        <f t="shared" si="106"/>
        <v>"C:\Program Files (x86)\AstroGrep\AstroGrep.exe" /spath="%USERPROFILE%\AppData\Local\Temp\OnboardLogs" /stypes="app*4019*20161006*" /stext=" 00:.+((SYSTEM_STATE.+slice.+state.+changed )|(ment ac)|(system.+state.+changed )|(\[timeout)|(PRM\|1\|D)|(kpr)|(kdp)|(\|lc)|(penalty))" /e /r /s</v>
      </c>
      <c r="AG198" s="1" t="str">
        <f t="shared" si="83"/>
        <v>NW</v>
      </c>
      <c r="AH198" s="96" t="str">
        <f t="shared" si="84"/>
        <v>"%USERPROFILE%\Documents\GitHub\eaglep3\Utilities\RefineRTDCRunTimes.py" --tripid 838-05 --locoid 4019 --swversion DE.1.0.7.0 --startMP 300:58634 --initTime 2016-10-05T18:36:46 --startdatetime 2016-10-05T18:40:15 --delay 1 --endMP 204:682 --enddatetime 2016-10-05T18:57:25 --enforcementcount 0 &gt;&gt;C:\Users\stu\Documents\GitHub\eaglep3-reporting\EC\2016-10-05-refined-times.txt</v>
      </c>
      <c r="AI198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{"issue":{"subject":"","project_id":79,"tracker_id":40,"status_id":1,"priority_id":2,"assigned_to_id":23,"start_date":"2016-10-05","description":"","custom_fields":[{"id":1,"name":"Subdivision","value":"NW"},{"id":4,"name":"Milepost","value":"0.0682"},{"id":17,"name":"Train ID","value":"838-05"},{"id":16,"name":"Locomotive ID","value":"4019"},{"id":130,"name":"Impact","value":""},{"id":150,"name":"Time of Event (Mountain Time)","value":"18:57:25"},{"id":151,"name":"Denver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s="23" customFormat="1" x14ac:dyDescent="0.25">
      <c r="A199" s="39" t="s">
        <v>568</v>
      </c>
      <c r="B199" s="7">
        <v>4031</v>
      </c>
      <c r="C199" s="24" t="s">
        <v>106</v>
      </c>
      <c r="D199" s="24" t="s">
        <v>749</v>
      </c>
      <c r="E199" s="15">
        <v>42648.78052083333</v>
      </c>
      <c r="F199" s="15">
        <v>42648.785740740743</v>
      </c>
      <c r="G199" s="7">
        <v>1</v>
      </c>
      <c r="H199" s="15" t="s">
        <v>750</v>
      </c>
      <c r="I199" s="15">
        <v>42648.796041666668</v>
      </c>
      <c r="J199" s="7">
        <v>0</v>
      </c>
      <c r="K199" s="117" t="str">
        <f t="shared" si="98"/>
        <v>4031/4032</v>
      </c>
      <c r="L199" s="24" t="str">
        <f>VLOOKUP(A199,'Trips&amp;Operators'!$C$1:$E$10000,3,FALSE)</f>
        <v>LEVERE</v>
      </c>
      <c r="M199" s="6">
        <f t="shared" si="99"/>
        <v>1.0300925925548654E-2</v>
      </c>
      <c r="N199" s="7">
        <f t="shared" ref="N199:N230" si="109">24*60*SUM($M199:$M199)</f>
        <v>14.833333332790062</v>
      </c>
      <c r="O199" s="7"/>
      <c r="P199" s="7"/>
      <c r="Q199" s="25"/>
      <c r="R199" s="25"/>
      <c r="S199" s="37">
        <f t="shared" si="107"/>
        <v>1</v>
      </c>
      <c r="T199" s="52" t="str">
        <f t="shared" si="81"/>
        <v>NorthBound</v>
      </c>
      <c r="U199" s="159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17:43:57-0600',mode:absolute,to:'2016-10-05 20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9" s="54" t="str">
        <f t="shared" si="101"/>
        <v>N</v>
      </c>
      <c r="X199" s="164">
        <f t="shared" si="108"/>
        <v>1</v>
      </c>
      <c r="Y199" s="69">
        <f t="shared" si="102"/>
        <v>9.5500000000000002E-2</v>
      </c>
      <c r="Z199" s="69">
        <f t="shared" si="103"/>
        <v>5.8940999999999999</v>
      </c>
      <c r="AA199" s="69">
        <f t="shared" si="104"/>
        <v>5.7985999999999995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 t="shared" si="82"/>
        <v>0839-05</v>
      </c>
      <c r="AE199" s="95" t="str">
        <f t="shared" si="105"/>
        <v>aws s3 cp s3://rtdc.mdm.uploadarchive.raw/RTDC4031/ "%USERPROFILE%\AppData\Local\Temp\OnboardLogs"\RTDC4031\2016-10-05 --exclude "*" --recursive --include "*20161005*" &amp; "%USERPROFILE%\Documents\GitHub\mrs-test-scripts\Headless Mode &amp; Sideloading\WalkAndUnGZ.bat" "%USERPROFILE%\AppData\Local\Temp\OnboardLogs"\RTDC4031\2016-10-05 &amp; aws s3 cp s3://rtdc.mdm.uploadarchive.raw/RTDC4031/ "%USERPROFILE%\AppData\Local\Temp\OnboardLogs"\RTDC4031\2016-10-06 --exclude "*" --recursive --include "*20161006*" &amp; "%USERPROFILE%\Documents\GitHub\mrs-test-scripts\Headless Mode &amp; Sideloading\WalkAndUnGZ.bat" "%USERPROFILE%\AppData\Local\Temp\OnboardLogs"\RTDC4031\2016-10-06</v>
      </c>
      <c r="AF199" s="92" t="str">
        <f t="shared" si="106"/>
        <v>"C:\Program Files (x86)\AstroGrep\AstroGrep.exe" /spath="%USERPROFILE%\AppData\Local\Temp\OnboardLogs" /stypes="app*4031*20161006*" /stext=" 01:.+((SYSTEM_STATE.+slice.+state.+changed )|(ment ac)|(system.+state.+changed )|(\[timeout)|(PRM\|1\|D)|(kpr)|(kdp)|(\|lc)|(penalty))" /e /r /s</v>
      </c>
      <c r="AG199" s="1" t="str">
        <f t="shared" si="83"/>
        <v>NW</v>
      </c>
      <c r="AH199" s="96" t="str">
        <f t="shared" si="84"/>
        <v>"%USERPROFILE%\Documents\GitHub\eaglep3\Utilities\RefineRTDCRunTimes.py" --tripid 839-05 --locoid 4031 --swversion DE.1.0.7.0 --startMP 204:955 --initTime 2016-10-05T18:43:57 --startdatetime 2016-10-05T18:51:28 --delay 1 --endMP 300:58941 --enddatetime 2016-10-05T19:06:18 --enforcementcount 0 &gt;&gt;C:\Users\stu\Documents\GitHub\eaglep3-reporting\EC\2016-10-05-refined-times.txt</v>
      </c>
      <c r="AI199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{"issue":{"subject":"","project_id":79,"tracker_id":40,"status_id":1,"priority_id":2,"assigned_to_id":23,"start_date":"2016-10-05","description":"","custom_fields":[{"id":1,"name":"Subdivision","value":"NW"},{"id":4,"name":"Milepost","value":"5.8941"},{"id":17,"name":"Train ID","value":"839-05"},{"id":16,"name":"Locomotive ID","value":"4031"},{"id":130,"name":"Impact","value":""},{"id":150,"name":"Time of Event (Mountain Time)","value":"19:06:18"},{"id":151,"name":"Denver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s="23" customFormat="1" x14ac:dyDescent="0.25">
      <c r="A200" s="39" t="s">
        <v>576</v>
      </c>
      <c r="B200" s="7">
        <v>4019</v>
      </c>
      <c r="C200" s="24" t="s">
        <v>106</v>
      </c>
      <c r="D200" s="24" t="s">
        <v>751</v>
      </c>
      <c r="E200" s="15">
        <v>42648.817870370367</v>
      </c>
      <c r="F200" s="15">
        <v>42648.819710648146</v>
      </c>
      <c r="G200" s="7">
        <v>1</v>
      </c>
      <c r="H200" s="15" t="s">
        <v>721</v>
      </c>
      <c r="I200" s="15">
        <v>42648.830925925926</v>
      </c>
      <c r="J200" s="7">
        <v>0</v>
      </c>
      <c r="K200" s="117" t="str">
        <f t="shared" si="98"/>
        <v>4019/4020</v>
      </c>
      <c r="L200" s="24" t="str">
        <f>VLOOKUP(A200,'Trips&amp;Operators'!$C$1:$E$10000,3,FALSE)</f>
        <v>MOSES</v>
      </c>
      <c r="M200" s="6">
        <f t="shared" si="99"/>
        <v>1.1215277780138422E-2</v>
      </c>
      <c r="N200" s="7">
        <f t="shared" si="109"/>
        <v>16.150000003399327</v>
      </c>
      <c r="O200" s="7"/>
      <c r="P200" s="7"/>
      <c r="Q200" s="25"/>
      <c r="R200" s="25"/>
      <c r="S200" s="37">
        <f t="shared" si="107"/>
        <v>1</v>
      </c>
      <c r="T200" s="52" t="str">
        <f t="shared" si="81"/>
        <v>Southbound</v>
      </c>
      <c r="U200" s="159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18:37:44-0600',mode:absolute,to:'2016-10-05 20:56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00" s="54" t="str">
        <f t="shared" si="101"/>
        <v>N</v>
      </c>
      <c r="X200" s="164">
        <f t="shared" si="108"/>
        <v>1</v>
      </c>
      <c r="Y200" s="69">
        <f t="shared" si="102"/>
        <v>5.8667999999999996</v>
      </c>
      <c r="Z200" s="69">
        <f t="shared" si="103"/>
        <v>6.8900000000000003E-2</v>
      </c>
      <c r="AA200" s="69">
        <f t="shared" si="104"/>
        <v>5.7978999999999994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 t="shared" si="82"/>
        <v>0840-05</v>
      </c>
      <c r="AE200" s="95" t="str">
        <f t="shared" si="105"/>
        <v>aws s3 cp s3://rtdc.mdm.uploadarchive.raw/RTDC4019/ "%USERPROFILE%\AppData\Local\Temp\OnboardLogs"\RTDC4019\2016-10-05 --exclude "*" --recursive --include "*20161005*" &amp; "%USERPROFILE%\Documents\GitHub\mrs-test-scripts\Headless Mode &amp; Sideloading\WalkAndUnGZ.bat" "%USERPROFILE%\AppData\Local\Temp\OnboardLogs"\RTDC4019\2016-10-05 &amp; aws s3 cp s3://rtdc.mdm.uploadarchive.raw/RTDC4019/ "%USERPROFILE%\AppData\Local\Temp\OnboardLogs"\RTDC4019\2016-10-06 --exclude "*" --recursive --include "*20161006*" &amp; "%USERPROFILE%\Documents\GitHub\mrs-test-scripts\Headless Mode &amp; Sideloading\WalkAndUnGZ.bat" "%USERPROFILE%\AppData\Local\Temp\OnboardLogs"\RTDC4019\2016-10-06</v>
      </c>
      <c r="AF200" s="92" t="str">
        <f t="shared" si="106"/>
        <v>"C:\Program Files (x86)\AstroGrep\AstroGrep.exe" /spath="%USERPROFILE%\AppData\Local\Temp\OnboardLogs" /stypes="app*4019*20161006*" /stext=" 01:.+((SYSTEM_STATE.+slice.+state.+changed )|(ment ac)|(system.+state.+changed )|(\[timeout)|(PRM\|1\|D)|(kpr)|(kdp)|(\|lc)|(penalty))" /e /r /s</v>
      </c>
      <c r="AG200" s="1" t="str">
        <f t="shared" si="83"/>
        <v>NW</v>
      </c>
      <c r="AH200" s="96" t="str">
        <f t="shared" si="84"/>
        <v>"%USERPROFILE%\Documents\GitHub\eaglep3\Utilities\RefineRTDCRunTimes.py" --tripid 840-05 --locoid 4019 --swversion DE.1.0.7.0 --startMP 300:58668 --initTime 2016-10-05T19:37:44 --startdatetime 2016-10-05T19:40:23 --delay 1 --endMP 204:689 --enddatetime 2016-10-05T19:56:32 --enforcementcount 0 &gt;&gt;C:\Users\stu\Documents\GitHub\eaglep3-reporting\EC\2016-10-05-refined-times.txt</v>
      </c>
      <c r="AI200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{"issue":{"subject":"","project_id":79,"tracker_id":40,"status_id":1,"priority_id":2,"assigned_to_id":23,"start_date":"2016-10-05","description":"","custom_fields":[{"id":1,"name":"Subdivision","value":"NW"},{"id":4,"name":"Milepost","value":"0.0689"},{"id":17,"name":"Train ID","value":"840-05"},{"id":16,"name":"Locomotive ID","value":"4019"},{"id":130,"name":"Impact","value":""},{"id":150,"name":"Time of Event (Mountain Time)","value":"19:56:32"},{"id":151,"name":"Denver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573</v>
      </c>
      <c r="B201" s="7">
        <v>4020</v>
      </c>
      <c r="C201" s="24" t="s">
        <v>106</v>
      </c>
      <c r="D201" s="24" t="s">
        <v>717</v>
      </c>
      <c r="E201" s="15">
        <v>42648.802291666667</v>
      </c>
      <c r="F201" s="15">
        <v>42648.806469907409</v>
      </c>
      <c r="G201" s="7">
        <v>1</v>
      </c>
      <c r="H201" s="15" t="s">
        <v>722</v>
      </c>
      <c r="I201" s="15">
        <v>42648.816493055558</v>
      </c>
      <c r="J201" s="7">
        <v>0</v>
      </c>
      <c r="K201" s="117" t="str">
        <f t="shared" si="98"/>
        <v>4019/4020</v>
      </c>
      <c r="L201" s="24" t="str">
        <f>VLOOKUP(A201,'Trips&amp;Operators'!$C$1:$E$10000,3,FALSE)</f>
        <v>MOSES</v>
      </c>
      <c r="M201" s="6">
        <f t="shared" si="99"/>
        <v>1.0023148148320615E-2</v>
      </c>
      <c r="N201" s="7">
        <f t="shared" si="109"/>
        <v>14.433333333581686</v>
      </c>
      <c r="O201" s="7"/>
      <c r="P201" s="7"/>
      <c r="Q201" s="25"/>
      <c r="R201" s="25"/>
      <c r="S201" s="37">
        <f t="shared" si="107"/>
        <v>1</v>
      </c>
      <c r="T201" s="52" t="str">
        <f t="shared" si="81"/>
        <v>NorthBound</v>
      </c>
      <c r="U201" s="159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18:15:18-0600',mode:absolute,to:'2016-10-05 20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01" s="54" t="str">
        <f t="shared" si="101"/>
        <v>N</v>
      </c>
      <c r="X201" s="164">
        <f t="shared" si="108"/>
        <v>1</v>
      </c>
      <c r="Y201" s="69">
        <f t="shared" si="102"/>
        <v>9.6500000000000002E-2</v>
      </c>
      <c r="Z201" s="69">
        <f t="shared" si="103"/>
        <v>5.8982000000000001</v>
      </c>
      <c r="AA201" s="69">
        <f t="shared" si="104"/>
        <v>5.8017000000000003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 t="shared" si="82"/>
        <v>0841-05</v>
      </c>
      <c r="AE201" s="95" t="str">
        <f t="shared" si="105"/>
        <v>aws s3 cp s3://rtdc.mdm.uploadarchive.raw/RTDC4020/ "%USERPROFILE%\AppData\Local\Temp\OnboardLogs"\RTDC4020\2016-10-05 --exclude "*" --recursive --include "*20161005*" &amp; "%USERPROFILE%\Documents\GitHub\mrs-test-scripts\Headless Mode &amp; Sideloading\WalkAndUnGZ.bat" "%USERPROFILE%\AppData\Local\Temp\OnboardLogs"\RTDC4020\2016-10-05 &amp; aws s3 cp s3://rtdc.mdm.uploadarchive.raw/RTDC4020/ "%USERPROFILE%\AppData\Local\Temp\OnboardLogs"\RTDC4020\2016-10-06 --exclude "*" --recursive --include "*20161006*" &amp; "%USERPROFILE%\Documents\GitHub\mrs-test-scripts\Headless Mode &amp; Sideloading\WalkAndUnGZ.bat" "%USERPROFILE%\AppData\Local\Temp\OnboardLogs"\RTDC4020\2016-10-06</v>
      </c>
      <c r="AF201" s="92" t="str">
        <f t="shared" si="106"/>
        <v>"C:\Program Files (x86)\AstroGrep\AstroGrep.exe" /spath="%USERPROFILE%\AppData\Local\Temp\OnboardLogs" /stypes="app*4020*20161006*" /stext=" 01:.+((SYSTEM_STATE.+slice.+state.+changed )|(ment ac)|(system.+state.+changed )|(\[timeout)|(PRM\|1\|D)|(kpr)|(kdp)|(\|lc)|(penalty))" /e /r /s</v>
      </c>
      <c r="AG201" s="1" t="str">
        <f t="shared" si="83"/>
        <v>NW</v>
      </c>
      <c r="AH201" s="96" t="str">
        <f t="shared" si="84"/>
        <v>"%USERPROFILE%\Documents\GitHub\eaglep3\Utilities\RefineRTDCRunTimes.py" --tripid 841-05 --locoid 4020 --swversion DE.1.0.7.0 --startMP 204:965 --initTime 2016-10-05T19:15:18 --startdatetime 2016-10-05T19:21:19 --delay 1 --endMP 300:58982 --enddatetime 2016-10-05T19:35:45 --enforcementcount 0 &gt;&gt;C:\Users\stu\Documents\GitHub\eaglep3-reporting\EC\2016-10-05-refined-times.txt</v>
      </c>
      <c r="AI201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{"issue":{"subject":"","project_id":79,"tracker_id":40,"status_id":1,"priority_id":2,"assigned_to_id":23,"start_date":"2016-10-05","description":"","custom_fields":[{"id":1,"name":"Subdivision","value":"NW"},{"id":4,"name":"Milepost","value":"5.8982"},{"id":17,"name":"Train ID","value":"841-05"},{"id":16,"name":"Locomotive ID","value":"4020"},{"id":130,"name":"Impact","value":""},{"id":150,"name":"Time of Event (Mountain Time)","value":"19:35:45"},{"id":151,"name":"Denver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s="23" customFormat="1" x14ac:dyDescent="0.25">
      <c r="A202" s="39" t="s">
        <v>425</v>
      </c>
      <c r="B202" s="7">
        <v>4019</v>
      </c>
      <c r="C202" s="24" t="s">
        <v>106</v>
      </c>
      <c r="D202" s="24" t="s">
        <v>752</v>
      </c>
      <c r="E202" s="15">
        <v>42648.859143518515</v>
      </c>
      <c r="F202" s="15">
        <v>42648.861076388886</v>
      </c>
      <c r="G202" s="7">
        <v>1</v>
      </c>
      <c r="H202" s="15" t="s">
        <v>369</v>
      </c>
      <c r="I202" s="15">
        <v>42648.873356481483</v>
      </c>
      <c r="J202" s="7">
        <v>0</v>
      </c>
      <c r="K202" s="117" t="str">
        <f t="shared" si="98"/>
        <v>4019/4020</v>
      </c>
      <c r="L202" s="24" t="str">
        <f>VLOOKUP(A202,'Trips&amp;Operators'!$C$1:$E$10000,3,FALSE)</f>
        <v>MOSES</v>
      </c>
      <c r="M202" s="6">
        <f t="shared" si="99"/>
        <v>1.2280092596483883E-2</v>
      </c>
      <c r="N202" s="7">
        <f t="shared" si="109"/>
        <v>17.683333338936791</v>
      </c>
      <c r="O202" s="7"/>
      <c r="P202" s="7"/>
      <c r="Q202" s="25"/>
      <c r="R202" s="25"/>
      <c r="S202" s="37">
        <f t="shared" si="107"/>
        <v>1</v>
      </c>
      <c r="T202" s="52" t="str">
        <f t="shared" si="81"/>
        <v>Southbound</v>
      </c>
      <c r="U202" s="159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19:37:10-0600',mode:absolute,to:'2016-10-05 21:57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02" s="54" t="str">
        <f t="shared" si="101"/>
        <v>N</v>
      </c>
      <c r="X202" s="164">
        <f t="shared" si="108"/>
        <v>1</v>
      </c>
      <c r="Y202" s="69">
        <f t="shared" si="102"/>
        <v>5.8640999999999996</v>
      </c>
      <c r="Z202" s="69">
        <f t="shared" si="103"/>
        <v>6.8500000000000005E-2</v>
      </c>
      <c r="AA202" s="69">
        <f t="shared" si="104"/>
        <v>5.7955999999999994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 t="shared" si="82"/>
        <v>0842-05</v>
      </c>
      <c r="AE202" s="95" t="str">
        <f t="shared" si="105"/>
        <v>aws s3 cp s3://rtdc.mdm.uploadarchive.raw/RTDC4019/ "%USERPROFILE%\AppData\Local\Temp\OnboardLogs"\RTDC4019\2016-10-05 --exclude "*" --recursive --include "*20161005*" &amp; "%USERPROFILE%\Documents\GitHub\mrs-test-scripts\Headless Mode &amp; Sideloading\WalkAndUnGZ.bat" "%USERPROFILE%\AppData\Local\Temp\OnboardLogs"\RTDC4019\2016-10-05 &amp; aws s3 cp s3://rtdc.mdm.uploadarchive.raw/RTDC4019/ "%USERPROFILE%\AppData\Local\Temp\OnboardLogs"\RTDC4019\2016-10-06 --exclude "*" --recursive --include "*20161006*" &amp; "%USERPROFILE%\Documents\GitHub\mrs-test-scripts\Headless Mode &amp; Sideloading\WalkAndUnGZ.bat" "%USERPROFILE%\AppData\Local\Temp\OnboardLogs"\RTDC4019\2016-10-06</v>
      </c>
      <c r="AF202" s="92" t="str">
        <f t="shared" si="106"/>
        <v>"C:\Program Files (x86)\AstroGrep\AstroGrep.exe" /spath="%USERPROFILE%\AppData\Local\Temp\OnboardLogs" /stypes="app*4019*20161006*" /stext=" 02:.+((SYSTEM_STATE.+slice.+state.+changed )|(ment ac)|(system.+state.+changed )|(\[timeout)|(PRM\|1\|D)|(kpr)|(kdp)|(\|lc)|(penalty))" /e /r /s</v>
      </c>
      <c r="AG202" s="1" t="str">
        <f t="shared" si="83"/>
        <v>NW</v>
      </c>
      <c r="AH202" s="96" t="str">
        <f t="shared" si="84"/>
        <v>"%USERPROFILE%\Documents\GitHub\eaglep3\Utilities\RefineRTDCRunTimes.py" --tripid 842-05 --locoid 4019 --swversion DE.1.0.7.0 --startMP 300:58641 --initTime 2016-10-05T20:37:10 --startdatetime 2016-10-05T20:39:57 --delay 1 --endMP 204:685 --enddatetime 2016-10-05T20:57:38 --enforcementcount 0 &gt;&gt;C:\Users\stu\Documents\GitHub\eaglep3-reporting\EC\2016-10-05-refined-times.txt</v>
      </c>
      <c r="AI202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{"issue":{"subject":"","project_id":79,"tracker_id":40,"status_id":1,"priority_id":2,"assigned_to_id":23,"start_date":"2016-10-05","description":"","custom_fields":[{"id":1,"name":"Subdivision","value":"NW"},{"id":4,"name":"Milepost","value":"0.0685"},{"id":17,"name":"Train ID","value":"842-05"},{"id":16,"name":"Locomotive ID","value":"4019"},{"id":130,"name":"Impact","value":""},{"id":150,"name":"Time of Event (Mountain Time)","value":"20:57:38"},{"id":151,"name":"Denver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424</v>
      </c>
      <c r="B203" s="7">
        <v>4020</v>
      </c>
      <c r="C203" s="24" t="s">
        <v>106</v>
      </c>
      <c r="D203" s="24" t="s">
        <v>300</v>
      </c>
      <c r="E203" s="15">
        <v>42648.843310185184</v>
      </c>
      <c r="F203" s="15">
        <v>42648.84815972222</v>
      </c>
      <c r="G203" s="7">
        <v>1</v>
      </c>
      <c r="H203" s="15" t="s">
        <v>739</v>
      </c>
      <c r="I203" s="15">
        <v>42648.857824074075</v>
      </c>
      <c r="J203" s="7">
        <v>0</v>
      </c>
      <c r="K203" s="117" t="str">
        <f t="shared" si="98"/>
        <v>4019/4020</v>
      </c>
      <c r="L203" s="24" t="str">
        <f>VLOOKUP(A203,'Trips&amp;Operators'!$C$1:$E$10000,3,FALSE)</f>
        <v>MOSES</v>
      </c>
      <c r="M203" s="6">
        <f t="shared" si="99"/>
        <v>9.6643518554628827E-3</v>
      </c>
      <c r="N203" s="7">
        <f t="shared" si="109"/>
        <v>13.916666671866551</v>
      </c>
      <c r="O203" s="7"/>
      <c r="P203" s="7"/>
      <c r="Q203" s="25"/>
      <c r="R203" s="25"/>
      <c r="S203" s="37">
        <f t="shared" si="107"/>
        <v>1</v>
      </c>
      <c r="T203" s="52" t="str">
        <f t="shared" si="81"/>
        <v>NorthBound</v>
      </c>
      <c r="U203" s="159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19:14:22-0600',mode:absolute,to:'2016-10-05 21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03" s="54" t="str">
        <f t="shared" si="101"/>
        <v>N</v>
      </c>
      <c r="X203" s="164">
        <f t="shared" si="108"/>
        <v>1</v>
      </c>
      <c r="Y203" s="69">
        <f t="shared" si="102"/>
        <v>9.7600000000000006E-2</v>
      </c>
      <c r="Z203" s="69">
        <f t="shared" si="103"/>
        <v>5.8960999999999997</v>
      </c>
      <c r="AA203" s="69">
        <f t="shared" si="104"/>
        <v>5.7984999999999998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 t="shared" si="82"/>
        <v>0843-05</v>
      </c>
      <c r="AE203" s="95" t="str">
        <f t="shared" si="105"/>
        <v>aws s3 cp s3://rtdc.mdm.uploadarchive.raw/RTDC4020/ "%USERPROFILE%\AppData\Local\Temp\OnboardLogs"\RTDC4020\2016-10-05 --exclude "*" --recursive --include "*20161005*" &amp; "%USERPROFILE%\Documents\GitHub\mrs-test-scripts\Headless Mode &amp; Sideloading\WalkAndUnGZ.bat" "%USERPROFILE%\AppData\Local\Temp\OnboardLogs"\RTDC4020\2016-10-05 &amp; aws s3 cp s3://rtdc.mdm.uploadarchive.raw/RTDC4020/ "%USERPROFILE%\AppData\Local\Temp\OnboardLogs"\RTDC4020\2016-10-06 --exclude "*" --recursive --include "*20161006*" &amp; "%USERPROFILE%\Documents\GitHub\mrs-test-scripts\Headless Mode &amp; Sideloading\WalkAndUnGZ.bat" "%USERPROFILE%\AppData\Local\Temp\OnboardLogs"\RTDC4020\2016-10-06</v>
      </c>
      <c r="AF203" s="92" t="str">
        <f t="shared" si="106"/>
        <v>"C:\Program Files (x86)\AstroGrep\AstroGrep.exe" /spath="%USERPROFILE%\AppData\Local\Temp\OnboardLogs" /stypes="app*4020*20161006*" /stext=" 02:.+((SYSTEM_STATE.+slice.+state.+changed )|(ment ac)|(system.+state.+changed )|(\[timeout)|(PRM\|1\|D)|(kpr)|(kdp)|(\|lc)|(penalty))" /e /r /s</v>
      </c>
      <c r="AG203" s="1" t="str">
        <f t="shared" si="83"/>
        <v>NW</v>
      </c>
      <c r="AH203" s="96" t="str">
        <f t="shared" si="84"/>
        <v>"%USERPROFILE%\Documents\GitHub\eaglep3\Utilities\RefineRTDCRunTimes.py" --tripid 843-05 --locoid 4020 --swversion DE.1.0.7.0 --startMP 204:976 --initTime 2016-10-05T20:14:22 --startdatetime 2016-10-05T20:21:21 --delay 1 --endMP 300:58961 --enddatetime 2016-10-05T20:35:16 --enforcementcount 0 &gt;&gt;C:\Users\stu\Documents\GitHub\eaglep3-reporting\EC\2016-10-05-refined-times.txt</v>
      </c>
      <c r="AI203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{"issue":{"subject":"","project_id":79,"tracker_id":40,"status_id":1,"priority_id":2,"assigned_to_id":23,"start_date":"2016-10-05","description":"","custom_fields":[{"id":1,"name":"Subdivision","value":"NW"},{"id":4,"name":"Milepost","value":"5.8961"},{"id":17,"name":"Train ID","value":"843-05"},{"id":16,"name":"Locomotive ID","value":"4020"},{"id":130,"name":"Impact","value":""},{"id":150,"name":"Time of Event (Mountain Time)","value":"20:35:16"},{"id":151,"name":"Denver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584</v>
      </c>
      <c r="B204" s="7">
        <v>4019</v>
      </c>
      <c r="C204" s="24" t="s">
        <v>106</v>
      </c>
      <c r="D204" s="24" t="s">
        <v>753</v>
      </c>
      <c r="E204" s="15">
        <v>42648.902789351851</v>
      </c>
      <c r="F204" s="15">
        <v>42648.904224537036</v>
      </c>
      <c r="G204" s="7">
        <v>1</v>
      </c>
      <c r="H204" s="15" t="s">
        <v>725</v>
      </c>
      <c r="I204" s="15">
        <v>42648.914606481485</v>
      </c>
      <c r="J204" s="7">
        <v>0</v>
      </c>
      <c r="K204" s="117" t="str">
        <f t="shared" si="98"/>
        <v>4019/4020</v>
      </c>
      <c r="L204" s="24" t="str">
        <f>VLOOKUP(A204,'Trips&amp;Operators'!$C$1:$E$10000,3,FALSE)</f>
        <v>LEVERE</v>
      </c>
      <c r="M204" s="6">
        <f t="shared" si="99"/>
        <v>1.0381944448454306E-2</v>
      </c>
      <c r="N204" s="7">
        <f t="shared" si="109"/>
        <v>14.9500000057742</v>
      </c>
      <c r="O204" s="7"/>
      <c r="P204" s="7"/>
      <c r="Q204" s="25"/>
      <c r="R204" s="25"/>
      <c r="S204" s="37">
        <f t="shared" si="107"/>
        <v>1</v>
      </c>
      <c r="T204" s="52" t="str">
        <f t="shared" si="81"/>
        <v>Southbound</v>
      </c>
      <c r="U204" s="159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20:40:01-0600',mode:absolute,to:'2016-10-05 22:57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04" s="54" t="str">
        <f t="shared" si="101"/>
        <v>N</v>
      </c>
      <c r="X204" s="164">
        <f t="shared" si="108"/>
        <v>1</v>
      </c>
      <c r="Y204" s="69">
        <f t="shared" si="102"/>
        <v>5.8625999999999996</v>
      </c>
      <c r="Z204" s="69">
        <f t="shared" si="103"/>
        <v>6.8000000000000005E-2</v>
      </c>
      <c r="AA204" s="69">
        <f t="shared" si="104"/>
        <v>5.7946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 t="shared" si="82"/>
        <v>0844-05</v>
      </c>
      <c r="AE204" s="95" t="str">
        <f t="shared" si="105"/>
        <v>aws s3 cp s3://rtdc.mdm.uploadarchive.raw/RTDC4019/ "%USERPROFILE%\AppData\Local\Temp\OnboardLogs"\RTDC4019\2016-10-05 --exclude "*" --recursive --include "*20161005*" &amp; "%USERPROFILE%\Documents\GitHub\mrs-test-scripts\Headless Mode &amp; Sideloading\WalkAndUnGZ.bat" "%USERPROFILE%\AppData\Local\Temp\OnboardLogs"\RTDC4019\2016-10-05 &amp; aws s3 cp s3://rtdc.mdm.uploadarchive.raw/RTDC4019/ "%USERPROFILE%\AppData\Local\Temp\OnboardLogs"\RTDC4019\2016-10-06 --exclude "*" --recursive --include "*20161006*" &amp; "%USERPROFILE%\Documents\GitHub\mrs-test-scripts\Headless Mode &amp; Sideloading\WalkAndUnGZ.bat" "%USERPROFILE%\AppData\Local\Temp\OnboardLogs"\RTDC4019\2016-10-06</v>
      </c>
      <c r="AF204" s="92" t="str">
        <f t="shared" si="106"/>
        <v>"C:\Program Files (x86)\AstroGrep\AstroGrep.exe" /spath="%USERPROFILE%\AppData\Local\Temp\OnboardLogs" /stypes="app*4019*20161006*" /stext=" 03:.+((SYSTEM_STATE.+slice.+state.+changed )|(ment ac)|(system.+state.+changed )|(\[timeout)|(PRM\|1\|D)|(kpr)|(kdp)|(\|lc)|(penalty))" /e /r /s</v>
      </c>
      <c r="AG204" s="1" t="str">
        <f t="shared" si="83"/>
        <v>NW</v>
      </c>
      <c r="AH204" s="96" t="str">
        <f t="shared" si="84"/>
        <v>"%USERPROFILE%\Documents\GitHub\eaglep3\Utilities\RefineRTDCRunTimes.py" --tripid 844-05 --locoid 4019 --swversion DE.1.0.7.0 --startMP 300:58626 --initTime 2016-10-05T21:40:01 --startdatetime 2016-10-05T21:42:05 --delay 1 --endMP 204:680 --enddatetime 2016-10-05T21:57:02 --enforcementcount 0 &gt;&gt;C:\Users\stu\Documents\GitHub\eaglep3-reporting\EC\2016-10-05-refined-times.txt</v>
      </c>
      <c r="AI204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{"issue":{"subject":"","project_id":79,"tracker_id":40,"status_id":1,"priority_id":2,"assigned_to_id":23,"start_date":"2016-10-05","description":"","custom_fields":[{"id":1,"name":"Subdivision","value":"NW"},{"id":4,"name":"Milepost","value":"0.068"},{"id":17,"name":"Train ID","value":"844-05"},{"id":16,"name":"Locomotive ID","value":"4019"},{"id":130,"name":"Impact","value":""},{"id":150,"name":"Time of Event (Mountain Time)","value":"21:57:02"},{"id":151,"name":"Denver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426</v>
      </c>
      <c r="B205" s="7">
        <v>4020</v>
      </c>
      <c r="C205" s="24" t="s">
        <v>106</v>
      </c>
      <c r="D205" s="24" t="s">
        <v>740</v>
      </c>
      <c r="E205" s="15">
        <v>42648.881805555553</v>
      </c>
      <c r="F205" s="15">
        <v>42648.889953703707</v>
      </c>
      <c r="G205" s="7">
        <v>2</v>
      </c>
      <c r="H205" s="15" t="s">
        <v>754</v>
      </c>
      <c r="I205" s="15">
        <v>42648.901469907411</v>
      </c>
      <c r="J205" s="7">
        <v>0</v>
      </c>
      <c r="K205" s="117" t="str">
        <f t="shared" si="98"/>
        <v>4019/4020</v>
      </c>
      <c r="L205" s="24" t="str">
        <f>VLOOKUP(A205,'Trips&amp;Operators'!$C$1:$E$10000,3,FALSE)</f>
        <v>LEVERE</v>
      </c>
      <c r="M205" s="6">
        <f t="shared" si="99"/>
        <v>1.1516203703649808E-2</v>
      </c>
      <c r="N205" s="7">
        <f t="shared" si="109"/>
        <v>16.583333333255723</v>
      </c>
      <c r="O205" s="7"/>
      <c r="P205" s="7"/>
      <c r="Q205" s="25"/>
      <c r="R205" s="25"/>
      <c r="S205" s="37">
        <f t="shared" si="107"/>
        <v>1</v>
      </c>
      <c r="T205" s="52" t="str">
        <f t="shared" ref="T205:T245" si="110">IF(ISEVEN(LEFT(AD205,4)),"Southbound","NorthBound")</f>
        <v>NorthBound</v>
      </c>
      <c r="U205" s="159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20:09:48-0600',mode:absolute,to:'2016-10-05 22:38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05" s="54" t="str">
        <f t="shared" si="101"/>
        <v>N</v>
      </c>
      <c r="X205" s="164">
        <f t="shared" si="108"/>
        <v>1</v>
      </c>
      <c r="Y205" s="69">
        <f t="shared" si="102"/>
        <v>9.64E-2</v>
      </c>
      <c r="Z205" s="69">
        <f t="shared" si="103"/>
        <v>5.8948</v>
      </c>
      <c r="AA205" s="69">
        <f t="shared" si="104"/>
        <v>5.7984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 t="shared" ref="AD205:AD245" si="111">IF(LEN(A205)=6,"0"&amp;A205,A205)</f>
        <v>0845-05</v>
      </c>
      <c r="AE205" s="95" t="str">
        <f t="shared" si="105"/>
        <v>aws s3 cp s3://rtdc.mdm.uploadarchive.raw/RTDC4020/ "%USERPROFILE%\AppData\Local\Temp\OnboardLogs"\RTDC4020\2016-10-05 --exclude "*" --recursive --include "*20161005*" &amp; "%USERPROFILE%\Documents\GitHub\mrs-test-scripts\Headless Mode &amp; Sideloading\WalkAndUnGZ.bat" "%USERPROFILE%\AppData\Local\Temp\OnboardLogs"\RTDC4020\2016-10-05 &amp; aws s3 cp s3://rtdc.mdm.uploadarchive.raw/RTDC4020/ "%USERPROFILE%\AppData\Local\Temp\OnboardLogs"\RTDC4020\2016-10-06 --exclude "*" --recursive --include "*20161006*" &amp; "%USERPROFILE%\Documents\GitHub\mrs-test-scripts\Headless Mode &amp; Sideloading\WalkAndUnGZ.bat" "%USERPROFILE%\AppData\Local\Temp\OnboardLogs"\RTDC4020\2016-10-06</v>
      </c>
      <c r="AF205" s="92" t="str">
        <f t="shared" si="106"/>
        <v>"C:\Program Files (x86)\AstroGrep\AstroGrep.exe" /spath="%USERPROFILE%\AppData\Local\Temp\OnboardLogs" /stypes="app*4020*20161006*" /stext=" 03:.+((SYSTEM_STATE.+slice.+state.+changed )|(ment ac)|(system.+state.+changed )|(\[timeout)|(PRM\|1\|D)|(kpr)|(kdp)|(\|lc)|(penalty))" /e /r /s</v>
      </c>
      <c r="AG205" s="1" t="str">
        <f t="shared" ref="AG205:AG245" si="112">IFERROR(IF(VALUE(LEFT(AD205,2))&lt;=2,"EC",IF(OR(VALUE(LEFT(AD205,2))=8,VALUE(LEFT(AD205,2))=18),"NW","Other")),"Other")</f>
        <v>NW</v>
      </c>
      <c r="AH205" s="96" t="str">
        <f t="shared" si="84"/>
        <v>"%USERPROFILE%\Documents\GitHub\eaglep3\Utilities\RefineRTDCRunTimes.py" --tripid 845-05 --locoid 4020 --swversion DE.1.0.7.0 --startMP 204:964 --initTime 2016-10-05T21:09:48 --startdatetime 2016-10-05T21:21:32 --delay 2 --endMP 300:58948 --enddatetime 2016-10-05T21:38:07 --enforcementcount 0 &gt;&gt;C:\Users\stu\Documents\GitHub\eaglep3-reporting\EC\2016-10-05-refined-times.txt</v>
      </c>
      <c r="AI205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{"issue":{"subject":"","project_id":79,"tracker_id":40,"status_id":1,"priority_id":2,"assigned_to_id":23,"start_date":"2016-10-05","description":"","custom_fields":[{"id":1,"name":"Subdivision","value":"NW"},{"id":4,"name":"Milepost","value":"5.8948"},{"id":17,"name":"Train ID","value":"845-05"},{"id":16,"name":"Locomotive ID","value":"4020"},{"id":130,"name":"Impact","value":""},{"id":150,"name":"Time of Event (Mountain Time)","value":"21:38:07"},{"id":151,"name":"Denver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587</v>
      </c>
      <c r="B206" s="7">
        <v>4020</v>
      </c>
      <c r="C206" s="24" t="s">
        <v>106</v>
      </c>
      <c r="D206" s="24" t="s">
        <v>365</v>
      </c>
      <c r="E206" s="15">
        <v>42648.920358796298</v>
      </c>
      <c r="F206" s="15">
        <v>42648.931423611109</v>
      </c>
      <c r="G206" s="7">
        <v>1</v>
      </c>
      <c r="H206" s="15" t="s">
        <v>754</v>
      </c>
      <c r="I206" s="15">
        <v>42648.942384259259</v>
      </c>
      <c r="J206" s="7">
        <v>0</v>
      </c>
      <c r="K206" s="117" t="str">
        <f t="shared" si="98"/>
        <v>4019/4020</v>
      </c>
      <c r="L206" s="24" t="str">
        <f>VLOOKUP(A206,'Trips&amp;Operators'!$C$1:$E$10000,3,FALSE)</f>
        <v>LEVERE</v>
      </c>
      <c r="M206" s="6">
        <f t="shared" si="99"/>
        <v>1.096064814919373E-2</v>
      </c>
      <c r="N206" s="7">
        <f t="shared" si="109"/>
        <v>15.783333334838971</v>
      </c>
      <c r="O206" s="7"/>
      <c r="P206" s="7"/>
      <c r="Q206" s="25"/>
      <c r="R206" s="25"/>
      <c r="S206" s="37">
        <f t="shared" si="107"/>
        <v>1</v>
      </c>
      <c r="T206" s="52" t="str">
        <f t="shared" si="110"/>
        <v>NorthBound</v>
      </c>
      <c r="U206" s="159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21:05:19-0600',mode:absolute,to:'2016-10-05 23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06" s="54" t="str">
        <f t="shared" si="101"/>
        <v>N</v>
      </c>
      <c r="X206" s="164">
        <f t="shared" si="108"/>
        <v>2</v>
      </c>
      <c r="Y206" s="69">
        <f t="shared" si="102"/>
        <v>9.74E-2</v>
      </c>
      <c r="Z206" s="69">
        <f t="shared" si="103"/>
        <v>5.8948</v>
      </c>
      <c r="AA206" s="69">
        <f t="shared" si="104"/>
        <v>5.7973999999999997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 t="shared" si="111"/>
        <v>0847-05</v>
      </c>
      <c r="AE206" s="95" t="str">
        <f t="shared" si="105"/>
        <v>aws s3 cp s3://rtdc.mdm.uploadarchive.raw/RTDC4020/ "%USERPROFILE%\AppData\Local\Temp\OnboardLogs"\RTDC4020\2016-10-05 --exclude "*" --recursive --include "*20161005*" &amp; "%USERPROFILE%\Documents\GitHub\mrs-test-scripts\Headless Mode &amp; Sideloading\WalkAndUnGZ.bat" "%USERPROFILE%\AppData\Local\Temp\OnboardLogs"\RTDC4020\2016-10-05 &amp; aws s3 cp s3://rtdc.mdm.uploadarchive.raw/RTDC4020/ "%USERPROFILE%\AppData\Local\Temp\OnboardLogs"\RTDC4020\2016-10-06 --exclude "*" --recursive --include "*20161006*" &amp; "%USERPROFILE%\Documents\GitHub\mrs-test-scripts\Headless Mode &amp; Sideloading\WalkAndUnGZ.bat" "%USERPROFILE%\AppData\Local\Temp\OnboardLogs"\RTDC4020\2016-10-06</v>
      </c>
      <c r="AF206" s="92" t="str">
        <f t="shared" si="106"/>
        <v>"C:\Program Files (x86)\AstroGrep\AstroGrep.exe" /spath="%USERPROFILE%\AppData\Local\Temp\OnboardLogs" /stypes="app*4020*20161006*" /stext=" 04:.+((SYSTEM_STATE.+slice.+state.+changed )|(ment ac)|(system.+state.+changed )|(\[timeout)|(PRM\|1\|D)|(kpr)|(kdp)|(\|lc)|(penalty))" /e /r /s</v>
      </c>
      <c r="AG206" s="1" t="str">
        <f t="shared" si="112"/>
        <v>NW</v>
      </c>
      <c r="AH206" s="96" t="str">
        <f t="shared" si="84"/>
        <v>"%USERPROFILE%\Documents\GitHub\eaglep3\Utilities\RefineRTDCRunTimes.py" --tripid 847-05 --locoid 4020 --swversion DE.1.0.7.0 --startMP 204:974 --initTime 2016-10-05T22:05:19 --startdatetime 2016-10-05T22:21:15 --delay 1 --endMP 300:58948 --enddatetime 2016-10-05T22:37:02 --enforcementcount 0 &gt;&gt;C:\Users\stu\Documents\GitHub\eaglep3-reporting\EC\2016-10-05-refined-times.txt</v>
      </c>
      <c r="AI206" s="130" t="str">
        <f t="shared" si="85"/>
        <v>echo {"issue":{"subject":"","project_id":79,"tracker_id":40,"status_id":1,"priority_id":2,"assigned_to_id":23,"start_date":"2016-10-05","description":"","custom_fields":[{"id":1,"name":"Subdivision","value":"NW"},{"id":4,"name":"Milepost","value":"5.8948"},{"id":17,"name":"Train ID","value":"847-05"},{"id":16,"name":"Locomotive ID","value":"4020"},{"id":130,"name":"Impact","value":""},{"id":150,"name":"Time of Event (Mountain Time)","value":"22:37:02"},{"id":151,"name":"Denver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429</v>
      </c>
      <c r="B207" s="7">
        <v>4028</v>
      </c>
      <c r="C207" s="24" t="s">
        <v>106</v>
      </c>
      <c r="D207" s="24" t="s">
        <v>667</v>
      </c>
      <c r="E207" s="15">
        <v>42648.126631944448</v>
      </c>
      <c r="F207" s="15">
        <v>42648.128125000003</v>
      </c>
      <c r="G207" s="7">
        <v>1</v>
      </c>
      <c r="H207" s="15" t="s">
        <v>213</v>
      </c>
      <c r="I207" s="15">
        <v>42648.136469907404</v>
      </c>
      <c r="J207" s="7">
        <v>0</v>
      </c>
      <c r="K207" s="117" t="str">
        <f t="shared" si="98"/>
        <v>4027/4028</v>
      </c>
      <c r="L207" s="24" t="str">
        <f>VLOOKUP(A207,'Trips&amp;Operators'!$C$1:$E$10000,3,FALSE)</f>
        <v>MAELZER</v>
      </c>
      <c r="M207" s="6">
        <f t="shared" si="99"/>
        <v>8.3449074008967727E-3</v>
      </c>
      <c r="N207" s="7">
        <f t="shared" si="109"/>
        <v>12.016666657291353</v>
      </c>
      <c r="O207" s="7"/>
      <c r="P207" s="7"/>
      <c r="Q207" s="25"/>
      <c r="R207" s="25"/>
      <c r="S207" s="37">
        <f t="shared" si="107"/>
        <v>1</v>
      </c>
      <c r="T207" s="52" t="str">
        <f t="shared" si="110"/>
        <v>Southbound</v>
      </c>
      <c r="U207" s="159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02:02:21-0600',mode:absolute,to:'2016-10-05 04:16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07" s="54" t="str">
        <f t="shared" si="101"/>
        <v>Y</v>
      </c>
      <c r="X207" s="164">
        <f t="shared" si="108"/>
        <v>-545</v>
      </c>
      <c r="Y207" s="69">
        <f t="shared" si="102"/>
        <v>2.3022999999999998</v>
      </c>
      <c r="Z207" s="69">
        <f t="shared" si="103"/>
        <v>1.41E-2</v>
      </c>
      <c r="AA207" s="69">
        <f t="shared" si="104"/>
        <v>2.2881999999999998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 t="shared" si="111"/>
        <v>0302-05</v>
      </c>
      <c r="AE207" s="95" t="str">
        <f t="shared" si="105"/>
        <v>aws s3 cp s3://rtdc.mdm.uploadarchive.raw/RTDC4028/ "%USERPROFILE%\AppData\Local\Temp\OnboardLogs"\RTDC4028\2016-10-05 --exclude "*" --recursive --include "*20161005*" &amp; "%USERPROFILE%\Documents\GitHub\mrs-test-scripts\Headless Mode &amp; Sideloading\WalkAndUnGZ.bat" "%USERPROFILE%\AppData\Local\Temp\OnboardLogs"\RTDC4028\2016-10-05 &amp; aws s3 cp s3://rtdc.mdm.uploadarchive.raw/RTDC4028/ "%USERPROFILE%\AppData\Local\Temp\OnboardLogs"\RTDC4028\2016-10-06 --exclude "*" --recursive --include "*20161006*" &amp; "%USERPROFILE%\Documents\GitHub\mrs-test-scripts\Headless Mode &amp; Sideloading\WalkAndUnGZ.bat" "%USERPROFILE%\AppData\Local\Temp\OnboardLogs"\RTDC4028\2016-10-06</v>
      </c>
      <c r="AF207" s="92" t="str">
        <f t="shared" si="106"/>
        <v>"C:\Program Files (x86)\AstroGrep\AstroGrep.exe" /spath="%USERPROFILE%\AppData\Local\Temp\OnboardLogs" /stypes="app*4028*20161005*" /stext=" 09:.+((SYSTEM_STATE.+slice.+state.+changed )|(ment ac)|(system.+state.+changed )|(\[timeout)|(PRM\|1\|D)|(kpr)|(kdp)|(\|lc)|(penalty))" /e /r /s</v>
      </c>
      <c r="AG207" s="1" t="str">
        <f t="shared" si="112"/>
        <v>Other</v>
      </c>
      <c r="AH207" s="96" t="str">
        <f t="shared" si="84"/>
        <v>"%USERPROFILE%\Documents\GitHub\eaglep3\Utilities\RefineRTDCRunTimes.py" --tripid 302-05 --locoid 4028 --swversion DE.1.0.7.0 --startMP 300:23023 --initTime 2016-10-05T03:02:21 --startdatetime 2016-10-05T03:04:30 --delay 1 --endMP 204:141 --enddatetime 2016-10-05T03:16:31 --enforcementcount 0 &gt;&gt;C:\Users\stu\Documents\GitHub\eaglep3-reporting\EC\2016-10-05-refined-times.txt</v>
      </c>
      <c r="AI207" s="130" t="str">
        <f t="shared" si="85"/>
        <v>echo {"issue":{"subject":"","project_id":79,"tracker_id":40,"status_id":1,"priority_id":2,"assigned_to_id":23,"start_date":"2016-10-05","description":"","custom_fields":[{"id":1,"name":"Subdivision","value":"Other"},{"id":4,"name":"Milepost","value":"0.0141"},{"id":17,"name":"Train ID","value":"302-05"},{"id":16,"name":"Locomotive ID","value":"4028"},{"id":130,"name":"Impact","value":""},{"id":150,"name":"Time of Event (Mountain Time)","value":"03:16:31"},{"id":151,"name":"Denver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567</v>
      </c>
      <c r="B208" s="7">
        <v>4009</v>
      </c>
      <c r="C208" s="24" t="s">
        <v>106</v>
      </c>
      <c r="D208" s="24" t="s">
        <v>668</v>
      </c>
      <c r="E208" s="15">
        <v>42648.779282407406</v>
      </c>
      <c r="F208" s="15">
        <v>42648.789849537039</v>
      </c>
      <c r="G208" s="7">
        <v>1</v>
      </c>
      <c r="H208" s="15" t="s">
        <v>345</v>
      </c>
      <c r="I208" s="15">
        <v>42648.794988425929</v>
      </c>
      <c r="J208" s="7">
        <v>0</v>
      </c>
      <c r="K208" s="117" t="str">
        <f t="shared" si="98"/>
        <v>4009/4010</v>
      </c>
      <c r="L208" s="24" t="str">
        <f>VLOOKUP(A208,'Trips&amp;Operators'!$C$1:$E$10000,3,FALSE)</f>
        <v>BONDS</v>
      </c>
      <c r="M208" s="6">
        <f t="shared" si="99"/>
        <v>5.1388888896326534E-3</v>
      </c>
      <c r="N208" s="7">
        <f t="shared" si="109"/>
        <v>7.400000001071021</v>
      </c>
      <c r="O208" s="7"/>
      <c r="P208" s="7"/>
      <c r="Q208" s="25"/>
      <c r="R208" s="25"/>
      <c r="S208" s="37">
        <f t="shared" si="107"/>
        <v>1</v>
      </c>
      <c r="T208" s="52" t="str">
        <f t="shared" si="110"/>
        <v>NorthBound</v>
      </c>
      <c r="U208" s="159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17:42:10-0600',mode:absolute,to:'2016-10-05 20:04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8" s="54" t="str">
        <f t="shared" si="101"/>
        <v>Y</v>
      </c>
      <c r="X208" s="164">
        <f t="shared" si="108"/>
        <v>1</v>
      </c>
      <c r="Y208" s="69">
        <f t="shared" si="102"/>
        <v>4.0300000000000002E-2</v>
      </c>
      <c r="Z208" s="69">
        <f t="shared" si="103"/>
        <v>2.3298999999999999</v>
      </c>
      <c r="AA208" s="69">
        <f t="shared" si="104"/>
        <v>2.2896000000000001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 t="shared" si="111"/>
        <v>0303-05</v>
      </c>
      <c r="AE208" s="95" t="str">
        <f t="shared" si="105"/>
        <v>aws s3 cp s3://rtdc.mdm.uploadarchive.raw/RTDC4009/ "%USERPROFILE%\AppData\Local\Temp\OnboardLogs"\RTDC4009\2016-10-05 --exclude "*" --recursive --include "*20161005*" &amp; "%USERPROFILE%\Documents\GitHub\mrs-test-scripts\Headless Mode &amp; Sideloading\WalkAndUnGZ.bat" "%USERPROFILE%\AppData\Local\Temp\OnboardLogs"\RTDC4009\2016-10-05 &amp; aws s3 cp s3://rtdc.mdm.uploadarchive.raw/RTDC4009/ "%USERPROFILE%\AppData\Local\Temp\OnboardLogs"\RTDC4009\2016-10-06 --exclude "*" --recursive --include "*20161006*" &amp; "%USERPROFILE%\Documents\GitHub\mrs-test-scripts\Headless Mode &amp; Sideloading\WalkAndUnGZ.bat" "%USERPROFILE%\AppData\Local\Temp\OnboardLogs"\RTDC4009\2016-10-06</v>
      </c>
      <c r="AF208" s="92" t="str">
        <f t="shared" si="106"/>
        <v>"C:\Program Files (x86)\AstroGrep\AstroGrep.exe" /spath="%USERPROFILE%\AppData\Local\Temp\OnboardLogs" /stypes="app*4009*20161006*" /stext=" 01:.+((SYSTEM_STATE.+slice.+state.+changed )|(ment ac)|(system.+state.+changed )|(\[timeout)|(PRM\|1\|D)|(kpr)|(kdp)|(\|lc)|(penalty))" /e /r /s</v>
      </c>
      <c r="AG208" s="1" t="str">
        <f t="shared" si="112"/>
        <v>Other</v>
      </c>
      <c r="AH208" s="96" t="str">
        <f t="shared" si="84"/>
        <v>"%USERPROFILE%\Documents\GitHub\eaglep3\Utilities\RefineRTDCRunTimes.py" --tripid 303-05 --locoid 4009 --swversion DE.1.0.7.0 --startMP 204:403 --initTime 2016-10-05T18:42:10 --startdatetime 2016-10-05T18:57:23 --delay 1 --endMP 300:23299 --enddatetime 2016-10-05T19:04:47 --enforcementcount 0 &gt;&gt;C:\Users\stu\Documents\GitHub\eaglep3-reporting\EC\2016-10-05-refined-times.txt</v>
      </c>
      <c r="AI208" s="130" t="str">
        <f t="shared" si="85"/>
        <v>echo {"issue":{"subject":"","project_id":79,"tracker_id":40,"status_id":1,"priority_id":2,"assigned_to_id":23,"start_date":"2016-10-05","description":"","custom_fields":[{"id":1,"name":"Subdivision","value":"Other"},{"id":4,"name":"Milepost","value":"2.3299"},{"id":17,"name":"Train ID","value":"303-05"},{"id":16,"name":"Locomotive ID","value":"4009"},{"id":130,"name":"Impact","value":""},{"id":150,"name":"Time of Event (Mountain Time)","value":"19:04:47"},{"id":151,"name":"Denver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432</v>
      </c>
      <c r="B209" s="7">
        <v>4026</v>
      </c>
      <c r="C209" s="24" t="s">
        <v>106</v>
      </c>
      <c r="D209" s="24" t="s">
        <v>669</v>
      </c>
      <c r="E209" s="15">
        <v>42648.149340277778</v>
      </c>
      <c r="F209" s="15">
        <v>42648.150694444441</v>
      </c>
      <c r="G209" s="7">
        <v>1</v>
      </c>
      <c r="H209" s="15" t="s">
        <v>191</v>
      </c>
      <c r="I209" s="15">
        <v>42648.15792824074</v>
      </c>
      <c r="J209" s="7">
        <v>0</v>
      </c>
      <c r="K209" s="117" t="str">
        <f t="shared" si="98"/>
        <v>4025/4026</v>
      </c>
      <c r="L209" s="24" t="str">
        <f>VLOOKUP(A209,'Trips&amp;Operators'!$C$1:$E$10000,3,FALSE)</f>
        <v>ACKERMAN</v>
      </c>
      <c r="M209" s="6">
        <f t="shared" si="99"/>
        <v>7.2337962992605753E-3</v>
      </c>
      <c r="N209" s="7">
        <f t="shared" si="109"/>
        <v>10.416666670935228</v>
      </c>
      <c r="O209" s="7"/>
      <c r="P209" s="7"/>
      <c r="Q209" s="25"/>
      <c r="R209" s="25"/>
      <c r="S209" s="37">
        <f t="shared" si="107"/>
        <v>1</v>
      </c>
      <c r="T209" s="52" t="str">
        <f t="shared" si="110"/>
        <v>Southbound</v>
      </c>
      <c r="U209" s="159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02:35:03-0600',mode:absolute,to:'2016-10-05 04:47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9" s="54" t="str">
        <f t="shared" si="101"/>
        <v>Y</v>
      </c>
      <c r="X209" s="164">
        <f t="shared" si="108"/>
        <v>1</v>
      </c>
      <c r="Y209" s="69">
        <f t="shared" si="102"/>
        <v>2.2250000000000001</v>
      </c>
      <c r="Z209" s="69">
        <f t="shared" si="103"/>
        <v>1.6E-2</v>
      </c>
      <c r="AA209" s="69">
        <f t="shared" si="104"/>
        <v>2.2090000000000001</v>
      </c>
      <c r="AB209" s="66" t="e">
        <f>VLOOKUP(A209,Enforcements!$C$7:$K$21,8,0)</f>
        <v>#N/A</v>
      </c>
      <c r="AC209" s="62" t="e">
        <f>VLOOKUP(A209,Enforcements!$C$7:$E$21,3,0)</f>
        <v>#N/A</v>
      </c>
      <c r="AD209" s="63" t="str">
        <f t="shared" si="111"/>
        <v>0304-05</v>
      </c>
      <c r="AE209" s="95" t="str">
        <f t="shared" si="105"/>
        <v>aws s3 cp s3://rtdc.mdm.uploadarchive.raw/RTDC4026/ "%USERPROFILE%\AppData\Local\Temp\OnboardLogs"\RTDC4026\2016-10-05 --exclude "*" --recursive --include "*20161005*" &amp; "%USERPROFILE%\Documents\GitHub\mrs-test-scripts\Headless Mode &amp; Sideloading\WalkAndUnGZ.bat" "%USERPROFILE%\AppData\Local\Temp\OnboardLogs"\RTDC4026\2016-10-05 &amp; aws s3 cp s3://rtdc.mdm.uploadarchive.raw/RTDC4026/ "%USERPROFILE%\AppData\Local\Temp\OnboardLogs"\RTDC4026\2016-10-06 --exclude "*" --recursive --include "*20161006*" &amp; "%USERPROFILE%\Documents\GitHub\mrs-test-scripts\Headless Mode &amp; Sideloading\WalkAndUnGZ.bat" "%USERPROFILE%\AppData\Local\Temp\OnboardLogs"\RTDC4026\2016-10-06</v>
      </c>
      <c r="AF209" s="92" t="str">
        <f t="shared" si="106"/>
        <v>"C:\Program Files (x86)\AstroGrep\AstroGrep.exe" /spath="%USERPROFILE%\AppData\Local\Temp\OnboardLogs" /stypes="app*4026*20161005*" /stext=" 09:.+((SYSTEM_STATE.+slice.+state.+changed )|(ment ac)|(system.+state.+changed )|(\[timeout)|(PRM\|1\|D)|(kpr)|(kdp)|(\|lc)|(penalty))" /e /r /s</v>
      </c>
      <c r="AG209" s="1" t="str">
        <f t="shared" si="112"/>
        <v>Other</v>
      </c>
      <c r="AH209" s="96" t="str">
        <f t="shared" si="84"/>
        <v>"%USERPROFILE%\Documents\GitHub\eaglep3\Utilities\RefineRTDCRunTimes.py" --tripid 304-05 --locoid 4026 --swversion DE.1.0.7.0 --startMP 300:22250 --initTime 2016-10-05T03:35:03 --startdatetime 2016-10-05T03:37:00 --delay 1 --endMP 204:160 --enddatetime 2016-10-05T03:47:25 --enforcementcount 0 &gt;&gt;C:\Users\stu\Documents\GitHub\eaglep3-reporting\EC\2016-10-05-refined-times.txt</v>
      </c>
      <c r="AI209" s="130" t="str">
        <f t="shared" si="85"/>
        <v>echo {"issue":{"subject":"","project_id":79,"tracker_id":40,"status_id":1,"priority_id":2,"assigned_to_id":23,"start_date":"2016-10-05","description":"","custom_fields":[{"id":1,"name":"Subdivision","value":"Other"},{"id":4,"name":"Milepost","value":"0.016"},{"id":17,"name":"Train ID","value":"304-05"},{"id":16,"name":"Locomotive ID","value":"4026"},{"id":130,"name":"Impact","value":""},{"id":150,"name":"Time of Event (Mountain Time)","value":"03:47:25"},{"id":151,"name":"Denver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572</v>
      </c>
      <c r="B210" s="7">
        <v>4018</v>
      </c>
      <c r="C210" s="24" t="s">
        <v>106</v>
      </c>
      <c r="D210" s="24" t="s">
        <v>336</v>
      </c>
      <c r="E210" s="15">
        <v>42648.800844907404</v>
      </c>
      <c r="F210" s="15">
        <v>25568.708333333332</v>
      </c>
      <c r="G210" s="7">
        <v>1</v>
      </c>
      <c r="H210" s="15" t="s">
        <v>670</v>
      </c>
      <c r="I210" s="15">
        <v>25568.708333333332</v>
      </c>
      <c r="J210" s="7">
        <v>0</v>
      </c>
      <c r="K210" s="117" t="str">
        <f t="shared" si="98"/>
        <v>4017/4018</v>
      </c>
      <c r="L210" s="24" t="str">
        <f>VLOOKUP(A210,'Trips&amp;Operators'!$C$1:$E$10000,3,FALSE)</f>
        <v>BROWN</v>
      </c>
      <c r="M210" s="6">
        <f t="shared" si="99"/>
        <v>0</v>
      </c>
      <c r="N210" s="7">
        <f t="shared" si="109"/>
        <v>0</v>
      </c>
      <c r="O210" s="7"/>
      <c r="P210" s="7"/>
      <c r="Q210" s="25"/>
      <c r="R210" s="25"/>
      <c r="S210" s="37">
        <f t="shared" si="107"/>
        <v>1</v>
      </c>
      <c r="T210" s="52" t="str">
        <f t="shared" si="110"/>
        <v>NorthBound</v>
      </c>
      <c r="U210" s="159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18:13:13-0600',mode:absolute,to:'1969-12-31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0" s="54" t="str">
        <f t="shared" si="101"/>
        <v>Y</v>
      </c>
      <c r="X210" s="164">
        <f t="shared" si="108"/>
        <v>1</v>
      </c>
      <c r="Y210" s="69">
        <f t="shared" si="102"/>
        <v>4.5999999999999999E-2</v>
      </c>
      <c r="Z210" s="69">
        <f t="shared" si="103"/>
        <v>2.1444999999999999</v>
      </c>
      <c r="AA210" s="69">
        <f t="shared" si="104"/>
        <v>2.0985</v>
      </c>
      <c r="AB210" s="66" t="e">
        <f>VLOOKUP(A210,Enforcements!$C$7:$K$21,8,0)</f>
        <v>#N/A</v>
      </c>
      <c r="AC210" s="62" t="e">
        <f>VLOOKUP(A210,Enforcements!$C$7:$E$21,3,0)</f>
        <v>#N/A</v>
      </c>
      <c r="AD210" s="63" t="str">
        <f t="shared" si="111"/>
        <v>0305-05</v>
      </c>
      <c r="AE210" s="95" t="str">
        <f t="shared" si="105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10" s="92" t="str">
        <f t="shared" si="106"/>
        <v>"C:\Program Files (x86)\AstroGrep\AstroGrep.exe" /spath="%USERPROFILE%\AppData\Local\Temp\OnboardLogs" /stypes="app*4018*19691231*" /stext=" 23:.+((SYSTEM_STATE.+slice.+state.+changed )|(ment ac)|(system.+state.+changed )|(\[timeout)|(PRM\|1\|D)|(kpr)|(kdp)|(\|lc)|(penalty))" /e /r /s</v>
      </c>
      <c r="AG210" s="1" t="str">
        <f t="shared" si="112"/>
        <v>Other</v>
      </c>
      <c r="AH210" s="96" t="str">
        <f t="shared" si="84"/>
        <v>"%USERPROFILE%\Documents\GitHub\eaglep3\Utilities\RefineRTDCRunTimes.py" --tripid 305-05 --locoid 4018 --swversion DE.1.0.7.0 --startMP 204:460 --initTime 2016-10-05T19:13:13 --startdatetime 1969-12-31T17:00:00 --delay 1 --endMP 300:21445 --enddatetime 1969-12-31T17:00:00 --enforcementcount 0 &gt;&gt;C:\Users\stu\Documents\GitHub\eaglep3-reporting\EC\2016-10-05-refined-times.txt</v>
      </c>
      <c r="AI210" s="130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{"issue":{"subject":"","project_id":79,"tracker_id":40,"status_id":1,"priority_id":2,"assigned_to_id":23,"start_date":"1969-12-31","description":"","custom_fields":[{"id":1,"name":"Subdivision","value":"Other"},{"id":4,"name":"Milepost","value":"2.1445"},{"id":17,"name":"Train ID","value":"305-05"},{"id":16,"name":"Locomotive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435</v>
      </c>
      <c r="B211" s="7">
        <v>4039</v>
      </c>
      <c r="C211" s="24" t="s">
        <v>106</v>
      </c>
      <c r="D211" s="24" t="s">
        <v>671</v>
      </c>
      <c r="E211" s="15">
        <v>42648.161631944444</v>
      </c>
      <c r="F211" s="15">
        <v>42648.162997685184</v>
      </c>
      <c r="G211" s="7">
        <v>1</v>
      </c>
      <c r="H211" s="15" t="s">
        <v>239</v>
      </c>
      <c r="I211" s="15">
        <v>42648.169942129629</v>
      </c>
      <c r="J211" s="7">
        <v>0</v>
      </c>
      <c r="K211" s="117" t="str">
        <f t="shared" si="98"/>
        <v>4039/4040</v>
      </c>
      <c r="L211" s="24" t="str">
        <f>VLOOKUP(A211,'Trips&amp;Operators'!$C$1:$E$10000,3,FALSE)</f>
        <v>STRICKLAND</v>
      </c>
      <c r="M211" s="6">
        <f t="shared" si="99"/>
        <v>6.9444444452528842E-3</v>
      </c>
      <c r="N211" s="7">
        <f t="shared" si="109"/>
        <v>10.000000001164153</v>
      </c>
      <c r="O211" s="7"/>
      <c r="P211" s="7"/>
      <c r="Q211" s="25"/>
      <c r="R211" s="25"/>
      <c r="S211" s="37">
        <f t="shared" si="107"/>
        <v>1</v>
      </c>
      <c r="T211" s="52" t="str">
        <f t="shared" si="110"/>
        <v>Southbound</v>
      </c>
      <c r="U211" s="159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02:52:45-0600',mode:absolute,to:'2016-10-05 05:04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11" s="54" t="str">
        <f t="shared" si="101"/>
        <v>Y</v>
      </c>
      <c r="X211" s="164">
        <f t="shared" si="108"/>
        <v>1</v>
      </c>
      <c r="Y211" s="69">
        <f t="shared" si="102"/>
        <v>2.1974999999999998</v>
      </c>
      <c r="Z211" s="69">
        <f t="shared" si="103"/>
        <v>1.61E-2</v>
      </c>
      <c r="AA211" s="69">
        <f t="shared" si="104"/>
        <v>2.1814</v>
      </c>
      <c r="AB211" s="66" t="e">
        <f>VLOOKUP(A211,Enforcements!$C$7:$K$21,8,0)</f>
        <v>#N/A</v>
      </c>
      <c r="AC211" s="62" t="e">
        <f>VLOOKUP(A211,Enforcements!$C$7:$E$21,3,0)</f>
        <v>#N/A</v>
      </c>
      <c r="AD211" s="63" t="str">
        <f t="shared" si="111"/>
        <v>0306-05</v>
      </c>
      <c r="AE211" s="95" t="str">
        <f t="shared" si="105"/>
        <v>aws s3 cp s3://rtdc.mdm.uploadarchive.raw/RTDC4039/ "%USERPROFILE%\AppData\Local\Temp\OnboardLogs"\RTDC4039\2016-10-05 --exclude "*" --recursive --include "*20161005*" &amp; "%USERPROFILE%\Documents\GitHub\mrs-test-scripts\Headless Mode &amp; Sideloading\WalkAndUnGZ.bat" "%USERPROFILE%\AppData\Local\Temp\OnboardLogs"\RTDC4039\2016-10-05 &amp; aws s3 cp s3://rtdc.mdm.uploadarchive.raw/RTDC4039/ "%USERPROFILE%\AppData\Local\Temp\OnboardLogs"\RTDC4039\2016-10-06 --exclude "*" --recursive --include "*20161006*" &amp; "%USERPROFILE%\Documents\GitHub\mrs-test-scripts\Headless Mode &amp; Sideloading\WalkAndUnGZ.bat" "%USERPROFILE%\AppData\Local\Temp\OnboardLogs"\RTDC4039\2016-10-06</v>
      </c>
      <c r="AF211" s="92" t="str">
        <f t="shared" si="106"/>
        <v>"C:\Program Files (x86)\AstroGrep\AstroGrep.exe" /spath="%USERPROFILE%\AppData\Local\Temp\OnboardLogs" /stypes="app*4039*20161005*" /stext=" 10:.+((SYSTEM_STATE.+slice.+state.+changed )|(ment ac)|(system.+state.+changed )|(\[timeout)|(PRM\|1\|D)|(kpr)|(kdp)|(\|lc)|(penalty))" /e /r /s</v>
      </c>
      <c r="AG211" s="1" t="str">
        <f t="shared" si="112"/>
        <v>Other</v>
      </c>
      <c r="AH211" s="96" t="str">
        <f t="shared" ref="AH211:AH245" si="113">refinertdcruntimes&amp;" --tripid "&amp;A211&amp;" --locoid "&amp;B211&amp;" --swversion "&amp;C211&amp;" --startMP "&amp;D211&amp;" --initTime "&amp;TEXT(E211,"yyyy-mm-ddTHH:MM:SS")&amp;" --startdatetime "&amp;TEXT(F211,"yyyy-mm-ddTHH:MM:SS")&amp;" --delay "&amp;G211&amp;" --endMP "&amp;H211&amp;" --enddatetime "&amp;TEXT(I211,"yyyy-mm-ddTHH:MM:SS")&amp;" --enforcementcount "&amp;J211&amp;IF(outputrefinedruntimes," &gt;&gt;"&amp;RefinedRTDCRunTimesOutputFile,"")</f>
        <v>"%USERPROFILE%\Documents\GitHub\eaglep3\Utilities\RefineRTDCRunTimes.py" --tripid 306-05 --locoid 4039 --swversion DE.1.0.7.0 --startMP 300:21975 --initTime 2016-10-05T03:52:45 --startdatetime 2016-10-05T03:54:43 --delay 1 --endMP 204:161 --enddatetime 2016-10-05T04:04:43 --enforcementcount 0 &gt;&gt;C:\Users\stu\Documents\GitHub\eaglep3-reporting\EC\2016-10-05-refined-times.txt</v>
      </c>
      <c r="AI211" s="130" t="str">
        <f t="shared" ref="AI211:AI245" si="114">"echo {""issue"":{""subject"":"""&amp;R211&amp;""",""project_id"":79,""tracker_id"":40,""status_id"":"&amp;redmine_status&amp;",""priority_id"":"&amp;redmine_priority&amp;",""assigned_to_id"":"&amp;redmine_assignee&amp;",""start_date"":"""&amp;TEXT(I211,"YYYY-mm-dd")&amp;""",""description"":"""&amp;AJ211&amp;""",""custom_fields"":[{""id"":1,""name"":""Subdivision"",""value"":"""&amp;AG211&amp;"""},{""id"":4,""name"":""Milepost"",""value"":"""&amp;Z211&amp;"""},{""id"":17,""name"":""Train ID"",""value"":"""&amp;A211&amp;"""},{""id"":16,""name"":""Locomotive ID"",""value"":"""&amp;B211&amp;"""},{""id"":130,""name"":""Impact"",""value"":"""&amp;AK211&amp;"""},{""id"":150,""name"":""Time of Event (Mountain Time)"",""value"":"""&amp;TEXT(I211,"hh:mm:ss")&amp;"""},{""id"":151,""name"":""Denver Issue ID"",""value"":"""&amp;"""},{""id"":178,""name"":""Operational Impact"",""value"":"""&amp;redmine_op_impact&amp;"""},{""id"":179,""name"":""Denver Segment Assigned"",""value"":"""&amp;AL211&amp;"""}]}}"&amp;"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{"issue":{"subject":"","project_id":79,"tracker_id":40,"status_id":1,"priority_id":2,"assigned_to_id":23,"start_date":"2016-10-05","description":"","custom_fields":[{"id":1,"name":"Subdivision","value":"Other"},{"id":4,"name":"Milepost","value":"0.0161"},{"id":17,"name":"Train ID","value":"306-05"},{"id":16,"name":"Locomotive ID","value":"4039"},{"id":130,"name":"Impact","value":""},{"id":150,"name":"Time of Event (Mountain Time)","value":"04:04:43"},{"id":151,"name":"Denver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423</v>
      </c>
      <c r="B212" s="7">
        <v>4027</v>
      </c>
      <c r="C212" s="24" t="s">
        <v>106</v>
      </c>
      <c r="D212" s="24" t="s">
        <v>672</v>
      </c>
      <c r="E212" s="15">
        <v>42648.818599537037</v>
      </c>
      <c r="F212" s="15">
        <v>25568.708333333332</v>
      </c>
      <c r="G212" s="7">
        <v>1</v>
      </c>
      <c r="H212" s="15" t="s">
        <v>673</v>
      </c>
      <c r="I212" s="15">
        <v>25568.708333333332</v>
      </c>
      <c r="J212" s="7">
        <v>0</v>
      </c>
      <c r="K212" s="117" t="str">
        <f t="shared" si="98"/>
        <v>4027/4028</v>
      </c>
      <c r="L212" s="24" t="str">
        <f>VLOOKUP(A212,'Trips&amp;Operators'!$C$1:$E$10000,3,FALSE)</f>
        <v>STAMBAUGH</v>
      </c>
      <c r="M212" s="6">
        <f t="shared" si="99"/>
        <v>0</v>
      </c>
      <c r="N212" s="7">
        <f t="shared" si="109"/>
        <v>0</v>
      </c>
      <c r="O212" s="7"/>
      <c r="P212" s="7"/>
      <c r="Q212" s="25"/>
      <c r="R212" s="25"/>
      <c r="S212" s="37">
        <f t="shared" si="107"/>
        <v>1</v>
      </c>
      <c r="T212" s="52" t="str">
        <f t="shared" si="110"/>
        <v>NorthBound</v>
      </c>
      <c r="U212" s="159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18:38:47-0600',mode:absolute,to:'1969-12-31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12" s="54" t="str">
        <f t="shared" si="101"/>
        <v>Y</v>
      </c>
      <c r="X212" s="164">
        <f t="shared" si="108"/>
        <v>1</v>
      </c>
      <c r="Y212" s="69">
        <f t="shared" si="102"/>
        <v>4.4999999999999998E-2</v>
      </c>
      <c r="Z212" s="69">
        <f t="shared" si="103"/>
        <v>2.3300999999999998</v>
      </c>
      <c r="AA212" s="69">
        <f t="shared" si="104"/>
        <v>2.2850999999999999</v>
      </c>
      <c r="AB212" s="66" t="e">
        <f>VLOOKUP(A212,Enforcements!$C$7:$K$21,8,0)</f>
        <v>#N/A</v>
      </c>
      <c r="AC212" s="62" t="e">
        <f>VLOOKUP(A212,Enforcements!$C$7:$E$21,3,0)</f>
        <v>#N/A</v>
      </c>
      <c r="AD212" s="63" t="str">
        <f t="shared" si="111"/>
        <v>0307-05</v>
      </c>
      <c r="AE212" s="95" t="str">
        <f t="shared" si="105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12" s="92" t="str">
        <f t="shared" si="106"/>
        <v>"C:\Program Files (x86)\AstroGrep\AstroGrep.exe" /spath="%USERPROFILE%\AppData\Local\Temp\OnboardLogs" /stypes="app*4027*19691231*" /stext=" 23:.+((SYSTEM_STATE.+slice.+state.+changed )|(ment ac)|(system.+state.+changed )|(\[timeout)|(PRM\|1\|D)|(kpr)|(kdp)|(\|lc)|(penalty))" /e /r /s</v>
      </c>
      <c r="AG212" s="1" t="str">
        <f t="shared" si="112"/>
        <v>Other</v>
      </c>
      <c r="AH212" s="96" t="str">
        <f t="shared" si="113"/>
        <v>"%USERPROFILE%\Documents\GitHub\eaglep3\Utilities\RefineRTDCRunTimes.py" --tripid 307-05 --locoid 4027 --swversion DE.1.0.7.0 --startMP 204:450 --initTime 2016-10-05T19:38:47 --startdatetime 1969-12-31T17:00:00 --delay 1 --endMP 300:23301 --enddatetime 1969-12-31T17:00:00 --enforcementcount 0 &gt;&gt;C:\Users\stu\Documents\GitHub\eaglep3-reporting\EC\2016-10-05-refined-times.txt</v>
      </c>
      <c r="AI212" s="130" t="str">
        <f t="shared" si="114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ID","value":"307-05"},{"id":16,"name":"Locomotive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437</v>
      </c>
      <c r="B213" s="7">
        <v>4008</v>
      </c>
      <c r="C213" s="24" t="s">
        <v>106</v>
      </c>
      <c r="D213" s="24" t="s">
        <v>674</v>
      </c>
      <c r="E213" s="15">
        <v>42648.170995370368</v>
      </c>
      <c r="F213" s="15">
        <v>42648.172476851854</v>
      </c>
      <c r="G213" s="7">
        <v>1</v>
      </c>
      <c r="H213" s="15" t="s">
        <v>205</v>
      </c>
      <c r="I213" s="15">
        <v>42648.18068287037</v>
      </c>
      <c r="J213" s="7">
        <v>0</v>
      </c>
      <c r="K213" s="117" t="str">
        <f t="shared" si="98"/>
        <v>4007/4008</v>
      </c>
      <c r="L213" s="24" t="str">
        <f>VLOOKUP(A213,'Trips&amp;Operators'!$C$1:$E$10000,3,FALSE)</f>
        <v>SPECTOR</v>
      </c>
      <c r="M213" s="6">
        <f t="shared" si="99"/>
        <v>8.2060185159207322E-3</v>
      </c>
      <c r="N213" s="7">
        <f t="shared" si="109"/>
        <v>11.816666662925854</v>
      </c>
      <c r="O213" s="7"/>
      <c r="P213" s="7"/>
      <c r="Q213" s="25"/>
      <c r="R213" s="25"/>
      <c r="S213" s="37">
        <f t="shared" si="107"/>
        <v>1</v>
      </c>
      <c r="T213" s="52" t="str">
        <f t="shared" si="110"/>
        <v>Southbound</v>
      </c>
      <c r="U213" s="159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03:06:14-0600',mode:absolute,to:'2016-10-05 05:20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13" s="54" t="str">
        <f t="shared" si="101"/>
        <v>Y</v>
      </c>
      <c r="X213" s="164">
        <f t="shared" si="108"/>
        <v>1</v>
      </c>
      <c r="Y213" s="69">
        <f t="shared" si="102"/>
        <v>2.3092999999999999</v>
      </c>
      <c r="Z213" s="69">
        <f t="shared" si="103"/>
        <v>1.38E-2</v>
      </c>
      <c r="AA213" s="69">
        <f t="shared" si="104"/>
        <v>2.2955000000000001</v>
      </c>
      <c r="AB213" s="66" t="e">
        <f>VLOOKUP(A213,Enforcements!$C$7:$K$21,8,0)</f>
        <v>#N/A</v>
      </c>
      <c r="AC213" s="62" t="e">
        <f>VLOOKUP(A213,Enforcements!$C$7:$E$21,3,0)</f>
        <v>#N/A</v>
      </c>
      <c r="AD213" s="63" t="str">
        <f t="shared" si="111"/>
        <v>0308-05</v>
      </c>
      <c r="AE213" s="95" t="str">
        <f t="shared" si="105"/>
        <v>aws s3 cp s3://rtdc.mdm.uploadarchive.raw/RTDC4008/ "%USERPROFILE%\AppData\Local\Temp\OnboardLogs"\RTDC4008\2016-10-05 --exclude "*" --recursive --include "*20161005*" &amp; "%USERPROFILE%\Documents\GitHub\mrs-test-scripts\Headless Mode &amp; Sideloading\WalkAndUnGZ.bat" "%USERPROFILE%\AppData\Local\Temp\OnboardLogs"\RTDC4008\2016-10-05 &amp; 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</v>
      </c>
      <c r="AF213" s="92" t="str">
        <f t="shared" si="106"/>
        <v>"C:\Program Files (x86)\AstroGrep\AstroGrep.exe" /spath="%USERPROFILE%\AppData\Local\Temp\OnboardLogs" /stypes="app*4008*20161005*" /stext=" 10:.+((SYSTEM_STATE.+slice.+state.+changed )|(ment ac)|(system.+state.+changed )|(\[timeout)|(PRM\|1\|D)|(kpr)|(kdp)|(\|lc)|(penalty))" /e /r /s</v>
      </c>
      <c r="AG213" s="1" t="str">
        <f t="shared" si="112"/>
        <v>Other</v>
      </c>
      <c r="AH213" s="96" t="str">
        <f t="shared" si="113"/>
        <v>"%USERPROFILE%\Documents\GitHub\eaglep3\Utilities\RefineRTDCRunTimes.py" --tripid 308-05 --locoid 4008 --swversion DE.1.0.7.0 --startMP 300:23093 --initTime 2016-10-05T04:06:14 --startdatetime 2016-10-05T04:08:22 --delay 1 --endMP 204:138 --enddatetime 2016-10-05T04:20:11 --enforcementcount 0 &gt;&gt;C:\Users\stu\Documents\GitHub\eaglep3-reporting\EC\2016-10-05-refined-times.txt</v>
      </c>
      <c r="AI213" s="130" t="str">
        <f t="shared" si="114"/>
        <v>echo {"issue":{"subject":"","project_id":79,"tracker_id":40,"status_id":1,"priority_id":2,"assigned_to_id":23,"start_date":"2016-10-05","description":"","custom_fields":[{"id":1,"name":"Subdivision","value":"Other"},{"id":4,"name":"Milepost","value":"0.0138"},{"id":17,"name":"Train ID","value":"308-05"},{"id":16,"name":"Locomotive ID","value":"4008"},{"id":130,"name":"Impact","value":""},{"id":150,"name":"Time of Event (Mountain Time)","value":"04:20:11"},{"id":151,"name":"Denver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598</v>
      </c>
      <c r="B214" s="7">
        <v>4007</v>
      </c>
      <c r="C214" s="24" t="s">
        <v>106</v>
      </c>
      <c r="D214" s="24" t="s">
        <v>200</v>
      </c>
      <c r="E214" s="15">
        <v>42649.033310185187</v>
      </c>
      <c r="F214" s="15">
        <v>42649.035243055558</v>
      </c>
      <c r="G214" s="7">
        <v>2</v>
      </c>
      <c r="H214" s="15" t="s">
        <v>675</v>
      </c>
      <c r="I214" s="15">
        <v>42649.040868055556</v>
      </c>
      <c r="J214" s="7">
        <v>0</v>
      </c>
      <c r="K214" s="117" t="str">
        <f t="shared" si="98"/>
        <v>4007/4008</v>
      </c>
      <c r="L214" s="24" t="str">
        <f>VLOOKUP(A214,'Trips&amp;Operators'!$C$1:$E$10000,3,FALSE)</f>
        <v>STURGEON</v>
      </c>
      <c r="M214" s="6">
        <f t="shared" si="99"/>
        <v>5.6249999979627319E-3</v>
      </c>
      <c r="N214" s="7">
        <f t="shared" si="109"/>
        <v>8.0999999970663339</v>
      </c>
      <c r="O214" s="7"/>
      <c r="P214" s="7"/>
      <c r="Q214" s="25"/>
      <c r="R214" s="25"/>
      <c r="S214" s="37">
        <f t="shared" si="107"/>
        <v>1</v>
      </c>
      <c r="T214" s="52" t="str">
        <f t="shared" si="110"/>
        <v>NorthBound</v>
      </c>
      <c r="U214" s="159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23:47:58-0600',mode:absolute,to:'2016-10-06 01:58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4" s="54" t="str">
        <f t="shared" si="101"/>
        <v>Y</v>
      </c>
      <c r="X214" s="164">
        <f t="shared" si="108"/>
        <v>1</v>
      </c>
      <c r="Y214" s="69">
        <f t="shared" si="102"/>
        <v>4.6600000000000003E-2</v>
      </c>
      <c r="Z214" s="69">
        <f t="shared" si="103"/>
        <v>2.3311999999999999</v>
      </c>
      <c r="AA214" s="69">
        <f t="shared" si="104"/>
        <v>2.2845999999999997</v>
      </c>
      <c r="AB214" s="66" t="e">
        <f>VLOOKUP(A214,Enforcements!$C$7:$K$21,8,0)</f>
        <v>#N/A</v>
      </c>
      <c r="AC214" s="62" t="e">
        <f>VLOOKUP(A214,Enforcements!$C$7:$E$21,3,0)</f>
        <v>#N/A</v>
      </c>
      <c r="AD214" s="63" t="str">
        <f t="shared" si="111"/>
        <v>0309-05</v>
      </c>
      <c r="AE214" s="95" t="str">
        <f t="shared" si="105"/>
        <v>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 &amp; aws s3 cp s3://rtdc.mdm.uploadarchive.raw/RTDC4007/ "%USERPROFILE%\AppData\Local\Temp\OnboardLogs"\RTDC4007\2016-10-07 --exclude "*" --recursive --include "*20161007*" &amp; "%USERPROFILE%\Documents\GitHub\mrs-test-scripts\Headless Mode &amp; Sideloading\WalkAndUnGZ.bat" "%USERPROFILE%\AppData\Local\Temp\OnboardLogs"\RTDC4007\2016-10-07</v>
      </c>
      <c r="AF214" s="92" t="str">
        <f t="shared" si="106"/>
        <v>"C:\Program Files (x86)\AstroGrep\AstroGrep.exe" /spath="%USERPROFILE%\AppData\Local\Temp\OnboardLogs" /stypes="app*4007*20161006*" /stext=" 06:.+((SYSTEM_STATE.+slice.+state.+changed )|(ment ac)|(system.+state.+changed )|(\[timeout)|(PRM\|1\|D)|(kpr)|(kdp)|(\|lc)|(penalty))" /e /r /s</v>
      </c>
      <c r="AG214" s="1" t="str">
        <f t="shared" si="112"/>
        <v>Other</v>
      </c>
      <c r="AH214" s="96" t="str">
        <f t="shared" si="113"/>
        <v>"%USERPROFILE%\Documents\GitHub\eaglep3\Utilities\RefineRTDCRunTimes.py" --tripid 309-05 --locoid 4007 --swversion DE.1.0.7.0 --startMP 204:466 --initTime 2016-10-06T00:47:58 --startdatetime 2016-10-06T00:50:45 --delay 2 --endMP 300:23312 --enddatetime 2016-10-06T00:58:51 --enforcementcount 0 &gt;&gt;C:\Users\stu\Documents\GitHub\eaglep3-reporting\EC\2016-10-05-refined-times.txt</v>
      </c>
      <c r="AI214" s="130" t="str">
        <f t="shared" si="114"/>
        <v>echo {"issue":{"subject":"","project_id":79,"tracker_id":40,"status_id":1,"priority_id":2,"assigned_to_id":23,"start_date":"2016-10-06","description":"","custom_fields":[{"id":1,"name":"Subdivision","value":"Other"},{"id":4,"name":"Milepost","value":"2.3312"},{"id":17,"name":"Train ID","value":"309-05"},{"id":16,"name":"Locomotive ID","value":"4007"},{"id":130,"name":"Impact","value":""},{"id":150,"name":"Time of Event (Mountain Time)","value":"00:58:51"},{"id":151,"name":"Denver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439</v>
      </c>
      <c r="B215" s="7">
        <v>4017</v>
      </c>
      <c r="C215" s="24" t="s">
        <v>106</v>
      </c>
      <c r="D215" s="24" t="s">
        <v>676</v>
      </c>
      <c r="E215" s="15">
        <v>42648.178078703706</v>
      </c>
      <c r="F215" s="15">
        <v>42648.17931712963</v>
      </c>
      <c r="G215" s="7">
        <v>1</v>
      </c>
      <c r="H215" s="15" t="s">
        <v>194</v>
      </c>
      <c r="I215" s="15">
        <v>42648.185416666667</v>
      </c>
      <c r="J215" s="7">
        <v>0</v>
      </c>
      <c r="K215" s="117" t="str">
        <f t="shared" si="98"/>
        <v>4017/4018</v>
      </c>
      <c r="L215" s="24" t="str">
        <f>VLOOKUP(A215,'Trips&amp;Operators'!$C$1:$E$10000,3,FALSE)</f>
        <v>KILLION</v>
      </c>
      <c r="M215" s="6">
        <f t="shared" si="99"/>
        <v>6.0995370367891155E-3</v>
      </c>
      <c r="N215" s="7">
        <f t="shared" si="109"/>
        <v>8.7833333329763263</v>
      </c>
      <c r="O215" s="7"/>
      <c r="P215" s="7"/>
      <c r="Q215" s="25"/>
      <c r="R215" s="25"/>
      <c r="S215" s="37">
        <f t="shared" si="107"/>
        <v>1</v>
      </c>
      <c r="T215" s="52" t="str">
        <f t="shared" si="110"/>
        <v>Southbound</v>
      </c>
      <c r="U215" s="159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03:16:26-0600',mode:absolute,to:'2016-10-05 05:27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15" s="54" t="str">
        <f t="shared" si="101"/>
        <v>Y</v>
      </c>
      <c r="X215" s="164">
        <f t="shared" si="108"/>
        <v>1</v>
      </c>
      <c r="Y215" s="69">
        <f t="shared" si="102"/>
        <v>2.1846000000000001</v>
      </c>
      <c r="Z215" s="69">
        <f t="shared" si="103"/>
        <v>1.47E-2</v>
      </c>
      <c r="AA215" s="69">
        <f t="shared" si="104"/>
        <v>2.1699000000000002</v>
      </c>
      <c r="AB215" s="66" t="e">
        <f>VLOOKUP(A215,Enforcements!$C$7:$K$21,8,0)</f>
        <v>#N/A</v>
      </c>
      <c r="AC215" s="62" t="e">
        <f>VLOOKUP(A215,Enforcements!$C$7:$E$21,3,0)</f>
        <v>#N/A</v>
      </c>
      <c r="AD215" s="63" t="str">
        <f t="shared" si="111"/>
        <v>0310-05</v>
      </c>
      <c r="AE215" s="95" t="str">
        <f t="shared" si="105"/>
        <v>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 &amp; aws s3 cp s3://rtdc.mdm.uploadarchive.raw/RTDC4017/ "%USERPROFILE%\AppData\Local\Temp\OnboardLogs"\RTDC4017\2016-10-06 --exclude "*" --recursive --include "*20161006*" &amp; "%USERPROFILE%\Documents\GitHub\mrs-test-scripts\Headless Mode &amp; Sideloading\WalkAndUnGZ.bat" "%USERPROFILE%\AppData\Local\Temp\OnboardLogs"\RTDC4017\2016-10-06</v>
      </c>
      <c r="AF215" s="92" t="str">
        <f t="shared" si="106"/>
        <v>"C:\Program Files (x86)\AstroGrep\AstroGrep.exe" /spath="%USERPROFILE%\AppData\Local\Temp\OnboardLogs" /stypes="app*4017*20161005*" /stext=" 10:.+((SYSTEM_STATE.+slice.+state.+changed )|(ment ac)|(system.+state.+changed )|(\[timeout)|(PRM\|1\|D)|(kpr)|(kdp)|(\|lc)|(penalty))" /e /r /s</v>
      </c>
      <c r="AG215" s="1" t="str">
        <f t="shared" si="112"/>
        <v>Other</v>
      </c>
      <c r="AH215" s="96" t="str">
        <f t="shared" si="113"/>
        <v>"%USERPROFILE%\Documents\GitHub\eaglep3\Utilities\RefineRTDCRunTimes.py" --tripid 310-05 --locoid 4017 --swversion DE.1.0.7.0 --startMP 300:21846 --initTime 2016-10-05T04:16:26 --startdatetime 2016-10-05T04:18:13 --delay 1 --endMP 204:147 --enddatetime 2016-10-05T04:27:00 --enforcementcount 0 &gt;&gt;C:\Users\stu\Documents\GitHub\eaglep3-reporting\EC\2016-10-05-refined-times.txt</v>
      </c>
      <c r="AI215" s="130" t="str">
        <f t="shared" si="114"/>
        <v>echo {"issue":{"subject":"","project_id":79,"tracker_id":40,"status_id":1,"priority_id":2,"assigned_to_id":23,"start_date":"2016-10-05","description":"","custom_fields":[{"id":1,"name":"Subdivision","value":"Other"},{"id":4,"name":"Milepost","value":"0.0147"},{"id":17,"name":"Train ID","value":"310-05"},{"id":16,"name":"Locomotive ID","value":"4017"},{"id":130,"name":"Impact","value":""},{"id":150,"name":"Time of Event (Mountain Time)","value":"04:27:00"},{"id":151,"name":"Denver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600</v>
      </c>
      <c r="B216" s="7">
        <v>4003</v>
      </c>
      <c r="C216" s="24" t="s">
        <v>106</v>
      </c>
      <c r="D216" s="24" t="s">
        <v>202</v>
      </c>
      <c r="E216" s="15">
        <v>42649.04546296296</v>
      </c>
      <c r="F216" s="15">
        <v>25568.708333333332</v>
      </c>
      <c r="G216" s="7">
        <v>1</v>
      </c>
      <c r="H216" s="15" t="s">
        <v>677</v>
      </c>
      <c r="I216" s="15">
        <v>25568.708333333332</v>
      </c>
      <c r="J216" s="7">
        <v>0</v>
      </c>
      <c r="K216" s="117" t="str">
        <f t="shared" si="98"/>
        <v>4003/4004</v>
      </c>
      <c r="L216" s="24" t="str">
        <f>VLOOKUP(A216,'Trips&amp;Operators'!$C$1:$E$10000,3,FALSE)</f>
        <v>YANAI</v>
      </c>
      <c r="M216" s="6">
        <f t="shared" si="99"/>
        <v>0</v>
      </c>
      <c r="N216" s="7">
        <f t="shared" si="109"/>
        <v>0</v>
      </c>
      <c r="O216" s="7"/>
      <c r="P216" s="7"/>
      <c r="Q216" s="25"/>
      <c r="R216" s="25"/>
      <c r="S216" s="37">
        <f t="shared" si="107"/>
        <v>1</v>
      </c>
      <c r="T216" s="52" t="str">
        <f t="shared" si="110"/>
        <v>NorthBound</v>
      </c>
      <c r="U216" s="159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https://search-rtdc-monitor-bjffxe2xuh6vdkpspy63sjmuny.us-east-1.es.amazonaws.com/_plugin/kibana/#/discover/Steve-Slow-Train-Analysis-(2080s-and-2083s)?_g=(refreshInterval:(display:Off,section:0,value:0),time:(from:'2016-10-06 00:05:28-0600',mode:absolute,to:'1969-12-31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6" s="54" t="str">
        <f t="shared" si="101"/>
        <v>Y</v>
      </c>
      <c r="X216" s="164">
        <f t="shared" si="108"/>
        <v>1</v>
      </c>
      <c r="Y216" s="69">
        <f t="shared" si="102"/>
        <v>4.5499999999999999E-2</v>
      </c>
      <c r="Z216" s="69">
        <f t="shared" si="103"/>
        <v>2.3014999999999999</v>
      </c>
      <c r="AA216" s="69">
        <f t="shared" si="104"/>
        <v>2.2559999999999998</v>
      </c>
      <c r="AB216" s="66" t="e">
        <f>VLOOKUP(A216,Enforcements!$C$7:$K$21,8,0)</f>
        <v>#N/A</v>
      </c>
      <c r="AC216" s="62" t="e">
        <f>VLOOKUP(A216,Enforcements!$C$7:$E$21,3,0)</f>
        <v>#N/A</v>
      </c>
      <c r="AD216" s="63" t="str">
        <f t="shared" si="111"/>
        <v>0311-05</v>
      </c>
      <c r="AE216" s="95" t="str">
        <f t="shared" si="105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16" s="92" t="str">
        <f t="shared" si="106"/>
        <v>"C:\Program Files (x86)\AstroGrep\AstroGrep.exe" /spath="%USERPROFILE%\AppData\Local\Temp\OnboardLogs" /stypes="app*4003*19691231*" /stext=" 23:.+((SYSTEM_STATE.+slice.+state.+changed )|(ment ac)|(system.+state.+changed )|(\[timeout)|(PRM\|1\|D)|(kpr)|(kdp)|(\|lc)|(penalty))" /e /r /s</v>
      </c>
      <c r="AG216" s="1" t="str">
        <f t="shared" si="112"/>
        <v>Other</v>
      </c>
      <c r="AH216" s="96" t="str">
        <f t="shared" si="113"/>
        <v>"%USERPROFILE%\Documents\GitHub\eaglep3\Utilities\RefineRTDCRunTimes.py" --tripid 311-05 --locoid 4003 --swversion DE.1.0.7.0 --startMP 204:455 --initTime 2016-10-06T01:05:28 --startdatetime 1969-12-31T17:00:00 --delay 1 --endMP 300:23015 --enddatetime 1969-12-31T17:00:00 --enforcementcount 0 &gt;&gt;C:\Users\stu\Documents\GitHub\eaglep3-reporting\EC\2016-10-05-refined-times.txt</v>
      </c>
      <c r="AI216" s="130" t="str">
        <f t="shared" si="114"/>
        <v>echo {"issue":{"subject":"","project_id":79,"tracker_id":40,"status_id":1,"priority_id":2,"assigned_to_id":23,"start_date":"1969-12-31","description":"","custom_fields":[{"id":1,"name":"Subdivision","value":"Other"},{"id":4,"name":"Milepost","value":"2.3015"},{"id":17,"name":"Train ID","value":"311-05"},{"id":16,"name":"Locomotive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321</v>
      </c>
      <c r="B217" s="7">
        <v>4042</v>
      </c>
      <c r="C217" s="24" t="s">
        <v>106</v>
      </c>
      <c r="D217" s="24" t="s">
        <v>346</v>
      </c>
      <c r="E217" s="15">
        <v>42648.074548611112</v>
      </c>
      <c r="F217" s="15">
        <v>25568.708333333332</v>
      </c>
      <c r="G217" s="7">
        <v>1</v>
      </c>
      <c r="H217" s="15" t="s">
        <v>347</v>
      </c>
      <c r="I217" s="15">
        <v>25568.708333333332</v>
      </c>
      <c r="J217" s="7">
        <v>0</v>
      </c>
      <c r="K217" s="117" t="str">
        <f t="shared" si="98"/>
        <v>4041/4042</v>
      </c>
      <c r="L217" s="24" t="str">
        <f>VLOOKUP(A217,'Trips&amp;Operators'!$C$1:$E$10000,3,FALSE)</f>
        <v>YANAI</v>
      </c>
      <c r="M217" s="6">
        <f t="shared" si="99"/>
        <v>0</v>
      </c>
      <c r="N217" s="7">
        <f t="shared" si="109"/>
        <v>0</v>
      </c>
      <c r="O217" s="7"/>
      <c r="P217" s="7"/>
      <c r="Q217" s="25"/>
      <c r="R217" s="25"/>
      <c r="S217" s="37">
        <f t="shared" si="107"/>
        <v>1</v>
      </c>
      <c r="T217" s="52" t="str">
        <f t="shared" si="110"/>
        <v>NorthBound</v>
      </c>
      <c r="U217" s="159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02" t="str">
        <f t="shared" si="100"/>
        <v>https://search-rtdc-monitor-bjffxe2xuh6vdkpspy63sjmuny.us-east-1.es.amazonaws.com/_plugin/kibana/#/discover/Steve-Slow-Train-Analysis-(2080s-and-2083s)?_g=(refreshInterval:(display:Off,section:0,value:0),time:(from:'2016-10-05 00:47:21-0600',mode:absolute,to:'1969-12-31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7" s="54" t="str">
        <f t="shared" si="101"/>
        <v>Y</v>
      </c>
      <c r="X217" s="164">
        <f t="shared" si="108"/>
        <v>2</v>
      </c>
      <c r="Y217" s="69">
        <f t="shared" si="102"/>
        <v>5.2600000000000001E-2</v>
      </c>
      <c r="Z217" s="69">
        <f t="shared" si="103"/>
        <v>2.2437999999999998</v>
      </c>
      <c r="AA217" s="69">
        <f t="shared" si="104"/>
        <v>2.1911999999999998</v>
      </c>
      <c r="AB217" s="66" t="e">
        <f>VLOOKUP(A217,Enforcements!$C$7:$K$21,8,0)</f>
        <v>#N/A</v>
      </c>
      <c r="AC217" s="62" t="e">
        <f>VLOOKUP(A217,Enforcements!$C$7:$E$21,3,0)</f>
        <v>#N/A</v>
      </c>
      <c r="AD217" s="63" t="str">
        <f t="shared" si="111"/>
        <v>0313-04</v>
      </c>
      <c r="AE217" s="95" t="str">
        <f t="shared" si="105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17" s="92" t="str">
        <f t="shared" si="106"/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17" s="1" t="str">
        <f t="shared" si="112"/>
        <v>Other</v>
      </c>
      <c r="AH217" s="96" t="str">
        <f t="shared" si="113"/>
        <v>"%USERPROFILE%\Documents\GitHub\eaglep3\Utilities\RefineRTDCRunTimes.py" --tripid 313-04 --locoid 4042 --swversion DE.1.0.7.0 --startMP 204:526 --initTime 2016-10-05T01:47:21 --startdatetime 1969-12-31T17:00:00 --delay 1 --endMP 300:22438 --enddatetime 1969-12-31T17:00:00 --enforcementcount 0 &gt;&gt;C:\Users\stu\Documents\GitHub\eaglep3-reporting\EC\2016-10-05-refined-times.txt</v>
      </c>
      <c r="AI217" s="130" t="str">
        <f t="shared" si="114"/>
        <v>echo {"issue":{"subject":"","project_id":79,"tracker_id":40,"status_id":1,"priority_id":2,"assigned_to_id":23,"start_date":"1969-12-31","description":"","custom_fields":[{"id":1,"name":"Subdivision","value":"Other"},{"id":4,"name":"Milepost","value":"2.2438"},{"id":17,"name":"Train ID","value":"313-04"},{"id":16,"name":"Locomotive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602</v>
      </c>
      <c r="B218" s="7">
        <v>4016</v>
      </c>
      <c r="C218" s="24" t="s">
        <v>106</v>
      </c>
      <c r="D218" s="24" t="s">
        <v>240</v>
      </c>
      <c r="E218" s="15">
        <v>42649.069351851853</v>
      </c>
      <c r="F218" s="15">
        <v>25568.708333333332</v>
      </c>
      <c r="G218" s="7">
        <v>1</v>
      </c>
      <c r="H218" s="15" t="s">
        <v>296</v>
      </c>
      <c r="I218" s="15">
        <v>25568.708333333332</v>
      </c>
      <c r="J218" s="7">
        <v>0</v>
      </c>
      <c r="K218" s="117" t="str">
        <f t="shared" ref="K218:K245" si="115">IF(ISEVEN(B218),(B218-1)&amp;"/"&amp;B218,B218&amp;"/"&amp;(B218+1))</f>
        <v>4015/4016</v>
      </c>
      <c r="L218" s="24" t="str">
        <f>VLOOKUP(A218,'Trips&amp;Operators'!$C$1:$E$10000,3,FALSE)</f>
        <v>LEVIN</v>
      </c>
      <c r="M218" s="6">
        <f t="shared" ref="M218:M245" si="116">I218-F218</f>
        <v>0</v>
      </c>
      <c r="N218" s="7">
        <f t="shared" si="109"/>
        <v>0</v>
      </c>
      <c r="O218" s="7"/>
      <c r="P218" s="7"/>
      <c r="Q218" s="25"/>
      <c r="R218" s="25"/>
      <c r="S218" s="37">
        <f t="shared" si="107"/>
        <v>1</v>
      </c>
      <c r="T218" s="52" t="str">
        <f t="shared" si="110"/>
        <v>NorthBound</v>
      </c>
      <c r="U218" s="159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02" t="str">
        <f t="shared" ref="V218:V245" si="117">"https://search-rtdc-monitor-bjffxe2xuh6vdkpspy63sjmuny.us-east-1.es.amazonaws.com/_plugin/kibana/#/discover/Steve-Slow-Train-Analysis-(2080s-and-2083s)?_g=(refreshInterval:(display:Off,section:0,value:0),time:(from:'"&amp;TEXT(E218-1/24,"yyyy-MM-DD hh:mm:ss")&amp;"-0600',mode:absolute,to:'"&amp;TEXT(I218+1/24,"yyyy-MM-DD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218&amp;"%22')),sort:!(Time,asc))"</f>
        <v>https://search-rtdc-monitor-bjffxe2xuh6vdkpspy63sjmuny.us-east-1.es.amazonaws.com/_plugin/kibana/#/discover/Steve-Slow-Train-Analysis-(2080s-and-2083s)?_g=(refreshInterval:(display:Off,section:0,value:0),time:(from:'2016-10-06 00:39:52-0600',mode:absolute,to:'1969-12-31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8" s="54" t="str">
        <f t="shared" ref="W218:W245" si="118">IF(AA218&lt;IF(AG218="EC",23,5.65),"Y","N")</f>
        <v>Y</v>
      </c>
      <c r="X218" s="164">
        <f t="shared" si="108"/>
        <v>0</v>
      </c>
      <c r="Y218" s="69">
        <f t="shared" ref="Y218:Y245" si="119">RIGHT(D218,LEN(D218)-4)/10000</f>
        <v>4.7699999999999999E-2</v>
      </c>
      <c r="Z218" s="69">
        <f t="shared" ref="Z218:Z245" si="120">RIGHT(H218,LEN(H218)-4)/10000</f>
        <v>2.3306</v>
      </c>
      <c r="AA218" s="69">
        <f t="shared" ref="AA218:AA245" si="121">ABS(Z218-Y218)</f>
        <v>2.2829000000000002</v>
      </c>
      <c r="AB218" s="66" t="e">
        <f>VLOOKUP(A218,Enforcements!$C$7:$K$21,8,0)</f>
        <v>#N/A</v>
      </c>
      <c r="AC218" s="62" t="e">
        <f>VLOOKUP(A218,Enforcements!$C$7:$E$21,3,0)</f>
        <v>#N/A</v>
      </c>
      <c r="AD218" s="63" t="str">
        <f t="shared" si="111"/>
        <v>0313-05</v>
      </c>
      <c r="AE218" s="95" t="str">
        <f t="shared" ref="AE218:AE245" si="122"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8" s="92" t="str">
        <f t="shared" ref="AF218:AF245" si="123">astrogrep_path&amp;" /spath="&amp;search_path&amp;" /stypes=""app*"&amp;B218&amp;"*"&amp;TEXT(I218-utc_offset/24,"YYYYMMDD")&amp;"*"" /stext="" "&amp;TEXT(I218-utc_offset/24,"HH")&amp;search_regexp&amp;""" /e /r /s"</f>
        <v>"C:\Program Files (x86)\AstroGrep\AstroGrep.exe" /spath="%USERPROFILE%\AppData\Local\Temp\OnboardLogs" /stypes="app*4016*19691231*" /stext=" 23:.+((SYSTEM_STATE.+slice.+state.+changed )|(ment ac)|(system.+state.+changed )|(\[timeout)|(PRM\|1\|D)|(kpr)|(kdp)|(\|lc)|(penalty))" /e /r /s</v>
      </c>
      <c r="AG218" s="1" t="str">
        <f t="shared" si="112"/>
        <v>Other</v>
      </c>
      <c r="AH218" s="96" t="str">
        <f t="shared" si="113"/>
        <v>"%USERPROFILE%\Documents\GitHub\eaglep3\Utilities\RefineRTDCRunTimes.py" --tripid 313-05 --locoid 4016 --swversion DE.1.0.7.0 --startMP 204:477 --initTime 2016-10-06T01:39:52 --startdatetime 1969-12-31T17:00:00 --delay 1 --endMP 300:23306 --enddatetime 1969-12-31T17:00:00 --enforcementcount 0 &gt;&gt;C:\Users\stu\Documents\GitHub\eaglep3-reporting\EC\2016-10-05-refined-times.txt</v>
      </c>
      <c r="AI218" s="130" t="str">
        <f t="shared" si="114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ID","value":"313-05"},{"id":16,"name":"Locomotive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319</v>
      </c>
      <c r="B219" s="7">
        <v>4051</v>
      </c>
      <c r="C219" s="24" t="s">
        <v>348</v>
      </c>
      <c r="D219" s="24" t="s">
        <v>678</v>
      </c>
      <c r="E219" s="15">
        <v>42648.138275462959</v>
      </c>
      <c r="F219" s="15">
        <v>42648.158726851849</v>
      </c>
      <c r="G219" s="7">
        <v>0</v>
      </c>
      <c r="H219" s="15" t="s">
        <v>679</v>
      </c>
      <c r="I219" s="15">
        <v>42648.175393518519</v>
      </c>
      <c r="J219" s="7">
        <v>0</v>
      </c>
      <c r="K219" s="117" t="str">
        <f t="shared" si="115"/>
        <v>4051/4052</v>
      </c>
      <c r="L219" s="24" t="b">
        <f>VLOOKUP(A219,'Trips&amp;Operators'!$C$1:$E$10000,3,FALSE)</f>
        <v>1</v>
      </c>
      <c r="M219" s="6">
        <f t="shared" si="116"/>
        <v>1.6666666670062114E-2</v>
      </c>
      <c r="N219" s="7">
        <f t="shared" si="109"/>
        <v>24.000000004889444</v>
      </c>
      <c r="O219" s="7"/>
      <c r="P219" s="7"/>
      <c r="Q219" s="25"/>
      <c r="R219" s="25"/>
      <c r="S219" s="37">
        <f t="shared" si="107"/>
        <v>1</v>
      </c>
      <c r="T219" s="52" t="str">
        <f t="shared" si="110"/>
        <v>NorthBound</v>
      </c>
      <c r="U219" s="159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02" t="str">
        <f t="shared" si="117"/>
        <v>https://search-rtdc-monitor-bjffxe2xuh6vdkpspy63sjmuny.us-east-1.es.amazonaws.com/_plugin/kibana/#/discover/Steve-Slow-Train-Analysis-(2080s-and-2083s)?_g=(refreshInterval:(display:Off,section:0,value:0),time:(from:'2016-10-05 02:19:07-0600',mode:absolute,to:'2016-10-05 05:12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9" s="54" t="str">
        <f t="shared" si="118"/>
        <v>N</v>
      </c>
      <c r="X219" s="164">
        <f t="shared" si="108"/>
        <v>2</v>
      </c>
      <c r="Y219" s="69">
        <f t="shared" si="119"/>
        <v>1.0652999999999999</v>
      </c>
      <c r="Z219" s="69">
        <f t="shared" si="120"/>
        <v>12.8003</v>
      </c>
      <c r="AA219" s="69">
        <f t="shared" si="121"/>
        <v>11.734999999999999</v>
      </c>
      <c r="AB219" s="66" t="e">
        <f>VLOOKUP(A219,Enforcements!$C$7:$K$21,8,0)</f>
        <v>#N/A</v>
      </c>
      <c r="AC219" s="62" t="e">
        <f>VLOOKUP(A219,Enforcements!$C$7:$E$21,3,0)</f>
        <v>#N/A</v>
      </c>
      <c r="AD219" s="63" t="str">
        <f t="shared" si="111"/>
        <v>0315-04</v>
      </c>
      <c r="AE219" s="95" t="str">
        <f t="shared" si="122"/>
        <v>aws s3 cp s3://rtdc.mdm.uploadarchive.raw/RTDC4051/ "%USERPROFILE%\AppData\Local\Temp\OnboardLogs"\RTDC4051\2016-10-05 --exclude "*" --recursive --include "*20161005*" &amp; "%USERPROFILE%\Documents\GitHub\mrs-test-scripts\Headless Mode &amp; Sideloading\WalkAndUnGZ.bat" "%USERPROFILE%\AppData\Local\Temp\OnboardLogs"\RTDC4051\2016-10-05 &amp; aws s3 cp s3://rtdc.mdm.uploadarchive.raw/RTDC4051/ "%USERPROFILE%\AppData\Local\Temp\OnboardLogs"\RTDC4051\2016-10-06 --exclude "*" --recursive --include "*20161006*" &amp; "%USERPROFILE%\Documents\GitHub\mrs-test-scripts\Headless Mode &amp; Sideloading\WalkAndUnGZ.bat" "%USERPROFILE%\AppData\Local\Temp\OnboardLogs"\RTDC4051\2016-10-06</v>
      </c>
      <c r="AF219" s="92" t="str">
        <f t="shared" si="123"/>
        <v>"C:\Program Files (x86)\AstroGrep\AstroGrep.exe" /spath="%USERPROFILE%\AppData\Local\Temp\OnboardLogs" /stypes="app*4051*20161005*" /stext=" 10:.+((SYSTEM_STATE.+slice.+state.+changed )|(ment ac)|(system.+state.+changed )|(\[timeout)|(PRM\|1\|D)|(kpr)|(kdp)|(\|lc)|(penalty))" /e /r /s</v>
      </c>
      <c r="AG219" s="1" t="str">
        <f t="shared" si="112"/>
        <v>Other</v>
      </c>
      <c r="AH219" s="96" t="str">
        <f t="shared" si="113"/>
        <v>"%USERPROFILE%\Documents\GitHub\eaglep3\Utilities\RefineRTDCRunTimes.py" --tripid 315-04 --locoid 4051 --swversion DE.1.0.8.0 --startMP 204:10653 --initTime 2016-10-05T03:19:07 --startdatetime 2016-10-05T03:48:34 --delay 0 --endMP 204:128003 --enddatetime 2016-10-05T04:12:34 --enforcementcount 0 &gt;&gt;C:\Users\stu\Documents\GitHub\eaglep3-reporting\EC\2016-10-05-refined-times.txt</v>
      </c>
      <c r="AI219" s="130" t="str">
        <f t="shared" si="114"/>
        <v>echo {"issue":{"subject":"","project_id":79,"tracker_id":40,"status_id":1,"priority_id":2,"assigned_to_id":23,"start_date":"2016-10-05","description":"","custom_fields":[{"id":1,"name":"Subdivision","value":"Other"},{"id":4,"name":"Milepost","value":"12.8003"},{"id":17,"name":"Train ID","value":"315-04"},{"id":16,"name":"Locomotive ID","value":"4051"},{"id":130,"name":"Impact","value":""},{"id":150,"name":"Time of Event (Mountain Time)","value":"04:12:34"},{"id":151,"name":"Denver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319</v>
      </c>
      <c r="B220" s="7">
        <v>4051</v>
      </c>
      <c r="C220" s="24" t="s">
        <v>348</v>
      </c>
      <c r="D220" s="24" t="s">
        <v>349</v>
      </c>
      <c r="E220" s="15">
        <v>42648.095277777778</v>
      </c>
      <c r="F220" s="15">
        <v>42648.101875</v>
      </c>
      <c r="G220" s="7">
        <v>0</v>
      </c>
      <c r="H220" s="15" t="s">
        <v>350</v>
      </c>
      <c r="I220" s="15">
        <v>42648.117523148147</v>
      </c>
      <c r="J220" s="7">
        <v>0</v>
      </c>
      <c r="K220" s="117" t="str">
        <f t="shared" si="115"/>
        <v>4051/4052</v>
      </c>
      <c r="L220" s="24" t="b">
        <f>VLOOKUP(A220,'Trips&amp;Operators'!$C$1:$E$10000,3,FALSE)</f>
        <v>1</v>
      </c>
      <c r="M220" s="6">
        <f t="shared" si="116"/>
        <v>1.5648148146283347E-2</v>
      </c>
      <c r="N220" s="7">
        <f t="shared" si="109"/>
        <v>22.53333333064802</v>
      </c>
      <c r="O220" s="7"/>
      <c r="P220" s="7"/>
      <c r="Q220" s="25"/>
      <c r="R220" s="25"/>
      <c r="S220" s="37">
        <f t="shared" si="107"/>
        <v>0</v>
      </c>
      <c r="T220" s="52" t="str">
        <f t="shared" si="110"/>
        <v>NorthBound</v>
      </c>
      <c r="U220" s="159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2" t="str">
        <f t="shared" si="117"/>
        <v>https://search-rtdc-monitor-bjffxe2xuh6vdkpspy63sjmuny.us-east-1.es.amazonaws.com/_plugin/kibana/#/discover/Steve-Slow-Train-Analysis-(2080s-and-2083s)?_g=(refreshInterval:(display:Off,section:0,value:0),time:(from:'2016-10-05 01:17:12-0600',mode:absolute,to:'2016-10-05 03:49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20" s="54" t="str">
        <f t="shared" si="118"/>
        <v>Y</v>
      </c>
      <c r="X220" s="164">
        <f t="shared" si="108"/>
        <v>0</v>
      </c>
      <c r="Y220" s="69">
        <f t="shared" si="119"/>
        <v>1.0674999999999999</v>
      </c>
      <c r="Z220" s="69">
        <f t="shared" si="120"/>
        <v>1.0851</v>
      </c>
      <c r="AA220" s="69">
        <f t="shared" si="121"/>
        <v>1.760000000000006E-2</v>
      </c>
      <c r="AB220" s="66" t="e">
        <f>VLOOKUP(A220,Enforcements!$C$7:$K$21,8,0)</f>
        <v>#N/A</v>
      </c>
      <c r="AC220" s="62" t="e">
        <f>VLOOKUP(A220,Enforcements!$C$7:$E$21,3,0)</f>
        <v>#N/A</v>
      </c>
      <c r="AD220" s="63" t="str">
        <f t="shared" si="111"/>
        <v>0315-04</v>
      </c>
      <c r="AE220" s="95" t="str">
        <f t="shared" si="122"/>
        <v>aws s3 cp s3://rtdc.mdm.uploadarchive.raw/RTDC4051/ "%USERPROFILE%\AppData\Local\Temp\OnboardLogs"\RTDC4051\2016-10-05 --exclude "*" --recursive --include "*20161005*" &amp; "%USERPROFILE%\Documents\GitHub\mrs-test-scripts\Headless Mode &amp; Sideloading\WalkAndUnGZ.bat" "%USERPROFILE%\AppData\Local\Temp\OnboardLogs"\RTDC4051\2016-10-05 &amp; aws s3 cp s3://rtdc.mdm.uploadarchive.raw/RTDC4051/ "%USERPROFILE%\AppData\Local\Temp\OnboardLogs"\RTDC4051\2016-10-06 --exclude "*" --recursive --include "*20161006*" &amp; "%USERPROFILE%\Documents\GitHub\mrs-test-scripts\Headless Mode &amp; Sideloading\WalkAndUnGZ.bat" "%USERPROFILE%\AppData\Local\Temp\OnboardLogs"\RTDC4051\2016-10-06</v>
      </c>
      <c r="AF220" s="92" t="str">
        <f t="shared" si="123"/>
        <v>"C:\Program Files (x86)\AstroGrep\AstroGrep.exe" /spath="%USERPROFILE%\AppData\Local\Temp\OnboardLogs" /stypes="app*4051*20161005*" /stext=" 08:.+((SYSTEM_STATE.+slice.+state.+changed )|(ment ac)|(system.+state.+changed )|(\[timeout)|(PRM\|1\|D)|(kpr)|(kdp)|(\|lc)|(penalty))" /e /r /s</v>
      </c>
      <c r="AG220" s="1" t="str">
        <f t="shared" si="112"/>
        <v>Other</v>
      </c>
      <c r="AH220" s="96" t="str">
        <f t="shared" si="113"/>
        <v>"%USERPROFILE%\Documents\GitHub\eaglep3\Utilities\RefineRTDCRunTimes.py" --tripid 315-04 --locoid 4051 --swversion DE.1.0.8.0 --startMP 204:10675 --initTime 2016-10-05T02:17:12 --startdatetime 2016-10-05T02:26:42 --delay 0 --endMP 204:10851 --enddatetime 2016-10-05T02:49:14 --enforcementcount 0 &gt;&gt;C:\Users\stu\Documents\GitHub\eaglep3-reporting\EC\2016-10-05-refined-times.txt</v>
      </c>
      <c r="AI220" s="130" t="str">
        <f t="shared" si="114"/>
        <v>echo {"issue":{"subject":"","project_id":79,"tracker_id":40,"status_id":1,"priority_id":2,"assigned_to_id":23,"start_date":"2016-10-05","description":"","custom_fields":[{"id":1,"name":"Subdivision","value":"Other"},{"id":4,"name":"Milepost","value":"1.0851"},{"id":17,"name":"Train ID","value":"315-04"},{"id":16,"name":"Locomotive ID","value":"4051"},{"id":130,"name":"Impact","value":""},{"id":150,"name":"Time of Event (Mountain Time)","value":"02:49:14"},{"id":151,"name":"Denver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319</v>
      </c>
      <c r="B221" s="7">
        <v>4051</v>
      </c>
      <c r="C221" s="24" t="s">
        <v>348</v>
      </c>
      <c r="D221" s="24" t="s">
        <v>351</v>
      </c>
      <c r="E221" s="15">
        <v>42648.100555555553</v>
      </c>
      <c r="F221" s="15">
        <v>42648.139328703706</v>
      </c>
      <c r="G221" s="7">
        <v>1</v>
      </c>
      <c r="H221" s="15" t="s">
        <v>352</v>
      </c>
      <c r="I221" s="15">
        <v>42648.152673611112</v>
      </c>
      <c r="J221" s="7">
        <v>0</v>
      </c>
      <c r="K221" s="117" t="str">
        <f t="shared" si="115"/>
        <v>4051/4052</v>
      </c>
      <c r="L221" s="24" t="b">
        <f>VLOOKUP(A221,'Trips&amp;Operators'!$C$1:$E$10000,3,FALSE)</f>
        <v>1</v>
      </c>
      <c r="M221" s="6">
        <f t="shared" si="116"/>
        <v>1.3344907405553386E-2</v>
      </c>
      <c r="N221" s="7">
        <f t="shared" si="109"/>
        <v>19.216666663996875</v>
      </c>
      <c r="O221" s="7"/>
      <c r="P221" s="7"/>
      <c r="Q221" s="25"/>
      <c r="R221" s="25"/>
      <c r="S221" s="37">
        <f t="shared" ref="S221:S245" si="124">SUM(U221:U221)/IF(AG221="EC",12,1)</f>
        <v>0</v>
      </c>
      <c r="T221" s="52" t="str">
        <f t="shared" si="110"/>
        <v>NorthBound</v>
      </c>
      <c r="U221" s="159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2" t="str">
        <f t="shared" si="117"/>
        <v>https://search-rtdc-monitor-bjffxe2xuh6vdkpspy63sjmuny.us-east-1.es.amazonaws.com/_plugin/kibana/#/discover/Steve-Slow-Train-Analysis-(2080s-and-2083s)?_g=(refreshInterval:(display:Off,section:0,value:0),time:(from:'2016-10-05 01:24:48-0600',mode:absolute,to:'2016-10-05 04:39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21" s="54" t="str">
        <f t="shared" si="118"/>
        <v>N</v>
      </c>
      <c r="X221" s="164">
        <f t="shared" si="108"/>
        <v>0</v>
      </c>
      <c r="Y221" s="69">
        <f t="shared" si="119"/>
        <v>1.9140999999999999</v>
      </c>
      <c r="Z221" s="69">
        <f t="shared" si="120"/>
        <v>12.6341</v>
      </c>
      <c r="AA221" s="69">
        <f t="shared" si="121"/>
        <v>10.72</v>
      </c>
      <c r="AB221" s="66" t="e">
        <f>VLOOKUP(A221,Enforcements!$C$7:$K$21,8,0)</f>
        <v>#N/A</v>
      </c>
      <c r="AC221" s="62" t="e">
        <f>VLOOKUP(A221,Enforcements!$C$7:$E$21,3,0)</f>
        <v>#N/A</v>
      </c>
      <c r="AD221" s="63" t="str">
        <f t="shared" si="111"/>
        <v>0315-04</v>
      </c>
      <c r="AE221" s="95" t="str">
        <f t="shared" si="122"/>
        <v>aws s3 cp s3://rtdc.mdm.uploadarchive.raw/RTDC4051/ "%USERPROFILE%\AppData\Local\Temp\OnboardLogs"\RTDC4051\2016-10-05 --exclude "*" --recursive --include "*20161005*" &amp; "%USERPROFILE%\Documents\GitHub\mrs-test-scripts\Headless Mode &amp; Sideloading\WalkAndUnGZ.bat" "%USERPROFILE%\AppData\Local\Temp\OnboardLogs"\RTDC4051\2016-10-05 &amp; aws s3 cp s3://rtdc.mdm.uploadarchive.raw/RTDC4051/ "%USERPROFILE%\AppData\Local\Temp\OnboardLogs"\RTDC4051\2016-10-06 --exclude "*" --recursive --include "*20161006*" &amp; "%USERPROFILE%\Documents\GitHub\mrs-test-scripts\Headless Mode &amp; Sideloading\WalkAndUnGZ.bat" "%USERPROFILE%\AppData\Local\Temp\OnboardLogs"\RTDC4051\2016-10-06</v>
      </c>
      <c r="AF221" s="92" t="str">
        <f t="shared" si="123"/>
        <v>"C:\Program Files (x86)\AstroGrep\AstroGrep.exe" /spath="%USERPROFILE%\AppData\Local\Temp\OnboardLogs" /stypes="app*4051*20161005*" /stext=" 09:.+((SYSTEM_STATE.+slice.+state.+changed )|(ment ac)|(system.+state.+changed )|(\[timeout)|(PRM\|1\|D)|(kpr)|(kdp)|(\|lc)|(penalty))" /e /r /s</v>
      </c>
      <c r="AG221" s="1" t="str">
        <f t="shared" si="112"/>
        <v>Other</v>
      </c>
      <c r="AH221" s="96" t="str">
        <f t="shared" si="113"/>
        <v>"%USERPROFILE%\Documents\GitHub\eaglep3\Utilities\RefineRTDCRunTimes.py" --tripid 315-04 --locoid 4051 --swversion DE.1.0.8.0 --startMP 204:19141 --initTime 2016-10-05T02:24:48 --startdatetime 2016-10-05T03:20:38 --delay 1 --endMP 204:126341 --enddatetime 2016-10-05T03:39:51 --enforcementcount 0 &gt;&gt;C:\Users\stu\Documents\GitHub\eaglep3-reporting\EC\2016-10-05-refined-times.txt</v>
      </c>
      <c r="AI221" s="130" t="str">
        <f t="shared" si="114"/>
        <v>echo {"issue":{"subject":"","project_id":79,"tracker_id":40,"status_id":1,"priority_id":2,"assigned_to_id":23,"start_date":"2016-10-05","description":"","custom_fields":[{"id":1,"name":"Subdivision","value":"Other"},{"id":4,"name":"Milepost","value":"12.6341"},{"id":17,"name":"Train ID","value":"315-04"},{"id":16,"name":"Locomotive ID","value":"4051"},{"id":130,"name":"Impact","value":""},{"id":150,"name":"Time of Event (Mountain Time)","value":"03:39:51"},{"id":151,"name":"Denver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319</v>
      </c>
      <c r="B222" s="7">
        <v>4052</v>
      </c>
      <c r="C222" s="24" t="s">
        <v>348</v>
      </c>
      <c r="D222" s="24" t="s">
        <v>680</v>
      </c>
      <c r="E222" s="15">
        <v>42648.120844907404</v>
      </c>
      <c r="F222" s="15">
        <v>42648.139328703706</v>
      </c>
      <c r="G222" s="7">
        <v>0</v>
      </c>
      <c r="H222" s="15" t="s">
        <v>681</v>
      </c>
      <c r="I222" s="15">
        <v>42648.152673611112</v>
      </c>
      <c r="J222" s="7">
        <v>0</v>
      </c>
      <c r="K222" s="117" t="str">
        <f t="shared" si="115"/>
        <v>4051/4052</v>
      </c>
      <c r="L222" s="24" t="b">
        <f>VLOOKUP(A222,'Trips&amp;Operators'!$C$1:$E$10000,3,FALSE)</f>
        <v>1</v>
      </c>
      <c r="M222" s="6">
        <f t="shared" si="116"/>
        <v>1.3344907405553386E-2</v>
      </c>
      <c r="N222" s="7">
        <f t="shared" si="109"/>
        <v>19.216666663996875</v>
      </c>
      <c r="O222" s="7"/>
      <c r="P222" s="7"/>
      <c r="Q222" s="25"/>
      <c r="R222" s="25"/>
      <c r="S222" s="37">
        <f t="shared" si="124"/>
        <v>0</v>
      </c>
      <c r="T222" s="52" t="str">
        <f t="shared" si="110"/>
        <v>NorthBound</v>
      </c>
      <c r="U222" s="159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2" t="str">
        <f t="shared" si="117"/>
        <v>https://search-rtdc-monitor-bjffxe2xuh6vdkpspy63sjmuny.us-east-1.es.amazonaws.com/_plugin/kibana/#/discover/Steve-Slow-Train-Analysis-(2080s-and-2083s)?_g=(refreshInterval:(display:Off,section:0,value:0),time:(from:'2016-10-05 01:54:01-0600',mode:absolute,to:'2016-10-05 04:39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2" s="54" t="str">
        <f t="shared" si="118"/>
        <v>N</v>
      </c>
      <c r="X222" s="164">
        <f t="shared" si="108"/>
        <v>0</v>
      </c>
      <c r="Y222" s="69">
        <f t="shared" si="119"/>
        <v>12.7738</v>
      </c>
      <c r="Z222" s="69">
        <f t="shared" si="120"/>
        <v>1.0330999999999999</v>
      </c>
      <c r="AA222" s="69">
        <f t="shared" si="121"/>
        <v>11.7407</v>
      </c>
      <c r="AB222" s="66" t="e">
        <f>VLOOKUP(A222,Enforcements!$C$7:$K$21,8,0)</f>
        <v>#N/A</v>
      </c>
      <c r="AC222" s="62" t="e">
        <f>VLOOKUP(A222,Enforcements!$C$7:$E$21,3,0)</f>
        <v>#N/A</v>
      </c>
      <c r="AD222" s="63" t="str">
        <f t="shared" si="111"/>
        <v>0315-04</v>
      </c>
      <c r="AE222" s="95" t="str">
        <f t="shared" si="122"/>
        <v>aws s3 cp s3://rtdc.mdm.uploadarchive.raw/RTDC4052/ "%USERPROFILE%\AppData\Local\Temp\OnboardLogs"\RTDC4052\2016-10-05 --exclude "*" --recursive --include "*20161005*" &amp; "%USERPROFILE%\Documents\GitHub\mrs-test-scripts\Headless Mode &amp; Sideloading\WalkAndUnGZ.bat" "%USERPROFILE%\AppData\Local\Temp\OnboardLogs"\RTDC4052\2016-10-05 &amp; aws s3 cp s3://rtdc.mdm.uploadarchive.raw/RTDC4052/ "%USERPROFILE%\AppData\Local\Temp\OnboardLogs"\RTDC4052\2016-10-06 --exclude "*" --recursive --include "*20161006*" &amp; "%USERPROFILE%\Documents\GitHub\mrs-test-scripts\Headless Mode &amp; Sideloading\WalkAndUnGZ.bat" "%USERPROFILE%\AppData\Local\Temp\OnboardLogs"\RTDC4052\2016-10-06</v>
      </c>
      <c r="AF222" s="92" t="str">
        <f t="shared" si="123"/>
        <v>"C:\Program Files (x86)\AstroGrep\AstroGrep.exe" /spath="%USERPROFILE%\AppData\Local\Temp\OnboardLogs" /stypes="app*4052*20161005*" /stext=" 09:.+((SYSTEM_STATE.+slice.+state.+changed )|(ment ac)|(system.+state.+changed )|(\[timeout)|(PRM\|1\|D)|(kpr)|(kdp)|(\|lc)|(penalty))" /e /r /s</v>
      </c>
      <c r="AG222" s="1" t="str">
        <f t="shared" si="112"/>
        <v>Other</v>
      </c>
      <c r="AH222" s="96" t="str">
        <f t="shared" si="113"/>
        <v>"%USERPROFILE%\Documents\GitHub\eaglep3\Utilities\RefineRTDCRunTimes.py" --tripid 315-04 --locoid 4052 --swversion DE.1.0.8.0 --startMP 204:127738 --initTime 2016-10-05T02:54:01 --startdatetime 2016-10-05T03:20:38 --delay 0 --endMP 204:10331 --enddatetime 2016-10-05T03:39:51 --enforcementcount 0 &gt;&gt;C:\Users\stu\Documents\GitHub\eaglep3-reporting\EC\2016-10-05-refined-times.txt</v>
      </c>
      <c r="AI222" s="130" t="str">
        <f t="shared" si="114"/>
        <v>echo {"issue":{"subject":"","project_id":79,"tracker_id":40,"status_id":1,"priority_id":2,"assigned_to_id":23,"start_date":"2016-10-05","description":"","custom_fields":[{"id":1,"name":"Subdivision","value":"Other"},{"id":4,"name":"Milepost","value":"1.0331"},{"id":17,"name":"Train ID","value":"315-04"},{"id":16,"name":"Locomotive ID","value":"4052"},{"id":130,"name":"Impact","value":""},{"id":150,"name":"Time of Event (Mountain Time)","value":"03:39:51"},{"id":151,"name":"Denver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 t="s">
        <v>319</v>
      </c>
      <c r="B223" s="7">
        <v>4052</v>
      </c>
      <c r="C223" s="24" t="s">
        <v>348</v>
      </c>
      <c r="D223" s="24" t="s">
        <v>682</v>
      </c>
      <c r="E223" s="15">
        <v>42648.157337962963</v>
      </c>
      <c r="F223" s="15">
        <v>42648.158726851849</v>
      </c>
      <c r="G223" s="7">
        <v>0</v>
      </c>
      <c r="H223" s="15" t="s">
        <v>683</v>
      </c>
      <c r="I223" s="15">
        <v>42648.175393518519</v>
      </c>
      <c r="J223" s="7">
        <v>0</v>
      </c>
      <c r="K223" s="117" t="str">
        <f t="shared" si="115"/>
        <v>4051/4052</v>
      </c>
      <c r="L223" s="24" t="b">
        <f>VLOOKUP(A223,'Trips&amp;Operators'!$C$1:$E$10000,3,FALSE)</f>
        <v>1</v>
      </c>
      <c r="M223" s="6">
        <f t="shared" si="116"/>
        <v>1.6666666670062114E-2</v>
      </c>
      <c r="N223" s="7">
        <f t="shared" si="109"/>
        <v>24.000000004889444</v>
      </c>
      <c r="O223" s="7"/>
      <c r="P223" s="7"/>
      <c r="Q223" s="25"/>
      <c r="R223" s="25"/>
      <c r="S223" s="37">
        <f t="shared" si="124"/>
        <v>0</v>
      </c>
      <c r="T223" s="52" t="str">
        <f t="shared" si="110"/>
        <v>NorthBound</v>
      </c>
      <c r="U223" s="159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02" t="str">
        <f t="shared" si="117"/>
        <v>https://search-rtdc-monitor-bjffxe2xuh6vdkpspy63sjmuny.us-east-1.es.amazonaws.com/_plugin/kibana/#/discover/Steve-Slow-Train-Analysis-(2080s-and-2083s)?_g=(refreshInterval:(display:Off,section:0,value:0),time:(from:'2016-10-05 02:46:34-0600',mode:absolute,to:'2016-10-05 05:12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3" s="54" t="str">
        <f t="shared" si="118"/>
        <v>N</v>
      </c>
      <c r="X223" s="164">
        <f t="shared" ref="X223:X245" si="125">VALUE(LEFT(AD223,4))-VALUE(LEFT(AD222,4))</f>
        <v>0</v>
      </c>
      <c r="Y223" s="69">
        <f t="shared" si="119"/>
        <v>12.774699999999999</v>
      </c>
      <c r="Z223" s="69">
        <f t="shared" si="120"/>
        <v>0.1205</v>
      </c>
      <c r="AA223" s="69">
        <f t="shared" si="121"/>
        <v>12.654199999999999</v>
      </c>
      <c r="AB223" s="66" t="e">
        <f>VLOOKUP(A223,Enforcements!$C$7:$K$21,8,0)</f>
        <v>#N/A</v>
      </c>
      <c r="AC223" s="62" t="e">
        <f>VLOOKUP(A223,Enforcements!$C$7:$E$21,3,0)</f>
        <v>#N/A</v>
      </c>
      <c r="AD223" s="63" t="str">
        <f t="shared" si="111"/>
        <v>0315-04</v>
      </c>
      <c r="AE223" s="95" t="str">
        <f t="shared" si="122"/>
        <v>aws s3 cp s3://rtdc.mdm.uploadarchive.raw/RTDC4052/ "%USERPROFILE%\AppData\Local\Temp\OnboardLogs"\RTDC4052\2016-10-05 --exclude "*" --recursive --include "*20161005*" &amp; "%USERPROFILE%\Documents\GitHub\mrs-test-scripts\Headless Mode &amp; Sideloading\WalkAndUnGZ.bat" "%USERPROFILE%\AppData\Local\Temp\OnboardLogs"\RTDC4052\2016-10-05 &amp; aws s3 cp s3://rtdc.mdm.uploadarchive.raw/RTDC4052/ "%USERPROFILE%\AppData\Local\Temp\OnboardLogs"\RTDC4052\2016-10-06 --exclude "*" --recursive --include "*20161006*" &amp; "%USERPROFILE%\Documents\GitHub\mrs-test-scripts\Headless Mode &amp; Sideloading\WalkAndUnGZ.bat" "%USERPROFILE%\AppData\Local\Temp\OnboardLogs"\RTDC4052\2016-10-06</v>
      </c>
      <c r="AF223" s="92" t="str">
        <f t="shared" si="123"/>
        <v>"C:\Program Files (x86)\AstroGrep\AstroGrep.exe" /spath="%USERPROFILE%\AppData\Local\Temp\OnboardLogs" /stypes="app*4052*20161005*" /stext=" 10:.+((SYSTEM_STATE.+slice.+state.+changed )|(ment ac)|(system.+state.+changed )|(\[timeout)|(PRM\|1\|D)|(kpr)|(kdp)|(\|lc)|(penalty))" /e /r /s</v>
      </c>
      <c r="AG223" s="1" t="str">
        <f t="shared" si="112"/>
        <v>Other</v>
      </c>
      <c r="AH223" s="96" t="str">
        <f t="shared" si="113"/>
        <v>"%USERPROFILE%\Documents\GitHub\eaglep3\Utilities\RefineRTDCRunTimes.py" --tripid 315-04 --locoid 4052 --swversion DE.1.0.8.0 --startMP 204:127747 --initTime 2016-10-05T03:46:34 --startdatetime 2016-10-05T03:48:34 --delay 0 --endMP 204:1205 --enddatetime 2016-10-05T04:12:34 --enforcementcount 0 &gt;&gt;C:\Users\stu\Documents\GitHub\eaglep3-reporting\EC\2016-10-05-refined-times.txt</v>
      </c>
      <c r="AI223" s="130" t="str">
        <f t="shared" si="114"/>
        <v>echo {"issue":{"subject":"","project_id":79,"tracker_id":40,"status_id":1,"priority_id":2,"assigned_to_id":23,"start_date":"2016-10-05","description":"","custom_fields":[{"id":1,"name":"Subdivision","value":"Other"},{"id":4,"name":"Milepost","value":"0.1205"},{"id":17,"name":"Train ID","value":"315-04"},{"id":16,"name":"Locomotive ID","value":"4052"},{"id":130,"name":"Impact","value":""},{"id":150,"name":"Time of Event (Mountain Time)","value":"04:12:34"},{"id":151,"name":"Denver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5"/>
      <c r="AK223" s="55"/>
      <c r="AL223" s="55"/>
    </row>
    <row r="224" spans="1:38" x14ac:dyDescent="0.25">
      <c r="A224" s="39" t="s">
        <v>603</v>
      </c>
      <c r="B224" s="7">
        <v>4002</v>
      </c>
      <c r="C224" s="24" t="s">
        <v>106</v>
      </c>
      <c r="D224" s="24" t="s">
        <v>684</v>
      </c>
      <c r="E224" s="15">
        <v>42649.100613425922</v>
      </c>
      <c r="F224" s="15">
        <v>25568.708333333332</v>
      </c>
      <c r="G224" s="7">
        <v>1</v>
      </c>
      <c r="H224" s="15" t="s">
        <v>345</v>
      </c>
      <c r="I224" s="15">
        <v>25568.708333333332</v>
      </c>
      <c r="J224" s="7">
        <v>0</v>
      </c>
      <c r="K224" s="117" t="str">
        <f t="shared" si="115"/>
        <v>4001/4002</v>
      </c>
      <c r="L224" s="24" t="str">
        <f>VLOOKUP(A224,'Trips&amp;Operators'!$C$1:$E$10000,3,FALSE)</f>
        <v>COOLAHAN</v>
      </c>
      <c r="M224" s="6">
        <f t="shared" si="116"/>
        <v>0</v>
      </c>
      <c r="N224" s="7">
        <f t="shared" si="109"/>
        <v>0</v>
      </c>
      <c r="O224" s="7"/>
      <c r="P224" s="7"/>
      <c r="Q224" s="25"/>
      <c r="R224" s="25"/>
      <c r="S224" s="37">
        <f t="shared" si="124"/>
        <v>1</v>
      </c>
      <c r="T224" s="52" t="str">
        <f t="shared" si="110"/>
        <v>NorthBound</v>
      </c>
      <c r="U224" s="159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02" t="str">
        <f t="shared" si="117"/>
        <v>https://search-rtdc-monitor-bjffxe2xuh6vdkpspy63sjmuny.us-east-1.es.amazonaws.com/_plugin/kibana/#/discover/Steve-Slow-Train-Analysis-(2080s-and-2083s)?_g=(refreshInterval:(display:Off,section:0,value:0),time:(from:'2016-10-06 01:24:53-0600',mode:absolute,to:'1969-12-31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24" s="54" t="str">
        <f t="shared" si="118"/>
        <v>Y</v>
      </c>
      <c r="X224" s="164">
        <f t="shared" si="125"/>
        <v>0</v>
      </c>
      <c r="Y224" s="69">
        <f t="shared" si="119"/>
        <v>0.1177</v>
      </c>
      <c r="Z224" s="69">
        <f t="shared" si="120"/>
        <v>2.3298999999999999</v>
      </c>
      <c r="AA224" s="69">
        <f t="shared" si="121"/>
        <v>2.2121999999999997</v>
      </c>
      <c r="AB224" s="66" t="e">
        <f>VLOOKUP(A224,Enforcements!$C$7:$K$21,8,0)</f>
        <v>#N/A</v>
      </c>
      <c r="AC224" s="62" t="e">
        <f>VLOOKUP(A224,Enforcements!$C$7:$E$21,3,0)</f>
        <v>#N/A</v>
      </c>
      <c r="AD224" s="63" t="str">
        <f t="shared" si="111"/>
        <v>0315-05</v>
      </c>
      <c r="AE224" s="95" t="str">
        <f t="shared" si="122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24" s="92" t="str">
        <f t="shared" si="123"/>
        <v>"C:\Program Files (x86)\AstroGrep\AstroGrep.exe" /spath="%USERPROFILE%\AppData\Local\Temp\OnboardLogs" /stypes="app*4002*19691231*" /stext=" 23:.+((SYSTEM_STATE.+slice.+state.+changed )|(ment ac)|(system.+state.+changed )|(\[timeout)|(PRM\|1\|D)|(kpr)|(kdp)|(\|lc)|(penalty))" /e /r /s</v>
      </c>
      <c r="AG224" s="1" t="str">
        <f t="shared" si="112"/>
        <v>Other</v>
      </c>
      <c r="AH224" s="96" t="str">
        <f t="shared" si="113"/>
        <v>"%USERPROFILE%\Documents\GitHub\eaglep3\Utilities\RefineRTDCRunTimes.py" --tripid 315-05 --locoid 4002 --swversion DE.1.0.7.0 --startMP 204:1177 --initTime 2016-10-06T02:24:53 --startdatetime 1969-12-31T17:00:00 --delay 1 --endMP 300:23299 --enddatetime 1969-12-31T17:00:00 --enforcementcount 0 &gt;&gt;C:\Users\stu\Documents\GitHub\eaglep3-reporting\EC\2016-10-05-refined-times.txt</v>
      </c>
      <c r="AI224" s="130" t="str">
        <f t="shared" si="114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ID","value":"315-05"},{"id":16,"name":"Locomotive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5"/>
      <c r="AK224" s="55"/>
      <c r="AL224" s="55"/>
    </row>
    <row r="225" spans="1:38" x14ac:dyDescent="0.25">
      <c r="A225" s="39" t="s">
        <v>603</v>
      </c>
      <c r="B225" s="7">
        <v>4041</v>
      </c>
      <c r="C225" s="24" t="s">
        <v>106</v>
      </c>
      <c r="D225" s="24" t="s">
        <v>685</v>
      </c>
      <c r="E225" s="15">
        <v>42649.095057870371</v>
      </c>
      <c r="F225" s="15">
        <v>25568.708333333332</v>
      </c>
      <c r="G225" s="7">
        <v>1</v>
      </c>
      <c r="H225" s="15" t="s">
        <v>686</v>
      </c>
      <c r="I225" s="15">
        <v>25568.708333333332</v>
      </c>
      <c r="J225" s="7">
        <v>0</v>
      </c>
      <c r="K225" s="117" t="str">
        <f t="shared" si="115"/>
        <v>4041/4042</v>
      </c>
      <c r="L225" s="24" t="str">
        <f>VLOOKUP(A225,'Trips&amp;Operators'!$C$1:$E$10000,3,FALSE)</f>
        <v>COOLAHAN</v>
      </c>
      <c r="M225" s="6">
        <f t="shared" si="116"/>
        <v>0</v>
      </c>
      <c r="N225" s="7">
        <f t="shared" si="109"/>
        <v>0</v>
      </c>
      <c r="O225" s="7"/>
      <c r="P225" s="7"/>
      <c r="Q225" s="25"/>
      <c r="R225" s="25"/>
      <c r="S225" s="37">
        <f t="shared" si="124"/>
        <v>0</v>
      </c>
      <c r="T225" s="52" t="str">
        <f t="shared" si="110"/>
        <v>NorthBound</v>
      </c>
      <c r="U225" s="159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02" t="str">
        <f t="shared" si="117"/>
        <v>https://search-rtdc-monitor-bjffxe2xuh6vdkpspy63sjmuny.us-east-1.es.amazonaws.com/_plugin/kibana/#/discover/Steve-Slow-Train-Analysis-(2080s-and-2083s)?_g=(refreshInterval:(display:Off,section:0,value:0),time:(from:'2016-10-06 01:16:53-0600',mode:absolute,to:'1969-12-31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5" s="54" t="str">
        <f t="shared" si="118"/>
        <v>Y</v>
      </c>
      <c r="X225" s="164">
        <f t="shared" si="125"/>
        <v>0</v>
      </c>
      <c r="Y225" s="69">
        <f t="shared" si="119"/>
        <v>0.49130000000000001</v>
      </c>
      <c r="Z225" s="69">
        <f t="shared" si="120"/>
        <v>0.1105</v>
      </c>
      <c r="AA225" s="69">
        <f t="shared" si="121"/>
        <v>0.38080000000000003</v>
      </c>
      <c r="AB225" s="66" t="e">
        <f>VLOOKUP(A225,Enforcements!$C$7:$K$21,8,0)</f>
        <v>#N/A</v>
      </c>
      <c r="AC225" s="62" t="e">
        <f>VLOOKUP(A225,Enforcements!$C$7:$E$21,3,0)</f>
        <v>#N/A</v>
      </c>
      <c r="AD225" s="63" t="str">
        <f t="shared" si="111"/>
        <v>0315-05</v>
      </c>
      <c r="AE225" s="95" t="str">
        <f t="shared" si="122"/>
        <v>aws s3 cp s3://rtdc.mdm.uploadarchive.raw/RTDC4041/ "%USERPROFILE%\AppData\Local\Temp\OnboardLogs"\RTDC4041\1969-12-31 --exclude "*" --recursive --include "*19691231*" &amp; "%USERPROFILE%\Documents\GitHub\mrs-test-scripts\Headless Mode &amp; Sideloading\WalkAndUnGZ.bat" "%USERPROFILE%\AppData\Local\Temp\OnboardLogs"\RTDC4041\1969-12-31 &amp; aws s3 cp s3://rtdc.mdm.uploadarchive.raw/RTDC4041/ "%USERPROFILE%\AppData\Local\Temp\OnboardLogs"\RTDC4041\1970-01-01 --exclude "*" --recursive --include "*19700101*" &amp; "%USERPROFILE%\Documents\GitHub\mrs-test-scripts\Headless Mode &amp; Sideloading\WalkAndUnGZ.bat" "%USERPROFILE%\AppData\Local\Temp\OnboardLogs"\RTDC4041\1970-01-01</v>
      </c>
      <c r="AF225" s="92" t="str">
        <f t="shared" si="123"/>
        <v>"C:\Program Files (x86)\AstroGrep\AstroGrep.exe" /spath="%USERPROFILE%\AppData\Local\Temp\OnboardLogs" /stypes="app*4041*19691231*" /stext=" 23:.+((SYSTEM_STATE.+slice.+state.+changed )|(ment ac)|(system.+state.+changed )|(\[timeout)|(PRM\|1\|D)|(kpr)|(kdp)|(\|lc)|(penalty))" /e /r /s</v>
      </c>
      <c r="AG225" s="1" t="str">
        <f t="shared" si="112"/>
        <v>Other</v>
      </c>
      <c r="AH225" s="96" t="str">
        <f t="shared" si="113"/>
        <v>"%USERPROFILE%\Documents\GitHub\eaglep3\Utilities\RefineRTDCRunTimes.py" --tripid 315-05 --locoid 4041 --swversion DE.1.0.7.0 --startMP 300:4913 --initTime 2016-10-06T02:16:53 --startdatetime 1969-12-31T17:00:00 --delay 1 --endMP 204:1105 --enddatetime 1969-12-31T17:00:00 --enforcementcount 0 &gt;&gt;C:\Users\stu\Documents\GitHub\eaglep3-reporting\EC\2016-10-05-refined-times.txt</v>
      </c>
      <c r="AI225" s="130" t="str">
        <f t="shared" si="114"/>
        <v>echo {"issue":{"subject":"","project_id":79,"tracker_id":40,"status_id":1,"priority_id":2,"assigned_to_id":23,"start_date":"1969-12-31","description":"","custom_fields":[{"id":1,"name":"Subdivision","value":"Other"},{"id":4,"name":"Milepost","value":"0.1105"},{"id":17,"name":"Train ID","value":"315-05"},{"id":16,"name":"Locomotive ID","value":"4041"},{"id":130,"name":"Impact","value":""},{"id":150,"name":"Time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5"/>
      <c r="AK225" s="55"/>
      <c r="AL225" s="55"/>
    </row>
    <row r="226" spans="1:38" x14ac:dyDescent="0.25">
      <c r="A226" s="39" t="s">
        <v>603</v>
      </c>
      <c r="B226" s="7">
        <v>4042</v>
      </c>
      <c r="C226" s="24" t="s">
        <v>106</v>
      </c>
      <c r="D226" s="24" t="s">
        <v>687</v>
      </c>
      <c r="E226" s="15">
        <v>42649.087465277778</v>
      </c>
      <c r="F226" s="15">
        <v>25568.708333333332</v>
      </c>
      <c r="G226" s="7">
        <v>1</v>
      </c>
      <c r="H226" s="15" t="s">
        <v>688</v>
      </c>
      <c r="I226" s="15">
        <v>25568.708333333332</v>
      </c>
      <c r="J226" s="7">
        <v>0</v>
      </c>
      <c r="K226" s="117" t="str">
        <f t="shared" si="115"/>
        <v>4041/4042</v>
      </c>
      <c r="L226" s="24" t="str">
        <f>VLOOKUP(A226,'Trips&amp;Operators'!$C$1:$E$10000,3,FALSE)</f>
        <v>COOLAHAN</v>
      </c>
      <c r="M226" s="6">
        <f t="shared" si="116"/>
        <v>0</v>
      </c>
      <c r="N226" s="7">
        <f t="shared" si="109"/>
        <v>0</v>
      </c>
      <c r="O226" s="7"/>
      <c r="P226" s="7"/>
      <c r="Q226" s="25"/>
      <c r="R226" s="25"/>
      <c r="S226" s="37">
        <f t="shared" si="124"/>
        <v>0</v>
      </c>
      <c r="T226" s="52" t="str">
        <f t="shared" si="110"/>
        <v>NorthBound</v>
      </c>
      <c r="U226" s="159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02" t="str">
        <f t="shared" si="117"/>
        <v>https://search-rtdc-monitor-bjffxe2xuh6vdkpspy63sjmuny.us-east-1.es.amazonaws.com/_plugin/kibana/#/discover/Steve-Slow-Train-Analysis-(2080s-and-2083s)?_g=(refreshInterval:(display:Off,section:0,value:0),time:(from:'2016-10-06 01:05:57-0600',mode:absolute,to:'1969-12-31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26" s="54" t="str">
        <f t="shared" si="118"/>
        <v>Y</v>
      </c>
      <c r="X226" s="164">
        <f t="shared" si="125"/>
        <v>0</v>
      </c>
      <c r="Y226" s="69">
        <f t="shared" si="119"/>
        <v>4.7300000000000002E-2</v>
      </c>
      <c r="Z226" s="69">
        <f t="shared" si="120"/>
        <v>0.52170000000000005</v>
      </c>
      <c r="AA226" s="69">
        <f t="shared" si="121"/>
        <v>0.47440000000000004</v>
      </c>
      <c r="AB226" s="66" t="e">
        <f>VLOOKUP(A226,Enforcements!$C$7:$K$21,8,0)</f>
        <v>#N/A</v>
      </c>
      <c r="AC226" s="62" t="e">
        <f>VLOOKUP(A226,Enforcements!$C$7:$E$21,3,0)</f>
        <v>#N/A</v>
      </c>
      <c r="AD226" s="63" t="str">
        <f t="shared" si="111"/>
        <v>0315-05</v>
      </c>
      <c r="AE226" s="95" t="str">
        <f t="shared" si="122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26" s="92" t="str">
        <f t="shared" si="123"/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26" s="1" t="str">
        <f t="shared" si="112"/>
        <v>Other</v>
      </c>
      <c r="AH226" s="96" t="str">
        <f t="shared" si="113"/>
        <v>"%USERPROFILE%\Documents\GitHub\eaglep3\Utilities\RefineRTDCRunTimes.py" --tripid 315-05 --locoid 4042 --swversion DE.1.0.7.0 --startMP 204:473 --initTime 2016-10-06T02:05:57 --startdatetime 1969-12-31T17:00:00 --delay 1 --endMP 300:5217 --enddatetime 1969-12-31T17:00:00 --enforcementcount 0 &gt;&gt;C:\Users\stu\Documents\GitHub\eaglep3-reporting\EC\2016-10-05-refined-times.txt</v>
      </c>
      <c r="AI226" s="130" t="str">
        <f t="shared" si="114"/>
        <v>echo {"issue":{"subject":"","project_id":79,"tracker_id":40,"status_id":1,"priority_id":2,"assigned_to_id":23,"start_date":"1969-12-31","description":"","custom_fields":[{"id":1,"name":"Subdivision","value":"Other"},{"id":4,"name":"Milepost","value":"0.5217"},{"id":17,"name":"Train ID","value":"315-05"},{"id":16,"name":"Locomotive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5"/>
      <c r="AK226" s="55"/>
      <c r="AL226" s="55"/>
    </row>
    <row r="227" spans="1:38" x14ac:dyDescent="0.25">
      <c r="A227" s="39" t="s">
        <v>443</v>
      </c>
      <c r="B227" s="7">
        <v>4031</v>
      </c>
      <c r="C227" s="24" t="s">
        <v>106</v>
      </c>
      <c r="D227" s="24" t="s">
        <v>755</v>
      </c>
      <c r="E227" s="15">
        <v>42648.202314814815</v>
      </c>
      <c r="F227" s="15">
        <v>42648.206990740742</v>
      </c>
      <c r="G227" s="7">
        <v>6</v>
      </c>
      <c r="H227" s="15" t="s">
        <v>756</v>
      </c>
      <c r="I227" s="15">
        <v>42648.21199074074</v>
      </c>
      <c r="J227" s="7">
        <v>0</v>
      </c>
      <c r="K227" s="117" t="str">
        <f t="shared" si="115"/>
        <v>4031/4032</v>
      </c>
      <c r="L227" s="24" t="str">
        <f>VLOOKUP(A227,'Trips&amp;Operators'!$C$1:$E$10000,3,FALSE)</f>
        <v>STARKS</v>
      </c>
      <c r="M227" s="6">
        <f t="shared" si="116"/>
        <v>4.9999999973806553E-3</v>
      </c>
      <c r="N227" s="7">
        <f t="shared" si="109"/>
        <v>7.1999999962281436</v>
      </c>
      <c r="O227" s="7"/>
      <c r="P227" s="7"/>
      <c r="Q227" s="25"/>
      <c r="R227" s="25"/>
      <c r="S227" s="37">
        <f t="shared" si="124"/>
        <v>0</v>
      </c>
      <c r="T227" s="52" t="str">
        <f t="shared" si="110"/>
        <v>NorthBound</v>
      </c>
      <c r="U227" s="159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02" t="str">
        <f t="shared" si="117"/>
        <v>https://search-rtdc-monitor-bjffxe2xuh6vdkpspy63sjmuny.us-east-1.es.amazonaws.com/_plugin/kibana/#/discover/Steve-Slow-Train-Analysis-(2080s-and-2083s)?_g=(refreshInterval:(display:Off,section:0,value:0),time:(from:'2016-10-05 03:51:20-0600',mode:absolute,to:'2016-10-05 06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27" s="54" t="str">
        <f t="shared" si="118"/>
        <v>Y</v>
      </c>
      <c r="X227" s="164">
        <f t="shared" si="125"/>
        <v>586</v>
      </c>
      <c r="Y227" s="69">
        <f t="shared" si="119"/>
        <v>3.0007999999999999</v>
      </c>
      <c r="Z227" s="69">
        <f t="shared" si="120"/>
        <v>4.2629000000000001</v>
      </c>
      <c r="AA227" s="69">
        <f t="shared" si="121"/>
        <v>1.2621000000000002</v>
      </c>
      <c r="AB227" s="66" t="e">
        <f>VLOOKUP(A227,Enforcements!$C$7:$K$21,8,0)</f>
        <v>#N/A</v>
      </c>
      <c r="AC227" s="62" t="e">
        <f>VLOOKUP(A227,Enforcements!$C$7:$E$21,3,0)</f>
        <v>#N/A</v>
      </c>
      <c r="AD227" s="63" t="str">
        <f t="shared" si="111"/>
        <v>0901-05</v>
      </c>
      <c r="AE227" s="95" t="str">
        <f t="shared" si="122"/>
        <v>aws s3 cp s3://rtdc.mdm.uploadarchive.raw/RTDC4031/ "%USERPROFILE%\AppData\Local\Temp\OnboardLogs"\RTDC4031\2016-10-05 --exclude "*" --recursive --include "*20161005*" &amp; "%USERPROFILE%\Documents\GitHub\mrs-test-scripts\Headless Mode &amp; Sideloading\WalkAndUnGZ.bat" "%USERPROFILE%\AppData\Local\Temp\OnboardLogs"\RTDC4031\2016-10-05 &amp; aws s3 cp s3://rtdc.mdm.uploadarchive.raw/RTDC4031/ "%USERPROFILE%\AppData\Local\Temp\OnboardLogs"\RTDC4031\2016-10-06 --exclude "*" --recursive --include "*20161006*" &amp; "%USERPROFILE%\Documents\GitHub\mrs-test-scripts\Headless Mode &amp; Sideloading\WalkAndUnGZ.bat" "%USERPROFILE%\AppData\Local\Temp\OnboardLogs"\RTDC4031\2016-10-06</v>
      </c>
      <c r="AF227" s="92" t="str">
        <f t="shared" si="123"/>
        <v>"C:\Program Files (x86)\AstroGrep\AstroGrep.exe" /spath="%USERPROFILE%\AppData\Local\Temp\OnboardLogs" /stypes="app*4031*20161005*" /stext=" 11:.+((SYSTEM_STATE.+slice.+state.+changed )|(ment ac)|(system.+state.+changed )|(\[timeout)|(PRM\|1\|D)|(kpr)|(kdp)|(\|lc)|(penalty))" /e /r /s</v>
      </c>
      <c r="AG227" s="1" t="str">
        <f t="shared" si="112"/>
        <v>Other</v>
      </c>
      <c r="AH227" s="96" t="str">
        <f t="shared" si="113"/>
        <v>"%USERPROFILE%\Documents\GitHub\eaglep3\Utilities\RefineRTDCRunTimes.py" --tripid 901-05 --locoid 4031 --swversion DE.1.0.7.0 --startMP 300:30008 --initTime 2016-10-05T04:51:20 --startdatetime 2016-10-05T04:58:04 --delay 6 --endMP 300:42629 --enddatetime 2016-10-05T05:05:16 --enforcementcount 0 &gt;&gt;C:\Users\stu\Documents\GitHub\eaglep3-reporting\EC\2016-10-05-refined-times.txt</v>
      </c>
      <c r="AI227" s="130" t="str">
        <f t="shared" si="114"/>
        <v>echo {"issue":{"subject":"","project_id":79,"tracker_id":40,"status_id":1,"priority_id":2,"assigned_to_id":23,"start_date":"2016-10-05","description":"","custom_fields":[{"id":1,"name":"Subdivision","value":"Other"},{"id":4,"name":"Milepost","value":"4.2629"},{"id":17,"name":"Train ID","value":"901-05"},{"id":16,"name":"Locomotive ID","value":"4031"},{"id":130,"name":"Impact","value":""},{"id":150,"name":"Time of Event (Mountain Time)","value":"05:05:16"},{"id":151,"name":"Denver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5"/>
      <c r="AK227" s="55"/>
      <c r="AL227" s="55"/>
    </row>
    <row r="228" spans="1:38" x14ac:dyDescent="0.25">
      <c r="A228" s="39" t="s">
        <v>453</v>
      </c>
      <c r="B228" s="7">
        <v>4019</v>
      </c>
      <c r="C228" s="24" t="s">
        <v>106</v>
      </c>
      <c r="D228" s="24" t="s">
        <v>757</v>
      </c>
      <c r="E228" s="15">
        <v>42648.244375000002</v>
      </c>
      <c r="F228" s="15">
        <v>42648.248379629629</v>
      </c>
      <c r="G228" s="7">
        <v>5</v>
      </c>
      <c r="H228" s="15" t="s">
        <v>299</v>
      </c>
      <c r="I228" s="15">
        <v>42648.253831018519</v>
      </c>
      <c r="J228" s="7">
        <v>0</v>
      </c>
      <c r="K228" s="117" t="str">
        <f t="shared" si="115"/>
        <v>4019/4020</v>
      </c>
      <c r="L228" s="24" t="str">
        <f>VLOOKUP(A228,'Trips&amp;Operators'!$C$1:$E$10000,3,FALSE)</f>
        <v>GEBRETEKLE</v>
      </c>
      <c r="M228" s="6">
        <f t="shared" si="116"/>
        <v>5.4513888899236917E-3</v>
      </c>
      <c r="N228" s="7">
        <f t="shared" si="109"/>
        <v>7.8500000014901161</v>
      </c>
      <c r="O228" s="7"/>
      <c r="P228" s="7"/>
      <c r="Q228" s="25"/>
      <c r="R228" s="25"/>
      <c r="S228" s="37">
        <f t="shared" si="124"/>
        <v>1</v>
      </c>
      <c r="T228" s="52" t="str">
        <f t="shared" si="110"/>
        <v>Southbound</v>
      </c>
      <c r="U228" s="159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02" t="str">
        <f t="shared" si="117"/>
        <v>https://search-rtdc-monitor-bjffxe2xuh6vdkpspy63sjmuny.us-east-1.es.amazonaws.com/_plugin/kibana/#/discover/Steve-Slow-Train-Analysis-(2080s-and-2083s)?_g=(refreshInterval:(display:Off,section:0,value:0),time:(from:'2016-10-05 04:51:54-0600',mode:absolute,to:'2016-10-05 07:05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28" s="54" t="str">
        <f t="shared" si="118"/>
        <v>Y</v>
      </c>
      <c r="X228" s="164">
        <f t="shared" si="125"/>
        <v>1</v>
      </c>
      <c r="Y228" s="69">
        <f t="shared" si="119"/>
        <v>2.3290999999999999</v>
      </c>
      <c r="Z228" s="69">
        <f t="shared" si="120"/>
        <v>6.8400000000000002E-2</v>
      </c>
      <c r="AA228" s="69">
        <f t="shared" si="121"/>
        <v>2.2606999999999999</v>
      </c>
      <c r="AB228" s="66" t="e">
        <f>VLOOKUP(A228,Enforcements!$C$7:$K$21,8,0)</f>
        <v>#N/A</v>
      </c>
      <c r="AC228" s="62" t="e">
        <f>VLOOKUP(A228,Enforcements!$C$7:$E$21,3,0)</f>
        <v>#N/A</v>
      </c>
      <c r="AD228" s="63" t="str">
        <f t="shared" si="111"/>
        <v>0902-05</v>
      </c>
      <c r="AE228" s="95" t="str">
        <f t="shared" si="122"/>
        <v>aws s3 cp s3://rtdc.mdm.uploadarchive.raw/RTDC4019/ "%USERPROFILE%\AppData\Local\Temp\OnboardLogs"\RTDC4019\2016-10-05 --exclude "*" --recursive --include "*20161005*" &amp; "%USERPROFILE%\Documents\GitHub\mrs-test-scripts\Headless Mode &amp; Sideloading\WalkAndUnGZ.bat" "%USERPROFILE%\AppData\Local\Temp\OnboardLogs"\RTDC4019\2016-10-05 &amp; aws s3 cp s3://rtdc.mdm.uploadarchive.raw/RTDC4019/ "%USERPROFILE%\AppData\Local\Temp\OnboardLogs"\RTDC4019\2016-10-06 --exclude "*" --recursive --include "*20161006*" &amp; "%USERPROFILE%\Documents\GitHub\mrs-test-scripts\Headless Mode &amp; Sideloading\WalkAndUnGZ.bat" "%USERPROFILE%\AppData\Local\Temp\OnboardLogs"\RTDC4019\2016-10-06</v>
      </c>
      <c r="AF228" s="92" t="str">
        <f t="shared" si="123"/>
        <v>"C:\Program Files (x86)\AstroGrep\AstroGrep.exe" /spath="%USERPROFILE%\AppData\Local\Temp\OnboardLogs" /stypes="app*4019*20161005*" /stext=" 12:.+((SYSTEM_STATE.+slice.+state.+changed )|(ment ac)|(system.+state.+changed )|(\[timeout)|(PRM\|1\|D)|(kpr)|(kdp)|(\|lc)|(penalty))" /e /r /s</v>
      </c>
      <c r="AG228" s="1" t="str">
        <f t="shared" si="112"/>
        <v>Other</v>
      </c>
      <c r="AH228" s="96" t="str">
        <f t="shared" si="113"/>
        <v>"%USERPROFILE%\Documents\GitHub\eaglep3\Utilities\RefineRTDCRunTimes.py" --tripid 902-05 --locoid 4019 --swversion DE.1.0.7.0 --startMP 300:23291 --initTime 2016-10-05T05:51:54 --startdatetime 2016-10-05T05:57:40 --delay 5 --endMP 204:684 --enddatetime 2016-10-05T06:05:31 --enforcementcount 0 &gt;&gt;C:\Users\stu\Documents\GitHub\eaglep3-reporting\EC\2016-10-05-refined-times.txt</v>
      </c>
      <c r="AI228" s="130" t="str">
        <f t="shared" si="114"/>
        <v>echo {"issue":{"subject":"","project_id":79,"tracker_id":40,"status_id":1,"priority_id":2,"assigned_to_id":23,"start_date":"2016-10-05","description":"","custom_fields":[{"id":1,"name":"Subdivision","value":"Other"},{"id":4,"name":"Milepost","value":"0.0684"},{"id":17,"name":"Train ID","value":"902-05"},{"id":16,"name":"Locomotive ID","value":"4019"},{"id":130,"name":"Impact","value":""},{"id":150,"name":"Time of Event (Mountain Time)","value":"06:05:31"},{"id":151,"name":"Denver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5"/>
      <c r="AK228" s="55"/>
      <c r="AL228" s="55"/>
    </row>
    <row r="229" spans="1:38" x14ac:dyDescent="0.25">
      <c r="A229" s="39" t="s">
        <v>480</v>
      </c>
      <c r="B229" s="7">
        <v>4031</v>
      </c>
      <c r="C229" s="24" t="s">
        <v>106</v>
      </c>
      <c r="D229" s="24" t="s">
        <v>686</v>
      </c>
      <c r="E229" s="15">
        <v>42648.355682870373</v>
      </c>
      <c r="F229" s="15">
        <v>25568.708333333332</v>
      </c>
      <c r="G229" s="7">
        <v>0</v>
      </c>
      <c r="H229" s="15" t="s">
        <v>758</v>
      </c>
      <c r="I229" s="15">
        <v>25568.708333333332</v>
      </c>
      <c r="J229" s="7">
        <v>0</v>
      </c>
      <c r="K229" s="117" t="str">
        <f t="shared" si="115"/>
        <v>4031/4032</v>
      </c>
      <c r="L229" s="24" t="str">
        <f>VLOOKUP(A229,'Trips&amp;Operators'!$C$1:$E$10000,3,FALSE)</f>
        <v>STARKS</v>
      </c>
      <c r="M229" s="6">
        <f t="shared" si="116"/>
        <v>0</v>
      </c>
      <c r="N229" s="7">
        <f t="shared" si="109"/>
        <v>0</v>
      </c>
      <c r="O229" s="7"/>
      <c r="P229" s="7"/>
      <c r="Q229" s="25"/>
      <c r="R229" s="25"/>
      <c r="S229" s="37">
        <f t="shared" si="124"/>
        <v>1</v>
      </c>
      <c r="T229" s="52" t="str">
        <f t="shared" si="110"/>
        <v>NorthBound</v>
      </c>
      <c r="U229" s="159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102" t="str">
        <f t="shared" si="117"/>
        <v>https://search-rtdc-monitor-bjffxe2xuh6vdkpspy63sjmuny.us-east-1.es.amazonaws.com/_plugin/kibana/#/discover/Steve-Slow-Train-Analysis-(2080s-and-2083s)?_g=(refreshInterval:(display:Off,section:0,value:0),time:(from:'2016-10-05 07:32:11-0600',mode:absolute,to:'1969-12-31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29" s="54" t="str">
        <f t="shared" si="118"/>
        <v>Y</v>
      </c>
      <c r="X229" s="164">
        <f t="shared" si="125"/>
        <v>1</v>
      </c>
      <c r="Y229" s="69">
        <f t="shared" si="119"/>
        <v>0.1105</v>
      </c>
      <c r="Z229" s="69">
        <f t="shared" si="120"/>
        <v>2.4270999999999998</v>
      </c>
      <c r="AA229" s="69">
        <f t="shared" si="121"/>
        <v>2.3165999999999998</v>
      </c>
      <c r="AB229" s="66" t="e">
        <f>VLOOKUP(A229,Enforcements!$C$7:$K$21,8,0)</f>
        <v>#N/A</v>
      </c>
      <c r="AC229" s="62" t="e">
        <f>VLOOKUP(A229,Enforcements!$C$7:$E$21,3,0)</f>
        <v>#N/A</v>
      </c>
      <c r="AD229" s="63" t="str">
        <f t="shared" si="111"/>
        <v>0903-05</v>
      </c>
      <c r="AE229" s="95" t="str">
        <f t="shared" si="122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29" s="92" t="str">
        <f t="shared" si="123"/>
        <v>"C:\Program Files (x86)\AstroGrep\AstroGrep.exe" /spath="%USERPROFILE%\AppData\Local\Temp\OnboardLogs" /stypes="app*4031*19691231*" /stext=" 23:.+((SYSTEM_STATE.+slice.+state.+changed )|(ment ac)|(system.+state.+changed )|(\[timeout)|(PRM\|1\|D)|(kpr)|(kdp)|(\|lc)|(penalty))" /e /r /s</v>
      </c>
      <c r="AG229" s="1" t="str">
        <f t="shared" si="112"/>
        <v>Other</v>
      </c>
      <c r="AH229" s="96" t="str">
        <f t="shared" si="113"/>
        <v>"%USERPROFILE%\Documents\GitHub\eaglep3\Utilities\RefineRTDCRunTimes.py" --tripid 903-05 --locoid 4031 --swversion DE.1.0.7.0 --startMP 204:1105 --initTime 2016-10-05T08:32:11 --startdatetime 1969-12-31T17:00:00 --delay 0 --endMP 300:24271 --enddatetime 1969-12-31T17:00:00 --enforcementcount 0 &gt;&gt;C:\Users\stu\Documents\GitHub\eaglep3-reporting\EC\2016-10-05-refined-times.txt</v>
      </c>
      <c r="AI229" s="130" t="str">
        <f t="shared" si="114"/>
        <v>echo {"issue":{"subject":"","project_id":79,"tracker_id":40,"status_id":1,"priority_id":2,"assigned_to_id":23,"start_date":"1969-12-31","description":"","custom_fields":[{"id":1,"name":"Subdivision","value":"Other"},{"id":4,"name":"Milepost","value":"2.4271"},{"id":17,"name":"Train ID","value":"903-05"},{"id":16,"name":"Locomotive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5"/>
      <c r="AK229" s="55"/>
      <c r="AL229" s="55"/>
    </row>
    <row r="230" spans="1:38" x14ac:dyDescent="0.25">
      <c r="A230" s="39" t="s">
        <v>409</v>
      </c>
      <c r="B230" s="7">
        <v>4032</v>
      </c>
      <c r="C230" s="24" t="s">
        <v>106</v>
      </c>
      <c r="D230" s="24" t="s">
        <v>759</v>
      </c>
      <c r="E230" s="15">
        <v>42648.64298611111</v>
      </c>
      <c r="F230" s="15">
        <v>42648.648333333331</v>
      </c>
      <c r="G230" s="7">
        <v>7</v>
      </c>
      <c r="H230" s="15" t="s">
        <v>299</v>
      </c>
      <c r="I230" s="15">
        <v>42648.656041666669</v>
      </c>
      <c r="J230" s="7">
        <v>0</v>
      </c>
      <c r="K230" s="117" t="str">
        <f t="shared" si="115"/>
        <v>4031/4032</v>
      </c>
      <c r="L230" s="24" t="str">
        <f>VLOOKUP(A230,'Trips&amp;Operators'!$C$1:$E$10000,3,FALSE)</f>
        <v>LEVERE</v>
      </c>
      <c r="M230" s="6">
        <f t="shared" si="116"/>
        <v>7.708333338086959E-3</v>
      </c>
      <c r="N230" s="7">
        <f t="shared" si="109"/>
        <v>11.100000006845221</v>
      </c>
      <c r="O230" s="7"/>
      <c r="P230" s="7"/>
      <c r="Q230" s="25"/>
      <c r="R230" s="25"/>
      <c r="S230" s="37">
        <f t="shared" si="124"/>
        <v>1</v>
      </c>
      <c r="T230" s="52" t="str">
        <f t="shared" si="110"/>
        <v>Southbound</v>
      </c>
      <c r="U230" s="159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02" t="str">
        <f t="shared" si="117"/>
        <v>https://search-rtdc-monitor-bjffxe2xuh6vdkpspy63sjmuny.us-east-1.es.amazonaws.com/_plugin/kibana/#/discover/Steve-Slow-Train-Analysis-(2080s-and-2083s)?_g=(refreshInterval:(display:Off,section:0,value:0),time:(from:'2016-10-05 14:25:54-0600',mode:absolute,to:'2016-10-05 16:44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30" s="54" t="str">
        <f t="shared" si="118"/>
        <v>Y</v>
      </c>
      <c r="X230" s="164">
        <f t="shared" si="125"/>
        <v>1</v>
      </c>
      <c r="Y230" s="69">
        <f t="shared" si="119"/>
        <v>2.4239000000000002</v>
      </c>
      <c r="Z230" s="69">
        <f t="shared" si="120"/>
        <v>6.8400000000000002E-2</v>
      </c>
      <c r="AA230" s="69">
        <f t="shared" si="121"/>
        <v>2.3555000000000001</v>
      </c>
      <c r="AB230" s="66" t="e">
        <f>VLOOKUP(A230,Enforcements!$C$7:$K$21,8,0)</f>
        <v>#N/A</v>
      </c>
      <c r="AC230" s="62" t="e">
        <f>VLOOKUP(A230,Enforcements!$C$7:$E$21,3,0)</f>
        <v>#N/A</v>
      </c>
      <c r="AD230" s="63" t="str">
        <f t="shared" si="111"/>
        <v>0904-05</v>
      </c>
      <c r="AE230" s="95" t="str">
        <f t="shared" si="122"/>
        <v>aws s3 cp s3://rtdc.mdm.uploadarchive.raw/RTDC4032/ "%USERPROFILE%\AppData\Local\Temp\OnboardLogs"\RTDC4032\2016-10-05 --exclude "*" --recursive --include "*20161005*" &amp; "%USERPROFILE%\Documents\GitHub\mrs-test-scripts\Headless Mode &amp; Sideloading\WalkAndUnGZ.bat" "%USERPROFILE%\AppData\Local\Temp\OnboardLogs"\RTDC4032\2016-10-05 &amp; 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</v>
      </c>
      <c r="AF230" s="92" t="str">
        <f t="shared" si="123"/>
        <v>"C:\Program Files (x86)\AstroGrep\AstroGrep.exe" /spath="%USERPROFILE%\AppData\Local\Temp\OnboardLogs" /stypes="app*4032*20161005*" /stext=" 21:.+((SYSTEM_STATE.+slice.+state.+changed )|(ment ac)|(system.+state.+changed )|(\[timeout)|(PRM\|1\|D)|(kpr)|(kdp)|(\|lc)|(penalty))" /e /r /s</v>
      </c>
      <c r="AG230" s="1" t="str">
        <f t="shared" si="112"/>
        <v>Other</v>
      </c>
      <c r="AH230" s="96" t="str">
        <f t="shared" si="113"/>
        <v>"%USERPROFILE%\Documents\GitHub\eaglep3\Utilities\RefineRTDCRunTimes.py" --tripid 904-05 --locoid 4032 --swversion DE.1.0.7.0 --startMP 300:24239 --initTime 2016-10-05T15:25:54 --startdatetime 2016-10-05T15:33:36 --delay 7 --endMP 204:684 --enddatetime 2016-10-05T15:44:42 --enforcementcount 0 &gt;&gt;C:\Users\stu\Documents\GitHub\eaglep3-reporting\EC\2016-10-05-refined-times.txt</v>
      </c>
      <c r="AI230" s="130" t="str">
        <f t="shared" si="114"/>
        <v>echo {"issue":{"subject":"","project_id":79,"tracker_id":40,"status_id":1,"priority_id":2,"assigned_to_id":23,"start_date":"2016-10-05","description":"","custom_fields":[{"id":1,"name":"Subdivision","value":"Other"},{"id":4,"name":"Milepost","value":"0.0684"},{"id":17,"name":"Train ID","value":"904-05"},{"id":16,"name":"Locomotive ID","value":"4032"},{"id":130,"name":"Impact","value":""},{"id":150,"name":"Time of Event (Mountain Time)","value":"15:44:42"},{"id":151,"name":"Denver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5"/>
      <c r="AK230" s="55"/>
      <c r="AL230" s="55"/>
    </row>
    <row r="231" spans="1:38" x14ac:dyDescent="0.25">
      <c r="A231" s="39" t="s">
        <v>571</v>
      </c>
      <c r="B231" s="7">
        <v>4032</v>
      </c>
      <c r="C231" s="24" t="s">
        <v>106</v>
      </c>
      <c r="D231" s="24" t="s">
        <v>760</v>
      </c>
      <c r="E231" s="15">
        <v>42648.797349537039</v>
      </c>
      <c r="F231" s="15">
        <v>42648.798819444448</v>
      </c>
      <c r="G231" s="7">
        <v>1</v>
      </c>
      <c r="H231" s="15" t="s">
        <v>761</v>
      </c>
      <c r="I231" s="15">
        <v>42648.804583333331</v>
      </c>
      <c r="J231" s="7">
        <v>0</v>
      </c>
      <c r="K231" s="117" t="str">
        <f t="shared" si="115"/>
        <v>4031/4032</v>
      </c>
      <c r="L231" s="24" t="str">
        <f>VLOOKUP(A231,'Trips&amp;Operators'!$C$1:$E$10000,3,FALSE)</f>
        <v>LEVERE</v>
      </c>
      <c r="M231" s="6">
        <f t="shared" si="116"/>
        <v>5.7638888829387724E-3</v>
      </c>
      <c r="N231" s="7">
        <f t="shared" ref="N231:N245" si="126">24*60*SUM($M231:$M231)</f>
        <v>8.2999999914318323</v>
      </c>
      <c r="O231" s="7"/>
      <c r="P231" s="7"/>
      <c r="Q231" s="25"/>
      <c r="R231" s="25"/>
      <c r="S231" s="37">
        <f t="shared" si="124"/>
        <v>0</v>
      </c>
      <c r="T231" s="52" t="str">
        <f t="shared" si="110"/>
        <v>Southbound</v>
      </c>
      <c r="U231" s="159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02" t="str">
        <f t="shared" si="117"/>
        <v>https://search-rtdc-monitor-bjffxe2xuh6vdkpspy63sjmuny.us-east-1.es.amazonaws.com/_plugin/kibana/#/discover/Steve-Slow-Train-Analysis-(2080s-and-2083s)?_g=(refreshInterval:(display:Off,section:0,value:0),time:(from:'2016-10-05 18:08:11-0600',mode:absolute,to:'2016-10-05 20:18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31" s="54" t="str">
        <f t="shared" si="118"/>
        <v>Y</v>
      </c>
      <c r="X231" s="164">
        <f t="shared" si="125"/>
        <v>2</v>
      </c>
      <c r="Y231" s="69">
        <f t="shared" si="119"/>
        <v>5.8632</v>
      </c>
      <c r="Z231" s="69">
        <f t="shared" si="120"/>
        <v>2.9119000000000002</v>
      </c>
      <c r="AA231" s="69">
        <f t="shared" si="121"/>
        <v>2.9512999999999998</v>
      </c>
      <c r="AB231" s="66" t="e">
        <f>VLOOKUP(A231,Enforcements!$C$7:$K$21,8,0)</f>
        <v>#N/A</v>
      </c>
      <c r="AC231" s="62" t="e">
        <f>VLOOKUP(A231,Enforcements!$C$7:$E$21,3,0)</f>
        <v>#N/A</v>
      </c>
      <c r="AD231" s="63" t="str">
        <f t="shared" si="111"/>
        <v>0906-05</v>
      </c>
      <c r="AE231" s="95" t="str">
        <f t="shared" si="122"/>
        <v>aws s3 cp s3://rtdc.mdm.uploadarchive.raw/RTDC4032/ "%USERPROFILE%\AppData\Local\Temp\OnboardLogs"\RTDC4032\2016-10-05 --exclude "*" --recursive --include "*20161005*" &amp; "%USERPROFILE%\Documents\GitHub\mrs-test-scripts\Headless Mode &amp; Sideloading\WalkAndUnGZ.bat" "%USERPROFILE%\AppData\Local\Temp\OnboardLogs"\RTDC4032\2016-10-05 &amp; 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</v>
      </c>
      <c r="AF231" s="92" t="str">
        <f t="shared" si="123"/>
        <v>"C:\Program Files (x86)\AstroGrep\AstroGrep.exe" /spath="%USERPROFILE%\AppData\Local\Temp\OnboardLogs" /stypes="app*4032*20161006*" /stext=" 01:.+((SYSTEM_STATE.+slice.+state.+changed )|(ment ac)|(system.+state.+changed )|(\[timeout)|(PRM\|1\|D)|(kpr)|(kdp)|(\|lc)|(penalty))" /e /r /s</v>
      </c>
      <c r="AG231" s="1" t="str">
        <f t="shared" si="112"/>
        <v>Other</v>
      </c>
      <c r="AH231" s="96" t="str">
        <f t="shared" si="113"/>
        <v>"%USERPROFILE%\Documents\GitHub\eaglep3\Utilities\RefineRTDCRunTimes.py" --tripid 906-05 --locoid 4032 --swversion DE.1.0.7.0 --startMP 300:58632 --initTime 2016-10-05T19:08:11 --startdatetime 2016-10-05T19:10:18 --delay 1 --endMP 300:29119 --enddatetime 2016-10-05T19:18:36 --enforcementcount 0 &gt;&gt;C:\Users\stu\Documents\GitHub\eaglep3-reporting\EC\2016-10-05-refined-times.txt</v>
      </c>
      <c r="AI231" s="130" t="str">
        <f t="shared" si="114"/>
        <v>echo {"issue":{"subject":"","project_id":79,"tracker_id":40,"status_id":1,"priority_id":2,"assigned_to_id":23,"start_date":"2016-10-05","description":"","custom_fields":[{"id":1,"name":"Subdivision","value":"Other"},{"id":4,"name":"Milepost","value":"2.9119"},{"id":17,"name":"Train ID","value":"906-05"},{"id":16,"name":"Locomotive ID","value":"4032"},{"id":130,"name":"Impact","value":""},{"id":150,"name":"Time of Event (Mountain Time)","value":"19:18:36"},{"id":151,"name":"Denver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5"/>
      <c r="AK231" s="55"/>
      <c r="AL231" s="55"/>
    </row>
    <row r="232" spans="1:38" x14ac:dyDescent="0.25">
      <c r="A232" s="39" t="s">
        <v>590</v>
      </c>
      <c r="B232" s="7">
        <v>4019</v>
      </c>
      <c r="C232" s="24" t="s">
        <v>106</v>
      </c>
      <c r="D232" s="24" t="s">
        <v>748</v>
      </c>
      <c r="E232" s="15">
        <v>42648.944166666668</v>
      </c>
      <c r="F232" s="15">
        <v>42648.946145833332</v>
      </c>
      <c r="G232" s="7">
        <v>1</v>
      </c>
      <c r="H232" s="15" t="s">
        <v>762</v>
      </c>
      <c r="I232" s="15">
        <v>42648.951770833337</v>
      </c>
      <c r="J232" s="7">
        <v>0</v>
      </c>
      <c r="K232" s="117" t="str">
        <f t="shared" si="115"/>
        <v>4019/4020</v>
      </c>
      <c r="L232" s="24" t="str">
        <f>VLOOKUP(A232,'Trips&amp;Operators'!$C$1:$E$10000,3,FALSE)</f>
        <v>LEVERE</v>
      </c>
      <c r="M232" s="6">
        <f t="shared" si="116"/>
        <v>5.6250000052386895E-3</v>
      </c>
      <c r="N232" s="7">
        <f t="shared" si="126"/>
        <v>8.1000000075437129</v>
      </c>
      <c r="O232" s="7"/>
      <c r="P232" s="7"/>
      <c r="Q232" s="25"/>
      <c r="R232" s="25"/>
      <c r="S232" s="37">
        <f t="shared" si="124"/>
        <v>0</v>
      </c>
      <c r="T232" s="52" t="str">
        <f t="shared" si="110"/>
        <v>Southbound</v>
      </c>
      <c r="U232" s="159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02" t="str">
        <f t="shared" si="117"/>
        <v>https://search-rtdc-monitor-bjffxe2xuh6vdkpspy63sjmuny.us-east-1.es.amazonaws.com/_plugin/kibana/#/discover/Steve-Slow-Train-Analysis-(2080s-and-2083s)?_g=(refreshInterval:(display:Off,section:0,value:0),time:(from:'2016-10-05 21:39:36-0600',mode:absolute,to:'2016-10-05 23:50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32" s="54" t="str">
        <f t="shared" si="118"/>
        <v>Y</v>
      </c>
      <c r="X232" s="164">
        <f t="shared" si="125"/>
        <v>2</v>
      </c>
      <c r="Y232" s="69">
        <f t="shared" si="119"/>
        <v>5.8634000000000004</v>
      </c>
      <c r="Z232" s="69">
        <f t="shared" si="120"/>
        <v>2.1791</v>
      </c>
      <c r="AA232" s="69">
        <f t="shared" si="121"/>
        <v>3.6843000000000004</v>
      </c>
      <c r="AB232" s="66" t="e">
        <f>VLOOKUP(A232,Enforcements!$C$7:$K$21,8,0)</f>
        <v>#N/A</v>
      </c>
      <c r="AC232" s="62" t="e">
        <f>VLOOKUP(A232,Enforcements!$C$7:$E$21,3,0)</f>
        <v>#N/A</v>
      </c>
      <c r="AD232" s="63" t="str">
        <f t="shared" si="111"/>
        <v>0908-05</v>
      </c>
      <c r="AE232" s="95" t="str">
        <f t="shared" si="122"/>
        <v>aws s3 cp s3://rtdc.mdm.uploadarchive.raw/RTDC4019/ "%USERPROFILE%\AppData\Local\Temp\OnboardLogs"\RTDC4019\2016-10-05 --exclude "*" --recursive --include "*20161005*" &amp; "%USERPROFILE%\Documents\GitHub\mrs-test-scripts\Headless Mode &amp; Sideloading\WalkAndUnGZ.bat" "%USERPROFILE%\AppData\Local\Temp\OnboardLogs"\RTDC4019\2016-10-05 &amp; aws s3 cp s3://rtdc.mdm.uploadarchive.raw/RTDC4019/ "%USERPROFILE%\AppData\Local\Temp\OnboardLogs"\RTDC4019\2016-10-06 --exclude "*" --recursive --include "*20161006*" &amp; "%USERPROFILE%\Documents\GitHub\mrs-test-scripts\Headless Mode &amp; Sideloading\WalkAndUnGZ.bat" "%USERPROFILE%\AppData\Local\Temp\OnboardLogs"\RTDC4019\2016-10-06</v>
      </c>
      <c r="AF232" s="92" t="str">
        <f t="shared" si="123"/>
        <v>"C:\Program Files (x86)\AstroGrep\AstroGrep.exe" /spath="%USERPROFILE%\AppData\Local\Temp\OnboardLogs" /stypes="app*4019*20161006*" /stext=" 04:.+((SYSTEM_STATE.+slice.+state.+changed )|(ment ac)|(system.+state.+changed )|(\[timeout)|(PRM\|1\|D)|(kpr)|(kdp)|(\|lc)|(penalty))" /e /r /s</v>
      </c>
      <c r="AG232" s="1" t="str">
        <f t="shared" si="112"/>
        <v>Other</v>
      </c>
      <c r="AH232" s="96" t="str">
        <f t="shared" si="113"/>
        <v>"%USERPROFILE%\Documents\GitHub\eaglep3\Utilities\RefineRTDCRunTimes.py" --tripid 908-05 --locoid 4019 --swversion DE.1.0.7.0 --startMP 300:58634 --initTime 2016-10-05T22:39:36 --startdatetime 2016-10-05T22:42:27 --delay 1 --endMP 300:21791 --enddatetime 2016-10-05T22:50:33 --enforcementcount 0 &gt;&gt;C:\Users\stu\Documents\GitHub\eaglep3-reporting\EC\2016-10-05-refined-times.txt</v>
      </c>
      <c r="AI232" s="130" t="str">
        <f t="shared" si="114"/>
        <v>echo {"issue":{"subject":"","project_id":79,"tracker_id":40,"status_id":1,"priority_id":2,"assigned_to_id":23,"start_date":"2016-10-05","description":"","custom_fields":[{"id":1,"name":"Subdivision","value":"Other"},{"id":4,"name":"Milepost","value":"2.1791"},{"id":17,"name":"Train ID","value":"908-05"},{"id":16,"name":"Locomotive ID","value":"4019"},{"id":130,"name":"Impact","value":""},{"id":150,"name":"Time of Event (Mountain Time)","value":"22:50:33"},{"id":151,"name":"Denver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5"/>
      <c r="AK232" s="55"/>
      <c r="AL232" s="55"/>
    </row>
    <row r="233" spans="1:38" x14ac:dyDescent="0.25">
      <c r="A233" s="39" t="s">
        <v>500</v>
      </c>
      <c r="B233" s="7">
        <v>4006</v>
      </c>
      <c r="C233" s="24" t="s">
        <v>106</v>
      </c>
      <c r="D233" s="24" t="s">
        <v>370</v>
      </c>
      <c r="E233" s="15">
        <v>42648.501469907409</v>
      </c>
      <c r="F233" s="15">
        <v>42648.506736111114</v>
      </c>
      <c r="G233" s="7">
        <v>2</v>
      </c>
      <c r="H233" s="15" t="s">
        <v>689</v>
      </c>
      <c r="I233" s="15">
        <v>42648.513391203705</v>
      </c>
      <c r="J233" s="7">
        <v>0</v>
      </c>
      <c r="K233" s="117" t="str">
        <f t="shared" si="115"/>
        <v>4005/4006</v>
      </c>
      <c r="L233" s="24" t="str">
        <f>VLOOKUP(A233,'Trips&amp;Operators'!$C$1:$E$10000,3,FALSE)</f>
        <v>KILLION</v>
      </c>
      <c r="M233" s="6">
        <f t="shared" si="116"/>
        <v>6.655092591245193E-3</v>
      </c>
      <c r="N233" s="7">
        <f t="shared" si="126"/>
        <v>9.583333331393078</v>
      </c>
      <c r="O233" s="7"/>
      <c r="P233" s="7"/>
      <c r="Q233" s="25"/>
      <c r="R233" s="25"/>
      <c r="S233" s="37">
        <f t="shared" si="124"/>
        <v>0</v>
      </c>
      <c r="T233" s="52" t="e">
        <f t="shared" si="110"/>
        <v>#VALUE!</v>
      </c>
      <c r="U233" s="159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02" t="str">
        <f t="shared" si="117"/>
        <v>https://search-rtdc-monitor-bjffxe2xuh6vdkpspy63sjmuny.us-east-1.es.amazonaws.com/_plugin/kibana/#/discover/Steve-Slow-Train-Analysis-(2080s-and-2083s)?_g=(refreshInterval:(display:Off,section:0,value:0),time:(from:'2016-10-05 11:02:07-0600',mode:absolute,to:'2016-10-05 13:19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233" s="54" t="str">
        <f t="shared" si="118"/>
        <v>Y</v>
      </c>
      <c r="X233" s="164" t="e">
        <f t="shared" si="125"/>
        <v>#VALUE!</v>
      </c>
      <c r="Y233" s="69">
        <f t="shared" si="119"/>
        <v>7.0999999999999994E-2</v>
      </c>
      <c r="Z233" s="69">
        <f t="shared" si="120"/>
        <v>2.4737</v>
      </c>
      <c r="AA233" s="69">
        <f t="shared" si="121"/>
        <v>2.4026999999999998</v>
      </c>
      <c r="AB233" s="66" t="e">
        <f>VLOOKUP(A233,Enforcements!$C$7:$K$21,8,0)</f>
        <v>#N/A</v>
      </c>
      <c r="AC233" s="62" t="e">
        <f>VLOOKUP(A233,Enforcements!$C$7:$E$21,3,0)</f>
        <v>#N/A</v>
      </c>
      <c r="AD233" s="63" t="str">
        <f t="shared" si="111"/>
        <v>50-05</v>
      </c>
      <c r="AE233" s="95" t="str">
        <f t="shared" si="122"/>
        <v>aws s3 cp s3://rtdc.mdm.uploadarchive.raw/RTDC4006/ "%USERPROFILE%\AppData\Local\Temp\OnboardLogs"\RTDC4006\2016-10-05 --exclude "*" --recursive --include "*20161005*" &amp; "%USERPROFILE%\Documents\GitHub\mrs-test-scripts\Headless Mode &amp; Sideloading\WalkAndUnGZ.bat" "%USERPROFILE%\AppData\Local\Temp\OnboardLogs"\RTDC4006\2016-10-05 &amp; aws s3 cp s3://rtdc.mdm.uploadarchive.raw/RTDC4006/ "%USERPROFILE%\AppData\Local\Temp\OnboardLogs"\RTDC4006\2016-10-06 --exclude "*" --recursive --include "*20161006*" &amp; "%USERPROFILE%\Documents\GitHub\mrs-test-scripts\Headless Mode &amp; Sideloading\WalkAndUnGZ.bat" "%USERPROFILE%\AppData\Local\Temp\OnboardLogs"\RTDC4006\2016-10-06</v>
      </c>
      <c r="AF233" s="92" t="str">
        <f t="shared" si="123"/>
        <v>"C:\Program Files (x86)\AstroGrep\AstroGrep.exe" /spath="%USERPROFILE%\AppData\Local\Temp\OnboardLogs" /stypes="app*4006*20161005*" /stext=" 18:.+((SYSTEM_STATE.+slice.+state.+changed )|(ment ac)|(system.+state.+changed )|(\[timeout)|(PRM\|1\|D)|(kpr)|(kdp)|(\|lc)|(penalty))" /e /r /s</v>
      </c>
      <c r="AG233" s="1" t="str">
        <f t="shared" si="112"/>
        <v>Other</v>
      </c>
      <c r="AH233" s="96" t="str">
        <f t="shared" si="113"/>
        <v>"%USERPROFILE%\Documents\GitHub\eaglep3\Utilities\RefineRTDCRunTimes.py" --tripid 50-05 --locoid 4006 --swversion DE.1.0.7.0 --startMP 204:710 --initTime 2016-10-05T12:02:07 --startdatetime 2016-10-05T12:09:42 --delay 2 --endMP 300:24737 --enddatetime 2016-10-05T12:19:17 --enforcementcount 0 &gt;&gt;C:\Users\stu\Documents\GitHub\eaglep3-reporting\EC\2016-10-05-refined-times.txt</v>
      </c>
      <c r="AI233" s="130" t="str">
        <f t="shared" si="114"/>
        <v>echo {"issue":{"subject":"","project_id":79,"tracker_id":40,"status_id":1,"priority_id":2,"assigned_to_id":23,"start_date":"2016-10-05","description":"","custom_fields":[{"id":1,"name":"Subdivision","value":"Other"},{"id":4,"name":"Milepost","value":"2.4737"},{"id":17,"name":"Train ID","value":"50-05"},{"id":16,"name":"Locomotive ID","value":"4006"},{"id":130,"name":"Impact","value":""},{"id":150,"name":"Time of Event (Mountain Time)","value":"12:19:17"},{"id":151,"name":"Denver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5"/>
      <c r="AK233" s="55"/>
      <c r="AL233" s="55"/>
    </row>
    <row r="234" spans="1:38" x14ac:dyDescent="0.25">
      <c r="A234" s="39" t="s">
        <v>416</v>
      </c>
      <c r="B234" s="7">
        <v>4041</v>
      </c>
      <c r="C234" s="24" t="s">
        <v>106</v>
      </c>
      <c r="D234" s="24" t="s">
        <v>690</v>
      </c>
      <c r="E234" s="15">
        <v>42648.713576388887</v>
      </c>
      <c r="F234" s="15">
        <v>42648.718402777777</v>
      </c>
      <c r="G234" s="7">
        <v>1</v>
      </c>
      <c r="H234" s="15" t="s">
        <v>691</v>
      </c>
      <c r="I234" s="15">
        <v>42648.725324074076</v>
      </c>
      <c r="J234" s="7">
        <v>0</v>
      </c>
      <c r="K234" s="117" t="str">
        <f t="shared" si="115"/>
        <v>4041/4042</v>
      </c>
      <c r="L234" s="24" t="str">
        <f>VLOOKUP(A234,'Trips&amp;Operators'!$C$1:$E$10000,3,FALSE)</f>
        <v>CUSHING</v>
      </c>
      <c r="M234" s="6">
        <f t="shared" si="116"/>
        <v>6.921296298969537E-3</v>
      </c>
      <c r="N234" s="7">
        <f t="shared" si="126"/>
        <v>9.9666666705161333</v>
      </c>
      <c r="O234" s="7"/>
      <c r="P234" s="7"/>
      <c r="Q234" s="25"/>
      <c r="R234" s="25"/>
      <c r="S234" s="37">
        <f t="shared" si="124"/>
        <v>0</v>
      </c>
      <c r="T234" s="52" t="e">
        <f t="shared" si="110"/>
        <v>#VALUE!</v>
      </c>
      <c r="U234" s="159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02" t="str">
        <f t="shared" si="117"/>
        <v>https://search-rtdc-monitor-bjffxe2xuh6vdkpspy63sjmuny.us-east-1.es.amazonaws.com/_plugin/kibana/#/discover/Steve-Slow-Train-Analysis-(2080s-and-2083s)?_g=(refreshInterval:(display:Off,section:0,value:0),time:(from:'2016-10-05 16:07:33-0600',mode:absolute,to:'2016-10-05 18:24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34" s="54" t="str">
        <f t="shared" si="118"/>
        <v>Y</v>
      </c>
      <c r="X234" s="164" t="e">
        <f t="shared" si="125"/>
        <v>#VALUE!</v>
      </c>
      <c r="Y234" s="69">
        <f t="shared" si="119"/>
        <v>2.3229000000000002</v>
      </c>
      <c r="Z234" s="69">
        <f t="shared" si="120"/>
        <v>8.6300000000000002E-2</v>
      </c>
      <c r="AA234" s="69">
        <f t="shared" si="121"/>
        <v>2.2366000000000001</v>
      </c>
      <c r="AB234" s="66" t="e">
        <f>VLOOKUP(A234,Enforcements!$C$7:$K$21,8,0)</f>
        <v>#N/A</v>
      </c>
      <c r="AC234" s="62" t="e">
        <f>VLOOKUP(A234,Enforcements!$C$7:$E$21,3,0)</f>
        <v>#N/A</v>
      </c>
      <c r="AD234" s="63" t="str">
        <f t="shared" si="111"/>
        <v>54-05</v>
      </c>
      <c r="AE234" s="95" t="str">
        <f t="shared" si="122"/>
        <v>aws s3 cp s3://rtdc.mdm.uploadarchive.raw/RTDC4041/ "%USERPROFILE%\AppData\Local\Temp\OnboardLogs"\RTDC4041\2016-10-05 --exclude "*" --recursive --include "*20161005*" &amp; "%USERPROFILE%\Documents\GitHub\mrs-test-scripts\Headless Mode &amp; Sideloading\WalkAndUnGZ.bat" "%USERPROFILE%\AppData\Local\Temp\OnboardLogs"\RTDC4041\2016-10-05 &amp; aws s3 cp s3://rtdc.mdm.uploadarchive.raw/RTDC4041/ "%USERPROFILE%\AppData\Local\Temp\OnboardLogs"\RTDC4041\2016-10-06 --exclude "*" --recursive --include "*20161006*" &amp; "%USERPROFILE%\Documents\GitHub\mrs-test-scripts\Headless Mode &amp; Sideloading\WalkAndUnGZ.bat" "%USERPROFILE%\AppData\Local\Temp\OnboardLogs"\RTDC4041\2016-10-06</v>
      </c>
      <c r="AF234" s="92" t="str">
        <f t="shared" si="123"/>
        <v>"C:\Program Files (x86)\AstroGrep\AstroGrep.exe" /spath="%USERPROFILE%\AppData\Local\Temp\OnboardLogs" /stypes="app*4041*20161005*" /stext=" 23:.+((SYSTEM_STATE.+slice.+state.+changed )|(ment ac)|(system.+state.+changed )|(\[timeout)|(PRM\|1\|D)|(kpr)|(kdp)|(\|lc)|(penalty))" /e /r /s</v>
      </c>
      <c r="AG234" s="1" t="str">
        <f t="shared" si="112"/>
        <v>Other</v>
      </c>
      <c r="AH234" s="96" t="str">
        <f t="shared" si="113"/>
        <v>"%USERPROFILE%\Documents\GitHub\eaglep3\Utilities\RefineRTDCRunTimes.py" --tripid 54-05 --locoid 4041 --swversion DE.1.0.7.0 --startMP 300:23229 --initTime 2016-10-05T17:07:33 --startdatetime 2016-10-05T17:14:30 --delay 1 --endMP 204:863 --enddatetime 2016-10-05T17:24:28 --enforcementcount 0 &gt;&gt;C:\Users\stu\Documents\GitHub\eaglep3-reporting\EC\2016-10-05-refined-times.txt</v>
      </c>
      <c r="AI234" s="130" t="str">
        <f t="shared" si="114"/>
        <v>echo {"issue":{"subject":"","project_id":79,"tracker_id":40,"status_id":1,"priority_id":2,"assigned_to_id":23,"start_date":"2016-10-05","description":"","custom_fields":[{"id":1,"name":"Subdivision","value":"Other"},{"id":4,"name":"Milepost","value":"0.0863"},{"id":17,"name":"Train ID","value":"54-05"},{"id":16,"name":"Locomotive ID","value":"4041"},{"id":130,"name":"Impact","value":""},{"id":150,"name":"Time of Event (Mountain Time)","value":"17:24:28"},{"id":151,"name":"Denver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5"/>
      <c r="AK234" s="55"/>
      <c r="AL234" s="55"/>
    </row>
    <row r="235" spans="1:38" x14ac:dyDescent="0.25">
      <c r="A235" s="39" t="s">
        <v>562</v>
      </c>
      <c r="B235" s="7">
        <v>4022</v>
      </c>
      <c r="C235" s="24" t="s">
        <v>106</v>
      </c>
      <c r="D235" s="24" t="s">
        <v>692</v>
      </c>
      <c r="E235" s="15">
        <v>42648.757418981484</v>
      </c>
      <c r="F235" s="15">
        <v>42648.769317129627</v>
      </c>
      <c r="G235" s="7">
        <v>1</v>
      </c>
      <c r="H235" s="15" t="s">
        <v>693</v>
      </c>
      <c r="I235" s="15">
        <v>42648.775231481479</v>
      </c>
      <c r="J235" s="7">
        <v>0</v>
      </c>
      <c r="K235" s="117" t="str">
        <f t="shared" si="115"/>
        <v>4021/4022</v>
      </c>
      <c r="L235" s="24" t="str">
        <f>VLOOKUP(A235,'Trips&amp;Operators'!$C$1:$E$10000,3,FALSE)</f>
        <v>ARVIDSON</v>
      </c>
      <c r="M235" s="6">
        <f t="shared" si="116"/>
        <v>5.914351851970423E-3</v>
      </c>
      <c r="N235" s="7">
        <f t="shared" si="126"/>
        <v>8.5166666668374091</v>
      </c>
      <c r="O235" s="7"/>
      <c r="P235" s="7"/>
      <c r="Q235" s="25"/>
      <c r="R235" s="25"/>
      <c r="S235" s="37">
        <f t="shared" si="124"/>
        <v>0</v>
      </c>
      <c r="T235" s="52" t="e">
        <f t="shared" si="110"/>
        <v>#VALUE!</v>
      </c>
      <c r="U235" s="159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02" t="str">
        <f t="shared" si="117"/>
        <v>https://search-rtdc-monitor-bjffxe2xuh6vdkpspy63sjmuny.us-east-1.es.amazonaws.com/_plugin/kibana/#/discover/Steve-Slow-Train-Analysis-(2080s-and-2083s)?_g=(refreshInterval:(display:Off,section:0,value:0),time:(from:'2016-10-05 17:10:41-0600',mode:absolute,to:'2016-10-05 19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35" s="54" t="str">
        <f t="shared" si="118"/>
        <v>Y</v>
      </c>
      <c r="X235" s="164" t="e">
        <f t="shared" si="125"/>
        <v>#VALUE!</v>
      </c>
      <c r="Y235" s="69">
        <f t="shared" si="119"/>
        <v>3.61E-2</v>
      </c>
      <c r="Z235" s="69">
        <f t="shared" si="120"/>
        <v>2.4243999999999999</v>
      </c>
      <c r="AA235" s="69">
        <f t="shared" si="121"/>
        <v>2.3883000000000001</v>
      </c>
      <c r="AB235" s="66" t="e">
        <f>VLOOKUP(A235,Enforcements!$C$7:$K$21,8,0)</f>
        <v>#N/A</v>
      </c>
      <c r="AC235" s="62" t="e">
        <f>VLOOKUP(A235,Enforcements!$C$7:$E$21,3,0)</f>
        <v>#N/A</v>
      </c>
      <c r="AD235" s="63" t="str">
        <f t="shared" si="111"/>
        <v>56-05</v>
      </c>
      <c r="AE235" s="95" t="str">
        <f t="shared" si="122"/>
        <v>aws s3 cp s3://rtdc.mdm.uploadarchive.raw/RTDC4022/ "%USERPROFILE%\AppData\Local\Temp\OnboardLogs"\RTDC4022\2016-10-05 --exclude "*" --recursive --include "*20161005*" &amp; "%USERPROFILE%\Documents\GitHub\mrs-test-scripts\Headless Mode &amp; Sideloading\WalkAndUnGZ.bat" "%USERPROFILE%\AppData\Local\Temp\OnboardLogs"\RTDC4022\2016-10-05 &amp; aws s3 cp s3://rtdc.mdm.uploadarchive.raw/RTDC4022/ "%USERPROFILE%\AppData\Local\Temp\OnboardLogs"\RTDC4022\2016-10-06 --exclude "*" --recursive --include "*20161006*" &amp; "%USERPROFILE%\Documents\GitHub\mrs-test-scripts\Headless Mode &amp; Sideloading\WalkAndUnGZ.bat" "%USERPROFILE%\AppData\Local\Temp\OnboardLogs"\RTDC4022\2016-10-06</v>
      </c>
      <c r="AF235" s="92" t="str">
        <f t="shared" si="123"/>
        <v>"C:\Program Files (x86)\AstroGrep\AstroGrep.exe" /spath="%USERPROFILE%\AppData\Local\Temp\OnboardLogs" /stypes="app*4022*20161006*" /stext=" 00:.+((SYSTEM_STATE.+slice.+state.+changed )|(ment ac)|(system.+state.+changed )|(\[timeout)|(PRM\|1\|D)|(kpr)|(kdp)|(\|lc)|(penalty))" /e /r /s</v>
      </c>
      <c r="AG235" s="1" t="str">
        <f t="shared" si="112"/>
        <v>Other</v>
      </c>
      <c r="AH235" s="96" t="str">
        <f t="shared" si="113"/>
        <v>"%USERPROFILE%\Documents\GitHub\eaglep3\Utilities\RefineRTDCRunTimes.py" --tripid 56-05 --locoid 4022 --swversion DE.1.0.7.0 --startMP 204:361 --initTime 2016-10-05T18:10:41 --startdatetime 2016-10-05T18:27:49 --delay 1 --endMP 300:24244 --enddatetime 2016-10-05T18:36:20 --enforcementcount 0 &gt;&gt;C:\Users\stu\Documents\GitHub\eaglep3-reporting\EC\2016-10-05-refined-times.txt</v>
      </c>
      <c r="AI235" s="130" t="str">
        <f t="shared" si="114"/>
        <v>echo {"issue":{"subject":"","project_id":79,"tracker_id":40,"status_id":1,"priority_id":2,"assigned_to_id":23,"start_date":"2016-10-05","description":"","custom_fields":[{"id":1,"name":"Subdivision","value":"Other"},{"id":4,"name":"Milepost","value":"2.4244"},{"id":17,"name":"Train ID","value":"56-05"},{"id":16,"name":"Locomotive ID","value":"4022"},{"id":130,"name":"Impact","value":""},{"id":150,"name":"Time of Event (Mountain Time)","value":"18:36:20"},{"id":151,"name":"Denver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5"/>
      <c r="AK235" s="55"/>
      <c r="AL235" s="55"/>
    </row>
    <row r="236" spans="1:38" x14ac:dyDescent="0.25">
      <c r="A236" s="39" t="s">
        <v>562</v>
      </c>
      <c r="B236" s="7">
        <v>4052</v>
      </c>
      <c r="C236" s="24" t="s">
        <v>348</v>
      </c>
      <c r="D236" s="24" t="s">
        <v>694</v>
      </c>
      <c r="E236" s="15">
        <v>42649.048564814817</v>
      </c>
      <c r="F236" s="15">
        <v>42649.090937499997</v>
      </c>
      <c r="G236" s="7">
        <v>1</v>
      </c>
      <c r="H236" s="15" t="s">
        <v>695</v>
      </c>
      <c r="I236" s="15">
        <v>42649.104814814818</v>
      </c>
      <c r="J236" s="7">
        <v>0</v>
      </c>
      <c r="K236" s="117" t="str">
        <f t="shared" si="115"/>
        <v>4051/4052</v>
      </c>
      <c r="L236" s="24" t="str">
        <f>VLOOKUP(A236,'Trips&amp;Operators'!$C$1:$E$10000,3,FALSE)</f>
        <v>ARVIDSON</v>
      </c>
      <c r="M236" s="6">
        <f t="shared" si="116"/>
        <v>1.3877314821002074E-2</v>
      </c>
      <c r="N236" s="7">
        <f t="shared" si="126"/>
        <v>19.983333342242986</v>
      </c>
      <c r="O236" s="7"/>
      <c r="P236" s="7"/>
      <c r="Q236" s="25"/>
      <c r="R236" s="25"/>
      <c r="S236" s="37">
        <f t="shared" si="124"/>
        <v>0</v>
      </c>
      <c r="T236" s="52" t="e">
        <f t="shared" si="110"/>
        <v>#VALUE!</v>
      </c>
      <c r="U236" s="159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02" t="str">
        <f t="shared" si="117"/>
        <v>https://search-rtdc-monitor-bjffxe2xuh6vdkpspy63sjmuny.us-east-1.es.amazonaws.com/_plugin/kibana/#/discover/Steve-Slow-Train-Analysis-(2080s-and-2083s)?_g=(refreshInterval:(display:Off,section:0,value:0),time:(from:'2016-10-06 00:09:56-0600',mode:absolute,to:'2016-10-06 03:30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6" s="54" t="str">
        <f t="shared" si="118"/>
        <v>N</v>
      </c>
      <c r="X236" s="164" t="e">
        <f t="shared" si="125"/>
        <v>#VALUE!</v>
      </c>
      <c r="Y236" s="69">
        <f t="shared" si="119"/>
        <v>12.776400000000001</v>
      </c>
      <c r="Z236" s="69">
        <f t="shared" si="120"/>
        <v>1.0409999999999999</v>
      </c>
      <c r="AA236" s="69">
        <f t="shared" si="121"/>
        <v>11.7354</v>
      </c>
      <c r="AB236" s="66" t="e">
        <f>VLOOKUP(A236,Enforcements!$C$7:$K$21,8,0)</f>
        <v>#N/A</v>
      </c>
      <c r="AC236" s="62" t="e">
        <f>VLOOKUP(A236,Enforcements!$C$7:$E$21,3,0)</f>
        <v>#N/A</v>
      </c>
      <c r="AD236" s="63" t="str">
        <f t="shared" si="111"/>
        <v>56-05</v>
      </c>
      <c r="AE236" s="95" t="str">
        <f t="shared" si="122"/>
        <v>aws s3 cp s3://rtdc.mdm.uploadarchive.raw/RTDC4052/ "%USERPROFILE%\AppData\Local\Temp\OnboardLogs"\RTDC4052\2016-10-06 --exclude "*" --recursive --include "*20161006*" &amp; "%USERPROFILE%\Documents\GitHub\mrs-test-scripts\Headless Mode &amp; Sideloading\WalkAndUnGZ.bat" "%USERPROFILE%\AppData\Local\Temp\OnboardLogs"\RTDC4052\2016-10-06 &amp; aws s3 cp s3://rtdc.mdm.uploadarchive.raw/RTDC4052/ "%USERPROFILE%\AppData\Local\Temp\OnboardLogs"\RTDC4052\2016-10-07 --exclude "*" --recursive --include "*20161007*" &amp; "%USERPROFILE%\Documents\GitHub\mrs-test-scripts\Headless Mode &amp; Sideloading\WalkAndUnGZ.bat" "%USERPROFILE%\AppData\Local\Temp\OnboardLogs"\RTDC4052\2016-10-07</v>
      </c>
      <c r="AF236" s="92" t="str">
        <f t="shared" si="123"/>
        <v>"C:\Program Files (x86)\AstroGrep\AstroGrep.exe" /spath="%USERPROFILE%\AppData\Local\Temp\OnboardLogs" /stypes="app*4052*20161006*" /stext=" 08:.+((SYSTEM_STATE.+slice.+state.+changed )|(ment ac)|(system.+state.+changed )|(\[timeout)|(PRM\|1\|D)|(kpr)|(kdp)|(\|lc)|(penalty))" /e /r /s</v>
      </c>
      <c r="AG236" s="1" t="str">
        <f t="shared" si="112"/>
        <v>Other</v>
      </c>
      <c r="AH236" s="96" t="str">
        <f t="shared" si="113"/>
        <v>"%USERPROFILE%\Documents\GitHub\eaglep3\Utilities\RefineRTDCRunTimes.py" --tripid 56-05 --locoid 4052 --swversion DE.1.0.8.0 --startMP 204:127764 --initTime 2016-10-06T01:09:56 --startdatetime 2016-10-06T02:10:57 --delay 1 --endMP 204:10410 --enddatetime 2016-10-06T02:30:56 --enforcementcount 0 &gt;&gt;C:\Users\stu\Documents\GitHub\eaglep3-reporting\EC\2016-10-05-refined-times.txt</v>
      </c>
      <c r="AI236" s="130" t="str">
        <f t="shared" si="114"/>
        <v>echo {"issue":{"subject":"","project_id":79,"tracker_id":40,"status_id":1,"priority_id":2,"assigned_to_id":23,"start_date":"2016-10-06","description":"","custom_fields":[{"id":1,"name":"Subdivision","value":"Other"},{"id":4,"name":"Milepost","value":"1.041"},{"id":17,"name":"Train ID","value":"56-05"},{"id":16,"name":"Locomotive ID","value":"4052"},{"id":130,"name":"Impact","value":""},{"id":150,"name":"Time of Event (Mountain Time)","value":"02:30:56"},{"id":151,"name":"Denver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5"/>
      <c r="AK236" s="55"/>
      <c r="AL236" s="55"/>
    </row>
    <row r="237" spans="1:38" x14ac:dyDescent="0.25">
      <c r="A237" s="39" t="s">
        <v>562</v>
      </c>
      <c r="B237" s="7">
        <v>4052</v>
      </c>
      <c r="C237" s="24" t="s">
        <v>348</v>
      </c>
      <c r="D237" s="24" t="s">
        <v>696</v>
      </c>
      <c r="E237" s="15">
        <v>42649.088541666664</v>
      </c>
      <c r="F237" s="15">
        <v>42649.124398148146</v>
      </c>
      <c r="G237" s="7">
        <v>0</v>
      </c>
      <c r="H237" s="15" t="s">
        <v>697</v>
      </c>
      <c r="I237" s="15">
        <v>42649.140347222223</v>
      </c>
      <c r="J237" s="7">
        <v>0</v>
      </c>
      <c r="K237" s="117" t="str">
        <f t="shared" si="115"/>
        <v>4051/4052</v>
      </c>
      <c r="L237" s="24" t="str">
        <f>VLOOKUP(A237,'Trips&amp;Operators'!$C$1:$E$10000,3,FALSE)</f>
        <v>ARVIDSON</v>
      </c>
      <c r="M237" s="6">
        <f t="shared" si="116"/>
        <v>1.5949074077070691E-2</v>
      </c>
      <c r="N237" s="7">
        <f t="shared" si="126"/>
        <v>22.966666670981795</v>
      </c>
      <c r="O237" s="7"/>
      <c r="P237" s="7"/>
      <c r="Q237" s="25"/>
      <c r="R237" s="25"/>
      <c r="S237" s="37">
        <f t="shared" si="124"/>
        <v>0</v>
      </c>
      <c r="T237" s="52" t="e">
        <f t="shared" si="110"/>
        <v>#VALUE!</v>
      </c>
      <c r="U237" s="159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02" t="str">
        <f t="shared" si="117"/>
        <v>https://search-rtdc-monitor-bjffxe2xuh6vdkpspy63sjmuny.us-east-1.es.amazonaws.com/_plugin/kibana/#/discover/Steve-Slow-Train-Analysis-(2080s-and-2083s)?_g=(refreshInterval:(display:Off,section:0,value:0),time:(from:'2016-10-06 01:07:30-0600',mode:absolute,to:'2016-10-06 04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7" s="54" t="str">
        <f t="shared" si="118"/>
        <v>N</v>
      </c>
      <c r="X237" s="164" t="e">
        <f t="shared" si="125"/>
        <v>#VALUE!</v>
      </c>
      <c r="Y237" s="69">
        <f t="shared" si="119"/>
        <v>12.778499999999999</v>
      </c>
      <c r="Z237" s="69">
        <f t="shared" si="120"/>
        <v>1.0388999999999999</v>
      </c>
      <c r="AA237" s="69">
        <f t="shared" si="121"/>
        <v>11.739599999999999</v>
      </c>
      <c r="AB237" s="66" t="e">
        <f>VLOOKUP(A237,Enforcements!$C$7:$K$21,8,0)</f>
        <v>#N/A</v>
      </c>
      <c r="AC237" s="62" t="e">
        <f>VLOOKUP(A237,Enforcements!$C$7:$E$21,3,0)</f>
        <v>#N/A</v>
      </c>
      <c r="AD237" s="63" t="str">
        <f t="shared" si="111"/>
        <v>56-05</v>
      </c>
      <c r="AE237" s="95" t="str">
        <f t="shared" si="122"/>
        <v>aws s3 cp s3://rtdc.mdm.uploadarchive.raw/RTDC4052/ "%USERPROFILE%\AppData\Local\Temp\OnboardLogs"\RTDC4052\2016-10-06 --exclude "*" --recursive --include "*20161006*" &amp; "%USERPROFILE%\Documents\GitHub\mrs-test-scripts\Headless Mode &amp; Sideloading\WalkAndUnGZ.bat" "%USERPROFILE%\AppData\Local\Temp\OnboardLogs"\RTDC4052\2016-10-06 &amp; aws s3 cp s3://rtdc.mdm.uploadarchive.raw/RTDC4052/ "%USERPROFILE%\AppData\Local\Temp\OnboardLogs"\RTDC4052\2016-10-07 --exclude "*" --recursive --include "*20161007*" &amp; "%USERPROFILE%\Documents\GitHub\mrs-test-scripts\Headless Mode &amp; Sideloading\WalkAndUnGZ.bat" "%USERPROFILE%\AppData\Local\Temp\OnboardLogs"\RTDC4052\2016-10-07</v>
      </c>
      <c r="AF237" s="92" t="str">
        <f t="shared" si="123"/>
        <v>"C:\Program Files (x86)\AstroGrep\AstroGrep.exe" /spath="%USERPROFILE%\AppData\Local\Temp\OnboardLogs" /stypes="app*4052*20161006*" /stext=" 09:.+((SYSTEM_STATE.+slice.+state.+changed )|(ment ac)|(system.+state.+changed )|(\[timeout)|(PRM\|1\|D)|(kpr)|(kdp)|(\|lc)|(penalty))" /e /r /s</v>
      </c>
      <c r="AG237" s="1" t="str">
        <f t="shared" si="112"/>
        <v>Other</v>
      </c>
      <c r="AH237" s="96" t="str">
        <f t="shared" si="113"/>
        <v>"%USERPROFILE%\Documents\GitHub\eaglep3\Utilities\RefineRTDCRunTimes.py" --tripid 56-05 --locoid 4052 --swversion DE.1.0.8.0 --startMP 204:127785 --initTime 2016-10-06T02:07:30 --startdatetime 2016-10-06T02:59:08 --delay 0 --endMP 204:10389 --enddatetime 2016-10-06T03:22:06 --enforcementcount 0 &gt;&gt;C:\Users\stu\Documents\GitHub\eaglep3-reporting\EC\2016-10-05-refined-times.txt</v>
      </c>
      <c r="AI237" s="130" t="str">
        <f t="shared" si="114"/>
        <v>echo {"issue":{"subject":"","project_id":79,"tracker_id":40,"status_id":1,"priority_id":2,"assigned_to_id":23,"start_date":"2016-10-06","description":"","custom_fields":[{"id":1,"name":"Subdivision","value":"Other"},{"id":4,"name":"Milepost","value":"1.0389"},{"id":17,"name":"Train ID","value":"56-05"},{"id":16,"name":"Locomotive ID","value":"4052"},{"id":130,"name":"Impact","value":""},{"id":150,"name":"Time of Event (Mountain Time)","value":"03:22:06"},{"id":151,"name":"Denver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5"/>
      <c r="AK237" s="55"/>
      <c r="AL237" s="55"/>
    </row>
    <row r="238" spans="1:38" x14ac:dyDescent="0.25">
      <c r="A238" s="39" t="s">
        <v>539</v>
      </c>
      <c r="B238" s="7">
        <v>4039</v>
      </c>
      <c r="C238" s="24" t="s">
        <v>106</v>
      </c>
      <c r="D238" s="24" t="s">
        <v>698</v>
      </c>
      <c r="E238" s="15">
        <v>42648.688750000001</v>
      </c>
      <c r="F238" s="15">
        <v>25568.708333333332</v>
      </c>
      <c r="G238" s="7">
        <v>1</v>
      </c>
      <c r="H238" s="15" t="s">
        <v>698</v>
      </c>
      <c r="I238" s="15">
        <v>25568.708333333332</v>
      </c>
      <c r="J238" s="7">
        <v>0</v>
      </c>
      <c r="K238" s="117" t="str">
        <f t="shared" si="115"/>
        <v>4039/4040</v>
      </c>
      <c r="L238" s="24" t="str">
        <f>VLOOKUP(A238,'Trips&amp;Operators'!$C$1:$E$10000,3,FALSE)</f>
        <v>OSULLIVAN</v>
      </c>
      <c r="M238" s="6">
        <f t="shared" si="116"/>
        <v>0</v>
      </c>
      <c r="N238" s="7">
        <f t="shared" si="126"/>
        <v>0</v>
      </c>
      <c r="O238" s="7"/>
      <c r="P238" s="7"/>
      <c r="Q238" s="25"/>
      <c r="R238" s="25"/>
      <c r="S238" s="37">
        <f t="shared" si="124"/>
        <v>0</v>
      </c>
      <c r="T238" s="52" t="e">
        <f t="shared" si="110"/>
        <v>#VALUE!</v>
      </c>
      <c r="U238" s="159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02" t="str">
        <f t="shared" si="117"/>
        <v>https://search-rtdc-monitor-bjffxe2xuh6vdkpspy63sjmuny.us-east-1.es.amazonaws.com/_plugin/kibana/#/discover/Steve-Slow-Train-Analysis-(2080s-and-2083s)?_g=(refreshInterval:(display:Off,section:0,value:0),time:(from:'2016-10-05 15:31:48-0600',mode:absolute,to:'1969-12-31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38" s="54" t="str">
        <f t="shared" si="118"/>
        <v>Y</v>
      </c>
      <c r="X238" s="164" t="e">
        <f t="shared" si="125"/>
        <v>#VALUE!</v>
      </c>
      <c r="Y238" s="69">
        <f t="shared" si="119"/>
        <v>8.5199999999999998E-2</v>
      </c>
      <c r="Z238" s="69">
        <f t="shared" si="120"/>
        <v>8.5199999999999998E-2</v>
      </c>
      <c r="AA238" s="69">
        <f t="shared" si="121"/>
        <v>0</v>
      </c>
      <c r="AB238" s="66" t="e">
        <f>VLOOKUP(A238,Enforcements!$C$7:$K$21,8,0)</f>
        <v>#N/A</v>
      </c>
      <c r="AC238" s="62" t="e">
        <f>VLOOKUP(A238,Enforcements!$C$7:$E$21,3,0)</f>
        <v>#N/A</v>
      </c>
      <c r="AD238" s="63" t="str">
        <f t="shared" si="111"/>
        <v>57-05</v>
      </c>
      <c r="AE238" s="95" t="str">
        <f t="shared" si="122"/>
        <v>aws s3 cp s3://rtdc.mdm.uploadarchive.raw/RTDC4039/ "%USERPROFILE%\AppData\Local\Temp\OnboardLogs"\RTDC4039\1969-12-31 --exclude "*" --recursive --include "*19691231*" &amp; "%USERPROFILE%\Documents\GitHub\mrs-test-scripts\Headless Mode &amp; Sideloading\WalkAndUnGZ.bat" "%USERPROFILE%\AppData\Local\Temp\OnboardLogs"\RTDC4039\1969-12-31 &amp; aws s3 cp s3://rtdc.mdm.uploadarchive.raw/RTDC4039/ "%USERPROFILE%\AppData\Local\Temp\OnboardLogs"\RTDC4039\1970-01-01 --exclude "*" --recursive --include "*19700101*" &amp; "%USERPROFILE%\Documents\GitHub\mrs-test-scripts\Headless Mode &amp; Sideloading\WalkAndUnGZ.bat" "%USERPROFILE%\AppData\Local\Temp\OnboardLogs"\RTDC4039\1970-01-01</v>
      </c>
      <c r="AF238" s="92" t="str">
        <f t="shared" si="123"/>
        <v>"C:\Program Files (x86)\AstroGrep\AstroGrep.exe" /spath="%USERPROFILE%\AppData\Local\Temp\OnboardLogs" /stypes="app*4039*19691231*" /stext=" 23:.+((SYSTEM_STATE.+slice.+state.+changed )|(ment ac)|(system.+state.+changed )|(\[timeout)|(PRM\|1\|D)|(kpr)|(kdp)|(\|lc)|(penalty))" /e /r /s</v>
      </c>
      <c r="AG238" s="1" t="str">
        <f t="shared" si="112"/>
        <v>Other</v>
      </c>
      <c r="AH238" s="96" t="str">
        <f t="shared" si="113"/>
        <v>"%USERPROFILE%\Documents\GitHub\eaglep3\Utilities\RefineRTDCRunTimes.py" --tripid 57-05 --locoid 4039 --swversion DE.1.0.7.0 --startMP 204:852 --initTime 2016-10-05T16:31:48 --startdatetime 1969-12-31T17:00:00 --delay 1 --endMP 204:852 --enddatetime 1969-12-31T17:00:00 --enforcementcount 0 &gt;&gt;C:\Users\stu\Documents\GitHub\eaglep3-reporting\EC\2016-10-05-refined-times.txt</v>
      </c>
      <c r="AI238" s="130" t="str">
        <f t="shared" si="114"/>
        <v>echo {"issue":{"subject":"","project_id":79,"tracker_id":40,"status_id":1,"priority_id":2,"assigned_to_id":23,"start_date":"1969-12-31","description":"","custom_fields":[{"id":1,"name":"Subdivision","value":"Other"},{"id":4,"name":"Milepost","value":"0.0852"},{"id":17,"name":"Train ID","value":"57-05"},{"id":16,"name":"Locomotive ID","value":"4039"},{"id":130,"name":"Impact","value":""},{"id":150,"name":"Time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55"/>
      <c r="AK238" s="55"/>
      <c r="AL238" s="55"/>
    </row>
    <row r="239" spans="1:38" x14ac:dyDescent="0.25">
      <c r="A239" s="39" t="s">
        <v>539</v>
      </c>
      <c r="B239" s="7">
        <v>4040</v>
      </c>
      <c r="C239" s="24" t="s">
        <v>106</v>
      </c>
      <c r="D239" s="24" t="s">
        <v>699</v>
      </c>
      <c r="E239" s="15">
        <v>42648.685868055552</v>
      </c>
      <c r="F239" s="15">
        <v>25568.708333333332</v>
      </c>
      <c r="G239" s="7">
        <v>1</v>
      </c>
      <c r="H239" s="15" t="s">
        <v>700</v>
      </c>
      <c r="I239" s="15">
        <v>25568.708333333332</v>
      </c>
      <c r="J239" s="7">
        <v>0</v>
      </c>
      <c r="K239" s="117" t="str">
        <f t="shared" si="115"/>
        <v>4039/4040</v>
      </c>
      <c r="L239" s="24" t="str">
        <f>VLOOKUP(A239,'Trips&amp;Operators'!$C$1:$E$10000,3,FALSE)</f>
        <v>OSULLIVAN</v>
      </c>
      <c r="M239" s="6">
        <f t="shared" si="116"/>
        <v>0</v>
      </c>
      <c r="N239" s="7">
        <f t="shared" si="126"/>
        <v>0</v>
      </c>
      <c r="O239" s="7"/>
      <c r="P239" s="7"/>
      <c r="Q239" s="25"/>
      <c r="R239" s="25"/>
      <c r="S239" s="37">
        <f t="shared" si="124"/>
        <v>0</v>
      </c>
      <c r="T239" s="52" t="e">
        <f t="shared" si="110"/>
        <v>#VALUE!</v>
      </c>
      <c r="U239" s="159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02" t="str">
        <f t="shared" si="117"/>
        <v>https://search-rtdc-monitor-bjffxe2xuh6vdkpspy63sjmuny.us-east-1.es.amazonaws.com/_plugin/kibana/#/discover/Steve-Slow-Train-Analysis-(2080s-and-2083s)?_g=(refreshInterval:(display:Off,section:0,value:0),time:(from:'2016-10-05 15:27:39-0600',mode:absolute,to:'1969-12-31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39" s="54" t="str">
        <f t="shared" si="118"/>
        <v>Y</v>
      </c>
      <c r="X239" s="164" t="e">
        <f t="shared" si="125"/>
        <v>#VALUE!</v>
      </c>
      <c r="Y239" s="69">
        <f t="shared" si="119"/>
        <v>0.1164</v>
      </c>
      <c r="Z239" s="69">
        <f t="shared" si="120"/>
        <v>0.1162</v>
      </c>
      <c r="AA239" s="69">
        <f t="shared" si="121"/>
        <v>2.0000000000000573E-4</v>
      </c>
      <c r="AB239" s="66" t="e">
        <f>VLOOKUP(A239,Enforcements!$C$7:$K$21,8,0)</f>
        <v>#N/A</v>
      </c>
      <c r="AC239" s="62" t="e">
        <f>VLOOKUP(A239,Enforcements!$C$7:$E$21,3,0)</f>
        <v>#N/A</v>
      </c>
      <c r="AD239" s="63" t="str">
        <f t="shared" si="111"/>
        <v>57-05</v>
      </c>
      <c r="AE239" s="95" t="str">
        <f t="shared" si="122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39" s="92" t="str">
        <f t="shared" si="123"/>
        <v>"C:\Program Files (x86)\AstroGrep\AstroGrep.exe" /spath="%USERPROFILE%\AppData\Local\Temp\OnboardLogs" /stypes="app*4040*19691231*" /stext=" 23:.+((SYSTEM_STATE.+slice.+state.+changed )|(ment ac)|(system.+state.+changed )|(\[timeout)|(PRM\|1\|D)|(kpr)|(kdp)|(\|lc)|(penalty))" /e /r /s</v>
      </c>
      <c r="AG239" s="1" t="str">
        <f t="shared" si="112"/>
        <v>Other</v>
      </c>
      <c r="AH239" s="96" t="str">
        <f t="shared" si="113"/>
        <v>"%USERPROFILE%\Documents\GitHub\eaglep3\Utilities\RefineRTDCRunTimes.py" --tripid 57-05 --locoid 4040 --swversion DE.1.0.7.0 --startMP 204:1164 --initTime 2016-10-05T16:27:39 --startdatetime 1969-12-31T17:00:00 --delay 1 --endMP 204:1162 --enddatetime 1969-12-31T17:00:00 --enforcementcount 0 &gt;&gt;C:\Users\stu\Documents\GitHub\eaglep3-reporting\EC\2016-10-05-refined-times.txt</v>
      </c>
      <c r="AI239" s="130" t="str">
        <f t="shared" si="114"/>
        <v>echo {"issue":{"subject":"","project_id":79,"tracker_id":40,"status_id":1,"priority_id":2,"assigned_to_id":23,"start_date":"1969-12-31","description":"","custom_fields":[{"id":1,"name":"Subdivision","value":"Other"},{"id":4,"name":"Milepost","value":"0.1162"},{"id":17,"name":"Train ID","value":"57-05"},{"id":16,"name":"Locomotive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55"/>
      <c r="AK239" s="55"/>
      <c r="AL239" s="55"/>
    </row>
    <row r="240" spans="1:38" x14ac:dyDescent="0.25">
      <c r="A240" s="39" t="s">
        <v>539</v>
      </c>
      <c r="B240" s="7">
        <v>4051</v>
      </c>
      <c r="C240" s="24" t="s">
        <v>348</v>
      </c>
      <c r="D240" s="24" t="s">
        <v>701</v>
      </c>
      <c r="E240" s="15">
        <v>42649.10633101852</v>
      </c>
      <c r="F240" s="15">
        <v>42649.107835648145</v>
      </c>
      <c r="G240" s="7">
        <v>1</v>
      </c>
      <c r="H240" s="15" t="s">
        <v>702</v>
      </c>
      <c r="I240" s="15">
        <v>42649.121631944443</v>
      </c>
      <c r="J240" s="7">
        <v>0</v>
      </c>
      <c r="K240" s="117" t="str">
        <f t="shared" si="115"/>
        <v>4051/4052</v>
      </c>
      <c r="L240" s="24" t="str">
        <f>VLOOKUP(A240,'Trips&amp;Operators'!$C$1:$E$10000,3,FALSE)</f>
        <v>OSULLIVAN</v>
      </c>
      <c r="M240" s="6">
        <f t="shared" si="116"/>
        <v>1.3796296298096422E-2</v>
      </c>
      <c r="N240" s="7">
        <f t="shared" si="126"/>
        <v>19.866666669258848</v>
      </c>
      <c r="O240" s="7"/>
      <c r="P240" s="7"/>
      <c r="Q240" s="25"/>
      <c r="R240" s="25"/>
      <c r="S240" s="37">
        <f t="shared" si="124"/>
        <v>0</v>
      </c>
      <c r="T240" s="52" t="e">
        <f t="shared" si="110"/>
        <v>#VALUE!</v>
      </c>
      <c r="U240" s="159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02" t="str">
        <f t="shared" si="117"/>
        <v>https://search-rtdc-monitor-bjffxe2xuh6vdkpspy63sjmuny.us-east-1.es.amazonaws.com/_plugin/kibana/#/discover/Steve-Slow-Train-Analysis-(2080s-and-2083s)?_g=(refreshInterval:(display:Off,section:0,value:0),time:(from:'2016-10-06 01:33:07-0600',mode:absolute,to:'2016-10-06 03:55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40" s="54" t="str">
        <f t="shared" si="118"/>
        <v>N</v>
      </c>
      <c r="X240" s="164" t="e">
        <f t="shared" si="125"/>
        <v>#VALUE!</v>
      </c>
      <c r="Y240" s="69">
        <f t="shared" si="119"/>
        <v>1.0630999999999999</v>
      </c>
      <c r="Z240" s="69">
        <f t="shared" si="120"/>
        <v>12.7959</v>
      </c>
      <c r="AA240" s="69">
        <f t="shared" si="121"/>
        <v>11.732799999999999</v>
      </c>
      <c r="AB240" s="66" t="e">
        <f>VLOOKUP(A240,Enforcements!$C$7:$K$21,8,0)</f>
        <v>#N/A</v>
      </c>
      <c r="AC240" s="62" t="e">
        <f>VLOOKUP(A240,Enforcements!$C$7:$E$21,3,0)</f>
        <v>#N/A</v>
      </c>
      <c r="AD240" s="63" t="str">
        <f t="shared" si="111"/>
        <v>57-05</v>
      </c>
      <c r="AE240" s="95" t="str">
        <f t="shared" si="122"/>
        <v>aws s3 cp s3://rtdc.mdm.uploadarchive.raw/RTDC4051/ "%USERPROFILE%\AppData\Local\Temp\OnboardLogs"\RTDC4051\2016-10-06 --exclude "*" --recursive --include "*20161006*" &amp; "%USERPROFILE%\Documents\GitHub\mrs-test-scripts\Headless Mode &amp; Sideloading\WalkAndUnGZ.bat" "%USERPROFILE%\AppData\Local\Temp\OnboardLogs"\RTDC4051\2016-10-06 &amp; aws s3 cp s3://rtdc.mdm.uploadarchive.raw/RTDC4051/ "%USERPROFILE%\AppData\Local\Temp\OnboardLogs"\RTDC4051\2016-10-07 --exclude "*" --recursive --include "*20161007*" &amp; "%USERPROFILE%\Documents\GitHub\mrs-test-scripts\Headless Mode &amp; Sideloading\WalkAndUnGZ.bat" "%USERPROFILE%\AppData\Local\Temp\OnboardLogs"\RTDC4051\2016-10-07</v>
      </c>
      <c r="AF240" s="92" t="str">
        <f t="shared" si="123"/>
        <v>"C:\Program Files (x86)\AstroGrep\AstroGrep.exe" /spath="%USERPROFILE%\AppData\Local\Temp\OnboardLogs" /stypes="app*4051*20161006*" /stext=" 08:.+((SYSTEM_STATE.+slice.+state.+changed )|(ment ac)|(system.+state.+changed )|(\[timeout)|(PRM\|1\|D)|(kpr)|(kdp)|(\|lc)|(penalty))" /e /r /s</v>
      </c>
      <c r="AG240" s="1" t="str">
        <f t="shared" si="112"/>
        <v>Other</v>
      </c>
      <c r="AH240" s="96" t="str">
        <f t="shared" si="113"/>
        <v>"%USERPROFILE%\Documents\GitHub\eaglep3\Utilities\RefineRTDCRunTimes.py" --tripid 57-05 --locoid 4051 --swversion DE.1.0.8.0 --startMP 204:10631 --initTime 2016-10-06T02:33:07 --startdatetime 2016-10-06T02:35:17 --delay 1 --endMP 204:127959 --enddatetime 2016-10-06T02:55:09 --enforcementcount 0 &gt;&gt;C:\Users\stu\Documents\GitHub\eaglep3-reporting\EC\2016-10-05-refined-times.txt</v>
      </c>
      <c r="AI240" s="130" t="str">
        <f t="shared" si="114"/>
        <v>echo {"issue":{"subject":"","project_id":79,"tracker_id":40,"status_id":1,"priority_id":2,"assigned_to_id":23,"start_date":"2016-10-06","description":"","custom_fields":[{"id":1,"name":"Subdivision","value":"Other"},{"id":4,"name":"Milepost","value":"12.7959"},{"id":17,"name":"Train ID","value":"57-05"},{"id":16,"name":"Locomotive ID","value":"4051"},{"id":130,"name":"Impact","value":""},{"id":150,"name":"Time of Event (Mountain Time)","value":"02:55:09"},{"id":151,"name":"Denver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55"/>
      <c r="AK240" s="55"/>
      <c r="AL240" s="55"/>
    </row>
    <row r="241" spans="1:38" x14ac:dyDescent="0.25">
      <c r="A241" s="39" t="s">
        <v>539</v>
      </c>
      <c r="B241" s="7">
        <v>4051</v>
      </c>
      <c r="C241" s="24" t="s">
        <v>348</v>
      </c>
      <c r="D241" s="24" t="s">
        <v>703</v>
      </c>
      <c r="E241" s="15">
        <v>42649.070844907408</v>
      </c>
      <c r="F241" s="15">
        <v>42649.107835648145</v>
      </c>
      <c r="G241" s="7">
        <v>0</v>
      </c>
      <c r="H241" s="15" t="s">
        <v>704</v>
      </c>
      <c r="I241" s="15">
        <v>42649.121631944443</v>
      </c>
      <c r="J241" s="7">
        <v>0</v>
      </c>
      <c r="K241" s="117" t="str">
        <f t="shared" si="115"/>
        <v>4051/4052</v>
      </c>
      <c r="L241" s="24" t="str">
        <f>VLOOKUP(A241,'Trips&amp;Operators'!$C$1:$E$10000,3,FALSE)</f>
        <v>OSULLIVAN</v>
      </c>
      <c r="M241" s="6">
        <f t="shared" si="116"/>
        <v>1.3796296298096422E-2</v>
      </c>
      <c r="N241" s="7">
        <f t="shared" si="126"/>
        <v>19.866666669258848</v>
      </c>
      <c r="O241" s="7"/>
      <c r="P241" s="7"/>
      <c r="Q241" s="25"/>
      <c r="R241" s="25"/>
      <c r="S241" s="37">
        <f t="shared" si="124"/>
        <v>0</v>
      </c>
      <c r="T241" s="52" t="e">
        <f t="shared" si="110"/>
        <v>#VALUE!</v>
      </c>
      <c r="U241" s="159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02" t="str">
        <f t="shared" si="117"/>
        <v>https://search-rtdc-monitor-bjffxe2xuh6vdkpspy63sjmuny.us-east-1.es.amazonaws.com/_plugin/kibana/#/discover/Steve-Slow-Train-Analysis-(2080s-and-2083s)?_g=(refreshInterval:(display:Off,section:0,value:0),time:(from:'2016-10-06 00:42:01-0600',mode:absolute,to:'2016-10-06 03:55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41" s="54" t="str">
        <f t="shared" si="118"/>
        <v>N</v>
      </c>
      <c r="X241" s="164" t="e">
        <f t="shared" si="125"/>
        <v>#VALUE!</v>
      </c>
      <c r="Y241" s="69">
        <f t="shared" si="119"/>
        <v>1.0649999999999999</v>
      </c>
      <c r="Z241" s="69">
        <f t="shared" si="120"/>
        <v>12.805300000000001</v>
      </c>
      <c r="AA241" s="69">
        <f t="shared" si="121"/>
        <v>11.740300000000001</v>
      </c>
      <c r="AB241" s="66" t="e">
        <f>VLOOKUP(A241,Enforcements!$C$7:$K$21,8,0)</f>
        <v>#N/A</v>
      </c>
      <c r="AC241" s="62" t="e">
        <f>VLOOKUP(A241,Enforcements!$C$7:$E$21,3,0)</f>
        <v>#N/A</v>
      </c>
      <c r="AD241" s="63" t="str">
        <f t="shared" si="111"/>
        <v>57-05</v>
      </c>
      <c r="AE241" s="95" t="str">
        <f t="shared" si="122"/>
        <v>aws s3 cp s3://rtdc.mdm.uploadarchive.raw/RTDC4051/ "%USERPROFILE%\AppData\Local\Temp\OnboardLogs"\RTDC4051\2016-10-06 --exclude "*" --recursive --include "*20161006*" &amp; "%USERPROFILE%\Documents\GitHub\mrs-test-scripts\Headless Mode &amp; Sideloading\WalkAndUnGZ.bat" "%USERPROFILE%\AppData\Local\Temp\OnboardLogs"\RTDC4051\2016-10-06 &amp; aws s3 cp s3://rtdc.mdm.uploadarchive.raw/RTDC4051/ "%USERPROFILE%\AppData\Local\Temp\OnboardLogs"\RTDC4051\2016-10-07 --exclude "*" --recursive --include "*20161007*" &amp; "%USERPROFILE%\Documents\GitHub\mrs-test-scripts\Headless Mode &amp; Sideloading\WalkAndUnGZ.bat" "%USERPROFILE%\AppData\Local\Temp\OnboardLogs"\RTDC4051\2016-10-07</v>
      </c>
      <c r="AF241" s="92" t="str">
        <f t="shared" si="123"/>
        <v>"C:\Program Files (x86)\AstroGrep\AstroGrep.exe" /spath="%USERPROFILE%\AppData\Local\Temp\OnboardLogs" /stypes="app*4051*20161006*" /stext=" 08:.+((SYSTEM_STATE.+slice.+state.+changed )|(ment ac)|(system.+state.+changed )|(\[timeout)|(PRM\|1\|D)|(kpr)|(kdp)|(\|lc)|(penalty))" /e /r /s</v>
      </c>
      <c r="AG241" s="1" t="str">
        <f t="shared" si="112"/>
        <v>Other</v>
      </c>
      <c r="AH241" s="96" t="str">
        <f t="shared" si="113"/>
        <v>"%USERPROFILE%\Documents\GitHub\eaglep3\Utilities\RefineRTDCRunTimes.py" --tripid 57-05 --locoid 4051 --swversion DE.1.0.8.0 --startMP 204:10650 --initTime 2016-10-06T01:42:01 --startdatetime 2016-10-06T02:35:17 --delay 0 --endMP 204:128053 --enddatetime 2016-10-06T02:55:09 --enforcementcount 0 &gt;&gt;C:\Users\stu\Documents\GitHub\eaglep3-reporting\EC\2016-10-05-refined-times.txt</v>
      </c>
      <c r="AI241" s="130" t="str">
        <f t="shared" si="114"/>
        <v>echo {"issue":{"subject":"","project_id":79,"tracker_id":40,"status_id":1,"priority_id":2,"assigned_to_id":23,"start_date":"2016-10-06","description":"","custom_fields":[{"id":1,"name":"Subdivision","value":"Other"},{"id":4,"name":"Milepost","value":"12.8053"},{"id":17,"name":"Train ID","value":"57-05"},{"id":16,"name":"Locomotive ID","value":"4051"},{"id":130,"name":"Impact","value":""},{"id":150,"name":"Time of Event (Mountain Time)","value":"02:55:09"},{"id":151,"name":"Denver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55"/>
      <c r="AK241" s="55"/>
      <c r="AL241" s="55"/>
    </row>
    <row r="242" spans="1:38" x14ac:dyDescent="0.25">
      <c r="A242" s="39" t="s">
        <v>539</v>
      </c>
      <c r="B242" s="7">
        <v>4051</v>
      </c>
      <c r="C242" s="24" t="s">
        <v>348</v>
      </c>
      <c r="D242" s="24" t="s">
        <v>705</v>
      </c>
      <c r="E242" s="15">
        <v>42649.008437500001</v>
      </c>
      <c r="F242" s="15">
        <v>42649.02480324074</v>
      </c>
      <c r="G242" s="7">
        <v>2</v>
      </c>
      <c r="H242" s="15" t="s">
        <v>706</v>
      </c>
      <c r="I242" s="15">
        <v>42649.044432870367</v>
      </c>
      <c r="J242" s="7">
        <v>0</v>
      </c>
      <c r="K242" s="117" t="str">
        <f t="shared" si="115"/>
        <v>4051/4052</v>
      </c>
      <c r="L242" s="24" t="str">
        <f>VLOOKUP(A242,'Trips&amp;Operators'!$C$1:$E$10000,3,FALSE)</f>
        <v>OSULLIVAN</v>
      </c>
      <c r="M242" s="6">
        <f t="shared" si="116"/>
        <v>1.9629629627161194E-2</v>
      </c>
      <c r="N242" s="7">
        <f t="shared" si="126"/>
        <v>28.266666663112119</v>
      </c>
      <c r="O242" s="7"/>
      <c r="P242" s="7"/>
      <c r="Q242" s="25"/>
      <c r="R242" s="25"/>
      <c r="S242" s="37">
        <f t="shared" si="124"/>
        <v>0</v>
      </c>
      <c r="T242" s="52" t="e">
        <f t="shared" si="110"/>
        <v>#VALUE!</v>
      </c>
      <c r="U242" s="159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02" t="str">
        <f t="shared" si="117"/>
        <v>https://search-rtdc-monitor-bjffxe2xuh6vdkpspy63sjmuny.us-east-1.es.amazonaws.com/_plugin/kibana/#/discover/Steve-Slow-Train-Analysis-(2080s-and-2083s)?_g=(refreshInterval:(display:Off,section:0,value:0),time:(from:'2016-10-05 23:12:09-0600',mode:absolute,to:'2016-10-06 02:03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42" s="54" t="str">
        <f t="shared" si="118"/>
        <v>N</v>
      </c>
      <c r="X242" s="164" t="e">
        <f t="shared" si="125"/>
        <v>#VALUE!</v>
      </c>
      <c r="Y242" s="69">
        <f t="shared" si="119"/>
        <v>0.14990000000000001</v>
      </c>
      <c r="Z242" s="69">
        <f t="shared" si="120"/>
        <v>12.8028</v>
      </c>
      <c r="AA242" s="69">
        <f t="shared" si="121"/>
        <v>12.652899999999999</v>
      </c>
      <c r="AB242" s="66" t="e">
        <f>VLOOKUP(A242,Enforcements!$C$7:$K$21,8,0)</f>
        <v>#N/A</v>
      </c>
      <c r="AC242" s="62" t="e">
        <f>VLOOKUP(A242,Enforcements!$C$7:$E$21,3,0)</f>
        <v>#N/A</v>
      </c>
      <c r="AD242" s="63" t="str">
        <f t="shared" si="111"/>
        <v>57-05</v>
      </c>
      <c r="AE242" s="95" t="str">
        <f t="shared" si="122"/>
        <v>aws s3 cp s3://rtdc.mdm.uploadarchive.raw/RTDC4051/ "%USERPROFILE%\AppData\Local\Temp\OnboardLogs"\RTDC4051\2016-10-06 --exclude "*" --recursive --include "*20161006*" &amp; "%USERPROFILE%\Documents\GitHub\mrs-test-scripts\Headless Mode &amp; Sideloading\WalkAndUnGZ.bat" "%USERPROFILE%\AppData\Local\Temp\OnboardLogs"\RTDC4051\2016-10-06 &amp; aws s3 cp s3://rtdc.mdm.uploadarchive.raw/RTDC4051/ "%USERPROFILE%\AppData\Local\Temp\OnboardLogs"\RTDC4051\2016-10-07 --exclude "*" --recursive --include "*20161007*" &amp; "%USERPROFILE%\Documents\GitHub\mrs-test-scripts\Headless Mode &amp; Sideloading\WalkAndUnGZ.bat" "%USERPROFILE%\AppData\Local\Temp\OnboardLogs"\RTDC4051\2016-10-07</v>
      </c>
      <c r="AF242" s="92" t="str">
        <f t="shared" si="123"/>
        <v>"C:\Program Files (x86)\AstroGrep\AstroGrep.exe" /spath="%USERPROFILE%\AppData\Local\Temp\OnboardLogs" /stypes="app*4051*20161006*" /stext=" 07:.+((SYSTEM_STATE.+slice.+state.+changed )|(ment ac)|(system.+state.+changed )|(\[timeout)|(PRM\|1\|D)|(kpr)|(kdp)|(\|lc)|(penalty))" /e /r /s</v>
      </c>
      <c r="AG242" s="1" t="str">
        <f t="shared" si="112"/>
        <v>Other</v>
      </c>
      <c r="AH242" s="96" t="str">
        <f t="shared" si="113"/>
        <v>"%USERPROFILE%\Documents\GitHub\eaglep3\Utilities\RefineRTDCRunTimes.py" --tripid 57-05 --locoid 4051 --swversion DE.1.0.8.0 --startMP 204:1499 --initTime 2016-10-06T00:12:09 --startdatetime 2016-10-06T00:35:43 --delay 2 --endMP 204:128028 --enddatetime 2016-10-06T01:03:59 --enforcementcount 0 &gt;&gt;C:\Users\stu\Documents\GitHub\eaglep3-reporting\EC\2016-10-05-refined-times.txt</v>
      </c>
      <c r="AI242" s="130" t="str">
        <f t="shared" si="114"/>
        <v>echo {"issue":{"subject":"","project_id":79,"tracker_id":40,"status_id":1,"priority_id":2,"assigned_to_id":23,"start_date":"2016-10-06","description":"","custom_fields":[{"id":1,"name":"Subdivision","value":"Other"},{"id":4,"name":"Milepost","value":"12.8028"},{"id":17,"name":"Train ID","value":"57-05"},{"id":16,"name":"Locomotive ID","value":"4051"},{"id":130,"name":"Impact","value":""},{"id":150,"name":"Time of Event (Mountain Time)","value":"01:03:59"},{"id":151,"name":"Denver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55"/>
      <c r="AK242" s="55"/>
      <c r="AL242" s="55"/>
    </row>
    <row r="243" spans="1:38" x14ac:dyDescent="0.25">
      <c r="A243" s="39" t="s">
        <v>539</v>
      </c>
      <c r="B243" s="7">
        <v>4051</v>
      </c>
      <c r="C243" s="24" t="s">
        <v>348</v>
      </c>
      <c r="D243" s="24" t="s">
        <v>707</v>
      </c>
      <c r="E243" s="15">
        <v>42649.021458333336</v>
      </c>
      <c r="F243" s="15">
        <v>42649.02480324074</v>
      </c>
      <c r="G243" s="7">
        <v>3</v>
      </c>
      <c r="H243" s="15" t="s">
        <v>706</v>
      </c>
      <c r="I243" s="15">
        <v>42649.044432870367</v>
      </c>
      <c r="J243" s="7">
        <v>0</v>
      </c>
      <c r="K243" s="117" t="str">
        <f t="shared" si="115"/>
        <v>4051/4052</v>
      </c>
      <c r="L243" s="24" t="str">
        <f>VLOOKUP(A243,'Trips&amp;Operators'!$C$1:$E$10000,3,FALSE)</f>
        <v>OSULLIVAN</v>
      </c>
      <c r="M243" s="6">
        <f t="shared" si="116"/>
        <v>1.9629629627161194E-2</v>
      </c>
      <c r="N243" s="7">
        <f t="shared" si="126"/>
        <v>28.266666663112119</v>
      </c>
      <c r="O243" s="7"/>
      <c r="P243" s="7"/>
      <c r="Q243" s="25"/>
      <c r="R243" s="25"/>
      <c r="S243" s="37">
        <f t="shared" si="124"/>
        <v>0</v>
      </c>
      <c r="T243" s="52" t="e">
        <f t="shared" si="110"/>
        <v>#VALUE!</v>
      </c>
      <c r="U243" s="159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02" t="str">
        <f t="shared" si="117"/>
        <v>https://search-rtdc-monitor-bjffxe2xuh6vdkpspy63sjmuny.us-east-1.es.amazonaws.com/_plugin/kibana/#/discover/Steve-Slow-Train-Analysis-(2080s-and-2083s)?_g=(refreshInterval:(display:Off,section:0,value:0),time:(from:'2016-10-05 23:30:54-0600',mode:absolute,to:'2016-10-06 02:03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43" s="54" t="str">
        <f t="shared" si="118"/>
        <v>N</v>
      </c>
      <c r="X243" s="164" t="e">
        <f t="shared" si="125"/>
        <v>#VALUE!</v>
      </c>
      <c r="Y243" s="69">
        <f t="shared" si="119"/>
        <v>0.15040000000000001</v>
      </c>
      <c r="Z243" s="69">
        <f t="shared" si="120"/>
        <v>12.8028</v>
      </c>
      <c r="AA243" s="69">
        <f t="shared" si="121"/>
        <v>12.6524</v>
      </c>
      <c r="AB243" s="66" t="e">
        <f>VLOOKUP(A243,Enforcements!$C$7:$K$21,8,0)</f>
        <v>#N/A</v>
      </c>
      <c r="AC243" s="62" t="e">
        <f>VLOOKUP(A243,Enforcements!$C$7:$E$21,3,0)</f>
        <v>#N/A</v>
      </c>
      <c r="AD243" s="63" t="str">
        <f t="shared" si="111"/>
        <v>57-05</v>
      </c>
      <c r="AE243" s="95" t="str">
        <f t="shared" si="122"/>
        <v>aws s3 cp s3://rtdc.mdm.uploadarchive.raw/RTDC4051/ "%USERPROFILE%\AppData\Local\Temp\OnboardLogs"\RTDC4051\2016-10-06 --exclude "*" --recursive --include "*20161006*" &amp; "%USERPROFILE%\Documents\GitHub\mrs-test-scripts\Headless Mode &amp; Sideloading\WalkAndUnGZ.bat" "%USERPROFILE%\AppData\Local\Temp\OnboardLogs"\RTDC4051\2016-10-06 &amp; aws s3 cp s3://rtdc.mdm.uploadarchive.raw/RTDC4051/ "%USERPROFILE%\AppData\Local\Temp\OnboardLogs"\RTDC4051\2016-10-07 --exclude "*" --recursive --include "*20161007*" &amp; "%USERPROFILE%\Documents\GitHub\mrs-test-scripts\Headless Mode &amp; Sideloading\WalkAndUnGZ.bat" "%USERPROFILE%\AppData\Local\Temp\OnboardLogs"\RTDC4051\2016-10-07</v>
      </c>
      <c r="AF243" s="92" t="str">
        <f t="shared" si="123"/>
        <v>"C:\Program Files (x86)\AstroGrep\AstroGrep.exe" /spath="%USERPROFILE%\AppData\Local\Temp\OnboardLogs" /stypes="app*4051*20161006*" /stext=" 07:.+((SYSTEM_STATE.+slice.+state.+changed )|(ment ac)|(system.+state.+changed )|(\[timeout)|(PRM\|1\|D)|(kpr)|(kdp)|(\|lc)|(penalty))" /e /r /s</v>
      </c>
      <c r="AG243" s="1" t="str">
        <f t="shared" si="112"/>
        <v>Other</v>
      </c>
      <c r="AH243" s="96" t="str">
        <f t="shared" si="113"/>
        <v>"%USERPROFILE%\Documents\GitHub\eaglep3\Utilities\RefineRTDCRunTimes.py" --tripid 57-05 --locoid 4051 --swversion DE.1.0.8.0 --startMP 204:1504 --initTime 2016-10-06T00:30:54 --startdatetime 2016-10-06T00:35:43 --delay 3 --endMP 204:128028 --enddatetime 2016-10-06T01:03:59 --enforcementcount 0 &gt;&gt;C:\Users\stu\Documents\GitHub\eaglep3-reporting\EC\2016-10-05-refined-times.txt</v>
      </c>
      <c r="AI243" s="130" t="str">
        <f t="shared" si="114"/>
        <v>echo {"issue":{"subject":"","project_id":79,"tracker_id":40,"status_id":1,"priority_id":2,"assigned_to_id":23,"start_date":"2016-10-06","description":"","custom_fields":[{"id":1,"name":"Subdivision","value":"Other"},{"id":4,"name":"Milepost","value":"12.8028"},{"id":17,"name":"Train ID","value":"57-05"},{"id":16,"name":"Locomotive ID","value":"4051"},{"id":130,"name":"Impact","value":""},{"id":150,"name":"Time of Event (Mountain Time)","value":"01:03:59"},{"id":151,"name":"Denver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55"/>
      <c r="AK243" s="55"/>
      <c r="AL243" s="55"/>
    </row>
    <row r="244" spans="1:38" x14ac:dyDescent="0.25">
      <c r="A244" s="39" t="s">
        <v>559</v>
      </c>
      <c r="B244" s="7">
        <v>4025</v>
      </c>
      <c r="C244" s="24" t="s">
        <v>106</v>
      </c>
      <c r="D244" s="24" t="s">
        <v>648</v>
      </c>
      <c r="E244" s="15">
        <v>42648.754502314812</v>
      </c>
      <c r="F244" s="15">
        <v>25568.708333333332</v>
      </c>
      <c r="G244" s="7">
        <v>1</v>
      </c>
      <c r="H244" s="15" t="s">
        <v>343</v>
      </c>
      <c r="I244" s="15">
        <v>25568.708333333332</v>
      </c>
      <c r="J244" s="7">
        <v>0</v>
      </c>
      <c r="K244" s="117" t="str">
        <f t="shared" si="115"/>
        <v>4025/4026</v>
      </c>
      <c r="L244" s="24" t="str">
        <f>VLOOKUP(A244,'Trips&amp;Operators'!$C$1:$E$10000,3,FALSE)</f>
        <v>YOUNG</v>
      </c>
      <c r="M244" s="6">
        <f t="shared" si="116"/>
        <v>0</v>
      </c>
      <c r="N244" s="7">
        <f t="shared" si="126"/>
        <v>0</v>
      </c>
      <c r="O244" s="7"/>
      <c r="P244" s="7"/>
      <c r="Q244" s="25"/>
      <c r="R244" s="25"/>
      <c r="S244" s="37">
        <f t="shared" si="124"/>
        <v>0</v>
      </c>
      <c r="T244" s="52" t="e">
        <f t="shared" si="110"/>
        <v>#VALUE!</v>
      </c>
      <c r="U244" s="159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02" t="str">
        <f t="shared" si="117"/>
        <v>https://search-rtdc-monitor-bjffxe2xuh6vdkpspy63sjmuny.us-east-1.es.amazonaws.com/_plugin/kibana/#/discover/Steve-Slow-Train-Analysis-(2080s-and-2083s)?_g=(refreshInterval:(display:Off,section:0,value:0),time:(from:'2016-10-05 17:06:29-0600',mode:absolute,to:'1969-12-31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44" s="54" t="str">
        <f t="shared" si="118"/>
        <v>Y</v>
      </c>
      <c r="X244" s="164" t="e">
        <f t="shared" si="125"/>
        <v>#VALUE!</v>
      </c>
      <c r="Y244" s="69">
        <f t="shared" si="119"/>
        <v>0.14940000000000001</v>
      </c>
      <c r="Z244" s="69">
        <f t="shared" si="120"/>
        <v>2.3304</v>
      </c>
      <c r="AA244" s="69">
        <f t="shared" si="121"/>
        <v>2.181</v>
      </c>
      <c r="AB244" s="66" t="e">
        <f>VLOOKUP(A244,Enforcements!$C$7:$K$21,8,0)</f>
        <v>#N/A</v>
      </c>
      <c r="AC244" s="62" t="e">
        <f>VLOOKUP(A244,Enforcements!$C$7:$E$21,3,0)</f>
        <v>#N/A</v>
      </c>
      <c r="AD244" s="63" t="str">
        <f t="shared" si="111"/>
        <v>71-05</v>
      </c>
      <c r="AE244" s="95" t="str">
        <f t="shared" si="122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44" s="92" t="str">
        <f t="shared" si="123"/>
        <v>"C:\Program Files (x86)\AstroGrep\AstroGrep.exe" /spath="%USERPROFILE%\AppData\Local\Temp\OnboardLogs" /stypes="app*4025*19691231*" /stext=" 23:.+((SYSTEM_STATE.+slice.+state.+changed )|(ment ac)|(system.+state.+changed )|(\[timeout)|(PRM\|1\|D)|(kpr)|(kdp)|(\|lc)|(penalty))" /e /r /s</v>
      </c>
      <c r="AG244" s="1" t="str">
        <f t="shared" si="112"/>
        <v>Other</v>
      </c>
      <c r="AH244" s="96" t="str">
        <f t="shared" si="113"/>
        <v>"%USERPROFILE%\Documents\GitHub\eaglep3\Utilities\RefineRTDCRunTimes.py" --tripid 71-05 --locoid 4025 --swversion DE.1.0.7.0 --startMP 204:1494 --initTime 2016-10-05T18:06:29 --startdatetime 1969-12-31T17:00:00 --delay 1 --endMP 300:23304 --enddatetime 1969-12-31T17:00:00 --enforcementcount 0 &gt;&gt;C:\Users\stu\Documents\GitHub\eaglep3-reporting\EC\2016-10-05-refined-times.txt</v>
      </c>
      <c r="AI244" s="130" t="str">
        <f t="shared" si="114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ID","value":"71-05"},{"id":16,"name":"Locomotive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55"/>
      <c r="AK244" s="55"/>
      <c r="AL244" s="55"/>
    </row>
    <row r="245" spans="1:38" x14ac:dyDescent="0.25">
      <c r="A245" s="39" t="s">
        <v>547</v>
      </c>
      <c r="B245" s="7">
        <v>4021</v>
      </c>
      <c r="C245" s="24" t="s">
        <v>106</v>
      </c>
      <c r="D245" s="24" t="s">
        <v>763</v>
      </c>
      <c r="E245" s="15">
        <v>42648.712442129632</v>
      </c>
      <c r="F245" s="15">
        <v>42648.720127314817</v>
      </c>
      <c r="G245" s="7">
        <v>11</v>
      </c>
      <c r="H245" s="15" t="s">
        <v>764</v>
      </c>
      <c r="I245" s="15">
        <v>42648.726863425924</v>
      </c>
      <c r="J245" s="7">
        <v>0</v>
      </c>
      <c r="K245" s="117" t="str">
        <f t="shared" si="115"/>
        <v>4021/4022</v>
      </c>
      <c r="L245" s="24" t="str">
        <f>VLOOKUP(A245,'Trips&amp;Operators'!$C$1:$E$10000,3,FALSE)</f>
        <v>YANAI</v>
      </c>
      <c r="M245" s="6">
        <f t="shared" si="116"/>
        <v>6.7361111068748869E-3</v>
      </c>
      <c r="N245" s="7">
        <f t="shared" si="126"/>
        <v>9.6999999938998371</v>
      </c>
      <c r="O245" s="7"/>
      <c r="P245" s="7"/>
      <c r="Q245" s="25"/>
      <c r="R245" s="25"/>
      <c r="S245" s="37">
        <f t="shared" si="124"/>
        <v>0</v>
      </c>
      <c r="T245" s="52" t="e">
        <f t="shared" si="110"/>
        <v>#VALUE!</v>
      </c>
      <c r="U245" s="159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02" t="str">
        <f t="shared" si="117"/>
        <v>https://search-rtdc-monitor-bjffxe2xuh6vdkpspy63sjmuny.us-east-1.es.amazonaws.com/_plugin/kibana/#/discover/Steve-Slow-Train-Analysis-(2080s-and-2083s)?_g=(refreshInterval:(display:Off,section:0,value:0),time:(from:'2016-10-05 16:05:55-0600',mode:absolute,to:'2016-10-05 18:26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45" s="54" t="str">
        <f t="shared" si="118"/>
        <v>Y</v>
      </c>
      <c r="X245" s="164" t="e">
        <f t="shared" si="125"/>
        <v>#VALUE!</v>
      </c>
      <c r="Y245" s="69">
        <f t="shared" si="119"/>
        <v>2.3715999999999999</v>
      </c>
      <c r="Z245" s="69">
        <f t="shared" si="120"/>
        <v>6.6E-3</v>
      </c>
      <c r="AA245" s="69">
        <f t="shared" si="121"/>
        <v>2.3649999999999998</v>
      </c>
      <c r="AB245" s="66" t="e">
        <f>VLOOKUP(A245,Enforcements!$C$7:$K$21,8,0)</f>
        <v>#N/A</v>
      </c>
      <c r="AC245" s="62" t="e">
        <f>VLOOKUP(A245,Enforcements!$C$7:$E$21,3,0)</f>
        <v>#N/A</v>
      </c>
      <c r="AD245" s="63" t="str">
        <f t="shared" si="111"/>
        <v>SILVER SPUR-05</v>
      </c>
      <c r="AE245" s="95" t="str">
        <f t="shared" si="122"/>
        <v>aws s3 cp s3://rtdc.mdm.uploadarchive.raw/RTDC4021/ "%USERPROFILE%\AppData\Local\Temp\OnboardLogs"\RTDC4021\2016-10-05 --exclude "*" --recursive --include "*20161005*" &amp; "%USERPROFILE%\Documents\GitHub\mrs-test-scripts\Headless Mode &amp; Sideloading\WalkAndUnGZ.bat" "%USERPROFILE%\AppData\Local\Temp\OnboardLogs"\RTDC4021\2016-10-05 &amp; aws s3 cp s3://rtdc.mdm.uploadarchive.raw/RTDC4021/ "%USERPROFILE%\AppData\Local\Temp\OnboardLogs"\RTDC4021\2016-10-06 --exclude "*" --recursive --include "*20161006*" &amp; "%USERPROFILE%\Documents\GitHub\mrs-test-scripts\Headless Mode &amp; Sideloading\WalkAndUnGZ.bat" "%USERPROFILE%\AppData\Local\Temp\OnboardLogs"\RTDC4021\2016-10-06</v>
      </c>
      <c r="AF245" s="92" t="str">
        <f t="shared" si="123"/>
        <v>"C:\Program Files (x86)\AstroGrep\AstroGrep.exe" /spath="%USERPROFILE%\AppData\Local\Temp\OnboardLogs" /stypes="app*4021*20161005*" /stext=" 23:.+((SYSTEM_STATE.+slice.+state.+changed )|(ment ac)|(system.+state.+changed )|(\[timeout)|(PRM\|1\|D)|(kpr)|(kdp)|(\|lc)|(penalty))" /e /r /s</v>
      </c>
      <c r="AG245" s="1" t="str">
        <f t="shared" si="112"/>
        <v>Other</v>
      </c>
      <c r="AH245" s="96" t="str">
        <f t="shared" si="113"/>
        <v>"%USERPROFILE%\Documents\GitHub\eaglep3\Utilities\RefineRTDCRunTimes.py" --tripid SILVER SPUR-05 --locoid 4021 --swversion DE.1.0.7.0 --startMP 300:23716 --initTime 2016-10-05T17:05:55 --startdatetime 2016-10-05T17:16:59 --delay 11 --endMP 204:66 --enddatetime 2016-10-05T17:26:41 --enforcementcount 0 &gt;&gt;C:\Users\stu\Documents\GitHub\eaglep3-reporting\EC\2016-10-05-refined-times.txt</v>
      </c>
      <c r="AI245" s="130" t="str">
        <f t="shared" si="114"/>
        <v>echo {"issue":{"subject":"","project_id":79,"tracker_id":40,"status_id":1,"priority_id":2,"assigned_to_id":23,"start_date":"2016-10-05","description":"","custom_fields":[{"id":1,"name":"Subdivision","value":"Other"},{"id":4,"name":"Milepost","value":"0.0066"},{"id":17,"name":"Train ID","value":"SILVER SPUR-05"},{"id":16,"name":"Locomotive ID","value":"4021"},{"id":130,"name":"Impact","value":""},{"id":150,"name":"Time of Event (Mountain Time)","value":"17:26:41"},{"id":151,"name":"Denver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17"/>
      <c r="L246" s="24"/>
      <c r="M246" s="6"/>
      <c r="N246" s="7"/>
      <c r="O246" s="7"/>
      <c r="P246" s="7"/>
      <c r="Q246" s="25"/>
      <c r="R246" s="25"/>
      <c r="S246" s="37"/>
      <c r="T246" s="52"/>
      <c r="U246" s="159"/>
      <c r="V246" s="102"/>
      <c r="W246" s="54"/>
      <c r="X246" s="164"/>
      <c r="Y246" s="69"/>
      <c r="Z246" s="69"/>
      <c r="AA246" s="69"/>
      <c r="AB246" s="66"/>
      <c r="AC246" s="62"/>
      <c r="AD246" s="63"/>
      <c r="AE246" s="95"/>
      <c r="AF246" s="92"/>
      <c r="AG246" s="1"/>
      <c r="AI246" s="130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17"/>
      <c r="L247" s="24"/>
      <c r="M247" s="6"/>
      <c r="N247" s="7"/>
      <c r="O247" s="7"/>
      <c r="P247" s="7"/>
      <c r="Q247" s="25"/>
      <c r="R247" s="25"/>
      <c r="S247" s="37"/>
      <c r="T247" s="52"/>
      <c r="U247" s="159"/>
      <c r="V247" s="102"/>
      <c r="W247" s="54"/>
      <c r="X247" s="164"/>
      <c r="Y247" s="69"/>
      <c r="Z247" s="69"/>
      <c r="AA247" s="69"/>
      <c r="AB247" s="66"/>
      <c r="AC247" s="62"/>
      <c r="AD247" s="63"/>
      <c r="AE247" s="95"/>
      <c r="AF247" s="92"/>
      <c r="AG247" s="1"/>
      <c r="AI247" s="130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17"/>
      <c r="L248" s="24"/>
      <c r="M248" s="6"/>
      <c r="N248" s="7"/>
      <c r="O248" s="7"/>
      <c r="P248" s="7"/>
      <c r="Q248" s="25"/>
      <c r="R248" s="25"/>
      <c r="S248" s="37"/>
      <c r="T248" s="52"/>
      <c r="U248" s="159"/>
      <c r="V248" s="102"/>
      <c r="W248" s="54"/>
      <c r="X248" s="164"/>
      <c r="Y248" s="69"/>
      <c r="Z248" s="69"/>
      <c r="AA248" s="69"/>
      <c r="AB248" s="66"/>
      <c r="AC248" s="62"/>
      <c r="AD248" s="63"/>
      <c r="AE248" s="95"/>
      <c r="AF248" s="92"/>
      <c r="AG248" s="1"/>
      <c r="AI248" s="130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17"/>
      <c r="L249" s="24"/>
      <c r="M249" s="6"/>
      <c r="N249" s="7"/>
      <c r="O249" s="7"/>
      <c r="P249" s="7"/>
      <c r="Q249" s="25"/>
      <c r="R249" s="25"/>
      <c r="S249" s="37"/>
      <c r="T249" s="52"/>
      <c r="U249" s="159"/>
      <c r="V249" s="102"/>
      <c r="W249" s="54"/>
      <c r="X249" s="164"/>
      <c r="Y249" s="69"/>
      <c r="Z249" s="69"/>
      <c r="AA249" s="69"/>
      <c r="AB249" s="66"/>
      <c r="AC249" s="62"/>
      <c r="AD249" s="63"/>
      <c r="AE249" s="95"/>
      <c r="AF249" s="92"/>
      <c r="AG249" s="1"/>
      <c r="AI249" s="130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17"/>
      <c r="L250" s="24"/>
      <c r="M250" s="6"/>
      <c r="N250" s="7"/>
      <c r="O250" s="7"/>
      <c r="P250" s="7"/>
      <c r="Q250" s="25"/>
      <c r="R250" s="25"/>
      <c r="S250" s="37"/>
      <c r="T250" s="52"/>
      <c r="U250" s="159"/>
      <c r="V250" s="102"/>
      <c r="W250" s="54"/>
      <c r="X250" s="164"/>
      <c r="Y250" s="69"/>
      <c r="Z250" s="69"/>
      <c r="AA250" s="69"/>
      <c r="AB250" s="66"/>
      <c r="AC250" s="62"/>
      <c r="AD250" s="63"/>
      <c r="AE250" s="95"/>
      <c r="AF250" s="92"/>
      <c r="AG250" s="1"/>
      <c r="AI250" s="130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17"/>
      <c r="L251" s="24"/>
      <c r="M251" s="6"/>
      <c r="N251" s="7"/>
      <c r="O251" s="7"/>
      <c r="P251" s="7"/>
      <c r="Q251" s="25"/>
      <c r="R251" s="25"/>
      <c r="S251" s="37"/>
      <c r="T251" s="52"/>
      <c r="U251" s="159"/>
      <c r="V251" s="102"/>
      <c r="W251" s="54"/>
      <c r="X251" s="164"/>
      <c r="Y251" s="69"/>
      <c r="Z251" s="69"/>
      <c r="AA251" s="69"/>
      <c r="AB251" s="66"/>
      <c r="AC251" s="62"/>
      <c r="AD251" s="63"/>
      <c r="AE251" s="95"/>
      <c r="AF251" s="92"/>
      <c r="AG251" s="1"/>
      <c r="AI251" s="130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17"/>
      <c r="L252" s="24"/>
      <c r="M252" s="6"/>
      <c r="N252" s="7"/>
      <c r="O252" s="7"/>
      <c r="P252" s="7"/>
      <c r="Q252" s="25"/>
      <c r="R252" s="25"/>
      <c r="S252" s="37"/>
      <c r="T252" s="52"/>
      <c r="U252" s="159"/>
      <c r="V252" s="102"/>
      <c r="W252" s="54"/>
      <c r="X252" s="164"/>
      <c r="Y252" s="69"/>
      <c r="Z252" s="69"/>
      <c r="AA252" s="69"/>
      <c r="AB252" s="66"/>
      <c r="AC252" s="62"/>
      <c r="AD252" s="63"/>
      <c r="AE252" s="95"/>
      <c r="AF252" s="92"/>
      <c r="AG252" s="1"/>
      <c r="AI252" s="130"/>
      <c r="AJ252" s="55"/>
      <c r="AK252" s="55"/>
      <c r="AL252" s="55"/>
    </row>
    <row r="253" spans="1:38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17"/>
      <c r="L253" s="24"/>
      <c r="M253" s="6"/>
      <c r="N253" s="7"/>
      <c r="O253" s="7"/>
      <c r="P253" s="7"/>
      <c r="Q253" s="25"/>
      <c r="R253" s="25"/>
      <c r="S253" s="37"/>
      <c r="T253" s="52"/>
      <c r="U253" s="159"/>
      <c r="V253" s="102"/>
      <c r="W253" s="54"/>
      <c r="X253" s="164"/>
      <c r="Y253" s="69"/>
      <c r="Z253" s="69"/>
      <c r="AA253" s="69"/>
      <c r="AB253" s="66"/>
      <c r="AC253" s="62"/>
      <c r="AD253" s="63"/>
      <c r="AE253" s="95"/>
      <c r="AF253" s="92"/>
      <c r="AG253" s="1"/>
      <c r="AI253" s="130"/>
      <c r="AJ253" s="55"/>
      <c r="AK253" s="55"/>
      <c r="AL253" s="55"/>
    </row>
    <row r="254" spans="1:38" x14ac:dyDescent="0.25">
      <c r="A254" s="39"/>
      <c r="B254" s="7"/>
      <c r="C254" s="24"/>
      <c r="D254" s="24"/>
      <c r="E254" s="15"/>
      <c r="F254" s="15"/>
      <c r="G254" s="7"/>
      <c r="H254" s="15"/>
      <c r="I254" s="15"/>
      <c r="J254" s="7"/>
      <c r="K254" s="117"/>
      <c r="L254" s="24"/>
      <c r="M254" s="6"/>
      <c r="N254" s="7"/>
      <c r="O254" s="7"/>
      <c r="P254" s="7"/>
      <c r="Q254" s="25"/>
      <c r="R254" s="25"/>
      <c r="S254" s="37"/>
      <c r="T254" s="52"/>
      <c r="U254" s="159"/>
      <c r="V254" s="102"/>
      <c r="W254" s="54"/>
      <c r="X254" s="164"/>
      <c r="Y254" s="69"/>
      <c r="Z254" s="69"/>
      <c r="AA254" s="69"/>
      <c r="AB254" s="66"/>
      <c r="AC254" s="62"/>
      <c r="AD254" s="63"/>
      <c r="AE254" s="95"/>
      <c r="AF254" s="92"/>
      <c r="AG254" s="1"/>
      <c r="AI254" s="130"/>
      <c r="AJ254" s="55"/>
      <c r="AK254" s="55"/>
      <c r="AL254" s="55"/>
    </row>
    <row r="255" spans="1:38" x14ac:dyDescent="0.25">
      <c r="A255" s="39"/>
      <c r="B255" s="7"/>
      <c r="C255" s="24"/>
      <c r="D255" s="24"/>
      <c r="E255" s="15"/>
      <c r="F255" s="15"/>
      <c r="G255" s="7"/>
      <c r="H255" s="15"/>
      <c r="I255" s="15"/>
      <c r="J255" s="7"/>
      <c r="K255" s="117"/>
      <c r="L255" s="24"/>
      <c r="M255" s="6"/>
      <c r="N255" s="7"/>
      <c r="O255" s="7"/>
      <c r="P255" s="7"/>
      <c r="Q255" s="25"/>
      <c r="R255" s="25"/>
      <c r="S255" s="37"/>
      <c r="T255" s="52"/>
      <c r="U255" s="159"/>
      <c r="V255" s="102"/>
      <c r="W255" s="54"/>
      <c r="X255" s="164"/>
      <c r="Y255" s="69"/>
      <c r="Z255" s="69"/>
      <c r="AA255" s="69"/>
      <c r="AB255" s="66"/>
      <c r="AC255" s="62"/>
      <c r="AD255" s="63"/>
      <c r="AE255" s="95"/>
      <c r="AF255" s="92"/>
      <c r="AG255" s="1"/>
      <c r="AI255" s="130"/>
      <c r="AJ255" s="55"/>
      <c r="AK255" s="55"/>
      <c r="AL255" s="55"/>
    </row>
    <row r="256" spans="1:38" x14ac:dyDescent="0.25">
      <c r="A256" s="39"/>
      <c r="B256" s="7"/>
      <c r="C256" s="24"/>
      <c r="D256" s="24"/>
      <c r="E256" s="15"/>
      <c r="F256" s="15"/>
      <c r="G256" s="7"/>
      <c r="H256" s="15"/>
      <c r="I256" s="15"/>
      <c r="J256" s="7"/>
      <c r="K256" s="117"/>
      <c r="L256" s="24"/>
      <c r="M256" s="6"/>
      <c r="N256" s="7"/>
      <c r="O256" s="7"/>
      <c r="P256" s="7"/>
      <c r="Q256" s="25"/>
      <c r="R256" s="25"/>
      <c r="S256" s="37"/>
      <c r="T256" s="52"/>
      <c r="U256" s="159"/>
      <c r="V256" s="102"/>
      <c r="W256" s="54"/>
      <c r="X256" s="164"/>
      <c r="Y256" s="69"/>
      <c r="Z256" s="69"/>
      <c r="AA256" s="69"/>
      <c r="AB256" s="66"/>
      <c r="AC256" s="62"/>
      <c r="AD256" s="63"/>
      <c r="AE256" s="95"/>
      <c r="AF256" s="92"/>
      <c r="AG256" s="1"/>
      <c r="AI256" s="130"/>
      <c r="AJ256" s="55"/>
      <c r="AK256" s="55"/>
      <c r="AL256" s="55"/>
    </row>
  </sheetData>
  <autoFilter ref="A12:AG256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326" operator="equal">
      <formula>"Y"</formula>
    </cfRule>
  </conditionalFormatting>
  <conditionalFormatting sqref="X13:X1048576">
    <cfRule type="cellIs" dxfId="7" priority="309" operator="greaterThan">
      <formula>1</formula>
    </cfRule>
  </conditionalFormatting>
  <conditionalFormatting sqref="X12:X1048576">
    <cfRule type="cellIs" dxfId="6" priority="306" operator="equal">
      <formula>0</formula>
    </cfRule>
  </conditionalFormatting>
  <conditionalFormatting sqref="A13:S256">
    <cfRule type="expression" dxfId="5" priority="300" stopIfTrue="1">
      <formula>$P13&gt;0</formula>
    </cfRule>
    <cfRule type="expression" dxfId="4" priority="301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AK13:AK256</xm:sqref>
        </x14:dataValidation>
        <x14:dataValidation type="list" allowBlank="1" showInputMessage="1" showErrorMessage="1">
          <x14:formula1>
            <xm:f>'Redmine List Values'!$C$2:$C$20</xm:f>
          </x14:formula1>
          <xm:sqref>AL13:AL256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67"/>
  <sheetViews>
    <sheetView topLeftCell="A2" workbookViewId="0">
      <selection activeCell="K46" sqref="K46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8.570312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57" customWidth="1"/>
    <col min="16" max="16" width="30.7109375" customWidth="1"/>
    <col min="17" max="17" width="5" hidden="1" customWidth="1"/>
    <col min="18" max="18" width="5.5703125" style="93" customWidth="1"/>
    <col min="19" max="19" width="5.5703125" style="105" customWidth="1"/>
    <col min="20" max="20" width="6" style="90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1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57"/>
      <c r="R1" s="93"/>
      <c r="S1" s="105"/>
      <c r="T1" s="90"/>
      <c r="V1" s="50"/>
      <c r="AC1" s="171"/>
    </row>
    <row r="2" spans="1:29" s="23" customFormat="1" x14ac:dyDescent="0.25">
      <c r="A2" s="8"/>
      <c r="F2" s="2"/>
      <c r="G2" s="2"/>
      <c r="H2" s="2"/>
      <c r="I2" s="2"/>
      <c r="K2" s="2"/>
      <c r="L2" s="143" t="s">
        <v>87</v>
      </c>
      <c r="M2" s="147"/>
      <c r="N2" s="118"/>
      <c r="O2" s="167">
        <f>COUNTIF($O$7:$O$369,"=Y")</f>
        <v>0</v>
      </c>
      <c r="P2" s="119"/>
      <c r="R2" s="93"/>
      <c r="S2" s="105"/>
      <c r="T2" s="90"/>
      <c r="V2" s="50"/>
      <c r="AC2" s="172"/>
    </row>
    <row r="3" spans="1:29" s="23" customFormat="1" ht="15.75" thickBot="1" x14ac:dyDescent="0.3">
      <c r="A3" s="8"/>
      <c r="F3" s="2"/>
      <c r="G3" s="2"/>
      <c r="H3" s="2"/>
      <c r="I3" s="2"/>
      <c r="K3" s="2"/>
      <c r="L3" s="144" t="s">
        <v>88</v>
      </c>
      <c r="M3" s="148"/>
      <c r="N3" s="120"/>
      <c r="O3" s="168">
        <f>COUNTA($O$7:$O$369)-O2</f>
        <v>60</v>
      </c>
      <c r="P3" s="119"/>
      <c r="R3" s="93"/>
      <c r="S3" s="105"/>
      <c r="T3" s="90"/>
      <c r="V3" s="50"/>
      <c r="AC3" s="172"/>
    </row>
    <row r="4" spans="1:29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57"/>
      <c r="R4" s="93"/>
      <c r="S4" s="105"/>
      <c r="T4" s="90"/>
      <c r="V4" s="50"/>
      <c r="AC4" s="172"/>
    </row>
    <row r="5" spans="1:29" s="11" customFormat="1" ht="15" customHeight="1" x14ac:dyDescent="0.25">
      <c r="A5" s="185" t="str">
        <f>"Eagle P3 Braking Events - "&amp;TEXT(Variables!$A$2,"YYYY-mm-dd")</f>
        <v>Eagle P3 Braking Events - 2016-10-05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2"/>
      <c r="R5" s="103"/>
      <c r="S5" s="106"/>
      <c r="T5" s="108"/>
      <c r="V5" s="51"/>
      <c r="AC5" s="173"/>
    </row>
    <row r="6" spans="1:29" s="142" customFormat="1" ht="69.75" customHeight="1" x14ac:dyDescent="0.2">
      <c r="A6" s="131" t="s">
        <v>38</v>
      </c>
      <c r="B6" s="132" t="s">
        <v>37</v>
      </c>
      <c r="C6" s="132" t="s">
        <v>36</v>
      </c>
      <c r="D6" s="132" t="s">
        <v>35</v>
      </c>
      <c r="E6" s="132" t="s">
        <v>34</v>
      </c>
      <c r="F6" s="133" t="s">
        <v>33</v>
      </c>
      <c r="G6" s="133" t="s">
        <v>32</v>
      </c>
      <c r="H6" s="133" t="s">
        <v>31</v>
      </c>
      <c r="I6" s="133" t="s">
        <v>172</v>
      </c>
      <c r="J6" s="132" t="s">
        <v>30</v>
      </c>
      <c r="K6" s="133" t="s">
        <v>29</v>
      </c>
      <c r="L6" s="145" t="s">
        <v>28</v>
      </c>
      <c r="M6" s="133" t="s">
        <v>173</v>
      </c>
      <c r="N6" s="134" t="s">
        <v>47</v>
      </c>
      <c r="O6" s="169" t="s">
        <v>27</v>
      </c>
      <c r="P6" s="132" t="s">
        <v>24</v>
      </c>
      <c r="Q6" s="135"/>
      <c r="R6" s="136" t="s">
        <v>96</v>
      </c>
      <c r="S6" s="137" t="s">
        <v>61</v>
      </c>
      <c r="T6" s="138" t="s">
        <v>95</v>
      </c>
      <c r="U6" s="132" t="s">
        <v>90</v>
      </c>
      <c r="V6" s="139" t="s">
        <v>91</v>
      </c>
      <c r="W6" s="135" t="s">
        <v>103</v>
      </c>
      <c r="X6" s="135" t="s">
        <v>104</v>
      </c>
      <c r="Y6" s="140" t="s">
        <v>157</v>
      </c>
      <c r="Z6" s="141" t="s">
        <v>158</v>
      </c>
      <c r="AA6" s="141" t="s">
        <v>131</v>
      </c>
      <c r="AB6" s="141" t="s">
        <v>159</v>
      </c>
      <c r="AC6" s="174" t="s">
        <v>211</v>
      </c>
    </row>
    <row r="7" spans="1:29" s="1" customFormat="1" x14ac:dyDescent="0.25">
      <c r="A7" s="38">
        <v>42648.332384259258</v>
      </c>
      <c r="B7" s="33" t="s">
        <v>255</v>
      </c>
      <c r="C7" s="33" t="s">
        <v>379</v>
      </c>
      <c r="D7" s="33" t="s">
        <v>225</v>
      </c>
      <c r="E7" s="33" t="s">
        <v>163</v>
      </c>
      <c r="F7" s="49">
        <v>0</v>
      </c>
      <c r="G7" s="49">
        <v>312</v>
      </c>
      <c r="H7" s="49">
        <v>42898</v>
      </c>
      <c r="I7" s="49">
        <v>43605</v>
      </c>
      <c r="J7" s="33" t="s">
        <v>162</v>
      </c>
      <c r="K7" s="49">
        <v>42779</v>
      </c>
      <c r="L7" s="146" t="s">
        <v>52</v>
      </c>
      <c r="M7" s="149">
        <f t="shared" ref="M7:M38" si="0">CONVERT((I7-K7)/10000,"mi","ft")*IF(L7="Increasing Mileposts (1)",-1,1)</f>
        <v>-436.12799999999999</v>
      </c>
      <c r="N7" s="88" t="str">
        <f>VLOOKUP(C7,'Trips&amp;Operators'!$C$1:$E$99999,3,FALSE)</f>
        <v>STRICKLAND</v>
      </c>
      <c r="O7" s="170" t="s">
        <v>86</v>
      </c>
      <c r="P7" s="10" t="s">
        <v>372</v>
      </c>
      <c r="Q7" s="33"/>
      <c r="R7" s="104" t="str">
        <f>VLOOKUP(C7,'Train Runs'!$A$13:$AE$10009,31,0)</f>
        <v>aws s3 cp s3://rtdc.mdm.uploadarchive.raw/RTDC4009/ "%USERPROFILE%\AppData\Local\Temp\OnboardLogs"\RTDC4009\2016-10-05 --exclude "*" --recursive --include "*20161005*" &amp; "%USERPROFILE%\Documents\GitHub\mrs-test-scripts\Headless Mode &amp; Sideloading\WalkAndUnGZ.bat" "%USERPROFILE%\AppData\Local\Temp\OnboardLogs"\RTDC4009\2016-10-05 &amp; aws s3 cp s3://rtdc.mdm.uploadarchive.raw/RTDC4009/ "%USERPROFILE%\AppData\Local\Temp\OnboardLogs"\RTDC4009\2016-10-06 --exclude "*" --recursive --include "*20161006*" &amp; "%USERPROFILE%\Documents\GitHub\mrs-test-scripts\Headless Mode &amp; Sideloading\WalkAndUnGZ.bat" "%USERPROFILE%\AppData\Local\Temp\OnboardLogs"\RTDC4009\2016-10-06</v>
      </c>
      <c r="S7" s="107" t="str">
        <f>VLOOKUP(C7,'Train Runs'!$A$13:$AE$10009,22,0)</f>
        <v>https://search-rtdc-monitor-bjffxe2xuh6vdkpspy63sjmuny.us-east-1.es.amazonaws.com/_plugin/kibana/#/discover/Steve-Slow-Train-Analysis-(2080s-and-2083s)?_g=(refreshInterval:(display:Off,section:0,value:0),time:(from:'2016-10-05 06:50:45-0600',mode:absolute,to:'2016-10-05 09:25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7" s="109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/stypes="*4009*201610051*" /stext=" 13:.+((SYSTEM_STATE.+slice.+state.+changed )|(ment ac)|(system.+state.+changed )|(\[timeout)|(PRM\|1\|D)|(kpr)|(kdp)|(\|lc)|(penalty))" /e /r /s</v>
      </c>
      <c r="U7" s="9" t="str">
        <f t="shared" ref="U7:U38" si="2">MID(B7,13,4)</f>
        <v>4009</v>
      </c>
      <c r="V7" s="38">
        <f t="shared" ref="V7:V38" si="3">A7+6/24</f>
        <v>42648.582384259258</v>
      </c>
      <c r="W7" s="52" t="str">
        <f t="shared" ref="W7:W38" si="4">IF(VALUE(LEFT(IF(LEN(C7)=6,"0"&amp;C7,C7),2))&lt;=2,"EC",IF(OR(VALUE(LEFT(IF(LEN(C7)=6,"0"&amp;C7,C7),2))=8,VALUE(LEFT(IF(LEN(C7)=6,"0"&amp;C7,C7),2))=18),"NW","Other"))</f>
        <v>EC</v>
      </c>
      <c r="X7" s="52" t="str">
        <f t="shared" ref="X7:X38" si="5">IF(AND(E7="TRACK WARRANT AUTHORITY",G7&lt;10),"OMIT","KEEP")</f>
        <v>KEEP</v>
      </c>
      <c r="Y7" s="130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arrival","project_id":79,"tracker_id":40,"status_id":1,"priority_id":2,"assigned_to_id":23,"start_date":"2016-10-05","description":"","custom_fields":[{"id":1,"name":"Subdivision","value":"EC"},{"id":4,"name":"Milepost","value":"4.2779"},{"id":17,"name":"Train ID","value":"133-05"},{"id":16,"name":"Locomotive ID","value":"4009"},{"id":130,"name":"Impact","value":""},{"id":150,"name":"Time of Event (Mountain Time)","value":"07:58:38"},{"id":151,"name":"Denver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1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"%USERPROFILE%\AppData\Local\Temp\OnboardLogs"\RTDC4009\*4009*201610051* | grep -SE "((Enforcement Ac)|(PRM))" -</v>
      </c>
    </row>
    <row r="8" spans="1:29" s="1" customFormat="1" x14ac:dyDescent="0.25">
      <c r="A8" s="38">
        <v>42648.413321759261</v>
      </c>
      <c r="B8" s="33" t="s">
        <v>267</v>
      </c>
      <c r="C8" s="33" t="s">
        <v>389</v>
      </c>
      <c r="D8" s="33" t="s">
        <v>49</v>
      </c>
      <c r="E8" s="33" t="s">
        <v>163</v>
      </c>
      <c r="F8" s="49">
        <v>0</v>
      </c>
      <c r="G8" s="49">
        <v>465</v>
      </c>
      <c r="H8" s="49">
        <v>43280</v>
      </c>
      <c r="I8" s="49">
        <v>42183</v>
      </c>
      <c r="J8" s="33" t="s">
        <v>162</v>
      </c>
      <c r="K8" s="49">
        <v>42961</v>
      </c>
      <c r="L8" s="146" t="s">
        <v>53</v>
      </c>
      <c r="M8" s="149">
        <f t="shared" si="0"/>
        <v>-410.78399999999999</v>
      </c>
      <c r="N8" s="88" t="str">
        <f>VLOOKUP(C8,'Trips&amp;Operators'!$C$1:$E$99999,3,FALSE)</f>
        <v>BARTELL</v>
      </c>
      <c r="O8" s="170" t="s">
        <v>86</v>
      </c>
      <c r="P8" s="10" t="s">
        <v>372</v>
      </c>
      <c r="Q8" s="33"/>
      <c r="R8" s="104" t="str">
        <f>VLOOKUP(C8,'Train Runs'!$A$13:$AE$10009,31,0)</f>
        <v>aws s3 cp s3://rtdc.mdm.uploadarchive.raw/RTDC4004/ "%USERPROFILE%\AppData\Local\Temp\OnboardLogs"\RTDC4004\2016-10-05 --exclude "*" --recursive --include "*20161005*" &amp; "%USERPROFILE%\Documents\GitHub\mrs-test-scripts\Headless Mode &amp; Sideloading\WalkAndUnGZ.bat" "%USERPROFILE%\AppData\Local\Temp\OnboardLogs"\RTDC4004\2016-10-05 &amp; aws s3 cp s3://rtdc.mdm.uploadarchive.raw/RTDC4004/ "%USERPROFILE%\AppData\Local\Temp\OnboardLogs"\RTDC4004\2016-10-06 --exclude "*" --recursive --include "*20161006*" &amp; "%USERPROFILE%\Documents\GitHub\mrs-test-scripts\Headless Mode &amp; Sideloading\WalkAndUnGZ.bat" "%USERPROFILE%\AppData\Local\Temp\OnboardLogs"\RTDC4004\2016-10-06</v>
      </c>
      <c r="S8" s="107" t="str">
        <f>VLOOKUP(C8,'Train Runs'!$A$13:$AE$10009,22,0)</f>
        <v>https://search-rtdc-monitor-bjffxe2xuh6vdkpspy63sjmuny.us-east-1.es.amazonaws.com/_plugin/kibana/#/discover/Steve-Slow-Train-Analysis-(2080s-and-2083s)?_g=(refreshInterval:(display:Off,section:0,value:0),time:(from:'2016-10-05 08:19:43-0600',mode:absolute,to:'2016-10-05 11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8" s="109" t="str">
        <f t="shared" si="1"/>
        <v>"C:\Program Files (x86)\AstroGrep\AstroGrep.exe" /spath="%USERPROFILE%\AppData\Local\Temp\OnboardLogs" /stypes="*4004*201610051*" /stext=" 15:.+((SYSTEM_STATE.+slice.+state.+changed )|(ment ac)|(system.+state.+changed )|(\[timeout)|(PRM\|1\|D)|(kpr)|(kdp)|(\|lc)|(penalty))" /e /r /s</v>
      </c>
      <c r="U8" s="9" t="str">
        <f t="shared" si="2"/>
        <v>4004</v>
      </c>
      <c r="V8" s="38">
        <f t="shared" si="3"/>
        <v>42648.663321759261</v>
      </c>
      <c r="W8" s="52" t="str">
        <f t="shared" si="4"/>
        <v>EC</v>
      </c>
      <c r="X8" s="52" t="str">
        <f t="shared" si="5"/>
        <v>KEEP</v>
      </c>
      <c r="Y8" s="130" t="str">
        <f t="shared" si="6"/>
        <v>echo {"issue":{"subject":"Early arrival","project_id":79,"tracker_id":40,"status_id":1,"priority_id":2,"assigned_to_id":23,"start_date":"2016-10-05","description":"","custom_fields":[{"id":1,"name":"Subdivision","value":"EC"},{"id":4,"name":"Milepost","value":"4.2961"},{"id":17,"name":"Train ID","value":"140-05"},{"id":16,"name":"Locomotive ID","value":"4004"},{"id":130,"name":"Impact","value":""},{"id":150,"name":"Time of Event (Mountain Time)","value":"09:55:11"},{"id":151,"name":"Denver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1" t="str">
        <f t="shared" si="7"/>
        <v>grep -hSE -A100 "Enforcement Action" "%USERPROFILE%\AppData\Local\Temp\OnboardLogs"\RTDC4004\*4004*201610051* | grep -SE "((Enforcement Ac)|(PRM))" -</v>
      </c>
    </row>
    <row r="9" spans="1:29" s="1" customFormat="1" x14ac:dyDescent="0.25">
      <c r="A9" s="38">
        <v>42648.624675925923</v>
      </c>
      <c r="B9" s="33" t="s">
        <v>249</v>
      </c>
      <c r="C9" s="33" t="s">
        <v>406</v>
      </c>
      <c r="D9" s="33" t="s">
        <v>49</v>
      </c>
      <c r="E9" s="33" t="s">
        <v>163</v>
      </c>
      <c r="F9" s="49">
        <v>0</v>
      </c>
      <c r="G9" s="49">
        <v>300</v>
      </c>
      <c r="H9" s="49">
        <v>58341</v>
      </c>
      <c r="I9" s="49">
        <v>57774</v>
      </c>
      <c r="J9" s="33" t="s">
        <v>162</v>
      </c>
      <c r="K9" s="49">
        <v>58301</v>
      </c>
      <c r="L9" s="146" t="s">
        <v>53</v>
      </c>
      <c r="M9" s="149">
        <f t="shared" si="0"/>
        <v>-278.25599999999997</v>
      </c>
      <c r="N9" s="88" t="str">
        <f>VLOOKUP(C9,'Trips&amp;Operators'!$C$1:$E$99999,3,FALSE)</f>
        <v>BARTLETT</v>
      </c>
      <c r="O9" s="170" t="s">
        <v>86</v>
      </c>
      <c r="P9" s="10" t="s">
        <v>372</v>
      </c>
      <c r="Q9" s="33"/>
      <c r="R9" s="104" t="str">
        <f>VLOOKUP(C9,'Train Runs'!$A$13:$AE$10009,31,0)</f>
        <v>aws s3 cp s3://rtdc.mdm.uploadarchive.raw/RTDC4010/ "%USERPROFILE%\AppData\Local\Temp\OnboardLogs"\RTDC4010\2016-10-05 --exclude "*" --recursive --include "*20161005*" &amp; "%USERPROFILE%\Documents\GitHub\mrs-test-scripts\Headless Mode &amp; Sideloading\WalkAndUnGZ.bat" "%USERPROFILE%\AppData\Local\Temp\OnboardLogs"\RTDC4010\2016-10-05 &amp; aws s3 cp s3://rtdc.mdm.uploadarchive.raw/RTDC4010/ "%USERPROFILE%\AppData\Local\Temp\OnboardLogs"\RTDC4010\2016-10-06 --exclude "*" --recursive --include "*20161006*" &amp; "%USERPROFILE%\Documents\GitHub\mrs-test-scripts\Headless Mode &amp; Sideloading\WalkAndUnGZ.bat" "%USERPROFILE%\AppData\Local\Temp\OnboardLogs"\RTDC4010\2016-10-06</v>
      </c>
      <c r="S9" s="107" t="str">
        <f>VLOOKUP(C9,'Train Runs'!$A$13:$AE$10009,22,0)</f>
        <v>https://search-rtdc-monitor-bjffxe2xuh6vdkpspy63sjmuny.us-east-1.es.amazonaws.com/_plugin/kibana/#/discover/Steve-Slow-Train-Analysis-(2080s-and-2083s)?_g=(refreshInterval:(display:Off,section:0,value:0),time:(from:'2016-10-05 13:27:30-0600',mode:absolute,to:'2016-10-05 16:13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9" s="109" t="str">
        <f t="shared" si="1"/>
        <v>"C:\Program Files (x86)\AstroGrep\AstroGrep.exe" /spath="%USERPROFILE%\AppData\Local\Temp\OnboardLogs" /stypes="*4010*201610052*" /stext=" 20:.+((SYSTEM_STATE.+slice.+state.+changed )|(ment ac)|(system.+state.+changed )|(\[timeout)|(PRM\|1\|D)|(kpr)|(kdp)|(\|lc)|(penalty))" /e /r /s</v>
      </c>
      <c r="U9" s="9" t="str">
        <f t="shared" si="2"/>
        <v>4010</v>
      </c>
      <c r="V9" s="38">
        <f t="shared" si="3"/>
        <v>42648.874675925923</v>
      </c>
      <c r="W9" s="52" t="str">
        <f t="shared" si="4"/>
        <v>EC</v>
      </c>
      <c r="X9" s="52" t="str">
        <f t="shared" si="5"/>
        <v>KEEP</v>
      </c>
      <c r="Y9" s="130" t="str">
        <f t="shared" si="6"/>
        <v>echo {"issue":{"subject":"Early arrival","project_id":79,"tracker_id":40,"status_id":1,"priority_id":2,"assigned_to_id":23,"start_date":"2016-10-05","description":"","custom_fields":[{"id":1,"name":"Subdivision","value":"EC"},{"id":4,"name":"Milepost","value":"5.8301"},{"id":17,"name":"Train ID","value":"180-05"},{"id":16,"name":"Locomotive ID","value":"4010"},{"id":130,"name":"Impact","value":""},{"id":150,"name":"Time of Event (Mountain Time)","value":"14:59:32"},{"id":151,"name":"Denver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1" t="str">
        <f t="shared" si="7"/>
        <v>grep -hSE -A100 "Enforcement Action" "%USERPROFILE%\AppData\Local\Temp\OnboardLogs"\RTDC4010\*4010*201610052* | grep -SE "((Enforcement Ac)|(PRM))" -</v>
      </c>
    </row>
    <row r="10" spans="1:29" s="1" customFormat="1" x14ac:dyDescent="0.25">
      <c r="A10" s="38">
        <v>42648.187418981484</v>
      </c>
      <c r="B10" s="33" t="s">
        <v>302</v>
      </c>
      <c r="C10" s="33" t="s">
        <v>373</v>
      </c>
      <c r="D10" s="33" t="s">
        <v>49</v>
      </c>
      <c r="E10" s="33" t="s">
        <v>163</v>
      </c>
      <c r="F10" s="49">
        <v>330</v>
      </c>
      <c r="G10" s="49">
        <v>444</v>
      </c>
      <c r="H10" s="49">
        <v>61972</v>
      </c>
      <c r="I10" s="49">
        <v>63105</v>
      </c>
      <c r="J10" s="33" t="s">
        <v>162</v>
      </c>
      <c r="K10" s="49">
        <v>63069</v>
      </c>
      <c r="L10" s="146" t="s">
        <v>52</v>
      </c>
      <c r="M10" s="149">
        <f t="shared" si="0"/>
        <v>-19.007999999999999</v>
      </c>
      <c r="N10" s="88" t="str">
        <f>VLOOKUP(C10,'Trips&amp;Operators'!$C$1:$E$99999,3,FALSE)</f>
        <v>STRICKLAND</v>
      </c>
      <c r="O10" s="170" t="s">
        <v>86</v>
      </c>
      <c r="P10" s="10" t="s">
        <v>372</v>
      </c>
      <c r="Q10" s="33"/>
      <c r="R10" s="104" t="str">
        <f>VLOOKUP(C10,'Train Runs'!$A$13:$AE$10009,31,0)</f>
        <v>aws s3 cp s3://rtdc.mdm.uploadarchive.raw/RTDC4002/ "%USERPROFILE%\AppData\Local\Temp\OnboardLogs"\RTDC4002\2016-10-05 --exclude "*" --recursive --include "*20161005*" &amp; "%USERPROFILE%\Documents\GitHub\mrs-test-scripts\Headless Mode &amp; Sideloading\WalkAndUnGZ.bat" "%USERPROFILE%\AppData\Local\Temp\OnboardLogs"\RTDC4002\2016-10-05 &amp; aws s3 cp s3://rtdc.mdm.uploadarchive.raw/RTDC4002/ "%USERPROFILE%\AppData\Local\Temp\OnboardLogs"\RTDC4002\2016-10-06 --exclude "*" --recursive --include "*20161006*" &amp; "%USERPROFILE%\Documents\GitHub\mrs-test-scripts\Headless Mode &amp; Sideloading\WalkAndUnGZ.bat" "%USERPROFILE%\AppData\Local\Temp\OnboardLogs"\RTDC4002\2016-10-06</v>
      </c>
      <c r="S10" s="107" t="str">
        <f>VLOOKUP(C10,'Train Runs'!$A$13:$AE$10009,22,0)</f>
        <v>https://search-rtdc-monitor-bjffxe2xuh6vdkpspy63sjmuny.us-east-1.es.amazonaws.com/_plugin/kibana/#/discover/Steve-Slow-Train-Analysis-(2080s-and-2083s)?_g=(refreshInterval:(display:Off,section:0,value:0),time:(from:'2016-10-05 03:08:12-0600',mode:absolute,to:'2016-10-05 05:57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0" s="109" t="str">
        <f t="shared" si="1"/>
        <v>"C:\Program Files (x86)\AstroGrep\AstroGrep.exe" /spath="%USERPROFILE%\AppData\Local\Temp\OnboardLogs" /stypes="*4002*201610051*" /stext=" 10:.+((SYSTEM_STATE.+slice.+state.+changed )|(ment ac)|(system.+state.+changed )|(\[timeout)|(PRM\|1\|D)|(kpr)|(kdp)|(\|lc)|(penalty))" /e /r /s</v>
      </c>
      <c r="U10" s="9" t="str">
        <f t="shared" si="2"/>
        <v>4002</v>
      </c>
      <c r="V10" s="38">
        <f t="shared" si="3"/>
        <v>42648.437418981484</v>
      </c>
      <c r="W10" s="52" t="str">
        <f t="shared" si="4"/>
        <v>EC</v>
      </c>
      <c r="X10" s="52" t="str">
        <f t="shared" si="5"/>
        <v>KEEP</v>
      </c>
      <c r="Y10" s="130" t="str">
        <f t="shared" si="6"/>
        <v>echo {"issue":{"subject":"Early arrival","project_id":79,"tracker_id":40,"status_id":1,"priority_id":2,"assigned_to_id":23,"start_date":"2016-10-05","description":"","custom_fields":[{"id":1,"name":"Subdivision","value":"EC"},{"id":4,"name":"Milepost","value":"6.3069"},{"id":17,"name":"Train ID","value":"105-05"},{"id":16,"name":"Locomotive ID","value":"4002"},{"id":130,"name":"Impact","value":""},{"id":150,"name":"Time of Event (Mountain Time)","value":"04:29:53"},{"id":151,"name":"Denver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1" t="str">
        <f t="shared" si="7"/>
        <v>grep -hSE -A100 "Enforcement Action" "%USERPROFILE%\AppData\Local\Temp\OnboardLogs"\RTDC4002\*4002*201610051* | grep -SE "((Enforcement Ac)|(PRM))" -</v>
      </c>
    </row>
    <row r="11" spans="1:29" s="1" customFormat="1" x14ac:dyDescent="0.25">
      <c r="A11" s="38">
        <v>42648.743692129632</v>
      </c>
      <c r="B11" s="33" t="s">
        <v>250</v>
      </c>
      <c r="C11" s="33" t="s">
        <v>419</v>
      </c>
      <c r="D11" s="33" t="s">
        <v>49</v>
      </c>
      <c r="E11" s="33" t="s">
        <v>163</v>
      </c>
      <c r="F11" s="49">
        <v>0</v>
      </c>
      <c r="G11" s="49">
        <v>481</v>
      </c>
      <c r="H11" s="49">
        <v>78654</v>
      </c>
      <c r="I11" s="49">
        <v>77431</v>
      </c>
      <c r="J11" s="33" t="s">
        <v>162</v>
      </c>
      <c r="K11" s="49">
        <v>78469</v>
      </c>
      <c r="L11" s="146" t="s">
        <v>53</v>
      </c>
      <c r="M11" s="149">
        <f t="shared" si="0"/>
        <v>-548.06399999999996</v>
      </c>
      <c r="N11" s="88" t="str">
        <f>VLOOKUP(C11,'Trips&amp;Operators'!$C$1:$E$99999,3,FALSE)</f>
        <v>STORY</v>
      </c>
      <c r="O11" s="170" t="s">
        <v>86</v>
      </c>
      <c r="P11" s="10" t="s">
        <v>372</v>
      </c>
      <c r="Q11" s="33"/>
      <c r="R11" s="104" t="str">
        <f>VLOOKUP(C11,'Train Runs'!$A$13:$AE$10009,31,0)</f>
        <v>aws s3 cp s3://rtdc.mdm.uploadarchive.raw/RTDC4015/ "%USERPROFILE%\AppData\Local\Temp\OnboardLogs"\RTDC4015\2016-10-05 --exclude "*" --recursive --include "*20161005*" &amp; "%USERPROFILE%\Documents\GitHub\mrs-test-scripts\Headless Mode &amp; Sideloading\WalkAndUnGZ.bat" "%USERPROFILE%\AppData\Local\Temp\OnboardLogs"\RTDC4015\2016-10-05 &amp; aws s3 cp s3://rtdc.mdm.uploadarchive.raw/RTDC4015/ "%USERPROFILE%\AppData\Local\Temp\OnboardLogs"\RTDC4015\2016-10-06 --exclude "*" --recursive --include "*20161006*" &amp; "%USERPROFILE%\Documents\GitHub\mrs-test-scripts\Headless Mode &amp; Sideloading\WalkAndUnGZ.bat" "%USERPROFILE%\AppData\Local\Temp\OnboardLogs"\RTDC4015\2016-10-06</v>
      </c>
      <c r="S11" s="107" t="str">
        <f>VLOOKUP(C11,'Train Runs'!$A$13:$AE$10009,22,0)</f>
        <v>https://search-rtdc-monitor-bjffxe2xuh6vdkpspy63sjmuny.us-east-1.es.amazonaws.com/_plugin/kibana/#/discover/Steve-Slow-Train-Analysis-(2080s-and-2083s)?_g=(refreshInterval:(display:Off,section:0,value:0),time:(from:'2016-10-05 16:17:51-0600',mode:absolute,to:'2016-10-05 19:08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1" s="109" t="str">
        <f t="shared" si="1"/>
        <v>"C:\Program Files (x86)\AstroGrep\AstroGrep.exe" /spath="%USERPROFILE%\AppData\Local\Temp\OnboardLogs" /stypes="*4015*201610052*" /stext=" 23:.+((SYSTEM_STATE.+slice.+state.+changed )|(ment ac)|(system.+state.+changed )|(\[timeout)|(PRM\|1\|D)|(kpr)|(kdp)|(\|lc)|(penalty))" /e /r /s</v>
      </c>
      <c r="U11" s="9" t="str">
        <f t="shared" si="2"/>
        <v>4015</v>
      </c>
      <c r="V11" s="38">
        <f t="shared" si="3"/>
        <v>42648.993692129632</v>
      </c>
      <c r="W11" s="52" t="str">
        <f t="shared" si="4"/>
        <v>EC</v>
      </c>
      <c r="X11" s="52" t="str">
        <f t="shared" si="5"/>
        <v>KEEP</v>
      </c>
      <c r="Y11" s="130" t="str">
        <f t="shared" si="6"/>
        <v>echo {"issue":{"subject":"Early arrival","project_id":79,"tracker_id":40,"status_id":1,"priority_id":2,"assigned_to_id":23,"start_date":"2016-10-05","description":"","custom_fields":[{"id":1,"name":"Subdivision","value":"EC"},{"id":4,"name":"Milepost","value":"7.8469"},{"id":17,"name":"Train ID","value":"204-05"},{"id":16,"name":"Locomotive ID","value":"4015"},{"id":130,"name":"Impact","value":""},{"id":150,"name":"Time of Event (Mountain Time)","value":"17:50:55"},{"id":151,"name":"Denver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1" t="str">
        <f t="shared" si="7"/>
        <v>grep -hSE -A100 "Enforcement Action" "%USERPROFILE%\AppData\Local\Temp\OnboardLogs"\RTDC4015\*4015*201610052* | grep -SE "((Enforcement Ac)|(PRM))" -</v>
      </c>
    </row>
    <row r="12" spans="1:29" s="1" customFormat="1" x14ac:dyDescent="0.25">
      <c r="A12" s="38">
        <v>42648.564988425926</v>
      </c>
      <c r="B12" s="33" t="s">
        <v>223</v>
      </c>
      <c r="C12" s="33" t="s">
        <v>402</v>
      </c>
      <c r="D12" s="33" t="s">
        <v>49</v>
      </c>
      <c r="E12" s="33" t="s">
        <v>163</v>
      </c>
      <c r="F12" s="49">
        <v>0</v>
      </c>
      <c r="G12" s="49">
        <v>506</v>
      </c>
      <c r="H12" s="49">
        <v>104093</v>
      </c>
      <c r="I12" s="49">
        <v>102754</v>
      </c>
      <c r="J12" s="33" t="s">
        <v>162</v>
      </c>
      <c r="K12" s="49">
        <v>103800</v>
      </c>
      <c r="L12" s="146" t="s">
        <v>53</v>
      </c>
      <c r="M12" s="149">
        <f t="shared" si="0"/>
        <v>-552.28800000000001</v>
      </c>
      <c r="N12" s="88" t="str">
        <f>VLOOKUP(C12,'Trips&amp;Operators'!$C$1:$E$99999,3,FALSE)</f>
        <v>BROWN</v>
      </c>
      <c r="O12" s="170" t="s">
        <v>86</v>
      </c>
      <c r="P12" s="10" t="s">
        <v>372</v>
      </c>
      <c r="Q12" s="33"/>
      <c r="R12" s="104" t="str">
        <f>VLOOKUP(C12,'Train Runs'!$A$13:$AE$10009,31,0)</f>
        <v>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 &amp; aws s3 cp s3://rtdc.mdm.uploadarchive.raw/RTDC4017/ "%USERPROFILE%\AppData\Local\Temp\OnboardLogs"\RTDC4017\2016-10-06 --exclude "*" --recursive --include "*20161006*" &amp; "%USERPROFILE%\Documents\GitHub\mrs-test-scripts\Headless Mode &amp; Sideloading\WalkAndUnGZ.bat" "%USERPROFILE%\AppData\Local\Temp\OnboardLogs"\RTDC4017\2016-10-06</v>
      </c>
      <c r="S12" s="107" t="str">
        <f>VLOOKUP(C12,'Train Runs'!$A$13:$AE$10009,22,0)</f>
        <v>https://search-rtdc-monitor-bjffxe2xuh6vdkpspy63sjmuny.us-east-1.es.amazonaws.com/_plugin/kibana/#/discover/Steve-Slow-Train-Analysis-(2080s-and-2083s)?_g=(refreshInterval:(display:Off,section:0,value:0),time:(from:'2016-10-05 12:11:23-0600',mode:absolute,to:'2016-10-05 14:56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2" s="109" t="str">
        <f t="shared" si="1"/>
        <v>"C:\Program Files (x86)\AstroGrep\AstroGrep.exe" /spath="%USERPROFILE%\AppData\Local\Temp\OnboardLogs" /stypes="*4017*201610051*" /stext=" 19:.+((SYSTEM_STATE.+slice.+state.+changed )|(ment ac)|(system.+state.+changed )|(\[timeout)|(PRM\|1\|D)|(kpr)|(kdp)|(\|lc)|(penalty))" /e /r /s</v>
      </c>
      <c r="U12" s="9" t="str">
        <f t="shared" si="2"/>
        <v>4017</v>
      </c>
      <c r="V12" s="38">
        <f t="shared" si="3"/>
        <v>42648.814988425926</v>
      </c>
      <c r="W12" s="52" t="str">
        <f t="shared" si="4"/>
        <v>EC</v>
      </c>
      <c r="X12" s="52" t="str">
        <f t="shared" si="5"/>
        <v>KEEP</v>
      </c>
      <c r="Y12" s="130" t="str">
        <f t="shared" si="6"/>
        <v>echo {"issue":{"subject":"Early arrival","project_id":79,"tracker_id":40,"status_id":1,"priority_id":2,"assigned_to_id":23,"start_date":"2016-10-05","description":"","custom_fields":[{"id":1,"name":"Subdivision","value":"EC"},{"id":4,"name":"Milepost","value":"10.38"},{"id":17,"name":"Train ID","value":"170-05"},{"id":16,"name":"Locomotive ID","value":"4017"},{"id":130,"name":"Impact","value":""},{"id":150,"name":"Time of Event (Mountain Time)","value":"13:33:35"},{"id":151,"name":"Denver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1" t="str">
        <f t="shared" si="7"/>
        <v>grep -hSE -A100 "Enforcement Action" "%USERPROFILE%\AppData\Local\Temp\OnboardLogs"\RTDC4017\*4017*201610051* | grep -SE "((Enforcement Ac)|(PRM))" -</v>
      </c>
    </row>
    <row r="13" spans="1:29" s="1" customFormat="1" x14ac:dyDescent="0.25">
      <c r="A13" s="38">
        <v>42648.386111111111</v>
      </c>
      <c r="B13" s="33" t="s">
        <v>310</v>
      </c>
      <c r="C13" s="33" t="s">
        <v>387</v>
      </c>
      <c r="D13" s="33" t="s">
        <v>225</v>
      </c>
      <c r="E13" s="33" t="s">
        <v>163</v>
      </c>
      <c r="F13" s="49">
        <v>0</v>
      </c>
      <c r="G13" s="49">
        <v>302</v>
      </c>
      <c r="H13" s="49">
        <v>109063</v>
      </c>
      <c r="I13" s="49">
        <v>108789</v>
      </c>
      <c r="J13" s="33" t="s">
        <v>162</v>
      </c>
      <c r="K13" s="49">
        <v>109135</v>
      </c>
      <c r="L13" s="146" t="s">
        <v>53</v>
      </c>
      <c r="M13" s="149">
        <f t="shared" si="0"/>
        <v>-182.68799999999999</v>
      </c>
      <c r="N13" s="88" t="str">
        <f>VLOOKUP(C13,'Trips&amp;Operators'!$C$1:$E$99999,3,FALSE)</f>
        <v>SPECTOR</v>
      </c>
      <c r="O13" s="170" t="s">
        <v>86</v>
      </c>
      <c r="P13" s="10" t="s">
        <v>372</v>
      </c>
      <c r="Q13" s="33"/>
      <c r="R13" s="104" t="str">
        <f>VLOOKUP(C13,'Train Runs'!$A$13:$AE$10009,31,0)</f>
        <v>aws s3 cp s3://rtdc.mdm.uploadarchive.raw/RTDC4008/ "%USERPROFILE%\AppData\Local\Temp\OnboardLogs"\RTDC4008\2016-10-05 --exclude "*" --recursive --include "*20161005*" &amp; "%USERPROFILE%\Documents\GitHub\mrs-test-scripts\Headless Mode &amp; Sideloading\WalkAndUnGZ.bat" "%USERPROFILE%\AppData\Local\Temp\OnboardLogs"\RTDC4008\2016-10-05 &amp; 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</v>
      </c>
      <c r="S13" s="107" t="str">
        <f>VLOOKUP(C13,'Train Runs'!$A$13:$AE$10009,22,0)</f>
        <v>https://search-rtdc-monitor-bjffxe2xuh6vdkpspy63sjmuny.us-east-1.es.amazonaws.com/_plugin/kibana/#/discover/Steve-Slow-Train-Analysis-(2080s-and-2083s)?_g=(refreshInterval:(display:Off,section:0,value:0),time:(from:'2016-10-05 07:47:57-0600',mode:absolute,to:'2016-10-05 10:39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3" s="109" t="str">
        <f t="shared" si="1"/>
        <v>"C:\Program Files (x86)\AstroGrep\AstroGrep.exe" /spath="%USERPROFILE%\AppData\Local\Temp\OnboardLogs" /stypes="*4008*201610051*" /stext=" 15:.+((SYSTEM_STATE.+slice.+state.+changed )|(ment ac)|(system.+state.+changed )|(\[timeout)|(PRM\|1\|D)|(kpr)|(kdp)|(\|lc)|(penalty))" /e /r /s</v>
      </c>
      <c r="U13" s="9" t="str">
        <f t="shared" si="2"/>
        <v>4008</v>
      </c>
      <c r="V13" s="38">
        <f t="shared" si="3"/>
        <v>42648.636111111111</v>
      </c>
      <c r="W13" s="52" t="str">
        <f t="shared" si="4"/>
        <v>EC</v>
      </c>
      <c r="X13" s="52" t="str">
        <f t="shared" si="5"/>
        <v>KEEP</v>
      </c>
      <c r="Y13" s="130" t="str">
        <f t="shared" si="6"/>
        <v>echo {"issue":{"subject":"Early arrival","project_id":79,"tracker_id":40,"status_id":1,"priority_id":2,"assigned_to_id":23,"start_date":"2016-10-05","description":"","custom_fields":[{"id":1,"name":"Subdivision","value":"EC"},{"id":4,"name":"Milepost","value":"10.9135"},{"id":17,"name":"Train ID","value":"136-05"},{"id":16,"name":"Locomotive ID","value":"4008"},{"id":130,"name":"Impact","value":""},{"id":150,"name":"Time of Event (Mountain Time)","value":"09:16:00"},{"id":151,"name":"Denver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1" t="str">
        <f t="shared" si="7"/>
        <v>grep -hSE -A100 "Enforcement Action" "%USERPROFILE%\AppData\Local\Temp\OnboardLogs"\RTDC4008\*4008*201610051* | grep -SE "((Enforcement Ac)|(PRM))" -</v>
      </c>
    </row>
    <row r="14" spans="1:29" s="1" customFormat="1" x14ac:dyDescent="0.25">
      <c r="A14" s="38">
        <v>42648.394988425927</v>
      </c>
      <c r="B14" s="33" t="s">
        <v>223</v>
      </c>
      <c r="C14" s="33" t="s">
        <v>388</v>
      </c>
      <c r="D14" s="33" t="s">
        <v>225</v>
      </c>
      <c r="E14" s="33" t="s">
        <v>163</v>
      </c>
      <c r="F14" s="49">
        <v>0</v>
      </c>
      <c r="G14" s="49">
        <v>253</v>
      </c>
      <c r="H14" s="49">
        <v>109095</v>
      </c>
      <c r="I14" s="49">
        <v>108848</v>
      </c>
      <c r="J14" s="33" t="s">
        <v>162</v>
      </c>
      <c r="K14" s="49">
        <v>109135</v>
      </c>
      <c r="L14" s="146" t="s">
        <v>53</v>
      </c>
      <c r="M14" s="149">
        <f t="shared" si="0"/>
        <v>-151.536</v>
      </c>
      <c r="N14" s="88" t="str">
        <f>VLOOKUP(C14,'Trips&amp;Operators'!$C$1:$E$99999,3,FALSE)</f>
        <v>KILLION</v>
      </c>
      <c r="O14" s="170" t="s">
        <v>86</v>
      </c>
      <c r="P14" s="10" t="s">
        <v>372</v>
      </c>
      <c r="Q14" s="33"/>
      <c r="R14" s="104" t="str">
        <f>VLOOKUP(C14,'Train Runs'!$A$13:$AE$10009,31,0)</f>
        <v>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 &amp; aws s3 cp s3://rtdc.mdm.uploadarchive.raw/RTDC4017/ "%USERPROFILE%\AppData\Local\Temp\OnboardLogs"\RTDC4017\2016-10-06 --exclude "*" --recursive --include "*20161006*" &amp; "%USERPROFILE%\Documents\GitHub\mrs-test-scripts\Headless Mode &amp; Sideloading\WalkAndUnGZ.bat" "%USERPROFILE%\AppData\Local\Temp\OnboardLogs"\RTDC4017\2016-10-06</v>
      </c>
      <c r="S14" s="107" t="str">
        <f>VLOOKUP(C14,'Train Runs'!$A$13:$AE$10009,22,0)</f>
        <v>https://search-rtdc-monitor-bjffxe2xuh6vdkpspy63sjmuny.us-east-1.es.amazonaws.com/_plugin/kibana/#/discover/Steve-Slow-Train-Analysis-(2080s-and-2083s)?_g=(refreshInterval:(display:Off,section:0,value:0),time:(from:'2016-10-05 07:59:33-0600',mode:absolute,to:'2016-10-05 10:50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4" s="109" t="str">
        <f t="shared" si="1"/>
        <v>"C:\Program Files (x86)\AstroGrep\AstroGrep.exe" /spath="%USERPROFILE%\AppData\Local\Temp\OnboardLogs" /stypes="*4017*201610051*" /stext=" 15:.+((SYSTEM_STATE.+slice.+state.+changed )|(ment ac)|(system.+state.+changed )|(\[timeout)|(PRM\|1\|D)|(kpr)|(kdp)|(\|lc)|(penalty))" /e /r /s</v>
      </c>
      <c r="U14" s="9" t="str">
        <f t="shared" si="2"/>
        <v>4017</v>
      </c>
      <c r="V14" s="38">
        <f t="shared" si="3"/>
        <v>42648.644988425927</v>
      </c>
      <c r="W14" s="52" t="str">
        <f t="shared" si="4"/>
        <v>EC</v>
      </c>
      <c r="X14" s="52" t="str">
        <f t="shared" si="5"/>
        <v>KEEP</v>
      </c>
      <c r="Y14" s="130" t="str">
        <f t="shared" si="6"/>
        <v>echo {"issue":{"subject":"Early arrival","project_id":79,"tracker_id":40,"status_id":1,"priority_id":2,"assigned_to_id":23,"start_date":"2016-10-05","description":"","custom_fields":[{"id":1,"name":"Subdivision","value":"EC"},{"id":4,"name":"Milepost","value":"10.9135"},{"id":17,"name":"Train ID","value":"138-05"},{"id":16,"name":"Locomotive ID","value":"4017"},{"id":130,"name":"Impact","value":""},{"id":150,"name":"Time of Event (Mountain Time)","value":"09:28:47"},{"id":151,"name":"Denver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1" t="str">
        <f t="shared" si="7"/>
        <v>grep -hSE -A100 "Enforcement Action" "%USERPROFILE%\AppData\Local\Temp\OnboardLogs"\RTDC4017\*4017*201610051* | grep -SE "((Enforcement Ac)|(PRM))" -</v>
      </c>
    </row>
    <row r="15" spans="1:29" s="1" customFormat="1" x14ac:dyDescent="0.25">
      <c r="A15" s="38">
        <v>42648.48673611111</v>
      </c>
      <c r="B15" s="33" t="s">
        <v>223</v>
      </c>
      <c r="C15" s="33" t="s">
        <v>398</v>
      </c>
      <c r="D15" s="33" t="s">
        <v>105</v>
      </c>
      <c r="E15" s="33" t="s">
        <v>56</v>
      </c>
      <c r="F15" s="49">
        <v>450</v>
      </c>
      <c r="G15" s="49">
        <v>509</v>
      </c>
      <c r="H15" s="49">
        <v>15135</v>
      </c>
      <c r="I15" s="49">
        <v>13208</v>
      </c>
      <c r="J15" s="33" t="s">
        <v>57</v>
      </c>
      <c r="K15" s="49">
        <v>15167</v>
      </c>
      <c r="L15" s="146" t="s">
        <v>53</v>
      </c>
      <c r="M15" s="149">
        <f t="shared" si="0"/>
        <v>-1034.3520000000001</v>
      </c>
      <c r="N15" s="88" t="str">
        <f>VLOOKUP(C15,'Trips&amp;Operators'!$C$1:$E$99999,3,FALSE)</f>
        <v>KILLION</v>
      </c>
      <c r="O15" s="170" t="s">
        <v>86</v>
      </c>
      <c r="P15" s="10"/>
      <c r="Q15" s="33"/>
      <c r="R15" s="104" t="str">
        <f>VLOOKUP(C15,'Train Runs'!$A$13:$AE$10009,31,0)</f>
        <v>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 &amp; aws s3 cp s3://rtdc.mdm.uploadarchive.raw/RTDC4017/ "%USERPROFILE%\AppData\Local\Temp\OnboardLogs"\RTDC4017\2016-10-06 --exclude "*" --recursive --include "*20161006*" &amp; "%USERPROFILE%\Documents\GitHub\mrs-test-scripts\Headless Mode &amp; Sideloading\WalkAndUnGZ.bat" "%USERPROFILE%\AppData\Local\Temp\OnboardLogs"\RTDC4017\2016-10-06</v>
      </c>
      <c r="S15" s="107" t="str">
        <f>VLOOKUP(C15,'Train Runs'!$A$13:$AE$10009,22,0)</f>
        <v>https://search-rtdc-monitor-bjffxe2xuh6vdkpspy63sjmuny.us-east-1.es.amazonaws.com/_plugin/kibana/#/discover/Steve-Slow-Train-Analysis-(2080s-and-2083s)?_g=(refreshInterval:(display:Off,section:0,value:0),time:(from:'2016-10-05 09:47:00-0600',mode:absolute,to:'2016-10-05 12:45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5" s="109" t="str">
        <f t="shared" si="1"/>
        <v>"C:\Program Files (x86)\AstroGrep\AstroGrep.exe" /spath="%USERPROFILE%\AppData\Local\Temp\OnboardLogs" /stypes="*4017*201610051*" /stext=" 17:.+((SYSTEM_STATE.+slice.+state.+changed )|(ment ac)|(system.+state.+changed )|(\[timeout)|(PRM\|1\|D)|(kpr)|(kdp)|(\|lc)|(penalty))" /e /r /s</v>
      </c>
      <c r="U15" s="9" t="str">
        <f t="shared" si="2"/>
        <v>4017</v>
      </c>
      <c r="V15" s="38">
        <f t="shared" si="3"/>
        <v>42648.73673611111</v>
      </c>
      <c r="W15" s="52" t="str">
        <f t="shared" si="4"/>
        <v>EC</v>
      </c>
      <c r="X15" s="52" t="str">
        <f t="shared" si="5"/>
        <v>KEEP</v>
      </c>
      <c r="Y15" s="130" t="str">
        <f t="shared" si="6"/>
        <v>echo {"issue":{"subject":"","project_id":79,"tracker_id":40,"status_id":1,"priority_id":2,"assigned_to_id":23,"start_date":"2016-10-05","description":"","custom_fields":[{"id":1,"name":"Subdivision","value":"EC"},{"id":4,"name":"Milepost","value":"1.5167"},{"id":17,"name":"Train ID","value":"152-05"},{"id":16,"name":"Locomotive ID","value":"4017"},{"id":130,"name":"Impact","value":""},{"id":150,"name":"Time of Event (Mountain Time)","value":"11:40:54"},{"id":151,"name":"Denver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1" t="str">
        <f t="shared" si="7"/>
        <v>grep -hSE -A100 "Enforcement Action" "%USERPROFILE%\AppData\Local\Temp\OnboardLogs"\RTDC4017\*4017*201610051* | grep -SE "((Enforcement Ac)|(PRM))" -</v>
      </c>
    </row>
    <row r="16" spans="1:29" s="1" customFormat="1" x14ac:dyDescent="0.25">
      <c r="A16" s="38">
        <v>42648.386087962965</v>
      </c>
      <c r="B16" s="33" t="s">
        <v>249</v>
      </c>
      <c r="C16" s="33" t="s">
        <v>386</v>
      </c>
      <c r="D16" s="33" t="s">
        <v>49</v>
      </c>
      <c r="E16" s="33" t="s">
        <v>56</v>
      </c>
      <c r="F16" s="49">
        <v>300</v>
      </c>
      <c r="G16" s="49">
        <v>373</v>
      </c>
      <c r="H16" s="49">
        <v>22914</v>
      </c>
      <c r="I16" s="49">
        <v>21792</v>
      </c>
      <c r="J16" s="33" t="s">
        <v>57</v>
      </c>
      <c r="K16" s="49">
        <v>21848</v>
      </c>
      <c r="L16" s="146" t="s">
        <v>53</v>
      </c>
      <c r="M16" s="149">
        <f t="shared" si="0"/>
        <v>-29.568000000000001</v>
      </c>
      <c r="N16" s="88" t="str">
        <f>VLOOKUP(C16,'Trips&amp;Operators'!$C$1:$E$99999,3,FALSE)</f>
        <v>STRICKLAND</v>
      </c>
      <c r="O16" s="170" t="s">
        <v>86</v>
      </c>
      <c r="P16" s="10"/>
      <c r="Q16" s="33"/>
      <c r="R16" s="104" t="str">
        <f>VLOOKUP(C16,'Train Runs'!$A$13:$AE$10009,31,0)</f>
        <v>aws s3 cp s3://rtdc.mdm.uploadarchive.raw/RTDC4010/ "%USERPROFILE%\AppData\Local\Temp\OnboardLogs"\RTDC4010\2016-10-05 --exclude "*" --recursive --include "*20161005*" &amp; "%USERPROFILE%\Documents\GitHub\mrs-test-scripts\Headless Mode &amp; Sideloading\WalkAndUnGZ.bat" "%USERPROFILE%\AppData\Local\Temp\OnboardLogs"\RTDC4010\2016-10-05 &amp; aws s3 cp s3://rtdc.mdm.uploadarchive.raw/RTDC4010/ "%USERPROFILE%\AppData\Local\Temp\OnboardLogs"\RTDC4010\2016-10-06 --exclude "*" --recursive --include "*20161006*" &amp; "%USERPROFILE%\Documents\GitHub\mrs-test-scripts\Headless Mode &amp; Sideloading\WalkAndUnGZ.bat" "%USERPROFILE%\AppData\Local\Temp\OnboardLogs"\RTDC4010\2016-10-06</v>
      </c>
      <c r="S16" s="107" t="str">
        <f>VLOOKUP(C16,'Train Runs'!$A$13:$AE$10009,22,0)</f>
        <v>https://search-rtdc-monitor-bjffxe2xuh6vdkpspy63sjmuny.us-east-1.es.amazonaws.com/_plugin/kibana/#/discover/Steve-Slow-Train-Analysis-(2080s-and-2083s)?_g=(refreshInterval:(display:Off,section:0,value:0),time:(from:'2016-10-05 07:35:25-0600',mode:absolute,to:'2016-10-05 10:23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16" s="109" t="str">
        <f t="shared" si="1"/>
        <v>"C:\Program Files (x86)\AstroGrep\AstroGrep.exe" /spath="%USERPROFILE%\AppData\Local\Temp\OnboardLogs" /stypes="*4010*201610051*" /stext=" 15:.+((SYSTEM_STATE.+slice.+state.+changed )|(ment ac)|(system.+state.+changed )|(\[timeout)|(PRM\|1\|D)|(kpr)|(kdp)|(\|lc)|(penalty))" /e /r /s</v>
      </c>
      <c r="U16" s="9" t="str">
        <f t="shared" si="2"/>
        <v>4010</v>
      </c>
      <c r="V16" s="38">
        <f t="shared" si="3"/>
        <v>42648.636087962965</v>
      </c>
      <c r="W16" s="52" t="str">
        <f t="shared" si="4"/>
        <v>EC</v>
      </c>
      <c r="X16" s="52" t="str">
        <f t="shared" si="5"/>
        <v>KEEP</v>
      </c>
      <c r="Y16" s="130" t="str">
        <f t="shared" si="6"/>
        <v>echo {"issue":{"subject":"","project_id":79,"tracker_id":40,"status_id":1,"priority_id":2,"assigned_to_id":23,"start_date":"2016-10-05","description":"","custom_fields":[{"id":1,"name":"Subdivision","value":"EC"},{"id":4,"name":"Milepost","value":"2.1848"},{"id":17,"name":"Train ID","value":"134-05"},{"id":16,"name":"Locomotive ID","value":"4010"},{"id":130,"name":"Impact","value":""},{"id":150,"name":"Time of Event (Mountain Time)","value":"09:15:58"},{"id":151,"name":"Denver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1" t="str">
        <f t="shared" si="7"/>
        <v>grep -hSE -A100 "Enforcement Action" "%USERPROFILE%\AppData\Local\Temp\OnboardLogs"\RTDC4010\*4010*201610051* | grep -SE "((Enforcement Ac)|(PRM))" -</v>
      </c>
    </row>
    <row r="17" spans="1:29" s="1" customFormat="1" x14ac:dyDescent="0.25">
      <c r="A17" s="38">
        <v>42648.194895833331</v>
      </c>
      <c r="B17" s="33" t="s">
        <v>302</v>
      </c>
      <c r="C17" s="33" t="s">
        <v>373</v>
      </c>
      <c r="D17" s="33" t="s">
        <v>49</v>
      </c>
      <c r="E17" s="33" t="s">
        <v>56</v>
      </c>
      <c r="F17" s="49">
        <v>400</v>
      </c>
      <c r="G17" s="49">
        <v>553</v>
      </c>
      <c r="H17" s="49">
        <v>114828</v>
      </c>
      <c r="I17" s="49">
        <v>116755</v>
      </c>
      <c r="J17" s="33" t="s">
        <v>57</v>
      </c>
      <c r="K17" s="49">
        <v>116838</v>
      </c>
      <c r="L17" s="146" t="s">
        <v>52</v>
      </c>
      <c r="M17" s="149">
        <f t="shared" si="0"/>
        <v>43.823999999999998</v>
      </c>
      <c r="N17" s="88" t="str">
        <f>VLOOKUP(C17,'Trips&amp;Operators'!$C$1:$E$99999,3,FALSE)</f>
        <v>STRICKLAND</v>
      </c>
      <c r="O17" s="170" t="s">
        <v>86</v>
      </c>
      <c r="P17" s="10"/>
      <c r="Q17" s="33"/>
      <c r="R17" s="104" t="str">
        <f>VLOOKUP(C17,'Train Runs'!$A$13:$AE$10009,31,0)</f>
        <v>aws s3 cp s3://rtdc.mdm.uploadarchive.raw/RTDC4002/ "%USERPROFILE%\AppData\Local\Temp\OnboardLogs"\RTDC4002\2016-10-05 --exclude "*" --recursive --include "*20161005*" &amp; "%USERPROFILE%\Documents\GitHub\mrs-test-scripts\Headless Mode &amp; Sideloading\WalkAndUnGZ.bat" "%USERPROFILE%\AppData\Local\Temp\OnboardLogs"\RTDC4002\2016-10-05 &amp; aws s3 cp s3://rtdc.mdm.uploadarchive.raw/RTDC4002/ "%USERPROFILE%\AppData\Local\Temp\OnboardLogs"\RTDC4002\2016-10-06 --exclude "*" --recursive --include "*20161006*" &amp; "%USERPROFILE%\Documents\GitHub\mrs-test-scripts\Headless Mode &amp; Sideloading\WalkAndUnGZ.bat" "%USERPROFILE%\AppData\Local\Temp\OnboardLogs"\RTDC4002\2016-10-06</v>
      </c>
      <c r="S17" s="107" t="str">
        <f>VLOOKUP(C17,'Train Runs'!$A$13:$AE$10009,22,0)</f>
        <v>https://search-rtdc-monitor-bjffxe2xuh6vdkpspy63sjmuny.us-east-1.es.amazonaws.com/_plugin/kibana/#/discover/Steve-Slow-Train-Analysis-(2080s-and-2083s)?_g=(refreshInterval:(display:Off,section:0,value:0),time:(from:'2016-10-05 03:08:12-0600',mode:absolute,to:'2016-10-05 05:57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7" s="109" t="str">
        <f t="shared" si="1"/>
        <v>"C:\Program Files (x86)\AstroGrep\AstroGrep.exe" /spath="%USERPROFILE%\AppData\Local\Temp\OnboardLogs" /stypes="*4002*201610051*" /stext=" 10:.+((SYSTEM_STATE.+slice.+state.+changed )|(ment ac)|(system.+state.+changed )|(\[timeout)|(PRM\|1\|D)|(kpr)|(kdp)|(\|lc)|(penalty))" /e /r /s</v>
      </c>
      <c r="U17" s="9" t="str">
        <f t="shared" si="2"/>
        <v>4002</v>
      </c>
      <c r="V17" s="38">
        <f t="shared" si="3"/>
        <v>42648.444895833331</v>
      </c>
      <c r="W17" s="52" t="str">
        <f t="shared" si="4"/>
        <v>EC</v>
      </c>
      <c r="X17" s="52" t="str">
        <f t="shared" si="5"/>
        <v>KEEP</v>
      </c>
      <c r="Y17" s="130" t="str">
        <f t="shared" si="6"/>
        <v>echo {"issue":{"subject":"","project_id":79,"tracker_id":40,"status_id":1,"priority_id":2,"assigned_to_id":23,"start_date":"2016-10-05","description":"","custom_fields":[{"id":1,"name":"Subdivision","value":"EC"},{"id":4,"name":"Milepost","value":"11.6838"},{"id":17,"name":"Train ID","value":"105-05"},{"id":16,"name":"Locomotive ID","value":"4002"},{"id":130,"name":"Impact","value":""},{"id":150,"name":"Time of Event (Mountain Time)","value":"04:40:39"},{"id":151,"name":"Denver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1" t="str">
        <f t="shared" si="7"/>
        <v>grep -hSE -A100 "Enforcement Action" "%USERPROFILE%\AppData\Local\Temp\OnboardLogs"\RTDC4002\*4002*201610051* | grep -SE "((Enforcement Ac)|(PRM))" -</v>
      </c>
    </row>
    <row r="18" spans="1:29" s="1" customFormat="1" x14ac:dyDescent="0.25">
      <c r="A18" s="38">
        <v>42648.437465277777</v>
      </c>
      <c r="B18" s="33" t="s">
        <v>224</v>
      </c>
      <c r="C18" s="33" t="s">
        <v>392</v>
      </c>
      <c r="D18" s="33" t="s">
        <v>49</v>
      </c>
      <c r="E18" s="33" t="s">
        <v>56</v>
      </c>
      <c r="F18" s="49">
        <v>600</v>
      </c>
      <c r="G18" s="49">
        <v>704</v>
      </c>
      <c r="H18" s="49">
        <v>181734</v>
      </c>
      <c r="I18" s="49">
        <v>184376</v>
      </c>
      <c r="J18" s="33" t="s">
        <v>57</v>
      </c>
      <c r="K18" s="49">
        <v>183829</v>
      </c>
      <c r="L18" s="146" t="s">
        <v>52</v>
      </c>
      <c r="M18" s="149">
        <f t="shared" si="0"/>
        <v>-288.81599999999997</v>
      </c>
      <c r="N18" s="88" t="str">
        <f>VLOOKUP(C18,'Trips&amp;Operators'!$C$1:$E$99999,3,FALSE)</f>
        <v>KILLION</v>
      </c>
      <c r="O18" s="170" t="s">
        <v>86</v>
      </c>
      <c r="P18" s="10"/>
      <c r="Q18" s="33"/>
      <c r="R18" s="104" t="str">
        <f>VLOOKUP(C18,'Train Runs'!$A$13:$AE$10009,31,0)</f>
        <v>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 &amp; aws s3 cp s3://rtdc.mdm.uploadarchive.raw/RTDC4018/ "%USERPROFILE%\AppData\Local\Temp\OnboardLogs"\RTDC4018\2016-10-06 --exclude "*" --recursive --include "*20161006*" &amp; "%USERPROFILE%\Documents\GitHub\mrs-test-scripts\Headless Mode &amp; Sideloading\WalkAndUnGZ.bat" "%USERPROFILE%\AppData\Local\Temp\OnboardLogs"\RTDC4018\2016-10-06</v>
      </c>
      <c r="S18" s="107" t="str">
        <f>VLOOKUP(C18,'Train Runs'!$A$13:$AE$10009,22,0)</f>
        <v>https://search-rtdc-monitor-bjffxe2xuh6vdkpspy63sjmuny.us-east-1.es.amazonaws.com/_plugin/kibana/#/discover/Steve-Slow-Train-Analysis-(2080s-and-2083s)?_g=(refreshInterval:(display:Off,section:0,value:0),time:(from:'2016-10-05 08:53:27-0600',mode:absolute,to:'2016-10-05 11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18" s="109" t="str">
        <f t="shared" si="1"/>
        <v>"C:\Program Files (x86)\AstroGrep\AstroGrep.exe" /spath="%USERPROFILE%\AppData\Local\Temp\OnboardLogs" /stypes="*4018*201610051*" /stext=" 16:.+((SYSTEM_STATE.+slice.+state.+changed )|(ment ac)|(system.+state.+changed )|(\[timeout)|(PRM\|1\|D)|(kpr)|(kdp)|(\|lc)|(penalty))" /e /r /s</v>
      </c>
      <c r="U18" s="9" t="str">
        <f t="shared" si="2"/>
        <v>4018</v>
      </c>
      <c r="V18" s="38">
        <f t="shared" si="3"/>
        <v>42648.687465277777</v>
      </c>
      <c r="W18" s="52" t="str">
        <f t="shared" si="4"/>
        <v>EC</v>
      </c>
      <c r="X18" s="52" t="str">
        <f t="shared" si="5"/>
        <v>KEEP</v>
      </c>
      <c r="Y18" s="130" t="str">
        <f t="shared" si="6"/>
        <v>echo {"issue":{"subject":"","project_id":79,"tracker_id":40,"status_id":1,"priority_id":2,"assigned_to_id":23,"start_date":"2016-10-05","description":"","custom_fields":[{"id":1,"name":"Subdivision","value":"EC"},{"id":4,"name":"Milepost","value":"18.3829"},{"id":17,"name":"Train ID","value":"151-05"},{"id":16,"name":"Locomotive ID","value":"4018"},{"id":130,"name":"Impact","value":""},{"id":150,"name":"Time of Event (Mountain Time)","value":"10:29:57"},{"id":151,"name":"Denver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1" t="str">
        <f t="shared" si="7"/>
        <v>grep -hSE -A100 "Enforcement Action" "%USERPROFILE%\AppData\Local\Temp\OnboardLogs"\RTDC4018\*4018*201610051* | grep -SE "((Enforcement Ac)|(PRM))" -</v>
      </c>
    </row>
    <row r="19" spans="1:29" s="1" customFormat="1" x14ac:dyDescent="0.25">
      <c r="A19" s="38">
        <v>42648.639502314814</v>
      </c>
      <c r="B19" s="33" t="s">
        <v>267</v>
      </c>
      <c r="C19" s="33" t="s">
        <v>407</v>
      </c>
      <c r="D19" s="33" t="s">
        <v>105</v>
      </c>
      <c r="E19" s="33" t="s">
        <v>56</v>
      </c>
      <c r="F19" s="49">
        <v>600</v>
      </c>
      <c r="G19" s="49">
        <v>652</v>
      </c>
      <c r="H19" s="49">
        <v>184144</v>
      </c>
      <c r="I19" s="49">
        <v>181385</v>
      </c>
      <c r="J19" s="33" t="s">
        <v>57</v>
      </c>
      <c r="K19" s="49">
        <v>190834</v>
      </c>
      <c r="L19" s="146" t="s">
        <v>53</v>
      </c>
      <c r="M19" s="149">
        <f t="shared" si="0"/>
        <v>-4989.0720000000001</v>
      </c>
      <c r="N19" s="88" t="str">
        <f>VLOOKUP(C19,'Trips&amp;Operators'!$C$1:$E$99999,3,FALSE)</f>
        <v>STAMBAUGH</v>
      </c>
      <c r="O19" s="170" t="s">
        <v>86</v>
      </c>
      <c r="P19" s="10"/>
      <c r="Q19" s="33"/>
      <c r="R19" s="104" t="str">
        <f>VLOOKUP(C19,'Train Runs'!$A$13:$AE$10009,31,0)</f>
        <v>aws s3 cp s3://rtdc.mdm.uploadarchive.raw/RTDC4004/ "%USERPROFILE%\AppData\Local\Temp\OnboardLogs"\RTDC4004\2016-10-05 --exclude "*" --recursive --include "*20161005*" &amp; "%USERPROFILE%\Documents\GitHub\mrs-test-scripts\Headless Mode &amp; Sideloading\WalkAndUnGZ.bat" "%USERPROFILE%\AppData\Local\Temp\OnboardLogs"\RTDC4004\2016-10-05 &amp; aws s3 cp s3://rtdc.mdm.uploadarchive.raw/RTDC4004/ "%USERPROFILE%\AppData\Local\Temp\OnboardLogs"\RTDC4004\2016-10-06 --exclude "*" --recursive --include "*20161006*" &amp; "%USERPROFILE%\Documents\GitHub\mrs-test-scripts\Headless Mode &amp; Sideloading\WalkAndUnGZ.bat" "%USERPROFILE%\AppData\Local\Temp\OnboardLogs"\RTDC4004\2016-10-06</v>
      </c>
      <c r="S19" s="107" t="str">
        <f>VLOOKUP(C19,'Train Runs'!$A$13:$AE$10009,22,0)</f>
        <v>https://search-rtdc-monitor-bjffxe2xuh6vdkpspy63sjmuny.us-east-1.es.amazonaws.com/_plugin/kibana/#/discover/Steve-Slow-Train-Analysis-(2080s-and-2083s)?_g=(refreshInterval:(display:Off,section:0,value:0),time:(from:'2016-10-05 14:05:13-0600',mode:absolute,to:'2016-10-05 16:53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9" s="109" t="str">
        <f t="shared" si="1"/>
        <v>"C:\Program Files (x86)\AstroGrep\AstroGrep.exe" /spath="%USERPROFILE%\AppData\Local\Temp\OnboardLogs" /stypes="*4004*201610052*" /stext=" 21:.+((SYSTEM_STATE.+slice.+state.+changed )|(ment ac)|(system.+state.+changed )|(\[timeout)|(PRM\|1\|D)|(kpr)|(kdp)|(\|lc)|(penalty))" /e /r /s</v>
      </c>
      <c r="U19" s="9" t="str">
        <f t="shared" si="2"/>
        <v>4004</v>
      </c>
      <c r="V19" s="38">
        <f t="shared" si="3"/>
        <v>42648.889502314814</v>
      </c>
      <c r="W19" s="52" t="str">
        <f t="shared" si="4"/>
        <v>EC</v>
      </c>
      <c r="X19" s="52" t="str">
        <f t="shared" si="5"/>
        <v>KEEP</v>
      </c>
      <c r="Y19" s="130" t="str">
        <f t="shared" si="6"/>
        <v>echo {"issue":{"subject":"","project_id":79,"tracker_id":40,"status_id":1,"priority_id":2,"assigned_to_id":23,"start_date":"2016-10-05","description":"","custom_fields":[{"id":1,"name":"Subdivision","value":"EC"},{"id":4,"name":"Milepost","value":"19.0834"},{"id":17,"name":"Train ID","value":"186-05"},{"id":16,"name":"Locomotive ID","value":"4004"},{"id":130,"name":"Impact","value":""},{"id":150,"name":"Time of Event (Mountain Time)","value":"15:20:53"},{"id":151,"name":"Denver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1" t="str">
        <f t="shared" si="7"/>
        <v>grep -hSE -A100 "Enforcement Action" "%USERPROFILE%\AppData\Local\Temp\OnboardLogs"\RTDC4004\*4004*201610052* | grep -SE "((Enforcement Ac)|(PRM))" -</v>
      </c>
    </row>
    <row r="20" spans="1:29" x14ac:dyDescent="0.25">
      <c r="A20" s="38">
        <v>42648.476064814815</v>
      </c>
      <c r="B20" s="33" t="s">
        <v>395</v>
      </c>
      <c r="C20" s="33" t="s">
        <v>396</v>
      </c>
      <c r="D20" s="33" t="s">
        <v>49</v>
      </c>
      <c r="E20" s="33" t="s">
        <v>56</v>
      </c>
      <c r="F20" s="49">
        <v>350</v>
      </c>
      <c r="G20" s="49">
        <v>532</v>
      </c>
      <c r="H20" s="49">
        <v>222747</v>
      </c>
      <c r="I20" s="49">
        <v>224242</v>
      </c>
      <c r="J20" s="33" t="s">
        <v>57</v>
      </c>
      <c r="K20" s="49">
        <v>224578</v>
      </c>
      <c r="L20" s="146" t="s">
        <v>52</v>
      </c>
      <c r="M20" s="149">
        <f t="shared" si="0"/>
        <v>177.40799999999999</v>
      </c>
      <c r="N20" s="88" t="str">
        <f>VLOOKUP(C20,'Trips&amp;Operators'!$C$1:$E$99999,3,FALSE)</f>
        <v>STARKS</v>
      </c>
      <c r="O20" s="170" t="s">
        <v>86</v>
      </c>
      <c r="P20" s="10"/>
      <c r="Q20" s="33"/>
      <c r="R20" s="104" t="str">
        <f>VLOOKUP(C20,'Train Runs'!$A$13:$AE$10009,31,0)</f>
        <v>aws s3 cp s3://rtdc.mdm.uploadarchive.raw/RTDC4027/ "%USERPROFILE%\AppData\Local\Temp\OnboardLogs"\RTDC4027\2016-10-05 --exclude "*" --recursive --include "*20161005*" &amp; "%USERPROFILE%\Documents\GitHub\mrs-test-scripts\Headless Mode &amp; Sideloading\WalkAndUnGZ.bat" "%USERPROFILE%\AppData\Local\Temp\OnboardLogs"\RTDC4027\2016-10-05 &amp; aws s3 cp s3://rtdc.mdm.uploadarchive.raw/RTDC4027/ "%USERPROFILE%\AppData\Local\Temp\OnboardLogs"\RTDC4027\2016-10-06 --exclude "*" --recursive --include "*20161006*" &amp; "%USERPROFILE%\Documents\GitHub\mrs-test-scripts\Headless Mode &amp; Sideloading\WalkAndUnGZ.bat" "%USERPROFILE%\AppData\Local\Temp\OnboardLogs"\RTDC4027\2016-10-06</v>
      </c>
      <c r="S20" s="107" t="str">
        <f>VLOOKUP(C20,'Train Runs'!$A$13:$AE$10009,22,0)</f>
        <v>https://search-rtdc-monitor-bjffxe2xuh6vdkpspy63sjmuny.us-east-1.es.amazonaws.com/_plugin/kibana/#/discover/Steve-Slow-Train-Analysis-(2080s-and-2083s)?_g=(refreshInterval:(display:Off,section:0,value:0),time:(from:'2016-10-05 09:25:04-0600',mode:absolute,to:'2016-10-05 12:29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20" s="109" t="str">
        <f t="shared" si="1"/>
        <v>"C:\Program Files (x86)\AstroGrep\AstroGrep.exe" /spath="%USERPROFILE%\AppData\Local\Temp\OnboardLogs" /stypes="*4027*201610051*" /stext=" 17:.+((SYSTEM_STATE.+slice.+state.+changed )|(ment ac)|(system.+state.+changed )|(\[timeout)|(PRM\|1\|D)|(kpr)|(kdp)|(\|lc)|(penalty))" /e /r /s</v>
      </c>
      <c r="U20" s="9" t="str">
        <f t="shared" si="2"/>
        <v>4027</v>
      </c>
      <c r="V20" s="38">
        <f t="shared" si="3"/>
        <v>42648.726064814815</v>
      </c>
      <c r="W20" s="52" t="str">
        <f t="shared" si="4"/>
        <v>EC</v>
      </c>
      <c r="X20" s="52" t="str">
        <f t="shared" si="5"/>
        <v>KEEP</v>
      </c>
      <c r="Y20" s="130" t="str">
        <f t="shared" si="6"/>
        <v>echo {"issue":{"subject":"","project_id":79,"tracker_id":40,"status_id":1,"priority_id":2,"assigned_to_id":23,"start_date":"2016-10-05","description":"","custom_fields":[{"id":1,"name":"Subdivision","value":"EC"},{"id":4,"name":"Milepost","value":"22.4578"},{"id":17,"name":"Train ID","value":"155-05"},{"id":16,"name":"Locomotive ID","value":"4027"},{"id":130,"name":"Impact","value":""},{"id":150,"name":"Time of Event (Mountain Time)","value":"11:25:32"},{"id":151,"name":"Denver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1" t="str">
        <f t="shared" si="7"/>
        <v>grep -hSE -A100 "Enforcement Action" "%USERPROFILE%\AppData\Local\Temp\OnboardLogs"\RTDC4027\*4027*201610051* | grep -SE "((Enforcement Ac)|(PRM))" -</v>
      </c>
    </row>
    <row r="21" spans="1:29" s="1" customFormat="1" x14ac:dyDescent="0.25">
      <c r="A21" s="38">
        <v>42648.565474537034</v>
      </c>
      <c r="B21" s="33" t="s">
        <v>251</v>
      </c>
      <c r="C21" s="33" t="s">
        <v>403</v>
      </c>
      <c r="D21" s="33" t="s">
        <v>49</v>
      </c>
      <c r="E21" s="33" t="s">
        <v>56</v>
      </c>
      <c r="F21" s="49">
        <v>150</v>
      </c>
      <c r="G21" s="49">
        <v>200</v>
      </c>
      <c r="H21" s="49">
        <v>231537</v>
      </c>
      <c r="I21" s="49">
        <v>231804</v>
      </c>
      <c r="J21" s="33" t="s">
        <v>57</v>
      </c>
      <c r="K21" s="49">
        <v>232080</v>
      </c>
      <c r="L21" s="146" t="s">
        <v>52</v>
      </c>
      <c r="M21" s="149">
        <f t="shared" si="0"/>
        <v>145.72800000000001</v>
      </c>
      <c r="N21" s="88" t="str">
        <f>VLOOKUP(C21,'Trips&amp;Operators'!$C$1:$E$99999,3,FALSE)</f>
        <v>STORY</v>
      </c>
      <c r="O21" s="170" t="s">
        <v>86</v>
      </c>
      <c r="P21" s="10"/>
      <c r="Q21" s="33"/>
      <c r="R21" s="104" t="str">
        <f>VLOOKUP(C21,'Train Runs'!$A$13:$AE$10009,31,0)</f>
        <v>aws s3 cp s3://rtdc.mdm.uploadarchive.raw/RTDC4016/ "%USERPROFILE%\AppData\Local\Temp\OnboardLogs"\RTDC4016\2016-10-05 --exclude "*" --recursive --include "*20161005*" &amp; "%USERPROFILE%\Documents\GitHub\mrs-test-scripts\Headless Mode &amp; Sideloading\WalkAndUnGZ.bat" "%USERPROFILE%\AppData\Local\Temp\OnboardLogs"\RTDC4016\2016-10-05 &amp; aws s3 cp s3://rtdc.mdm.uploadarchive.raw/RTDC4016/ "%USERPROFILE%\AppData\Local\Temp\OnboardLogs"\RTDC4016\2016-10-06 --exclude "*" --recursive --include "*20161006*" &amp; "%USERPROFILE%\Documents\GitHub\mrs-test-scripts\Headless Mode &amp; Sideloading\WalkAndUnGZ.bat" "%USERPROFILE%\AppData\Local\Temp\OnboardLogs"\RTDC4016\2016-10-06</v>
      </c>
      <c r="S21" s="107" t="str">
        <f>VLOOKUP(C21,'Train Runs'!$A$13:$AE$10009,22,0)</f>
        <v>https://search-rtdc-monitor-bjffxe2xuh6vdkpspy63sjmuny.us-east-1.es.amazonaws.com/_plugin/kibana/#/discover/Steve-Slow-Train-Analysis-(2080s-and-2083s)?_g=(refreshInterval:(display:Off,section:0,value:0),time:(from:'2016-10-05 11:44:35-0600',mode:absolute,to:'2016-10-05 14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21" s="109" t="str">
        <f t="shared" si="1"/>
        <v>"C:\Program Files (x86)\AstroGrep\AstroGrep.exe" /spath="%USERPROFILE%\AppData\Local\Temp\OnboardLogs" /stypes="*4016*201610051*" /stext=" 19:.+((SYSTEM_STATE.+slice.+state.+changed )|(ment ac)|(system.+state.+changed )|(\[timeout)|(PRM\|1\|D)|(kpr)|(kdp)|(\|lc)|(penalty))" /e /r /s</v>
      </c>
      <c r="U21" s="9" t="str">
        <f t="shared" si="2"/>
        <v>4016</v>
      </c>
      <c r="V21" s="38">
        <f t="shared" si="3"/>
        <v>42648.815474537034</v>
      </c>
      <c r="W21" s="52" t="str">
        <f t="shared" si="4"/>
        <v>EC</v>
      </c>
      <c r="X21" s="52" t="str">
        <f t="shared" si="5"/>
        <v>KEEP</v>
      </c>
      <c r="Y21" s="130" t="str">
        <f t="shared" si="6"/>
        <v>echo {"issue":{"subject":"","project_id":79,"tracker_id":40,"status_id":1,"priority_id":2,"assigned_to_id":23,"start_date":"2016-10-05","description":"","custom_fields":[{"id":1,"name":"Subdivision","value":"EC"},{"id":4,"name":"Milepost","value":"23.208"},{"id":17,"name":"Train ID","value":"173-05"},{"id":16,"name":"Locomotive ID","value":"4016"},{"id":130,"name":"Impact","value":""},{"id":150,"name":"Time of Event (Mountain Time)","value":"13:34:17"},{"id":151,"name":"Denver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1" t="str">
        <f t="shared" si="7"/>
        <v>grep -hSE -A100 "Enforcement Action" "%USERPROFILE%\AppData\Local\Temp\OnboardLogs"\RTDC4016\*4016*201610051* | grep -SE "((Enforcement Ac)|(PRM))" -</v>
      </c>
    </row>
    <row r="22" spans="1:29" x14ac:dyDescent="0.25">
      <c r="A22" s="38">
        <v>42648.436608796299</v>
      </c>
      <c r="B22" s="33" t="s">
        <v>249</v>
      </c>
      <c r="C22" s="33" t="s">
        <v>391</v>
      </c>
      <c r="D22" s="33" t="s">
        <v>105</v>
      </c>
      <c r="E22" s="33" t="s">
        <v>56</v>
      </c>
      <c r="F22" s="49">
        <v>350</v>
      </c>
      <c r="G22" s="49">
        <v>404</v>
      </c>
      <c r="H22" s="49">
        <v>225298</v>
      </c>
      <c r="I22" s="49">
        <v>223734</v>
      </c>
      <c r="J22" s="33" t="s">
        <v>57</v>
      </c>
      <c r="K22" s="49">
        <v>232107</v>
      </c>
      <c r="L22" s="146" t="s">
        <v>53</v>
      </c>
      <c r="M22" s="149">
        <f t="shared" si="0"/>
        <v>-4420.9440000000004</v>
      </c>
      <c r="N22" s="88" t="str">
        <f>VLOOKUP(C22,'Trips&amp;Operators'!$C$1:$E$99999,3,FALSE)</f>
        <v>STRICKLAND</v>
      </c>
      <c r="O22" s="170" t="s">
        <v>86</v>
      </c>
      <c r="P22" s="10"/>
      <c r="Q22" s="33"/>
      <c r="R22" s="104" t="str">
        <f>VLOOKUP(C22,'Train Runs'!$A$13:$AE$10009,31,0)</f>
        <v>aws s3 cp s3://rtdc.mdm.uploadarchive.raw/RTDC4010/ "%USERPROFILE%\AppData\Local\Temp\OnboardLogs"\RTDC4010\2016-10-05 --exclude "*" --recursive --include "*20161005*" &amp; "%USERPROFILE%\Documents\GitHub\mrs-test-scripts\Headless Mode &amp; Sideloading\WalkAndUnGZ.bat" "%USERPROFILE%\AppData\Local\Temp\OnboardLogs"\RTDC4010\2016-10-05 &amp; aws s3 cp s3://rtdc.mdm.uploadarchive.raw/RTDC4010/ "%USERPROFILE%\AppData\Local\Temp\OnboardLogs"\RTDC4010\2016-10-06 --exclude "*" --recursive --include "*20161006*" &amp; "%USERPROFILE%\Documents\GitHub\mrs-test-scripts\Headless Mode &amp; Sideloading\WalkAndUnGZ.bat" "%USERPROFILE%\AppData\Local\Temp\OnboardLogs"\RTDC4010\2016-10-06</v>
      </c>
      <c r="S22" s="107" t="str">
        <f>VLOOKUP(C22,'Train Runs'!$A$13:$AE$10009,22,0)</f>
        <v>https://search-rtdc-monitor-bjffxe2xuh6vdkpspy63sjmuny.us-east-1.es.amazonaws.com/_plugin/kibana/#/discover/Steve-Slow-Train-Analysis-(2080s-and-2083s)?_g=(refreshInterval:(display:Off,section:0,value:0),time:(from:'2016-10-05 09:19:25-0600',mode:absolute,to:'2016-10-05 12:25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2" s="109" t="str">
        <f t="shared" si="1"/>
        <v>"C:\Program Files (x86)\AstroGrep\AstroGrep.exe" /spath="%USERPROFILE%\AppData\Local\Temp\OnboardLogs" /stypes="*4010*201610051*" /stext=" 16:.+((SYSTEM_STATE.+slice.+state.+changed )|(ment ac)|(system.+state.+changed )|(\[timeout)|(PRM\|1\|D)|(kpr)|(kdp)|(\|lc)|(penalty))" /e /r /s</v>
      </c>
      <c r="U22" s="9" t="str">
        <f t="shared" si="2"/>
        <v>4010</v>
      </c>
      <c r="V22" s="38">
        <f t="shared" si="3"/>
        <v>42648.686608796299</v>
      </c>
      <c r="W22" s="52" t="str">
        <f t="shared" si="4"/>
        <v>EC</v>
      </c>
      <c r="X22" s="52" t="str">
        <f t="shared" si="5"/>
        <v>KEEP</v>
      </c>
      <c r="Y22" s="130" t="str">
        <f t="shared" si="6"/>
        <v>echo {"issue":{"subject":"","project_id":79,"tracker_id":40,"status_id":1,"priority_id":2,"assigned_to_id":23,"start_date":"2016-10-05","description":"","custom_fields":[{"id":1,"name":"Subdivision","value":"EC"},{"id":4,"name":"Milepost","value":"23.2107"},{"id":17,"name":"Train ID","value":"148-05"},{"id":16,"name":"Locomotive ID","value":"4010"},{"id":130,"name":"Impact","value":""},{"id":150,"name":"Time of Event (Mountain Time)","value":"10:28:43"},{"id":151,"name":"Denver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1" t="str">
        <f t="shared" si="7"/>
        <v>grep -hSE -A100 "Enforcement Action" "%USERPROFILE%\AppData\Local\Temp\OnboardLogs"\RTDC4010\*4010*201610051* | grep -SE "((Enforcement Ac)|(PRM))" -</v>
      </c>
    </row>
    <row r="23" spans="1:29" x14ac:dyDescent="0.25">
      <c r="A23" s="38">
        <v>42648.494328703702</v>
      </c>
      <c r="B23" s="33" t="s">
        <v>250</v>
      </c>
      <c r="C23" s="33" t="s">
        <v>399</v>
      </c>
      <c r="D23" s="33" t="s">
        <v>105</v>
      </c>
      <c r="E23" s="33" t="s">
        <v>56</v>
      </c>
      <c r="F23" s="49">
        <v>350</v>
      </c>
      <c r="G23" s="49">
        <v>401</v>
      </c>
      <c r="H23" s="49">
        <v>224665</v>
      </c>
      <c r="I23" s="49">
        <v>222955</v>
      </c>
      <c r="J23" s="33" t="s">
        <v>57</v>
      </c>
      <c r="K23" s="49">
        <v>232107</v>
      </c>
      <c r="L23" s="146" t="s">
        <v>53</v>
      </c>
      <c r="M23" s="149">
        <f t="shared" si="0"/>
        <v>-4832.2560000000003</v>
      </c>
      <c r="N23" s="88" t="str">
        <f>VLOOKUP(C23,'Trips&amp;Operators'!$C$1:$E$99999,3,FALSE)</f>
        <v>BRANNON</v>
      </c>
      <c r="O23" s="170" t="s">
        <v>86</v>
      </c>
      <c r="P23" s="10"/>
      <c r="Q23" s="33"/>
      <c r="R23" s="104" t="str">
        <f>VLOOKUP(C23,'Train Runs'!$A$13:$AE$10009,31,0)</f>
        <v>aws s3 cp s3://rtdc.mdm.uploadarchive.raw/RTDC4015/ "%USERPROFILE%\AppData\Local\Temp\OnboardLogs"\RTDC4015\2016-10-05 --exclude "*" --recursive --include "*20161005*" &amp; "%USERPROFILE%\Documents\GitHub\mrs-test-scripts\Headless Mode &amp; Sideloading\WalkAndUnGZ.bat" "%USERPROFILE%\AppData\Local\Temp\OnboardLogs"\RTDC4015\2016-10-05 &amp; aws s3 cp s3://rtdc.mdm.uploadarchive.raw/RTDC4015/ "%USERPROFILE%\AppData\Local\Temp\OnboardLogs"\RTDC4015\2016-10-06 --exclude "*" --recursive --include "*20161006*" &amp; "%USERPROFILE%\Documents\GitHub\mrs-test-scripts\Headless Mode &amp; Sideloading\WalkAndUnGZ.bat" "%USERPROFILE%\AppData\Local\Temp\OnboardLogs"\RTDC4015\2016-10-06</v>
      </c>
      <c r="S23" s="107" t="str">
        <f>VLOOKUP(C23,'Train Runs'!$A$13:$AE$10009,22,0)</f>
        <v>https://search-rtdc-monitor-bjffxe2xuh6vdkpspy63sjmuny.us-east-1.es.amazonaws.com/_plugin/kibana/#/discover/Steve-Slow-Train-Analysis-(2080s-and-2083s)?_g=(refreshInterval:(display:Off,section:0,value:0),time:(from:'2016-10-05 08:49:58-0600',mode:absolute,to:'2016-10-05 11:45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3" s="109" t="str">
        <f t="shared" si="1"/>
        <v>"C:\Program Files (x86)\AstroGrep\AstroGrep.exe" /spath="%USERPROFILE%\AppData\Local\Temp\OnboardLogs" /stypes="*4015*201610051*" /stext=" 17:.+((SYSTEM_STATE.+slice.+state.+changed )|(ment ac)|(system.+state.+changed )|(\[timeout)|(PRM\|1\|D)|(kpr)|(kdp)|(\|lc)|(penalty))" /e /r /s</v>
      </c>
      <c r="U23" s="9" t="str">
        <f t="shared" si="2"/>
        <v>4015</v>
      </c>
      <c r="V23" s="38">
        <f t="shared" si="3"/>
        <v>42648.744328703702</v>
      </c>
      <c r="W23" s="52" t="str">
        <f t="shared" si="4"/>
        <v>EC</v>
      </c>
      <c r="X23" s="52" t="str">
        <f t="shared" si="5"/>
        <v>KEEP</v>
      </c>
      <c r="Y23" s="130" t="str">
        <f t="shared" si="6"/>
        <v>echo {"issue":{"subject":"","project_id":79,"tracker_id":40,"status_id":1,"priority_id":2,"assigned_to_id":23,"start_date":"2016-10-05","description":"","custom_fields":[{"id":1,"name":"Subdivision","value":"EC"},{"id":4,"name":"Milepost","value":"23.2107"},{"id":17,"name":"Train ID","value":"144-05"},{"id":16,"name":"Locomotive ID","value":"4015"},{"id":130,"name":"Impact","value":""},{"id":150,"name":"Time of Event (Mountain Time)","value":"11:51:50"},{"id":151,"name":"Denver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1" t="str">
        <f t="shared" si="7"/>
        <v>grep -hSE -A100 "Enforcement Action" "%USERPROFILE%\AppData\Local\Temp\OnboardLogs"\RTDC4015\*4015*201610051* | grep -SE "((Enforcement Ac)|(PRM))" -</v>
      </c>
    </row>
    <row r="24" spans="1:29" x14ac:dyDescent="0.25">
      <c r="A24" s="38">
        <v>42648.655416666668</v>
      </c>
      <c r="B24" s="33" t="s">
        <v>250</v>
      </c>
      <c r="C24" s="33" t="s">
        <v>410</v>
      </c>
      <c r="D24" s="33" t="s">
        <v>105</v>
      </c>
      <c r="E24" s="33" t="s">
        <v>56</v>
      </c>
      <c r="F24" s="49">
        <v>350</v>
      </c>
      <c r="G24" s="49">
        <v>400</v>
      </c>
      <c r="H24" s="49">
        <v>224645</v>
      </c>
      <c r="I24" s="49">
        <v>223303</v>
      </c>
      <c r="J24" s="33" t="s">
        <v>57</v>
      </c>
      <c r="K24" s="49">
        <v>232107</v>
      </c>
      <c r="L24" s="146" t="s">
        <v>53</v>
      </c>
      <c r="M24" s="149">
        <f t="shared" si="0"/>
        <v>-4648.5119999999997</v>
      </c>
      <c r="N24" s="88" t="str">
        <f>VLOOKUP(C24,'Trips&amp;Operators'!$C$1:$E$99999,3,FALSE)</f>
        <v>STORY</v>
      </c>
      <c r="O24" s="170" t="s">
        <v>86</v>
      </c>
      <c r="P24" s="10"/>
      <c r="Q24" s="33"/>
      <c r="R24" s="104" t="str">
        <f>VLOOKUP(C24,'Train Runs'!$A$13:$AE$10009,31,0)</f>
        <v>aws s3 cp s3://rtdc.mdm.uploadarchive.raw/RTDC4015/ "%USERPROFILE%\AppData\Local\Temp\OnboardLogs"\RTDC4015\2016-10-05 --exclude "*" --recursive --include "*20161005*" &amp; "%USERPROFILE%\Documents\GitHub\mrs-test-scripts\Headless Mode &amp; Sideloading\WalkAndUnGZ.bat" "%USERPROFILE%\AppData\Local\Temp\OnboardLogs"\RTDC4015\2016-10-05 &amp; aws s3 cp s3://rtdc.mdm.uploadarchive.raw/RTDC4015/ "%USERPROFILE%\AppData\Local\Temp\OnboardLogs"\RTDC4015\2016-10-06 --exclude "*" --recursive --include "*20161006*" &amp; "%USERPROFILE%\Documents\GitHub\mrs-test-scripts\Headless Mode &amp; Sideloading\WalkAndUnGZ.bat" "%USERPROFILE%\AppData\Local\Temp\OnboardLogs"\RTDC4015\2016-10-06</v>
      </c>
      <c r="S24" s="107" t="str">
        <f>VLOOKUP(C24,'Train Runs'!$A$13:$AE$10009,22,0)</f>
        <v>https://search-rtdc-monitor-bjffxe2xuh6vdkpspy63sjmuny.us-east-1.es.amazonaws.com/_plugin/kibana/#/discover/Steve-Slow-Train-Analysis-(2080s-and-2083s)?_g=(refreshInterval:(display:Off,section:0,value:0),time:(from:'2016-10-05 14:35:31-0600',mode:absolute,to:'2016-10-05 17:19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4" s="109" t="str">
        <f t="shared" si="1"/>
        <v>"C:\Program Files (x86)\AstroGrep\AstroGrep.exe" /spath="%USERPROFILE%\AppData\Local\Temp\OnboardLogs" /stypes="*4015*201610052*" /stext=" 21:.+((SYSTEM_STATE.+slice.+state.+changed )|(ment ac)|(system.+state.+changed )|(\[timeout)|(PRM\|1\|D)|(kpr)|(kdp)|(\|lc)|(penalty))" /e /r /s</v>
      </c>
      <c r="U24" s="9" t="str">
        <f t="shared" si="2"/>
        <v>4015</v>
      </c>
      <c r="V24" s="38">
        <f t="shared" si="3"/>
        <v>42648.905416666668</v>
      </c>
      <c r="W24" s="52" t="str">
        <f t="shared" si="4"/>
        <v>EC</v>
      </c>
      <c r="X24" s="52" t="str">
        <f t="shared" si="5"/>
        <v>KEEP</v>
      </c>
      <c r="Y24" s="130" t="str">
        <f t="shared" si="6"/>
        <v>echo {"issue":{"subject":"","project_id":79,"tracker_id":40,"status_id":1,"priority_id":2,"assigned_to_id":23,"start_date":"2016-10-05","description":"","custom_fields":[{"id":1,"name":"Subdivision","value":"EC"},{"id":4,"name":"Milepost","value":"23.2107"},{"id":17,"name":"Train ID","value":"190-05"},{"id":16,"name":"Locomotive ID","value":"4015"},{"id":130,"name":"Impact","value":""},{"id":150,"name":"Time of Event (Mountain Time)","value":"15:43:48"},{"id":151,"name":"Denver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1" t="str">
        <f t="shared" si="7"/>
        <v>grep -hSE -A100 "Enforcement Action" "%USERPROFILE%\AppData\Local\Temp\OnboardLogs"\RTDC4015\*4015*201610052* | grep -SE "((Enforcement Ac)|(PRM))" -</v>
      </c>
    </row>
    <row r="25" spans="1:29" ht="15" customHeight="1" x14ac:dyDescent="0.25">
      <c r="A25" s="38">
        <v>42648.561273148145</v>
      </c>
      <c r="B25" s="33" t="s">
        <v>165</v>
      </c>
      <c r="C25" s="33" t="s">
        <v>401</v>
      </c>
      <c r="D25" s="33" t="s">
        <v>105</v>
      </c>
      <c r="E25" s="33" t="s">
        <v>54</v>
      </c>
      <c r="F25" s="49">
        <v>200</v>
      </c>
      <c r="G25" s="49">
        <v>253</v>
      </c>
      <c r="H25" s="49">
        <v>37874</v>
      </c>
      <c r="I25" s="49">
        <v>38489</v>
      </c>
      <c r="J25" s="33" t="s">
        <v>55</v>
      </c>
      <c r="K25" s="49">
        <v>36645</v>
      </c>
      <c r="L25" s="146" t="s">
        <v>52</v>
      </c>
      <c r="M25" s="149">
        <f t="shared" si="0"/>
        <v>-973.63199999999995</v>
      </c>
      <c r="N25" s="88" t="str">
        <f>VLOOKUP(C25,'Trips&amp;Operators'!$C$1:$E$99999,3,FALSE)</f>
        <v>BONDS</v>
      </c>
      <c r="O25" s="170" t="s">
        <v>86</v>
      </c>
      <c r="P25" s="10" t="s">
        <v>309</v>
      </c>
      <c r="Q25" s="33"/>
      <c r="R25" s="104" t="str">
        <f>VLOOKUP(C25,'Train Runs'!$A$13:$AE$10009,31,0)</f>
        <v>aws s3 cp s3://rtdc.mdm.uploadarchive.raw/RTDC4025/ "%USERPROFILE%\AppData\Local\Temp\OnboardLogs"\RTDC4025\2016-10-05 --exclude "*" --recursive --include "*20161005*" &amp; "%USERPROFILE%\Documents\GitHub\mrs-test-scripts\Headless Mode &amp; Sideloading\WalkAndUnGZ.bat" "%USERPROFILE%\AppData\Local\Temp\OnboardLogs"\RTDC4025\2016-10-05 &amp; aws s3 cp s3://rtdc.mdm.uploadarchive.raw/RTDC4025/ "%USERPROFILE%\AppData\Local\Temp\OnboardLogs"\RTDC4025\2016-10-06 --exclude "*" --recursive --include "*20161006*" &amp; "%USERPROFILE%\Documents\GitHub\mrs-test-scripts\Headless Mode &amp; Sideloading\WalkAndUnGZ.bat" "%USERPROFILE%\AppData\Local\Temp\OnboardLogs"\RTDC4025\2016-10-06</v>
      </c>
      <c r="S25" s="107" t="str">
        <f>VLOOKUP(C25,'Train Runs'!$A$13:$AE$10009,22,0)</f>
        <v>https://search-rtdc-monitor-bjffxe2xuh6vdkpspy63sjmuny.us-east-1.es.amazonaws.com/_plugin/kibana/#/discover/Steve-Slow-Train-Analysis-(2080s-and-2083s)?_g=(refreshInterval:(display:Off,section:0,value:0),time:(from:'2016-10-05 12:26:31-0600',mode:absolute,to:'2016-10-05 15:14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25" s="109" t="str">
        <f t="shared" si="1"/>
        <v>"C:\Program Files (x86)\AstroGrep\AstroGrep.exe" /spath="%USERPROFILE%\AppData\Local\Temp\OnboardLogs" /stypes="*4025*201610051*" /stext=" 19:.+((SYSTEM_STATE.+slice.+state.+changed )|(ment ac)|(system.+state.+changed )|(\[timeout)|(PRM\|1\|D)|(kpr)|(kdp)|(\|lc)|(penalty))" /e /r /s</v>
      </c>
      <c r="U25" s="9" t="str">
        <f t="shared" si="2"/>
        <v>4025</v>
      </c>
      <c r="V25" s="38">
        <f t="shared" si="3"/>
        <v>42648.811273148145</v>
      </c>
      <c r="W25" s="52" t="str">
        <f t="shared" si="4"/>
        <v>EC</v>
      </c>
      <c r="X25" s="52" t="str">
        <f t="shared" si="5"/>
        <v>KEEP</v>
      </c>
      <c r="Y25" s="130" t="str">
        <f t="shared" si="6"/>
        <v>echo {"issue":{"subject":"Overspeed","project_id":79,"tracker_id":40,"status_id":1,"priority_id":2,"assigned_to_id":23,"start_date":"2016-10-05","description":"","custom_fields":[{"id":1,"name":"Subdivision","value":"EC"},{"id":4,"name":"Milepost","value":"3.6645"},{"id":17,"name":"Train ID","value":"177-05"},{"id":16,"name":"Locomotive ID","value":"4025"},{"id":130,"name":"Impact","value":""},{"id":150,"name":"Time of Event (Mountain Time)","value":"13:28:14"},{"id":151,"name":"Denver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1" t="str">
        <f t="shared" si="7"/>
        <v>grep -hSE -A100 "Enforcement Action" "%USERPROFILE%\AppData\Local\Temp\OnboardLogs"\RTDC4025\*4025*201610051* | grep -SE "((Enforcement Ac)|(PRM))" -</v>
      </c>
    </row>
    <row r="26" spans="1:29" x14ac:dyDescent="0.25">
      <c r="A26" s="38">
        <v>42648.902974537035</v>
      </c>
      <c r="B26" s="33" t="s">
        <v>170</v>
      </c>
      <c r="C26" s="33" t="s">
        <v>427</v>
      </c>
      <c r="D26" s="33" t="s">
        <v>49</v>
      </c>
      <c r="E26" s="33" t="s">
        <v>54</v>
      </c>
      <c r="F26" s="49">
        <v>0</v>
      </c>
      <c r="G26" s="49">
        <v>129</v>
      </c>
      <c r="H26" s="49">
        <v>128011</v>
      </c>
      <c r="I26" s="49">
        <v>127892</v>
      </c>
      <c r="J26" s="33" t="s">
        <v>55</v>
      </c>
      <c r="K26" s="49">
        <v>127587</v>
      </c>
      <c r="L26" s="146" t="s">
        <v>53</v>
      </c>
      <c r="M26" s="149">
        <f t="shared" si="0"/>
        <v>161.04</v>
      </c>
      <c r="N26" s="88" t="str">
        <f>VLOOKUP(C26,'Trips&amp;Operators'!$C$1:$E$99999,3,FALSE)</f>
        <v>COOLAHAN</v>
      </c>
      <c r="O26" s="170" t="s">
        <v>86</v>
      </c>
      <c r="P26" s="10" t="s">
        <v>308</v>
      </c>
      <c r="Q26" s="33"/>
      <c r="R26" s="104" t="str">
        <f>VLOOKUP(C26,'Train Runs'!$A$13:$AE$10009,31,0)</f>
        <v>aws s3 cp s3://rtdc.mdm.uploadarchive.raw/RTDC4041/ "%USERPROFILE%\AppData\Local\Temp\OnboardLogs"\RTDC4041\2016-10-05 --exclude "*" --recursive --include "*20161005*" &amp; "%USERPROFILE%\Documents\GitHub\mrs-test-scripts\Headless Mode &amp; Sideloading\WalkAndUnGZ.bat" "%USERPROFILE%\AppData\Local\Temp\OnboardLogs"\RTDC4041\2016-10-05 &amp; aws s3 cp s3://rtdc.mdm.uploadarchive.raw/RTDC4041/ "%USERPROFILE%\AppData\Local\Temp\OnboardLogs"\RTDC4041\2016-10-06 --exclude "*" --recursive --include "*20161006*" &amp; "%USERPROFILE%\Documents\GitHub\mrs-test-scripts\Headless Mode &amp; Sideloading\WalkAndUnGZ.bat" "%USERPROFILE%\AppData\Local\Temp\OnboardLogs"\RTDC4041\2016-10-06</v>
      </c>
      <c r="S26" s="107" t="str">
        <f>VLOOKUP(C26,'Train Runs'!$A$13:$AE$10009,22,0)</f>
        <v>https://search-rtdc-monitor-bjffxe2xuh6vdkpspy63sjmuny.us-east-1.es.amazonaws.com/_plugin/kibana/#/discover/Steve-Slow-Train-Analysis-(2080s-and-2083s)?_g=(refreshInterval:(display:Off,section:0,value:0),time:(from:'2016-10-05 20:20:49-0600',mode:absolute,to:'2016-10-05 23:24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6" s="109" t="str">
        <f t="shared" si="1"/>
        <v>"C:\Program Files (x86)\AstroGrep\AstroGrep.exe" /spath="%USERPROFILE%\AppData\Local\Temp\OnboardLogs" /stypes="*4041*201610060*" /stext=" 03:.+((SYSTEM_STATE.+slice.+state.+changed )|(ment ac)|(system.+state.+changed )|(\[timeout)|(PRM\|1\|D)|(kpr)|(kdp)|(\|lc)|(penalty))" /e /r /s</v>
      </c>
      <c r="U26" s="9" t="str">
        <f t="shared" si="2"/>
        <v>4041</v>
      </c>
      <c r="V26" s="38">
        <f t="shared" si="3"/>
        <v>42649.152974537035</v>
      </c>
      <c r="W26" s="52" t="str">
        <f t="shared" si="4"/>
        <v>EC</v>
      </c>
      <c r="X26" s="52" t="str">
        <f t="shared" si="5"/>
        <v>KEEP</v>
      </c>
      <c r="Y26" s="130" t="str">
        <f t="shared" si="6"/>
        <v>echo {"issue":{"subject":"40th 4S STOP, cleared afterward","project_id":79,"tracker_id":40,"status_id":1,"priority_id":2,"assigned_to_id":23,"start_date":"2016-10-05","description":"","custom_fields":[{"id":1,"name":"Subdivision","value":"EC"},{"id":4,"name":"Milepost","value":"12.7587"},{"id":17,"name":"Train ID","value":"228-05"},{"id":16,"name":"Locomotive ID","value":"4041"},{"id":130,"name":"Impact","value":""},{"id":150,"name":"Time of Event (Mountain Time)","value":"21:40:17"},{"id":151,"name":"Denver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1" t="str">
        <f t="shared" si="7"/>
        <v>grep -hSE -A100 "Enforcement Action" "%USERPROFILE%\AppData\Local\Temp\OnboardLogs"\RTDC4041\*4041*201610060* | grep -SE "((Enforcement Ac)|(PRM))" -</v>
      </c>
    </row>
    <row r="27" spans="1:29" x14ac:dyDescent="0.25">
      <c r="A27" s="38">
        <v>42648.970011574071</v>
      </c>
      <c r="B27" s="33" t="s">
        <v>250</v>
      </c>
      <c r="C27" s="33" t="s">
        <v>428</v>
      </c>
      <c r="D27" s="33" t="s">
        <v>49</v>
      </c>
      <c r="E27" s="33" t="s">
        <v>54</v>
      </c>
      <c r="F27" s="49">
        <v>0</v>
      </c>
      <c r="G27" s="49">
        <v>403</v>
      </c>
      <c r="H27" s="49">
        <v>130120</v>
      </c>
      <c r="I27" s="49">
        <v>128874</v>
      </c>
      <c r="J27" s="33" t="s">
        <v>55</v>
      </c>
      <c r="K27" s="49">
        <v>127587</v>
      </c>
      <c r="L27" s="146" t="s">
        <v>53</v>
      </c>
      <c r="M27" s="149">
        <f t="shared" si="0"/>
        <v>679.53600000000006</v>
      </c>
      <c r="N27" s="88" t="str">
        <f>VLOOKUP(C27,'Trips&amp;Operators'!$C$1:$E$99999,3,FALSE)</f>
        <v>LEVIN</v>
      </c>
      <c r="O27" s="170" t="s">
        <v>86</v>
      </c>
      <c r="P27" s="10" t="s">
        <v>308</v>
      </c>
      <c r="Q27" s="33"/>
      <c r="R27" s="104" t="str">
        <f>VLOOKUP(C27,'Train Runs'!$A$13:$AE$10009,31,0)</f>
        <v>aws s3 cp s3://rtdc.mdm.uploadarchive.raw/RTDC4015/ "%USERPROFILE%\AppData\Local\Temp\OnboardLogs"\RTDC4015\2016-10-06 --exclude "*" --recursive --include "*20161006*" &amp; "%USERPROFILE%\Documents\GitHub\mrs-test-scripts\Headless Mode &amp; Sideloading\WalkAndUnGZ.bat" "%USERPROFILE%\AppData\Local\Temp\OnboardLogs"\RTDC4015\2016-10-06 &amp; aws s3 cp s3://rtdc.mdm.uploadarchive.raw/RTDC4015/ "%USERPROFILE%\AppData\Local\Temp\OnboardLogs"\RTDC4015\2016-10-07 --exclude "*" --recursive --include "*20161007*" &amp; "%USERPROFILE%\Documents\GitHub\mrs-test-scripts\Headless Mode &amp; Sideloading\WalkAndUnGZ.bat" "%USERPROFILE%\AppData\Local\Temp\OnboardLogs"\RTDC4015\2016-10-07</v>
      </c>
      <c r="S27" s="107" t="str">
        <f>VLOOKUP(C27,'Train Runs'!$A$13:$AE$10009,22,0)</f>
        <v>https://search-rtdc-monitor-bjffxe2xuh6vdkpspy63sjmuny.us-east-1.es.amazonaws.com/_plugin/kibana/#/discover/Steve-Slow-Train-Analysis-(2080s-and-2083s)?_g=(refreshInterval:(display:Off,section:0,value:0),time:(from:'2016-10-05 21:49:04-0600',mode:absolute,to:'2016-10-06 01:49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7" s="109" t="str">
        <f t="shared" si="1"/>
        <v>"C:\Program Files (x86)\AstroGrep\AstroGrep.exe" /spath="%USERPROFILE%\AppData\Local\Temp\OnboardLogs" /stypes="*4015*201610060*" /stext=" 05:.+((SYSTEM_STATE.+slice.+state.+changed )|(ment ac)|(system.+state.+changed )|(\[timeout)|(PRM\|1\|D)|(kpr)|(kdp)|(\|lc)|(penalty))" /e /r /s</v>
      </c>
      <c r="U27" s="9" t="str">
        <f t="shared" si="2"/>
        <v>4015</v>
      </c>
      <c r="V27" s="38">
        <f t="shared" si="3"/>
        <v>42649.220011574071</v>
      </c>
      <c r="W27" s="52" t="str">
        <f t="shared" si="4"/>
        <v>EC</v>
      </c>
      <c r="X27" s="52" t="str">
        <f t="shared" si="5"/>
        <v>KEEP</v>
      </c>
      <c r="Y27" s="130" t="str">
        <f t="shared" si="6"/>
        <v>echo {"issue":{"subject":"40th 4S STOP, cleared afterward","project_id":79,"tracker_id":40,"status_id":1,"priority_id":2,"assigned_to_id":23,"start_date":"2016-10-05","description":"","custom_fields":[{"id":1,"name":"Subdivision","value":"EC"},{"id":4,"name":"Milepost","value":"12.7587"},{"id":17,"name":"Train ID","value":"234-05"},{"id":16,"name":"Locomotive ID","value":"4015"},{"id":130,"name":"Impact","value":""},{"id":150,"name":"Time of Event (Mountain Time)","value":"23:16:49"},{"id":151,"name":"Denver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1" t="str">
        <f t="shared" si="7"/>
        <v>grep -hSE -A100 "Enforcement Action" "%USERPROFILE%\AppData\Local\Temp\OnboardLogs"\RTDC4015\*4015*201610060* | grep -SE "((Enforcement Ac)|(PRM))" -</v>
      </c>
    </row>
    <row r="28" spans="1:29" x14ac:dyDescent="0.25">
      <c r="A28" s="38">
        <v>42648.315891203703</v>
      </c>
      <c r="B28" s="33" t="s">
        <v>223</v>
      </c>
      <c r="C28" s="33" t="s">
        <v>377</v>
      </c>
      <c r="D28" s="33" t="s">
        <v>49</v>
      </c>
      <c r="E28" s="33" t="s">
        <v>54</v>
      </c>
      <c r="F28" s="49">
        <v>0</v>
      </c>
      <c r="G28" s="49">
        <v>143</v>
      </c>
      <c r="H28" s="49">
        <v>192776</v>
      </c>
      <c r="I28" s="49">
        <v>192260</v>
      </c>
      <c r="J28" s="33" t="s">
        <v>55</v>
      </c>
      <c r="K28" s="49">
        <v>191723</v>
      </c>
      <c r="L28" s="146" t="s">
        <v>53</v>
      </c>
      <c r="M28" s="149">
        <f t="shared" si="0"/>
        <v>283.536</v>
      </c>
      <c r="N28" s="88" t="str">
        <f>VLOOKUP(C28,'Trips&amp;Operators'!$C$1:$E$99999,3,FALSE)</f>
        <v>KILLION</v>
      </c>
      <c r="O28" s="170" t="s">
        <v>86</v>
      </c>
      <c r="P28" s="10" t="s">
        <v>768</v>
      </c>
      <c r="Q28" s="33"/>
      <c r="R28" s="104" t="str">
        <f>VLOOKUP(C28,'Train Runs'!$A$13:$AE$10009,31,0)</f>
        <v>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 &amp; aws s3 cp s3://rtdc.mdm.uploadarchive.raw/RTDC4017/ "%USERPROFILE%\AppData\Local\Temp\OnboardLogs"\RTDC4017\2016-10-06 --exclude "*" --recursive --include "*20161006*" &amp; "%USERPROFILE%\Documents\GitHub\mrs-test-scripts\Headless Mode &amp; Sideloading\WalkAndUnGZ.bat" "%USERPROFILE%\AppData\Local\Temp\OnboardLogs"\RTDC4017\2016-10-06</v>
      </c>
      <c r="S28" s="107" t="str">
        <f>VLOOKUP(C28,'Train Runs'!$A$13:$AE$10009,22,0)</f>
        <v>https://search-rtdc-monitor-bjffxe2xuh6vdkpspy63sjmuny.us-east-1.es.amazonaws.com/_plugin/kibana/#/discover/Steve-Slow-Train-Analysis-(2080s-and-2083s)?_g=(refreshInterval:(display:Off,section:0,value:0),time:(from:'2016-10-05 06:16:19-0600',mode:absolute,to:'2016-10-05 09:10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8" s="109" t="str">
        <f t="shared" si="1"/>
        <v>"C:\Program Files (x86)\AstroGrep\AstroGrep.exe" /spath="%USERPROFILE%\AppData\Local\Temp\OnboardLogs" /stypes="*4017*201610051*" /stext=" 13:.+((SYSTEM_STATE.+slice.+state.+changed )|(ment ac)|(system.+state.+changed )|(\[timeout)|(PRM\|1\|D)|(kpr)|(kdp)|(\|lc)|(penalty))" /e /r /s</v>
      </c>
      <c r="U28" s="9" t="str">
        <f t="shared" si="2"/>
        <v>4017</v>
      </c>
      <c r="V28" s="38">
        <f t="shared" si="3"/>
        <v>42648.565891203703</v>
      </c>
      <c r="W28" s="52" t="str">
        <f t="shared" si="4"/>
        <v>EC</v>
      </c>
      <c r="X28" s="52" t="str">
        <f t="shared" si="5"/>
        <v>KEEP</v>
      </c>
      <c r="Y28" s="130" t="str">
        <f t="shared" si="6"/>
        <v>echo {"issue":{"subject":"Pena 4S STOP, cleared afterward","project_id":79,"tracker_id":40,"status_id":1,"priority_id":2,"assigned_to_id":23,"start_date":"2016-10-05","description":"","custom_fields":[{"id":1,"name":"Subdivision","value":"EC"},{"id":4,"name":"Milepost","value":"19.1723"},{"id":17,"name":"Train ID","value":"124-05"},{"id":16,"name":"Locomotive ID","value":"4017"},{"id":130,"name":"Impact","value":""},{"id":150,"name":"Time of Event (Mountain Time)","value":"07:34:53"},{"id":151,"name":"Denver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1" t="str">
        <f t="shared" si="7"/>
        <v>grep -hSE -A100 "Enforcement Action" "%USERPROFILE%\AppData\Local\Temp\OnboardLogs"\RTDC4017\*4017*201610051* | grep -SE "((Enforcement Ac)|(PRM))" -</v>
      </c>
    </row>
    <row r="29" spans="1:29" x14ac:dyDescent="0.25">
      <c r="A29" s="38">
        <v>42648.335104166668</v>
      </c>
      <c r="B29" s="33" t="s">
        <v>380</v>
      </c>
      <c r="C29" s="33" t="s">
        <v>381</v>
      </c>
      <c r="D29" s="33" t="s">
        <v>49</v>
      </c>
      <c r="E29" s="33" t="s">
        <v>54</v>
      </c>
      <c r="F29" s="49">
        <v>0</v>
      </c>
      <c r="G29" s="49">
        <v>428</v>
      </c>
      <c r="H29" s="49">
        <v>194253</v>
      </c>
      <c r="I29" s="49">
        <v>193157</v>
      </c>
      <c r="J29" s="33" t="s">
        <v>55</v>
      </c>
      <c r="K29" s="49">
        <v>191723</v>
      </c>
      <c r="L29" s="146" t="s">
        <v>53</v>
      </c>
      <c r="M29" s="149">
        <f t="shared" si="0"/>
        <v>757.15200000000004</v>
      </c>
      <c r="N29" s="88" t="str">
        <f>VLOOKUP(C29,'Trips&amp;Operators'!$C$1:$E$99999,3,FALSE)</f>
        <v>MAELZER</v>
      </c>
      <c r="O29" s="170" t="s">
        <v>86</v>
      </c>
      <c r="P29" s="10" t="s">
        <v>768</v>
      </c>
      <c r="Q29" s="33"/>
      <c r="R29" s="104" t="str">
        <f>VLOOKUP(C29,'Train Runs'!$A$13:$AE$10009,31,0)</f>
        <v>aws s3 cp s3://rtdc.mdm.uploadarchive.raw/RTDC4028/ "%USERPROFILE%\AppData\Local\Temp\OnboardLogs"\RTDC4028\2016-10-05 --exclude "*" --recursive --include "*20161005*" &amp; "%USERPROFILE%\Documents\GitHub\mrs-test-scripts\Headless Mode &amp; Sideloading\WalkAndUnGZ.bat" "%USERPROFILE%\AppData\Local\Temp\OnboardLogs"\RTDC4028\2016-10-05 &amp; aws s3 cp s3://rtdc.mdm.uploadarchive.raw/RTDC4028/ "%USERPROFILE%\AppData\Local\Temp\OnboardLogs"\RTDC4028\2016-10-06 --exclude "*" --recursive --include "*20161006*" &amp; "%USERPROFILE%\Documents\GitHub\mrs-test-scripts\Headless Mode &amp; Sideloading\WalkAndUnGZ.bat" "%USERPROFILE%\AppData\Local\Temp\OnboardLogs"\RTDC4028\2016-10-06</v>
      </c>
      <c r="S29" s="107" t="str">
        <f>VLOOKUP(C29,'Train Runs'!$A$13:$AE$10009,22,0)</f>
        <v>https://search-rtdc-monitor-bjffxe2xuh6vdkpspy63sjmuny.us-east-1.es.amazonaws.com/_plugin/kibana/#/discover/Steve-Slow-Train-Analysis-(2080s-and-2083s)?_g=(refreshInterval:(display:Off,section:0,value:0),time:(from:'2016-10-05 06:48:46-0600',mode:absolute,to:'2016-10-05 09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29" s="109" t="str">
        <f t="shared" si="1"/>
        <v>"C:\Program Files (x86)\AstroGrep\AstroGrep.exe" /spath="%USERPROFILE%\AppData\Local\Temp\OnboardLogs" /stypes="*4028*201610051*" /stext=" 14:.+((SYSTEM_STATE.+slice.+state.+changed )|(ment ac)|(system.+state.+changed )|(\[timeout)|(PRM\|1\|D)|(kpr)|(kdp)|(\|lc)|(penalty))" /e /r /s</v>
      </c>
      <c r="U29" s="9" t="str">
        <f t="shared" si="2"/>
        <v>4028</v>
      </c>
      <c r="V29" s="38">
        <f t="shared" si="3"/>
        <v>42648.585104166668</v>
      </c>
      <c r="W29" s="52" t="str">
        <f t="shared" si="4"/>
        <v>EC</v>
      </c>
      <c r="X29" s="52" t="str">
        <f t="shared" si="5"/>
        <v>KEEP</v>
      </c>
      <c r="Y29" s="130" t="str">
        <f t="shared" si="6"/>
        <v>echo {"issue":{"subject":"Pena 4S STOP, cleared afterward","project_id":79,"tracker_id":40,"status_id":1,"priority_id":2,"assigned_to_id":23,"start_date":"2016-10-05","description":"","custom_fields":[{"id":1,"name":"Subdivision","value":"EC"},{"id":4,"name":"Milepost","value":"19.1723"},{"id":17,"name":"Train ID","value":"128-05"},{"id":16,"name":"Locomotive ID","value":"4028"},{"id":130,"name":"Impact","value":""},{"id":150,"name":"Time of Event (Mountain Time)","value":"08:02:33"},{"id":151,"name":"Denver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1" t="str">
        <f t="shared" si="7"/>
        <v>grep -hSE -A100 "Enforcement Action" "%USERPROFILE%\AppData\Local\Temp\OnboardLogs"\RTDC4028\*4028*201610051* | grep -SE "((Enforcement Ac)|(PRM))" -</v>
      </c>
    </row>
    <row r="30" spans="1:29" x14ac:dyDescent="0.25">
      <c r="A30" s="38">
        <v>42648.49690972222</v>
      </c>
      <c r="B30" s="33" t="s">
        <v>250</v>
      </c>
      <c r="C30" s="33" t="s">
        <v>399</v>
      </c>
      <c r="D30" s="33" t="s">
        <v>49</v>
      </c>
      <c r="E30" s="33" t="s">
        <v>54</v>
      </c>
      <c r="F30" s="49">
        <v>0</v>
      </c>
      <c r="G30" s="49">
        <v>388</v>
      </c>
      <c r="H30" s="49">
        <v>193772</v>
      </c>
      <c r="I30" s="49">
        <v>192793</v>
      </c>
      <c r="J30" s="33" t="s">
        <v>55</v>
      </c>
      <c r="K30" s="49">
        <v>191723</v>
      </c>
      <c r="L30" s="146" t="s">
        <v>53</v>
      </c>
      <c r="M30" s="149">
        <f t="shared" si="0"/>
        <v>564.96</v>
      </c>
      <c r="N30" s="88" t="str">
        <f>VLOOKUP(C30,'Trips&amp;Operators'!$C$1:$E$99999,3,FALSE)</f>
        <v>BRANNON</v>
      </c>
      <c r="O30" s="170" t="s">
        <v>86</v>
      </c>
      <c r="P30" s="10" t="s">
        <v>768</v>
      </c>
      <c r="Q30" s="33"/>
      <c r="R30" s="104" t="str">
        <f>VLOOKUP(C30,'Train Runs'!$A$13:$AE$10009,31,0)</f>
        <v>aws s3 cp s3://rtdc.mdm.uploadarchive.raw/RTDC4015/ "%USERPROFILE%\AppData\Local\Temp\OnboardLogs"\RTDC4015\2016-10-05 --exclude "*" --recursive --include "*20161005*" &amp; "%USERPROFILE%\Documents\GitHub\mrs-test-scripts\Headless Mode &amp; Sideloading\WalkAndUnGZ.bat" "%USERPROFILE%\AppData\Local\Temp\OnboardLogs"\RTDC4015\2016-10-05 &amp; aws s3 cp s3://rtdc.mdm.uploadarchive.raw/RTDC4015/ "%USERPROFILE%\AppData\Local\Temp\OnboardLogs"\RTDC4015\2016-10-06 --exclude "*" --recursive --include "*20161006*" &amp; "%USERPROFILE%\Documents\GitHub\mrs-test-scripts\Headless Mode &amp; Sideloading\WalkAndUnGZ.bat" "%USERPROFILE%\AppData\Local\Temp\OnboardLogs"\RTDC4015\2016-10-06</v>
      </c>
      <c r="S30" s="107" t="str">
        <f>VLOOKUP(C30,'Train Runs'!$A$13:$AE$10009,22,0)</f>
        <v>https://search-rtdc-monitor-bjffxe2xuh6vdkpspy63sjmuny.us-east-1.es.amazonaws.com/_plugin/kibana/#/discover/Steve-Slow-Train-Analysis-(2080s-and-2083s)?_g=(refreshInterval:(display:Off,section:0,value:0),time:(from:'2016-10-05 08:49:58-0600',mode:absolute,to:'2016-10-05 11:45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0" s="109" t="str">
        <f t="shared" si="1"/>
        <v>"C:\Program Files (x86)\AstroGrep\AstroGrep.exe" /spath="%USERPROFILE%\AppData\Local\Temp\OnboardLogs" /stypes="*4015*201610051*" /stext=" 17:.+((SYSTEM_STATE.+slice.+state.+changed )|(ment ac)|(system.+state.+changed )|(\[timeout)|(PRM\|1\|D)|(kpr)|(kdp)|(\|lc)|(penalty))" /e /r /s</v>
      </c>
      <c r="U30" s="9" t="str">
        <f t="shared" si="2"/>
        <v>4015</v>
      </c>
      <c r="V30" s="38">
        <f t="shared" si="3"/>
        <v>42648.74690972222</v>
      </c>
      <c r="W30" s="52" t="str">
        <f t="shared" si="4"/>
        <v>EC</v>
      </c>
      <c r="X30" s="52" t="str">
        <f t="shared" si="5"/>
        <v>KEEP</v>
      </c>
      <c r="Y30" s="130" t="str">
        <f t="shared" si="6"/>
        <v>echo {"issue":{"subject":"Pena 4S STOP, cleared afterward","project_id":79,"tracker_id":40,"status_id":1,"priority_id":2,"assigned_to_id":23,"start_date":"2016-10-05","description":"","custom_fields":[{"id":1,"name":"Subdivision","value":"EC"},{"id":4,"name":"Milepost","value":"19.1723"},{"id":17,"name":"Train ID","value":"144-05"},{"id":16,"name":"Locomotive ID","value":"4015"},{"id":130,"name":"Impact","value":""},{"id":150,"name":"Time of Event (Mountain Time)","value":"11:55:33"},{"id":151,"name":"Denver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1" t="str">
        <f t="shared" si="7"/>
        <v>grep -hSE -A100 "Enforcement Action" "%USERPROFILE%\AppData\Local\Temp\OnboardLogs"\RTDC4015\*4015*201610051* | grep -SE "((Enforcement Ac)|(PRM))" -</v>
      </c>
    </row>
    <row r="31" spans="1:29" ht="15" customHeight="1" x14ac:dyDescent="0.25">
      <c r="A31" s="38">
        <v>42648.680844907409</v>
      </c>
      <c r="B31" s="33" t="s">
        <v>249</v>
      </c>
      <c r="C31" s="33" t="s">
        <v>414</v>
      </c>
      <c r="D31" s="33" t="s">
        <v>49</v>
      </c>
      <c r="E31" s="33" t="s">
        <v>54</v>
      </c>
      <c r="F31" s="49">
        <v>0</v>
      </c>
      <c r="G31" s="49">
        <v>82</v>
      </c>
      <c r="H31" s="49">
        <v>192461</v>
      </c>
      <c r="I31" s="49">
        <v>192289</v>
      </c>
      <c r="J31" s="33" t="s">
        <v>55</v>
      </c>
      <c r="K31" s="49">
        <v>191723</v>
      </c>
      <c r="L31" s="146" t="s">
        <v>53</v>
      </c>
      <c r="M31" s="149">
        <f t="shared" si="0"/>
        <v>298.84800000000001</v>
      </c>
      <c r="N31" s="88" t="str">
        <f>VLOOKUP(C31,'Trips&amp;Operators'!$C$1:$E$99999,3,FALSE)</f>
        <v>BONDS</v>
      </c>
      <c r="O31" s="170" t="s">
        <v>86</v>
      </c>
      <c r="P31" s="10" t="s">
        <v>768</v>
      </c>
      <c r="Q31" s="33"/>
      <c r="R31" s="104" t="str">
        <f>VLOOKUP(C31,'Train Runs'!$A$13:$AE$10009,31,0)</f>
        <v>aws s3 cp s3://rtdc.mdm.uploadarchive.raw/RTDC4010/ "%USERPROFILE%\AppData\Local\Temp\OnboardLogs"\RTDC4010\2016-10-05 --exclude "*" --recursive --include "*20161005*" &amp; "%USERPROFILE%\Documents\GitHub\mrs-test-scripts\Headless Mode &amp; Sideloading\WalkAndUnGZ.bat" "%USERPROFILE%\AppData\Local\Temp\OnboardLogs"\RTDC4010\2016-10-05 &amp; aws s3 cp s3://rtdc.mdm.uploadarchive.raw/RTDC4010/ "%USERPROFILE%\AppData\Local\Temp\OnboardLogs"\RTDC4010\2016-10-06 --exclude "*" --recursive --include "*20161006*" &amp; "%USERPROFILE%\Documents\GitHub\mrs-test-scripts\Headless Mode &amp; Sideloading\WalkAndUnGZ.bat" "%USERPROFILE%\AppData\Local\Temp\OnboardLogs"\RTDC4010\2016-10-06</v>
      </c>
      <c r="S31" s="107" t="str">
        <f>VLOOKUP(C31,'Train Runs'!$A$13:$AE$10009,22,0)</f>
        <v>https://search-rtdc-monitor-bjffxe2xuh6vdkpspy63sjmuny.us-east-1.es.amazonaws.com/_plugin/kibana/#/discover/Steve-Slow-Train-Analysis-(2080s-and-2083s)?_g=(refreshInterval:(display:Off,section:0,value:0),time:(from:'2016-10-05 15:04:40-0600',mode:absolute,to:'2016-10-05 17:53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1" s="109" t="str">
        <f t="shared" si="1"/>
        <v>"C:\Program Files (x86)\AstroGrep\AstroGrep.exe" /spath="%USERPROFILE%\AppData\Local\Temp\OnboardLogs" /stypes="*4010*201610052*" /stext=" 22:.+((SYSTEM_STATE.+slice.+state.+changed )|(ment ac)|(system.+state.+changed )|(\[timeout)|(PRM\|1\|D)|(kpr)|(kdp)|(\|lc)|(penalty))" /e /r /s</v>
      </c>
      <c r="U31" s="9" t="str">
        <f t="shared" si="2"/>
        <v>4010</v>
      </c>
      <c r="V31" s="38">
        <f t="shared" si="3"/>
        <v>42648.930844907409</v>
      </c>
      <c r="W31" s="52" t="str">
        <f t="shared" si="4"/>
        <v>EC</v>
      </c>
      <c r="X31" s="52" t="str">
        <f t="shared" si="5"/>
        <v>KEEP</v>
      </c>
      <c r="Y31" s="130" t="str">
        <f t="shared" si="6"/>
        <v>echo {"issue":{"subject":"Pena 4S STOP, cleared afterward","project_id":79,"tracker_id":40,"status_id":1,"priority_id":2,"assigned_to_id":23,"start_date":"2016-10-05","description":"","custom_fields":[{"id":1,"name":"Subdivision","value":"EC"},{"id":4,"name":"Milepost","value":"19.1723"},{"id":17,"name":"Train ID","value":"194-05"},{"id":16,"name":"Locomotive ID","value":"4010"},{"id":130,"name":"Impact","value":""},{"id":150,"name":"Time of Event (Mountain Time)","value":"16:20:25"},{"id":151,"name":"Denver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1" t="str">
        <f t="shared" si="7"/>
        <v>grep -hSE -A100 "Enforcement Action" "%USERPROFILE%\AppData\Local\Temp\OnboardLogs"\RTDC4010\*4010*201610052* | grep -SE "((Enforcement Ac)|(PRM))" -</v>
      </c>
    </row>
    <row r="32" spans="1:29" x14ac:dyDescent="0.25">
      <c r="A32" s="38">
        <v>42648.741030092591</v>
      </c>
      <c r="B32" s="33" t="s">
        <v>301</v>
      </c>
      <c r="C32" s="33" t="s">
        <v>418</v>
      </c>
      <c r="D32" s="33" t="s">
        <v>49</v>
      </c>
      <c r="E32" s="33" t="s">
        <v>54</v>
      </c>
      <c r="F32" s="49">
        <v>0</v>
      </c>
      <c r="G32" s="49">
        <v>369</v>
      </c>
      <c r="H32" s="49">
        <v>193653</v>
      </c>
      <c r="I32" s="49">
        <v>192875</v>
      </c>
      <c r="J32" s="33" t="s">
        <v>55</v>
      </c>
      <c r="K32" s="49">
        <v>191723</v>
      </c>
      <c r="L32" s="146" t="s">
        <v>53</v>
      </c>
      <c r="M32" s="149">
        <f t="shared" si="0"/>
        <v>608.25599999999997</v>
      </c>
      <c r="N32" s="88" t="str">
        <f>VLOOKUP(C32,'Trips&amp;Operators'!$C$1:$E$99999,3,FALSE)</f>
        <v>HILLS</v>
      </c>
      <c r="O32" s="170" t="s">
        <v>86</v>
      </c>
      <c r="P32" s="10" t="s">
        <v>768</v>
      </c>
      <c r="Q32" s="33"/>
      <c r="R32" s="104" t="str">
        <f>VLOOKUP(C32,'Train Runs'!$A$13:$AE$10009,31,0)</f>
        <v>aws s3 cp s3://rtdc.mdm.uploadarchive.raw/RTDC4001/ "%USERPROFILE%\AppData\Local\Temp\OnboardLogs"\RTDC4001\2016-10-05 --exclude "*" --recursive --include "*20161005*" &amp; "%USERPROFILE%\Documents\GitHub\mrs-test-scripts\Headless Mode &amp; Sideloading\WalkAndUnGZ.bat" "%USERPROFILE%\AppData\Local\Temp\OnboardLogs"\RTDC4001\2016-10-05 &amp; aws s3 cp s3://rtdc.mdm.uploadarchive.raw/RTDC4001/ "%USERPROFILE%\AppData\Local\Temp\OnboardLogs"\RTDC4001\2016-10-06 --exclude "*" --recursive --include "*20161006*" &amp; "%USERPROFILE%\Documents\GitHub\mrs-test-scripts\Headless Mode &amp; Sideloading\WalkAndUnGZ.bat" "%USERPROFILE%\AppData\Local\Temp\OnboardLogs"\RTDC4001\2016-10-06</v>
      </c>
      <c r="S32" s="107" t="str">
        <f>VLOOKUP(C32,'Train Runs'!$A$13:$AE$10009,22,0)</f>
        <v>https://search-rtdc-monitor-bjffxe2xuh6vdkpspy63sjmuny.us-east-1.es.amazonaws.com/_plugin/kibana/#/discover/Steve-Slow-Train-Analysis-(2080s-and-2083s)?_g=(refreshInterval:(display:Off,section:0,value:0),time:(from:'2016-10-05 16:28:02-0600',mode:absolute,to:'2016-10-05 19:24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2" s="109" t="str">
        <f t="shared" si="1"/>
        <v>"C:\Program Files (x86)\AstroGrep\AstroGrep.exe" /spath="%USERPROFILE%\AppData\Local\Temp\OnboardLogs" /stypes="*4001*201610052*" /stext=" 23:.+((SYSTEM_STATE.+slice.+state.+changed )|(ment ac)|(system.+state.+changed )|(\[timeout)|(PRM\|1\|D)|(kpr)|(kdp)|(\|lc)|(penalty))" /e /r /s</v>
      </c>
      <c r="U32" s="9" t="str">
        <f t="shared" si="2"/>
        <v>4001</v>
      </c>
      <c r="V32" s="38">
        <f t="shared" si="3"/>
        <v>42648.991030092591</v>
      </c>
      <c r="W32" s="52" t="str">
        <f t="shared" si="4"/>
        <v>EC</v>
      </c>
      <c r="X32" s="52" t="str">
        <f t="shared" si="5"/>
        <v>KEEP</v>
      </c>
      <c r="Y32" s="130" t="str">
        <f t="shared" si="6"/>
        <v>echo {"issue":{"subject":"Pena 4S STOP, cleared afterward","project_id":79,"tracker_id":40,"status_id":1,"priority_id":2,"assigned_to_id":23,"start_date":"2016-10-05","description":"","custom_fields":[{"id":1,"name":"Subdivision","value":"EC"},{"id":4,"name":"Milepost","value":"19.1723"},{"id":17,"name":"Train ID","value":"206-05"},{"id":16,"name":"Locomotive ID","value":"4001"},{"id":130,"name":"Impact","value":""},{"id":150,"name":"Time of Event (Mountain Time)","value":"17:47:05"},{"id":151,"name":"Denver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1" t="str">
        <f t="shared" si="7"/>
        <v>grep -hSE -A100 "Enforcement Action" "%USERPROFILE%\AppData\Local\Temp\OnboardLogs"\RTDC4001\*4001*201610052* | grep -SE "((Enforcement Ac)|(PRM))" -</v>
      </c>
    </row>
    <row r="33" spans="1:29" ht="15" customHeight="1" x14ac:dyDescent="0.25">
      <c r="A33" s="38">
        <v>42648.326863425929</v>
      </c>
      <c r="B33" s="33" t="s">
        <v>310</v>
      </c>
      <c r="C33" s="33" t="s">
        <v>378</v>
      </c>
      <c r="D33" s="33" t="s">
        <v>49</v>
      </c>
      <c r="E33" s="33" t="s">
        <v>50</v>
      </c>
      <c r="F33" s="49">
        <v>0</v>
      </c>
      <c r="G33" s="49">
        <v>80</v>
      </c>
      <c r="H33" s="49">
        <v>271</v>
      </c>
      <c r="I33" s="49">
        <v>207</v>
      </c>
      <c r="J33" s="33" t="s">
        <v>51</v>
      </c>
      <c r="K33" s="49">
        <v>1</v>
      </c>
      <c r="L33" s="146" t="s">
        <v>53</v>
      </c>
      <c r="M33" s="149">
        <f t="shared" si="0"/>
        <v>108.768</v>
      </c>
      <c r="N33" s="88" t="str">
        <f>VLOOKUP(C33,'Trips&amp;Operators'!$C$1:$E$99999,3,FALSE)</f>
        <v>SPECTOR</v>
      </c>
      <c r="O33" s="170" t="s">
        <v>86</v>
      </c>
      <c r="P33" s="10"/>
      <c r="Q33" s="33"/>
      <c r="R33" s="104" t="str">
        <f>VLOOKUP(C33,'Train Runs'!$A$13:$AE$10009,31,0)</f>
        <v>aws s3 cp s3://rtdc.mdm.uploadarchive.raw/RTDC4008/ "%USERPROFILE%\AppData\Local\Temp\OnboardLogs"\RTDC4008\2016-10-05 --exclude "*" --recursive --include "*20161005*" &amp; "%USERPROFILE%\Documents\GitHub\mrs-test-scripts\Headless Mode &amp; Sideloading\WalkAndUnGZ.bat" "%USERPROFILE%\AppData\Local\Temp\OnboardLogs"\RTDC4008\2016-10-05 &amp; 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</v>
      </c>
      <c r="S33" s="107" t="str">
        <f>VLOOKUP(C33,'Train Runs'!$A$13:$AE$10009,22,0)</f>
        <v>https://search-rtdc-monitor-bjffxe2xuh6vdkpspy63sjmuny.us-east-1.es.amazonaws.com/_plugin/kibana/#/discover/Steve-Slow-Train-Analysis-(2080s-and-2083s)?_g=(refreshInterval:(display:Off,section:0,value:0),time:(from:'2016-10-05 06:00:27-0600',mode:absolute,to:'2016-10-05 08:51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33" s="109" t="str">
        <f t="shared" si="1"/>
        <v>"C:\Program Files (x86)\AstroGrep\AstroGrep.exe" /spath="%USERPROFILE%\AppData\Local\Temp\OnboardLogs" /stypes="*4008*201610051*" /stext=" 13:.+((SYSTEM_STATE.+slice.+state.+changed )|(ment ac)|(system.+state.+changed )|(\[timeout)|(PRM\|1\|D)|(kpr)|(kdp)|(\|lc)|(penalty))" /e /r /s</v>
      </c>
      <c r="U33" s="9" t="str">
        <f t="shared" si="2"/>
        <v>4008</v>
      </c>
      <c r="V33" s="38">
        <f t="shared" si="3"/>
        <v>42648.576863425929</v>
      </c>
      <c r="W33" s="52" t="str">
        <f t="shared" si="4"/>
        <v>EC</v>
      </c>
      <c r="X33" s="52" t="str">
        <f t="shared" si="5"/>
        <v>KEEP</v>
      </c>
      <c r="Y33" s="130" t="str">
        <f t="shared" si="6"/>
        <v>echo {"issue":{"subject":"","project_id":79,"tracker_id":40,"status_id":1,"priority_id":2,"assigned_to_id":23,"start_date":"2016-10-05","description":"","custom_fields":[{"id":1,"name":"Subdivision","value":"EC"},{"id":4,"name":"Milepost","value":"0.0001"},{"id":17,"name":"Train ID","value":"122-05"},{"id":16,"name":"Locomotive ID","value":"4008"},{"id":130,"name":"Impact","value":""},{"id":150,"name":"Time of Event (Mountain Time)","value":"07:50:41"},{"id":151,"name":"Denver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1" t="str">
        <f t="shared" si="7"/>
        <v>grep -hSE -A100 "Enforcement Action" "%USERPROFILE%\AppData\Local\Temp\OnboardLogs"\RTDC4008\*4008*201610051* | grep -SE "((Enforcement Ac)|(PRM))" -</v>
      </c>
    </row>
    <row r="34" spans="1:29" x14ac:dyDescent="0.25">
      <c r="A34" s="38">
        <v>42648.327025462961</v>
      </c>
      <c r="B34" s="33" t="s">
        <v>310</v>
      </c>
      <c r="C34" s="33" t="s">
        <v>378</v>
      </c>
      <c r="D34" s="33" t="s">
        <v>49</v>
      </c>
      <c r="E34" s="33" t="s">
        <v>50</v>
      </c>
      <c r="F34" s="49">
        <v>0</v>
      </c>
      <c r="G34" s="49">
        <v>41</v>
      </c>
      <c r="H34" s="49">
        <v>163</v>
      </c>
      <c r="I34" s="49">
        <v>119</v>
      </c>
      <c r="J34" s="33" t="s">
        <v>51</v>
      </c>
      <c r="K34" s="49">
        <v>1</v>
      </c>
      <c r="L34" s="146" t="s">
        <v>53</v>
      </c>
      <c r="M34" s="149">
        <f t="shared" si="0"/>
        <v>62.304000000000002</v>
      </c>
      <c r="N34" s="88" t="str">
        <f>VLOOKUP(C34,'Trips&amp;Operators'!$C$1:$E$99999,3,FALSE)</f>
        <v>SPECTOR</v>
      </c>
      <c r="O34" s="170" t="s">
        <v>86</v>
      </c>
      <c r="P34" s="10"/>
      <c r="Q34" s="33"/>
      <c r="R34" s="104" t="str">
        <f>VLOOKUP(C34,'Train Runs'!$A$13:$AE$10009,31,0)</f>
        <v>aws s3 cp s3://rtdc.mdm.uploadarchive.raw/RTDC4008/ "%USERPROFILE%\AppData\Local\Temp\OnboardLogs"\RTDC4008\2016-10-05 --exclude "*" --recursive --include "*20161005*" &amp; "%USERPROFILE%\Documents\GitHub\mrs-test-scripts\Headless Mode &amp; Sideloading\WalkAndUnGZ.bat" "%USERPROFILE%\AppData\Local\Temp\OnboardLogs"\RTDC4008\2016-10-05 &amp; aws s3 cp s3://rtdc.mdm.uploadarchive.raw/RTDC4008/ "%USERPROFILE%\AppData\Local\Temp\OnboardLogs"\RTDC4008\2016-10-06 --exclude "*" --recursive --include "*20161006*" &amp; "%USERPROFILE%\Documents\GitHub\mrs-test-scripts\Headless Mode &amp; Sideloading\WalkAndUnGZ.bat" "%USERPROFILE%\AppData\Local\Temp\OnboardLogs"\RTDC4008\2016-10-06</v>
      </c>
      <c r="S34" s="107" t="str">
        <f>VLOOKUP(C34,'Train Runs'!$A$13:$AE$10009,22,0)</f>
        <v>https://search-rtdc-monitor-bjffxe2xuh6vdkpspy63sjmuny.us-east-1.es.amazonaws.com/_plugin/kibana/#/discover/Steve-Slow-Train-Analysis-(2080s-and-2083s)?_g=(refreshInterval:(display:Off,section:0,value:0),time:(from:'2016-10-05 06:00:27-0600',mode:absolute,to:'2016-10-05 08:51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34" s="109" t="str">
        <f t="shared" si="1"/>
        <v>"C:\Program Files (x86)\AstroGrep\AstroGrep.exe" /spath="%USERPROFILE%\AppData\Local\Temp\OnboardLogs" /stypes="*4008*201610051*" /stext=" 13:.+((SYSTEM_STATE.+slice.+state.+changed )|(ment ac)|(system.+state.+changed )|(\[timeout)|(PRM\|1\|D)|(kpr)|(kdp)|(\|lc)|(penalty))" /e /r /s</v>
      </c>
      <c r="U34" s="9" t="str">
        <f t="shared" si="2"/>
        <v>4008</v>
      </c>
      <c r="V34" s="38">
        <f t="shared" si="3"/>
        <v>42648.577025462961</v>
      </c>
      <c r="W34" s="52" t="str">
        <f t="shared" si="4"/>
        <v>EC</v>
      </c>
      <c r="X34" s="52" t="str">
        <f t="shared" si="5"/>
        <v>KEEP</v>
      </c>
      <c r="Y34" s="130" t="str">
        <f t="shared" si="6"/>
        <v>echo {"issue":{"subject":"","project_id":79,"tracker_id":40,"status_id":1,"priority_id":2,"assigned_to_id":23,"start_date":"2016-10-05","description":"","custom_fields":[{"id":1,"name":"Subdivision","value":"EC"},{"id":4,"name":"Milepost","value":"0.0001"},{"id":17,"name":"Train ID","value":"122-05"},{"id":16,"name":"Locomotive ID","value":"4008"},{"id":130,"name":"Impact","value":""},{"id":150,"name":"Time of Event (Mountain Time)","value":"07:50:55"},{"id":151,"name":"Denver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1" t="str">
        <f t="shared" si="7"/>
        <v>grep -hSE -A100 "Enforcement Action" "%USERPROFILE%\AppData\Local\Temp\OnboardLogs"\RTDC4008\*4008*201610051* | grep -SE "((Enforcement Ac)|(PRM))" -</v>
      </c>
    </row>
    <row r="35" spans="1:29" x14ac:dyDescent="0.25">
      <c r="A35" s="38">
        <v>42648.581192129626</v>
      </c>
      <c r="B35" s="33" t="s">
        <v>223</v>
      </c>
      <c r="C35" s="33" t="s">
        <v>402</v>
      </c>
      <c r="D35" s="33" t="s">
        <v>49</v>
      </c>
      <c r="E35" s="33" t="s">
        <v>50</v>
      </c>
      <c r="F35" s="49">
        <v>0</v>
      </c>
      <c r="G35" s="49">
        <v>48</v>
      </c>
      <c r="H35" s="49">
        <v>158</v>
      </c>
      <c r="I35" s="49">
        <v>123</v>
      </c>
      <c r="J35" s="33" t="s">
        <v>51</v>
      </c>
      <c r="K35" s="49">
        <v>1</v>
      </c>
      <c r="L35" s="146" t="s">
        <v>53</v>
      </c>
      <c r="M35" s="149">
        <f t="shared" si="0"/>
        <v>64.415999999999997</v>
      </c>
      <c r="N35" s="88" t="str">
        <f>VLOOKUP(C35,'Trips&amp;Operators'!$C$1:$E$99999,3,FALSE)</f>
        <v>BROWN</v>
      </c>
      <c r="O35" s="170" t="s">
        <v>86</v>
      </c>
      <c r="P35" s="10"/>
      <c r="Q35" s="33"/>
      <c r="R35" s="104" t="str">
        <f>VLOOKUP(C35,'Train Runs'!$A$13:$AE$10009,31,0)</f>
        <v>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 &amp; aws s3 cp s3://rtdc.mdm.uploadarchive.raw/RTDC4017/ "%USERPROFILE%\AppData\Local\Temp\OnboardLogs"\RTDC4017\2016-10-06 --exclude "*" --recursive --include "*20161006*" &amp; "%USERPROFILE%\Documents\GitHub\mrs-test-scripts\Headless Mode &amp; Sideloading\WalkAndUnGZ.bat" "%USERPROFILE%\AppData\Local\Temp\OnboardLogs"\RTDC4017\2016-10-06</v>
      </c>
      <c r="S35" s="107" t="str">
        <f>VLOOKUP(C35,'Train Runs'!$A$13:$AE$10009,22,0)</f>
        <v>https://search-rtdc-monitor-bjffxe2xuh6vdkpspy63sjmuny.us-east-1.es.amazonaws.com/_plugin/kibana/#/discover/Steve-Slow-Train-Analysis-(2080s-and-2083s)?_g=(refreshInterval:(display:Off,section:0,value:0),time:(from:'2016-10-05 12:11:23-0600',mode:absolute,to:'2016-10-05 14:56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35" s="109" t="str">
        <f t="shared" si="1"/>
        <v>"C:\Program Files (x86)\AstroGrep\AstroGrep.exe" /spath="%USERPROFILE%\AppData\Local\Temp\OnboardLogs" /stypes="*4017*201610051*" /stext=" 19:.+((SYSTEM_STATE.+slice.+state.+changed )|(ment ac)|(system.+state.+changed )|(\[timeout)|(PRM\|1\|D)|(kpr)|(kdp)|(\|lc)|(penalty))" /e /r /s</v>
      </c>
      <c r="U35" s="9" t="str">
        <f t="shared" si="2"/>
        <v>4017</v>
      </c>
      <c r="V35" s="38">
        <f t="shared" si="3"/>
        <v>42648.831192129626</v>
      </c>
      <c r="W35" s="52" t="str">
        <f t="shared" si="4"/>
        <v>EC</v>
      </c>
      <c r="X35" s="52" t="str">
        <f t="shared" si="5"/>
        <v>KEEP</v>
      </c>
      <c r="Y35" s="130" t="str">
        <f t="shared" si="6"/>
        <v>echo {"issue":{"subject":"","project_id":79,"tracker_id":40,"status_id":1,"priority_id":2,"assigned_to_id":23,"start_date":"2016-10-05","description":"","custom_fields":[{"id":1,"name":"Subdivision","value":"EC"},{"id":4,"name":"Milepost","value":"0.0001"},{"id":17,"name":"Train ID","value":"170-05"},{"id":16,"name":"Locomotive ID","value":"4017"},{"id":130,"name":"Impact","value":""},{"id":150,"name":"Time of Event (Mountain Time)","value":"13:56:55"},{"id":151,"name":"Denver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1" t="str">
        <f t="shared" si="7"/>
        <v>grep -hSE -A100 "Enforcement Action" "%USERPROFILE%\AppData\Local\Temp\OnboardLogs"\RTDC4017\*4017*201610051* | grep -SE "((Enforcement Ac)|(PRM))" -</v>
      </c>
    </row>
    <row r="36" spans="1:29" x14ac:dyDescent="0.25">
      <c r="A36" s="38">
        <v>42648.795590277776</v>
      </c>
      <c r="B36" s="33" t="s">
        <v>223</v>
      </c>
      <c r="C36" s="33" t="s">
        <v>421</v>
      </c>
      <c r="D36" s="33" t="s">
        <v>49</v>
      </c>
      <c r="E36" s="33" t="s">
        <v>50</v>
      </c>
      <c r="F36" s="49">
        <v>0</v>
      </c>
      <c r="G36" s="49">
        <v>51</v>
      </c>
      <c r="H36" s="49">
        <v>146</v>
      </c>
      <c r="I36" s="49">
        <v>122</v>
      </c>
      <c r="J36" s="33" t="s">
        <v>51</v>
      </c>
      <c r="K36" s="49">
        <v>1</v>
      </c>
      <c r="L36" s="146" t="s">
        <v>53</v>
      </c>
      <c r="M36" s="149">
        <f t="shared" si="0"/>
        <v>63.887999999999998</v>
      </c>
      <c r="N36" s="88" t="str">
        <f>VLOOKUP(C36,'Trips&amp;Operators'!$C$1:$E$99999,3,FALSE)</f>
        <v>BROWN</v>
      </c>
      <c r="O36" s="170" t="s">
        <v>86</v>
      </c>
      <c r="P36" s="10"/>
      <c r="Q36" s="33"/>
      <c r="R36" s="104" t="str">
        <f>VLOOKUP(C36,'Train Runs'!$A$13:$AE$10009,31,0)</f>
        <v>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 &amp; aws s3 cp s3://rtdc.mdm.uploadarchive.raw/RTDC4017/ "%USERPROFILE%\AppData\Local\Temp\OnboardLogs"\RTDC4017\2016-10-06 --exclude "*" --recursive --include "*20161006*" &amp; "%USERPROFILE%\Documents\GitHub\mrs-test-scripts\Headless Mode &amp; Sideloading\WalkAndUnGZ.bat" "%USERPROFILE%\AppData\Local\Temp\OnboardLogs"\RTDC4017\2016-10-06</v>
      </c>
      <c r="S36" s="107" t="str">
        <f>VLOOKUP(C36,'Train Runs'!$A$13:$AE$10009,22,0)</f>
        <v>https://search-rtdc-monitor-bjffxe2xuh6vdkpspy63sjmuny.us-east-1.es.amazonaws.com/_plugin/kibana/#/discover/Steve-Slow-Train-Analysis-(2080s-and-2083s)?_g=(refreshInterval:(display:Off,section:0,value:0),time:(from:'2016-10-05 17:17:38-0600',mode:absolute,to:'2016-10-05 20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36" s="109" t="str">
        <f t="shared" si="1"/>
        <v>"C:\Program Files (x86)\AstroGrep\AstroGrep.exe" /spath="%USERPROFILE%\AppData\Local\Temp\OnboardLogs" /stypes="*4017*201610060*" /stext=" 01:.+((SYSTEM_STATE.+slice.+state.+changed )|(ment ac)|(system.+state.+changed )|(\[timeout)|(PRM\|1\|D)|(kpr)|(kdp)|(\|lc)|(penalty))" /e /r /s</v>
      </c>
      <c r="U36" s="9" t="str">
        <f t="shared" si="2"/>
        <v>4017</v>
      </c>
      <c r="V36" s="38">
        <f t="shared" si="3"/>
        <v>42649.045590277776</v>
      </c>
      <c r="W36" s="52" t="str">
        <f t="shared" si="4"/>
        <v>EC</v>
      </c>
      <c r="X36" s="52" t="str">
        <f t="shared" si="5"/>
        <v>KEEP</v>
      </c>
      <c r="Y36" s="130" t="str">
        <f t="shared" si="6"/>
        <v>echo {"issue":{"subject":"","project_id":79,"tracker_id":40,"status_id":1,"priority_id":2,"assigned_to_id":23,"start_date":"2016-10-05","description":"","custom_fields":[{"id":1,"name":"Subdivision","value":"EC"},{"id":4,"name":"Milepost","value":"0.0001"},{"id":17,"name":"Train ID","value":"212-05"},{"id":16,"name":"Locomotive ID","value":"4017"},{"id":130,"name":"Impact","value":""},{"id":150,"name":"Time of Event (Mountain Time)","value":"19:05:39"},{"id":151,"name":"Denver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1" t="str">
        <f t="shared" si="7"/>
        <v>grep -hSE -A100 "Enforcement Action" "%USERPROFILE%\AppData\Local\Temp\OnboardLogs"\RTDC4017\*4017*201610060* | grep -SE "((Enforcement Ac)|(PRM))" -</v>
      </c>
    </row>
    <row r="37" spans="1:29" ht="15" customHeight="1" x14ac:dyDescent="0.25">
      <c r="A37" s="38">
        <v>42648.816608796296</v>
      </c>
      <c r="B37" s="33" t="s">
        <v>380</v>
      </c>
      <c r="C37" s="33" t="s">
        <v>422</v>
      </c>
      <c r="D37" s="33" t="s">
        <v>49</v>
      </c>
      <c r="E37" s="33" t="s">
        <v>50</v>
      </c>
      <c r="F37" s="49">
        <v>0</v>
      </c>
      <c r="G37" s="49">
        <v>54</v>
      </c>
      <c r="H37" s="49">
        <v>160</v>
      </c>
      <c r="I37" s="49">
        <v>119</v>
      </c>
      <c r="J37" s="33" t="s">
        <v>51</v>
      </c>
      <c r="K37" s="49">
        <v>1</v>
      </c>
      <c r="L37" s="146" t="s">
        <v>53</v>
      </c>
      <c r="M37" s="149">
        <f t="shared" si="0"/>
        <v>62.304000000000002</v>
      </c>
      <c r="N37" s="88" t="str">
        <f>VLOOKUP(C37,'Trips&amp;Operators'!$C$1:$E$99999,3,FALSE)</f>
        <v>STAMBAUGH</v>
      </c>
      <c r="O37" s="170" t="s">
        <v>86</v>
      </c>
      <c r="P37" s="10"/>
      <c r="Q37" s="33"/>
      <c r="R37" s="104" t="str">
        <f>VLOOKUP(C37,'Train Runs'!$A$13:$AE$10009,31,0)</f>
        <v>aws s3 cp s3://rtdc.mdm.uploadarchive.raw/RTDC4028/ "%USERPROFILE%\AppData\Local\Temp\OnboardLogs"\RTDC4028\2016-10-05 --exclude "*" --recursive --include "*20161005*" &amp; "%USERPROFILE%\Documents\GitHub\mrs-test-scripts\Headless Mode &amp; Sideloading\WalkAndUnGZ.bat" "%USERPROFILE%\AppData\Local\Temp\OnboardLogs"\RTDC4028\2016-10-05 &amp; aws s3 cp s3://rtdc.mdm.uploadarchive.raw/RTDC4028/ "%USERPROFILE%\AppData\Local\Temp\OnboardLogs"\RTDC4028\2016-10-06 --exclude "*" --recursive --include "*20161006*" &amp; "%USERPROFILE%\Documents\GitHub\mrs-test-scripts\Headless Mode &amp; Sideloading\WalkAndUnGZ.bat" "%USERPROFILE%\AppData\Local\Temp\OnboardLogs"\RTDC4028\2016-10-06</v>
      </c>
      <c r="S37" s="107" t="str">
        <f>VLOOKUP(C37,'Train Runs'!$A$13:$AE$10009,22,0)</f>
        <v>https://search-rtdc-monitor-bjffxe2xuh6vdkpspy63sjmuny.us-east-1.es.amazonaws.com/_plugin/kibana/#/discover/Steve-Slow-Train-Analysis-(2080s-and-2083s)?_g=(refreshInterval:(display:Off,section:0,value:0),time:(from:'2016-10-05 17:48:10-0600',mode:absolute,to:'2016-10-05 20:35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37" s="109" t="str">
        <f t="shared" si="1"/>
        <v>"C:\Program Files (x86)\AstroGrep\AstroGrep.exe" /spath="%USERPROFILE%\AppData\Local\Temp\OnboardLogs" /stypes="*4028*201610060*" /stext=" 01:.+((SYSTEM_STATE.+slice.+state.+changed )|(ment ac)|(system.+state.+changed )|(\[timeout)|(PRM\|1\|D)|(kpr)|(kdp)|(\|lc)|(penalty))" /e /r /s</v>
      </c>
      <c r="U37" s="9" t="str">
        <f t="shared" si="2"/>
        <v>4028</v>
      </c>
      <c r="V37" s="38">
        <f t="shared" si="3"/>
        <v>42649.066608796296</v>
      </c>
      <c r="W37" s="52" t="str">
        <f t="shared" si="4"/>
        <v>EC</v>
      </c>
      <c r="X37" s="52" t="str">
        <f t="shared" si="5"/>
        <v>KEEP</v>
      </c>
      <c r="Y37" s="130" t="str">
        <f t="shared" si="6"/>
        <v>echo {"issue":{"subject":"","project_id":79,"tracker_id":40,"status_id":1,"priority_id":2,"assigned_to_id":23,"start_date":"2016-10-05","description":"","custom_fields":[{"id":1,"name":"Subdivision","value":"EC"},{"id":4,"name":"Milepost","value":"0.0001"},{"id":17,"name":"Train ID","value":"216-05"},{"id":16,"name":"Locomotive ID","value":"4028"},{"id":130,"name":"Impact","value":""},{"id":150,"name":"Time of Event (Mountain Time)","value":"19:35:55"},{"id":151,"name":"Denver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1" t="str">
        <f t="shared" si="7"/>
        <v>grep -hSE -A100 "Enforcement Action" "%USERPROFILE%\AppData\Local\Temp\OnboardLogs"\RTDC4028\*4028*201610060* | grep -SE "((Enforcement Ac)|(PRM))" -</v>
      </c>
    </row>
    <row r="38" spans="1:29" x14ac:dyDescent="0.25">
      <c r="A38" s="38">
        <v>42648.431956018518</v>
      </c>
      <c r="B38" s="33" t="s">
        <v>313</v>
      </c>
      <c r="C38" s="33" t="s">
        <v>390</v>
      </c>
      <c r="D38" s="33" t="s">
        <v>49</v>
      </c>
      <c r="E38" s="33" t="s">
        <v>50</v>
      </c>
      <c r="F38" s="49">
        <v>0</v>
      </c>
      <c r="G38" s="49">
        <v>45</v>
      </c>
      <c r="H38" s="49">
        <v>233295</v>
      </c>
      <c r="I38" s="49">
        <v>233349</v>
      </c>
      <c r="J38" s="33" t="s">
        <v>51</v>
      </c>
      <c r="K38" s="49">
        <v>233491</v>
      </c>
      <c r="L38" s="146" t="s">
        <v>52</v>
      </c>
      <c r="M38" s="149">
        <f t="shared" si="0"/>
        <v>74.975999999999999</v>
      </c>
      <c r="N38" s="88" t="str">
        <f>VLOOKUP(C38,'Trips&amp;Operators'!$C$1:$E$99999,3,FALSE)</f>
        <v>SPECTOR</v>
      </c>
      <c r="O38" s="170" t="s">
        <v>86</v>
      </c>
      <c r="P38" s="10"/>
      <c r="Q38" s="33"/>
      <c r="R38" s="104" t="str">
        <f>VLOOKUP(C38,'Train Runs'!$A$13:$AE$10009,31,0)</f>
        <v>aws s3 cp s3://rtdc.mdm.uploadarchive.raw/RTDC4007/ "%USERPROFILE%\AppData\Local\Temp\OnboardLogs"\RTDC4007\2016-10-05 --exclude "*" --recursive --include "*20161005*" &amp; "%USERPROFILE%\Documents\GitHub\mrs-test-scripts\Headless Mode &amp; Sideloading\WalkAndUnGZ.bat" "%USERPROFILE%\AppData\Local\Temp\OnboardLogs"\RTDC4007\2016-10-05 &amp; aws s3 cp s3://rtdc.mdm.uploadarchive.raw/RTDC4007/ "%USERPROFILE%\AppData\Local\Temp\OnboardLogs"\RTDC4007\2016-10-06 --exclude "*" --recursive --include "*20161006*" &amp; "%USERPROFILE%\Documents\GitHub\mrs-test-scripts\Headless Mode &amp; Sideloading\WalkAndUnGZ.bat" "%USERPROFILE%\AppData\Local\Temp\OnboardLogs"\RTDC4007\2016-10-06</v>
      </c>
      <c r="S38" s="107" t="str">
        <f>VLOOKUP(C38,'Train Runs'!$A$13:$AE$10009,22,0)</f>
        <v>https://search-rtdc-monitor-bjffxe2xuh6vdkpspy63sjmuny.us-east-1.es.amazonaws.com/_plugin/kibana/#/discover/Steve-Slow-Train-Analysis-(2080s-and-2083s)?_g=(refreshInterval:(display:Off,section:0,value:0),time:(from:'2016-10-05 08:44:35-0600',mode:absolute,to:'2016-10-05 11:22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8" s="109" t="str">
        <f t="shared" si="1"/>
        <v>"C:\Program Files (x86)\AstroGrep\AstroGrep.exe" /spath="%USERPROFILE%\AppData\Local\Temp\OnboardLogs" /stypes="*4007*201610051*" /stext=" 16:.+((SYSTEM_STATE.+slice.+state.+changed )|(ment ac)|(system.+state.+changed )|(\[timeout)|(PRM\|1\|D)|(kpr)|(kdp)|(\|lc)|(penalty))" /e /r /s</v>
      </c>
      <c r="U38" s="9" t="str">
        <f t="shared" si="2"/>
        <v>4007</v>
      </c>
      <c r="V38" s="38">
        <f t="shared" si="3"/>
        <v>42648.681956018518</v>
      </c>
      <c r="W38" s="52" t="str">
        <f t="shared" si="4"/>
        <v>EC</v>
      </c>
      <c r="X38" s="52" t="str">
        <f t="shared" si="5"/>
        <v>KEEP</v>
      </c>
      <c r="Y38" s="130" t="str">
        <f t="shared" si="6"/>
        <v>echo {"issue":{"subject":"","project_id":79,"tracker_id":40,"status_id":1,"priority_id":2,"assigned_to_id":23,"start_date":"2016-10-05","description":"","custom_fields":[{"id":1,"name":"Subdivision","value":"EC"},{"id":4,"name":"Milepost","value":"23.3491"},{"id":17,"name":"Train ID","value":"149-05"},{"id":16,"name":"Locomotive ID","value":"4007"},{"id":130,"name":"Impact","value":""},{"id":150,"name":"Time of Event (Mountain Time)","value":"10:22:01"},{"id":151,"name":"Denver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1" t="str">
        <f t="shared" si="7"/>
        <v>grep -hSE -A100 "Enforcement Action" "%USERPROFILE%\AppData\Local\Temp\OnboardLogs"\RTDC4007\*4007*201610051* | grep -SE "((Enforcement Ac)|(PRM))" -</v>
      </c>
    </row>
    <row r="39" spans="1:29" x14ac:dyDescent="0.25">
      <c r="A39" s="38">
        <v>42648.66810185185</v>
      </c>
      <c r="B39" s="33" t="s">
        <v>255</v>
      </c>
      <c r="C39" s="33" t="s">
        <v>412</v>
      </c>
      <c r="D39" s="33" t="s">
        <v>49</v>
      </c>
      <c r="E39" s="33" t="s">
        <v>50</v>
      </c>
      <c r="F39" s="49">
        <v>0</v>
      </c>
      <c r="G39" s="49">
        <v>84</v>
      </c>
      <c r="H39" s="49">
        <v>233164</v>
      </c>
      <c r="I39" s="49">
        <v>233268</v>
      </c>
      <c r="J39" s="33" t="s">
        <v>51</v>
      </c>
      <c r="K39" s="49">
        <v>233491</v>
      </c>
      <c r="L39" s="146" t="s">
        <v>52</v>
      </c>
      <c r="M39" s="149">
        <f t="shared" ref="M39:M66" si="8">CONVERT((I39-K39)/10000,"mi","ft")*IF(L39="Increasing Mileposts (1)",-1,1)</f>
        <v>117.744</v>
      </c>
      <c r="N39" s="88" t="str">
        <f>VLOOKUP(C39,'Trips&amp;Operators'!$C$1:$E$99999,3,FALSE)</f>
        <v>BONDS</v>
      </c>
      <c r="O39" s="170" t="s">
        <v>86</v>
      </c>
      <c r="P39" s="10"/>
      <c r="Q39" s="33"/>
      <c r="R39" s="104" t="str">
        <f>VLOOKUP(C39,'Train Runs'!$A$13:$AE$10009,31,0)</f>
        <v>aws s3 cp s3://rtdc.mdm.uploadarchive.raw/RTDC4009/ "%USERPROFILE%\AppData\Local\Temp\OnboardLogs"\RTDC4009\2016-10-05 --exclude "*" --recursive --include "*20161005*" &amp; "%USERPROFILE%\Documents\GitHub\mrs-test-scripts\Headless Mode &amp; Sideloading\WalkAndUnGZ.bat" "%USERPROFILE%\AppData\Local\Temp\OnboardLogs"\RTDC4009\2016-10-05 &amp; aws s3 cp s3://rtdc.mdm.uploadarchive.raw/RTDC4009/ "%USERPROFILE%\AppData\Local\Temp\OnboardLogs"\RTDC4009\2016-10-06 --exclude "*" --recursive --include "*20161006*" &amp; "%USERPROFILE%\Documents\GitHub\mrs-test-scripts\Headless Mode &amp; Sideloading\WalkAndUnGZ.bat" "%USERPROFILE%\AppData\Local\Temp\OnboardLogs"\RTDC4009\2016-10-06</v>
      </c>
      <c r="S39" s="107" t="str">
        <f>VLOOKUP(C39,'Train Runs'!$A$13:$AE$10009,22,0)</f>
        <v>https://search-rtdc-monitor-bjffxe2xuh6vdkpspy63sjmuny.us-east-1.es.amazonaws.com/_plugin/kibana/#/discover/Steve-Slow-Train-Analysis-(2080s-and-2083s)?_g=(refreshInterval:(display:Off,section:0,value:0),time:(from:'2016-10-05 14:19:35-0600',mode:absolute,to:'2016-10-05 17:02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39" s="109" t="str">
        <f t="shared" ref="T39:T66" si="9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/stypes="*4009*201610052*" /stext=" 22:.+((SYSTEM_STATE.+slice.+state.+changed )|(ment ac)|(system.+state.+changed )|(\[timeout)|(PRM\|1\|D)|(kpr)|(kdp)|(\|lc)|(penalty))" /e /r /s</v>
      </c>
      <c r="U39" s="9" t="str">
        <f t="shared" ref="U39:U66" si="10">MID(B39,13,4)</f>
        <v>4009</v>
      </c>
      <c r="V39" s="38">
        <f t="shared" ref="V39:V66" si="11">A39+6/24</f>
        <v>42648.91810185185</v>
      </c>
      <c r="W39" s="52" t="str">
        <f t="shared" ref="W39:W66" si="12">IF(VALUE(LEFT(IF(LEN(C39)=6,"0"&amp;C39,C39),2))&lt;=2,"EC",IF(OR(VALUE(LEFT(IF(LEN(C39)=6,"0"&amp;C39,C39),2))=8,VALUE(LEFT(IF(LEN(C39)=6,"0"&amp;C39,C39),2))=18),"NW","Other"))</f>
        <v>EC</v>
      </c>
      <c r="X39" s="52" t="str">
        <f t="shared" ref="X39:X66" si="13">IF(AND(E39="TRACK WARRANT AUTHORITY",G39&lt;10),"OMIT","KEEP")</f>
        <v>KEEP</v>
      </c>
      <c r="Y39" s="130" t="str">
        <f t="shared" ref="Y39:Y66" si="14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{"issue":{"subject":"","project_id":79,"tracker_id":40,"status_id":1,"priority_id":2,"assigned_to_id":23,"start_date":"2016-10-05","description":"","custom_fields":[{"id":1,"name":"Subdivision","value":"EC"},{"id":4,"name":"Milepost","value":"23.3491"},{"id":17,"name":"Train ID","value":"193-05"},{"id":16,"name":"Locomotive ID","value":"4009"},{"id":130,"name":"Impact","value":""},{"id":150,"name":"Time of Event (Mountain Time)","value":"16:02:04"},{"id":151,"name":"Denver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1" t="str">
        <f t="shared" ref="AC39:AC66" si="15"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"%USERPROFILE%\AppData\Local\Temp\OnboardLogs"\RTDC4009\*4009*201610052* | grep -SE "((Enforcement Ac)|(PRM))" -</v>
      </c>
    </row>
    <row r="40" spans="1:29" x14ac:dyDescent="0.25">
      <c r="A40" s="38">
        <v>42648.891747685186</v>
      </c>
      <c r="B40" s="33" t="s">
        <v>383</v>
      </c>
      <c r="C40" s="33" t="s">
        <v>426</v>
      </c>
      <c r="D40" s="33" t="s">
        <v>105</v>
      </c>
      <c r="E40" s="33" t="s">
        <v>56</v>
      </c>
      <c r="F40" s="49">
        <v>200</v>
      </c>
      <c r="G40" s="49">
        <v>252</v>
      </c>
      <c r="H40" s="49">
        <v>6358</v>
      </c>
      <c r="I40" s="49">
        <v>6851</v>
      </c>
      <c r="J40" s="33" t="s">
        <v>57</v>
      </c>
      <c r="K40" s="49">
        <v>5315</v>
      </c>
      <c r="L40" s="146" t="s">
        <v>52</v>
      </c>
      <c r="M40" s="149">
        <f t="shared" si="8"/>
        <v>-811.00800000000004</v>
      </c>
      <c r="N40" s="88" t="str">
        <f>VLOOKUP(C40,'Trips&amp;Operators'!$C$1:$E$99999,3,FALSE)</f>
        <v>LEVERE</v>
      </c>
      <c r="O40" s="170" t="s">
        <v>86</v>
      </c>
      <c r="P40" s="10"/>
      <c r="Q40" s="33"/>
      <c r="R40" s="104" t="str">
        <f>VLOOKUP(C40,'Train Runs'!$A$13:$AE$10009,31,0)</f>
        <v>aws s3 cp s3://rtdc.mdm.uploadarchive.raw/RTDC4020/ "%USERPROFILE%\AppData\Local\Temp\OnboardLogs"\RTDC4020\2016-10-05 --exclude "*" --recursive --include "*20161005*" &amp; "%USERPROFILE%\Documents\GitHub\mrs-test-scripts\Headless Mode &amp; Sideloading\WalkAndUnGZ.bat" "%USERPROFILE%\AppData\Local\Temp\OnboardLogs"\RTDC4020\2016-10-05 &amp; aws s3 cp s3://rtdc.mdm.uploadarchive.raw/RTDC4020/ "%USERPROFILE%\AppData\Local\Temp\OnboardLogs"\RTDC4020\2016-10-06 --exclude "*" --recursive --include "*20161006*" &amp; "%USERPROFILE%\Documents\GitHub\mrs-test-scripts\Headless Mode &amp; Sideloading\WalkAndUnGZ.bat" "%USERPROFILE%\AppData\Local\Temp\OnboardLogs"\RTDC4020\2016-10-06</v>
      </c>
      <c r="S40" s="107" t="str">
        <f>VLOOKUP(C40,'Train Runs'!$A$13:$AE$10009,22,0)</f>
        <v>https://search-rtdc-monitor-bjffxe2xuh6vdkpspy63sjmuny.us-east-1.es.amazonaws.com/_plugin/kibana/#/discover/Steve-Slow-Train-Analysis-(2080s-and-2083s)?_g=(refreshInterval:(display:Off,section:0,value:0),time:(from:'2016-10-05 20:09:48-0600',mode:absolute,to:'2016-10-05 22:38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40" s="109" t="str">
        <f t="shared" si="9"/>
        <v>"C:\Program Files (x86)\AstroGrep\AstroGrep.exe" /spath="%USERPROFILE%\AppData\Local\Temp\OnboardLogs" /stypes="*4020*201610060*" /stext=" 03:.+((SYSTEM_STATE.+slice.+state.+changed )|(ment ac)|(system.+state.+changed )|(\[timeout)|(PRM\|1\|D)|(kpr)|(kdp)|(\|lc)|(penalty))" /e /r /s</v>
      </c>
      <c r="U40" s="9" t="str">
        <f t="shared" si="10"/>
        <v>4020</v>
      </c>
      <c r="V40" s="38">
        <f t="shared" si="11"/>
        <v>42649.141747685186</v>
      </c>
      <c r="W40" s="52" t="str">
        <f t="shared" si="12"/>
        <v>NW</v>
      </c>
      <c r="X40" s="52" t="str">
        <f t="shared" si="13"/>
        <v>KEEP</v>
      </c>
      <c r="Y40" s="130" t="str">
        <f t="shared" si="14"/>
        <v>echo {"issue":{"subject":"","project_id":79,"tracker_id":40,"status_id":1,"priority_id":2,"assigned_to_id":23,"start_date":"2016-10-05","description":"","custom_fields":[{"id":1,"name":"Subdivision","value":"NW"},{"id":4,"name":"Milepost","value":"0.5315"},{"id":17,"name":"Train ID","value":"845-05"},{"id":16,"name":"Locomotive ID","value":"4020"},{"id":130,"name":"Impact","value":""},{"id":150,"name":"Time of Event (Mountain Time)","value":"21:24:07"},{"id":151,"name":"Denver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  <c r="AC40" s="171" t="str">
        <f t="shared" si="15"/>
        <v>grep -hSE -A100 "Enforcement Action" "%USERPROFILE%\AppData\Local\Temp\OnboardLogs"\RTDC4020\*4020*201610060* | grep -SE "((Enforcement Ac)|(PRM))" -</v>
      </c>
    </row>
    <row r="41" spans="1:29" x14ac:dyDescent="0.25">
      <c r="A41" s="38">
        <v>42648.863692129627</v>
      </c>
      <c r="B41" s="33" t="s">
        <v>375</v>
      </c>
      <c r="C41" s="33" t="s">
        <v>425</v>
      </c>
      <c r="D41" s="33" t="s">
        <v>105</v>
      </c>
      <c r="E41" s="33" t="s">
        <v>56</v>
      </c>
      <c r="F41" s="49">
        <v>150</v>
      </c>
      <c r="G41" s="49">
        <v>207</v>
      </c>
      <c r="H41" s="49">
        <v>56661</v>
      </c>
      <c r="I41" s="49">
        <v>56314</v>
      </c>
      <c r="J41" s="33" t="s">
        <v>57</v>
      </c>
      <c r="K41" s="49">
        <v>59050</v>
      </c>
      <c r="L41" s="146" t="s">
        <v>53</v>
      </c>
      <c r="M41" s="149">
        <f t="shared" si="8"/>
        <v>-1444.6079999999999</v>
      </c>
      <c r="N41" s="88" t="str">
        <f>VLOOKUP(C41,'Trips&amp;Operators'!$C$1:$E$99999,3,FALSE)</f>
        <v>MOSES</v>
      </c>
      <c r="O41" s="170" t="s">
        <v>86</v>
      </c>
      <c r="P41" s="10"/>
      <c r="Q41" s="33"/>
      <c r="R41" s="104" t="str">
        <f>VLOOKUP(C41,'Train Runs'!$A$13:$AE$10009,31,0)</f>
        <v>aws s3 cp s3://rtdc.mdm.uploadarchive.raw/RTDC4019/ "%USERPROFILE%\AppData\Local\Temp\OnboardLogs"\RTDC4019\2016-10-05 --exclude "*" --recursive --include "*20161005*" &amp; "%USERPROFILE%\Documents\GitHub\mrs-test-scripts\Headless Mode &amp; Sideloading\WalkAndUnGZ.bat" "%USERPROFILE%\AppData\Local\Temp\OnboardLogs"\RTDC4019\2016-10-05 &amp; aws s3 cp s3://rtdc.mdm.uploadarchive.raw/RTDC4019/ "%USERPROFILE%\AppData\Local\Temp\OnboardLogs"\RTDC4019\2016-10-06 --exclude "*" --recursive --include "*20161006*" &amp; "%USERPROFILE%\Documents\GitHub\mrs-test-scripts\Headless Mode &amp; Sideloading\WalkAndUnGZ.bat" "%USERPROFILE%\AppData\Local\Temp\OnboardLogs"\RTDC4019\2016-10-06</v>
      </c>
      <c r="S41" s="107" t="str">
        <f>VLOOKUP(C41,'Train Runs'!$A$13:$AE$10009,22,0)</f>
        <v>https://search-rtdc-monitor-bjffxe2xuh6vdkpspy63sjmuny.us-east-1.es.amazonaws.com/_plugin/kibana/#/discover/Steve-Slow-Train-Analysis-(2080s-and-2083s)?_g=(refreshInterval:(display:Off,section:0,value:0),time:(from:'2016-10-05 19:37:10-0600',mode:absolute,to:'2016-10-05 21:57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41" s="109" t="str">
        <f t="shared" si="9"/>
        <v>"C:\Program Files (x86)\AstroGrep\AstroGrep.exe" /spath="%USERPROFILE%\AppData\Local\Temp\OnboardLogs" /stypes="*4019*201610060*" /stext=" 02:.+((SYSTEM_STATE.+slice.+state.+changed )|(ment ac)|(system.+state.+changed )|(\[timeout)|(PRM\|1\|D)|(kpr)|(kdp)|(\|lc)|(penalty))" /e /r /s</v>
      </c>
      <c r="U41" s="9" t="str">
        <f t="shared" si="10"/>
        <v>4019</v>
      </c>
      <c r="V41" s="38">
        <f t="shared" si="11"/>
        <v>42649.113692129627</v>
      </c>
      <c r="W41" s="52" t="str">
        <f t="shared" si="12"/>
        <v>NW</v>
      </c>
      <c r="X41" s="52" t="str">
        <f t="shared" si="13"/>
        <v>KEEP</v>
      </c>
      <c r="Y41" s="130" t="str">
        <f t="shared" si="14"/>
        <v>echo {"issue":{"subject":"","project_id":79,"tracker_id":40,"status_id":1,"priority_id":2,"assigned_to_id":23,"start_date":"2016-10-05","description":"","custom_fields":[{"id":1,"name":"Subdivision","value":"NW"},{"id":4,"name":"Milepost","value":"5.905"},{"id":17,"name":"Train ID","value":"842-05"},{"id":16,"name":"Locomotive ID","value":"4019"},{"id":130,"name":"Impact","value":""},{"id":150,"name":"Time of Event (Mountain Time)","value":"20:43:43"},{"id":151,"name":"Denver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  <c r="AC41" s="171" t="str">
        <f t="shared" si="15"/>
        <v>grep -hSE -A100 "Enforcement Action" "%USERPROFILE%\AppData\Local\Temp\OnboardLogs"\RTDC4019\*4019*201610060* | grep -SE "((Enforcement Ac)|(PRM))" -</v>
      </c>
    </row>
    <row r="42" spans="1:29" x14ac:dyDescent="0.25">
      <c r="A42" s="38">
        <v>42648.217974537038</v>
      </c>
      <c r="B42" s="33" t="s">
        <v>252</v>
      </c>
      <c r="C42" s="33" t="s">
        <v>374</v>
      </c>
      <c r="D42" s="33" t="s">
        <v>105</v>
      </c>
      <c r="E42" s="33" t="s">
        <v>56</v>
      </c>
      <c r="F42" s="49">
        <v>150</v>
      </c>
      <c r="G42" s="49">
        <v>205</v>
      </c>
      <c r="H42" s="49">
        <v>56841</v>
      </c>
      <c r="I42" s="49">
        <v>56336</v>
      </c>
      <c r="J42" s="33" t="s">
        <v>57</v>
      </c>
      <c r="K42" s="49">
        <v>59060</v>
      </c>
      <c r="L42" s="146" t="s">
        <v>53</v>
      </c>
      <c r="M42" s="149">
        <f t="shared" si="8"/>
        <v>-1438.2719999999999</v>
      </c>
      <c r="N42" s="88" t="str">
        <f>VLOOKUP(C42,'Trips&amp;Operators'!$C$1:$E$99999,3,FALSE)</f>
        <v>STARKS</v>
      </c>
      <c r="O42" s="170" t="s">
        <v>86</v>
      </c>
      <c r="P42" s="10"/>
      <c r="Q42" s="33"/>
      <c r="R42" s="104" t="str">
        <f>VLOOKUP(C42,'Train Runs'!$A$13:$AE$10009,31,0)</f>
        <v>aws s3 cp s3://rtdc.mdm.uploadarchive.raw/RTDC4032/ "%USERPROFILE%\AppData\Local\Temp\OnboardLogs"\RTDC4032\2016-10-05 --exclude "*" --recursive --include "*20161005*" &amp; "%USERPROFILE%\Documents\GitHub\mrs-test-scripts\Headless Mode &amp; Sideloading\WalkAndUnGZ.bat" "%USERPROFILE%\AppData\Local\Temp\OnboardLogs"\RTDC4032\2016-10-05 &amp; 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</v>
      </c>
      <c r="S42" s="107" t="str">
        <f>VLOOKUP(C42,'Train Runs'!$A$13:$AE$10009,22,0)</f>
        <v>https://search-rtdc-monitor-bjffxe2xuh6vdkpspy63sjmuny.us-east-1.es.amazonaws.com/_plugin/kibana/#/discover/Steve-Slow-Train-Analysis-(2080s-and-2083s)?_g=(refreshInterval:(display:Off,section:0,value:0),time:(from:'2016-10-05 04:06:30-0600',mode:absolute,to:'2016-10-05 06:26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42" s="109" t="str">
        <f t="shared" si="9"/>
        <v>"C:\Program Files (x86)\AstroGrep\AstroGrep.exe" /spath="%USERPROFILE%\AppData\Local\Temp\OnboardLogs" /stypes="*4032*201610051*" /stext=" 11:.+((SYSTEM_STATE.+slice.+state.+changed )|(ment ac)|(system.+state.+changed )|(\[timeout)|(PRM\|1\|D)|(kpr)|(kdp)|(\|lc)|(penalty))" /e /r /s</v>
      </c>
      <c r="U42" s="9" t="str">
        <f t="shared" si="10"/>
        <v>4032</v>
      </c>
      <c r="V42" s="38">
        <f t="shared" si="11"/>
        <v>42648.467974537038</v>
      </c>
      <c r="W42" s="52" t="str">
        <f t="shared" si="12"/>
        <v>NW</v>
      </c>
      <c r="X42" s="52" t="str">
        <f t="shared" si="13"/>
        <v>KEEP</v>
      </c>
      <c r="Y42" s="130" t="str">
        <f t="shared" si="14"/>
        <v>echo {"issue":{"subject":"","project_id":79,"tracker_id":40,"status_id":1,"priority_id":2,"assigned_to_id":23,"start_date":"2016-10-05","description":"","custom_fields":[{"id":1,"name":"Subdivision","value":"NW"},{"id":4,"name":"Milepost","value":"5.906"},{"id":17,"name":"Train ID","value":"800-05"},{"id":16,"name":"Locomotive ID","value":"4032"},{"id":130,"name":"Impact","value":""},{"id":150,"name":"Time of Event (Mountain Time)","value":"05:13:53"},{"id":151,"name":"Denver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  <c r="AC42" s="171" t="str">
        <f t="shared" si="15"/>
        <v>grep -hSE -A100 "Enforcement Action" "%USERPROFILE%\AppData\Local\Temp\OnboardLogs"\RTDC4032\*4032*201610051* | grep -SE "((Enforcement Ac)|(PRM))" -</v>
      </c>
    </row>
    <row r="43" spans="1:29" x14ac:dyDescent="0.25">
      <c r="A43" s="38">
        <v>42648.350034722222</v>
      </c>
      <c r="B43" s="33" t="s">
        <v>252</v>
      </c>
      <c r="C43" s="33" t="s">
        <v>382</v>
      </c>
      <c r="D43" s="33" t="s">
        <v>49</v>
      </c>
      <c r="E43" s="33" t="s">
        <v>54</v>
      </c>
      <c r="F43" s="49">
        <v>0</v>
      </c>
      <c r="G43" s="49">
        <v>217</v>
      </c>
      <c r="H43" s="49">
        <v>6888</v>
      </c>
      <c r="I43" s="49">
        <v>6475</v>
      </c>
      <c r="J43" s="33" t="s">
        <v>55</v>
      </c>
      <c r="K43" s="49">
        <v>6799</v>
      </c>
      <c r="L43" s="146" t="s">
        <v>53</v>
      </c>
      <c r="M43" s="149">
        <f t="shared" si="8"/>
        <v>-171.072</v>
      </c>
      <c r="N43" s="88" t="str">
        <f>VLOOKUP(C43,'Trips&amp;Operators'!$C$1:$E$99999,3,FALSE)</f>
        <v>STARKS</v>
      </c>
      <c r="O43" s="170" t="s">
        <v>86</v>
      </c>
      <c r="P43" s="10" t="s">
        <v>774</v>
      </c>
      <c r="Q43" s="33"/>
      <c r="R43" s="104" t="str">
        <f>VLOOKUP(C43,'Train Runs'!$A$13:$AE$10009,31,0)</f>
        <v>aws s3 cp s3://rtdc.mdm.uploadarchive.raw/RTDC4032/ "%USERPROFILE%\AppData\Local\Temp\OnboardLogs"\RTDC4032\2016-10-05 --exclude "*" --recursive --include "*20161005*" &amp; "%USERPROFILE%\Documents\GitHub\mrs-test-scripts\Headless Mode &amp; Sideloading\WalkAndUnGZ.bat" "%USERPROFILE%\AppData\Local\Temp\OnboardLogs"\RTDC4032\2016-10-05 &amp; 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</v>
      </c>
      <c r="S43" s="107" t="str">
        <f>VLOOKUP(C43,'Train Runs'!$A$13:$AE$10009,22,0)</f>
        <v>https://search-rtdc-monitor-bjffxe2xuh6vdkpspy63sjmuny.us-east-1.es.amazonaws.com/_plugin/kibana/#/discover/Steve-Slow-Train-Analysis-(2080s-and-2083s)?_g=(refreshInterval:(display:Off,section:0,value:0),time:(from:'2016-10-05 07:07:11-0600',mode:absolute,to:'2016-10-05 09:27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43" s="109" t="str">
        <f t="shared" si="9"/>
        <v>"C:\Program Files (x86)\AstroGrep\AstroGrep.exe" /spath="%USERPROFILE%\AppData\Local\Temp\OnboardLogs" /stypes="*4032*201610051*" /stext=" 14:.+((SYSTEM_STATE.+slice.+state.+changed )|(ment ac)|(system.+state.+changed )|(\[timeout)|(PRM\|1\|D)|(kpr)|(kdp)|(\|lc)|(penalty))" /e /r /s</v>
      </c>
      <c r="U43" s="9" t="str">
        <f t="shared" si="10"/>
        <v>4032</v>
      </c>
      <c r="V43" s="38">
        <f t="shared" si="11"/>
        <v>42648.600034722222</v>
      </c>
      <c r="W43" s="52" t="str">
        <f t="shared" si="12"/>
        <v>NW</v>
      </c>
      <c r="X43" s="52" t="str">
        <f t="shared" si="13"/>
        <v>KEEP</v>
      </c>
      <c r="Y43" s="130" t="str">
        <f t="shared" si="14"/>
        <v>echo {"issue":{"subject":"RESTRICTED aspects","project_id":79,"tracker_id":40,"status_id":1,"priority_id":2,"assigned_to_id":23,"start_date":"2016-10-05","description":"","custom_fields":[{"id":1,"name":"Subdivision","value":"NW"},{"id":4,"name":"Milepost","value":"0.6799"},{"id":17,"name":"Train ID","value":"810-05"},{"id":16,"name":"Locomotive ID","value":"4032"},{"id":130,"name":"Impact","value":""},{"id":150,"name":"Time of Event (Mountain Time)","value":"08:24:03"},{"id":151,"name":"Denver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  <c r="AC43" s="171" t="str">
        <f t="shared" si="15"/>
        <v>grep -hSE -A100 "Enforcement Action" "%USERPROFILE%\AppData\Local\Temp\OnboardLogs"\RTDC4032\*4032*201610051* | grep -SE "((Enforcement Ac)|(PRM))" -</v>
      </c>
    </row>
    <row r="44" spans="1:29" x14ac:dyDescent="0.25">
      <c r="A44" s="38">
        <v>42648.286006944443</v>
      </c>
      <c r="B44" s="33" t="s">
        <v>375</v>
      </c>
      <c r="C44" s="33" t="s">
        <v>376</v>
      </c>
      <c r="D44" s="33" t="s">
        <v>105</v>
      </c>
      <c r="E44" s="33" t="s">
        <v>54</v>
      </c>
      <c r="F44" s="49">
        <v>200</v>
      </c>
      <c r="G44" s="49">
        <v>255</v>
      </c>
      <c r="H44" s="49">
        <v>9356</v>
      </c>
      <c r="I44" s="49">
        <v>8907</v>
      </c>
      <c r="J44" s="33" t="s">
        <v>55</v>
      </c>
      <c r="K44" s="49">
        <v>9680</v>
      </c>
      <c r="L44" s="146" t="s">
        <v>53</v>
      </c>
      <c r="M44" s="149">
        <f t="shared" si="8"/>
        <v>-408.14400000000001</v>
      </c>
      <c r="N44" s="88" t="str">
        <f>VLOOKUP(C44,'Trips&amp;Operators'!$C$1:$E$99999,3,FALSE)</f>
        <v>GEBRETEKLE</v>
      </c>
      <c r="O44" s="170" t="s">
        <v>86</v>
      </c>
      <c r="P44" s="10" t="s">
        <v>774</v>
      </c>
      <c r="Q44" s="33"/>
      <c r="R44" s="104" t="str">
        <f>VLOOKUP(C44,'Train Runs'!$A$13:$AE$10009,31,0)</f>
        <v>aws s3 cp s3://rtdc.mdm.uploadarchive.raw/RTDC4019/ "%USERPROFILE%\AppData\Local\Temp\OnboardLogs"\RTDC4019\2016-10-05 --exclude "*" --recursive --include "*20161005*" &amp; "%USERPROFILE%\Documents\GitHub\mrs-test-scripts\Headless Mode &amp; Sideloading\WalkAndUnGZ.bat" "%USERPROFILE%\AppData\Local\Temp\OnboardLogs"\RTDC4019\2016-10-05 &amp; aws s3 cp s3://rtdc.mdm.uploadarchive.raw/RTDC4019/ "%USERPROFILE%\AppData\Local\Temp\OnboardLogs"\RTDC4019\2016-10-06 --exclude "*" --recursive --include "*20161006*" &amp; "%USERPROFILE%\Documents\GitHub\mrs-test-scripts\Headless Mode &amp; Sideloading\WalkAndUnGZ.bat" "%USERPROFILE%\AppData\Local\Temp\OnboardLogs"\RTDC4019\2016-10-06</v>
      </c>
      <c r="S44" s="107" t="str">
        <f>VLOOKUP(C44,'Train Runs'!$A$13:$AE$10009,22,0)</f>
        <v>https://search-rtdc-monitor-bjffxe2xuh6vdkpspy63sjmuny.us-east-1.es.amazonaws.com/_plugin/kibana/#/discover/Steve-Slow-Train-Analysis-(2080s-and-2083s)?_g=(refreshInterval:(display:Off,section:0,value:0),time:(from:'2016-10-05 05:36:52-0600',mode:absolute,to:'2016-10-05 07:56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44" s="109" t="str">
        <f t="shared" si="9"/>
        <v>"C:\Program Files (x86)\AstroGrep\AstroGrep.exe" /spath="%USERPROFILE%\AppData\Local\Temp\OnboardLogs" /stypes="*4019*201610051*" /stext=" 12:.+((SYSTEM_STATE.+slice.+state.+changed )|(ment ac)|(system.+state.+changed )|(\[timeout)|(PRM\|1\|D)|(kpr)|(kdp)|(\|lc)|(penalty))" /e /r /s</v>
      </c>
      <c r="U44" s="9" t="str">
        <f t="shared" si="10"/>
        <v>4019</v>
      </c>
      <c r="V44" s="38">
        <f t="shared" si="11"/>
        <v>42648.536006944443</v>
      </c>
      <c r="W44" s="52" t="str">
        <f t="shared" si="12"/>
        <v>NW</v>
      </c>
      <c r="X44" s="52" t="str">
        <f t="shared" si="13"/>
        <v>KEEP</v>
      </c>
      <c r="Y44" s="130" t="str">
        <f t="shared" si="14"/>
        <v>echo {"issue":{"subject":"RESTRICTED aspects","project_id":79,"tracker_id":40,"status_id":1,"priority_id":2,"assigned_to_id":23,"start_date":"2016-10-05","description":"","custom_fields":[{"id":1,"name":"Subdivision","value":"NW"},{"id":4,"name":"Milepost","value":"0.968"},{"id":17,"name":"Train ID","value":"804-05"},{"id":16,"name":"Locomotive ID","value":"4019"},{"id":130,"name":"Impact","value":""},{"id":150,"name":"Time of Event (Mountain Time)","value":"06:51:51"},{"id":151,"name":"Denver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23"/>
      <c r="AC44" s="171" t="str">
        <f t="shared" si="15"/>
        <v>grep -hSE -A100 "Enforcement Action" "%USERPROFILE%\AppData\Local\Temp\OnboardLogs"\RTDC4019\*4019*201610051* | grep -SE "((Enforcement Ac)|(PRM))" -</v>
      </c>
    </row>
    <row r="45" spans="1:29" x14ac:dyDescent="0.25">
      <c r="A45" s="38">
        <v>42648.348437499997</v>
      </c>
      <c r="B45" s="33" t="s">
        <v>252</v>
      </c>
      <c r="C45" s="33" t="s">
        <v>382</v>
      </c>
      <c r="D45" s="33" t="s">
        <v>105</v>
      </c>
      <c r="E45" s="33" t="s">
        <v>54</v>
      </c>
      <c r="F45" s="49">
        <v>0</v>
      </c>
      <c r="G45" s="49">
        <v>100</v>
      </c>
      <c r="H45" s="49">
        <v>10988</v>
      </c>
      <c r="I45" s="49">
        <v>10818</v>
      </c>
      <c r="J45" s="33" t="s">
        <v>55</v>
      </c>
      <c r="K45" s="49">
        <v>11016</v>
      </c>
      <c r="L45" s="146" t="s">
        <v>53</v>
      </c>
      <c r="M45" s="149">
        <f t="shared" si="8"/>
        <v>-104.544</v>
      </c>
      <c r="N45" s="88" t="str">
        <f>VLOOKUP(C45,'Trips&amp;Operators'!$C$1:$E$99999,3,FALSE)</f>
        <v>STARKS</v>
      </c>
      <c r="O45" s="170" t="s">
        <v>86</v>
      </c>
      <c r="P45" s="10" t="s">
        <v>774</v>
      </c>
      <c r="Q45" s="33"/>
      <c r="R45" s="104" t="str">
        <f>VLOOKUP(C45,'Train Runs'!$A$13:$AE$10009,31,0)</f>
        <v>aws s3 cp s3://rtdc.mdm.uploadarchive.raw/RTDC4032/ "%USERPROFILE%\AppData\Local\Temp\OnboardLogs"\RTDC4032\2016-10-05 --exclude "*" --recursive --include "*20161005*" &amp; "%USERPROFILE%\Documents\GitHub\mrs-test-scripts\Headless Mode &amp; Sideloading\WalkAndUnGZ.bat" "%USERPROFILE%\AppData\Local\Temp\OnboardLogs"\RTDC4032\2016-10-05 &amp; 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</v>
      </c>
      <c r="S45" s="107" t="str">
        <f>VLOOKUP(C45,'Train Runs'!$A$13:$AE$10009,22,0)</f>
        <v>https://search-rtdc-monitor-bjffxe2xuh6vdkpspy63sjmuny.us-east-1.es.amazonaws.com/_plugin/kibana/#/discover/Steve-Slow-Train-Analysis-(2080s-and-2083s)?_g=(refreshInterval:(display:Off,section:0,value:0),time:(from:'2016-10-05 07:07:11-0600',mode:absolute,to:'2016-10-05 09:27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45" s="109" t="str">
        <f t="shared" si="9"/>
        <v>"C:\Program Files (x86)\AstroGrep\AstroGrep.exe" /spath="%USERPROFILE%\AppData\Local\Temp\OnboardLogs" /stypes="*4032*201610051*" /stext=" 14:.+((SYSTEM_STATE.+slice.+state.+changed )|(ment ac)|(system.+state.+changed )|(\[timeout)|(PRM\|1\|D)|(kpr)|(kdp)|(\|lc)|(penalty))" /e /r /s</v>
      </c>
      <c r="U45" s="9" t="str">
        <f t="shared" si="10"/>
        <v>4032</v>
      </c>
      <c r="V45" s="38">
        <f t="shared" si="11"/>
        <v>42648.598437499997</v>
      </c>
      <c r="W45" s="52" t="str">
        <f t="shared" si="12"/>
        <v>NW</v>
      </c>
      <c r="X45" s="52" t="str">
        <f t="shared" si="13"/>
        <v>KEEP</v>
      </c>
      <c r="Y45" s="130" t="str">
        <f t="shared" si="14"/>
        <v>echo {"issue":{"subject":"RESTRICTED aspects","project_id":79,"tracker_id":40,"status_id":1,"priority_id":2,"assigned_to_id":23,"start_date":"2016-10-05","description":"","custom_fields":[{"id":1,"name":"Subdivision","value":"NW"},{"id":4,"name":"Milepost","value":"1.1016"},{"id":17,"name":"Train ID","value":"810-05"},{"id":16,"name":"Locomotive ID","value":"4032"},{"id":130,"name":"Impact","value":""},{"id":150,"name":"Time of Event (Mountain Time)","value":"08:21:45"},{"id":151,"name":"Denver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23"/>
      <c r="AC45" s="171" t="str">
        <f t="shared" si="15"/>
        <v>grep -hSE -A100 "Enforcement Action" "%USERPROFILE%\AppData\Local\Temp\OnboardLogs"\RTDC4032\*4032*201610051* | grep -SE "((Enforcement Ac)|(PRM))" -</v>
      </c>
    </row>
    <row r="46" spans="1:29" x14ac:dyDescent="0.25">
      <c r="A46" s="38">
        <v>42648.353252314817</v>
      </c>
      <c r="B46" s="33" t="s">
        <v>383</v>
      </c>
      <c r="C46" s="33" t="s">
        <v>384</v>
      </c>
      <c r="D46" s="33" t="s">
        <v>49</v>
      </c>
      <c r="E46" s="33" t="s">
        <v>54</v>
      </c>
      <c r="F46" s="49">
        <v>0</v>
      </c>
      <c r="G46" s="49">
        <v>261</v>
      </c>
      <c r="H46" s="49">
        <v>33130</v>
      </c>
      <c r="I46" s="49">
        <v>33669</v>
      </c>
      <c r="J46" s="33" t="s">
        <v>55</v>
      </c>
      <c r="K46" s="49">
        <v>34583</v>
      </c>
      <c r="L46" s="146" t="s">
        <v>52</v>
      </c>
      <c r="M46" s="149">
        <f t="shared" si="8"/>
        <v>482.59199999999998</v>
      </c>
      <c r="N46" s="88" t="str">
        <f>VLOOKUP(C46,'Trips&amp;Operators'!$C$1:$E$99999,3,FALSE)</f>
        <v>GEBRETEKLE</v>
      </c>
      <c r="O46" s="170" t="s">
        <v>86</v>
      </c>
      <c r="P46" s="10" t="s">
        <v>774</v>
      </c>
      <c r="Q46" s="33"/>
      <c r="R46" s="104" t="str">
        <f>VLOOKUP(C46,'Train Runs'!$A$13:$AE$10009,31,0)</f>
        <v>aws s3 cp s3://rtdc.mdm.uploadarchive.raw/RTDC4020/ "%USERPROFILE%\AppData\Local\Temp\OnboardLogs"\RTDC4020\2016-10-05 --exclude "*" --recursive --include "*20161005*" &amp; "%USERPROFILE%\Documents\GitHub\mrs-test-scripts\Headless Mode &amp; Sideloading\WalkAndUnGZ.bat" "%USERPROFILE%\AppData\Local\Temp\OnboardLogs"\RTDC4020\2016-10-05 &amp; aws s3 cp s3://rtdc.mdm.uploadarchive.raw/RTDC4020/ "%USERPROFILE%\AppData\Local\Temp\OnboardLogs"\RTDC4020\2016-10-06 --exclude "*" --recursive --include "*20161006*" &amp; "%USERPROFILE%\Documents\GitHub\mrs-test-scripts\Headless Mode &amp; Sideloading\WalkAndUnGZ.bat" "%USERPROFILE%\AppData\Local\Temp\OnboardLogs"\RTDC4020\2016-10-06</v>
      </c>
      <c r="S46" s="107" t="str">
        <f>VLOOKUP(C46,'Train Runs'!$A$13:$AE$10009,22,0)</f>
        <v>https://search-rtdc-monitor-bjffxe2xuh6vdkpspy63sjmuny.us-east-1.es.amazonaws.com/_plugin/kibana/#/discover/Steve-Slow-Train-Analysis-(2080s-and-2083s)?_g=(refreshInterval:(display:Off,section:0,value:0),time:(from:'2016-10-05 07:18:05-0600',mode:absolute,to:'2016-10-05 09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46" s="109" t="str">
        <f t="shared" si="9"/>
        <v>"C:\Program Files (x86)\AstroGrep\AstroGrep.exe" /spath="%USERPROFILE%\AppData\Local\Temp\OnboardLogs" /stypes="*4020*201610051*" /stext=" 14:.+((SYSTEM_STATE.+slice.+state.+changed )|(ment ac)|(system.+state.+changed )|(\[timeout)|(PRM\|1\|D)|(kpr)|(kdp)|(\|lc)|(penalty))" /e /r /s</v>
      </c>
      <c r="U46" s="9" t="str">
        <f t="shared" si="10"/>
        <v>4020</v>
      </c>
      <c r="V46" s="38">
        <f t="shared" si="11"/>
        <v>42648.603252314817</v>
      </c>
      <c r="W46" s="52" t="str">
        <f t="shared" si="12"/>
        <v>NW</v>
      </c>
      <c r="X46" s="52" t="str">
        <f t="shared" si="13"/>
        <v>KEEP</v>
      </c>
      <c r="Y46" s="130" t="str">
        <f t="shared" si="14"/>
        <v>echo {"issue":{"subject":"RESTRICTED aspects","project_id":79,"tracker_id":40,"status_id":1,"priority_id":2,"assigned_to_id":23,"start_date":"2016-10-05","description":"","custom_fields":[{"id":1,"name":"Subdivision","value":"NW"},{"id":4,"name":"Milepost","value":"3.4583"},{"id":17,"name":"Train ID","value":"811-05"},{"id":16,"name":"Locomotive ID","value":"4020"},{"id":130,"name":"Impact","value":""},{"id":150,"name":"Time of Event (Mountain Time)","value":"08:28:41"},{"id":151,"name":"Denver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23"/>
      <c r="AC46" s="171" t="str">
        <f t="shared" si="15"/>
        <v>grep -hSE -A100 "Enforcement Action" "%USERPROFILE%\AppData\Local\Temp\OnboardLogs"\RTDC4020\*4020*201610051* | grep -SE "((Enforcement Ac)|(PRM))" -</v>
      </c>
    </row>
    <row r="47" spans="1:29" x14ac:dyDescent="0.25">
      <c r="A47" s="38">
        <v>42648.479050925926</v>
      </c>
      <c r="B47" s="33" t="s">
        <v>383</v>
      </c>
      <c r="C47" s="33" t="s">
        <v>397</v>
      </c>
      <c r="D47" s="33" t="s">
        <v>49</v>
      </c>
      <c r="E47" s="33" t="s">
        <v>54</v>
      </c>
      <c r="F47" s="49">
        <v>0</v>
      </c>
      <c r="G47" s="49">
        <v>296</v>
      </c>
      <c r="H47" s="49">
        <v>33380</v>
      </c>
      <c r="I47" s="49">
        <v>33995</v>
      </c>
      <c r="J47" s="33" t="s">
        <v>55</v>
      </c>
      <c r="K47" s="49">
        <v>34583</v>
      </c>
      <c r="L47" s="146" t="s">
        <v>52</v>
      </c>
      <c r="M47" s="149">
        <f t="shared" si="8"/>
        <v>310.464</v>
      </c>
      <c r="N47" s="88" t="str">
        <f>VLOOKUP(C47,'Trips&amp;Operators'!$C$1:$E$99999,3,FALSE)</f>
        <v>BARTELL</v>
      </c>
      <c r="O47" s="170" t="s">
        <v>86</v>
      </c>
      <c r="P47" s="10" t="s">
        <v>774</v>
      </c>
      <c r="Q47" s="33"/>
      <c r="R47" s="104" t="str">
        <f>VLOOKUP(C47,'Train Runs'!$A$13:$AE$10009,31,0)</f>
        <v>aws s3 cp s3://rtdc.mdm.uploadarchive.raw/RTDC4020/ "%USERPROFILE%\AppData\Local\Temp\OnboardLogs"\RTDC4020\2016-10-05 --exclude "*" --recursive --include "*20161005*" &amp; "%USERPROFILE%\Documents\GitHub\mrs-test-scripts\Headless Mode &amp; Sideloading\WalkAndUnGZ.bat" "%USERPROFILE%\AppData\Local\Temp\OnboardLogs"\RTDC4020\2016-10-05 &amp; aws s3 cp s3://rtdc.mdm.uploadarchive.raw/RTDC4020/ "%USERPROFILE%\AppData\Local\Temp\OnboardLogs"\RTDC4020\2016-10-06 --exclude "*" --recursive --include "*20161006*" &amp; "%USERPROFILE%\Documents\GitHub\mrs-test-scripts\Headless Mode &amp; Sideloading\WalkAndUnGZ.bat" "%USERPROFILE%\AppData\Local\Temp\OnboardLogs"\RTDC4020\2016-10-06</v>
      </c>
      <c r="S47" s="107" t="str">
        <f>VLOOKUP(C47,'Train Runs'!$A$13:$AE$10009,22,0)</f>
        <v>https://search-rtdc-monitor-bjffxe2xuh6vdkpspy63sjmuny.us-east-1.es.amazonaws.com/_plugin/kibana/#/discover/Steve-Slow-Train-Analysis-(2080s-and-2083s)?_g=(refreshInterval:(display:Off,section:0,value:0),time:(from:'2016-10-05 10:03:30-0600',mode:absolute,to:'2016-10-05 12:41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47" s="109" t="str">
        <f t="shared" si="9"/>
        <v>"C:\Program Files (x86)\AstroGrep\AstroGrep.exe" /spath="%USERPROFILE%\AppData\Local\Temp\OnboardLogs" /stypes="*4020*201610051*" /stext=" 17:.+((SYSTEM_STATE.+slice.+state.+changed )|(ment ac)|(system.+state.+changed )|(\[timeout)|(PRM\|1\|D)|(kpr)|(kdp)|(\|lc)|(penalty))" /e /r /s</v>
      </c>
      <c r="U47" s="9" t="str">
        <f t="shared" si="10"/>
        <v>4020</v>
      </c>
      <c r="V47" s="38">
        <f t="shared" si="11"/>
        <v>42648.729050925926</v>
      </c>
      <c r="W47" s="52" t="str">
        <f t="shared" si="12"/>
        <v>NW</v>
      </c>
      <c r="X47" s="52" t="str">
        <f t="shared" si="13"/>
        <v>KEEP</v>
      </c>
      <c r="Y47" s="130" t="str">
        <f t="shared" si="14"/>
        <v>echo {"issue":{"subject":"RESTRICTED aspects","project_id":79,"tracker_id":40,"status_id":1,"priority_id":2,"assigned_to_id":23,"start_date":"2016-10-05","description":"","custom_fields":[{"id":1,"name":"Subdivision","value":"NW"},{"id":4,"name":"Milepost","value":"3.4583"},{"id":17,"name":"Train ID","value":"817-05"},{"id":16,"name":"Locomotive ID","value":"4020"},{"id":130,"name":"Impact","value":""},{"id":150,"name":"Time of Event (Mountain Time)","value":"11:29:50"},{"id":151,"name":"Denver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23"/>
      <c r="AC47" s="171" t="str">
        <f t="shared" si="15"/>
        <v>grep -hSE -A100 "Enforcement Action" "%USERPROFILE%\AppData\Local\Temp\OnboardLogs"\RTDC4020\*4020*201610051* | grep -SE "((Enforcement Ac)|(PRM))" -</v>
      </c>
    </row>
    <row r="48" spans="1:29" x14ac:dyDescent="0.25">
      <c r="A48" s="38">
        <v>42648.371458333335</v>
      </c>
      <c r="B48" s="33" t="s">
        <v>375</v>
      </c>
      <c r="C48" s="33" t="s">
        <v>385</v>
      </c>
      <c r="D48" s="33" t="s">
        <v>49</v>
      </c>
      <c r="E48" s="33" t="s">
        <v>50</v>
      </c>
      <c r="F48" s="49">
        <v>0</v>
      </c>
      <c r="G48" s="49">
        <v>44</v>
      </c>
      <c r="H48" s="49">
        <v>727</v>
      </c>
      <c r="I48" s="49">
        <v>685</v>
      </c>
      <c r="J48" s="33" t="s">
        <v>51</v>
      </c>
      <c r="K48" s="49">
        <v>575</v>
      </c>
      <c r="L48" s="146" t="s">
        <v>53</v>
      </c>
      <c r="M48" s="149">
        <f t="shared" si="8"/>
        <v>58.08</v>
      </c>
      <c r="N48" s="88" t="str">
        <f>VLOOKUP(C48,'Trips&amp;Operators'!$C$1:$E$99999,3,FALSE)</f>
        <v>GEBRETEKLE</v>
      </c>
      <c r="O48" s="170" t="s">
        <v>86</v>
      </c>
      <c r="P48" s="10"/>
      <c r="Q48" s="33"/>
      <c r="R48" s="104" t="str">
        <f>VLOOKUP(C48,'Train Runs'!$A$13:$AE$10009,31,0)</f>
        <v>aws s3 cp s3://rtdc.mdm.uploadarchive.raw/RTDC4019/ "%USERPROFILE%\AppData\Local\Temp\OnboardLogs"\RTDC4019\2016-10-05 --exclude "*" --recursive --include "*20161005*" &amp; "%USERPROFILE%\Documents\GitHub\mrs-test-scripts\Headless Mode &amp; Sideloading\WalkAndUnGZ.bat" "%USERPROFILE%\AppData\Local\Temp\OnboardLogs"\RTDC4019\2016-10-05 &amp; aws s3 cp s3://rtdc.mdm.uploadarchive.raw/RTDC4019/ "%USERPROFILE%\AppData\Local\Temp\OnboardLogs"\RTDC4019\2016-10-06 --exclude "*" --recursive --include "*20161006*" &amp; "%USERPROFILE%\Documents\GitHub\mrs-test-scripts\Headless Mode &amp; Sideloading\WalkAndUnGZ.bat" "%USERPROFILE%\AppData\Local\Temp\OnboardLogs"\RTDC4019\2016-10-06</v>
      </c>
      <c r="S48" s="107" t="str">
        <f>VLOOKUP(C48,'Train Runs'!$A$13:$AE$10009,22,0)</f>
        <v>https://search-rtdc-monitor-bjffxe2xuh6vdkpspy63sjmuny.us-east-1.es.amazonaws.com/_plugin/kibana/#/discover/Steve-Slow-Train-Analysis-(2080s-and-2083s)?_g=(refreshInterval:(display:Off,section:0,value:0),time:(from:'2016-10-05 07:38:16-0600',mode:absolute,to:'2016-10-05 09:54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48" s="109" t="str">
        <f t="shared" si="9"/>
        <v>"C:\Program Files (x86)\AstroGrep\AstroGrep.exe" /spath="%USERPROFILE%\AppData\Local\Temp\OnboardLogs" /stypes="*4019*201610051*" /stext=" 14:.+((SYSTEM_STATE.+slice.+state.+changed )|(ment ac)|(system.+state.+changed )|(\[timeout)|(PRM\|1\|D)|(kpr)|(kdp)|(\|lc)|(penalty))" /e /r /s</v>
      </c>
      <c r="U48" s="9" t="str">
        <f t="shared" si="10"/>
        <v>4019</v>
      </c>
      <c r="V48" s="38">
        <f t="shared" si="11"/>
        <v>42648.621458333335</v>
      </c>
      <c r="W48" s="52" t="str">
        <f t="shared" si="12"/>
        <v>NW</v>
      </c>
      <c r="X48" s="52" t="str">
        <f t="shared" si="13"/>
        <v>KEEP</v>
      </c>
      <c r="Y48" s="130" t="str">
        <f t="shared" si="14"/>
        <v>echo {"issue":{"subject":"","project_id":79,"tracker_id":40,"status_id":1,"priority_id":2,"assigned_to_id":23,"start_date":"2016-10-05","description":"","custom_fields":[{"id":1,"name":"Subdivision","value":"NW"},{"id":4,"name":"Milepost","value":"0.0575"},{"id":17,"name":"Train ID","value":"812-05"},{"id":16,"name":"Locomotive ID","value":"4019"},{"id":130,"name":"Impact","value":""},{"id":150,"name":"Time of Event (Mountain Time)","value":"08:54:54"},{"id":151,"name":"Denver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5"/>
      <c r="AA48" s="55"/>
      <c r="AB48" s="23"/>
      <c r="AC48" s="171" t="str">
        <f t="shared" si="15"/>
        <v>grep -hSE -A100 "Enforcement Action" "%USERPROFILE%\AppData\Local\Temp\OnboardLogs"\RTDC4019\*4019*201610051* | grep -SE "((Enforcement Ac)|(PRM))" -</v>
      </c>
    </row>
    <row r="49" spans="1:29" x14ac:dyDescent="0.25">
      <c r="A49" s="38">
        <v>42648.454467592594</v>
      </c>
      <c r="B49" s="33" t="s">
        <v>375</v>
      </c>
      <c r="C49" s="33" t="s">
        <v>394</v>
      </c>
      <c r="D49" s="33" t="s">
        <v>49</v>
      </c>
      <c r="E49" s="33" t="s">
        <v>50</v>
      </c>
      <c r="F49" s="49">
        <v>0</v>
      </c>
      <c r="G49" s="49">
        <v>41</v>
      </c>
      <c r="H49" s="49">
        <v>717</v>
      </c>
      <c r="I49" s="49">
        <v>678</v>
      </c>
      <c r="J49" s="33" t="s">
        <v>51</v>
      </c>
      <c r="K49" s="49">
        <v>575</v>
      </c>
      <c r="L49" s="146" t="s">
        <v>53</v>
      </c>
      <c r="M49" s="149">
        <f t="shared" si="8"/>
        <v>54.384</v>
      </c>
      <c r="N49" s="88" t="str">
        <f>VLOOKUP(C49,'Trips&amp;Operators'!$C$1:$E$99999,3,FALSE)</f>
        <v>GEBRETEKLE</v>
      </c>
      <c r="O49" s="170" t="s">
        <v>86</v>
      </c>
      <c r="P49" s="10"/>
      <c r="Q49" s="33"/>
      <c r="R49" s="104" t="str">
        <f>VLOOKUP(C49,'Train Runs'!$A$13:$AE$10009,31,0)</f>
        <v>aws s3 cp s3://rtdc.mdm.uploadarchive.raw/RTDC4019/ "%USERPROFILE%\AppData\Local\Temp\OnboardLogs"\RTDC4019\2016-10-05 --exclude "*" --recursive --include "*20161005*" &amp; "%USERPROFILE%\Documents\GitHub\mrs-test-scripts\Headless Mode &amp; Sideloading\WalkAndUnGZ.bat" "%USERPROFILE%\AppData\Local\Temp\OnboardLogs"\RTDC4019\2016-10-05 &amp; aws s3 cp s3://rtdc.mdm.uploadarchive.raw/RTDC4019/ "%USERPROFILE%\AppData\Local\Temp\OnboardLogs"\RTDC4019\2016-10-06 --exclude "*" --recursive --include "*20161006*" &amp; "%USERPROFILE%\Documents\GitHub\mrs-test-scripts\Headless Mode &amp; Sideloading\WalkAndUnGZ.bat" "%USERPROFILE%\AppData\Local\Temp\OnboardLogs"\RTDC4019\2016-10-06</v>
      </c>
      <c r="S49" s="107" t="str">
        <f>VLOOKUP(C49,'Train Runs'!$A$13:$AE$10009,22,0)</f>
        <v>https://search-rtdc-monitor-bjffxe2xuh6vdkpspy63sjmuny.us-east-1.es.amazonaws.com/_plugin/kibana/#/discover/Steve-Slow-Train-Analysis-(2080s-and-2083s)?_g=(refreshInterval:(display:Off,section:0,value:0),time:(from:'2016-10-05 09:37:55-0600',mode:absolute,to:'2016-10-05 11:54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49" s="109" t="str">
        <f t="shared" si="9"/>
        <v>"C:\Program Files (x86)\AstroGrep\AstroGrep.exe" /spath="%USERPROFILE%\AppData\Local\Temp\OnboardLogs" /stypes="*4019*201610051*" /stext=" 16:.+((SYSTEM_STATE.+slice.+state.+changed )|(ment ac)|(system.+state.+changed )|(\[timeout)|(PRM\|1\|D)|(kpr)|(kdp)|(\|lc)|(penalty))" /e /r /s</v>
      </c>
      <c r="U49" s="9" t="str">
        <f t="shared" si="10"/>
        <v>4019</v>
      </c>
      <c r="V49" s="38">
        <f t="shared" si="11"/>
        <v>42648.704467592594</v>
      </c>
      <c r="W49" s="52" t="str">
        <f t="shared" si="12"/>
        <v>NW</v>
      </c>
      <c r="X49" s="52" t="str">
        <f t="shared" si="13"/>
        <v>KEEP</v>
      </c>
      <c r="Y49" s="130" t="str">
        <f t="shared" si="14"/>
        <v>echo {"issue":{"subject":"","project_id":79,"tracker_id":40,"status_id":1,"priority_id":2,"assigned_to_id":23,"start_date":"2016-10-05","description":"","custom_fields":[{"id":1,"name":"Subdivision","value":"NW"},{"id":4,"name":"Milepost","value":"0.0575"},{"id":17,"name":"Train ID","value":"816-05"},{"id":16,"name":"Locomotive ID","value":"4019"},{"id":130,"name":"Impact","value":""},{"id":150,"name":"Time of Event (Mountain Time)","value":"10:54:26"},{"id":151,"name":"Denver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5"/>
      <c r="AA49" s="55"/>
      <c r="AB49" s="23"/>
      <c r="AC49" s="171" t="str">
        <f t="shared" si="15"/>
        <v>grep -hSE -A100 "Enforcement Action" "%USERPROFILE%\AppData\Local\Temp\OnboardLogs"\RTDC4019\*4019*201610051* | grep -SE "((Enforcement Ac)|(PRM))" -</v>
      </c>
    </row>
    <row r="50" spans="1:29" x14ac:dyDescent="0.25">
      <c r="A50" s="38">
        <v>42648.506585648145</v>
      </c>
      <c r="B50" s="33" t="s">
        <v>375</v>
      </c>
      <c r="C50" s="33" t="s">
        <v>400</v>
      </c>
      <c r="D50" s="33" t="s">
        <v>49</v>
      </c>
      <c r="E50" s="33" t="s">
        <v>50</v>
      </c>
      <c r="F50" s="49">
        <v>0</v>
      </c>
      <c r="G50" s="49">
        <v>36</v>
      </c>
      <c r="H50" s="49">
        <v>684</v>
      </c>
      <c r="I50" s="49">
        <v>650</v>
      </c>
      <c r="J50" s="33" t="s">
        <v>51</v>
      </c>
      <c r="K50" s="49">
        <v>575</v>
      </c>
      <c r="L50" s="146" t="s">
        <v>53</v>
      </c>
      <c r="M50" s="149">
        <f t="shared" si="8"/>
        <v>39.6</v>
      </c>
      <c r="N50" s="88" t="str">
        <f>VLOOKUP(C50,'Trips&amp;Operators'!$C$1:$E$99999,3,FALSE)</f>
        <v>BARTELL</v>
      </c>
      <c r="O50" s="170" t="s">
        <v>86</v>
      </c>
      <c r="P50" s="10"/>
      <c r="Q50" s="33"/>
      <c r="R50" s="104" t="str">
        <f>VLOOKUP(C50,'Train Runs'!$A$13:$AE$10009,31,0)</f>
        <v>aws s3 cp s3://rtdc.mdm.uploadarchive.raw/RTDC4019/ "%USERPROFILE%\AppData\Local\Temp\OnboardLogs"\RTDC4019\2016-10-05 --exclude "*" --recursive --include "*20161005*" &amp; "%USERPROFILE%\Documents\GitHub\mrs-test-scripts\Headless Mode &amp; Sideloading\WalkAndUnGZ.bat" "%USERPROFILE%\AppData\Local\Temp\OnboardLogs"\RTDC4019\2016-10-05 &amp; aws s3 cp s3://rtdc.mdm.uploadarchive.raw/RTDC4019/ "%USERPROFILE%\AppData\Local\Temp\OnboardLogs"\RTDC4019\2016-10-06 --exclude "*" --recursive --include "*20161006*" &amp; "%USERPROFILE%\Documents\GitHub\mrs-test-scripts\Headless Mode &amp; Sideloading\WalkAndUnGZ.bat" "%USERPROFILE%\AppData\Local\Temp\OnboardLogs"\RTDC4019\2016-10-06</v>
      </c>
      <c r="S50" s="107" t="str">
        <f>VLOOKUP(C50,'Train Runs'!$A$13:$AE$10009,22,0)</f>
        <v>https://search-rtdc-monitor-bjffxe2xuh6vdkpspy63sjmuny.us-east-1.es.amazonaws.com/_plugin/kibana/#/discover/Steve-Slow-Train-Analysis-(2080s-and-2083s)?_g=(refreshInterval:(display:Off,section:0,value:0),time:(from:'2016-10-05 10:50:30-0600',mode:absolute,to:'2016-10-05 13:09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50" s="109" t="str">
        <f t="shared" si="9"/>
        <v>"C:\Program Files (x86)\AstroGrep\AstroGrep.exe" /spath="%USERPROFILE%\AppData\Local\Temp\OnboardLogs" /stypes="*4019*201610051*" /stext=" 18:.+((SYSTEM_STATE.+slice.+state.+changed )|(ment ac)|(system.+state.+changed )|(\[timeout)|(PRM\|1\|D)|(kpr)|(kdp)|(\|lc)|(penalty))" /e /r /s</v>
      </c>
      <c r="U50" s="9" t="str">
        <f t="shared" si="10"/>
        <v>4019</v>
      </c>
      <c r="V50" s="38">
        <f t="shared" si="11"/>
        <v>42648.756585648145</v>
      </c>
      <c r="W50" s="52" t="str">
        <f t="shared" si="12"/>
        <v>NW</v>
      </c>
      <c r="X50" s="52" t="str">
        <f t="shared" si="13"/>
        <v>KEEP</v>
      </c>
      <c r="Y50" s="130" t="str">
        <f t="shared" si="14"/>
        <v>echo {"issue":{"subject":"","project_id":79,"tracker_id":40,"status_id":1,"priority_id":2,"assigned_to_id":23,"start_date":"2016-10-05","description":"","custom_fields":[{"id":1,"name":"Subdivision","value":"NW"},{"id":4,"name":"Milepost","value":"0.0575"},{"id":17,"name":"Train ID","value":"818-05"},{"id":16,"name":"Locomotive ID","value":"4019"},{"id":130,"name":"Impact","value":""},{"id":150,"name":"Time of Event (Mountain Time)","value":"12:09:29"},{"id":151,"name":"Denver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5"/>
      <c r="AA50" s="55"/>
      <c r="AB50" s="23"/>
      <c r="AC50" s="171" t="str">
        <f t="shared" si="15"/>
        <v>grep -hSE -A100 "Enforcement Action" "%USERPROFILE%\AppData\Local\Temp\OnboardLogs"\RTDC4019\*4019*201610051* | grep -SE "((Enforcement Ac)|(PRM))" -</v>
      </c>
    </row>
    <row r="51" spans="1:29" x14ac:dyDescent="0.25">
      <c r="A51" s="38">
        <v>42648.579930555556</v>
      </c>
      <c r="B51" s="33" t="s">
        <v>375</v>
      </c>
      <c r="C51" s="33" t="s">
        <v>405</v>
      </c>
      <c r="D51" s="33" t="s">
        <v>49</v>
      </c>
      <c r="E51" s="33" t="s">
        <v>50</v>
      </c>
      <c r="F51" s="49">
        <v>0</v>
      </c>
      <c r="G51" s="49">
        <v>46</v>
      </c>
      <c r="H51" s="49">
        <v>743</v>
      </c>
      <c r="I51" s="49">
        <v>699</v>
      </c>
      <c r="J51" s="33" t="s">
        <v>51</v>
      </c>
      <c r="K51" s="49">
        <v>575</v>
      </c>
      <c r="L51" s="146" t="s">
        <v>53</v>
      </c>
      <c r="M51" s="149">
        <f t="shared" si="8"/>
        <v>65.471999999999994</v>
      </c>
      <c r="N51" s="88" t="str">
        <f>VLOOKUP(C51,'Trips&amp;Operators'!$C$1:$E$99999,3,FALSE)</f>
        <v>MOSES</v>
      </c>
      <c r="O51" s="170" t="s">
        <v>86</v>
      </c>
      <c r="P51" s="10"/>
      <c r="Q51" s="33"/>
      <c r="R51" s="104" t="str">
        <f>VLOOKUP(C51,'Train Runs'!$A$13:$AE$10009,31,0)</f>
        <v>aws s3 cp s3://rtdc.mdm.uploadarchive.raw/RTDC4019/ "%USERPROFILE%\AppData\Local\Temp\OnboardLogs"\RTDC4019\2016-10-05 --exclude "*" --recursive --include "*20161005*" &amp; "%USERPROFILE%\Documents\GitHub\mrs-test-scripts\Headless Mode &amp; Sideloading\WalkAndUnGZ.bat" "%USERPROFILE%\AppData\Local\Temp\OnboardLogs"\RTDC4019\2016-10-05 &amp; aws s3 cp s3://rtdc.mdm.uploadarchive.raw/RTDC4019/ "%USERPROFILE%\AppData\Local\Temp\OnboardLogs"\RTDC4019\2016-10-06 --exclude "*" --recursive --include "*20161006*" &amp; "%USERPROFILE%\Documents\GitHub\mrs-test-scripts\Headless Mode &amp; Sideloading\WalkAndUnGZ.bat" "%USERPROFILE%\AppData\Local\Temp\OnboardLogs"\RTDC4019\2016-10-06</v>
      </c>
      <c r="S51" s="107" t="str">
        <f>VLOOKUP(C51,'Train Runs'!$A$13:$AE$10009,22,0)</f>
        <v>https://search-rtdc-monitor-bjffxe2xuh6vdkpspy63sjmuny.us-east-1.es.amazonaws.com/_plugin/kibana/#/discover/Steve-Slow-Train-Analysis-(2080s-and-2083s)?_g=(refreshInterval:(display:Off,section:0,value:0),time:(from:'2016-10-05 12:37:29-0600',mode:absolute,to:'2016-10-05 14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51" s="109" t="str">
        <f t="shared" si="9"/>
        <v>"C:\Program Files (x86)\AstroGrep\AstroGrep.exe" /spath="%USERPROFILE%\AppData\Local\Temp\OnboardLogs" /stypes="*4019*201610051*" /stext=" 19:.+((SYSTEM_STATE.+slice.+state.+changed )|(ment ac)|(system.+state.+changed )|(\[timeout)|(PRM\|1\|D)|(kpr)|(kdp)|(\|lc)|(penalty))" /e /r /s</v>
      </c>
      <c r="U51" s="9" t="str">
        <f t="shared" si="10"/>
        <v>4019</v>
      </c>
      <c r="V51" s="38">
        <f t="shared" si="11"/>
        <v>42648.829930555556</v>
      </c>
      <c r="W51" s="52" t="str">
        <f t="shared" si="12"/>
        <v>NW</v>
      </c>
      <c r="X51" s="52" t="str">
        <f t="shared" si="13"/>
        <v>KEEP</v>
      </c>
      <c r="Y51" s="130" t="str">
        <f t="shared" si="14"/>
        <v>echo {"issue":{"subject":"","project_id":79,"tracker_id":40,"status_id":1,"priority_id":2,"assigned_to_id":23,"start_date":"2016-10-05","description":"","custom_fields":[{"id":1,"name":"Subdivision","value":"NW"},{"id":4,"name":"Milepost","value":"0.0575"},{"id":17,"name":"Train ID","value":"822-05"},{"id":16,"name":"Locomotive ID","value":"4019"},{"id":130,"name":"Impact","value":""},{"id":150,"name":"Time of Event (Mountain Time)","value":"13:55:06"},{"id":151,"name":"Denver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5"/>
      <c r="AA51" s="55"/>
      <c r="AB51" s="23"/>
      <c r="AC51" s="171" t="str">
        <f t="shared" si="15"/>
        <v>grep -hSE -A100 "Enforcement Action" "%USERPROFILE%\AppData\Local\Temp\OnboardLogs"\RTDC4019\*4019*201610051* | grep -SE "((Enforcement Ac)|(PRM))" -</v>
      </c>
    </row>
    <row r="52" spans="1:29" x14ac:dyDescent="0.25">
      <c r="A52" s="38">
        <v>42648.664293981485</v>
      </c>
      <c r="B52" s="33" t="s">
        <v>375</v>
      </c>
      <c r="C52" s="33" t="s">
        <v>411</v>
      </c>
      <c r="D52" s="33" t="s">
        <v>49</v>
      </c>
      <c r="E52" s="33" t="s">
        <v>50</v>
      </c>
      <c r="F52" s="49">
        <v>0</v>
      </c>
      <c r="G52" s="49">
        <v>40</v>
      </c>
      <c r="H52" s="49">
        <v>703</v>
      </c>
      <c r="I52" s="49">
        <v>664</v>
      </c>
      <c r="J52" s="33" t="s">
        <v>51</v>
      </c>
      <c r="K52" s="49">
        <v>575</v>
      </c>
      <c r="L52" s="146" t="s">
        <v>53</v>
      </c>
      <c r="M52" s="149">
        <f t="shared" si="8"/>
        <v>46.991999999999997</v>
      </c>
      <c r="N52" s="88" t="str">
        <f>VLOOKUP(C52,'Trips&amp;Operators'!$C$1:$E$99999,3,FALSE)</f>
        <v>MOSES</v>
      </c>
      <c r="O52" s="170" t="s">
        <v>86</v>
      </c>
      <c r="P52" s="10"/>
      <c r="Q52" s="33"/>
      <c r="R52" s="104" t="str">
        <f>VLOOKUP(C52,'Train Runs'!$A$13:$AE$10009,31,0)</f>
        <v>aws s3 cp s3://rtdc.mdm.uploadarchive.raw/RTDC4019/ "%USERPROFILE%\AppData\Local\Temp\OnboardLogs"\RTDC4019\2016-10-05 --exclude "*" --recursive --include "*20161005*" &amp; "%USERPROFILE%\Documents\GitHub\mrs-test-scripts\Headless Mode &amp; Sideloading\WalkAndUnGZ.bat" "%USERPROFILE%\AppData\Local\Temp\OnboardLogs"\RTDC4019\2016-10-05 &amp; aws s3 cp s3://rtdc.mdm.uploadarchive.raw/RTDC4019/ "%USERPROFILE%\AppData\Local\Temp\OnboardLogs"\RTDC4019\2016-10-06 --exclude "*" --recursive --include "*20161006*" &amp; "%USERPROFILE%\Documents\GitHub\mrs-test-scripts\Headless Mode &amp; Sideloading\WalkAndUnGZ.bat" "%USERPROFILE%\AppData\Local\Temp\OnboardLogs"\RTDC4019\2016-10-06</v>
      </c>
      <c r="S52" s="107" t="str">
        <f>VLOOKUP(C52,'Train Runs'!$A$13:$AE$10009,22,0)</f>
        <v>https://search-rtdc-monitor-bjffxe2xuh6vdkpspy63sjmuny.us-east-1.es.amazonaws.com/_plugin/kibana/#/discover/Steve-Slow-Train-Analysis-(2080s-and-2083s)?_g=(refreshInterval:(display:Off,section:0,value:0),time:(from:'2016-10-05 14:38:17-0600',mode:absolute,to:'2016-10-05 16:56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52" s="109" t="str">
        <f t="shared" si="9"/>
        <v>"C:\Program Files (x86)\AstroGrep\AstroGrep.exe" /spath="%USERPROFILE%\AppData\Local\Temp\OnboardLogs" /stypes="*4019*201610052*" /stext=" 21:.+((SYSTEM_STATE.+slice.+state.+changed )|(ment ac)|(system.+state.+changed )|(\[timeout)|(PRM\|1\|D)|(kpr)|(kdp)|(\|lc)|(penalty))" /e /r /s</v>
      </c>
      <c r="U52" s="9" t="str">
        <f t="shared" si="10"/>
        <v>4019</v>
      </c>
      <c r="V52" s="38">
        <f t="shared" si="11"/>
        <v>42648.914293981485</v>
      </c>
      <c r="W52" s="52" t="str">
        <f t="shared" si="12"/>
        <v>NW</v>
      </c>
      <c r="X52" s="52" t="str">
        <f t="shared" si="13"/>
        <v>KEEP</v>
      </c>
      <c r="Y52" s="130" t="str">
        <f t="shared" si="14"/>
        <v>echo {"issue":{"subject":"","project_id":79,"tracker_id":40,"status_id":1,"priority_id":2,"assigned_to_id":23,"start_date":"2016-10-05","description":"","custom_fields":[{"id":1,"name":"Subdivision","value":"NW"},{"id":4,"name":"Milepost","value":"0.0575"},{"id":17,"name":"Train ID","value":"826-05"},{"id":16,"name":"Locomotive ID","value":"4019"},{"id":130,"name":"Impact","value":""},{"id":150,"name":"Time of Event (Mountain Time)","value":"15:56:35"},{"id":151,"name":"Denver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5"/>
      <c r="AA52" s="55"/>
      <c r="AB52" s="23"/>
      <c r="AC52" s="171" t="str">
        <f t="shared" si="15"/>
        <v>grep -hSE -A100 "Enforcement Action" "%USERPROFILE%\AppData\Local\Temp\OnboardLogs"\RTDC4019\*4019*201610052* | grep -SE "((Enforcement Ac)|(PRM))" -</v>
      </c>
    </row>
    <row r="53" spans="1:29" x14ac:dyDescent="0.25">
      <c r="A53" s="38">
        <v>42648.730173611111</v>
      </c>
      <c r="B53" s="33" t="s">
        <v>252</v>
      </c>
      <c r="C53" s="33" t="s">
        <v>417</v>
      </c>
      <c r="D53" s="33" t="s">
        <v>49</v>
      </c>
      <c r="E53" s="33" t="s">
        <v>50</v>
      </c>
      <c r="F53" s="49">
        <v>0</v>
      </c>
      <c r="G53" s="49">
        <v>29</v>
      </c>
      <c r="H53" s="49">
        <v>682</v>
      </c>
      <c r="I53" s="49">
        <v>659</v>
      </c>
      <c r="J53" s="33" t="s">
        <v>51</v>
      </c>
      <c r="K53" s="49">
        <v>575</v>
      </c>
      <c r="L53" s="146" t="s">
        <v>53</v>
      </c>
      <c r="M53" s="149">
        <f t="shared" si="8"/>
        <v>44.351999999999997</v>
      </c>
      <c r="N53" s="88" t="str">
        <f>VLOOKUP(C53,'Trips&amp;Operators'!$C$1:$E$99999,3,FALSE)</f>
        <v>LEVERE</v>
      </c>
      <c r="O53" s="170" t="s">
        <v>86</v>
      </c>
      <c r="P53" s="10"/>
      <c r="Q53" s="33"/>
      <c r="R53" s="104" t="str">
        <f>VLOOKUP(C53,'Train Runs'!$A$13:$AE$10009,31,0)</f>
        <v>aws s3 cp s3://rtdc.mdm.uploadarchive.raw/RTDC4032/ "%USERPROFILE%\AppData\Local\Temp\OnboardLogs"\RTDC4032\2016-10-05 --exclude "*" --recursive --include "*20161005*" &amp; "%USERPROFILE%\Documents\GitHub\mrs-test-scripts\Headless Mode &amp; Sideloading\WalkAndUnGZ.bat" "%USERPROFILE%\AppData\Local\Temp\OnboardLogs"\RTDC4032\2016-10-05 &amp; 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</v>
      </c>
      <c r="S53" s="107" t="str">
        <f>VLOOKUP(C53,'Train Runs'!$A$13:$AE$10009,22,0)</f>
        <v>https://search-rtdc-monitor-bjffxe2xuh6vdkpspy63sjmuny.us-east-1.es.amazonaws.com/_plugin/kibana/#/discover/Steve-Slow-Train-Analysis-(2080s-and-2083s)?_g=(refreshInterval:(display:Off,section:0,value:0),time:(from:'2016-10-05 16:08:19-0600',mode:absolute,to:'2016-10-05 18:31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53" s="109" t="str">
        <f t="shared" si="9"/>
        <v>"C:\Program Files (x86)\AstroGrep\AstroGrep.exe" /spath="%USERPROFILE%\AppData\Local\Temp\OnboardLogs" /stypes="*4032*201610052*" /stext=" 23:.+((SYSTEM_STATE.+slice.+state.+changed )|(ment ac)|(system.+state.+changed )|(\[timeout)|(PRM\|1\|D)|(kpr)|(kdp)|(\|lc)|(penalty))" /e /r /s</v>
      </c>
      <c r="U53" s="9" t="str">
        <f t="shared" si="10"/>
        <v>4032</v>
      </c>
      <c r="V53" s="38">
        <f t="shared" si="11"/>
        <v>42648.980173611111</v>
      </c>
      <c r="W53" s="52" t="str">
        <f t="shared" si="12"/>
        <v>NW</v>
      </c>
      <c r="X53" s="52" t="str">
        <f t="shared" si="13"/>
        <v>KEEP</v>
      </c>
      <c r="Y53" s="130" t="str">
        <f t="shared" si="14"/>
        <v>echo {"issue":{"subject":"","project_id":79,"tracker_id":40,"status_id":1,"priority_id":2,"assigned_to_id":23,"start_date":"2016-10-05","description":"","custom_fields":[{"id":1,"name":"Subdivision","value":"NW"},{"id":4,"name":"Milepost","value":"0.0575"},{"id":17,"name":"Train ID","value":"832-05"},{"id":16,"name":"Locomotive ID","value":"4032"},{"id":130,"name":"Impact","value":""},{"id":150,"name":"Time of Event (Mountain Time)","value":"17:31:27"},{"id":151,"name":"Denver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5"/>
      <c r="AA53" s="55"/>
      <c r="AB53" s="23"/>
      <c r="AC53" s="171" t="str">
        <f t="shared" si="15"/>
        <v>grep -hSE -A100 "Enforcement Action" "%USERPROFILE%\AppData\Local\Temp\OnboardLogs"\RTDC4032\*4032*201610052* | grep -SE "((Enforcement Ac)|(PRM))" -</v>
      </c>
    </row>
    <row r="54" spans="1:29" x14ac:dyDescent="0.25">
      <c r="A54" s="38">
        <v>42648.44059027778</v>
      </c>
      <c r="B54" s="33" t="s">
        <v>383</v>
      </c>
      <c r="C54" s="33" t="s">
        <v>393</v>
      </c>
      <c r="D54" s="33" t="s">
        <v>49</v>
      </c>
      <c r="E54" s="33" t="s">
        <v>50</v>
      </c>
      <c r="F54" s="49">
        <v>0</v>
      </c>
      <c r="G54" s="49">
        <v>50</v>
      </c>
      <c r="H54" s="49">
        <v>58879</v>
      </c>
      <c r="I54" s="49">
        <v>58912</v>
      </c>
      <c r="J54" s="33" t="s">
        <v>51</v>
      </c>
      <c r="K54" s="49">
        <v>59048</v>
      </c>
      <c r="L54" s="146" t="s">
        <v>52</v>
      </c>
      <c r="M54" s="149">
        <f t="shared" si="8"/>
        <v>71.808000000000007</v>
      </c>
      <c r="N54" s="88" t="str">
        <f>VLOOKUP(C54,'Trips&amp;Operators'!$C$1:$E$99999,3,FALSE)</f>
        <v>GEBRETEKLE</v>
      </c>
      <c r="O54" s="170" t="s">
        <v>86</v>
      </c>
      <c r="P54" s="10"/>
      <c r="Q54" s="33"/>
      <c r="R54" s="104" t="str">
        <f>VLOOKUP(C54,'Train Runs'!$A$13:$AE$10009,31,0)</f>
        <v>aws s3 cp s3://rtdc.mdm.uploadarchive.raw/RTDC4020/ "%USERPROFILE%\AppData\Local\Temp\OnboardLogs"\RTDC4020\2016-10-05 --exclude "*" --recursive --include "*20161005*" &amp; "%USERPROFILE%\Documents\GitHub\mrs-test-scripts\Headless Mode &amp; Sideloading\WalkAndUnGZ.bat" "%USERPROFILE%\AppData\Local\Temp\OnboardLogs"\RTDC4020\2016-10-05 &amp; aws s3 cp s3://rtdc.mdm.uploadarchive.raw/RTDC4020/ "%USERPROFILE%\AppData\Local\Temp\OnboardLogs"\RTDC4020\2016-10-06 --exclude "*" --recursive --include "*20161006*" &amp; "%USERPROFILE%\Documents\GitHub\mrs-test-scripts\Headless Mode &amp; Sideloading\WalkAndUnGZ.bat" "%USERPROFILE%\AppData\Local\Temp\OnboardLogs"\RTDC4020\2016-10-06</v>
      </c>
      <c r="S54" s="107" t="str">
        <f>VLOOKUP(C54,'Train Runs'!$A$13:$AE$10009,22,0)</f>
        <v>https://search-rtdc-monitor-bjffxe2xuh6vdkpspy63sjmuny.us-east-1.es.amazonaws.com/_plugin/kibana/#/discover/Steve-Slow-Train-Analysis-(2080s-and-2083s)?_g=(refreshInterval:(display:Off,section:0,value:0),time:(from:'2016-10-05 09:19:23-0600',mode:absolute,to:'2016-10-05 11:34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54" s="109" t="str">
        <f t="shared" si="9"/>
        <v>"C:\Program Files (x86)\AstroGrep\AstroGrep.exe" /spath="%USERPROFILE%\AppData\Local\Temp\OnboardLogs" /stypes="*4020*201610051*" /stext=" 16:.+((SYSTEM_STATE.+slice.+state.+changed )|(ment ac)|(system.+state.+changed )|(\[timeout)|(PRM\|1\|D)|(kpr)|(kdp)|(\|lc)|(penalty))" /e /r /s</v>
      </c>
      <c r="U54" s="9" t="str">
        <f t="shared" si="10"/>
        <v>4020</v>
      </c>
      <c r="V54" s="38">
        <f t="shared" si="11"/>
        <v>42648.69059027778</v>
      </c>
      <c r="W54" s="52" t="str">
        <f t="shared" si="12"/>
        <v>NW</v>
      </c>
      <c r="X54" s="52" t="str">
        <f t="shared" si="13"/>
        <v>KEEP</v>
      </c>
      <c r="Y54" s="130" t="str">
        <f t="shared" si="14"/>
        <v>echo {"issue":{"subject":"","project_id":79,"tracker_id":40,"status_id":1,"priority_id":2,"assigned_to_id":23,"start_date":"2016-10-05","description":"","custom_fields":[{"id":1,"name":"Subdivision","value":"NW"},{"id":4,"name":"Milepost","value":"5.9048"},{"id":17,"name":"Train ID","value":"815-05"},{"id":16,"name":"Locomotive ID","value":"4020"},{"id":130,"name":"Impact","value":""},{"id":150,"name":"Time of Event (Mountain Time)","value":"10:34:27"},{"id":151,"name":"Denver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5"/>
      <c r="AA54" s="55"/>
      <c r="AB54" s="23"/>
      <c r="AC54" s="171" t="str">
        <f t="shared" si="15"/>
        <v>grep -hSE -A100 "Enforcement Action" "%USERPROFILE%\AppData\Local\Temp\OnboardLogs"\RTDC4020\*4020*201610051* | grep -SE "((Enforcement Ac)|(PRM))" -</v>
      </c>
    </row>
    <row r="55" spans="1:29" x14ac:dyDescent="0.25">
      <c r="A55" s="38">
        <v>42648.566516203704</v>
      </c>
      <c r="B55" s="33" t="s">
        <v>383</v>
      </c>
      <c r="C55" s="33" t="s">
        <v>404</v>
      </c>
      <c r="D55" s="33" t="s">
        <v>49</v>
      </c>
      <c r="E55" s="33" t="s">
        <v>50</v>
      </c>
      <c r="F55" s="49">
        <v>0</v>
      </c>
      <c r="G55" s="49">
        <v>24</v>
      </c>
      <c r="H55" s="49">
        <v>58997</v>
      </c>
      <c r="I55" s="49">
        <v>59022</v>
      </c>
      <c r="J55" s="33" t="s">
        <v>51</v>
      </c>
      <c r="K55" s="49">
        <v>59048</v>
      </c>
      <c r="L55" s="146" t="s">
        <v>52</v>
      </c>
      <c r="M55" s="149">
        <f t="shared" si="8"/>
        <v>13.728</v>
      </c>
      <c r="N55" s="88" t="str">
        <f>VLOOKUP(C55,'Trips&amp;Operators'!$C$1:$E$99999,3,FALSE)</f>
        <v>MOSES</v>
      </c>
      <c r="O55" s="170" t="s">
        <v>86</v>
      </c>
      <c r="P55" s="10"/>
      <c r="Q55" s="33"/>
      <c r="R55" s="104" t="str">
        <f>VLOOKUP(C55,'Train Runs'!$A$13:$AE$10009,31,0)</f>
        <v>aws s3 cp s3://rtdc.mdm.uploadarchive.raw/RTDC4020/ "%USERPROFILE%\AppData\Local\Temp\OnboardLogs"\RTDC4020\2016-10-05 --exclude "*" --recursive --include "*20161005*" &amp; "%USERPROFILE%\Documents\GitHub\mrs-test-scripts\Headless Mode &amp; Sideloading\WalkAndUnGZ.bat" "%USERPROFILE%\AppData\Local\Temp\OnboardLogs"\RTDC4020\2016-10-05 &amp; aws s3 cp s3://rtdc.mdm.uploadarchive.raw/RTDC4020/ "%USERPROFILE%\AppData\Local\Temp\OnboardLogs"\RTDC4020\2016-10-06 --exclude "*" --recursive --include "*20161006*" &amp; "%USERPROFILE%\Documents\GitHub\mrs-test-scripts\Headless Mode &amp; Sideloading\WalkAndUnGZ.bat" "%USERPROFILE%\AppData\Local\Temp\OnboardLogs"\RTDC4020\2016-10-06</v>
      </c>
      <c r="S55" s="107" t="str">
        <f>VLOOKUP(C55,'Train Runs'!$A$13:$AE$10009,22,0)</f>
        <v>https://search-rtdc-monitor-bjffxe2xuh6vdkpspy63sjmuny.us-east-1.es.amazonaws.com/_plugin/kibana/#/discover/Steve-Slow-Train-Analysis-(2080s-and-2083s)?_g=(refreshInterval:(display:Off,section:0,value:0),time:(from:'2016-10-05 12:07:52-0600',mode:absolute,to:'2016-10-05 14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55" s="109" t="str">
        <f t="shared" si="9"/>
        <v>"C:\Program Files (x86)\AstroGrep\AstroGrep.exe" /spath="%USERPROFILE%\AppData\Local\Temp\OnboardLogs" /stypes="*4020*201610051*" /stext=" 19:.+((SYSTEM_STATE.+slice.+state.+changed )|(ment ac)|(system.+state.+changed )|(\[timeout)|(PRM\|1\|D)|(kpr)|(kdp)|(\|lc)|(penalty))" /e /r /s</v>
      </c>
      <c r="U55" s="9" t="str">
        <f t="shared" si="10"/>
        <v>4020</v>
      </c>
      <c r="V55" s="38">
        <f t="shared" si="11"/>
        <v>42648.816516203704</v>
      </c>
      <c r="W55" s="52" t="str">
        <f t="shared" si="12"/>
        <v>NW</v>
      </c>
      <c r="X55" s="52" t="str">
        <f t="shared" si="13"/>
        <v>KEEP</v>
      </c>
      <c r="Y55" s="130" t="str">
        <f t="shared" si="14"/>
        <v>echo {"issue":{"subject":"","project_id":79,"tracker_id":40,"status_id":1,"priority_id":2,"assigned_to_id":23,"start_date":"2016-10-05","description":"","custom_fields":[{"id":1,"name":"Subdivision","value":"NW"},{"id":4,"name":"Milepost","value":"5.9048"},{"id":17,"name":"Train ID","value":"821-05"},{"id":16,"name":"Locomotive ID","value":"4020"},{"id":130,"name":"Impact","value":""},{"id":150,"name":"Time of Event (Mountain Time)","value":"13:35:47"},{"id":151,"name":"Denver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5"/>
      <c r="AA55" s="55"/>
      <c r="AB55" s="23"/>
      <c r="AC55" s="171" t="str">
        <f t="shared" si="15"/>
        <v>grep -hSE -A100 "Enforcement Action" "%USERPROFILE%\AppData\Local\Temp\OnboardLogs"\RTDC4020\*4020*201610051* | grep -SE "((Enforcement Ac)|(PRM))" -</v>
      </c>
    </row>
    <row r="56" spans="1:29" x14ac:dyDescent="0.25">
      <c r="A56" s="38">
        <v>42648.649525462963</v>
      </c>
      <c r="B56" s="33" t="s">
        <v>383</v>
      </c>
      <c r="C56" s="33" t="s">
        <v>408</v>
      </c>
      <c r="D56" s="33" t="s">
        <v>49</v>
      </c>
      <c r="E56" s="33" t="s">
        <v>50</v>
      </c>
      <c r="F56" s="49">
        <v>0</v>
      </c>
      <c r="G56" s="49">
        <v>70</v>
      </c>
      <c r="H56" s="49">
        <v>58839</v>
      </c>
      <c r="I56" s="49">
        <v>58896</v>
      </c>
      <c r="J56" s="33" t="s">
        <v>51</v>
      </c>
      <c r="K56" s="49">
        <v>59048</v>
      </c>
      <c r="L56" s="146" t="s">
        <v>52</v>
      </c>
      <c r="M56" s="149">
        <f t="shared" si="8"/>
        <v>80.256</v>
      </c>
      <c r="N56" s="88" t="str">
        <f>VLOOKUP(C56,'Trips&amp;Operators'!$C$1:$E$99999,3,FALSE)</f>
        <v>MOSES</v>
      </c>
      <c r="O56" s="170" t="s">
        <v>86</v>
      </c>
      <c r="P56" s="10"/>
      <c r="Q56" s="33"/>
      <c r="R56" s="104" t="str">
        <f>VLOOKUP(C56,'Train Runs'!$A$13:$AE$10009,31,0)</f>
        <v>aws s3 cp s3://rtdc.mdm.uploadarchive.raw/RTDC4020/ "%USERPROFILE%\AppData\Local\Temp\OnboardLogs"\RTDC4020\2016-10-05 --exclude "*" --recursive --include "*20161005*" &amp; "%USERPROFILE%\Documents\GitHub\mrs-test-scripts\Headless Mode &amp; Sideloading\WalkAndUnGZ.bat" "%USERPROFILE%\AppData\Local\Temp\OnboardLogs"\RTDC4020\2016-10-05 &amp; aws s3 cp s3://rtdc.mdm.uploadarchive.raw/RTDC4020/ "%USERPROFILE%\AppData\Local\Temp\OnboardLogs"\RTDC4020\2016-10-06 --exclude "*" --recursive --include "*20161006*" &amp; "%USERPROFILE%\Documents\GitHub\mrs-test-scripts\Headless Mode &amp; Sideloading\WalkAndUnGZ.bat" "%USERPROFILE%\AppData\Local\Temp\OnboardLogs"\RTDC4020\2016-10-06</v>
      </c>
      <c r="S56" s="107" t="str">
        <f>VLOOKUP(C56,'Train Runs'!$A$13:$AE$10009,22,0)</f>
        <v>https://search-rtdc-monitor-bjffxe2xuh6vdkpspy63sjmuny.us-east-1.es.amazonaws.com/_plugin/kibana/#/discover/Steve-Slow-Train-Analysis-(2080s-and-2083s)?_g=(refreshInterval:(display:Off,section:0,value:0),time:(from:'2016-10-05 14:16:43-0600',mode:absolute,to:'2016-10-05 16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56" s="109" t="str">
        <f t="shared" si="9"/>
        <v>"C:\Program Files (x86)\AstroGrep\AstroGrep.exe" /spath="%USERPROFILE%\AppData\Local\Temp\OnboardLogs" /stypes="*4020*201610052*" /stext=" 21:.+((SYSTEM_STATE.+slice.+state.+changed )|(ment ac)|(system.+state.+changed )|(\[timeout)|(PRM\|1\|D)|(kpr)|(kdp)|(\|lc)|(penalty))" /e /r /s</v>
      </c>
      <c r="U56" s="9" t="str">
        <f t="shared" si="10"/>
        <v>4020</v>
      </c>
      <c r="V56" s="38">
        <f t="shared" si="11"/>
        <v>42648.899525462963</v>
      </c>
      <c r="W56" s="52" t="str">
        <f t="shared" si="12"/>
        <v>NW</v>
      </c>
      <c r="X56" s="52" t="str">
        <f t="shared" si="13"/>
        <v>KEEP</v>
      </c>
      <c r="Y56" s="130" t="str">
        <f t="shared" si="14"/>
        <v>echo {"issue":{"subject":"","project_id":79,"tracker_id":40,"status_id":1,"priority_id":2,"assigned_to_id":23,"start_date":"2016-10-05","description":"","custom_fields":[{"id":1,"name":"Subdivision","value":"NW"},{"id":4,"name":"Milepost","value":"5.9048"},{"id":17,"name":"Train ID","value":"825-05"},{"id":16,"name":"Locomotive ID","value":"4020"},{"id":130,"name":"Impact","value":""},{"id":150,"name":"Time of Event (Mountain Time)","value":"15:35:19"},{"id":151,"name":"Denver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5"/>
      <c r="AA56" s="55"/>
      <c r="AB56" s="23"/>
      <c r="AC56" s="171" t="str">
        <f t="shared" si="15"/>
        <v>grep -hSE -A100 "Enforcement Action" "%USERPROFILE%\AppData\Local\Temp\OnboardLogs"\RTDC4020\*4020*201610052* | grep -SE "((Enforcement Ac)|(PRM))" -</v>
      </c>
    </row>
    <row r="57" spans="1:29" x14ac:dyDescent="0.25">
      <c r="A57" s="38">
        <v>42648.670983796299</v>
      </c>
      <c r="B57" s="33" t="s">
        <v>253</v>
      </c>
      <c r="C57" s="33" t="s">
        <v>413</v>
      </c>
      <c r="D57" s="33" t="s">
        <v>49</v>
      </c>
      <c r="E57" s="33" t="s">
        <v>50</v>
      </c>
      <c r="F57" s="49">
        <v>0</v>
      </c>
      <c r="G57" s="49">
        <v>36</v>
      </c>
      <c r="H57" s="49">
        <v>58933</v>
      </c>
      <c r="I57" s="49">
        <v>58958</v>
      </c>
      <c r="J57" s="33" t="s">
        <v>51</v>
      </c>
      <c r="K57" s="49">
        <v>59048</v>
      </c>
      <c r="L57" s="146" t="s">
        <v>52</v>
      </c>
      <c r="M57" s="149">
        <f t="shared" si="8"/>
        <v>47.52</v>
      </c>
      <c r="N57" s="88" t="str">
        <f>VLOOKUP(C57,'Trips&amp;Operators'!$C$1:$E$99999,3,FALSE)</f>
        <v>LEVERE</v>
      </c>
      <c r="O57" s="170" t="s">
        <v>86</v>
      </c>
      <c r="P57" s="10"/>
      <c r="Q57" s="33"/>
      <c r="R57" s="104" t="str">
        <f>VLOOKUP(C57,'Train Runs'!$A$13:$AE$10009,31,0)</f>
        <v>aws s3 cp s3://rtdc.mdm.uploadarchive.raw/RTDC4031/ "%USERPROFILE%\AppData\Local\Temp\OnboardLogs"\RTDC4031\2016-10-05 --exclude "*" --recursive --include "*20161005*" &amp; "%USERPROFILE%\Documents\GitHub\mrs-test-scripts\Headless Mode &amp; Sideloading\WalkAndUnGZ.bat" "%USERPROFILE%\AppData\Local\Temp\OnboardLogs"\RTDC4031\2016-10-05 &amp; aws s3 cp s3://rtdc.mdm.uploadarchive.raw/RTDC4031/ "%USERPROFILE%\AppData\Local\Temp\OnboardLogs"\RTDC4031\2016-10-06 --exclude "*" --recursive --include "*20161006*" &amp; "%USERPROFILE%\Documents\GitHub\mrs-test-scripts\Headless Mode &amp; Sideloading\WalkAndUnGZ.bat" "%USERPROFILE%\AppData\Local\Temp\OnboardLogs"\RTDC4031\2016-10-06</v>
      </c>
      <c r="S57" s="107" t="str">
        <f>VLOOKUP(C57,'Train Runs'!$A$13:$AE$10009,22,0)</f>
        <v>https://search-rtdc-monitor-bjffxe2xuh6vdkpspy63sjmuny.us-east-1.es.amazonaws.com/_plugin/kibana/#/discover/Steve-Slow-Train-Analysis-(2080s-and-2083s)?_g=(refreshInterval:(display:Off,section:0,value:0),time:(from:'2016-10-05 14:47:29-0600',mode:absolute,to:'2016-10-05 17:06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57" s="109" t="str">
        <f t="shared" si="9"/>
        <v>"C:\Program Files (x86)\AstroGrep\AstroGrep.exe" /spath="%USERPROFILE%\AppData\Local\Temp\OnboardLogs" /stypes="*4031*201610052*" /stext=" 22:.+((SYSTEM_STATE.+slice.+state.+changed )|(ment ac)|(system.+state.+changed )|(\[timeout)|(PRM\|1\|D)|(kpr)|(kdp)|(\|lc)|(penalty))" /e /r /s</v>
      </c>
      <c r="U57" s="9" t="str">
        <f t="shared" si="10"/>
        <v>4031</v>
      </c>
      <c r="V57" s="38">
        <f t="shared" si="11"/>
        <v>42648.920983796299</v>
      </c>
      <c r="W57" s="52" t="str">
        <f t="shared" si="12"/>
        <v>NW</v>
      </c>
      <c r="X57" s="52" t="str">
        <f t="shared" si="13"/>
        <v>KEEP</v>
      </c>
      <c r="Y57" s="130" t="str">
        <f t="shared" si="14"/>
        <v>echo {"issue":{"subject":"","project_id":79,"tracker_id":40,"status_id":1,"priority_id":2,"assigned_to_id":23,"start_date":"2016-10-05","description":"","custom_fields":[{"id":1,"name":"Subdivision","value":"NW"},{"id":4,"name":"Milepost","value":"5.9048"},{"id":17,"name":"Train ID","value":"827-05"},{"id":16,"name":"Locomotive ID","value":"4031"},{"id":130,"name":"Impact","value":""},{"id":150,"name":"Time of Event (Mountain Time)","value":"16:06:13"},{"id":151,"name":"Denver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5"/>
      <c r="AA57" s="55"/>
      <c r="AB57" s="23"/>
      <c r="AC57" s="171" t="str">
        <f t="shared" si="15"/>
        <v>grep -hSE -A100 "Enforcement Action" "%USERPROFILE%\AppData\Local\Temp\OnboardLogs"\RTDC4031\*4031*201610052* | grep -SE "((Enforcement Ac)|(PRM))" -</v>
      </c>
    </row>
    <row r="58" spans="1:29" x14ac:dyDescent="0.25">
      <c r="A58" s="38">
        <v>42648.691481481481</v>
      </c>
      <c r="B58" s="33" t="s">
        <v>383</v>
      </c>
      <c r="C58" s="33" t="s">
        <v>415</v>
      </c>
      <c r="D58" s="33" t="s">
        <v>49</v>
      </c>
      <c r="E58" s="33" t="s">
        <v>50</v>
      </c>
      <c r="F58" s="49">
        <v>0</v>
      </c>
      <c r="G58" s="49">
        <v>38</v>
      </c>
      <c r="H58" s="49">
        <v>58960</v>
      </c>
      <c r="I58" s="49">
        <v>58993</v>
      </c>
      <c r="J58" s="33" t="s">
        <v>51</v>
      </c>
      <c r="K58" s="49">
        <v>59048</v>
      </c>
      <c r="L58" s="146" t="s">
        <v>52</v>
      </c>
      <c r="M58" s="149">
        <f t="shared" si="8"/>
        <v>29.04</v>
      </c>
      <c r="N58" s="88" t="str">
        <f>VLOOKUP(C58,'Trips&amp;Operators'!$C$1:$E$99999,3,FALSE)</f>
        <v>MOSES</v>
      </c>
      <c r="O58" s="170" t="s">
        <v>86</v>
      </c>
      <c r="P58" s="10"/>
      <c r="Q58" s="33"/>
      <c r="R58" s="104" t="str">
        <f>VLOOKUP(C58,'Train Runs'!$A$13:$AE$10009,31,0)</f>
        <v>aws s3 cp s3://rtdc.mdm.uploadarchive.raw/RTDC4020/ "%USERPROFILE%\AppData\Local\Temp\OnboardLogs"\RTDC4020\2016-10-05 --exclude "*" --recursive --include "*20161005*" &amp; "%USERPROFILE%\Documents\GitHub\mrs-test-scripts\Headless Mode &amp; Sideloading\WalkAndUnGZ.bat" "%USERPROFILE%\AppData\Local\Temp\OnboardLogs"\RTDC4020\2016-10-05 &amp; aws s3 cp s3://rtdc.mdm.uploadarchive.raw/RTDC4020/ "%USERPROFILE%\AppData\Local\Temp\OnboardLogs"\RTDC4020\2016-10-06 --exclude "*" --recursive --include "*20161006*" &amp; "%USERPROFILE%\Documents\GitHub\mrs-test-scripts\Headless Mode &amp; Sideloading\WalkAndUnGZ.bat" "%USERPROFILE%\AppData\Local\Temp\OnboardLogs"\RTDC4020\2016-10-06</v>
      </c>
      <c r="S58" s="107" t="str">
        <f>VLOOKUP(C58,'Train Runs'!$A$13:$AE$10009,22,0)</f>
        <v>https://search-rtdc-monitor-bjffxe2xuh6vdkpspy63sjmuny.us-east-1.es.amazonaws.com/_plugin/kibana/#/discover/Steve-Slow-Train-Analysis-(2080s-and-2083s)?_g=(refreshInterval:(display:Off,section:0,value:0),time:(from:'2016-10-05 15:16:52-0600',mode:absolute,to:'2016-10-05 17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58" s="109" t="str">
        <f t="shared" si="9"/>
        <v>"C:\Program Files (x86)\AstroGrep\AstroGrep.exe" /spath="%USERPROFILE%\AppData\Local\Temp\OnboardLogs" /stypes="*4020*201610052*" /stext=" 22:.+((SYSTEM_STATE.+slice.+state.+changed )|(ment ac)|(system.+state.+changed )|(\[timeout)|(PRM\|1\|D)|(kpr)|(kdp)|(\|lc)|(penalty))" /e /r /s</v>
      </c>
      <c r="U58" s="9" t="str">
        <f t="shared" si="10"/>
        <v>4020</v>
      </c>
      <c r="V58" s="38">
        <f t="shared" si="11"/>
        <v>42648.941481481481</v>
      </c>
      <c r="W58" s="52" t="str">
        <f t="shared" si="12"/>
        <v>NW</v>
      </c>
      <c r="X58" s="52" t="str">
        <f t="shared" si="13"/>
        <v>KEEP</v>
      </c>
      <c r="Y58" s="130" t="str">
        <f t="shared" si="14"/>
        <v>echo {"issue":{"subject":"","project_id":79,"tracker_id":40,"status_id":1,"priority_id":2,"assigned_to_id":23,"start_date":"2016-10-05","description":"","custom_fields":[{"id":1,"name":"Subdivision","value":"NW"},{"id":4,"name":"Milepost","value":"5.9048"},{"id":17,"name":"Train ID","value":"829-05"},{"id":16,"name":"Locomotive ID","value":"4020"},{"id":130,"name":"Impact","value":""},{"id":150,"name":"Time of Event (Mountain Time)","value":"16:35:44"},{"id":151,"name":"Denver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5"/>
      <c r="AA58" s="55"/>
      <c r="AB58" s="23"/>
      <c r="AC58" s="171" t="str">
        <f t="shared" si="15"/>
        <v>grep -hSE -A100 "Enforcement Action" "%USERPROFILE%\AppData\Local\Temp\OnboardLogs"\RTDC4020\*4020*201610052* | grep -SE "((Enforcement Ac)|(PRM))" -</v>
      </c>
    </row>
    <row r="59" spans="1:29" x14ac:dyDescent="0.25">
      <c r="A59" s="38">
        <v>42648.774259259262</v>
      </c>
      <c r="B59" s="33" t="s">
        <v>383</v>
      </c>
      <c r="C59" s="33" t="s">
        <v>420</v>
      </c>
      <c r="D59" s="33" t="s">
        <v>49</v>
      </c>
      <c r="E59" s="33" t="s">
        <v>50</v>
      </c>
      <c r="F59" s="49">
        <v>0</v>
      </c>
      <c r="G59" s="49">
        <v>44</v>
      </c>
      <c r="H59" s="49">
        <v>58941</v>
      </c>
      <c r="I59" s="49">
        <v>58984</v>
      </c>
      <c r="J59" s="33" t="s">
        <v>51</v>
      </c>
      <c r="K59" s="49">
        <v>59048</v>
      </c>
      <c r="L59" s="146" t="s">
        <v>52</v>
      </c>
      <c r="M59" s="149">
        <f t="shared" si="8"/>
        <v>33.792000000000002</v>
      </c>
      <c r="N59" s="88" t="str">
        <f>VLOOKUP(C59,'Trips&amp;Operators'!$C$1:$E$99999,3,FALSE)</f>
        <v>MOSES</v>
      </c>
      <c r="O59" s="170" t="s">
        <v>86</v>
      </c>
      <c r="P59" s="10"/>
      <c r="Q59" s="33"/>
      <c r="R59" s="104" t="str">
        <f>VLOOKUP(C59,'Train Runs'!$A$13:$AE$10009,31,0)</f>
        <v>aws s3 cp s3://rtdc.mdm.uploadarchive.raw/RTDC4020/ "%USERPROFILE%\AppData\Local\Temp\OnboardLogs"\RTDC4020\2016-10-05 --exclude "*" --recursive --include "*20161005*" &amp; "%USERPROFILE%\Documents\GitHub\mrs-test-scripts\Headless Mode &amp; Sideloading\WalkAndUnGZ.bat" "%USERPROFILE%\AppData\Local\Temp\OnboardLogs"\RTDC4020\2016-10-05 &amp; aws s3 cp s3://rtdc.mdm.uploadarchive.raw/RTDC4020/ "%USERPROFILE%\AppData\Local\Temp\OnboardLogs"\RTDC4020\2016-10-06 --exclude "*" --recursive --include "*20161006*" &amp; "%USERPROFILE%\Documents\GitHub\mrs-test-scripts\Headless Mode &amp; Sideloading\WalkAndUnGZ.bat" "%USERPROFILE%\AppData\Local\Temp\OnboardLogs"\RTDC4020\2016-10-06</v>
      </c>
      <c r="S59" s="107" t="str">
        <f>VLOOKUP(C59,'Train Runs'!$A$13:$AE$10009,22,0)</f>
        <v>https://search-rtdc-monitor-bjffxe2xuh6vdkpspy63sjmuny.us-east-1.es.amazonaws.com/_plugin/kibana/#/discover/Steve-Slow-Train-Analysis-(2080s-and-2083s)?_g=(refreshInterval:(display:Off,section:0,value:0),time:(from:'2016-10-05 17:17:11-0600',mode:absolute,to:'2016-10-05 19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59" s="109" t="str">
        <f t="shared" si="9"/>
        <v>"C:\Program Files (x86)\AstroGrep\AstroGrep.exe" /spath="%USERPROFILE%\AppData\Local\Temp\OnboardLogs" /stypes="*4020*201610060*" /stext=" 00:.+((SYSTEM_STATE.+slice.+state.+changed )|(ment ac)|(system.+state.+changed )|(\[timeout)|(PRM\|1\|D)|(kpr)|(kdp)|(\|lc)|(penalty))" /e /r /s</v>
      </c>
      <c r="U59" s="9" t="str">
        <f t="shared" si="10"/>
        <v>4020</v>
      </c>
      <c r="V59" s="38">
        <f t="shared" si="11"/>
        <v>42649.024259259262</v>
      </c>
      <c r="W59" s="52" t="str">
        <f t="shared" si="12"/>
        <v>NW</v>
      </c>
      <c r="X59" s="52" t="str">
        <f t="shared" si="13"/>
        <v>KEEP</v>
      </c>
      <c r="Y59" s="130" t="str">
        <f t="shared" si="14"/>
        <v>echo {"issue":{"subject":"","project_id":79,"tracker_id":40,"status_id":1,"priority_id":2,"assigned_to_id":23,"start_date":"2016-10-05","description":"","custom_fields":[{"id":1,"name":"Subdivision","value":"NW"},{"id":4,"name":"Milepost","value":"5.9048"},{"id":17,"name":"Train ID","value":"837-05"},{"id":16,"name":"Locomotive ID","value":"4020"},{"id":130,"name":"Impact","value":""},{"id":150,"name":"Time of Event (Mountain Time)","value":"18:34:56"},{"id":151,"name":"Denver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5"/>
      <c r="AA59" s="55"/>
      <c r="AB59" s="23"/>
      <c r="AC59" s="171" t="str">
        <f t="shared" si="15"/>
        <v>grep -hSE -A100 "Enforcement Action" "%USERPROFILE%\AppData\Local\Temp\OnboardLogs"\RTDC4020\*4020*201610060* | grep -SE "((Enforcement Ac)|(PRM))" -</v>
      </c>
    </row>
    <row r="60" spans="1:29" x14ac:dyDescent="0.25">
      <c r="A60" s="38">
        <v>42648.857824074075</v>
      </c>
      <c r="B60" s="33" t="s">
        <v>383</v>
      </c>
      <c r="C60" s="33" t="s">
        <v>424</v>
      </c>
      <c r="D60" s="33" t="s">
        <v>49</v>
      </c>
      <c r="E60" s="33" t="s">
        <v>50</v>
      </c>
      <c r="F60" s="49">
        <v>0</v>
      </c>
      <c r="G60" s="49">
        <v>41</v>
      </c>
      <c r="H60" s="49">
        <v>58956</v>
      </c>
      <c r="I60" s="49">
        <v>58993</v>
      </c>
      <c r="J60" s="33" t="s">
        <v>51</v>
      </c>
      <c r="K60" s="49">
        <v>59048</v>
      </c>
      <c r="L60" s="146" t="s">
        <v>52</v>
      </c>
      <c r="M60" s="149">
        <f t="shared" si="8"/>
        <v>29.04</v>
      </c>
      <c r="N60" s="88" t="str">
        <f>VLOOKUP(C60,'Trips&amp;Operators'!$C$1:$E$99999,3,FALSE)</f>
        <v>MOSES</v>
      </c>
      <c r="O60" s="170" t="s">
        <v>86</v>
      </c>
      <c r="P60" s="10"/>
      <c r="Q60" s="33"/>
      <c r="R60" s="104" t="str">
        <f>VLOOKUP(C60,'Train Runs'!$A$13:$AE$10009,31,0)</f>
        <v>aws s3 cp s3://rtdc.mdm.uploadarchive.raw/RTDC4020/ "%USERPROFILE%\AppData\Local\Temp\OnboardLogs"\RTDC4020\2016-10-05 --exclude "*" --recursive --include "*20161005*" &amp; "%USERPROFILE%\Documents\GitHub\mrs-test-scripts\Headless Mode &amp; Sideloading\WalkAndUnGZ.bat" "%USERPROFILE%\AppData\Local\Temp\OnboardLogs"\RTDC4020\2016-10-05 &amp; aws s3 cp s3://rtdc.mdm.uploadarchive.raw/RTDC4020/ "%USERPROFILE%\AppData\Local\Temp\OnboardLogs"\RTDC4020\2016-10-06 --exclude "*" --recursive --include "*20161006*" &amp; "%USERPROFILE%\Documents\GitHub\mrs-test-scripts\Headless Mode &amp; Sideloading\WalkAndUnGZ.bat" "%USERPROFILE%\AppData\Local\Temp\OnboardLogs"\RTDC4020\2016-10-06</v>
      </c>
      <c r="S60" s="107" t="str">
        <f>VLOOKUP(C60,'Train Runs'!$A$13:$AE$10009,22,0)</f>
        <v>https://search-rtdc-monitor-bjffxe2xuh6vdkpspy63sjmuny.us-east-1.es.amazonaws.com/_plugin/kibana/#/discover/Steve-Slow-Train-Analysis-(2080s-and-2083s)?_g=(refreshInterval:(display:Off,section:0,value:0),time:(from:'2016-10-05 19:14:22-0600',mode:absolute,to:'2016-10-05 21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60" s="109" t="str">
        <f t="shared" si="9"/>
        <v>"C:\Program Files (x86)\AstroGrep\AstroGrep.exe" /spath="%USERPROFILE%\AppData\Local\Temp\OnboardLogs" /stypes="*4020*201610060*" /stext=" 02:.+((SYSTEM_STATE.+slice.+state.+changed )|(ment ac)|(system.+state.+changed )|(\[timeout)|(PRM\|1\|D)|(kpr)|(kdp)|(\|lc)|(penalty))" /e /r /s</v>
      </c>
      <c r="U60" s="9" t="str">
        <f t="shared" si="10"/>
        <v>4020</v>
      </c>
      <c r="V60" s="38">
        <f t="shared" si="11"/>
        <v>42649.107824074075</v>
      </c>
      <c r="W60" s="52" t="str">
        <f t="shared" si="12"/>
        <v>NW</v>
      </c>
      <c r="X60" s="52" t="str">
        <f t="shared" si="13"/>
        <v>KEEP</v>
      </c>
      <c r="Y60" s="130" t="str">
        <f t="shared" si="14"/>
        <v>echo {"issue":{"subject":"","project_id":79,"tracker_id":40,"status_id":1,"priority_id":2,"assigned_to_id":23,"start_date":"2016-10-05","description":"","custom_fields":[{"id":1,"name":"Subdivision","value":"NW"},{"id":4,"name":"Milepost","value":"5.9048"},{"id":17,"name":"Train ID","value":"843-05"},{"id":16,"name":"Locomotive ID","value":"4020"},{"id":130,"name":"Impact","value":""},{"id":150,"name":"Time of Event (Mountain Time)","value":"20:35:16"},{"id":151,"name":"Denver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5"/>
      <c r="AA60" s="55"/>
      <c r="AB60" s="23"/>
      <c r="AC60" s="171" t="str">
        <f t="shared" si="15"/>
        <v>grep -hSE -A100 "Enforcement Action" "%USERPROFILE%\AppData\Local\Temp\OnboardLogs"\RTDC4020\*4020*201610060* | grep -SE "((Enforcement Ac)|(PRM))" -</v>
      </c>
    </row>
    <row r="61" spans="1:29" x14ac:dyDescent="0.25">
      <c r="A61" s="38">
        <v>42648.824016203704</v>
      </c>
      <c r="B61" s="33" t="s">
        <v>395</v>
      </c>
      <c r="C61" s="33" t="s">
        <v>423</v>
      </c>
      <c r="D61" s="33" t="s">
        <v>49</v>
      </c>
      <c r="E61" s="33" t="s">
        <v>56</v>
      </c>
      <c r="F61" s="49">
        <v>150</v>
      </c>
      <c r="G61" s="49">
        <v>272</v>
      </c>
      <c r="H61" s="49">
        <v>21687</v>
      </c>
      <c r="I61" s="49">
        <v>22104</v>
      </c>
      <c r="J61" s="33" t="s">
        <v>57</v>
      </c>
      <c r="K61" s="49">
        <v>22408</v>
      </c>
      <c r="L61" s="146" t="s">
        <v>52</v>
      </c>
      <c r="M61" s="149">
        <f t="shared" si="8"/>
        <v>160.512</v>
      </c>
      <c r="N61" s="88" t="str">
        <f>VLOOKUP(C61,'Trips&amp;Operators'!$C$1:$E$99999,3,FALSE)</f>
        <v>STAMBAUGH</v>
      </c>
      <c r="O61" s="170" t="s">
        <v>86</v>
      </c>
      <c r="P61" s="10"/>
      <c r="Q61" s="33"/>
      <c r="R61" s="104" t="str">
        <f>VLOOKUP(C61,'Train Runs'!$A$13:$AE$10009,31,0)</f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S61" s="107" t="str">
        <f>VLOOKUP(C61,'Train Runs'!$A$13:$AE$10009,22,0)</f>
        <v>https://search-rtdc-monitor-bjffxe2xuh6vdkpspy63sjmuny.us-east-1.es.amazonaws.com/_plugin/kibana/#/discover/Steve-Slow-Train-Analysis-(2080s-and-2083s)?_g=(refreshInterval:(display:Off,section:0,value:0),time:(from:'2016-10-05 18:38:47-0600',mode:absolute,to:'1969-12-31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61" s="109" t="str">
        <f t="shared" si="9"/>
        <v>"C:\Program Files (x86)\AstroGrep\AstroGrep.exe" /spath="%USERPROFILE%\AppData\Local\Temp\OnboardLogs" /stypes="*4027*201610060*" /stext=" 01:.+((SYSTEM_STATE.+slice.+state.+changed )|(ment ac)|(system.+state.+changed )|(\[timeout)|(PRM\|1\|D)|(kpr)|(kdp)|(\|lc)|(penalty))" /e /r /s</v>
      </c>
      <c r="U61" s="9" t="str">
        <f t="shared" si="10"/>
        <v>4027</v>
      </c>
      <c r="V61" s="38">
        <f t="shared" si="11"/>
        <v>42649.074016203704</v>
      </c>
      <c r="W61" s="52" t="str">
        <f t="shared" si="12"/>
        <v>Other</v>
      </c>
      <c r="X61" s="52" t="str">
        <f t="shared" si="13"/>
        <v>KEEP</v>
      </c>
      <c r="Y61" s="130" t="str">
        <f t="shared" si="14"/>
        <v>echo {"issue":{"subject":"","project_id":79,"tracker_id":40,"status_id":1,"priority_id":2,"assigned_to_id":23,"start_date":"2016-10-05","description":"","custom_fields":[{"id":1,"name":"Subdivision","value":"Other"},{"id":4,"name":"Milepost","value":"2.2408"},{"id":17,"name":"Train ID","value":"307-05"},{"id":16,"name":"Locomotive ID","value":"4027"},{"id":130,"name":"Impact","value":""},{"id":150,"name":"Time of Event (Mountain Time)","value":"19:46:35"},{"id":151,"name":"Denver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55"/>
      <c r="AA61" s="55"/>
      <c r="AB61" s="23"/>
      <c r="AC61" s="171" t="str">
        <f t="shared" si="15"/>
        <v>grep -hSE -A100 "Enforcement Action" "%USERPROFILE%\AppData\Local\Temp\OnboardLogs"\RTDC4027\*4027*201610060* | grep -SE "((Enforcement Ac)|(PRM))" -</v>
      </c>
    </row>
    <row r="62" spans="1:29" x14ac:dyDescent="0.25">
      <c r="A62" s="38">
        <v>42648.652905092589</v>
      </c>
      <c r="B62" s="33" t="s">
        <v>252</v>
      </c>
      <c r="C62" s="33" t="s">
        <v>409</v>
      </c>
      <c r="D62" s="33" t="s">
        <v>49</v>
      </c>
      <c r="E62" s="33" t="s">
        <v>54</v>
      </c>
      <c r="F62" s="49">
        <v>0</v>
      </c>
      <c r="G62" s="49">
        <v>247</v>
      </c>
      <c r="H62" s="49">
        <v>7651</v>
      </c>
      <c r="I62" s="49">
        <v>7128</v>
      </c>
      <c r="J62" s="33" t="s">
        <v>55</v>
      </c>
      <c r="K62" s="49">
        <v>6799</v>
      </c>
      <c r="L62" s="146" t="s">
        <v>53</v>
      </c>
      <c r="M62" s="149">
        <f t="shared" si="8"/>
        <v>173.71199999999999</v>
      </c>
      <c r="N62" s="88" t="str">
        <f>VLOOKUP(C62,'Trips&amp;Operators'!$C$1:$E$99999,3,FALSE)</f>
        <v>LEVERE</v>
      </c>
      <c r="O62" s="170" t="s">
        <v>86</v>
      </c>
      <c r="P62" s="10"/>
      <c r="Q62" s="33"/>
      <c r="R62" s="104" t="str">
        <f>VLOOKUP(C62,'Train Runs'!$A$13:$AE$10009,31,0)</f>
        <v>aws s3 cp s3://rtdc.mdm.uploadarchive.raw/RTDC4032/ "%USERPROFILE%\AppData\Local\Temp\OnboardLogs"\RTDC4032\2016-10-05 --exclude "*" --recursive --include "*20161005*" &amp; "%USERPROFILE%\Documents\GitHub\mrs-test-scripts\Headless Mode &amp; Sideloading\WalkAndUnGZ.bat" "%USERPROFILE%\AppData\Local\Temp\OnboardLogs"\RTDC4032\2016-10-05 &amp; 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</v>
      </c>
      <c r="S62" s="107" t="str">
        <f>VLOOKUP(C62,'Train Runs'!$A$13:$AE$10009,22,0)</f>
        <v>https://search-rtdc-monitor-bjffxe2xuh6vdkpspy63sjmuny.us-east-1.es.amazonaws.com/_plugin/kibana/#/discover/Steve-Slow-Train-Analysis-(2080s-and-2083s)?_g=(refreshInterval:(display:Off,section:0,value:0),time:(from:'2016-10-05 14:25:54-0600',mode:absolute,to:'2016-10-05 16:44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62" s="109" t="str">
        <f t="shared" si="9"/>
        <v>"C:\Program Files (x86)\AstroGrep\AstroGrep.exe" /spath="%USERPROFILE%\AppData\Local\Temp\OnboardLogs" /stypes="*4032*201610052*" /stext=" 21:.+((SYSTEM_STATE.+slice.+state.+changed )|(ment ac)|(system.+state.+changed )|(\[timeout)|(PRM\|1\|D)|(kpr)|(kdp)|(\|lc)|(penalty))" /e /r /s</v>
      </c>
      <c r="U62" s="9" t="str">
        <f t="shared" si="10"/>
        <v>4032</v>
      </c>
      <c r="V62" s="38">
        <f t="shared" si="11"/>
        <v>42648.902905092589</v>
      </c>
      <c r="W62" s="52" t="str">
        <f t="shared" si="12"/>
        <v>Other</v>
      </c>
      <c r="X62" s="52" t="str">
        <f t="shared" si="13"/>
        <v>KEEP</v>
      </c>
      <c r="Y62" s="130" t="str">
        <f t="shared" si="14"/>
        <v>echo {"issue":{"subject":"","project_id":79,"tracker_id":40,"status_id":1,"priority_id":2,"assigned_to_id":23,"start_date":"2016-10-05","description":"","custom_fields":[{"id":1,"name":"Subdivision","value":"Other"},{"id":4,"name":"Milepost","value":"0.6799"},{"id":17,"name":"Train ID","value":"904-05"},{"id":16,"name":"Locomotive ID","value":"4032"},{"id":130,"name":"Impact","value":""},{"id":150,"name":"Time of Event (Mountain Time)","value":"15:40:11"},{"id":151,"name":"Denver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55"/>
      <c r="AA62" s="55"/>
      <c r="AB62" s="23"/>
      <c r="AC62" s="171" t="str">
        <f t="shared" si="15"/>
        <v>grep -hSE -A100 "Enforcement Action" "%USERPROFILE%\AppData\Local\Temp\OnboardLogs"\RTDC4032\*4032*201610052* | grep -SE "((Enforcement Ac)|(PRM))" -</v>
      </c>
    </row>
    <row r="63" spans="1:29" x14ac:dyDescent="0.25">
      <c r="A63" s="38">
        <v>42648.115740740737</v>
      </c>
      <c r="B63" s="33" t="s">
        <v>168</v>
      </c>
      <c r="C63" s="33" t="s">
        <v>319</v>
      </c>
      <c r="D63" s="33" t="s">
        <v>49</v>
      </c>
      <c r="E63" s="33" t="s">
        <v>54</v>
      </c>
      <c r="F63" s="49">
        <v>0</v>
      </c>
      <c r="G63" s="49">
        <v>68</v>
      </c>
      <c r="H63" s="49">
        <v>126225</v>
      </c>
      <c r="I63" s="49">
        <v>126309</v>
      </c>
      <c r="J63" s="33" t="s">
        <v>55</v>
      </c>
      <c r="K63" s="49">
        <v>126585</v>
      </c>
      <c r="L63" s="146" t="s">
        <v>52</v>
      </c>
      <c r="M63" s="149">
        <f t="shared" si="8"/>
        <v>145.72800000000001</v>
      </c>
      <c r="N63" s="88" t="b">
        <f>VLOOKUP(C63,'Trips&amp;Operators'!$C$1:$E$99999,3,FALSE)</f>
        <v>1</v>
      </c>
      <c r="O63" s="170" t="s">
        <v>86</v>
      </c>
      <c r="P63" s="10"/>
      <c r="Q63" s="33"/>
      <c r="R63" s="104" t="str">
        <f>VLOOKUP(C63,'Train Runs'!$A$13:$AE$10009,31,0)</f>
        <v>aws s3 cp s3://rtdc.mdm.uploadarchive.raw/RTDC4051/ "%USERPROFILE%\AppData\Local\Temp\OnboardLogs"\RTDC4051\2016-10-05 --exclude "*" --recursive --include "*20161005*" &amp; "%USERPROFILE%\Documents\GitHub\mrs-test-scripts\Headless Mode &amp; Sideloading\WalkAndUnGZ.bat" "%USERPROFILE%\AppData\Local\Temp\OnboardLogs"\RTDC4051\2016-10-05 &amp; aws s3 cp s3://rtdc.mdm.uploadarchive.raw/RTDC4051/ "%USERPROFILE%\AppData\Local\Temp\OnboardLogs"\RTDC4051\2016-10-06 --exclude "*" --recursive --include "*20161006*" &amp; "%USERPROFILE%\Documents\GitHub\mrs-test-scripts\Headless Mode &amp; Sideloading\WalkAndUnGZ.bat" "%USERPROFILE%\AppData\Local\Temp\OnboardLogs"\RTDC4051\2016-10-06</v>
      </c>
      <c r="S63" s="107" t="str">
        <f>VLOOKUP(C63,'Train Runs'!$A$13:$AE$10009,22,0)</f>
        <v>https://search-rtdc-monitor-bjffxe2xuh6vdkpspy63sjmuny.us-east-1.es.amazonaws.com/_plugin/kibana/#/discover/Steve-Slow-Train-Analysis-(2080s-and-2083s)?_g=(refreshInterval:(display:Off,section:0,value:0),time:(from:'2016-10-05 02:19:07-0600',mode:absolute,to:'2016-10-05 05:12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T63" s="109" t="str">
        <f t="shared" si="9"/>
        <v>"C:\Program Files (x86)\AstroGrep\AstroGrep.exe" /spath="%USERPROFILE%\AppData\Local\Temp\OnboardLogs" /stypes="*4051*201610050*" /stext=" 08:.+((SYSTEM_STATE.+slice.+state.+changed )|(ment ac)|(system.+state.+changed )|(\[timeout)|(PRM\|1\|D)|(kpr)|(kdp)|(\|lc)|(penalty))" /e /r /s</v>
      </c>
      <c r="U63" s="9" t="str">
        <f t="shared" si="10"/>
        <v>4051</v>
      </c>
      <c r="V63" s="38">
        <f t="shared" si="11"/>
        <v>42648.365740740737</v>
      </c>
      <c r="W63" s="52" t="str">
        <f t="shared" si="12"/>
        <v>Other</v>
      </c>
      <c r="X63" s="52" t="str">
        <f t="shared" si="13"/>
        <v>KEEP</v>
      </c>
      <c r="Y63" s="130" t="str">
        <f t="shared" si="14"/>
        <v>echo {"issue":{"subject":"","project_id":79,"tracker_id":40,"status_id":1,"priority_id":2,"assigned_to_id":23,"start_date":"2016-10-05","description":"","custom_fields":[{"id":1,"name":"Subdivision","value":"Other"},{"id":4,"name":"Milepost","value":"12.6585"},{"id":17,"name":"Train ID","value":"315-04"},{"id":16,"name":"Locomotive ID","value":"4051"},{"id":130,"name":"Impact","value":""},{"id":150,"name":"Time of Event (Mountain Time)","value":"02:46:40"},{"id":151,"name":"Denver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55"/>
      <c r="AA63" s="55"/>
      <c r="AB63" s="23"/>
      <c r="AC63" s="171" t="str">
        <f t="shared" si="15"/>
        <v>grep -hSE -A100 "Enforcement Action" "%USERPROFILE%\AppData\Local\Temp\OnboardLogs"\RTDC4051\*4051*201610050* | grep -SE "((Enforcement Ac)|(PRM))" -</v>
      </c>
    </row>
    <row r="64" spans="1:29" x14ac:dyDescent="0.25">
      <c r="A64" s="38">
        <v>42648.117523148147</v>
      </c>
      <c r="B64" s="33" t="s">
        <v>168</v>
      </c>
      <c r="C64" s="33" t="s">
        <v>319</v>
      </c>
      <c r="D64" s="33" t="s">
        <v>49</v>
      </c>
      <c r="E64" s="33" t="s">
        <v>54</v>
      </c>
      <c r="F64" s="49">
        <v>0</v>
      </c>
      <c r="G64" s="49">
        <v>10</v>
      </c>
      <c r="H64" s="49">
        <v>126316</v>
      </c>
      <c r="I64" s="49">
        <v>126373</v>
      </c>
      <c r="J64" s="33" t="s">
        <v>55</v>
      </c>
      <c r="K64" s="49">
        <v>126585</v>
      </c>
      <c r="L64" s="146" t="s">
        <v>52</v>
      </c>
      <c r="M64" s="149">
        <f t="shared" si="8"/>
        <v>111.93600000000001</v>
      </c>
      <c r="N64" s="88" t="b">
        <f>VLOOKUP(C64,'Trips&amp;Operators'!$C$1:$E$99999,3,FALSE)</f>
        <v>1</v>
      </c>
      <c r="O64" s="170" t="s">
        <v>86</v>
      </c>
      <c r="P64" s="10"/>
      <c r="Q64" s="33"/>
      <c r="R64" s="104" t="str">
        <f>VLOOKUP(C64,'Train Runs'!$A$13:$AE$10009,31,0)</f>
        <v>aws s3 cp s3://rtdc.mdm.uploadarchive.raw/RTDC4051/ "%USERPROFILE%\AppData\Local\Temp\OnboardLogs"\RTDC4051\2016-10-05 --exclude "*" --recursive --include "*20161005*" &amp; "%USERPROFILE%\Documents\GitHub\mrs-test-scripts\Headless Mode &amp; Sideloading\WalkAndUnGZ.bat" "%USERPROFILE%\AppData\Local\Temp\OnboardLogs"\RTDC4051\2016-10-05 &amp; aws s3 cp s3://rtdc.mdm.uploadarchive.raw/RTDC4051/ "%USERPROFILE%\AppData\Local\Temp\OnboardLogs"\RTDC4051\2016-10-06 --exclude "*" --recursive --include "*20161006*" &amp; "%USERPROFILE%\Documents\GitHub\mrs-test-scripts\Headless Mode &amp; Sideloading\WalkAndUnGZ.bat" "%USERPROFILE%\AppData\Local\Temp\OnboardLogs"\RTDC4051\2016-10-06</v>
      </c>
      <c r="S64" s="107" t="str">
        <f>VLOOKUP(C64,'Train Runs'!$A$13:$AE$10009,22,0)</f>
        <v>https://search-rtdc-monitor-bjffxe2xuh6vdkpspy63sjmuny.us-east-1.es.amazonaws.com/_plugin/kibana/#/discover/Steve-Slow-Train-Analysis-(2080s-and-2083s)?_g=(refreshInterval:(display:Off,section:0,value:0),time:(from:'2016-10-05 02:19:07-0600',mode:absolute,to:'2016-10-05 05:12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T64" s="109" t="str">
        <f t="shared" si="9"/>
        <v>"C:\Program Files (x86)\AstroGrep\AstroGrep.exe" /spath="%USERPROFILE%\AppData\Local\Temp\OnboardLogs" /stypes="*4051*201610050*" /stext=" 08:.+((SYSTEM_STATE.+slice.+state.+changed )|(ment ac)|(system.+state.+changed )|(\[timeout)|(PRM\|1\|D)|(kpr)|(kdp)|(\|lc)|(penalty))" /e /r /s</v>
      </c>
      <c r="U64" s="9" t="str">
        <f t="shared" si="10"/>
        <v>4051</v>
      </c>
      <c r="V64" s="38">
        <f t="shared" si="11"/>
        <v>42648.367523148147</v>
      </c>
      <c r="W64" s="52" t="str">
        <f t="shared" si="12"/>
        <v>Other</v>
      </c>
      <c r="X64" s="52" t="str">
        <f t="shared" si="13"/>
        <v>KEEP</v>
      </c>
      <c r="Y64" s="130" t="str">
        <f t="shared" si="14"/>
        <v>echo {"issue":{"subject":"","project_id":79,"tracker_id":40,"status_id":1,"priority_id":2,"assigned_to_id":23,"start_date":"2016-10-05","description":"","custom_fields":[{"id":1,"name":"Subdivision","value":"Other"},{"id":4,"name":"Milepost","value":"12.6585"},{"id":17,"name":"Train ID","value":"315-04"},{"id":16,"name":"Locomotive ID","value":"4051"},{"id":130,"name":"Impact","value":""},{"id":150,"name":"Time of Event (Mountain Time)","value":"02:49:14"},{"id":151,"name":"Denver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55"/>
      <c r="AA64" s="55"/>
      <c r="AB64" s="23"/>
      <c r="AC64" s="171" t="str">
        <f t="shared" si="15"/>
        <v>grep -hSE -A100 "Enforcement Action" "%USERPROFILE%\AppData\Local\Temp\OnboardLogs"\RTDC4051\*4051*201610050* | grep -SE "((Enforcement Ac)|(PRM))" -</v>
      </c>
    </row>
    <row r="65" spans="1:29" x14ac:dyDescent="0.25">
      <c r="A65" s="38">
        <v>42648.656030092592</v>
      </c>
      <c r="B65" s="33" t="s">
        <v>252</v>
      </c>
      <c r="C65" s="33" t="s">
        <v>409</v>
      </c>
      <c r="D65" s="33" t="s">
        <v>49</v>
      </c>
      <c r="E65" s="33" t="s">
        <v>50</v>
      </c>
      <c r="F65" s="49">
        <v>0</v>
      </c>
      <c r="G65" s="49">
        <v>37</v>
      </c>
      <c r="H65" s="49">
        <v>698</v>
      </c>
      <c r="I65" s="49">
        <v>657</v>
      </c>
      <c r="J65" s="33" t="s">
        <v>51</v>
      </c>
      <c r="K65" s="49">
        <v>575</v>
      </c>
      <c r="L65" s="146" t="s">
        <v>53</v>
      </c>
      <c r="M65" s="149">
        <f t="shared" si="8"/>
        <v>43.296000000000006</v>
      </c>
      <c r="N65" s="88" t="str">
        <f>VLOOKUP(C65,'Trips&amp;Operators'!$C$1:$E$99999,3,FALSE)</f>
        <v>LEVERE</v>
      </c>
      <c r="O65" s="170" t="s">
        <v>86</v>
      </c>
      <c r="P65" s="10"/>
      <c r="Q65" s="33"/>
      <c r="R65" s="104" t="str">
        <f>VLOOKUP(C65,'Train Runs'!$A$13:$AE$10009,31,0)</f>
        <v>aws s3 cp s3://rtdc.mdm.uploadarchive.raw/RTDC4032/ "%USERPROFILE%\AppData\Local\Temp\OnboardLogs"\RTDC4032\2016-10-05 --exclude "*" --recursive --include "*20161005*" &amp; "%USERPROFILE%\Documents\GitHub\mrs-test-scripts\Headless Mode &amp; Sideloading\WalkAndUnGZ.bat" "%USERPROFILE%\AppData\Local\Temp\OnboardLogs"\RTDC4032\2016-10-05 &amp; aws s3 cp s3://rtdc.mdm.uploadarchive.raw/RTDC4032/ "%USERPROFILE%\AppData\Local\Temp\OnboardLogs"\RTDC4032\2016-10-06 --exclude "*" --recursive --include "*20161006*" &amp; "%USERPROFILE%\Documents\GitHub\mrs-test-scripts\Headless Mode &amp; Sideloading\WalkAndUnGZ.bat" "%USERPROFILE%\AppData\Local\Temp\OnboardLogs"\RTDC4032\2016-10-06</v>
      </c>
      <c r="S65" s="107" t="str">
        <f>VLOOKUP(C65,'Train Runs'!$A$13:$AE$10009,22,0)</f>
        <v>https://search-rtdc-monitor-bjffxe2xuh6vdkpspy63sjmuny.us-east-1.es.amazonaws.com/_plugin/kibana/#/discover/Steve-Slow-Train-Analysis-(2080s-and-2083s)?_g=(refreshInterval:(display:Off,section:0,value:0),time:(from:'2016-10-05 14:25:54-0600',mode:absolute,to:'2016-10-05 16:44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65" s="109" t="str">
        <f t="shared" si="9"/>
        <v>"C:\Program Files (x86)\AstroGrep\AstroGrep.exe" /spath="%USERPROFILE%\AppData\Local\Temp\OnboardLogs" /stypes="*4032*201610052*" /stext=" 21:.+((SYSTEM_STATE.+slice.+state.+changed )|(ment ac)|(system.+state.+changed )|(\[timeout)|(PRM\|1\|D)|(kpr)|(kdp)|(\|lc)|(penalty))" /e /r /s</v>
      </c>
      <c r="U65" s="9" t="str">
        <f t="shared" si="10"/>
        <v>4032</v>
      </c>
      <c r="V65" s="38">
        <f t="shared" si="11"/>
        <v>42648.906030092592</v>
      </c>
      <c r="W65" s="52" t="str">
        <f t="shared" si="12"/>
        <v>Other</v>
      </c>
      <c r="X65" s="52" t="str">
        <f t="shared" si="13"/>
        <v>KEEP</v>
      </c>
      <c r="Y65" s="130" t="str">
        <f t="shared" si="14"/>
        <v>echo {"issue":{"subject":"","project_id":79,"tracker_id":40,"status_id":1,"priority_id":2,"assigned_to_id":23,"start_date":"2016-10-05","description":"","custom_fields":[{"id":1,"name":"Subdivision","value":"Other"},{"id":4,"name":"Milepost","value":"0.0575"},{"id":17,"name":"Train ID","value":"904-05"},{"id":16,"name":"Locomotive ID","value":"4032"},{"id":130,"name":"Impact","value":""},{"id":150,"name":"Time of Event (Mountain Time)","value":"15:44:41"},{"id":151,"name":"Denver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55"/>
      <c r="AA65" s="55"/>
      <c r="AB65" s="23"/>
      <c r="AC65" s="171" t="str">
        <f t="shared" si="15"/>
        <v>grep -hSE -A100 "Enforcement Action" "%USERPROFILE%\AppData\Local\Temp\OnboardLogs"\RTDC4032\*4032*201610052* | grep -SE "((Enforcement Ac)|(PRM))" -</v>
      </c>
    </row>
    <row r="66" spans="1:29" x14ac:dyDescent="0.25">
      <c r="A66" s="38">
        <v>42648.725335648145</v>
      </c>
      <c r="B66" s="33" t="s">
        <v>170</v>
      </c>
      <c r="C66" s="33" t="s">
        <v>416</v>
      </c>
      <c r="D66" s="33" t="s">
        <v>49</v>
      </c>
      <c r="E66" s="33" t="s">
        <v>50</v>
      </c>
      <c r="F66" s="49">
        <v>0</v>
      </c>
      <c r="G66" s="49">
        <v>12</v>
      </c>
      <c r="H66" s="49">
        <v>841</v>
      </c>
      <c r="I66" s="49">
        <v>833</v>
      </c>
      <c r="J66" s="33" t="s">
        <v>51</v>
      </c>
      <c r="K66" s="49">
        <v>826</v>
      </c>
      <c r="L66" s="146" t="s">
        <v>53</v>
      </c>
      <c r="M66" s="149">
        <f t="shared" si="8"/>
        <v>3.6960000000000002</v>
      </c>
      <c r="N66" s="88" t="str">
        <f>VLOOKUP(C66,'Trips&amp;Operators'!$C$1:$E$99999,3,FALSE)</f>
        <v>CUSHING</v>
      </c>
      <c r="O66" s="170" t="s">
        <v>86</v>
      </c>
      <c r="P66" s="10"/>
      <c r="Q66" s="33"/>
      <c r="R66" s="104" t="str">
        <f>VLOOKUP(C66,'Train Runs'!$A$13:$AE$10009,31,0)</f>
        <v>aws s3 cp s3://rtdc.mdm.uploadarchive.raw/RTDC4041/ "%USERPROFILE%\AppData\Local\Temp\OnboardLogs"\RTDC4041\2016-10-05 --exclude "*" --recursive --include "*20161005*" &amp; "%USERPROFILE%\Documents\GitHub\mrs-test-scripts\Headless Mode &amp; Sideloading\WalkAndUnGZ.bat" "%USERPROFILE%\AppData\Local\Temp\OnboardLogs"\RTDC4041\2016-10-05 &amp; aws s3 cp s3://rtdc.mdm.uploadarchive.raw/RTDC4041/ "%USERPROFILE%\AppData\Local\Temp\OnboardLogs"\RTDC4041\2016-10-06 --exclude "*" --recursive --include "*20161006*" &amp; "%USERPROFILE%\Documents\GitHub\mrs-test-scripts\Headless Mode &amp; Sideloading\WalkAndUnGZ.bat" "%USERPROFILE%\AppData\Local\Temp\OnboardLogs"\RTDC4041\2016-10-06</v>
      </c>
      <c r="S66" s="107" t="str">
        <f>VLOOKUP(C66,'Train Runs'!$A$13:$AE$10009,22,0)</f>
        <v>https://search-rtdc-monitor-bjffxe2xuh6vdkpspy63sjmuny.us-east-1.es.amazonaws.com/_plugin/kibana/#/discover/Steve-Slow-Train-Analysis-(2080s-and-2083s)?_g=(refreshInterval:(display:Off,section:0,value:0),time:(from:'2016-10-05 16:07:33-0600',mode:absolute,to:'2016-10-05 18:24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66" s="109" t="str">
        <f t="shared" si="9"/>
        <v>"C:\Program Files (x86)\AstroGrep\AstroGrep.exe" /spath="%USERPROFILE%\AppData\Local\Temp\OnboardLogs" /stypes="*4041*201610052*" /stext=" 23:.+((SYSTEM_STATE.+slice.+state.+changed )|(ment ac)|(system.+state.+changed )|(\[timeout)|(PRM\|1\|D)|(kpr)|(kdp)|(\|lc)|(penalty))" /e /r /s</v>
      </c>
      <c r="U66" s="9" t="str">
        <f t="shared" si="10"/>
        <v>4041</v>
      </c>
      <c r="V66" s="38">
        <f t="shared" si="11"/>
        <v>42648.975335648145</v>
      </c>
      <c r="W66" s="52" t="str">
        <f t="shared" si="12"/>
        <v>Other</v>
      </c>
      <c r="X66" s="52" t="str">
        <f t="shared" si="13"/>
        <v>KEEP</v>
      </c>
      <c r="Y66" s="130" t="str">
        <f t="shared" si="14"/>
        <v>echo {"issue":{"subject":"","project_id":79,"tracker_id":40,"status_id":1,"priority_id":2,"assigned_to_id":23,"start_date":"2016-10-05","description":"","custom_fields":[{"id":1,"name":"Subdivision","value":"Other"},{"id":4,"name":"Milepost","value":"0.0826"},{"id":17,"name":"Train ID","value":"54-05"},{"id":16,"name":"Locomotive ID","value":"4041"},{"id":130,"name":"Impact","value":""},{"id":150,"name":"Time of Event (Mountain Time)","value":"17:24:29"},{"id":151,"name":"Denver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6" s="55"/>
      <c r="AA66" s="55"/>
      <c r="AB66" s="23"/>
      <c r="AC66" s="171" t="str">
        <f t="shared" si="15"/>
        <v>grep -hSE -A100 "Enforcement Action" "%USERPROFILE%\AppData\Local\Temp\OnboardLogs"\RTDC4041\*4041*201610052* | grep -SE "((Enforcement Ac)|(PRM))" -</v>
      </c>
    </row>
    <row r="67" spans="1:29" x14ac:dyDescent="0.25">
      <c r="B67" s="23"/>
      <c r="C67" s="23"/>
      <c r="D67" s="23"/>
      <c r="E67" s="23"/>
      <c r="J67" s="23"/>
    </row>
  </sheetData>
  <autoFilter ref="A6:AC66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15" operator="equal">
      <formula>"Y"</formula>
    </cfRule>
  </conditionalFormatting>
  <conditionalFormatting sqref="A7:P66">
    <cfRule type="expression" dxfId="1" priority="8">
      <formula>$O7="Y"</formula>
    </cfRule>
  </conditionalFormatting>
  <conditionalFormatting sqref="O2:O3">
    <cfRule type="cellIs" dxfId="0" priority="6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AB7:AB66</xm:sqref>
        </x14:dataValidation>
        <x14:dataValidation type="list" allowBlank="1" showInputMessage="1" showErrorMessage="1">
          <x14:formula1>
            <xm:f>'Redmine List Values'!$A$2:$A$7</xm:f>
          </x14:formula1>
          <xm:sqref>AA7:AA66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8"/>
  <sheetViews>
    <sheetView workbookViewId="0">
      <selection activeCell="B3" sqref="B3:B7"/>
    </sheetView>
  </sheetViews>
  <sheetFormatPr defaultRowHeight="15" x14ac:dyDescent="0.25"/>
  <cols>
    <col min="1" max="1" width="9.140625" style="157"/>
    <col min="2" max="2" width="9.140625" style="2" customWidth="1"/>
    <col min="3" max="3" width="8" style="116" bestFit="1" customWidth="1"/>
    <col min="4" max="4" width="9.85546875" style="112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57"/>
      <c r="B1" s="186" t="str">
        <f>"Trips that did not appear in PTC Data "&amp;TEXT(Variables!$A$2,"YYYY-mm-dd")</f>
        <v>Trips that did not appear in PTC Data 2016-10-05</v>
      </c>
      <c r="C1" s="186"/>
      <c r="D1" s="186"/>
      <c r="E1" s="186"/>
      <c r="F1" s="186"/>
    </row>
    <row r="2" spans="1:11" s="26" customFormat="1" ht="45" x14ac:dyDescent="0.25">
      <c r="A2" s="166" t="s">
        <v>164</v>
      </c>
      <c r="B2" s="121" t="s">
        <v>64</v>
      </c>
      <c r="C2" s="113" t="s">
        <v>65</v>
      </c>
      <c r="D2" s="114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A3" s="157">
        <v>158</v>
      </c>
      <c r="B3" s="2" t="str">
        <f>A3&amp;"-"&amp;IF(DAY(Variables!$A$2)&lt;10,0,"")&amp;DAY(Variables!$A$2)</f>
        <v>158-05</v>
      </c>
      <c r="C3" s="115"/>
      <c r="D3" s="115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4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22158-05%22)),sort:!(Time,asc))</v>
      </c>
      <c r="J3" s="23"/>
      <c r="K3" s="23"/>
    </row>
    <row r="4" spans="1:11" x14ac:dyDescent="0.25">
      <c r="A4" s="157">
        <v>160</v>
      </c>
      <c r="B4" s="2" t="str">
        <f>A4&amp;"-"&amp;IF(DAY(Variables!$A$2)&lt;10,0,"")&amp;DAY(Variables!$A$2)</f>
        <v>160-05</v>
      </c>
      <c r="C4" s="115"/>
      <c r="D4" s="115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22160-05%22)),sort:!(Time,asc))</v>
      </c>
      <c r="J4" s="23"/>
      <c r="K4" s="23"/>
    </row>
    <row r="5" spans="1:11" x14ac:dyDescent="0.25">
      <c r="A5" s="157">
        <v>161</v>
      </c>
      <c r="B5" s="2" t="str">
        <f>A5&amp;"-"&amp;IF(DAY(Variables!$A$2)&lt;10,0,"")&amp;DAY(Variables!$A$2)</f>
        <v>161-05</v>
      </c>
      <c r="C5" s="115"/>
      <c r="D5" s="115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ref="I5:I13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22161-05%22)),sort:!(Time,asc))</v>
      </c>
      <c r="J5" s="23"/>
      <c r="K5" s="23"/>
    </row>
    <row r="6" spans="1:11" x14ac:dyDescent="0.25">
      <c r="A6" s="157">
        <v>166</v>
      </c>
      <c r="B6" s="2" t="str">
        <f>A6&amp;"-"&amp;IF(DAY(Variables!$A$2)&lt;10,0,"")&amp;DAY(Variables!$A$2)</f>
        <v>166-05</v>
      </c>
      <c r="C6" s="115"/>
      <c r="D6" s="115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22166-05%22)),sort:!(Time,asc))</v>
      </c>
      <c r="J6" s="23"/>
      <c r="K6" s="23"/>
    </row>
    <row r="7" spans="1:11" x14ac:dyDescent="0.25">
      <c r="A7" s="157">
        <v>175</v>
      </c>
      <c r="B7" s="2" t="str">
        <f>A7&amp;"-"&amp;IF(DAY(Variables!$A$2)&lt;10,0,"")&amp;DAY(Variables!$A$2)</f>
        <v>175-05</v>
      </c>
      <c r="C7" s="115"/>
      <c r="D7" s="115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22175-05%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-05</v>
      </c>
      <c r="C8" s="115"/>
      <c r="D8" s="115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-05</v>
      </c>
      <c r="C9" s="115"/>
      <c r="D9" s="115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-05</v>
      </c>
      <c r="C10" s="115"/>
      <c r="D10" s="115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10" s="23"/>
      <c r="K10" s="23"/>
    </row>
    <row r="11" spans="1:11" x14ac:dyDescent="0.25">
      <c r="B11" s="2" t="str">
        <f>A11&amp;"-"&amp;IF(DAY(Variables!$A$2)&lt;10,0,"")&amp;DAY(Variables!$A$2)</f>
        <v>-05</v>
      </c>
      <c r="C11" s="115"/>
      <c r="D11" s="115"/>
      <c r="E11" s="33"/>
      <c r="F11" s="24" t="e">
        <f>VLOOKUP(B11,'Trips&amp;Operators'!$C$2:$E$10000,3,FALSE)</f>
        <v>#N/A</v>
      </c>
      <c r="G11" s="24" t="e">
        <f>VLOOKUP(B11,'Trips&amp;Operators'!$C$1:$F$10000,4,FALSE)</f>
        <v>#N/A</v>
      </c>
      <c r="H11" s="32" t="e">
        <f>VLOOKUP(B11,'Trips&amp;Operators'!$C$1:$H$10000,5,FALSE)</f>
        <v>#N/A</v>
      </c>
      <c r="I11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11" s="23"/>
      <c r="K11" s="23"/>
    </row>
    <row r="12" spans="1:11" x14ac:dyDescent="0.25">
      <c r="B12" s="2" t="str">
        <f>A12&amp;"-"&amp;IF(DAY(Variables!$A$2)&lt;10,0,"")&amp;DAY(Variables!$A$2)</f>
        <v>-05</v>
      </c>
      <c r="C12" s="115"/>
      <c r="D12" s="115"/>
      <c r="E12" s="33"/>
      <c r="F12" s="24" t="e">
        <f>VLOOKUP(B12,'Trips&amp;Operators'!$C$2:$E$10000,3,FALSE)</f>
        <v>#N/A</v>
      </c>
      <c r="G12" s="24" t="e">
        <f>VLOOKUP(B12,'Trips&amp;Operators'!$C$1:$F$10000,4,FALSE)</f>
        <v>#N/A</v>
      </c>
      <c r="H12" s="32" t="e">
        <f>VLOOKUP(B12,'Trips&amp;Operators'!$C$1:$H$10000,5,FALSE)</f>
        <v>#N/A</v>
      </c>
      <c r="I12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12" s="23"/>
      <c r="K12" s="23"/>
    </row>
    <row r="13" spans="1:11" x14ac:dyDescent="0.25">
      <c r="B13" s="2" t="str">
        <f>A13&amp;"-"&amp;IF(DAY(Variables!$A$2)&lt;10,0,"")&amp;DAY(Variables!$A$2)</f>
        <v>-05</v>
      </c>
      <c r="C13" s="179"/>
      <c r="D13" s="179"/>
      <c r="E13" s="180"/>
      <c r="F13" s="181" t="e">
        <f>VLOOKUP(B13,'Trips&amp;Operators'!$C$2:$E$10000,3,FALSE)</f>
        <v>#N/A</v>
      </c>
      <c r="G13" s="181" t="e">
        <f>VLOOKUP(B13,'Trips&amp;Operators'!$C$1:$F$10000,4,FALSE)</f>
        <v>#N/A</v>
      </c>
      <c r="H13" s="182" t="e">
        <f>VLOOKUP(B13,'Trips&amp;Operators'!$C$1:$H$10000,5,FALSE)</f>
        <v>#N/A</v>
      </c>
      <c r="I13" s="183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13" s="23"/>
      <c r="K13" s="23"/>
    </row>
    <row r="14" spans="1:11" s="23" customFormat="1" x14ac:dyDescent="0.25">
      <c r="A14" s="184"/>
      <c r="B14" s="2" t="str">
        <f>A14&amp;"-"&amp;IF(DAY(Variables!$A$2)&lt;10,0,"")&amp;DAY(Variables!$A$2)</f>
        <v>-05</v>
      </c>
      <c r="C14" s="179"/>
      <c r="D14" s="179"/>
      <c r="E14" s="180"/>
      <c r="F14" s="181" t="e">
        <f>VLOOKUP(B14,'Trips&amp;Operators'!$C$2:$E$10000,3,FALSE)</f>
        <v>#N/A</v>
      </c>
      <c r="G14" s="181" t="e">
        <f>VLOOKUP(B14,'Trips&amp;Operators'!$C$1:$F$10000,4,FALSE)</f>
        <v>#N/A</v>
      </c>
      <c r="H14" s="182" t="e">
        <f>VLOOKUP(B14,'Trips&amp;Operators'!$C$1:$H$10000,5,FALSE)</f>
        <v>#N/A</v>
      </c>
      <c r="I14" s="183" t="str">
        <f t="shared" ref="I14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</row>
    <row r="15" spans="1:11" x14ac:dyDescent="0.25">
      <c r="A15" s="184"/>
      <c r="B15" s="2" t="str">
        <f>A15&amp;"-"&amp;IF(DAY(Variables!$A$2)&lt;10,0,"")&amp;DAY(Variables!$A$2)</f>
        <v>-05</v>
      </c>
      <c r="C15" s="115"/>
      <c r="D15" s="115"/>
      <c r="E15" s="33"/>
      <c r="F15" s="24" t="e">
        <f>VLOOKUP(B15,'Trips&amp;Operators'!$C$2:$E$10000,3,FALSE)</f>
        <v>#N/A</v>
      </c>
      <c r="G15" s="24" t="e">
        <f>VLOOKUP(B15,'Trips&amp;Operators'!$C$1:$F$10000,4,FALSE)</f>
        <v>#N/A</v>
      </c>
      <c r="H15" s="32" t="e">
        <f>VLOOKUP(B15,'Trips&amp;Operators'!$C$1:$H$10000,5,FALSE)</f>
        <v>#N/A</v>
      </c>
      <c r="I15" s="52" t="str">
        <f t="shared" ref="I15:I28" si="3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15" s="23"/>
      <c r="K15" s="23"/>
    </row>
    <row r="16" spans="1:11" x14ac:dyDescent="0.25">
      <c r="A16" s="184"/>
      <c r="B16" s="2" t="str">
        <f>A16&amp;"-"&amp;IF(DAY(Variables!$A$2)&lt;10,0,"")&amp;DAY(Variables!$A$2)</f>
        <v>-05</v>
      </c>
      <c r="C16" s="115"/>
      <c r="D16" s="115"/>
      <c r="E16" s="33"/>
      <c r="F16" s="24" t="e">
        <f>VLOOKUP(B16,'Trips&amp;Operators'!$C$2:$E$10000,3,FALSE)</f>
        <v>#N/A</v>
      </c>
      <c r="G16" s="24" t="e">
        <f>VLOOKUP(B16,'Trips&amp;Operators'!$C$1:$F$10000,4,FALSE)</f>
        <v>#N/A</v>
      </c>
      <c r="H16" s="32" t="e">
        <f>VLOOKUP(B16,'Trips&amp;Operators'!$C$1:$H$10000,5,FALSE)</f>
        <v>#N/A</v>
      </c>
      <c r="I16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16" s="23"/>
      <c r="K16" s="23"/>
    </row>
    <row r="17" spans="2:11" x14ac:dyDescent="0.25">
      <c r="B17" s="2" t="str">
        <f>A17&amp;"-"&amp;IF(DAY(Variables!$A$2)&lt;10,0,"")&amp;DAY(Variables!$A$2)</f>
        <v>-05</v>
      </c>
      <c r="C17" s="115"/>
      <c r="D17" s="115"/>
      <c r="E17" s="33"/>
      <c r="F17" s="24" t="e">
        <f>VLOOKUP(B17,'Trips&amp;Operators'!$C$2:$E$10000,3,FALSE)</f>
        <v>#N/A</v>
      </c>
      <c r="G17" s="24" t="e">
        <f>VLOOKUP(B17,'Trips&amp;Operators'!$C$1:$F$10000,4,FALSE)</f>
        <v>#N/A</v>
      </c>
      <c r="H17" s="32" t="e">
        <f>VLOOKUP(B17,'Trips&amp;Operators'!$C$1:$H$10000,5,FALSE)</f>
        <v>#N/A</v>
      </c>
      <c r="I17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17" s="23"/>
      <c r="K17" s="23"/>
    </row>
    <row r="18" spans="2:11" x14ac:dyDescent="0.25">
      <c r="B18" s="2" t="str">
        <f>A18&amp;"-"&amp;IF(DAY(Variables!$A$2)&lt;10,0,"")&amp;DAY(Variables!$A$2)</f>
        <v>-05</v>
      </c>
      <c r="C18" s="115"/>
      <c r="D18" s="115"/>
      <c r="E18" s="33"/>
      <c r="F18" s="24" t="e">
        <f>VLOOKUP(B18,'Trips&amp;Operators'!$C$2:$E$10000,3,FALSE)</f>
        <v>#N/A</v>
      </c>
      <c r="G18" s="24" t="e">
        <f>VLOOKUP(B18,'Trips&amp;Operators'!$C$1:$F$10000,4,FALSE)</f>
        <v>#N/A</v>
      </c>
      <c r="H18" s="32" t="e">
        <f>VLOOKUP(B18,'Trips&amp;Operators'!$C$1:$H$10000,5,FALSE)</f>
        <v>#N/A</v>
      </c>
      <c r="I18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18" s="23"/>
      <c r="K18" s="23"/>
    </row>
    <row r="19" spans="2:11" x14ac:dyDescent="0.25">
      <c r="B19" s="2" t="str">
        <f>A19&amp;"-"&amp;IF(DAY(Variables!$A$2)&lt;10,0,"")&amp;DAY(Variables!$A$2)</f>
        <v>-05</v>
      </c>
      <c r="C19" s="115"/>
      <c r="D19" s="115"/>
      <c r="E19" s="33"/>
      <c r="F19" s="24" t="e">
        <f>VLOOKUP(B19,'Trips&amp;Operators'!$C$2:$E$10000,3,FALSE)</f>
        <v>#N/A</v>
      </c>
      <c r="G19" s="24" t="e">
        <f>VLOOKUP(B19,'Trips&amp;Operators'!$C$1:$F$10000,4,FALSE)</f>
        <v>#N/A</v>
      </c>
      <c r="H19" s="32" t="e">
        <f>VLOOKUP(B19,'Trips&amp;Operators'!$C$1:$H$10000,5,FALSE)</f>
        <v>#N/A</v>
      </c>
      <c r="I19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19" s="23"/>
      <c r="K19" s="23"/>
    </row>
    <row r="20" spans="2:11" x14ac:dyDescent="0.25">
      <c r="B20" s="2" t="str">
        <f>A20&amp;"-"&amp;IF(DAY(Variables!$A$2)&lt;10,0,"")&amp;DAY(Variables!$A$2)</f>
        <v>-05</v>
      </c>
      <c r="C20" s="115"/>
      <c r="D20" s="115"/>
      <c r="E20" s="33"/>
      <c r="F20" s="24" t="e">
        <f>VLOOKUP(B20,'Trips&amp;Operators'!$C$2:$E$10000,3,FALSE)</f>
        <v>#N/A</v>
      </c>
      <c r="G20" s="24" t="e">
        <f>VLOOKUP(B20,'Trips&amp;Operators'!$C$1:$F$10000,4,FALSE)</f>
        <v>#N/A</v>
      </c>
      <c r="H20" s="32" t="e">
        <f>VLOOKUP(B20,'Trips&amp;Operators'!$C$1:$H$10000,5,FALSE)</f>
        <v>#N/A</v>
      </c>
      <c r="I20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20" s="23"/>
      <c r="K20" s="23"/>
    </row>
    <row r="21" spans="2:11" x14ac:dyDescent="0.25">
      <c r="B21" s="2" t="str">
        <f>A21&amp;"-"&amp;IF(DAY(Variables!$A$2)&lt;10,0,"")&amp;DAY(Variables!$A$2)</f>
        <v>-05</v>
      </c>
      <c r="C21" s="115"/>
      <c r="D21" s="115"/>
      <c r="E21" s="33"/>
      <c r="F21" s="24" t="e">
        <f>VLOOKUP(B21,'Trips&amp;Operators'!$C$2:$E$10000,3,FALSE)</f>
        <v>#N/A</v>
      </c>
      <c r="G21" s="24" t="e">
        <f>VLOOKUP(B21,'Trips&amp;Operators'!$C$1:$F$10000,4,FALSE)</f>
        <v>#N/A</v>
      </c>
      <c r="H21" s="32" t="e">
        <f>VLOOKUP(B21,'Trips&amp;Operators'!$C$1:$H$10000,5,FALSE)</f>
        <v>#N/A</v>
      </c>
      <c r="I21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  <c r="J21" s="23"/>
      <c r="K21" s="23"/>
    </row>
    <row r="22" spans="2:11" x14ac:dyDescent="0.25">
      <c r="B22" s="2" t="str">
        <f>A22&amp;"-"&amp;IF(DAY(Variables!$A$2)&lt;10,0,"")&amp;DAY(Variables!$A$2)</f>
        <v>-05</v>
      </c>
      <c r="C22" s="115"/>
      <c r="D22" s="115"/>
      <c r="E22" s="33"/>
      <c r="F22" s="24" t="e">
        <f>VLOOKUP(B22,'Trips&amp;Operators'!$C$2:$E$10000,3,FALSE)</f>
        <v>#N/A</v>
      </c>
      <c r="G22" s="24" t="e">
        <f>VLOOKUP(B22,'Trips&amp;Operators'!$C$1:$F$10000,4,FALSE)</f>
        <v>#N/A</v>
      </c>
      <c r="H22" s="32" t="e">
        <f>VLOOKUP(B22,'Trips&amp;Operators'!$C$1:$H$10000,5,FALSE)</f>
        <v>#N/A</v>
      </c>
      <c r="I22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</row>
    <row r="23" spans="2:11" x14ac:dyDescent="0.25">
      <c r="B23" s="2" t="str">
        <f>A23&amp;"-"&amp;IF(DAY(Variables!$A$2)&lt;10,0,"")&amp;DAY(Variables!$A$2)</f>
        <v>-05</v>
      </c>
      <c r="C23" s="115"/>
      <c r="D23" s="115"/>
      <c r="E23" s="33"/>
      <c r="F23" s="24" t="e">
        <f>VLOOKUP(B23,'Trips&amp;Operators'!$C$2:$E$10000,3,FALSE)</f>
        <v>#N/A</v>
      </c>
      <c r="G23" s="24" t="e">
        <f>VLOOKUP(B23,'Trips&amp;Operators'!$C$1:$F$10000,4,FALSE)</f>
        <v>#N/A</v>
      </c>
      <c r="H23" s="32" t="e">
        <f>VLOOKUP(B23,'Trips&amp;Operators'!$C$1:$H$10000,5,FALSE)</f>
        <v>#N/A</v>
      </c>
      <c r="I23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</row>
    <row r="24" spans="2:11" x14ac:dyDescent="0.25">
      <c r="B24" s="2" t="str">
        <f>A24&amp;"-"&amp;IF(DAY(Variables!$A$2)&lt;10,0,"")&amp;DAY(Variables!$A$2)</f>
        <v>-05</v>
      </c>
      <c r="C24" s="115"/>
      <c r="D24" s="115"/>
      <c r="E24" s="33"/>
      <c r="F24" s="24" t="e">
        <f>VLOOKUP(B24,'Trips&amp;Operators'!$C$2:$E$10000,3,FALSE)</f>
        <v>#N/A</v>
      </c>
      <c r="G24" s="24" t="e">
        <f>VLOOKUP(B24,'Trips&amp;Operators'!$C$1:$F$10000,4,FALSE)</f>
        <v>#N/A</v>
      </c>
      <c r="H24" s="32" t="e">
        <f>VLOOKUP(B24,'Trips&amp;Operators'!$C$1:$H$10000,5,FALSE)</f>
        <v>#N/A</v>
      </c>
      <c r="I24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</row>
    <row r="25" spans="2:11" x14ac:dyDescent="0.25">
      <c r="B25" s="2" t="str">
        <f>A25&amp;"-"&amp;IF(DAY(Variables!$A$2)&lt;10,0,"")&amp;DAY(Variables!$A$2)</f>
        <v>-05</v>
      </c>
      <c r="C25" s="115"/>
      <c r="D25" s="115"/>
      <c r="E25" s="33"/>
      <c r="F25" s="24" t="e">
        <f>VLOOKUP(B25,'Trips&amp;Operators'!$C$2:$E$10000,3,FALSE)</f>
        <v>#N/A</v>
      </c>
      <c r="G25" s="24" t="e">
        <f>VLOOKUP(B25,'Trips&amp;Operators'!$C$1:$F$10000,4,FALSE)</f>
        <v>#N/A</v>
      </c>
      <c r="H25" s="32" t="e">
        <f>VLOOKUP(B25,'Trips&amp;Operators'!$C$1:$H$10000,5,FALSE)</f>
        <v>#N/A</v>
      </c>
      <c r="I25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</row>
    <row r="26" spans="2:11" x14ac:dyDescent="0.25">
      <c r="B26" s="2" t="str">
        <f>A26&amp;"-"&amp;IF(DAY(Variables!$A$2)&lt;10,0,"")&amp;DAY(Variables!$A$2)</f>
        <v>-05</v>
      </c>
      <c r="C26" s="115"/>
      <c r="D26" s="115"/>
      <c r="E26" s="33"/>
      <c r="F26" s="24" t="e">
        <f>VLOOKUP(B26,'Trips&amp;Operators'!$C$2:$E$10000,3,FALSE)</f>
        <v>#N/A</v>
      </c>
      <c r="G26" s="24" t="e">
        <f>VLOOKUP(B26,'Trips&amp;Operators'!$C$1:$F$10000,4,FALSE)</f>
        <v>#N/A</v>
      </c>
      <c r="H26" s="32" t="e">
        <f>VLOOKUP(B26,'Trips&amp;Operators'!$C$1:$H$10000,5,FALSE)</f>
        <v>#N/A</v>
      </c>
      <c r="I26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</row>
    <row r="27" spans="2:11" x14ac:dyDescent="0.25">
      <c r="B27" s="2" t="str">
        <f>A27&amp;"-"&amp;IF(DAY(Variables!$A$2)&lt;10,0,"")&amp;DAY(Variables!$A$2)</f>
        <v>-05</v>
      </c>
      <c r="C27" s="115"/>
      <c r="D27" s="115"/>
      <c r="E27" s="33"/>
      <c r="F27" s="24" t="e">
        <f>VLOOKUP(B27,'Trips&amp;Operators'!$C$2:$E$10000,3,FALSE)</f>
        <v>#N/A</v>
      </c>
      <c r="G27" s="24" t="e">
        <f>VLOOKUP(B27,'Trips&amp;Operators'!$C$1:$F$10000,4,FALSE)</f>
        <v>#N/A</v>
      </c>
      <c r="H27" s="32" t="e">
        <f>VLOOKUP(B27,'Trips&amp;Operators'!$C$1:$H$10000,5,FALSE)</f>
        <v>#N/A</v>
      </c>
      <c r="I27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</row>
    <row r="28" spans="2:11" x14ac:dyDescent="0.25">
      <c r="B28" s="2" t="str">
        <f>A28&amp;"-"&amp;IF(DAY(Variables!$A$2)&lt;10,0,"")&amp;DAY(Variables!$A$2)</f>
        <v>-05</v>
      </c>
      <c r="C28" s="115"/>
      <c r="D28" s="115"/>
      <c r="E28" s="33"/>
      <c r="F28" s="24" t="e">
        <f>VLOOKUP(B28,'Trips&amp;Operators'!$C$2:$E$10000,3,FALSE)</f>
        <v>#N/A</v>
      </c>
      <c r="G28" s="24" t="e">
        <f>VLOOKUP(B28,'Trips&amp;Operators'!$C$1:$F$10000,4,FALSE)</f>
        <v>#N/A</v>
      </c>
      <c r="H28" s="32" t="e">
        <f>VLOOKUP(B28,'Trips&amp;Operators'!$C$1:$H$10000,5,FALSE)</f>
        <v>#N/A</v>
      </c>
      <c r="I28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-05%22)),sort:!(Time,asc))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6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216</v>
      </c>
      <c r="B1" s="23" t="s">
        <v>217</v>
      </c>
      <c r="C1" s="23" t="s">
        <v>0</v>
      </c>
      <c r="D1" s="23" t="s">
        <v>218</v>
      </c>
      <c r="E1" s="23" t="s">
        <v>219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42648.033101851855</v>
      </c>
      <c r="B2" s="23" t="s">
        <v>254</v>
      </c>
      <c r="C2" s="23" t="s">
        <v>316</v>
      </c>
      <c r="D2" s="23">
        <v>1180000</v>
      </c>
      <c r="E2" s="23" t="s">
        <v>226</v>
      </c>
      <c r="F2" s="23" t="str">
        <f t="shared" ref="F2:F65" si="0">B2</f>
        <v>rtdc.l.rtdc.4053:itc</v>
      </c>
      <c r="G2" s="8">
        <f t="shared" ref="G2:G65" si="1">A2</f>
        <v>42648.033101851855</v>
      </c>
    </row>
    <row r="3" spans="1:7" x14ac:dyDescent="0.25">
      <c r="A3" s="8">
        <v>42648.036157407405</v>
      </c>
      <c r="B3" s="23" t="s">
        <v>170</v>
      </c>
      <c r="C3" s="23" t="s">
        <v>317</v>
      </c>
      <c r="D3" s="23">
        <v>1230000</v>
      </c>
      <c r="E3" s="23" t="s">
        <v>315</v>
      </c>
      <c r="F3" s="23" t="str">
        <f t="shared" si="0"/>
        <v>rtdc.l.rtdc.4041:itc</v>
      </c>
      <c r="G3" s="8">
        <f t="shared" si="1"/>
        <v>42648.036157407405</v>
      </c>
    </row>
    <row r="4" spans="1:7" x14ac:dyDescent="0.25">
      <c r="A4" s="8">
        <v>42648.047476851854</v>
      </c>
      <c r="B4" s="23" t="s">
        <v>311</v>
      </c>
      <c r="C4" s="23" t="s">
        <v>318</v>
      </c>
      <c r="D4" s="23">
        <v>1290000</v>
      </c>
      <c r="E4" s="23" t="s">
        <v>167</v>
      </c>
      <c r="F4" s="23" t="str">
        <f t="shared" si="0"/>
        <v>rtdc.l.rtdc.4044:itc</v>
      </c>
      <c r="G4" s="8">
        <f t="shared" si="1"/>
        <v>42648.047476851854</v>
      </c>
    </row>
    <row r="5" spans="1:7" x14ac:dyDescent="0.25">
      <c r="A5" s="8">
        <v>42648.049085648148</v>
      </c>
      <c r="B5" s="23" t="s">
        <v>311</v>
      </c>
      <c r="C5" s="23" t="s">
        <v>318</v>
      </c>
      <c r="D5" s="23">
        <v>1290000</v>
      </c>
      <c r="E5" s="23" t="s">
        <v>167</v>
      </c>
      <c r="F5" s="23" t="str">
        <f t="shared" si="0"/>
        <v>rtdc.l.rtdc.4044:itc</v>
      </c>
      <c r="G5" s="8">
        <f t="shared" si="1"/>
        <v>42648.049085648148</v>
      </c>
    </row>
    <row r="6" spans="1:7" x14ac:dyDescent="0.25">
      <c r="A6" s="8">
        <v>42648.049444444441</v>
      </c>
      <c r="B6" s="23" t="s">
        <v>168</v>
      </c>
      <c r="C6" s="23" t="s">
        <v>319</v>
      </c>
      <c r="D6" s="23">
        <v>630000</v>
      </c>
      <c r="E6" s="23" t="b">
        <v>1</v>
      </c>
      <c r="F6" s="23" t="str">
        <f t="shared" si="0"/>
        <v>rtdc.l.rtdc.4051:itc</v>
      </c>
      <c r="G6" s="8">
        <f t="shared" si="1"/>
        <v>42648.049444444441</v>
      </c>
    </row>
    <row r="7" spans="1:7" x14ac:dyDescent="0.25">
      <c r="A7" s="8">
        <v>42648.056122685186</v>
      </c>
      <c r="B7" s="23" t="s">
        <v>170</v>
      </c>
      <c r="C7" s="23" t="s">
        <v>317</v>
      </c>
      <c r="D7" s="23">
        <v>1230000</v>
      </c>
      <c r="E7" s="23" t="s">
        <v>315</v>
      </c>
      <c r="F7" s="23" t="str">
        <f t="shared" si="0"/>
        <v>rtdc.l.rtdc.4041:itc</v>
      </c>
      <c r="G7" s="8">
        <f t="shared" si="1"/>
        <v>42648.056122685186</v>
      </c>
    </row>
    <row r="8" spans="1:7" x14ac:dyDescent="0.25">
      <c r="A8" s="8">
        <v>42648.058946759258</v>
      </c>
      <c r="B8" s="23" t="s">
        <v>268</v>
      </c>
      <c r="C8" s="23" t="s">
        <v>320</v>
      </c>
      <c r="D8" s="23">
        <v>1800000</v>
      </c>
      <c r="E8" s="23" t="s">
        <v>256</v>
      </c>
      <c r="F8" s="23" t="str">
        <f t="shared" si="0"/>
        <v>rtdc.l.rtdc.4030:itc</v>
      </c>
      <c r="G8" s="8">
        <f t="shared" si="1"/>
        <v>42648.058946759258</v>
      </c>
    </row>
    <row r="9" spans="1:7" ht="15.75" thickBot="1" x14ac:dyDescent="0.3">
      <c r="A9" s="27">
        <v>42648.071516203701</v>
      </c>
      <c r="B9" s="23" t="s">
        <v>169</v>
      </c>
      <c r="C9" s="23" t="s">
        <v>319</v>
      </c>
      <c r="D9" s="23">
        <v>630000</v>
      </c>
      <c r="E9" s="23" t="b">
        <v>1</v>
      </c>
      <c r="F9" s="23" t="str">
        <f t="shared" si="0"/>
        <v>rtdc.l.rtdc.4052:itc</v>
      </c>
      <c r="G9" s="8">
        <f t="shared" si="1"/>
        <v>42648.071516203701</v>
      </c>
    </row>
    <row r="10" spans="1:7" x14ac:dyDescent="0.25">
      <c r="A10" s="8">
        <v>42648.074988425928</v>
      </c>
      <c r="B10" s="23" t="s">
        <v>171</v>
      </c>
      <c r="C10" s="23" t="s">
        <v>321</v>
      </c>
      <c r="D10" s="23">
        <v>1230000</v>
      </c>
      <c r="E10" s="23" t="s">
        <v>315</v>
      </c>
      <c r="F10" s="23" t="str">
        <f t="shared" si="0"/>
        <v>rtdc.l.rtdc.4042:itc</v>
      </c>
      <c r="G10" s="8">
        <f t="shared" si="1"/>
        <v>42648.074988425928</v>
      </c>
    </row>
    <row r="11" spans="1:7" x14ac:dyDescent="0.25">
      <c r="A11" s="8">
        <v>42648.09275462963</v>
      </c>
      <c r="B11" s="23" t="s">
        <v>168</v>
      </c>
      <c r="C11" s="23" t="s">
        <v>319</v>
      </c>
      <c r="D11" s="23">
        <v>630000</v>
      </c>
      <c r="E11" s="23" t="b">
        <v>1</v>
      </c>
      <c r="F11" s="23" t="str">
        <f t="shared" si="0"/>
        <v>rtdc.l.rtdc.4051:itc</v>
      </c>
      <c r="G11" s="8">
        <f t="shared" si="1"/>
        <v>42648.09275462963</v>
      </c>
    </row>
    <row r="12" spans="1:7" x14ac:dyDescent="0.25">
      <c r="A12" s="8">
        <v>42648.095393518517</v>
      </c>
      <c r="B12" s="23" t="s">
        <v>168</v>
      </c>
      <c r="C12" s="23" t="s">
        <v>319</v>
      </c>
      <c r="D12" s="23">
        <v>630000</v>
      </c>
      <c r="E12" s="23" t="b">
        <v>1</v>
      </c>
      <c r="F12" s="23" t="str">
        <f t="shared" si="0"/>
        <v>rtdc.l.rtdc.4051:itc</v>
      </c>
      <c r="G12" s="8">
        <f t="shared" si="1"/>
        <v>42648.095393518517</v>
      </c>
    </row>
    <row r="13" spans="1:7" x14ac:dyDescent="0.25">
      <c r="A13" s="8">
        <v>42648.100671296299</v>
      </c>
      <c r="B13" s="23" t="s">
        <v>168</v>
      </c>
      <c r="C13" s="23" t="s">
        <v>319</v>
      </c>
      <c r="D13" s="23">
        <v>630000</v>
      </c>
      <c r="E13" s="23" t="b">
        <v>1</v>
      </c>
      <c r="F13" s="23" t="str">
        <f t="shared" si="0"/>
        <v>rtdc.l.rtdc.4051:itc</v>
      </c>
      <c r="G13" s="8">
        <f t="shared" si="1"/>
        <v>42648.100671296299</v>
      </c>
    </row>
    <row r="14" spans="1:7" x14ac:dyDescent="0.25">
      <c r="A14" s="8">
        <v>42648.12059027778</v>
      </c>
      <c r="B14" s="23" t="s">
        <v>169</v>
      </c>
      <c r="C14" s="23" t="s">
        <v>319</v>
      </c>
      <c r="D14" s="23">
        <v>630000</v>
      </c>
      <c r="E14" s="23" t="b">
        <v>1</v>
      </c>
      <c r="F14" s="23" t="str">
        <f t="shared" si="0"/>
        <v>rtdc.l.rtdc.4052:itc</v>
      </c>
      <c r="G14" s="8">
        <f t="shared" si="1"/>
        <v>42648.12059027778</v>
      </c>
    </row>
    <row r="15" spans="1:7" x14ac:dyDescent="0.25">
      <c r="A15" s="8">
        <v>42648.12096064815</v>
      </c>
      <c r="B15" s="23" t="s">
        <v>169</v>
      </c>
      <c r="C15" s="23" t="s">
        <v>319</v>
      </c>
      <c r="D15" s="23">
        <v>630000</v>
      </c>
      <c r="E15" s="23" t="b">
        <v>1</v>
      </c>
      <c r="F15" s="23" t="str">
        <f t="shared" si="0"/>
        <v>rtdc.l.rtdc.4052:itc</v>
      </c>
      <c r="G15" s="8">
        <f t="shared" si="1"/>
        <v>42648.12096064815</v>
      </c>
    </row>
    <row r="16" spans="1:7" x14ac:dyDescent="0.25">
      <c r="A16" s="8">
        <v>42648.127175925925</v>
      </c>
      <c r="B16" s="23" t="s">
        <v>380</v>
      </c>
      <c r="C16" s="23" t="s">
        <v>429</v>
      </c>
      <c r="D16" s="23">
        <v>2010000</v>
      </c>
      <c r="E16" s="23" t="s">
        <v>430</v>
      </c>
      <c r="F16" s="23" t="str">
        <f t="shared" si="0"/>
        <v>rtdc.l.rtdc.4028:itc</v>
      </c>
      <c r="G16" s="8">
        <f t="shared" si="1"/>
        <v>42648.127175925925</v>
      </c>
    </row>
    <row r="17" spans="1:7" x14ac:dyDescent="0.25">
      <c r="A17" s="8">
        <v>42648.136192129627</v>
      </c>
      <c r="B17" s="23" t="s">
        <v>168</v>
      </c>
      <c r="C17" s="23" t="s">
        <v>319</v>
      </c>
      <c r="D17" s="23">
        <v>630000</v>
      </c>
      <c r="E17" s="23" t="b">
        <v>1</v>
      </c>
      <c r="F17" s="23" t="str">
        <f t="shared" si="0"/>
        <v>rtdc.l.rtdc.4051:itc</v>
      </c>
      <c r="G17" s="8">
        <f t="shared" si="1"/>
        <v>42648.136192129627</v>
      </c>
    </row>
    <row r="18" spans="1:7" x14ac:dyDescent="0.25">
      <c r="A18" s="8">
        <v>42648.13685185185</v>
      </c>
      <c r="B18" s="23" t="s">
        <v>168</v>
      </c>
      <c r="C18" s="23" t="s">
        <v>319</v>
      </c>
      <c r="D18" s="23">
        <v>630000</v>
      </c>
      <c r="E18" s="23" t="b">
        <v>1</v>
      </c>
      <c r="F18" s="23" t="str">
        <f t="shared" si="0"/>
        <v>rtdc.l.rtdc.4051:itc</v>
      </c>
      <c r="G18" s="8">
        <f t="shared" si="1"/>
        <v>42648.13685185185</v>
      </c>
    </row>
    <row r="19" spans="1:7" x14ac:dyDescent="0.25">
      <c r="A19" s="8">
        <v>42648.137256944443</v>
      </c>
      <c r="B19" s="23" t="s">
        <v>168</v>
      </c>
      <c r="C19" s="23" t="s">
        <v>319</v>
      </c>
      <c r="D19" s="23">
        <v>630000</v>
      </c>
      <c r="E19" s="23" t="b">
        <v>1</v>
      </c>
      <c r="F19" s="23" t="str">
        <f t="shared" si="0"/>
        <v>rtdc.l.rtdc.4051:itc</v>
      </c>
      <c r="G19" s="8">
        <f t="shared" si="1"/>
        <v>42648.137256944443</v>
      </c>
    </row>
    <row r="20" spans="1:7" x14ac:dyDescent="0.25">
      <c r="A20" s="8">
        <v>42648.137685185182</v>
      </c>
      <c r="B20" s="23" t="s">
        <v>168</v>
      </c>
      <c r="C20" s="23" t="s">
        <v>319</v>
      </c>
      <c r="D20" s="23">
        <v>630000</v>
      </c>
      <c r="E20" s="23" t="b">
        <v>1</v>
      </c>
      <c r="F20" s="23" t="str">
        <f t="shared" si="0"/>
        <v>rtdc.l.rtdc.4051:itc</v>
      </c>
      <c r="G20" s="8">
        <f t="shared" si="1"/>
        <v>42648.137685185182</v>
      </c>
    </row>
    <row r="21" spans="1:7" x14ac:dyDescent="0.25">
      <c r="A21" s="8">
        <v>42648.138310185182</v>
      </c>
      <c r="B21" s="23" t="s">
        <v>266</v>
      </c>
      <c r="C21" s="23" t="s">
        <v>431</v>
      </c>
      <c r="D21" s="23">
        <v>2010000</v>
      </c>
      <c r="E21" s="23" t="s">
        <v>430</v>
      </c>
      <c r="F21" s="23" t="str">
        <f t="shared" si="0"/>
        <v>rtdc.l.rtdc.4003:itc</v>
      </c>
      <c r="G21" s="8">
        <f t="shared" si="1"/>
        <v>42648.138310185182</v>
      </c>
    </row>
    <row r="22" spans="1:7" x14ac:dyDescent="0.25">
      <c r="A22" s="29">
        <v>42648.138391203705</v>
      </c>
      <c r="B22" s="23" t="s">
        <v>168</v>
      </c>
      <c r="C22" s="23" t="s">
        <v>319</v>
      </c>
      <c r="D22" s="23">
        <v>630000</v>
      </c>
      <c r="E22" s="23" t="b">
        <v>1</v>
      </c>
      <c r="F22" s="23" t="str">
        <f t="shared" si="0"/>
        <v>rtdc.l.rtdc.4051:itc</v>
      </c>
      <c r="G22" s="8">
        <f t="shared" si="1"/>
        <v>42648.138391203705</v>
      </c>
    </row>
    <row r="23" spans="1:7" x14ac:dyDescent="0.25">
      <c r="A23" s="8">
        <v>42648.139363425929</v>
      </c>
      <c r="B23" s="23" t="s">
        <v>266</v>
      </c>
      <c r="C23" s="23" t="s">
        <v>431</v>
      </c>
      <c r="D23" s="23">
        <v>2010000</v>
      </c>
      <c r="E23" s="23" t="s">
        <v>430</v>
      </c>
      <c r="F23" s="23" t="str">
        <f t="shared" si="0"/>
        <v>rtdc.l.rtdc.4003:itc</v>
      </c>
      <c r="G23" s="8">
        <f t="shared" si="1"/>
        <v>42648.139363425929</v>
      </c>
    </row>
    <row r="24" spans="1:7" x14ac:dyDescent="0.25">
      <c r="A24" s="8">
        <v>42648.149942129632</v>
      </c>
      <c r="B24" s="23" t="s">
        <v>166</v>
      </c>
      <c r="C24" s="23" t="s">
        <v>432</v>
      </c>
      <c r="D24" s="23">
        <v>1260000</v>
      </c>
      <c r="E24" s="23" t="s">
        <v>269</v>
      </c>
      <c r="F24" s="23" t="str">
        <f t="shared" si="0"/>
        <v>rtdc.l.rtdc.4026:itc</v>
      </c>
      <c r="G24" s="8">
        <f t="shared" si="1"/>
        <v>42648.149942129632</v>
      </c>
    </row>
    <row r="25" spans="1:7" x14ac:dyDescent="0.25">
      <c r="A25" s="8">
        <v>42648.157453703701</v>
      </c>
      <c r="B25" s="23" t="s">
        <v>169</v>
      </c>
      <c r="C25" s="23" t="s">
        <v>319</v>
      </c>
      <c r="D25" s="23">
        <v>630000</v>
      </c>
      <c r="E25" s="23" t="b">
        <v>1</v>
      </c>
      <c r="F25" s="23" t="str">
        <f t="shared" si="0"/>
        <v>rtdc.l.rtdc.4052:itc</v>
      </c>
      <c r="G25" s="8">
        <f t="shared" si="1"/>
        <v>42648.157453703701</v>
      </c>
    </row>
    <row r="26" spans="1:7" x14ac:dyDescent="0.25">
      <c r="A26" s="8">
        <v>42648.160150462965</v>
      </c>
      <c r="B26" s="23" t="s">
        <v>251</v>
      </c>
      <c r="C26" s="23" t="s">
        <v>433</v>
      </c>
      <c r="D26" s="23">
        <v>1260000</v>
      </c>
      <c r="E26" s="23" t="s">
        <v>269</v>
      </c>
      <c r="F26" s="23" t="str">
        <f t="shared" si="0"/>
        <v>rtdc.l.rtdc.4016:itc</v>
      </c>
      <c r="G26" s="8">
        <f t="shared" si="1"/>
        <v>42648.160150462965</v>
      </c>
    </row>
    <row r="27" spans="1:7" x14ac:dyDescent="0.25">
      <c r="A27" s="8">
        <v>42648.162291666667</v>
      </c>
      <c r="B27" s="23" t="s">
        <v>434</v>
      </c>
      <c r="C27" s="23" t="s">
        <v>435</v>
      </c>
      <c r="D27" s="23">
        <v>1760000</v>
      </c>
      <c r="E27" s="23" t="s">
        <v>436</v>
      </c>
      <c r="F27" s="23" t="str">
        <f t="shared" si="0"/>
        <v>rtdc.l.rtdc.4039:itc</v>
      </c>
      <c r="G27" s="8">
        <f t="shared" si="1"/>
        <v>42648.162291666667</v>
      </c>
    </row>
    <row r="28" spans="1:7" x14ac:dyDescent="0.25">
      <c r="A28" s="8">
        <v>42648.171550925923</v>
      </c>
      <c r="B28" s="23" t="s">
        <v>310</v>
      </c>
      <c r="C28" s="23" t="s">
        <v>437</v>
      </c>
      <c r="D28" s="23">
        <v>1090000</v>
      </c>
      <c r="E28" s="23" t="s">
        <v>304</v>
      </c>
      <c r="F28" s="23" t="str">
        <f t="shared" si="0"/>
        <v>rtdc.l.rtdc.4008:itc</v>
      </c>
      <c r="G28" s="8">
        <f t="shared" si="1"/>
        <v>42648.171550925923</v>
      </c>
    </row>
    <row r="29" spans="1:7" x14ac:dyDescent="0.25">
      <c r="A29" s="8">
        <v>42648.172233796293</v>
      </c>
      <c r="B29" s="23" t="s">
        <v>380</v>
      </c>
      <c r="C29" s="23" t="s">
        <v>438</v>
      </c>
      <c r="D29" s="23">
        <v>2010000</v>
      </c>
      <c r="E29" s="23" t="s">
        <v>430</v>
      </c>
      <c r="F29" s="23" t="str">
        <f t="shared" si="0"/>
        <v>rtdc.l.rtdc.4028:itc</v>
      </c>
      <c r="G29" s="8">
        <f t="shared" si="1"/>
        <v>42648.172233796293</v>
      </c>
    </row>
    <row r="30" spans="1:7" x14ac:dyDescent="0.25">
      <c r="A30" s="8">
        <v>42648.173483796294</v>
      </c>
      <c r="B30" s="23" t="s">
        <v>302</v>
      </c>
      <c r="C30" s="23" t="s">
        <v>373</v>
      </c>
      <c r="D30" s="23">
        <v>1760000</v>
      </c>
      <c r="E30" s="23" t="s">
        <v>436</v>
      </c>
      <c r="F30" s="23" t="str">
        <f t="shared" si="0"/>
        <v>rtdc.l.rtdc.4002:itc</v>
      </c>
      <c r="G30" s="8">
        <f t="shared" si="1"/>
        <v>42648.173483796294</v>
      </c>
    </row>
    <row r="31" spans="1:7" x14ac:dyDescent="0.25">
      <c r="A31" s="8">
        <v>42648.178564814814</v>
      </c>
      <c r="B31" s="23" t="s">
        <v>223</v>
      </c>
      <c r="C31" s="23" t="s">
        <v>439</v>
      </c>
      <c r="D31" s="23">
        <v>2030000</v>
      </c>
      <c r="E31" s="23" t="s">
        <v>270</v>
      </c>
      <c r="F31" s="23" t="str">
        <f t="shared" si="0"/>
        <v>rtdc.l.rtdc.4017:itc</v>
      </c>
      <c r="G31" s="8">
        <f t="shared" si="1"/>
        <v>42648.178564814814</v>
      </c>
    </row>
    <row r="32" spans="1:7" x14ac:dyDescent="0.25">
      <c r="A32" s="8">
        <v>42648.184050925927</v>
      </c>
      <c r="B32" s="23" t="s">
        <v>313</v>
      </c>
      <c r="C32" s="23" t="s">
        <v>440</v>
      </c>
      <c r="D32" s="23">
        <v>1090000</v>
      </c>
      <c r="E32" s="23" t="s">
        <v>304</v>
      </c>
      <c r="F32" s="23" t="str">
        <f t="shared" si="0"/>
        <v>rtdc.l.rtdc.4007:itc</v>
      </c>
      <c r="G32" s="8">
        <f t="shared" si="1"/>
        <v>42648.184050925927</v>
      </c>
    </row>
    <row r="33" spans="1:7" x14ac:dyDescent="0.25">
      <c r="A33" s="8">
        <v>42648.188391203701</v>
      </c>
      <c r="B33" s="23" t="s">
        <v>224</v>
      </c>
      <c r="C33" s="23" t="s">
        <v>441</v>
      </c>
      <c r="D33" s="23">
        <v>2030000</v>
      </c>
      <c r="E33" s="23" t="s">
        <v>270</v>
      </c>
      <c r="F33" s="23" t="str">
        <f t="shared" si="0"/>
        <v>rtdc.l.rtdc.4018:itc</v>
      </c>
      <c r="G33" s="8">
        <f t="shared" si="1"/>
        <v>42648.188391203701</v>
      </c>
    </row>
    <row r="34" spans="1:7" x14ac:dyDescent="0.25">
      <c r="A34" s="8">
        <v>42648.192361111112</v>
      </c>
      <c r="B34" s="23" t="s">
        <v>166</v>
      </c>
      <c r="C34" s="23" t="s">
        <v>442</v>
      </c>
      <c r="D34" s="23">
        <v>1260000</v>
      </c>
      <c r="E34" s="23" t="s">
        <v>269</v>
      </c>
      <c r="F34" s="23" t="str">
        <f t="shared" si="0"/>
        <v>rtdc.l.rtdc.4026:itc</v>
      </c>
      <c r="G34" s="8">
        <f t="shared" si="1"/>
        <v>42648.192361111112</v>
      </c>
    </row>
    <row r="35" spans="1:7" x14ac:dyDescent="0.25">
      <c r="A35" s="8">
        <v>42648.200497685182</v>
      </c>
      <c r="B35" s="23" t="s">
        <v>253</v>
      </c>
      <c r="C35" s="23" t="s">
        <v>443</v>
      </c>
      <c r="D35" s="23">
        <v>1110000</v>
      </c>
      <c r="E35" s="23" t="s">
        <v>280</v>
      </c>
      <c r="F35" s="23" t="str">
        <f t="shared" si="0"/>
        <v>rtdc.l.rtdc.4031:itc</v>
      </c>
      <c r="G35" s="8">
        <f t="shared" si="1"/>
        <v>42648.200497685182</v>
      </c>
    </row>
    <row r="36" spans="1:7" x14ac:dyDescent="0.25">
      <c r="A36" s="8">
        <v>42648.201481481483</v>
      </c>
      <c r="B36" s="23" t="s">
        <v>253</v>
      </c>
      <c r="C36" s="23" t="s">
        <v>443</v>
      </c>
      <c r="D36" s="23">
        <v>1110000</v>
      </c>
      <c r="E36" s="23" t="s">
        <v>280</v>
      </c>
      <c r="F36" s="23" t="str">
        <f t="shared" si="0"/>
        <v>rtdc.l.rtdc.4031:itc</v>
      </c>
      <c r="G36" s="8">
        <f t="shared" si="1"/>
        <v>42648.201481481483</v>
      </c>
    </row>
    <row r="37" spans="1:7" x14ac:dyDescent="0.25">
      <c r="A37" s="8">
        <v>42648.202673611115</v>
      </c>
      <c r="B37" s="23" t="s">
        <v>253</v>
      </c>
      <c r="C37" s="23" t="s">
        <v>443</v>
      </c>
      <c r="D37" s="23">
        <v>1110000</v>
      </c>
      <c r="E37" s="23" t="s">
        <v>280</v>
      </c>
      <c r="F37" s="23" t="str">
        <f t="shared" si="0"/>
        <v>rtdc.l.rtdc.4031:itc</v>
      </c>
      <c r="G37" s="8">
        <f t="shared" si="1"/>
        <v>42648.202673611115</v>
      </c>
    </row>
    <row r="38" spans="1:7" x14ac:dyDescent="0.25">
      <c r="A38" s="8">
        <v>42648.206932870373</v>
      </c>
      <c r="B38" s="23" t="s">
        <v>266</v>
      </c>
      <c r="C38" s="23" t="s">
        <v>444</v>
      </c>
      <c r="D38" s="23">
        <v>900000</v>
      </c>
      <c r="E38" s="23" t="s">
        <v>445</v>
      </c>
      <c r="F38" s="23" t="str">
        <f t="shared" si="0"/>
        <v>rtdc.l.rtdc.4003:itc</v>
      </c>
      <c r="G38" s="8">
        <f t="shared" si="1"/>
        <v>42648.206932870373</v>
      </c>
    </row>
    <row r="39" spans="1:7" x14ac:dyDescent="0.25">
      <c r="A39" s="8">
        <v>42648.211805555555</v>
      </c>
      <c r="B39" s="23" t="s">
        <v>434</v>
      </c>
      <c r="C39" s="23" t="s">
        <v>446</v>
      </c>
      <c r="D39" s="23">
        <v>1760000</v>
      </c>
      <c r="E39" s="23" t="s">
        <v>436</v>
      </c>
      <c r="F39" s="23" t="str">
        <f t="shared" si="0"/>
        <v>rtdc.l.rtdc.4039:itc</v>
      </c>
      <c r="G39" s="8">
        <f t="shared" si="1"/>
        <v>42648.211805555555</v>
      </c>
    </row>
    <row r="40" spans="1:7" x14ac:dyDescent="0.25">
      <c r="A40" s="8">
        <v>42648.213402777779</v>
      </c>
      <c r="B40" s="28" t="s">
        <v>252</v>
      </c>
      <c r="C40" s="23" t="s">
        <v>374</v>
      </c>
      <c r="D40" s="23">
        <v>1110000</v>
      </c>
      <c r="E40" s="23" t="s">
        <v>280</v>
      </c>
      <c r="F40" s="23" t="str">
        <f t="shared" si="0"/>
        <v>rtdc.l.rtdc.4032:itc</v>
      </c>
      <c r="G40" s="8">
        <f t="shared" si="1"/>
        <v>42648.213402777779</v>
      </c>
    </row>
    <row r="41" spans="1:7" x14ac:dyDescent="0.25">
      <c r="A41" s="8">
        <v>42648.216319444444</v>
      </c>
      <c r="B41" s="23" t="s">
        <v>395</v>
      </c>
      <c r="C41" s="23" t="s">
        <v>447</v>
      </c>
      <c r="D41" s="23">
        <v>2010000</v>
      </c>
      <c r="E41" s="23" t="s">
        <v>430</v>
      </c>
      <c r="F41" s="23" t="str">
        <f t="shared" si="0"/>
        <v>rtdc.l.rtdc.4027:itc</v>
      </c>
      <c r="G41" s="8">
        <f t="shared" si="1"/>
        <v>42648.216319444444</v>
      </c>
    </row>
    <row r="42" spans="1:7" x14ac:dyDescent="0.25">
      <c r="A42" s="8">
        <v>42648.224652777775</v>
      </c>
      <c r="B42" s="23" t="s">
        <v>310</v>
      </c>
      <c r="C42" s="23" t="s">
        <v>448</v>
      </c>
      <c r="D42" s="23">
        <v>1090000</v>
      </c>
      <c r="E42" s="23" t="s">
        <v>304</v>
      </c>
      <c r="F42" s="23" t="str">
        <f t="shared" si="0"/>
        <v>rtdc.l.rtdc.4008:itc</v>
      </c>
      <c r="G42" s="8">
        <f t="shared" si="1"/>
        <v>42648.224652777775</v>
      </c>
    </row>
    <row r="43" spans="1:7" x14ac:dyDescent="0.25">
      <c r="A43" s="8">
        <v>42648.229687500003</v>
      </c>
      <c r="B43" s="23" t="s">
        <v>251</v>
      </c>
      <c r="C43" s="23" t="s">
        <v>449</v>
      </c>
      <c r="D43" s="23">
        <v>1190000</v>
      </c>
      <c r="E43" s="23" t="s">
        <v>303</v>
      </c>
      <c r="F43" s="23" t="str">
        <f t="shared" si="0"/>
        <v>rtdc.l.rtdc.4016:itc</v>
      </c>
      <c r="G43" s="8">
        <f t="shared" si="1"/>
        <v>42648.229687500003</v>
      </c>
    </row>
    <row r="44" spans="1:7" x14ac:dyDescent="0.25">
      <c r="A44" s="8">
        <v>42648.231307870374</v>
      </c>
      <c r="B44" s="23" t="s">
        <v>223</v>
      </c>
      <c r="C44" s="23" t="s">
        <v>450</v>
      </c>
      <c r="D44" s="23">
        <v>2030000</v>
      </c>
      <c r="E44" s="23" t="s">
        <v>270</v>
      </c>
      <c r="F44" s="23" t="str">
        <f t="shared" si="0"/>
        <v>rtdc.l.rtdc.4017:itc</v>
      </c>
      <c r="G44" s="8">
        <f t="shared" si="1"/>
        <v>42648.231307870374</v>
      </c>
    </row>
    <row r="45" spans="1:7" x14ac:dyDescent="0.25">
      <c r="A45" s="8">
        <v>42648.232476851852</v>
      </c>
      <c r="B45" s="23" t="s">
        <v>165</v>
      </c>
      <c r="C45" s="23" t="s">
        <v>451</v>
      </c>
      <c r="D45" s="23">
        <v>1260000</v>
      </c>
      <c r="E45" s="23" t="s">
        <v>269</v>
      </c>
      <c r="F45" s="23" t="str">
        <f t="shared" si="0"/>
        <v>rtdc.l.rtdc.4025:itc</v>
      </c>
      <c r="G45" s="8">
        <f t="shared" si="1"/>
        <v>42648.232476851852</v>
      </c>
    </row>
    <row r="46" spans="1:7" x14ac:dyDescent="0.25">
      <c r="A46" s="8">
        <v>42648.242766203701</v>
      </c>
      <c r="B46" s="23" t="s">
        <v>253</v>
      </c>
      <c r="C46" s="23" t="s">
        <v>452</v>
      </c>
      <c r="D46" s="23">
        <v>1110000</v>
      </c>
      <c r="E46" s="23" t="s">
        <v>280</v>
      </c>
      <c r="F46" s="23" t="str">
        <f t="shared" si="0"/>
        <v>rtdc.l.rtdc.4031:itc</v>
      </c>
      <c r="G46" s="8">
        <f t="shared" si="1"/>
        <v>42648.242766203701</v>
      </c>
    </row>
    <row r="47" spans="1:7" x14ac:dyDescent="0.25">
      <c r="A47" s="8">
        <v>42648.243622685186</v>
      </c>
      <c r="B47" s="23" t="s">
        <v>375</v>
      </c>
      <c r="C47" s="23" t="s">
        <v>453</v>
      </c>
      <c r="D47" s="23">
        <v>1100000</v>
      </c>
      <c r="E47" s="23" t="s">
        <v>312</v>
      </c>
      <c r="F47" s="23" t="str">
        <f t="shared" si="0"/>
        <v>rtdc.l.rtdc.4019:itc</v>
      </c>
      <c r="G47" s="8">
        <f t="shared" si="1"/>
        <v>42648.243622685186</v>
      </c>
    </row>
    <row r="48" spans="1:7" x14ac:dyDescent="0.25">
      <c r="A48" s="8">
        <v>42648.244745370372</v>
      </c>
      <c r="B48" s="23" t="s">
        <v>375</v>
      </c>
      <c r="C48" s="23" t="s">
        <v>453</v>
      </c>
      <c r="D48" s="23">
        <v>1100000</v>
      </c>
      <c r="E48" s="23" t="s">
        <v>312</v>
      </c>
      <c r="F48" s="23" t="str">
        <f t="shared" si="0"/>
        <v>rtdc.l.rtdc.4019:itc</v>
      </c>
      <c r="G48" s="8">
        <f t="shared" si="1"/>
        <v>42648.244745370372</v>
      </c>
    </row>
    <row r="49" spans="1:7" x14ac:dyDescent="0.25">
      <c r="A49" s="8">
        <v>42648.246921296297</v>
      </c>
      <c r="B49" s="23" t="s">
        <v>267</v>
      </c>
      <c r="C49" s="23" t="s">
        <v>454</v>
      </c>
      <c r="D49" s="23">
        <v>900000</v>
      </c>
      <c r="E49" s="23" t="s">
        <v>445</v>
      </c>
      <c r="F49" s="23" t="str">
        <f t="shared" si="0"/>
        <v>rtdc.l.rtdc.4004:itc</v>
      </c>
      <c r="G49" s="8">
        <f t="shared" si="1"/>
        <v>42648.246921296297</v>
      </c>
    </row>
    <row r="50" spans="1:7" x14ac:dyDescent="0.25">
      <c r="A50" s="8">
        <v>42648.247881944444</v>
      </c>
      <c r="B50" s="23" t="s">
        <v>255</v>
      </c>
      <c r="C50" s="23" t="s">
        <v>455</v>
      </c>
      <c r="D50" s="23">
        <v>1760000</v>
      </c>
      <c r="E50" s="23" t="s">
        <v>436</v>
      </c>
      <c r="F50" s="23" t="str">
        <f t="shared" si="0"/>
        <v>rtdc.l.rtdc.4009:itc</v>
      </c>
      <c r="G50" s="8">
        <f t="shared" si="1"/>
        <v>42648.247881944444</v>
      </c>
    </row>
    <row r="51" spans="1:7" x14ac:dyDescent="0.25">
      <c r="A51" s="8">
        <v>42648.25409722222</v>
      </c>
      <c r="B51" s="23" t="s">
        <v>380</v>
      </c>
      <c r="C51" s="23" t="s">
        <v>456</v>
      </c>
      <c r="D51" s="23">
        <v>2010000</v>
      </c>
      <c r="E51" s="23" t="s">
        <v>430</v>
      </c>
      <c r="F51" s="23" t="str">
        <f t="shared" si="0"/>
        <v>rtdc.l.rtdc.4028:itc</v>
      </c>
      <c r="G51" s="8">
        <f t="shared" si="1"/>
        <v>42648.25409722222</v>
      </c>
    </row>
    <row r="52" spans="1:7" x14ac:dyDescent="0.25">
      <c r="A52" s="8">
        <v>42648.255567129629</v>
      </c>
      <c r="B52" s="23" t="s">
        <v>252</v>
      </c>
      <c r="C52" s="23" t="s">
        <v>457</v>
      </c>
      <c r="D52" s="23">
        <v>1110000</v>
      </c>
      <c r="E52" s="23" t="s">
        <v>280</v>
      </c>
      <c r="F52" s="23" t="str">
        <f t="shared" si="0"/>
        <v>rtdc.l.rtdc.4032:itc</v>
      </c>
      <c r="G52" s="8">
        <f t="shared" si="1"/>
        <v>42648.255567129629</v>
      </c>
    </row>
    <row r="53" spans="1:7" x14ac:dyDescent="0.25">
      <c r="A53" s="8">
        <v>42648.257962962962</v>
      </c>
      <c r="B53" s="23" t="s">
        <v>313</v>
      </c>
      <c r="C53" s="23" t="s">
        <v>458</v>
      </c>
      <c r="D53" s="23">
        <v>1090000</v>
      </c>
      <c r="E53" s="23" t="s">
        <v>304</v>
      </c>
      <c r="F53" s="23" t="str">
        <f t="shared" si="0"/>
        <v>rtdc.l.rtdc.4007:itc</v>
      </c>
      <c r="G53" s="8">
        <f t="shared" si="1"/>
        <v>42648.257962962962</v>
      </c>
    </row>
    <row r="54" spans="1:7" x14ac:dyDescent="0.25">
      <c r="A54" s="8">
        <v>42648.258912037039</v>
      </c>
      <c r="B54" s="23" t="s">
        <v>383</v>
      </c>
      <c r="C54" s="23" t="s">
        <v>459</v>
      </c>
      <c r="D54" s="23">
        <v>1100000</v>
      </c>
      <c r="E54" s="23" t="s">
        <v>312</v>
      </c>
      <c r="F54" s="23" t="str">
        <f t="shared" si="0"/>
        <v>rtdc.l.rtdc.4020:itc</v>
      </c>
      <c r="G54" s="8">
        <f t="shared" si="1"/>
        <v>42648.258912037039</v>
      </c>
    </row>
    <row r="55" spans="1:7" x14ac:dyDescent="0.25">
      <c r="A55" s="8">
        <v>42648.261655092596</v>
      </c>
      <c r="B55" s="23" t="s">
        <v>250</v>
      </c>
      <c r="C55" s="23" t="s">
        <v>460</v>
      </c>
      <c r="D55" s="23">
        <v>1190000</v>
      </c>
      <c r="E55" s="23" t="s">
        <v>303</v>
      </c>
      <c r="F55" s="23" t="str">
        <f t="shared" si="0"/>
        <v>rtdc.l.rtdc.4015:itc</v>
      </c>
      <c r="G55" s="8">
        <f t="shared" si="1"/>
        <v>42648.261655092596</v>
      </c>
    </row>
    <row r="56" spans="1:7" x14ac:dyDescent="0.25">
      <c r="A56" s="8">
        <v>42648.267337962963</v>
      </c>
      <c r="B56" s="23" t="s">
        <v>224</v>
      </c>
      <c r="C56" s="23" t="s">
        <v>461</v>
      </c>
      <c r="D56" s="23">
        <v>2030000</v>
      </c>
      <c r="E56" s="23" t="s">
        <v>270</v>
      </c>
      <c r="F56" s="23" t="str">
        <f t="shared" si="0"/>
        <v>rtdc.l.rtdc.4018:itc</v>
      </c>
      <c r="G56" s="8">
        <f t="shared" si="1"/>
        <v>42648.267337962963</v>
      </c>
    </row>
    <row r="57" spans="1:7" x14ac:dyDescent="0.25">
      <c r="A57" s="8">
        <v>42648.271678240744</v>
      </c>
      <c r="B57" s="23" t="s">
        <v>166</v>
      </c>
      <c r="C57" s="23" t="s">
        <v>462</v>
      </c>
      <c r="D57" s="23">
        <v>1260000</v>
      </c>
      <c r="E57" s="23" t="s">
        <v>269</v>
      </c>
      <c r="F57" s="23" t="str">
        <f t="shared" si="0"/>
        <v>rtdc.l.rtdc.4026:itc</v>
      </c>
      <c r="G57" s="8">
        <f t="shared" si="1"/>
        <v>42648.271678240744</v>
      </c>
    </row>
    <row r="58" spans="1:7" x14ac:dyDescent="0.25">
      <c r="A58" s="8">
        <v>42648.276064814818</v>
      </c>
      <c r="B58" s="23" t="s">
        <v>375</v>
      </c>
      <c r="C58" s="23" t="s">
        <v>376</v>
      </c>
      <c r="D58" s="23">
        <v>1100000</v>
      </c>
      <c r="E58" s="23" t="s">
        <v>312</v>
      </c>
      <c r="F58" s="23" t="str">
        <f t="shared" si="0"/>
        <v>rtdc.l.rtdc.4019:itc</v>
      </c>
      <c r="G58" s="8">
        <f t="shared" si="1"/>
        <v>42648.276064814818</v>
      </c>
    </row>
    <row r="59" spans="1:7" x14ac:dyDescent="0.25">
      <c r="A59" s="8">
        <v>42648.278599537036</v>
      </c>
      <c r="B59" s="23" t="s">
        <v>266</v>
      </c>
      <c r="C59" s="23" t="s">
        <v>463</v>
      </c>
      <c r="D59" s="23">
        <v>900000</v>
      </c>
      <c r="E59" s="23" t="s">
        <v>445</v>
      </c>
      <c r="F59" s="23" t="str">
        <f t="shared" si="0"/>
        <v>rtdc.l.rtdc.4003:itc</v>
      </c>
      <c r="G59" s="8">
        <f t="shared" si="1"/>
        <v>42648.278599537036</v>
      </c>
    </row>
    <row r="60" spans="1:7" x14ac:dyDescent="0.25">
      <c r="A60" s="8">
        <v>42648.282592592594</v>
      </c>
      <c r="B60" s="23" t="s">
        <v>253</v>
      </c>
      <c r="C60" s="23" t="s">
        <v>464</v>
      </c>
      <c r="D60" s="23">
        <v>1110000</v>
      </c>
      <c r="E60" s="23" t="s">
        <v>280</v>
      </c>
      <c r="F60" s="23" t="str">
        <f t="shared" si="0"/>
        <v>rtdc.l.rtdc.4031:itc</v>
      </c>
      <c r="G60" s="8">
        <f t="shared" si="1"/>
        <v>42648.282592592594</v>
      </c>
    </row>
    <row r="61" spans="1:7" x14ac:dyDescent="0.25">
      <c r="A61" s="8">
        <v>42648.284629629627</v>
      </c>
      <c r="B61" s="23" t="s">
        <v>249</v>
      </c>
      <c r="C61" s="23" t="s">
        <v>465</v>
      </c>
      <c r="D61" s="23">
        <v>1760000</v>
      </c>
      <c r="E61" s="23" t="s">
        <v>436</v>
      </c>
      <c r="F61" s="23" t="str">
        <f t="shared" si="0"/>
        <v>rtdc.l.rtdc.4010:itc</v>
      </c>
      <c r="G61" s="8">
        <f t="shared" si="1"/>
        <v>42648.284629629627</v>
      </c>
    </row>
    <row r="62" spans="1:7" x14ac:dyDescent="0.25">
      <c r="A62" s="8">
        <v>42648.288402777776</v>
      </c>
      <c r="B62" s="23" t="s">
        <v>395</v>
      </c>
      <c r="C62" s="23" t="s">
        <v>466</v>
      </c>
      <c r="D62" s="23">
        <v>2010000</v>
      </c>
      <c r="E62" s="23" t="s">
        <v>430</v>
      </c>
      <c r="F62" s="23" t="str">
        <f t="shared" si="0"/>
        <v>rtdc.l.rtdc.4027:itc</v>
      </c>
      <c r="G62" s="8">
        <f t="shared" si="1"/>
        <v>42648.288402777776</v>
      </c>
    </row>
    <row r="63" spans="1:7" x14ac:dyDescent="0.25">
      <c r="A63" s="8">
        <v>42648.291828703703</v>
      </c>
      <c r="B63" s="23" t="s">
        <v>383</v>
      </c>
      <c r="C63" s="23" t="s">
        <v>467</v>
      </c>
      <c r="D63" s="23">
        <v>1100000</v>
      </c>
      <c r="E63" s="23" t="s">
        <v>312</v>
      </c>
      <c r="F63" s="23" t="str">
        <f t="shared" si="0"/>
        <v>rtdc.l.rtdc.4020:itc</v>
      </c>
      <c r="G63" s="8">
        <f t="shared" si="1"/>
        <v>42648.291828703703</v>
      </c>
    </row>
    <row r="64" spans="1:7" x14ac:dyDescent="0.25">
      <c r="A64" s="29">
        <v>42648.292534722219</v>
      </c>
      <c r="B64" s="23" t="s">
        <v>310</v>
      </c>
      <c r="C64" s="23" t="s">
        <v>378</v>
      </c>
      <c r="D64" s="23">
        <v>1090000</v>
      </c>
      <c r="E64" s="23" t="s">
        <v>304</v>
      </c>
      <c r="F64" s="23" t="str">
        <f t="shared" si="0"/>
        <v>rtdc.l.rtdc.4008:itc</v>
      </c>
      <c r="G64" s="8">
        <f t="shared" si="1"/>
        <v>42648.292534722219</v>
      </c>
    </row>
    <row r="65" spans="1:7" x14ac:dyDescent="0.25">
      <c r="A65" s="8">
        <v>42648.296701388892</v>
      </c>
      <c r="B65" s="23" t="s">
        <v>252</v>
      </c>
      <c r="C65" s="23" t="s">
        <v>468</v>
      </c>
      <c r="D65" s="23">
        <v>1110000</v>
      </c>
      <c r="E65" s="23" t="s">
        <v>280</v>
      </c>
      <c r="F65" s="23" t="str">
        <f t="shared" si="0"/>
        <v>rtdc.l.rtdc.4032:itc</v>
      </c>
      <c r="G65" s="8">
        <f t="shared" si="1"/>
        <v>42648.296701388892</v>
      </c>
    </row>
    <row r="66" spans="1:7" x14ac:dyDescent="0.25">
      <c r="A66" s="8">
        <v>42648.299178240741</v>
      </c>
      <c r="B66" s="23" t="s">
        <v>251</v>
      </c>
      <c r="C66" s="23" t="s">
        <v>469</v>
      </c>
      <c r="D66" s="23">
        <v>1190000</v>
      </c>
      <c r="E66" s="23" t="s">
        <v>303</v>
      </c>
      <c r="F66" s="23" t="str">
        <f t="shared" ref="F66:F129" si="2">B66</f>
        <v>rtdc.l.rtdc.4016:itc</v>
      </c>
      <c r="G66" s="8">
        <f t="shared" ref="G66:G129" si="3">A66</f>
        <v>42648.299178240741</v>
      </c>
    </row>
    <row r="67" spans="1:7" x14ac:dyDescent="0.25">
      <c r="A67" s="8">
        <v>42648.303483796299</v>
      </c>
      <c r="B67" s="23" t="s">
        <v>223</v>
      </c>
      <c r="C67" s="23" t="s">
        <v>377</v>
      </c>
      <c r="D67" s="23">
        <v>2030000</v>
      </c>
      <c r="E67" s="23" t="s">
        <v>270</v>
      </c>
      <c r="F67" s="23" t="str">
        <f t="shared" si="2"/>
        <v>rtdc.l.rtdc.4017:itc</v>
      </c>
      <c r="G67" s="8">
        <f t="shared" si="3"/>
        <v>42648.303483796299</v>
      </c>
    </row>
    <row r="68" spans="1:7" x14ac:dyDescent="0.25">
      <c r="A68" s="8">
        <v>42648.308819444443</v>
      </c>
      <c r="B68" s="23" t="s">
        <v>165</v>
      </c>
      <c r="C68" s="23" t="s">
        <v>470</v>
      </c>
      <c r="D68" s="23">
        <v>1260000</v>
      </c>
      <c r="E68" s="23" t="s">
        <v>269</v>
      </c>
      <c r="F68" s="23" t="str">
        <f t="shared" si="2"/>
        <v>rtdc.l.rtdc.4025:itc</v>
      </c>
      <c r="G68" s="8">
        <f t="shared" si="3"/>
        <v>42648.308819444443</v>
      </c>
    </row>
    <row r="69" spans="1:7" x14ac:dyDescent="0.25">
      <c r="A69" s="8">
        <v>42648.313483796293</v>
      </c>
      <c r="B69" s="23" t="s">
        <v>251</v>
      </c>
      <c r="C69" s="23" t="s">
        <v>469</v>
      </c>
      <c r="D69" s="23">
        <v>1190000</v>
      </c>
      <c r="E69" s="23" t="s">
        <v>303</v>
      </c>
      <c r="F69" s="23" t="str">
        <f t="shared" si="2"/>
        <v>rtdc.l.rtdc.4016:itc</v>
      </c>
      <c r="G69" s="8">
        <f t="shared" si="3"/>
        <v>42648.313483796293</v>
      </c>
    </row>
    <row r="70" spans="1:7" x14ac:dyDescent="0.25">
      <c r="A70" s="8">
        <v>42648.317777777775</v>
      </c>
      <c r="B70" s="23" t="s">
        <v>267</v>
      </c>
      <c r="C70" s="23" t="s">
        <v>471</v>
      </c>
      <c r="D70" s="23">
        <v>900000</v>
      </c>
      <c r="E70" s="23" t="s">
        <v>445</v>
      </c>
      <c r="F70" s="23" t="str">
        <f t="shared" si="2"/>
        <v>rtdc.l.rtdc.4004:itc</v>
      </c>
      <c r="G70" s="8">
        <f t="shared" si="3"/>
        <v>42648.317777777775</v>
      </c>
    </row>
    <row r="71" spans="1:7" x14ac:dyDescent="0.25">
      <c r="A71" s="8">
        <v>42648.318483796298</v>
      </c>
      <c r="B71" s="23" t="s">
        <v>375</v>
      </c>
      <c r="C71" s="23" t="s">
        <v>472</v>
      </c>
      <c r="D71" s="23">
        <v>1100000</v>
      </c>
      <c r="E71" s="23" t="s">
        <v>312</v>
      </c>
      <c r="F71" s="23" t="str">
        <f t="shared" si="2"/>
        <v>rtdc.l.rtdc.4019:itc</v>
      </c>
      <c r="G71" s="8">
        <f t="shared" si="3"/>
        <v>42648.318483796298</v>
      </c>
    </row>
    <row r="72" spans="1:7" x14ac:dyDescent="0.25">
      <c r="A72" s="8">
        <v>42648.319594907407</v>
      </c>
      <c r="B72" s="23" t="s">
        <v>255</v>
      </c>
      <c r="C72" s="23" t="s">
        <v>379</v>
      </c>
      <c r="D72" s="23">
        <v>1760000</v>
      </c>
      <c r="E72" s="23" t="s">
        <v>436</v>
      </c>
      <c r="F72" s="23" t="str">
        <f t="shared" si="2"/>
        <v>rtdc.l.rtdc.4009:itc</v>
      </c>
      <c r="G72" s="8">
        <f t="shared" si="3"/>
        <v>42648.319594907407</v>
      </c>
    </row>
    <row r="73" spans="1:7" x14ac:dyDescent="0.25">
      <c r="A73" s="8">
        <v>42648.325671296298</v>
      </c>
      <c r="B73" s="23" t="s">
        <v>253</v>
      </c>
      <c r="C73" s="23" t="s">
        <v>473</v>
      </c>
      <c r="D73" s="23">
        <v>1110000</v>
      </c>
      <c r="E73" s="23" t="s">
        <v>280</v>
      </c>
      <c r="F73" s="23" t="str">
        <f t="shared" si="2"/>
        <v>rtdc.l.rtdc.4031:itc</v>
      </c>
      <c r="G73" s="8">
        <f t="shared" si="3"/>
        <v>42648.325671296298</v>
      </c>
    </row>
    <row r="74" spans="1:7" x14ac:dyDescent="0.25">
      <c r="A74" s="8">
        <v>42648.325972222221</v>
      </c>
      <c r="B74" s="23" t="s">
        <v>380</v>
      </c>
      <c r="C74" s="23" t="s">
        <v>381</v>
      </c>
      <c r="D74" s="23">
        <v>2010000</v>
      </c>
      <c r="E74" s="23" t="s">
        <v>430</v>
      </c>
      <c r="F74" s="23" t="str">
        <f t="shared" si="2"/>
        <v>rtdc.l.rtdc.4028:itc</v>
      </c>
      <c r="G74" s="8">
        <f t="shared" si="3"/>
        <v>42648.325972222221</v>
      </c>
    </row>
    <row r="75" spans="1:7" x14ac:dyDescent="0.25">
      <c r="A75" s="8">
        <v>42648.327326388891</v>
      </c>
      <c r="B75" s="23" t="s">
        <v>255</v>
      </c>
      <c r="C75" s="23" t="s">
        <v>379</v>
      </c>
      <c r="D75" s="23">
        <v>1760000</v>
      </c>
      <c r="E75" s="23" t="s">
        <v>436</v>
      </c>
      <c r="F75" s="23" t="str">
        <f t="shared" si="2"/>
        <v>rtdc.l.rtdc.4009:itc</v>
      </c>
      <c r="G75" s="8">
        <f t="shared" si="3"/>
        <v>42648.327326388891</v>
      </c>
    </row>
    <row r="76" spans="1:7" x14ac:dyDescent="0.25">
      <c r="A76" s="8">
        <v>42648.330578703702</v>
      </c>
      <c r="B76" s="23" t="s">
        <v>313</v>
      </c>
      <c r="C76" s="23" t="s">
        <v>474</v>
      </c>
      <c r="D76" s="23">
        <v>1090000</v>
      </c>
      <c r="E76" s="23" t="s">
        <v>304</v>
      </c>
      <c r="F76" s="23" t="str">
        <f t="shared" si="2"/>
        <v>rtdc.l.rtdc.4007:itc</v>
      </c>
      <c r="G76" s="8">
        <f t="shared" si="3"/>
        <v>42648.330578703702</v>
      </c>
    </row>
    <row r="77" spans="1:7" x14ac:dyDescent="0.25">
      <c r="A77" s="8">
        <v>42648.336944444447</v>
      </c>
      <c r="B77" s="23" t="s">
        <v>250</v>
      </c>
      <c r="C77" s="23" t="s">
        <v>475</v>
      </c>
      <c r="D77" s="23">
        <v>1190000</v>
      </c>
      <c r="E77" s="23" t="s">
        <v>303</v>
      </c>
      <c r="F77" s="23" t="str">
        <f t="shared" si="2"/>
        <v>rtdc.l.rtdc.4015:itc</v>
      </c>
      <c r="G77" s="8">
        <f t="shared" si="3"/>
        <v>42648.336944444447</v>
      </c>
    </row>
    <row r="78" spans="1:7" x14ac:dyDescent="0.25">
      <c r="A78" s="8">
        <v>42648.338692129626</v>
      </c>
      <c r="B78" s="23" t="s">
        <v>252</v>
      </c>
      <c r="C78" s="23" t="s">
        <v>382</v>
      </c>
      <c r="D78" s="23">
        <v>1110000</v>
      </c>
      <c r="E78" s="23" t="s">
        <v>280</v>
      </c>
      <c r="F78" s="23" t="str">
        <f t="shared" si="2"/>
        <v>rtdc.l.rtdc.4032:itc</v>
      </c>
      <c r="G78" s="8">
        <f t="shared" si="3"/>
        <v>42648.338692129626</v>
      </c>
    </row>
    <row r="79" spans="1:7" x14ac:dyDescent="0.25">
      <c r="A79" s="8">
        <v>42648.342187499999</v>
      </c>
      <c r="B79" s="23" t="s">
        <v>224</v>
      </c>
      <c r="C79" s="23" t="s">
        <v>476</v>
      </c>
      <c r="D79" s="23">
        <v>2030000</v>
      </c>
      <c r="E79" s="23" t="s">
        <v>270</v>
      </c>
      <c r="F79" s="23" t="str">
        <f t="shared" si="2"/>
        <v>rtdc.l.rtdc.4018:itc</v>
      </c>
      <c r="G79" s="8">
        <f t="shared" si="3"/>
        <v>42648.342187499999</v>
      </c>
    </row>
    <row r="80" spans="1:7" x14ac:dyDescent="0.25">
      <c r="A80" s="8">
        <v>42648.345856481479</v>
      </c>
      <c r="B80" s="23" t="s">
        <v>166</v>
      </c>
      <c r="C80" s="23" t="s">
        <v>477</v>
      </c>
      <c r="D80" s="23">
        <v>1260000</v>
      </c>
      <c r="E80" s="23" t="s">
        <v>269</v>
      </c>
      <c r="F80" s="23" t="str">
        <f t="shared" si="2"/>
        <v>rtdc.l.rtdc.4026:itc</v>
      </c>
      <c r="G80" s="8">
        <f t="shared" si="3"/>
        <v>42648.345856481479</v>
      </c>
    </row>
    <row r="81" spans="1:7" x14ac:dyDescent="0.25">
      <c r="A81" s="8">
        <v>42648.346388888887</v>
      </c>
      <c r="B81" s="23" t="s">
        <v>383</v>
      </c>
      <c r="C81" s="23" t="s">
        <v>384</v>
      </c>
      <c r="D81" s="23">
        <v>1100000</v>
      </c>
      <c r="E81" s="23" t="s">
        <v>312</v>
      </c>
      <c r="F81" s="23" t="str">
        <f t="shared" si="2"/>
        <v>rtdc.l.rtdc.4020:itc</v>
      </c>
      <c r="G81" s="8">
        <f t="shared" si="3"/>
        <v>42648.346388888887</v>
      </c>
    </row>
    <row r="82" spans="1:7" x14ac:dyDescent="0.25">
      <c r="A82" s="8">
        <v>42648.352754629632</v>
      </c>
      <c r="B82" s="23" t="s">
        <v>266</v>
      </c>
      <c r="C82" s="23" t="s">
        <v>478</v>
      </c>
      <c r="D82" s="23">
        <v>400000</v>
      </c>
      <c r="E82" s="23" t="s">
        <v>479</v>
      </c>
      <c r="F82" s="23" t="str">
        <f t="shared" si="2"/>
        <v>rtdc.l.rtdc.4003:itc</v>
      </c>
      <c r="G82" s="8">
        <f t="shared" si="3"/>
        <v>42648.352754629632</v>
      </c>
    </row>
    <row r="83" spans="1:7" x14ac:dyDescent="0.25">
      <c r="A83" s="8">
        <v>42648.356006944443</v>
      </c>
      <c r="B83" s="23" t="s">
        <v>253</v>
      </c>
      <c r="C83" s="23" t="s">
        <v>480</v>
      </c>
      <c r="D83" s="23">
        <v>1110000</v>
      </c>
      <c r="E83" s="23" t="s">
        <v>280</v>
      </c>
      <c r="F83" s="23" t="str">
        <f t="shared" si="2"/>
        <v>rtdc.l.rtdc.4031:itc</v>
      </c>
      <c r="G83" s="8">
        <f t="shared" si="3"/>
        <v>42648.356006944443</v>
      </c>
    </row>
    <row r="84" spans="1:7" x14ac:dyDescent="0.25">
      <c r="A84" s="8">
        <v>42648.358437499999</v>
      </c>
      <c r="B84" s="23" t="s">
        <v>249</v>
      </c>
      <c r="C84" s="23" t="s">
        <v>386</v>
      </c>
      <c r="D84" s="23">
        <v>1760000</v>
      </c>
      <c r="E84" s="23" t="s">
        <v>436</v>
      </c>
      <c r="F84" s="23" t="str">
        <f t="shared" si="2"/>
        <v>rtdc.l.rtdc.4010:itc</v>
      </c>
      <c r="G84" s="8">
        <f t="shared" si="3"/>
        <v>42648.358437499999</v>
      </c>
    </row>
    <row r="85" spans="1:7" x14ac:dyDescent="0.25">
      <c r="A85" s="8">
        <v>42648.360358796293</v>
      </c>
      <c r="B85" s="23" t="s">
        <v>375</v>
      </c>
      <c r="C85" s="23" t="s">
        <v>385</v>
      </c>
      <c r="D85" s="23">
        <v>1100000</v>
      </c>
      <c r="E85" s="23" t="s">
        <v>312</v>
      </c>
      <c r="F85" s="23" t="str">
        <f t="shared" si="2"/>
        <v>rtdc.l.rtdc.4019:itc</v>
      </c>
      <c r="G85" s="8">
        <f t="shared" si="3"/>
        <v>42648.360358796293</v>
      </c>
    </row>
    <row r="86" spans="1:7" x14ac:dyDescent="0.25">
      <c r="A86" s="8">
        <v>42648.361527777779</v>
      </c>
      <c r="B86" s="23" t="s">
        <v>395</v>
      </c>
      <c r="C86" s="23" t="s">
        <v>481</v>
      </c>
      <c r="D86" s="23">
        <v>2010000</v>
      </c>
      <c r="E86" s="23" t="s">
        <v>430</v>
      </c>
      <c r="F86" s="23" t="str">
        <f t="shared" si="2"/>
        <v>rtdc.l.rtdc.4027:itc</v>
      </c>
      <c r="G86" s="8">
        <f t="shared" si="3"/>
        <v>42648.361527777779</v>
      </c>
    </row>
    <row r="87" spans="1:7" x14ac:dyDescent="0.25">
      <c r="A87" s="8">
        <v>42648.367013888892</v>
      </c>
      <c r="B87" s="23" t="s">
        <v>310</v>
      </c>
      <c r="C87" s="23" t="s">
        <v>387</v>
      </c>
      <c r="D87" s="23">
        <v>1090000</v>
      </c>
      <c r="E87" s="23" t="s">
        <v>304</v>
      </c>
      <c r="F87" s="23" t="str">
        <f t="shared" si="2"/>
        <v>rtdc.l.rtdc.4008:itc</v>
      </c>
      <c r="G87" s="8">
        <f t="shared" si="3"/>
        <v>42648.367013888892</v>
      </c>
    </row>
    <row r="88" spans="1:7" x14ac:dyDescent="0.25">
      <c r="A88" s="8">
        <v>42648.372685185182</v>
      </c>
      <c r="B88" s="23" t="s">
        <v>251</v>
      </c>
      <c r="C88" s="23" t="s">
        <v>482</v>
      </c>
      <c r="D88" s="23">
        <v>1190000</v>
      </c>
      <c r="E88" s="23" t="s">
        <v>303</v>
      </c>
      <c r="F88" s="23" t="str">
        <f t="shared" si="2"/>
        <v>rtdc.l.rtdc.4016:itc</v>
      </c>
      <c r="G88" s="8">
        <f t="shared" si="3"/>
        <v>42648.372685185182</v>
      </c>
    </row>
    <row r="89" spans="1:7" x14ac:dyDescent="0.25">
      <c r="A89" s="8">
        <v>42648.3752662037</v>
      </c>
      <c r="B89" s="23" t="s">
        <v>223</v>
      </c>
      <c r="C89" s="23" t="s">
        <v>388</v>
      </c>
      <c r="D89" s="23">
        <v>2030000</v>
      </c>
      <c r="E89" s="23" t="s">
        <v>270</v>
      </c>
      <c r="F89" s="23" t="str">
        <f t="shared" si="2"/>
        <v>rtdc.l.rtdc.4017:itc</v>
      </c>
      <c r="G89" s="8">
        <f t="shared" si="3"/>
        <v>42648.3752662037</v>
      </c>
    </row>
    <row r="90" spans="1:7" x14ac:dyDescent="0.25">
      <c r="A90" s="8">
        <v>42648.381990740738</v>
      </c>
      <c r="B90" s="23" t="s">
        <v>165</v>
      </c>
      <c r="C90" s="23" t="s">
        <v>483</v>
      </c>
      <c r="D90" s="23">
        <v>1260000</v>
      </c>
      <c r="E90" s="23" t="s">
        <v>269</v>
      </c>
      <c r="F90" s="23" t="str">
        <f t="shared" si="2"/>
        <v>rtdc.l.rtdc.4025:itc</v>
      </c>
      <c r="G90" s="8">
        <f t="shared" si="3"/>
        <v>42648.381990740738</v>
      </c>
    </row>
    <row r="91" spans="1:7" x14ac:dyDescent="0.25">
      <c r="A91" s="8">
        <v>42648.387974537036</v>
      </c>
      <c r="B91" s="23" t="s">
        <v>383</v>
      </c>
      <c r="C91" s="23" t="s">
        <v>484</v>
      </c>
      <c r="D91" s="23">
        <v>1100000</v>
      </c>
      <c r="E91" s="23" t="s">
        <v>312</v>
      </c>
      <c r="F91" s="23" t="str">
        <f t="shared" si="2"/>
        <v>rtdc.l.rtdc.4020:itc</v>
      </c>
      <c r="G91" s="8">
        <f t="shared" si="3"/>
        <v>42648.387974537036</v>
      </c>
    </row>
    <row r="92" spans="1:7" x14ac:dyDescent="0.25">
      <c r="A92" s="8">
        <v>42648.388113425928</v>
      </c>
      <c r="B92" s="23" t="s">
        <v>267</v>
      </c>
      <c r="C92" s="23" t="s">
        <v>389</v>
      </c>
      <c r="D92" s="23">
        <v>400000</v>
      </c>
      <c r="E92" s="23" t="s">
        <v>479</v>
      </c>
      <c r="F92" s="23" t="str">
        <f t="shared" si="2"/>
        <v>rtdc.l.rtdc.4004:itc</v>
      </c>
      <c r="G92" s="8">
        <f t="shared" si="3"/>
        <v>42648.388113425928</v>
      </c>
    </row>
    <row r="93" spans="1:7" x14ac:dyDescent="0.25">
      <c r="A93" s="8">
        <v>42648.389421296299</v>
      </c>
      <c r="B93" s="23" t="s">
        <v>267</v>
      </c>
      <c r="C93" s="23" t="s">
        <v>389</v>
      </c>
      <c r="D93" s="23">
        <v>400000</v>
      </c>
      <c r="E93" s="23" t="s">
        <v>479</v>
      </c>
      <c r="F93" s="23" t="str">
        <f t="shared" si="2"/>
        <v>rtdc.l.rtdc.4004:itc</v>
      </c>
      <c r="G93" s="8">
        <f t="shared" si="3"/>
        <v>42648.389421296299</v>
      </c>
    </row>
    <row r="94" spans="1:7" x14ac:dyDescent="0.25">
      <c r="A94" s="8">
        <v>42648.392951388887</v>
      </c>
      <c r="B94" s="23" t="s">
        <v>255</v>
      </c>
      <c r="C94" s="23" t="s">
        <v>485</v>
      </c>
      <c r="D94" s="23">
        <v>1760000</v>
      </c>
      <c r="E94" s="23" t="s">
        <v>436</v>
      </c>
      <c r="F94" s="23" t="str">
        <f t="shared" si="2"/>
        <v>rtdc.l.rtdc.4009:itc</v>
      </c>
      <c r="G94" s="8">
        <f t="shared" si="3"/>
        <v>42648.392951388887</v>
      </c>
    </row>
    <row r="95" spans="1:7" x14ac:dyDescent="0.25">
      <c r="A95" s="8">
        <v>42648.396157407406</v>
      </c>
      <c r="B95" s="23" t="s">
        <v>380</v>
      </c>
      <c r="C95" s="23" t="s">
        <v>486</v>
      </c>
      <c r="D95" s="23">
        <v>2010000</v>
      </c>
      <c r="E95" s="23" t="s">
        <v>430</v>
      </c>
      <c r="F95" s="23" t="str">
        <f t="shared" si="2"/>
        <v>rtdc.l.rtdc.4028:itc</v>
      </c>
      <c r="G95" s="8">
        <f t="shared" si="3"/>
        <v>42648.396157407406</v>
      </c>
    </row>
    <row r="96" spans="1:7" x14ac:dyDescent="0.25">
      <c r="A96" s="8">
        <v>42648.400972222225</v>
      </c>
      <c r="B96" s="23" t="s">
        <v>375</v>
      </c>
      <c r="C96" s="23" t="s">
        <v>487</v>
      </c>
      <c r="D96" s="23">
        <v>1100000</v>
      </c>
      <c r="E96" s="23" t="s">
        <v>312</v>
      </c>
      <c r="F96" s="23" t="str">
        <f t="shared" si="2"/>
        <v>rtdc.l.rtdc.4019:itc</v>
      </c>
      <c r="G96" s="8">
        <f t="shared" si="3"/>
        <v>42648.400972222225</v>
      </c>
    </row>
    <row r="97" spans="1:7" x14ac:dyDescent="0.25">
      <c r="A97" s="8">
        <v>42648.406319444446</v>
      </c>
      <c r="B97" s="23" t="s">
        <v>313</v>
      </c>
      <c r="C97" s="23" t="s">
        <v>390</v>
      </c>
      <c r="D97" s="23">
        <v>1090000</v>
      </c>
      <c r="E97" s="23" t="s">
        <v>304</v>
      </c>
      <c r="F97" s="23" t="str">
        <f t="shared" si="2"/>
        <v>rtdc.l.rtdc.4007:itc</v>
      </c>
      <c r="G97" s="8">
        <f t="shared" si="3"/>
        <v>42648.406319444446</v>
      </c>
    </row>
    <row r="98" spans="1:7" x14ac:dyDescent="0.25">
      <c r="A98" s="8">
        <v>42648.410474537035</v>
      </c>
      <c r="B98" s="23" t="s">
        <v>250</v>
      </c>
      <c r="C98" s="23" t="s">
        <v>399</v>
      </c>
      <c r="D98" s="23">
        <v>1190000</v>
      </c>
      <c r="E98" s="23" t="s">
        <v>303</v>
      </c>
      <c r="F98" s="23" t="str">
        <f t="shared" si="2"/>
        <v>rtdc.l.rtdc.4015:itc</v>
      </c>
      <c r="G98" s="8">
        <f t="shared" si="3"/>
        <v>42648.410474537035</v>
      </c>
    </row>
    <row r="99" spans="1:7" x14ac:dyDescent="0.25">
      <c r="A99" s="8">
        <v>42648.412557870368</v>
      </c>
      <c r="B99" s="23" t="s">
        <v>224</v>
      </c>
      <c r="C99" s="23" t="s">
        <v>392</v>
      </c>
      <c r="D99" s="23">
        <v>2030000</v>
      </c>
      <c r="E99" s="23" t="s">
        <v>270</v>
      </c>
      <c r="F99" s="23" t="str">
        <f t="shared" si="2"/>
        <v>rtdc.l.rtdc.4018:itc</v>
      </c>
      <c r="G99" s="8">
        <f t="shared" si="3"/>
        <v>42648.412557870368</v>
      </c>
    </row>
    <row r="100" spans="1:7" x14ac:dyDescent="0.25">
      <c r="A100" s="8">
        <v>42648.418495370373</v>
      </c>
      <c r="B100" s="23" t="s">
        <v>166</v>
      </c>
      <c r="C100" s="23" t="s">
        <v>488</v>
      </c>
      <c r="D100" s="23">
        <v>1260000</v>
      </c>
      <c r="E100" s="23" t="s">
        <v>269</v>
      </c>
      <c r="F100" s="23" t="str">
        <f t="shared" si="2"/>
        <v>rtdc.l.rtdc.4026:itc</v>
      </c>
      <c r="G100" s="8">
        <f t="shared" si="3"/>
        <v>42648.418495370373</v>
      </c>
    </row>
    <row r="101" spans="1:7" x14ac:dyDescent="0.25">
      <c r="A101" s="8">
        <v>42648.426157407404</v>
      </c>
      <c r="B101" s="23" t="s">
        <v>266</v>
      </c>
      <c r="C101" s="23" t="s">
        <v>489</v>
      </c>
      <c r="D101" s="23">
        <v>900000</v>
      </c>
      <c r="E101" s="23" t="s">
        <v>445</v>
      </c>
      <c r="F101" s="23" t="str">
        <f t="shared" si="2"/>
        <v>rtdc.l.rtdc.4003:itc</v>
      </c>
      <c r="G101" s="8">
        <f t="shared" si="3"/>
        <v>42648.426157407404</v>
      </c>
    </row>
    <row r="102" spans="1:7" x14ac:dyDescent="0.25">
      <c r="A102" s="8">
        <v>42648.430543981478</v>
      </c>
      <c r="B102" s="23" t="s">
        <v>383</v>
      </c>
      <c r="C102" s="23" t="s">
        <v>393</v>
      </c>
      <c r="D102" s="23">
        <v>1100000</v>
      </c>
      <c r="E102" s="23" t="s">
        <v>312</v>
      </c>
      <c r="F102" s="23" t="str">
        <f t="shared" si="2"/>
        <v>rtdc.l.rtdc.4020:itc</v>
      </c>
      <c r="G102" s="8">
        <f t="shared" si="3"/>
        <v>42648.430543981478</v>
      </c>
    </row>
    <row r="103" spans="1:7" x14ac:dyDescent="0.25">
      <c r="A103" s="8">
        <v>42648.430590277778</v>
      </c>
      <c r="B103" s="23" t="s">
        <v>249</v>
      </c>
      <c r="C103" s="23" t="s">
        <v>391</v>
      </c>
      <c r="D103" s="23">
        <v>1760000</v>
      </c>
      <c r="E103" s="23" t="s">
        <v>436</v>
      </c>
      <c r="F103" s="23" t="str">
        <f t="shared" si="2"/>
        <v>rtdc.l.rtdc.4010:itc</v>
      </c>
      <c r="G103" s="8">
        <f t="shared" si="3"/>
        <v>42648.430590277778</v>
      </c>
    </row>
    <row r="104" spans="1:7" x14ac:dyDescent="0.25">
      <c r="A104" s="8">
        <v>42648.435543981483</v>
      </c>
      <c r="B104" s="23" t="s">
        <v>395</v>
      </c>
      <c r="C104" s="23" t="s">
        <v>396</v>
      </c>
      <c r="D104" s="23">
        <v>1110000</v>
      </c>
      <c r="E104" s="23" t="s">
        <v>280</v>
      </c>
      <c r="F104" s="23" t="str">
        <f t="shared" si="2"/>
        <v>rtdc.l.rtdc.4027:itc</v>
      </c>
      <c r="G104" s="8">
        <f t="shared" si="3"/>
        <v>42648.435543981483</v>
      </c>
    </row>
    <row r="105" spans="1:7" x14ac:dyDescent="0.25">
      <c r="A105" s="8">
        <v>42648.439189814817</v>
      </c>
      <c r="B105" s="23" t="s">
        <v>310</v>
      </c>
      <c r="C105" s="23" t="s">
        <v>490</v>
      </c>
      <c r="D105" s="23">
        <v>1090000</v>
      </c>
      <c r="E105" s="23" t="s">
        <v>304</v>
      </c>
      <c r="F105" s="23" t="str">
        <f t="shared" si="2"/>
        <v>rtdc.l.rtdc.4008:itc</v>
      </c>
      <c r="G105" s="8">
        <f t="shared" si="3"/>
        <v>42648.439189814817</v>
      </c>
    </row>
    <row r="106" spans="1:7" x14ac:dyDescent="0.25">
      <c r="A106" s="8">
        <v>42648.443541666667</v>
      </c>
      <c r="B106" s="23" t="s">
        <v>375</v>
      </c>
      <c r="C106" s="23" t="s">
        <v>394</v>
      </c>
      <c r="D106" s="23">
        <v>1100000</v>
      </c>
      <c r="E106" s="23" t="s">
        <v>312</v>
      </c>
      <c r="F106" s="23" t="str">
        <f t="shared" si="2"/>
        <v>rtdc.l.rtdc.4019:itc</v>
      </c>
      <c r="G106" s="8">
        <f t="shared" si="3"/>
        <v>42648.443541666667</v>
      </c>
    </row>
    <row r="107" spans="1:7" x14ac:dyDescent="0.25">
      <c r="A107" s="8">
        <v>42648.449652777781</v>
      </c>
      <c r="B107" s="23" t="s">
        <v>223</v>
      </c>
      <c r="C107" s="23" t="s">
        <v>398</v>
      </c>
      <c r="D107" s="23">
        <v>2030000</v>
      </c>
      <c r="E107" s="23" t="s">
        <v>270</v>
      </c>
      <c r="F107" s="23" t="str">
        <f t="shared" si="2"/>
        <v>rtdc.l.rtdc.4017:itc</v>
      </c>
      <c r="G107" s="8">
        <f t="shared" si="3"/>
        <v>42648.449652777781</v>
      </c>
    </row>
    <row r="108" spans="1:7" x14ac:dyDescent="0.25">
      <c r="A108" s="8">
        <v>42648.4528587963</v>
      </c>
      <c r="B108" s="23" t="s">
        <v>251</v>
      </c>
      <c r="C108" s="23" t="s">
        <v>491</v>
      </c>
      <c r="D108" s="23">
        <v>1190000</v>
      </c>
      <c r="E108" s="23" t="s">
        <v>303</v>
      </c>
      <c r="F108" s="23" t="str">
        <f t="shared" si="2"/>
        <v>rtdc.l.rtdc.4016:itc</v>
      </c>
      <c r="G108" s="8">
        <f t="shared" si="3"/>
        <v>42648.4528587963</v>
      </c>
    </row>
    <row r="109" spans="1:7" x14ac:dyDescent="0.25">
      <c r="A109" s="8">
        <v>42648.454791666663</v>
      </c>
      <c r="B109" s="23" t="s">
        <v>165</v>
      </c>
      <c r="C109" s="23" t="s">
        <v>492</v>
      </c>
      <c r="D109" s="23">
        <v>940000</v>
      </c>
      <c r="E109" s="23" t="s">
        <v>307</v>
      </c>
      <c r="F109" s="23" t="str">
        <f t="shared" si="2"/>
        <v>rtdc.l.rtdc.4025:itc</v>
      </c>
      <c r="G109" s="8">
        <f t="shared" si="3"/>
        <v>42648.454791666663</v>
      </c>
    </row>
    <row r="110" spans="1:7" x14ac:dyDescent="0.25">
      <c r="A110" s="8">
        <v>42648.464224537034</v>
      </c>
      <c r="B110" s="23" t="s">
        <v>267</v>
      </c>
      <c r="C110" s="23" t="s">
        <v>493</v>
      </c>
      <c r="D110" s="23">
        <v>900000</v>
      </c>
      <c r="E110" s="23" t="s">
        <v>445</v>
      </c>
      <c r="F110" s="23" t="str">
        <f t="shared" si="2"/>
        <v>rtdc.l.rtdc.4004:itc</v>
      </c>
      <c r="G110" s="8">
        <f t="shared" si="3"/>
        <v>42648.464224537034</v>
      </c>
    </row>
    <row r="111" spans="1:7" x14ac:dyDescent="0.25">
      <c r="A111" s="8">
        <v>42648.464583333334</v>
      </c>
      <c r="B111" s="23" t="s">
        <v>383</v>
      </c>
      <c r="C111" s="23" t="s">
        <v>397</v>
      </c>
      <c r="D111" s="23">
        <v>400000</v>
      </c>
      <c r="E111" s="23" t="s">
        <v>479</v>
      </c>
      <c r="F111" s="23" t="str">
        <f t="shared" si="2"/>
        <v>rtdc.l.rtdc.4020:itc</v>
      </c>
      <c r="G111" s="8">
        <f t="shared" si="3"/>
        <v>42648.464583333334</v>
      </c>
    </row>
    <row r="112" spans="1:7" x14ac:dyDescent="0.25">
      <c r="A112" s="8">
        <v>42648.479942129627</v>
      </c>
      <c r="B112" s="23" t="s">
        <v>255</v>
      </c>
      <c r="C112" s="23" t="s">
        <v>494</v>
      </c>
      <c r="D112" s="23">
        <v>1280000</v>
      </c>
      <c r="E112" s="23" t="s">
        <v>271</v>
      </c>
      <c r="F112" s="23" t="str">
        <f t="shared" si="2"/>
        <v>rtdc.l.rtdc.4009:itc</v>
      </c>
      <c r="G112" s="8">
        <f t="shared" si="3"/>
        <v>42648.479942129627</v>
      </c>
    </row>
    <row r="113" spans="1:7" x14ac:dyDescent="0.25">
      <c r="A113" s="8">
        <v>42648.480555555558</v>
      </c>
      <c r="B113" s="23" t="s">
        <v>380</v>
      </c>
      <c r="C113" s="23" t="s">
        <v>495</v>
      </c>
      <c r="D113" s="23">
        <v>1110000</v>
      </c>
      <c r="E113" s="23" t="s">
        <v>280</v>
      </c>
      <c r="F113" s="23" t="str">
        <f t="shared" si="2"/>
        <v>rtdc.l.rtdc.4028:itc</v>
      </c>
      <c r="G113" s="8">
        <f t="shared" si="3"/>
        <v>42648.480555555558</v>
      </c>
    </row>
    <row r="114" spans="1:7" x14ac:dyDescent="0.25">
      <c r="A114" s="8">
        <v>42648.488692129627</v>
      </c>
      <c r="B114" s="23" t="s">
        <v>313</v>
      </c>
      <c r="C114" s="23" t="s">
        <v>496</v>
      </c>
      <c r="D114" s="23">
        <v>2250000</v>
      </c>
      <c r="E114" s="23" t="s">
        <v>497</v>
      </c>
      <c r="F114" s="23" t="str">
        <f t="shared" si="2"/>
        <v>rtdc.l.rtdc.4007:itc</v>
      </c>
      <c r="G114" s="8">
        <f t="shared" si="3"/>
        <v>42648.488692129627</v>
      </c>
    </row>
    <row r="115" spans="1:7" x14ac:dyDescent="0.25">
      <c r="A115" s="8">
        <v>42648.490439814814</v>
      </c>
      <c r="B115" s="23" t="s">
        <v>250</v>
      </c>
      <c r="C115" s="23" t="s">
        <v>399</v>
      </c>
      <c r="D115" s="23">
        <v>1190000</v>
      </c>
      <c r="E115" s="23" t="s">
        <v>303</v>
      </c>
      <c r="F115" s="23" t="str">
        <f t="shared" si="2"/>
        <v>rtdc.l.rtdc.4015:itc</v>
      </c>
      <c r="G115" s="8">
        <f t="shared" si="3"/>
        <v>42648.490439814814</v>
      </c>
    </row>
    <row r="116" spans="1:7" x14ac:dyDescent="0.25">
      <c r="A116" s="8">
        <v>42648.493564814817</v>
      </c>
      <c r="B116" s="23" t="s">
        <v>224</v>
      </c>
      <c r="C116" s="23" t="s">
        <v>498</v>
      </c>
      <c r="D116" s="23">
        <v>2270000</v>
      </c>
      <c r="E116" s="23" t="s">
        <v>499</v>
      </c>
      <c r="F116" s="23" t="str">
        <f t="shared" si="2"/>
        <v>rtdc.l.rtdc.4018:itc</v>
      </c>
      <c r="G116" s="8">
        <f t="shared" si="3"/>
        <v>42648.493564814817</v>
      </c>
    </row>
    <row r="117" spans="1:7" x14ac:dyDescent="0.25">
      <c r="A117" s="8">
        <v>42648.494027777779</v>
      </c>
      <c r="B117" s="23" t="s">
        <v>375</v>
      </c>
      <c r="C117" s="23" t="s">
        <v>400</v>
      </c>
      <c r="D117" s="23">
        <v>400000</v>
      </c>
      <c r="E117" s="23" t="s">
        <v>479</v>
      </c>
      <c r="F117" s="23" t="str">
        <f t="shared" si="2"/>
        <v>rtdc.l.rtdc.4019:itc</v>
      </c>
      <c r="G117" s="8">
        <f t="shared" si="3"/>
        <v>42648.494027777779</v>
      </c>
    </row>
    <row r="118" spans="1:7" x14ac:dyDescent="0.25">
      <c r="A118" s="8">
        <v>42648.502106481479</v>
      </c>
      <c r="B118" s="23" t="s">
        <v>228</v>
      </c>
      <c r="C118" s="23" t="s">
        <v>500</v>
      </c>
      <c r="D118" s="23">
        <v>2030000</v>
      </c>
      <c r="E118" s="23" t="s">
        <v>270</v>
      </c>
      <c r="F118" s="23" t="str">
        <f t="shared" si="2"/>
        <v>rtdc.l.rtdc.4006:itc</v>
      </c>
      <c r="G118" s="8">
        <f t="shared" si="3"/>
        <v>42648.502106481479</v>
      </c>
    </row>
    <row r="119" spans="1:7" x14ac:dyDescent="0.25">
      <c r="A119" s="8">
        <v>42648.505474537036</v>
      </c>
      <c r="B119" s="23" t="s">
        <v>266</v>
      </c>
      <c r="C119" s="23" t="s">
        <v>501</v>
      </c>
      <c r="D119" s="23">
        <v>1780000</v>
      </c>
      <c r="E119" s="23" t="s">
        <v>502</v>
      </c>
      <c r="F119" s="23" t="str">
        <f t="shared" si="2"/>
        <v>rtdc.l.rtdc.4003:itc</v>
      </c>
      <c r="G119" s="8">
        <f t="shared" si="3"/>
        <v>42648.505474537036</v>
      </c>
    </row>
    <row r="120" spans="1:7" x14ac:dyDescent="0.25">
      <c r="A120" s="8">
        <v>42648.508645833332</v>
      </c>
      <c r="B120" s="23" t="s">
        <v>166</v>
      </c>
      <c r="C120" s="23" t="s">
        <v>503</v>
      </c>
      <c r="D120" s="23">
        <v>940000</v>
      </c>
      <c r="E120" s="23" t="s">
        <v>307</v>
      </c>
      <c r="F120" s="23" t="str">
        <f t="shared" si="2"/>
        <v>rtdc.l.rtdc.4026:itc</v>
      </c>
      <c r="G120" s="8">
        <f t="shared" si="3"/>
        <v>42648.508645833332</v>
      </c>
    </row>
    <row r="121" spans="1:7" x14ac:dyDescent="0.25">
      <c r="A121" s="8">
        <v>42648.511817129627</v>
      </c>
      <c r="B121" s="23" t="s">
        <v>383</v>
      </c>
      <c r="C121" s="23" t="s">
        <v>504</v>
      </c>
      <c r="D121" s="23">
        <v>1100000</v>
      </c>
      <c r="E121" s="23" t="s">
        <v>312</v>
      </c>
      <c r="F121" s="23" t="str">
        <f t="shared" si="2"/>
        <v>rtdc.l.rtdc.4020:itc</v>
      </c>
      <c r="G121" s="8">
        <f t="shared" si="3"/>
        <v>42648.511817129627</v>
      </c>
    </row>
    <row r="122" spans="1:7" x14ac:dyDescent="0.25">
      <c r="A122" s="8">
        <v>42648.514675925922</v>
      </c>
      <c r="B122" s="28" t="s">
        <v>249</v>
      </c>
      <c r="C122" s="23" t="s">
        <v>505</v>
      </c>
      <c r="D122" s="23">
        <v>1280000</v>
      </c>
      <c r="E122" s="23" t="s">
        <v>271</v>
      </c>
      <c r="F122" s="23" t="str">
        <f t="shared" si="2"/>
        <v>rtdc.l.rtdc.4010:itc</v>
      </c>
      <c r="G122" s="8">
        <f t="shared" si="3"/>
        <v>42648.514675925922</v>
      </c>
    </row>
    <row r="123" spans="1:7" x14ac:dyDescent="0.25">
      <c r="A123" s="8">
        <v>42648.516273148147</v>
      </c>
      <c r="B123" s="23" t="s">
        <v>306</v>
      </c>
      <c r="C123" s="23" t="s">
        <v>506</v>
      </c>
      <c r="D123" s="23">
        <v>900000</v>
      </c>
      <c r="E123" s="23" t="s">
        <v>445</v>
      </c>
      <c r="F123" s="23" t="str">
        <f t="shared" si="2"/>
        <v>rtdc.l.rtdc.4022:itc</v>
      </c>
      <c r="G123" s="8">
        <f t="shared" si="3"/>
        <v>42648.516273148147</v>
      </c>
    </row>
    <row r="124" spans="1:7" x14ac:dyDescent="0.25">
      <c r="A124" s="8">
        <v>42648.519224537034</v>
      </c>
      <c r="B124" s="23" t="s">
        <v>395</v>
      </c>
      <c r="C124" s="23" t="s">
        <v>507</v>
      </c>
      <c r="D124" s="23">
        <v>2260000</v>
      </c>
      <c r="E124" s="23" t="s">
        <v>508</v>
      </c>
      <c r="F124" s="23" t="str">
        <f t="shared" si="2"/>
        <v>rtdc.l.rtdc.4027:itc</v>
      </c>
      <c r="G124" s="8">
        <f t="shared" si="3"/>
        <v>42648.519224537034</v>
      </c>
    </row>
    <row r="125" spans="1:7" x14ac:dyDescent="0.25">
      <c r="A125" s="8">
        <v>42648.527685185189</v>
      </c>
      <c r="B125" s="23" t="s">
        <v>375</v>
      </c>
      <c r="C125" s="23" t="s">
        <v>509</v>
      </c>
      <c r="D125" s="23">
        <v>1100000</v>
      </c>
      <c r="E125" s="23" t="s">
        <v>312</v>
      </c>
      <c r="F125" s="23" t="str">
        <f t="shared" si="2"/>
        <v>rtdc.l.rtdc.4019:itc</v>
      </c>
      <c r="G125" s="8">
        <f t="shared" si="3"/>
        <v>42648.527685185189</v>
      </c>
    </row>
    <row r="126" spans="1:7" x14ac:dyDescent="0.25">
      <c r="A126" s="8">
        <v>42648.532534722224</v>
      </c>
      <c r="B126" s="23" t="s">
        <v>251</v>
      </c>
      <c r="C126" s="23" t="s">
        <v>403</v>
      </c>
      <c r="D126" s="23">
        <v>1740000</v>
      </c>
      <c r="E126" s="23" t="s">
        <v>314</v>
      </c>
      <c r="F126" s="23" t="str">
        <f t="shared" si="2"/>
        <v>rtdc.l.rtdc.4016:itc</v>
      </c>
      <c r="G126" s="8">
        <f t="shared" si="3"/>
        <v>42648.532534722224</v>
      </c>
    </row>
    <row r="127" spans="1:7" x14ac:dyDescent="0.25">
      <c r="A127" s="8">
        <v>42648.537453703706</v>
      </c>
      <c r="B127" s="23" t="s">
        <v>310</v>
      </c>
      <c r="C127" s="23" t="s">
        <v>510</v>
      </c>
      <c r="D127" s="23">
        <v>2250000</v>
      </c>
      <c r="E127" s="23" t="s">
        <v>497</v>
      </c>
      <c r="F127" s="23" t="str">
        <f t="shared" si="2"/>
        <v>rtdc.l.rtdc.4008:itc</v>
      </c>
      <c r="G127" s="8">
        <f t="shared" si="3"/>
        <v>42648.537453703706</v>
      </c>
    </row>
    <row r="128" spans="1:7" x14ac:dyDescent="0.25">
      <c r="A128" s="8">
        <v>42648.547731481478</v>
      </c>
      <c r="B128" s="23" t="s">
        <v>383</v>
      </c>
      <c r="C128" s="23" t="s">
        <v>404</v>
      </c>
      <c r="D128" s="23">
        <v>2040000</v>
      </c>
      <c r="E128" s="23" t="s">
        <v>511</v>
      </c>
      <c r="F128" s="23" t="str">
        <f t="shared" si="2"/>
        <v>rtdc.l.rtdc.4020:itc</v>
      </c>
      <c r="G128" s="8">
        <f t="shared" si="3"/>
        <v>42648.547731481478</v>
      </c>
    </row>
    <row r="129" spans="1:7" x14ac:dyDescent="0.25">
      <c r="A129" s="8">
        <v>42648.549039351848</v>
      </c>
      <c r="B129" s="23" t="s">
        <v>165</v>
      </c>
      <c r="C129" s="23" t="s">
        <v>401</v>
      </c>
      <c r="D129" s="23">
        <v>940000</v>
      </c>
      <c r="E129" s="23" t="s">
        <v>307</v>
      </c>
      <c r="F129" s="23" t="str">
        <f t="shared" si="2"/>
        <v>rtdc.l.rtdc.4025:itc</v>
      </c>
      <c r="G129" s="8">
        <f t="shared" si="3"/>
        <v>42648.549039351848</v>
      </c>
    </row>
    <row r="130" spans="1:7" x14ac:dyDescent="0.25">
      <c r="A130" s="8">
        <v>42648.551215277781</v>
      </c>
      <c r="B130" s="23" t="s">
        <v>223</v>
      </c>
      <c r="C130" s="23" t="s">
        <v>402</v>
      </c>
      <c r="D130" s="23">
        <v>2270000</v>
      </c>
      <c r="E130" s="23" t="s">
        <v>499</v>
      </c>
      <c r="F130" s="23" t="str">
        <f t="shared" ref="F130:F193" si="4">B130</f>
        <v>rtdc.l.rtdc.4017:itc</v>
      </c>
      <c r="G130" s="8">
        <f t="shared" ref="G130:G193" si="5">A130</f>
        <v>42648.551215277781</v>
      </c>
    </row>
    <row r="131" spans="1:7" x14ac:dyDescent="0.25">
      <c r="A131" s="8">
        <v>42648.557314814818</v>
      </c>
      <c r="B131" s="23" t="s">
        <v>267</v>
      </c>
      <c r="C131" s="23" t="s">
        <v>512</v>
      </c>
      <c r="D131" s="23">
        <v>1780000</v>
      </c>
      <c r="E131" s="23" t="s">
        <v>502</v>
      </c>
      <c r="F131" s="23" t="str">
        <f t="shared" si="4"/>
        <v>rtdc.l.rtdc.4004:itc</v>
      </c>
      <c r="G131" s="8">
        <f t="shared" si="5"/>
        <v>42648.557314814818</v>
      </c>
    </row>
    <row r="132" spans="1:7" x14ac:dyDescent="0.25">
      <c r="A132" s="8">
        <v>42648.560254629629</v>
      </c>
      <c r="B132" s="23" t="s">
        <v>165</v>
      </c>
      <c r="C132" s="23" t="s">
        <v>401</v>
      </c>
      <c r="D132" s="23">
        <v>940000</v>
      </c>
      <c r="E132" s="23" t="s">
        <v>307</v>
      </c>
      <c r="F132" s="23" t="str">
        <f t="shared" si="4"/>
        <v>rtdc.l.rtdc.4025:itc</v>
      </c>
      <c r="G132" s="8">
        <f t="shared" si="5"/>
        <v>42648.560254629629</v>
      </c>
    </row>
    <row r="133" spans="1:7" x14ac:dyDescent="0.25">
      <c r="A133" s="8">
        <v>42648.560370370367</v>
      </c>
      <c r="B133" s="23" t="s">
        <v>255</v>
      </c>
      <c r="C133" s="23" t="s">
        <v>513</v>
      </c>
      <c r="D133" s="23">
        <v>1280000</v>
      </c>
      <c r="E133" s="23" t="s">
        <v>271</v>
      </c>
      <c r="F133" s="23" t="str">
        <f t="shared" si="4"/>
        <v>rtdc.l.rtdc.4009:itc</v>
      </c>
      <c r="G133" s="8">
        <f t="shared" si="5"/>
        <v>42648.560370370367</v>
      </c>
    </row>
    <row r="134" spans="1:7" x14ac:dyDescent="0.25">
      <c r="A134" s="8">
        <v>42648.568171296298</v>
      </c>
      <c r="B134" s="23" t="s">
        <v>380</v>
      </c>
      <c r="C134" s="23" t="s">
        <v>514</v>
      </c>
      <c r="D134" s="23">
        <v>2260000</v>
      </c>
      <c r="E134" s="23" t="s">
        <v>508</v>
      </c>
      <c r="F134" s="23" t="str">
        <f t="shared" si="4"/>
        <v>rtdc.l.rtdc.4028:itc</v>
      </c>
      <c r="G134" s="8">
        <f t="shared" si="5"/>
        <v>42648.568171296298</v>
      </c>
    </row>
    <row r="135" spans="1:7" x14ac:dyDescent="0.25">
      <c r="A135" s="8">
        <v>42648.568356481483</v>
      </c>
      <c r="B135" s="23" t="s">
        <v>375</v>
      </c>
      <c r="C135" s="23" t="s">
        <v>405</v>
      </c>
      <c r="D135" s="23">
        <v>2040000</v>
      </c>
      <c r="E135" s="23" t="s">
        <v>511</v>
      </c>
      <c r="F135" s="23" t="str">
        <f t="shared" si="4"/>
        <v>rtdc.l.rtdc.4019:itc</v>
      </c>
      <c r="G135" s="8">
        <f t="shared" si="5"/>
        <v>42648.568356481483</v>
      </c>
    </row>
    <row r="136" spans="1:7" x14ac:dyDescent="0.25">
      <c r="A136" s="8">
        <v>42648.570034722223</v>
      </c>
      <c r="B136" s="23" t="s">
        <v>313</v>
      </c>
      <c r="C136" s="23" t="s">
        <v>515</v>
      </c>
      <c r="D136" s="23">
        <v>2250000</v>
      </c>
      <c r="E136" s="23" t="s">
        <v>497</v>
      </c>
      <c r="F136" s="23" t="str">
        <f t="shared" si="4"/>
        <v>rtdc.l.rtdc.4007:itc</v>
      </c>
      <c r="G136" s="8">
        <f t="shared" si="5"/>
        <v>42648.570034722223</v>
      </c>
    </row>
    <row r="137" spans="1:7" x14ac:dyDescent="0.25">
      <c r="A137" s="8">
        <v>42648.577604166669</v>
      </c>
      <c r="B137" s="23" t="s">
        <v>250</v>
      </c>
      <c r="C137" s="23" t="s">
        <v>516</v>
      </c>
      <c r="D137" s="23">
        <v>1740000</v>
      </c>
      <c r="E137" s="23" t="s">
        <v>314</v>
      </c>
      <c r="F137" s="23" t="str">
        <f t="shared" si="4"/>
        <v>rtdc.l.rtdc.4015:itc</v>
      </c>
      <c r="G137" s="8">
        <f t="shared" si="5"/>
        <v>42648.577604166669</v>
      </c>
    </row>
    <row r="138" spans="1:7" x14ac:dyDescent="0.25">
      <c r="A138" s="8">
        <v>42648.583333333336</v>
      </c>
      <c r="B138" s="23" t="s">
        <v>224</v>
      </c>
      <c r="C138" s="23" t="s">
        <v>517</v>
      </c>
      <c r="D138" s="23">
        <v>2270000</v>
      </c>
      <c r="E138" s="23" t="s">
        <v>499</v>
      </c>
      <c r="F138" s="23" t="str">
        <f t="shared" si="4"/>
        <v>rtdc.l.rtdc.4018:itc</v>
      </c>
      <c r="G138" s="8">
        <f t="shared" si="5"/>
        <v>42648.583333333336</v>
      </c>
    </row>
    <row r="139" spans="1:7" x14ac:dyDescent="0.25">
      <c r="A139" s="8">
        <v>42648.589398148149</v>
      </c>
      <c r="B139" s="23" t="s">
        <v>266</v>
      </c>
      <c r="C139" s="23" t="s">
        <v>518</v>
      </c>
      <c r="D139" s="23">
        <v>2000000</v>
      </c>
      <c r="E139" s="23" t="s">
        <v>519</v>
      </c>
      <c r="F139" s="23" t="str">
        <f t="shared" si="4"/>
        <v>rtdc.l.rtdc.4003:itc</v>
      </c>
      <c r="G139" s="8">
        <f t="shared" si="5"/>
        <v>42648.589398148149</v>
      </c>
    </row>
    <row r="140" spans="1:7" x14ac:dyDescent="0.25">
      <c r="A140" s="8">
        <v>42648.596273148149</v>
      </c>
      <c r="B140" s="23" t="s">
        <v>383</v>
      </c>
      <c r="C140" s="23" t="s">
        <v>520</v>
      </c>
      <c r="D140" s="23">
        <v>2040000</v>
      </c>
      <c r="E140" s="23" t="s">
        <v>511</v>
      </c>
      <c r="F140" s="23" t="str">
        <f t="shared" si="4"/>
        <v>rtdc.l.rtdc.4020:itc</v>
      </c>
      <c r="G140" s="8">
        <f t="shared" si="5"/>
        <v>42648.596273148149</v>
      </c>
    </row>
    <row r="141" spans="1:7" x14ac:dyDescent="0.25">
      <c r="A141" s="8">
        <v>42648.596331018518</v>
      </c>
      <c r="B141" s="23" t="s">
        <v>166</v>
      </c>
      <c r="C141" s="23" t="s">
        <v>521</v>
      </c>
      <c r="D141" s="23">
        <v>940000</v>
      </c>
      <c r="E141" s="23" t="s">
        <v>307</v>
      </c>
      <c r="F141" s="23" t="str">
        <f t="shared" si="4"/>
        <v>rtdc.l.rtdc.4026:itc</v>
      </c>
      <c r="G141" s="8">
        <f t="shared" si="5"/>
        <v>42648.596331018518</v>
      </c>
    </row>
    <row r="142" spans="1:7" x14ac:dyDescent="0.25">
      <c r="A142" s="8">
        <v>42648.60224537037</v>
      </c>
      <c r="B142" s="23" t="s">
        <v>395</v>
      </c>
      <c r="C142" s="23" t="s">
        <v>522</v>
      </c>
      <c r="D142" s="23">
        <v>2260000</v>
      </c>
      <c r="E142" s="23" t="s">
        <v>508</v>
      </c>
      <c r="F142" s="23" t="str">
        <f t="shared" si="4"/>
        <v>rtdc.l.rtdc.4027:itc</v>
      </c>
      <c r="G142" s="8">
        <f t="shared" si="5"/>
        <v>42648.60224537037</v>
      </c>
    </row>
    <row r="143" spans="1:7" x14ac:dyDescent="0.25">
      <c r="A143" s="8">
        <v>42648.603125000001</v>
      </c>
      <c r="B143" s="23" t="s">
        <v>249</v>
      </c>
      <c r="C143" s="23" t="s">
        <v>406</v>
      </c>
      <c r="D143" s="23">
        <v>1280000</v>
      </c>
      <c r="E143" s="23" t="s">
        <v>271</v>
      </c>
      <c r="F143" s="23" t="str">
        <f t="shared" si="4"/>
        <v>rtdc.l.rtdc.4010:itc</v>
      </c>
      <c r="G143" s="8">
        <f t="shared" si="5"/>
        <v>42648.603125000001</v>
      </c>
    </row>
    <row r="144" spans="1:7" x14ac:dyDescent="0.25">
      <c r="A144" s="8">
        <v>42648.60732638889</v>
      </c>
      <c r="B144" s="23" t="s">
        <v>310</v>
      </c>
      <c r="C144" s="23" t="s">
        <v>523</v>
      </c>
      <c r="D144" s="23">
        <v>2250000</v>
      </c>
      <c r="E144" s="23" t="s">
        <v>497</v>
      </c>
      <c r="F144" s="23" t="str">
        <f t="shared" si="4"/>
        <v>rtdc.l.rtdc.4008:itc</v>
      </c>
      <c r="G144" s="8">
        <f t="shared" si="5"/>
        <v>42648.60732638889</v>
      </c>
    </row>
    <row r="145" spans="1:7" x14ac:dyDescent="0.25">
      <c r="A145" s="8">
        <v>42648.610312500001</v>
      </c>
      <c r="B145" s="23" t="s">
        <v>375</v>
      </c>
      <c r="C145" s="23" t="s">
        <v>524</v>
      </c>
      <c r="D145" s="23">
        <v>2040000</v>
      </c>
      <c r="E145" s="23" t="s">
        <v>511</v>
      </c>
      <c r="F145" s="23" t="str">
        <f t="shared" si="4"/>
        <v>rtdc.l.rtdc.4019:itc</v>
      </c>
      <c r="G145" s="8">
        <f t="shared" si="5"/>
        <v>42648.610312500001</v>
      </c>
    </row>
    <row r="146" spans="1:7" x14ac:dyDescent="0.25">
      <c r="A146" s="8">
        <v>42648.615451388891</v>
      </c>
      <c r="B146" s="23" t="s">
        <v>223</v>
      </c>
      <c r="C146" s="23" t="s">
        <v>525</v>
      </c>
      <c r="D146" s="23">
        <v>2270000</v>
      </c>
      <c r="E146" s="23" t="s">
        <v>499</v>
      </c>
      <c r="F146" s="23" t="str">
        <f t="shared" si="4"/>
        <v>rtdc.l.rtdc.4017:itc</v>
      </c>
      <c r="G146" s="8">
        <f t="shared" si="5"/>
        <v>42648.615451388891</v>
      </c>
    </row>
    <row r="147" spans="1:7" x14ac:dyDescent="0.25">
      <c r="A147" s="8">
        <v>42648.616261574076</v>
      </c>
      <c r="B147" s="23" t="s">
        <v>251</v>
      </c>
      <c r="C147" s="23" t="s">
        <v>516</v>
      </c>
      <c r="D147" s="23">
        <v>1740000</v>
      </c>
      <c r="E147" s="23" t="s">
        <v>314</v>
      </c>
      <c r="F147" s="23" t="str">
        <f t="shared" si="4"/>
        <v>rtdc.l.rtdc.4016:itc</v>
      </c>
      <c r="G147" s="8">
        <f t="shared" si="5"/>
        <v>42648.616261574076</v>
      </c>
    </row>
    <row r="148" spans="1:7" x14ac:dyDescent="0.25">
      <c r="A148" s="8">
        <v>42648.617071759261</v>
      </c>
      <c r="B148" s="23" t="s">
        <v>251</v>
      </c>
      <c r="C148" s="23" t="s">
        <v>526</v>
      </c>
      <c r="D148" s="23">
        <v>1740000</v>
      </c>
      <c r="E148" s="23" t="s">
        <v>314</v>
      </c>
      <c r="F148" s="23" t="str">
        <f t="shared" si="4"/>
        <v>rtdc.l.rtdc.4016:itc</v>
      </c>
      <c r="G148" s="8">
        <f t="shared" si="5"/>
        <v>42648.617071759261</v>
      </c>
    </row>
    <row r="149" spans="1:7" x14ac:dyDescent="0.25">
      <c r="A149" s="8">
        <v>42648.624120370368</v>
      </c>
      <c r="B149" s="23" t="s">
        <v>302</v>
      </c>
      <c r="C149" s="23" t="s">
        <v>527</v>
      </c>
      <c r="D149" s="23">
        <v>2220000</v>
      </c>
      <c r="E149" s="23" t="s">
        <v>528</v>
      </c>
      <c r="F149" s="23" t="str">
        <f t="shared" si="4"/>
        <v>rtdc.l.rtdc.4002:itc</v>
      </c>
      <c r="G149" s="8">
        <f t="shared" si="5"/>
        <v>42648.624120370368</v>
      </c>
    </row>
    <row r="150" spans="1:7" x14ac:dyDescent="0.25">
      <c r="A150" s="8">
        <v>42648.629131944443</v>
      </c>
      <c r="B150" s="23" t="s">
        <v>267</v>
      </c>
      <c r="C150" s="23" t="s">
        <v>407</v>
      </c>
      <c r="D150" s="23">
        <v>2000000</v>
      </c>
      <c r="E150" s="23" t="s">
        <v>519</v>
      </c>
      <c r="F150" s="23" t="str">
        <f t="shared" si="4"/>
        <v>rtdc.l.rtdc.4004:itc</v>
      </c>
      <c r="G150" s="8">
        <f t="shared" si="5"/>
        <v>42648.629131944443</v>
      </c>
    </row>
    <row r="151" spans="1:7" x14ac:dyDescent="0.25">
      <c r="A151" s="8">
        <v>42648.637106481481</v>
      </c>
      <c r="B151" s="23" t="s">
        <v>383</v>
      </c>
      <c r="C151" s="23" t="s">
        <v>408</v>
      </c>
      <c r="D151" s="23">
        <v>2040000</v>
      </c>
      <c r="E151" s="23" t="s">
        <v>511</v>
      </c>
      <c r="F151" s="23" t="str">
        <f t="shared" si="4"/>
        <v>rtdc.l.rtdc.4020:itc</v>
      </c>
      <c r="G151" s="8">
        <f t="shared" si="5"/>
        <v>42648.637106481481</v>
      </c>
    </row>
    <row r="152" spans="1:7" x14ac:dyDescent="0.25">
      <c r="A152" s="8">
        <v>42648.639120370368</v>
      </c>
      <c r="B152" s="23" t="s">
        <v>380</v>
      </c>
      <c r="C152" s="23" t="s">
        <v>529</v>
      </c>
      <c r="D152" s="23">
        <v>2260000</v>
      </c>
      <c r="E152" s="23" t="s">
        <v>508</v>
      </c>
      <c r="F152" s="23" t="str">
        <f t="shared" si="4"/>
        <v>rtdc.l.rtdc.4028:itc</v>
      </c>
      <c r="G152" s="8">
        <f t="shared" si="5"/>
        <v>42648.639120370368</v>
      </c>
    </row>
    <row r="153" spans="1:7" x14ac:dyDescent="0.25">
      <c r="A153" s="8">
        <v>42648.639317129629</v>
      </c>
      <c r="B153" s="23" t="s">
        <v>255</v>
      </c>
      <c r="C153" s="23" t="s">
        <v>412</v>
      </c>
      <c r="D153" s="23">
        <v>940000</v>
      </c>
      <c r="E153" s="23" t="s">
        <v>307</v>
      </c>
      <c r="F153" s="23" t="str">
        <f t="shared" si="4"/>
        <v>rtdc.l.rtdc.4009:itc</v>
      </c>
      <c r="G153" s="8">
        <f t="shared" si="5"/>
        <v>42648.639317129629</v>
      </c>
    </row>
    <row r="154" spans="1:7" x14ac:dyDescent="0.25">
      <c r="A154" s="8">
        <v>42648.642106481479</v>
      </c>
      <c r="B154" s="23" t="s">
        <v>313</v>
      </c>
      <c r="C154" s="23" t="s">
        <v>530</v>
      </c>
      <c r="D154" s="23">
        <v>2250000</v>
      </c>
      <c r="E154" s="23" t="s">
        <v>497</v>
      </c>
      <c r="F154" s="23" t="str">
        <f t="shared" si="4"/>
        <v>rtdc.l.rtdc.4007:itc</v>
      </c>
      <c r="G154" s="8">
        <f t="shared" si="5"/>
        <v>42648.642106481479</v>
      </c>
    </row>
    <row r="155" spans="1:7" x14ac:dyDescent="0.25">
      <c r="A155" s="8">
        <v>42648.643553240741</v>
      </c>
      <c r="B155" s="23" t="s">
        <v>252</v>
      </c>
      <c r="C155" s="23" t="s">
        <v>409</v>
      </c>
      <c r="D155" s="23">
        <v>1180000</v>
      </c>
      <c r="E155" s="23" t="s">
        <v>226</v>
      </c>
      <c r="F155" s="23" t="str">
        <f t="shared" si="4"/>
        <v>rtdc.l.rtdc.4032:itc</v>
      </c>
      <c r="G155" s="8">
        <f t="shared" si="5"/>
        <v>42648.643553240741</v>
      </c>
    </row>
    <row r="156" spans="1:7" x14ac:dyDescent="0.25">
      <c r="A156" s="8">
        <v>42648.648854166669</v>
      </c>
      <c r="B156" s="23" t="s">
        <v>313</v>
      </c>
      <c r="C156" s="23" t="s">
        <v>530</v>
      </c>
      <c r="D156" s="23">
        <v>2250000</v>
      </c>
      <c r="E156" s="23" t="s">
        <v>497</v>
      </c>
      <c r="F156" s="23" t="str">
        <f t="shared" si="4"/>
        <v>rtdc.l.rtdc.4007:itc</v>
      </c>
      <c r="G156" s="8">
        <f t="shared" si="5"/>
        <v>42648.648854166669</v>
      </c>
    </row>
    <row r="157" spans="1:7" x14ac:dyDescent="0.25">
      <c r="A157" s="8">
        <v>42648.650451388887</v>
      </c>
      <c r="B157" s="23" t="s">
        <v>250</v>
      </c>
      <c r="C157" s="23" t="s">
        <v>410</v>
      </c>
      <c r="D157" s="23">
        <v>1740000</v>
      </c>
      <c r="E157" s="23" t="s">
        <v>314</v>
      </c>
      <c r="F157" s="23" t="str">
        <f t="shared" si="4"/>
        <v>rtdc.l.rtdc.4015:itc</v>
      </c>
      <c r="G157" s="8">
        <f t="shared" si="5"/>
        <v>42648.650451388887</v>
      </c>
    </row>
    <row r="158" spans="1:7" x14ac:dyDescent="0.25">
      <c r="A158" s="8">
        <v>42648.651979166665</v>
      </c>
      <c r="B158" s="23" t="s">
        <v>375</v>
      </c>
      <c r="C158" s="23" t="s">
        <v>411</v>
      </c>
      <c r="D158" s="23">
        <v>2040000</v>
      </c>
      <c r="E158" s="23" t="s">
        <v>511</v>
      </c>
      <c r="F158" s="23" t="str">
        <f t="shared" si="4"/>
        <v>rtdc.l.rtdc.4019:itc</v>
      </c>
      <c r="G158" s="8">
        <f t="shared" si="5"/>
        <v>42648.651979166665</v>
      </c>
    </row>
    <row r="159" spans="1:7" x14ac:dyDescent="0.25">
      <c r="A159" s="8">
        <v>42648.652604166666</v>
      </c>
      <c r="B159" s="23" t="s">
        <v>313</v>
      </c>
      <c r="C159" s="23" t="s">
        <v>530</v>
      </c>
      <c r="D159" s="23">
        <v>2250000</v>
      </c>
      <c r="E159" s="23" t="s">
        <v>497</v>
      </c>
      <c r="F159" s="23" t="str">
        <f t="shared" si="4"/>
        <v>rtdc.l.rtdc.4007:itc</v>
      </c>
      <c r="G159" s="8">
        <f t="shared" si="5"/>
        <v>42648.652604166666</v>
      </c>
    </row>
    <row r="160" spans="1:7" x14ac:dyDescent="0.25">
      <c r="A160" s="8">
        <v>42648.653657407405</v>
      </c>
      <c r="B160" s="23" t="s">
        <v>313</v>
      </c>
      <c r="C160" s="23" t="s">
        <v>530</v>
      </c>
      <c r="D160" s="23">
        <v>2250000</v>
      </c>
      <c r="E160" s="23" t="s">
        <v>497</v>
      </c>
      <c r="F160" s="23" t="str">
        <f t="shared" si="4"/>
        <v>rtdc.l.rtdc.4007:itc</v>
      </c>
      <c r="G160" s="8">
        <f t="shared" si="5"/>
        <v>42648.653657407405</v>
      </c>
    </row>
    <row r="161" spans="1:7" x14ac:dyDescent="0.25">
      <c r="A161" s="8">
        <v>42648.655682870369</v>
      </c>
      <c r="B161" s="23" t="s">
        <v>313</v>
      </c>
      <c r="C161" s="23" t="s">
        <v>530</v>
      </c>
      <c r="D161" s="23">
        <v>2250000</v>
      </c>
      <c r="E161" s="23" t="s">
        <v>497</v>
      </c>
      <c r="F161" s="23" t="str">
        <f t="shared" si="4"/>
        <v>rtdc.l.rtdc.4007:itc</v>
      </c>
      <c r="G161" s="8">
        <f t="shared" si="5"/>
        <v>42648.655682870369</v>
      </c>
    </row>
    <row r="162" spans="1:7" x14ac:dyDescent="0.25">
      <c r="A162" s="8">
        <v>42648.656226851854</v>
      </c>
      <c r="B162" s="23" t="s">
        <v>224</v>
      </c>
      <c r="C162" s="23" t="s">
        <v>531</v>
      </c>
      <c r="D162" s="23">
        <v>2270000</v>
      </c>
      <c r="E162" s="23" t="s">
        <v>499</v>
      </c>
      <c r="F162" s="23" t="str">
        <f t="shared" si="4"/>
        <v>rtdc.l.rtdc.4018:itc</v>
      </c>
      <c r="G162" s="8">
        <f t="shared" si="5"/>
        <v>42648.656226851854</v>
      </c>
    </row>
    <row r="163" spans="1:7" x14ac:dyDescent="0.25">
      <c r="A163" s="8">
        <v>42648.657013888886</v>
      </c>
      <c r="B163" s="23" t="s">
        <v>301</v>
      </c>
      <c r="C163" s="23" t="s">
        <v>532</v>
      </c>
      <c r="D163" s="23">
        <v>2220000</v>
      </c>
      <c r="E163" s="23" t="s">
        <v>528</v>
      </c>
      <c r="F163" s="23" t="str">
        <f t="shared" si="4"/>
        <v>rtdc.l.rtdc.4001:itc</v>
      </c>
      <c r="G163" s="8">
        <f t="shared" si="5"/>
        <v>42648.657013888886</v>
      </c>
    </row>
    <row r="164" spans="1:7" x14ac:dyDescent="0.25">
      <c r="A164" s="8">
        <v>42648.658506944441</v>
      </c>
      <c r="B164" s="23" t="s">
        <v>253</v>
      </c>
      <c r="C164" s="23" t="s">
        <v>413</v>
      </c>
      <c r="D164" s="23">
        <v>1180000</v>
      </c>
      <c r="E164" s="23" t="s">
        <v>226</v>
      </c>
      <c r="F164" s="23" t="str">
        <f t="shared" si="4"/>
        <v>rtdc.l.rtdc.4031:itc</v>
      </c>
      <c r="G164" s="8">
        <f t="shared" si="5"/>
        <v>42648.658506944441</v>
      </c>
    </row>
    <row r="165" spans="1:7" x14ac:dyDescent="0.25">
      <c r="A165" s="8">
        <v>42648.663819444446</v>
      </c>
      <c r="B165" s="23" t="s">
        <v>266</v>
      </c>
      <c r="C165" s="23" t="s">
        <v>533</v>
      </c>
      <c r="D165" s="23">
        <v>2000000</v>
      </c>
      <c r="E165" s="23" t="s">
        <v>519</v>
      </c>
      <c r="F165" s="23" t="str">
        <f t="shared" si="4"/>
        <v>rtdc.l.rtdc.4003:itc</v>
      </c>
      <c r="G165" s="8">
        <f t="shared" si="5"/>
        <v>42648.663819444446</v>
      </c>
    </row>
    <row r="166" spans="1:7" x14ac:dyDescent="0.25">
      <c r="A166" s="8">
        <v>42648.670567129629</v>
      </c>
      <c r="B166" s="23" t="s">
        <v>249</v>
      </c>
      <c r="C166" s="23" t="s">
        <v>414</v>
      </c>
      <c r="D166" s="23">
        <v>940000</v>
      </c>
      <c r="E166" s="23" t="s">
        <v>307</v>
      </c>
      <c r="F166" s="23" t="str">
        <f t="shared" si="4"/>
        <v>rtdc.l.rtdc.4010:itc</v>
      </c>
      <c r="G166" s="8">
        <f t="shared" si="5"/>
        <v>42648.670567129629</v>
      </c>
    </row>
    <row r="167" spans="1:7" x14ac:dyDescent="0.25">
      <c r="A167" s="8">
        <v>42648.673229166663</v>
      </c>
      <c r="B167" s="23" t="s">
        <v>252</v>
      </c>
      <c r="C167" s="23" t="s">
        <v>534</v>
      </c>
      <c r="D167" s="23">
        <v>1180000</v>
      </c>
      <c r="E167" s="23" t="s">
        <v>226</v>
      </c>
      <c r="F167" s="23" t="str">
        <f t="shared" si="4"/>
        <v>rtdc.l.rtdc.4032:itc</v>
      </c>
      <c r="G167" s="8">
        <f t="shared" si="5"/>
        <v>42648.673229166663</v>
      </c>
    </row>
    <row r="168" spans="1:7" x14ac:dyDescent="0.25">
      <c r="A168" s="8">
        <v>42648.676539351851</v>
      </c>
      <c r="B168" s="23" t="s">
        <v>395</v>
      </c>
      <c r="C168" s="23" t="s">
        <v>535</v>
      </c>
      <c r="D168" s="23">
        <v>2260000</v>
      </c>
      <c r="E168" s="23" t="s">
        <v>508</v>
      </c>
      <c r="F168" s="23" t="str">
        <f t="shared" si="4"/>
        <v>rtdc.l.rtdc.4027:itc</v>
      </c>
      <c r="G168" s="8">
        <f t="shared" si="5"/>
        <v>42648.676539351851</v>
      </c>
    </row>
    <row r="169" spans="1:7" x14ac:dyDescent="0.25">
      <c r="A169" s="8">
        <v>42648.678807870368</v>
      </c>
      <c r="B169" s="23" t="s">
        <v>383</v>
      </c>
      <c r="C169" s="23" t="s">
        <v>415</v>
      </c>
      <c r="D169" s="23">
        <v>2040000</v>
      </c>
      <c r="E169" s="23" t="s">
        <v>511</v>
      </c>
      <c r="F169" s="23" t="str">
        <f t="shared" si="4"/>
        <v>rtdc.l.rtdc.4020:itc</v>
      </c>
      <c r="G169" s="8">
        <f t="shared" si="5"/>
        <v>42648.678807870368</v>
      </c>
    </row>
    <row r="170" spans="1:7" x14ac:dyDescent="0.25">
      <c r="A170" s="8">
        <v>42648.683298611111</v>
      </c>
      <c r="B170" s="23" t="s">
        <v>251</v>
      </c>
      <c r="C170" s="23" t="s">
        <v>536</v>
      </c>
      <c r="D170" s="23">
        <v>1740000</v>
      </c>
      <c r="E170" s="23" t="s">
        <v>314</v>
      </c>
      <c r="F170" s="23" t="str">
        <f t="shared" si="4"/>
        <v>rtdc.l.rtdc.4016:itc</v>
      </c>
      <c r="G170" s="8">
        <f t="shared" si="5"/>
        <v>42648.683298611111</v>
      </c>
    </row>
    <row r="171" spans="1:7" x14ac:dyDescent="0.25">
      <c r="A171" s="8">
        <v>42648.683530092596</v>
      </c>
      <c r="B171" s="23" t="s">
        <v>310</v>
      </c>
      <c r="C171" s="23" t="s">
        <v>537</v>
      </c>
      <c r="D171" s="23">
        <v>2250000</v>
      </c>
      <c r="E171" s="23" t="s">
        <v>497</v>
      </c>
      <c r="F171" s="23" t="str">
        <f t="shared" si="4"/>
        <v>rtdc.l.rtdc.4008:itc</v>
      </c>
      <c r="G171" s="8">
        <f t="shared" si="5"/>
        <v>42648.683530092596</v>
      </c>
    </row>
    <row r="172" spans="1:7" x14ac:dyDescent="0.25">
      <c r="A172" s="8">
        <v>42648.686539351853</v>
      </c>
      <c r="B172" s="23" t="s">
        <v>538</v>
      </c>
      <c r="C172" s="23" t="s">
        <v>539</v>
      </c>
      <c r="D172" s="23">
        <v>130000</v>
      </c>
      <c r="E172" s="23" t="s">
        <v>540</v>
      </c>
      <c r="F172" s="23" t="str">
        <f t="shared" si="4"/>
        <v>rtdc.l.rtdc.4040:itc</v>
      </c>
      <c r="G172" s="8">
        <f t="shared" si="5"/>
        <v>42648.686539351853</v>
      </c>
    </row>
    <row r="173" spans="1:7" x14ac:dyDescent="0.25">
      <c r="A173" s="8">
        <v>42648.689317129632</v>
      </c>
      <c r="B173" s="23" t="s">
        <v>434</v>
      </c>
      <c r="C173" s="23" t="s">
        <v>539</v>
      </c>
      <c r="D173" s="23">
        <v>130000</v>
      </c>
      <c r="E173" s="23" t="s">
        <v>540</v>
      </c>
      <c r="F173" s="23" t="str">
        <f t="shared" si="4"/>
        <v>rtdc.l.rtdc.4039:itc</v>
      </c>
      <c r="G173" s="8">
        <f t="shared" si="5"/>
        <v>42648.689317129632</v>
      </c>
    </row>
    <row r="174" spans="1:7" x14ac:dyDescent="0.25">
      <c r="A174" s="8">
        <v>42648.689710648148</v>
      </c>
      <c r="B174" s="23" t="s">
        <v>223</v>
      </c>
      <c r="C174" s="23" t="s">
        <v>541</v>
      </c>
      <c r="D174" s="23">
        <v>2270000</v>
      </c>
      <c r="E174" s="23" t="s">
        <v>499</v>
      </c>
      <c r="F174" s="23" t="str">
        <f t="shared" si="4"/>
        <v>rtdc.l.rtdc.4017:itc</v>
      </c>
      <c r="G174" s="8">
        <f t="shared" si="5"/>
        <v>42648.689710648148</v>
      </c>
    </row>
    <row r="175" spans="1:7" x14ac:dyDescent="0.25">
      <c r="A175" s="8">
        <v>42648.693541666667</v>
      </c>
      <c r="B175" s="23" t="s">
        <v>375</v>
      </c>
      <c r="C175" s="23" t="s">
        <v>542</v>
      </c>
      <c r="D175" s="23">
        <v>2040000</v>
      </c>
      <c r="E175" s="23" t="s">
        <v>511</v>
      </c>
      <c r="F175" s="23" t="str">
        <f t="shared" si="4"/>
        <v>rtdc.l.rtdc.4019:itc</v>
      </c>
      <c r="G175" s="8">
        <f t="shared" si="5"/>
        <v>42648.693541666667</v>
      </c>
    </row>
    <row r="176" spans="1:7" x14ac:dyDescent="0.25">
      <c r="A176" s="8">
        <v>42648.696006944447</v>
      </c>
      <c r="B176" s="23" t="s">
        <v>253</v>
      </c>
      <c r="C176" s="23" t="s">
        <v>543</v>
      </c>
      <c r="D176" s="23">
        <v>1180000</v>
      </c>
      <c r="E176" s="23" t="s">
        <v>226</v>
      </c>
      <c r="F176" s="23" t="str">
        <f t="shared" si="4"/>
        <v>rtdc.l.rtdc.4031:itc</v>
      </c>
      <c r="G176" s="8">
        <f t="shared" si="5"/>
        <v>42648.696006944447</v>
      </c>
    </row>
    <row r="177" spans="1:7" x14ac:dyDescent="0.25">
      <c r="A177" s="8">
        <v>42648.69667824074</v>
      </c>
      <c r="B177" s="23" t="s">
        <v>302</v>
      </c>
      <c r="C177" s="23" t="s">
        <v>544</v>
      </c>
      <c r="D177" s="23">
        <v>2220000</v>
      </c>
      <c r="E177" s="23" t="s">
        <v>528</v>
      </c>
      <c r="F177" s="23" t="str">
        <f t="shared" si="4"/>
        <v>rtdc.l.rtdc.4002:itc</v>
      </c>
      <c r="G177" s="8">
        <f t="shared" si="5"/>
        <v>42648.69667824074</v>
      </c>
    </row>
    <row r="178" spans="1:7" x14ac:dyDescent="0.25">
      <c r="A178" s="8">
        <v>42648.700798611113</v>
      </c>
      <c r="B178" s="23" t="s">
        <v>267</v>
      </c>
      <c r="C178" s="23" t="s">
        <v>545</v>
      </c>
      <c r="D178" s="23">
        <v>2000000</v>
      </c>
      <c r="E178" s="23" t="s">
        <v>519</v>
      </c>
      <c r="F178" s="23" t="str">
        <f t="shared" si="4"/>
        <v>rtdc.l.rtdc.4004:itc</v>
      </c>
      <c r="G178" s="8">
        <f t="shared" si="5"/>
        <v>42648.700798611113</v>
      </c>
    </row>
    <row r="179" spans="1:7" x14ac:dyDescent="0.25">
      <c r="A179" s="8">
        <v>42648.70585648148</v>
      </c>
      <c r="B179" s="23" t="s">
        <v>255</v>
      </c>
      <c r="C179" s="23" t="s">
        <v>546</v>
      </c>
      <c r="D179" s="23">
        <v>940000</v>
      </c>
      <c r="E179" s="23" t="s">
        <v>307</v>
      </c>
      <c r="F179" s="23" t="str">
        <f t="shared" si="4"/>
        <v>rtdc.l.rtdc.4009:itc</v>
      </c>
      <c r="G179" s="8">
        <f t="shared" si="5"/>
        <v>42648.70585648148</v>
      </c>
    </row>
    <row r="180" spans="1:7" x14ac:dyDescent="0.25">
      <c r="A180" s="8">
        <v>42648.713125000002</v>
      </c>
      <c r="B180" s="23" t="s">
        <v>305</v>
      </c>
      <c r="C180" s="23" t="s">
        <v>547</v>
      </c>
      <c r="D180" s="23">
        <v>1230000</v>
      </c>
      <c r="E180" s="23" t="s">
        <v>315</v>
      </c>
      <c r="F180" s="23" t="str">
        <f t="shared" si="4"/>
        <v>rtdc.l.rtdc.4021:itc</v>
      </c>
      <c r="G180" s="8">
        <f t="shared" si="5"/>
        <v>42648.713125000002</v>
      </c>
    </row>
    <row r="181" spans="1:7" x14ac:dyDescent="0.25">
      <c r="A181" s="8">
        <v>42648.714143518519</v>
      </c>
      <c r="B181" s="23" t="s">
        <v>170</v>
      </c>
      <c r="C181" s="23" t="s">
        <v>416</v>
      </c>
      <c r="D181" s="23">
        <v>1200000</v>
      </c>
      <c r="E181" s="23" t="s">
        <v>548</v>
      </c>
      <c r="F181" s="23" t="str">
        <f t="shared" si="4"/>
        <v>rtdc.l.rtdc.4041:itc</v>
      </c>
      <c r="G181" s="8">
        <f t="shared" si="5"/>
        <v>42648.714143518519</v>
      </c>
    </row>
    <row r="182" spans="1:7" x14ac:dyDescent="0.25">
      <c r="A182" s="8">
        <v>42648.714560185188</v>
      </c>
      <c r="B182" s="23" t="s">
        <v>380</v>
      </c>
      <c r="C182" s="23" t="s">
        <v>549</v>
      </c>
      <c r="D182" s="23">
        <v>2260000</v>
      </c>
      <c r="E182" s="23" t="s">
        <v>508</v>
      </c>
      <c r="F182" s="23" t="str">
        <f t="shared" si="4"/>
        <v>rtdc.l.rtdc.4028:itc</v>
      </c>
      <c r="G182" s="8">
        <f t="shared" si="5"/>
        <v>42648.714560185188</v>
      </c>
    </row>
    <row r="183" spans="1:7" x14ac:dyDescent="0.25">
      <c r="A183" s="8">
        <v>42648.714895833335</v>
      </c>
      <c r="B183" s="23" t="s">
        <v>252</v>
      </c>
      <c r="C183" s="23" t="s">
        <v>417</v>
      </c>
      <c r="D183" s="23">
        <v>1180000</v>
      </c>
      <c r="E183" s="23" t="s">
        <v>226</v>
      </c>
      <c r="F183" s="23" t="str">
        <f t="shared" si="4"/>
        <v>rtdc.l.rtdc.4032:itc</v>
      </c>
      <c r="G183" s="8">
        <f t="shared" si="5"/>
        <v>42648.714895833335</v>
      </c>
    </row>
    <row r="184" spans="1:7" x14ac:dyDescent="0.25">
      <c r="A184" s="8">
        <v>42648.71837962963</v>
      </c>
      <c r="B184" s="23" t="s">
        <v>383</v>
      </c>
      <c r="C184" s="23" t="s">
        <v>550</v>
      </c>
      <c r="D184" s="23">
        <v>2040000</v>
      </c>
      <c r="E184" s="23" t="s">
        <v>511</v>
      </c>
      <c r="F184" s="23" t="str">
        <f t="shared" si="4"/>
        <v>rtdc.l.rtdc.4020:itc</v>
      </c>
      <c r="G184" s="8">
        <f t="shared" si="5"/>
        <v>42648.71837962963</v>
      </c>
    </row>
    <row r="185" spans="1:7" x14ac:dyDescent="0.25">
      <c r="A185" s="8">
        <v>42648.720289351855</v>
      </c>
      <c r="B185" s="23" t="s">
        <v>313</v>
      </c>
      <c r="C185" s="23" t="s">
        <v>551</v>
      </c>
      <c r="D185" s="23">
        <v>1480000</v>
      </c>
      <c r="E185" s="23" t="s">
        <v>236</v>
      </c>
      <c r="F185" s="23" t="str">
        <f t="shared" si="4"/>
        <v>rtdc.l.rtdc.4007:itc</v>
      </c>
      <c r="G185" s="8">
        <f t="shared" si="5"/>
        <v>42648.720289351855</v>
      </c>
    </row>
    <row r="186" spans="1:7" x14ac:dyDescent="0.25">
      <c r="A186" s="8">
        <v>42648.721122685187</v>
      </c>
      <c r="B186" s="23" t="s">
        <v>250</v>
      </c>
      <c r="C186" s="23" t="s">
        <v>419</v>
      </c>
      <c r="D186" s="23">
        <v>1740000</v>
      </c>
      <c r="E186" s="23" t="s">
        <v>314</v>
      </c>
      <c r="F186" s="23" t="str">
        <f t="shared" si="4"/>
        <v>rtdc.l.rtdc.4015:itc</v>
      </c>
      <c r="G186" s="8">
        <f t="shared" si="5"/>
        <v>42648.721122685187</v>
      </c>
    </row>
    <row r="187" spans="1:7" x14ac:dyDescent="0.25">
      <c r="A187" s="8">
        <v>42648.726898148147</v>
      </c>
      <c r="B187" s="23" t="s">
        <v>224</v>
      </c>
      <c r="C187" s="23" t="s">
        <v>552</v>
      </c>
      <c r="D187" s="23">
        <v>2270000</v>
      </c>
      <c r="E187" s="23" t="s">
        <v>499</v>
      </c>
      <c r="F187" s="23" t="str">
        <f t="shared" si="4"/>
        <v>rtdc.l.rtdc.4018:itc</v>
      </c>
      <c r="G187" s="8">
        <f t="shared" si="5"/>
        <v>42648.726898148147</v>
      </c>
    </row>
    <row r="188" spans="1:7" x14ac:dyDescent="0.25">
      <c r="A188" s="8">
        <v>42648.729016203702</v>
      </c>
      <c r="B188" s="23" t="s">
        <v>301</v>
      </c>
      <c r="C188" s="23" t="s">
        <v>418</v>
      </c>
      <c r="D188" s="23">
        <v>2220000</v>
      </c>
      <c r="E188" s="23" t="s">
        <v>528</v>
      </c>
      <c r="F188" s="23" t="str">
        <f t="shared" si="4"/>
        <v>rtdc.l.rtdc.4001:itc</v>
      </c>
      <c r="G188" s="8">
        <f t="shared" si="5"/>
        <v>42648.729016203702</v>
      </c>
    </row>
    <row r="189" spans="1:7" x14ac:dyDescent="0.25">
      <c r="A189" s="8">
        <v>42648.735983796294</v>
      </c>
      <c r="B189" s="23" t="s">
        <v>375</v>
      </c>
      <c r="C189" s="23" t="s">
        <v>553</v>
      </c>
      <c r="D189" s="23">
        <v>2040000</v>
      </c>
      <c r="E189" s="23" t="s">
        <v>511</v>
      </c>
      <c r="F189" s="23" t="str">
        <f t="shared" si="4"/>
        <v>rtdc.l.rtdc.4019:itc</v>
      </c>
      <c r="G189" s="8">
        <f t="shared" si="5"/>
        <v>42648.735983796294</v>
      </c>
    </row>
    <row r="190" spans="1:7" x14ac:dyDescent="0.25">
      <c r="A190" s="8">
        <v>42648.735995370371</v>
      </c>
      <c r="B190" s="23" t="s">
        <v>266</v>
      </c>
      <c r="C190" s="23" t="s">
        <v>554</v>
      </c>
      <c r="D190" s="23">
        <v>1230000</v>
      </c>
      <c r="E190" s="23" t="s">
        <v>315</v>
      </c>
      <c r="F190" s="23" t="str">
        <f t="shared" si="4"/>
        <v>rtdc.l.rtdc.4003:itc</v>
      </c>
      <c r="G190" s="8">
        <f t="shared" si="5"/>
        <v>42648.735995370371</v>
      </c>
    </row>
    <row r="191" spans="1:7" x14ac:dyDescent="0.25">
      <c r="A191" s="8">
        <v>42648.737199074072</v>
      </c>
      <c r="B191" s="23" t="s">
        <v>253</v>
      </c>
      <c r="C191" s="23" t="s">
        <v>555</v>
      </c>
      <c r="D191" s="23">
        <v>1180000</v>
      </c>
      <c r="E191" s="23" t="s">
        <v>226</v>
      </c>
      <c r="F191" s="23" t="str">
        <f t="shared" si="4"/>
        <v>rtdc.l.rtdc.4031:itc</v>
      </c>
      <c r="G191" s="8">
        <f t="shared" si="5"/>
        <v>42648.737199074072</v>
      </c>
    </row>
    <row r="192" spans="1:7" x14ac:dyDescent="0.25">
      <c r="A192" s="8">
        <v>42648.738402777781</v>
      </c>
      <c r="B192" s="23" t="s">
        <v>249</v>
      </c>
      <c r="C192" s="23" t="s">
        <v>556</v>
      </c>
      <c r="D192" s="23">
        <v>940000</v>
      </c>
      <c r="E192" s="23" t="s">
        <v>307</v>
      </c>
      <c r="F192" s="23" t="str">
        <f t="shared" si="4"/>
        <v>rtdc.l.rtdc.4010:itc</v>
      </c>
      <c r="G192" s="8">
        <f t="shared" si="5"/>
        <v>42648.738402777781</v>
      </c>
    </row>
    <row r="193" spans="1:7" x14ac:dyDescent="0.25">
      <c r="A193" s="8">
        <v>42648.747604166667</v>
      </c>
      <c r="B193" s="23" t="s">
        <v>395</v>
      </c>
      <c r="C193" s="23" t="s">
        <v>557</v>
      </c>
      <c r="D193" s="23">
        <v>2000000</v>
      </c>
      <c r="E193" s="23" t="s">
        <v>519</v>
      </c>
      <c r="F193" s="23" t="str">
        <f t="shared" si="4"/>
        <v>rtdc.l.rtdc.4027:itc</v>
      </c>
      <c r="G193" s="8">
        <f t="shared" si="5"/>
        <v>42648.747604166667</v>
      </c>
    </row>
    <row r="194" spans="1:7" x14ac:dyDescent="0.25">
      <c r="A194" s="8">
        <v>42648.750891203701</v>
      </c>
      <c r="B194" s="23" t="s">
        <v>310</v>
      </c>
      <c r="C194" s="23" t="s">
        <v>558</v>
      </c>
      <c r="D194" s="23">
        <v>1480000</v>
      </c>
      <c r="E194" s="23" t="s">
        <v>236</v>
      </c>
      <c r="F194" s="23" t="str">
        <f t="shared" ref="F194:F235" si="6">B194</f>
        <v>rtdc.l.rtdc.4008:itc</v>
      </c>
      <c r="G194" s="8">
        <f t="shared" ref="G194:G235" si="7">A194</f>
        <v>42648.750891203701</v>
      </c>
    </row>
    <row r="195" spans="1:7" x14ac:dyDescent="0.25">
      <c r="A195" s="8">
        <v>42648.755150462966</v>
      </c>
      <c r="B195" s="23" t="s">
        <v>165</v>
      </c>
      <c r="C195" s="23" t="s">
        <v>559</v>
      </c>
      <c r="D195" s="23">
        <v>140000</v>
      </c>
      <c r="E195" s="23" t="s">
        <v>560</v>
      </c>
      <c r="F195" s="23" t="str">
        <f t="shared" si="6"/>
        <v>rtdc.l.rtdc.4025:itc</v>
      </c>
      <c r="G195" s="8">
        <f t="shared" si="7"/>
        <v>42648.755150462966</v>
      </c>
    </row>
    <row r="196" spans="1:7" x14ac:dyDescent="0.25">
      <c r="A196" s="8">
        <v>42648.756377314814</v>
      </c>
      <c r="B196" s="23" t="s">
        <v>252</v>
      </c>
      <c r="C196" s="23" t="s">
        <v>561</v>
      </c>
      <c r="D196" s="23">
        <v>1180000</v>
      </c>
      <c r="E196" s="23" t="s">
        <v>226</v>
      </c>
      <c r="F196" s="23" t="str">
        <f t="shared" si="6"/>
        <v>rtdc.l.rtdc.4032:itc</v>
      </c>
      <c r="G196" s="8">
        <f t="shared" si="7"/>
        <v>42648.756377314814</v>
      </c>
    </row>
    <row r="197" spans="1:7" x14ac:dyDescent="0.25">
      <c r="A197" s="8">
        <v>42648.758136574077</v>
      </c>
      <c r="B197" s="23" t="s">
        <v>306</v>
      </c>
      <c r="C197" s="23" t="s">
        <v>562</v>
      </c>
      <c r="D197" s="23">
        <v>2260000</v>
      </c>
      <c r="E197" s="23" t="s">
        <v>508</v>
      </c>
      <c r="F197" s="23" t="str">
        <f t="shared" si="6"/>
        <v>rtdc.l.rtdc.4022:itc</v>
      </c>
      <c r="G197" s="8">
        <f t="shared" si="7"/>
        <v>42648.758136574077</v>
      </c>
    </row>
    <row r="198" spans="1:7" x14ac:dyDescent="0.25">
      <c r="A198" s="8">
        <v>42648.759282407409</v>
      </c>
      <c r="B198" s="23" t="s">
        <v>251</v>
      </c>
      <c r="C198" s="23" t="s">
        <v>563</v>
      </c>
      <c r="D198" s="23">
        <v>1300000</v>
      </c>
      <c r="E198" s="23" t="s">
        <v>121</v>
      </c>
      <c r="F198" s="23" t="str">
        <f t="shared" si="6"/>
        <v>rtdc.l.rtdc.4016:itc</v>
      </c>
      <c r="G198" s="8">
        <f t="shared" si="7"/>
        <v>42648.759282407409</v>
      </c>
    </row>
    <row r="199" spans="1:7" x14ac:dyDescent="0.25">
      <c r="A199" s="8">
        <v>42648.762407407405</v>
      </c>
      <c r="B199" s="23" t="s">
        <v>383</v>
      </c>
      <c r="C199" s="23" t="s">
        <v>420</v>
      </c>
      <c r="D199" s="23">
        <v>2040000</v>
      </c>
      <c r="E199" s="23" t="s">
        <v>511</v>
      </c>
      <c r="F199" s="23" t="str">
        <f t="shared" si="6"/>
        <v>rtdc.l.rtdc.4020:itc</v>
      </c>
      <c r="G199" s="8">
        <f t="shared" si="7"/>
        <v>42648.762407407405</v>
      </c>
    </row>
    <row r="200" spans="1:7" x14ac:dyDescent="0.25">
      <c r="A200" s="8">
        <v>42648.762743055559</v>
      </c>
      <c r="B200" s="23" t="s">
        <v>223</v>
      </c>
      <c r="C200" s="23" t="s">
        <v>421</v>
      </c>
      <c r="D200" s="23">
        <v>2270000</v>
      </c>
      <c r="E200" s="23" t="s">
        <v>499</v>
      </c>
      <c r="F200" s="23" t="str">
        <f t="shared" si="6"/>
        <v>rtdc.l.rtdc.4017:itc</v>
      </c>
      <c r="G200" s="8">
        <f t="shared" si="7"/>
        <v>42648.762743055559</v>
      </c>
    </row>
    <row r="201" spans="1:7" x14ac:dyDescent="0.25">
      <c r="A201" s="8">
        <v>42648.775729166664</v>
      </c>
      <c r="B201" s="23" t="s">
        <v>267</v>
      </c>
      <c r="C201" s="23" t="s">
        <v>564</v>
      </c>
      <c r="D201" s="23">
        <v>1230000</v>
      </c>
      <c r="E201" s="23" t="s">
        <v>315</v>
      </c>
      <c r="F201" s="23" t="str">
        <f t="shared" si="6"/>
        <v>rtdc.l.rtdc.4004:itc</v>
      </c>
      <c r="G201" s="8">
        <f t="shared" si="7"/>
        <v>42648.775729166664</v>
      </c>
    </row>
    <row r="202" spans="1:7" x14ac:dyDescent="0.25">
      <c r="A202" s="29">
        <v>42648.775914351849</v>
      </c>
      <c r="B202" s="23" t="s">
        <v>375</v>
      </c>
      <c r="C202" s="23" t="s">
        <v>565</v>
      </c>
      <c r="D202" s="23">
        <v>2040000</v>
      </c>
      <c r="E202" s="23" t="s">
        <v>511</v>
      </c>
      <c r="F202" s="23" t="str">
        <f t="shared" si="6"/>
        <v>rtdc.l.rtdc.4019:itc</v>
      </c>
      <c r="G202" s="8">
        <f t="shared" si="7"/>
        <v>42648.775914351849</v>
      </c>
    </row>
    <row r="203" spans="1:7" x14ac:dyDescent="0.25">
      <c r="A203" s="8">
        <v>42648.776087962964</v>
      </c>
      <c r="B203" s="23" t="s">
        <v>302</v>
      </c>
      <c r="C203" s="23" t="s">
        <v>566</v>
      </c>
      <c r="D203" s="23">
        <v>1290000</v>
      </c>
      <c r="E203" s="23" t="s">
        <v>167</v>
      </c>
      <c r="F203" s="23" t="str">
        <f t="shared" si="6"/>
        <v>rtdc.l.rtdc.4002:itc</v>
      </c>
      <c r="G203" s="8">
        <f t="shared" si="7"/>
        <v>42648.776087962964</v>
      </c>
    </row>
    <row r="204" spans="1:7" x14ac:dyDescent="0.25">
      <c r="A204" s="8">
        <v>42648.779907407406</v>
      </c>
      <c r="B204" s="23" t="s">
        <v>255</v>
      </c>
      <c r="C204" s="23" t="s">
        <v>567</v>
      </c>
      <c r="D204" s="23">
        <v>940000</v>
      </c>
      <c r="E204" s="23" t="s">
        <v>307</v>
      </c>
      <c r="F204" s="23" t="str">
        <f t="shared" si="6"/>
        <v>rtdc.l.rtdc.4009:itc</v>
      </c>
      <c r="G204" s="8">
        <f t="shared" si="7"/>
        <v>42648.779907407406</v>
      </c>
    </row>
    <row r="205" spans="1:7" x14ac:dyDescent="0.25">
      <c r="A205" s="8">
        <v>42648.781053240738</v>
      </c>
      <c r="B205" s="23" t="s">
        <v>253</v>
      </c>
      <c r="C205" s="23" t="s">
        <v>568</v>
      </c>
      <c r="D205" s="23">
        <v>1180000</v>
      </c>
      <c r="E205" s="23" t="s">
        <v>226</v>
      </c>
      <c r="F205" s="23" t="str">
        <f t="shared" si="6"/>
        <v>rtdc.l.rtdc.4031:itc</v>
      </c>
      <c r="G205" s="8">
        <f t="shared" si="7"/>
        <v>42648.781053240738</v>
      </c>
    </row>
    <row r="206" spans="1:7" x14ac:dyDescent="0.25">
      <c r="A206" s="8">
        <v>42648.783888888887</v>
      </c>
      <c r="B206" s="23" t="s">
        <v>380</v>
      </c>
      <c r="C206" s="23" t="s">
        <v>422</v>
      </c>
      <c r="D206" s="23">
        <v>2000000</v>
      </c>
      <c r="E206" s="23" t="s">
        <v>519</v>
      </c>
      <c r="F206" s="23" t="str">
        <f t="shared" si="6"/>
        <v>rtdc.l.rtdc.4028:itc</v>
      </c>
      <c r="G206" s="8">
        <f t="shared" si="7"/>
        <v>42648.783888888887</v>
      </c>
    </row>
    <row r="207" spans="1:7" x14ac:dyDescent="0.25">
      <c r="A207" s="8">
        <v>42648.78765046296</v>
      </c>
      <c r="B207" s="23" t="s">
        <v>313</v>
      </c>
      <c r="C207" s="23" t="s">
        <v>569</v>
      </c>
      <c r="D207" s="23">
        <v>1480000</v>
      </c>
      <c r="E207" s="23" t="s">
        <v>236</v>
      </c>
      <c r="F207" s="23" t="str">
        <f t="shared" si="6"/>
        <v>rtdc.l.rtdc.4007:itc</v>
      </c>
      <c r="G207" s="8">
        <f t="shared" si="7"/>
        <v>42648.78765046296</v>
      </c>
    </row>
    <row r="208" spans="1:7" x14ac:dyDescent="0.25">
      <c r="A208" s="8">
        <v>42648.794722222221</v>
      </c>
      <c r="B208" s="23" t="s">
        <v>250</v>
      </c>
      <c r="C208" s="23" t="s">
        <v>570</v>
      </c>
      <c r="D208" s="23">
        <v>1740000</v>
      </c>
      <c r="E208" s="23" t="s">
        <v>314</v>
      </c>
      <c r="F208" s="23" t="str">
        <f t="shared" si="6"/>
        <v>rtdc.l.rtdc.4015:itc</v>
      </c>
      <c r="G208" s="8">
        <f t="shared" si="7"/>
        <v>42648.794722222221</v>
      </c>
    </row>
    <row r="209" spans="1:7" x14ac:dyDescent="0.25">
      <c r="A209" s="8">
        <v>42648.79791666667</v>
      </c>
      <c r="B209" s="23" t="s">
        <v>252</v>
      </c>
      <c r="C209" s="23" t="s">
        <v>571</v>
      </c>
      <c r="D209" s="23">
        <v>1180000</v>
      </c>
      <c r="E209" s="23" t="s">
        <v>226</v>
      </c>
      <c r="F209" s="23" t="str">
        <f t="shared" si="6"/>
        <v>rtdc.l.rtdc.4032:itc</v>
      </c>
      <c r="G209" s="8">
        <f t="shared" si="7"/>
        <v>42648.79791666667</v>
      </c>
    </row>
    <row r="210" spans="1:7" x14ac:dyDescent="0.25">
      <c r="A210" s="8">
        <v>42648.801377314812</v>
      </c>
      <c r="B210" s="23" t="s">
        <v>224</v>
      </c>
      <c r="C210" s="23" t="s">
        <v>572</v>
      </c>
      <c r="D210" s="23">
        <v>2270000</v>
      </c>
      <c r="E210" s="23" t="s">
        <v>499</v>
      </c>
      <c r="F210" s="23" t="str">
        <f t="shared" si="6"/>
        <v>rtdc.l.rtdc.4018:itc</v>
      </c>
      <c r="G210" s="8">
        <f t="shared" si="7"/>
        <v>42648.801377314812</v>
      </c>
    </row>
    <row r="211" spans="1:7" x14ac:dyDescent="0.25">
      <c r="A211" s="8">
        <v>42648.802754629629</v>
      </c>
      <c r="B211" s="23" t="s">
        <v>383</v>
      </c>
      <c r="C211" s="23" t="s">
        <v>573</v>
      </c>
      <c r="D211" s="23">
        <v>2040000</v>
      </c>
      <c r="E211" s="23" t="s">
        <v>511</v>
      </c>
      <c r="F211" s="23" t="str">
        <f t="shared" si="6"/>
        <v>rtdc.l.rtdc.4020:itc</v>
      </c>
      <c r="G211" s="8">
        <f t="shared" si="7"/>
        <v>42648.802754629629</v>
      </c>
    </row>
    <row r="212" spans="1:7" x14ac:dyDescent="0.25">
      <c r="A212" s="8">
        <v>42648.806979166664</v>
      </c>
      <c r="B212" s="23" t="s">
        <v>301</v>
      </c>
      <c r="C212" s="23" t="s">
        <v>574</v>
      </c>
      <c r="D212" s="23">
        <v>1290000</v>
      </c>
      <c r="E212" s="23" t="s">
        <v>167</v>
      </c>
      <c r="F212" s="23" t="str">
        <f t="shared" si="6"/>
        <v>rtdc.l.rtdc.4001:itc</v>
      </c>
      <c r="G212" s="8">
        <f t="shared" si="7"/>
        <v>42648.806979166664</v>
      </c>
    </row>
    <row r="213" spans="1:7" x14ac:dyDescent="0.25">
      <c r="A213" s="8">
        <v>42648.809618055559</v>
      </c>
      <c r="B213" s="23" t="s">
        <v>266</v>
      </c>
      <c r="C213" s="23" t="s">
        <v>575</v>
      </c>
      <c r="D213" s="23">
        <v>1230000</v>
      </c>
      <c r="E213" s="23" t="s">
        <v>315</v>
      </c>
      <c r="F213" s="23" t="str">
        <f t="shared" si="6"/>
        <v>rtdc.l.rtdc.4003:itc</v>
      </c>
      <c r="G213" s="8">
        <f t="shared" si="7"/>
        <v>42648.809618055559</v>
      </c>
    </row>
    <row r="214" spans="1:7" x14ac:dyDescent="0.25">
      <c r="A214" s="8">
        <v>42648.818391203706</v>
      </c>
      <c r="B214" s="23" t="s">
        <v>375</v>
      </c>
      <c r="C214" s="23" t="s">
        <v>576</v>
      </c>
      <c r="D214" s="23">
        <v>2040000</v>
      </c>
      <c r="E214" s="23" t="s">
        <v>511</v>
      </c>
      <c r="F214" s="23" t="str">
        <f t="shared" si="6"/>
        <v>rtdc.l.rtdc.4019:itc</v>
      </c>
      <c r="G214" s="8">
        <f t="shared" si="7"/>
        <v>42648.818391203706</v>
      </c>
    </row>
    <row r="215" spans="1:7" x14ac:dyDescent="0.25">
      <c r="A215" s="8">
        <v>42648.818437499998</v>
      </c>
      <c r="B215" s="23" t="s">
        <v>224</v>
      </c>
      <c r="C215" s="23" t="s">
        <v>572</v>
      </c>
      <c r="D215" s="23">
        <v>2270000</v>
      </c>
      <c r="E215" s="23" t="s">
        <v>499</v>
      </c>
      <c r="F215" s="23" t="str">
        <f t="shared" si="6"/>
        <v>rtdc.l.rtdc.4018:itc</v>
      </c>
      <c r="G215" s="8">
        <f t="shared" si="7"/>
        <v>42648.818437499998</v>
      </c>
    </row>
    <row r="216" spans="1:7" x14ac:dyDescent="0.25">
      <c r="A216" s="8">
        <v>42648.819004629629</v>
      </c>
      <c r="B216" s="23" t="s">
        <v>395</v>
      </c>
      <c r="C216" s="23" t="s">
        <v>423</v>
      </c>
      <c r="D216" s="23">
        <v>2000000</v>
      </c>
      <c r="E216" s="23" t="s">
        <v>519</v>
      </c>
      <c r="F216" s="23" t="str">
        <f t="shared" si="6"/>
        <v>rtdc.l.rtdc.4027:itc</v>
      </c>
      <c r="G216" s="8">
        <f t="shared" si="7"/>
        <v>42648.819004629629</v>
      </c>
    </row>
    <row r="217" spans="1:7" x14ac:dyDescent="0.25">
      <c r="A217" s="8">
        <v>42648.825914351852</v>
      </c>
      <c r="B217" s="23" t="s">
        <v>310</v>
      </c>
      <c r="C217" s="23" t="s">
        <v>577</v>
      </c>
      <c r="D217" s="23">
        <v>1480000</v>
      </c>
      <c r="E217" s="23" t="s">
        <v>236</v>
      </c>
      <c r="F217" s="23" t="str">
        <f t="shared" si="6"/>
        <v>rtdc.l.rtdc.4008:itc</v>
      </c>
      <c r="G217" s="8">
        <f t="shared" si="7"/>
        <v>42648.825914351852</v>
      </c>
    </row>
    <row r="218" spans="1:7" x14ac:dyDescent="0.25">
      <c r="A218" s="8">
        <v>42648.828159722223</v>
      </c>
      <c r="B218" s="23" t="s">
        <v>251</v>
      </c>
      <c r="C218" s="23" t="s">
        <v>578</v>
      </c>
      <c r="D218" s="23">
        <v>1300000</v>
      </c>
      <c r="E218" s="23" t="s">
        <v>121</v>
      </c>
      <c r="F218" s="23" t="str">
        <f t="shared" si="6"/>
        <v>rtdc.l.rtdc.4016:itc</v>
      </c>
      <c r="G218" s="8">
        <f t="shared" si="7"/>
        <v>42648.828159722223</v>
      </c>
    </row>
    <row r="219" spans="1:7" x14ac:dyDescent="0.25">
      <c r="A219" s="8">
        <v>42648.838773148149</v>
      </c>
      <c r="B219" s="23" t="s">
        <v>267</v>
      </c>
      <c r="C219" s="23" t="s">
        <v>579</v>
      </c>
      <c r="D219" s="23">
        <v>1230000</v>
      </c>
      <c r="E219" s="23" t="s">
        <v>315</v>
      </c>
      <c r="F219" s="23" t="str">
        <f t="shared" si="6"/>
        <v>rtdc.l.rtdc.4004:itc</v>
      </c>
      <c r="G219" s="8">
        <f t="shared" si="7"/>
        <v>42648.838773148149</v>
      </c>
    </row>
    <row r="220" spans="1:7" x14ac:dyDescent="0.25">
      <c r="A220" s="8">
        <v>42648.843958333331</v>
      </c>
      <c r="B220" s="23" t="s">
        <v>383</v>
      </c>
      <c r="C220" s="23" t="s">
        <v>424</v>
      </c>
      <c r="D220" s="23">
        <v>2040000</v>
      </c>
      <c r="E220" s="23" t="s">
        <v>511</v>
      </c>
      <c r="F220" s="23" t="str">
        <f t="shared" si="6"/>
        <v>rtdc.l.rtdc.4020:itc</v>
      </c>
      <c r="G220" s="8">
        <f t="shared" si="7"/>
        <v>42648.843958333331</v>
      </c>
    </row>
    <row r="221" spans="1:7" x14ac:dyDescent="0.25">
      <c r="A221" s="8">
        <v>42648.852835648147</v>
      </c>
      <c r="B221" s="23" t="s">
        <v>171</v>
      </c>
      <c r="C221" s="23" t="s">
        <v>580</v>
      </c>
      <c r="D221" s="23">
        <v>1290000</v>
      </c>
      <c r="E221" s="23" t="s">
        <v>167</v>
      </c>
      <c r="F221" s="23" t="str">
        <f t="shared" si="6"/>
        <v>rtdc.l.rtdc.4042:itc</v>
      </c>
      <c r="G221" s="8">
        <f t="shared" si="7"/>
        <v>42648.852835648147</v>
      </c>
    </row>
    <row r="222" spans="1:7" x14ac:dyDescent="0.25">
      <c r="A222" s="8">
        <v>42648.859629629631</v>
      </c>
      <c r="B222" s="23" t="s">
        <v>375</v>
      </c>
      <c r="C222" s="23" t="s">
        <v>425</v>
      </c>
      <c r="D222" s="23">
        <v>2040000</v>
      </c>
      <c r="E222" s="23" t="s">
        <v>511</v>
      </c>
      <c r="F222" s="23" t="str">
        <f t="shared" si="6"/>
        <v>rtdc.l.rtdc.4019:itc</v>
      </c>
      <c r="G222" s="8">
        <f t="shared" si="7"/>
        <v>42648.859629629631</v>
      </c>
    </row>
    <row r="223" spans="1:7" x14ac:dyDescent="0.25">
      <c r="A223" s="8">
        <v>42648.866273148145</v>
      </c>
      <c r="B223" s="23" t="s">
        <v>313</v>
      </c>
      <c r="C223" s="23" t="s">
        <v>581</v>
      </c>
      <c r="D223" s="23">
        <v>1480000</v>
      </c>
      <c r="E223" s="23" t="s">
        <v>236</v>
      </c>
      <c r="F223" s="23" t="str">
        <f t="shared" si="6"/>
        <v>rtdc.l.rtdc.4007:itc</v>
      </c>
      <c r="G223" s="8">
        <f t="shared" si="7"/>
        <v>42648.866273148145</v>
      </c>
    </row>
    <row r="224" spans="1:7" x14ac:dyDescent="0.25">
      <c r="A224" s="8">
        <v>42648.868125000001</v>
      </c>
      <c r="B224" t="s">
        <v>250</v>
      </c>
      <c r="C224" t="s">
        <v>582</v>
      </c>
      <c r="D224">
        <v>1300000</v>
      </c>
      <c r="E224" t="s">
        <v>121</v>
      </c>
      <c r="F224" s="23" t="str">
        <f t="shared" si="6"/>
        <v>rtdc.l.rtdc.4015:itc</v>
      </c>
      <c r="G224" s="8">
        <f t="shared" si="7"/>
        <v>42648.868125000001</v>
      </c>
    </row>
    <row r="225" spans="1:7" x14ac:dyDescent="0.25">
      <c r="A225" s="8">
        <v>42648.879074074073</v>
      </c>
      <c r="B225" t="s">
        <v>266</v>
      </c>
      <c r="C225" t="s">
        <v>583</v>
      </c>
      <c r="D225">
        <v>1230000</v>
      </c>
      <c r="E225" t="s">
        <v>315</v>
      </c>
      <c r="F225" s="23" t="str">
        <f t="shared" si="6"/>
        <v>rtdc.l.rtdc.4003:itc</v>
      </c>
      <c r="G225" s="8">
        <f t="shared" si="7"/>
        <v>42648.879074074073</v>
      </c>
    </row>
    <row r="226" spans="1:7" x14ac:dyDescent="0.25">
      <c r="A226" s="8">
        <v>42648.882777777777</v>
      </c>
      <c r="B226" t="s">
        <v>383</v>
      </c>
      <c r="C226" t="s">
        <v>426</v>
      </c>
      <c r="D226">
        <v>1180000</v>
      </c>
      <c r="E226" t="s">
        <v>226</v>
      </c>
      <c r="F226" s="23" t="str">
        <f t="shared" si="6"/>
        <v>rtdc.l.rtdc.4020:itc</v>
      </c>
      <c r="G226" s="8">
        <f t="shared" si="7"/>
        <v>42648.882777777777</v>
      </c>
    </row>
    <row r="227" spans="1:7" x14ac:dyDescent="0.25">
      <c r="A227" s="8">
        <v>42648.889953703707</v>
      </c>
      <c r="B227" t="s">
        <v>170</v>
      </c>
      <c r="C227" t="s">
        <v>427</v>
      </c>
      <c r="D227">
        <v>1290000</v>
      </c>
      <c r="E227" t="s">
        <v>167</v>
      </c>
      <c r="F227" s="23" t="str">
        <f t="shared" si="6"/>
        <v>rtdc.l.rtdc.4041:itc</v>
      </c>
      <c r="G227" s="8">
        <f t="shared" si="7"/>
        <v>42648.889953703707</v>
      </c>
    </row>
    <row r="228" spans="1:7" x14ac:dyDescent="0.25">
      <c r="A228" s="8">
        <v>42648.903263888889</v>
      </c>
      <c r="B228" t="s">
        <v>375</v>
      </c>
      <c r="C228" t="s">
        <v>584</v>
      </c>
      <c r="D228">
        <v>1180000</v>
      </c>
      <c r="E228" t="s">
        <v>226</v>
      </c>
      <c r="F228" s="23" t="str">
        <f t="shared" si="6"/>
        <v>rtdc.l.rtdc.4019:itc</v>
      </c>
      <c r="G228" s="8">
        <f t="shared" si="7"/>
        <v>42648.903263888889</v>
      </c>
    </row>
    <row r="229" spans="1:7" x14ac:dyDescent="0.25">
      <c r="A229" s="8">
        <v>42648.910740740743</v>
      </c>
      <c r="B229" t="s">
        <v>310</v>
      </c>
      <c r="C229" t="s">
        <v>585</v>
      </c>
      <c r="D229">
        <v>1480000</v>
      </c>
      <c r="E229" t="s">
        <v>236</v>
      </c>
      <c r="F229" s="23" t="str">
        <f t="shared" si="6"/>
        <v>rtdc.l.rtdc.4008:itc</v>
      </c>
      <c r="G229" s="8">
        <f t="shared" si="7"/>
        <v>42648.910740740743</v>
      </c>
    </row>
    <row r="230" spans="1:7" x14ac:dyDescent="0.25">
      <c r="A230" s="8">
        <v>42648.915706018517</v>
      </c>
      <c r="B230" t="s">
        <v>251</v>
      </c>
      <c r="C230" t="s">
        <v>586</v>
      </c>
      <c r="D230">
        <v>1300000</v>
      </c>
      <c r="E230" t="s">
        <v>121</v>
      </c>
      <c r="F230" s="23" t="str">
        <f t="shared" si="6"/>
        <v>rtdc.l.rtdc.4016:itc</v>
      </c>
      <c r="G230" s="8">
        <f t="shared" si="7"/>
        <v>42648.915706018517</v>
      </c>
    </row>
    <row r="231" spans="1:7" x14ac:dyDescent="0.25">
      <c r="A231" s="8">
        <v>42648.921018518522</v>
      </c>
      <c r="B231" t="s">
        <v>383</v>
      </c>
      <c r="C231" t="s">
        <v>587</v>
      </c>
      <c r="D231">
        <v>1180000</v>
      </c>
      <c r="E231" t="s">
        <v>226</v>
      </c>
      <c r="F231" s="23" t="str">
        <f t="shared" si="6"/>
        <v>rtdc.l.rtdc.4020:itc</v>
      </c>
      <c r="G231" s="8">
        <f t="shared" si="7"/>
        <v>42648.921018518522</v>
      </c>
    </row>
    <row r="232" spans="1:7" x14ac:dyDescent="0.25">
      <c r="A232" s="8">
        <v>42648.931851851848</v>
      </c>
      <c r="B232" t="s">
        <v>267</v>
      </c>
      <c r="C232" t="s">
        <v>588</v>
      </c>
      <c r="D232">
        <v>1230000</v>
      </c>
      <c r="E232" t="s">
        <v>315</v>
      </c>
      <c r="F232" s="23" t="str">
        <f t="shared" si="6"/>
        <v>rtdc.l.rtdc.4004:itc</v>
      </c>
      <c r="G232" s="8">
        <f t="shared" si="7"/>
        <v>42648.931851851848</v>
      </c>
    </row>
    <row r="233" spans="1:7" x14ac:dyDescent="0.25">
      <c r="A233" s="8">
        <v>42648.939884259256</v>
      </c>
      <c r="B233" t="s">
        <v>171</v>
      </c>
      <c r="C233" t="s">
        <v>589</v>
      </c>
      <c r="D233">
        <v>1290000</v>
      </c>
      <c r="E233" t="s">
        <v>167</v>
      </c>
      <c r="F233" s="23" t="str">
        <f t="shared" si="6"/>
        <v>rtdc.l.rtdc.4042:itc</v>
      </c>
      <c r="G233" s="8">
        <f t="shared" si="7"/>
        <v>42648.939884259256</v>
      </c>
    </row>
    <row r="234" spans="1:7" x14ac:dyDescent="0.25">
      <c r="A234" s="8">
        <v>42648.944710648146</v>
      </c>
      <c r="B234" t="s">
        <v>375</v>
      </c>
      <c r="C234" t="s">
        <v>590</v>
      </c>
      <c r="D234">
        <v>1180000</v>
      </c>
      <c r="E234" t="s">
        <v>226</v>
      </c>
      <c r="F234" s="23" t="str">
        <f t="shared" si="6"/>
        <v>rtdc.l.rtdc.4019:itc</v>
      </c>
      <c r="G234" s="8">
        <f t="shared" si="7"/>
        <v>42648.944710648146</v>
      </c>
    </row>
    <row r="235" spans="1:7" x14ac:dyDescent="0.25">
      <c r="A235" s="8">
        <v>42648.951342592591</v>
      </c>
      <c r="B235" t="s">
        <v>250</v>
      </c>
      <c r="C235" t="s">
        <v>428</v>
      </c>
      <c r="D235">
        <v>1300000</v>
      </c>
      <c r="E235" t="s">
        <v>121</v>
      </c>
      <c r="F235" s="23" t="str">
        <f t="shared" si="6"/>
        <v>rtdc.l.rtdc.4015:itc</v>
      </c>
      <c r="G235" s="8">
        <f t="shared" si="7"/>
        <v>42648.951342592591</v>
      </c>
    </row>
    <row r="236" spans="1:7" x14ac:dyDescent="0.25">
      <c r="A236" s="8">
        <v>42648.958472222221</v>
      </c>
      <c r="B236" t="s">
        <v>313</v>
      </c>
      <c r="C236" t="s">
        <v>591</v>
      </c>
      <c r="D236">
        <v>1480000</v>
      </c>
      <c r="E236" t="s">
        <v>236</v>
      </c>
      <c r="F236" s="23" t="str">
        <f t="shared" ref="F236:F265" si="8">B236</f>
        <v>rtdc.l.rtdc.4007:itc</v>
      </c>
      <c r="G236" s="8">
        <f t="shared" ref="G236:G265" si="9">A236</f>
        <v>42648.958472222221</v>
      </c>
    </row>
    <row r="237" spans="1:7" x14ac:dyDescent="0.25">
      <c r="A237" s="8">
        <v>42648.975300925929</v>
      </c>
      <c r="B237" t="s">
        <v>170</v>
      </c>
      <c r="C237" t="s">
        <v>592</v>
      </c>
      <c r="D237">
        <v>1290000</v>
      </c>
      <c r="E237" t="s">
        <v>167</v>
      </c>
      <c r="F237" s="23" t="str">
        <f t="shared" si="8"/>
        <v>rtdc.l.rtdc.4041:itc</v>
      </c>
      <c r="G237" s="8">
        <f t="shared" si="9"/>
        <v>42648.975300925929</v>
      </c>
    </row>
    <row r="238" spans="1:7" x14ac:dyDescent="0.25">
      <c r="A238" s="8">
        <v>42648.985925925925</v>
      </c>
      <c r="B238" t="s">
        <v>266</v>
      </c>
      <c r="C238" t="s">
        <v>593</v>
      </c>
      <c r="D238">
        <v>1230000</v>
      </c>
      <c r="E238" t="s">
        <v>315</v>
      </c>
      <c r="F238" s="23" t="str">
        <f t="shared" si="8"/>
        <v>rtdc.l.rtdc.4003:itc</v>
      </c>
      <c r="G238" s="8">
        <f t="shared" si="9"/>
        <v>42648.985925925925</v>
      </c>
    </row>
    <row r="239" spans="1:7" x14ac:dyDescent="0.25">
      <c r="A239" s="8">
        <v>42649.001284722224</v>
      </c>
      <c r="B239" t="s">
        <v>310</v>
      </c>
      <c r="C239" t="s">
        <v>594</v>
      </c>
      <c r="D239">
        <v>1480000</v>
      </c>
      <c r="E239" t="s">
        <v>236</v>
      </c>
      <c r="F239" s="23" t="str">
        <f t="shared" si="8"/>
        <v>rtdc.l.rtdc.4008:itc</v>
      </c>
      <c r="G239" s="8">
        <f t="shared" si="9"/>
        <v>42649.001284722224</v>
      </c>
    </row>
    <row r="240" spans="1:7" x14ac:dyDescent="0.25">
      <c r="A240" s="8">
        <v>42649.007789351854</v>
      </c>
      <c r="B240" t="s">
        <v>251</v>
      </c>
      <c r="C240" t="s">
        <v>428</v>
      </c>
      <c r="D240">
        <v>1300000</v>
      </c>
      <c r="E240" t="s">
        <v>121</v>
      </c>
      <c r="F240" s="23" t="str">
        <f t="shared" si="8"/>
        <v>rtdc.l.rtdc.4016:itc</v>
      </c>
      <c r="G240" s="8">
        <f t="shared" si="9"/>
        <v>42649.007789351854</v>
      </c>
    </row>
    <row r="241" spans="1:7" x14ac:dyDescent="0.25">
      <c r="A241" s="8">
        <v>42649.008599537039</v>
      </c>
      <c r="B241" t="s">
        <v>251</v>
      </c>
      <c r="C241" t="s">
        <v>595</v>
      </c>
      <c r="D241">
        <v>1300000</v>
      </c>
      <c r="E241" t="s">
        <v>121</v>
      </c>
      <c r="F241" s="23" t="str">
        <f t="shared" si="8"/>
        <v>rtdc.l.rtdc.4016:itc</v>
      </c>
      <c r="G241" s="8">
        <f t="shared" si="9"/>
        <v>42649.008599537039</v>
      </c>
    </row>
    <row r="242" spans="1:7" x14ac:dyDescent="0.25">
      <c r="A242" s="8">
        <v>42649.009432870371</v>
      </c>
      <c r="B242" t="s">
        <v>168</v>
      </c>
      <c r="C242" t="s">
        <v>539</v>
      </c>
      <c r="D242">
        <v>630000</v>
      </c>
      <c r="E242" t="b">
        <v>1</v>
      </c>
      <c r="F242" s="23" t="str">
        <f t="shared" si="8"/>
        <v>rtdc.l.rtdc.4051:itc</v>
      </c>
      <c r="G242" s="8">
        <f t="shared" si="9"/>
        <v>42649.009432870371</v>
      </c>
    </row>
    <row r="243" spans="1:7" x14ac:dyDescent="0.25">
      <c r="A243" s="8">
        <v>42649.015462962961</v>
      </c>
      <c r="B243" t="s">
        <v>267</v>
      </c>
      <c r="C243" t="s">
        <v>596</v>
      </c>
      <c r="D243">
        <v>1230000</v>
      </c>
      <c r="E243" t="s">
        <v>315</v>
      </c>
      <c r="F243" s="23" t="str">
        <f t="shared" si="8"/>
        <v>rtdc.l.rtdc.4004:itc</v>
      </c>
      <c r="G243" s="8">
        <f t="shared" si="9"/>
        <v>42649.015462962961</v>
      </c>
    </row>
    <row r="244" spans="1:7" x14ac:dyDescent="0.25">
      <c r="A244" s="8">
        <v>42649.019733796296</v>
      </c>
      <c r="B244" t="s">
        <v>171</v>
      </c>
      <c r="C244" t="s">
        <v>597</v>
      </c>
      <c r="D244">
        <v>1290000</v>
      </c>
      <c r="E244" t="s">
        <v>167</v>
      </c>
      <c r="F244" s="23" t="str">
        <f t="shared" si="8"/>
        <v>rtdc.l.rtdc.4042:itc</v>
      </c>
      <c r="G244" s="8">
        <f t="shared" si="9"/>
        <v>42649.019733796296</v>
      </c>
    </row>
    <row r="245" spans="1:7" x14ac:dyDescent="0.25">
      <c r="A245" s="8">
        <v>42649.022291666668</v>
      </c>
      <c r="B245" t="s">
        <v>168</v>
      </c>
      <c r="C245" t="s">
        <v>539</v>
      </c>
      <c r="D245">
        <v>630000</v>
      </c>
      <c r="E245" t="b">
        <v>1</v>
      </c>
      <c r="F245" s="23" t="str">
        <f t="shared" si="8"/>
        <v>rtdc.l.rtdc.4051:itc</v>
      </c>
      <c r="G245" s="8">
        <f t="shared" si="9"/>
        <v>42649.022291666668</v>
      </c>
    </row>
    <row r="246" spans="1:7" x14ac:dyDescent="0.25">
      <c r="A246" s="8">
        <v>42649.033750000002</v>
      </c>
      <c r="B246" t="s">
        <v>313</v>
      </c>
      <c r="C246" t="s">
        <v>598</v>
      </c>
      <c r="D246">
        <v>1480000</v>
      </c>
      <c r="E246" t="s">
        <v>236</v>
      </c>
      <c r="F246" s="23" t="str">
        <f t="shared" si="8"/>
        <v>rtdc.l.rtdc.4007:itc</v>
      </c>
      <c r="G246" s="8">
        <f t="shared" si="9"/>
        <v>42649.033750000002</v>
      </c>
    </row>
    <row r="247" spans="1:7" x14ac:dyDescent="0.25">
      <c r="A247" s="8">
        <v>42649.036377314813</v>
      </c>
      <c r="B247" t="s">
        <v>250</v>
      </c>
      <c r="C247" t="s">
        <v>599</v>
      </c>
      <c r="D247">
        <v>1300000</v>
      </c>
      <c r="E247" t="s">
        <v>121</v>
      </c>
      <c r="F247" s="23" t="str">
        <f t="shared" si="8"/>
        <v>rtdc.l.rtdc.4015:itc</v>
      </c>
      <c r="G247" s="8">
        <f t="shared" si="9"/>
        <v>42649.036377314813</v>
      </c>
    </row>
    <row r="248" spans="1:7" x14ac:dyDescent="0.25">
      <c r="A248" s="8">
        <v>42649.046261574076</v>
      </c>
      <c r="B248" t="s">
        <v>266</v>
      </c>
      <c r="C248" t="s">
        <v>600</v>
      </c>
      <c r="D248">
        <v>1230000</v>
      </c>
      <c r="E248" t="s">
        <v>315</v>
      </c>
      <c r="F248" s="23" t="str">
        <f t="shared" si="8"/>
        <v>rtdc.l.rtdc.4003:itc</v>
      </c>
      <c r="G248" s="8">
        <f t="shared" si="9"/>
        <v>42649.046261574076</v>
      </c>
    </row>
    <row r="249" spans="1:7" x14ac:dyDescent="0.25">
      <c r="A249" s="8">
        <v>42649.049467592595</v>
      </c>
      <c r="B249" t="s">
        <v>169</v>
      </c>
      <c r="C249" t="s">
        <v>562</v>
      </c>
      <c r="D249">
        <v>630000</v>
      </c>
      <c r="E249" t="b">
        <v>1</v>
      </c>
      <c r="F249" s="23" t="str">
        <f t="shared" si="8"/>
        <v>rtdc.l.rtdc.4052:itc</v>
      </c>
      <c r="G249" s="8">
        <f t="shared" si="9"/>
        <v>42649.049467592595</v>
      </c>
    </row>
    <row r="250" spans="1:7" x14ac:dyDescent="0.25">
      <c r="A250" s="8">
        <v>42649.056539351855</v>
      </c>
      <c r="B250" t="s">
        <v>170</v>
      </c>
      <c r="C250" t="s">
        <v>601</v>
      </c>
      <c r="D250">
        <v>1290000</v>
      </c>
      <c r="E250" t="s">
        <v>167</v>
      </c>
      <c r="F250" s="23" t="str">
        <f t="shared" si="8"/>
        <v>rtdc.l.rtdc.4041:itc</v>
      </c>
      <c r="G250" s="8">
        <f t="shared" si="9"/>
        <v>42649.056539351855</v>
      </c>
    </row>
    <row r="251" spans="1:7" x14ac:dyDescent="0.25">
      <c r="A251" s="8">
        <v>42649.069953703707</v>
      </c>
      <c r="B251" t="s">
        <v>251</v>
      </c>
      <c r="C251" t="s">
        <v>602</v>
      </c>
      <c r="D251">
        <v>1300000</v>
      </c>
      <c r="E251" t="s">
        <v>121</v>
      </c>
      <c r="F251" s="23" t="str">
        <f t="shared" si="8"/>
        <v>rtdc.l.rtdc.4016:itc</v>
      </c>
      <c r="G251" s="8">
        <f t="shared" si="9"/>
        <v>42649.069953703707</v>
      </c>
    </row>
    <row r="252" spans="1:7" x14ac:dyDescent="0.25">
      <c r="A252" s="8">
        <v>42649.070960648147</v>
      </c>
      <c r="B252" t="s">
        <v>168</v>
      </c>
      <c r="C252" t="s">
        <v>539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42649.070960648147</v>
      </c>
    </row>
    <row r="253" spans="1:7" x14ac:dyDescent="0.25">
      <c r="A253" s="8">
        <v>42649.087847222225</v>
      </c>
      <c r="B253" t="s">
        <v>171</v>
      </c>
      <c r="C253" t="s">
        <v>603</v>
      </c>
      <c r="D253">
        <v>1290000</v>
      </c>
      <c r="E253" t="s">
        <v>167</v>
      </c>
      <c r="F253" s="23" t="str">
        <f t="shared" si="8"/>
        <v>rtdc.l.rtdc.4042:itc</v>
      </c>
      <c r="G253" s="8">
        <f t="shared" si="9"/>
        <v>42649.087847222225</v>
      </c>
    </row>
    <row r="254" spans="1:7" x14ac:dyDescent="0.25">
      <c r="A254" s="8">
        <v>42649.08865740741</v>
      </c>
      <c r="B254" t="s">
        <v>169</v>
      </c>
      <c r="C254" t="s">
        <v>562</v>
      </c>
      <c r="D254">
        <v>630000</v>
      </c>
      <c r="E254" t="b">
        <v>1</v>
      </c>
      <c r="F254" s="23" t="str">
        <f t="shared" si="8"/>
        <v>rtdc.l.rtdc.4052:itc</v>
      </c>
      <c r="G254" s="8">
        <f t="shared" si="9"/>
        <v>42649.08865740741</v>
      </c>
    </row>
    <row r="255" spans="1:7" x14ac:dyDescent="0.25">
      <c r="A255" s="8">
        <v>42649.094178240739</v>
      </c>
      <c r="B255" t="s">
        <v>170</v>
      </c>
      <c r="C255" t="s">
        <v>603</v>
      </c>
      <c r="D255">
        <v>1290000</v>
      </c>
      <c r="E255" t="s">
        <v>167</v>
      </c>
      <c r="F255" s="23" t="str">
        <f t="shared" si="8"/>
        <v>rtdc.l.rtdc.4041:itc</v>
      </c>
      <c r="G255" s="8">
        <f t="shared" si="9"/>
        <v>42649.094178240739</v>
      </c>
    </row>
    <row r="256" spans="1:7" x14ac:dyDescent="0.25">
      <c r="A256" s="8">
        <v>42649.09542824074</v>
      </c>
      <c r="B256" t="s">
        <v>170</v>
      </c>
      <c r="C256" t="s">
        <v>603</v>
      </c>
      <c r="D256">
        <v>1290000</v>
      </c>
      <c r="E256" t="s">
        <v>167</v>
      </c>
      <c r="F256" s="23" t="str">
        <f t="shared" si="8"/>
        <v>rtdc.l.rtdc.4041:itc</v>
      </c>
      <c r="G256" s="8">
        <f t="shared" si="9"/>
        <v>42649.09542824074</v>
      </c>
    </row>
    <row r="257" spans="1:7" x14ac:dyDescent="0.25">
      <c r="A257" s="8">
        <v>42649.101145833331</v>
      </c>
      <c r="B257" t="s">
        <v>302</v>
      </c>
      <c r="C257" t="s">
        <v>603</v>
      </c>
      <c r="D257">
        <v>1290000</v>
      </c>
      <c r="E257" t="s">
        <v>167</v>
      </c>
      <c r="F257" s="23" t="str">
        <f t="shared" si="8"/>
        <v>rtdc.l.rtdc.4002:itc</v>
      </c>
      <c r="G257" s="8">
        <f t="shared" si="9"/>
        <v>42649.101145833331</v>
      </c>
    </row>
    <row r="258" spans="1:7" x14ac:dyDescent="0.25">
      <c r="A258" s="8">
        <v>42649.105891203704</v>
      </c>
      <c r="B258" t="s">
        <v>168</v>
      </c>
      <c r="C258" t="s">
        <v>539</v>
      </c>
      <c r="D258">
        <v>630000</v>
      </c>
      <c r="E258" t="b">
        <v>1</v>
      </c>
      <c r="F258" s="23" t="str">
        <f t="shared" si="8"/>
        <v>rtdc.l.rtdc.4051:itc</v>
      </c>
      <c r="G258" s="8">
        <f t="shared" si="9"/>
        <v>42649.105891203704</v>
      </c>
    </row>
    <row r="259" spans="1:7" x14ac:dyDescent="0.25">
      <c r="A259" s="8">
        <v>42649.106817129628</v>
      </c>
      <c r="B259" t="s">
        <v>168</v>
      </c>
      <c r="C259" t="s">
        <v>539</v>
      </c>
      <c r="D259">
        <v>630000</v>
      </c>
      <c r="E259" t="b">
        <v>1</v>
      </c>
      <c r="F259" s="23" t="str">
        <f t="shared" si="8"/>
        <v>rtdc.l.rtdc.4051:itc</v>
      </c>
      <c r="G259" s="8">
        <f t="shared" si="9"/>
        <v>42649.106817129628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Q33"/>
    </sheetView>
  </sheetViews>
  <sheetFormatPr defaultRowHeight="15" x14ac:dyDescent="0.25"/>
  <cols>
    <col min="1" max="1" width="22.5703125" style="150" customWidth="1"/>
    <col min="2" max="2" width="8.140625" style="150" bestFit="1" customWidth="1"/>
    <col min="3" max="3" width="12.28515625" style="150" bestFit="1" customWidth="1"/>
    <col min="4" max="4" width="18.28515625" style="150" bestFit="1" customWidth="1"/>
    <col min="5" max="5" width="9.5703125" style="150" bestFit="1" customWidth="1"/>
    <col min="6" max="6" width="9" style="150" bestFit="1" customWidth="1"/>
    <col min="7" max="7" width="8.5703125" style="150" bestFit="1" customWidth="1"/>
    <col min="8" max="8" width="13.7109375" style="150" bestFit="1" customWidth="1"/>
    <col min="9" max="9" width="20.85546875" style="150" bestFit="1" customWidth="1"/>
    <col min="10" max="10" width="8.7109375" style="150" bestFit="1" customWidth="1"/>
    <col min="11" max="13" width="11" style="150" bestFit="1" customWidth="1"/>
    <col min="14" max="14" width="12.140625" style="150" bestFit="1" customWidth="1"/>
    <col min="15" max="15" width="14.5703125" style="150" bestFit="1" customWidth="1"/>
    <col min="16" max="16" width="16.42578125" style="150" bestFit="1" customWidth="1"/>
    <col min="17" max="17" width="9.140625" style="150"/>
    <col min="18" max="16384" width="9.140625" style="111"/>
  </cols>
  <sheetData>
    <row r="1" spans="1:17" s="152" customFormat="1" x14ac:dyDescent="0.25">
      <c r="A1" s="151" t="s">
        <v>181</v>
      </c>
      <c r="B1" s="151" t="s">
        <v>184</v>
      </c>
      <c r="C1" s="151" t="s">
        <v>177</v>
      </c>
      <c r="D1" s="151" t="s">
        <v>204</v>
      </c>
      <c r="E1" s="151" t="s">
        <v>178</v>
      </c>
      <c r="F1" s="151" t="s">
        <v>176</v>
      </c>
      <c r="G1" s="151" t="s">
        <v>174</v>
      </c>
      <c r="H1" s="151" t="s">
        <v>187</v>
      </c>
      <c r="I1" s="151" t="s">
        <v>188</v>
      </c>
      <c r="J1" s="151" t="s">
        <v>604</v>
      </c>
      <c r="K1" s="151" t="s">
        <v>182</v>
      </c>
      <c r="L1" s="151" t="s">
        <v>180</v>
      </c>
      <c r="M1" s="151" t="s">
        <v>175</v>
      </c>
      <c r="N1" s="151" t="s">
        <v>185</v>
      </c>
      <c r="O1" s="151" t="s">
        <v>179</v>
      </c>
      <c r="P1" s="151" t="s">
        <v>186</v>
      </c>
      <c r="Q1" s="151" t="s">
        <v>183</v>
      </c>
    </row>
    <row r="2" spans="1:17" x14ac:dyDescent="0.25">
      <c r="A2" s="150">
        <v>44.31</v>
      </c>
      <c r="B2" s="150">
        <v>0.3</v>
      </c>
      <c r="C2" s="150">
        <v>25.06</v>
      </c>
      <c r="D2" s="165">
        <v>42648</v>
      </c>
      <c r="E2" s="150">
        <v>0.46</v>
      </c>
      <c r="F2" s="150" t="s">
        <v>242</v>
      </c>
      <c r="G2" s="150">
        <v>279.37</v>
      </c>
      <c r="H2" s="150">
        <v>0</v>
      </c>
      <c r="I2" s="150">
        <v>0</v>
      </c>
      <c r="K2" s="150">
        <v>1011.78</v>
      </c>
      <c r="L2" s="150" t="s">
        <v>235</v>
      </c>
      <c r="M2" s="150">
        <v>44.31</v>
      </c>
      <c r="N2" s="150">
        <v>1475647200</v>
      </c>
      <c r="O2" s="150">
        <v>6.48</v>
      </c>
      <c r="P2" s="150">
        <v>215</v>
      </c>
      <c r="Q2" s="150">
        <v>2.94</v>
      </c>
    </row>
    <row r="3" spans="1:17" x14ac:dyDescent="0.25">
      <c r="A3" s="150">
        <v>41.67</v>
      </c>
      <c r="B3" s="150">
        <v>0.28999999999999998</v>
      </c>
      <c r="C3" s="150">
        <v>24.34</v>
      </c>
      <c r="D3" s="165">
        <v>42648.041666666664</v>
      </c>
      <c r="E3" s="150">
        <v>0.5</v>
      </c>
      <c r="F3" s="150" t="s">
        <v>242</v>
      </c>
      <c r="G3" s="150">
        <v>280.76</v>
      </c>
      <c r="H3" s="150">
        <v>0</v>
      </c>
      <c r="I3" s="150">
        <v>0</v>
      </c>
      <c r="K3" s="150">
        <v>1012.15</v>
      </c>
      <c r="L3" s="150" t="s">
        <v>235</v>
      </c>
      <c r="M3" s="150">
        <v>41.67</v>
      </c>
      <c r="N3" s="150">
        <v>1475650800</v>
      </c>
      <c r="O3" s="150">
        <v>6.65</v>
      </c>
      <c r="P3" s="150">
        <v>208</v>
      </c>
      <c r="Q3" s="150">
        <v>2.54</v>
      </c>
    </row>
    <row r="4" spans="1:17" x14ac:dyDescent="0.25">
      <c r="A4" s="150">
        <v>40.700000000000003</v>
      </c>
      <c r="B4" s="150">
        <v>0.28999999999999998</v>
      </c>
      <c r="C4" s="150">
        <v>24.54</v>
      </c>
      <c r="D4" s="165">
        <v>42648.083333333336</v>
      </c>
      <c r="E4" s="150">
        <v>0.52</v>
      </c>
      <c r="F4" s="150" t="s">
        <v>242</v>
      </c>
      <c r="G4" s="150">
        <v>282.14</v>
      </c>
      <c r="H4" s="150">
        <v>0</v>
      </c>
      <c r="I4" s="150">
        <v>0</v>
      </c>
      <c r="K4" s="150">
        <v>1012.54</v>
      </c>
      <c r="L4" s="150" t="s">
        <v>235</v>
      </c>
      <c r="M4" s="150">
        <v>40.700000000000003</v>
      </c>
      <c r="N4" s="150">
        <v>1475654400</v>
      </c>
      <c r="O4" s="150">
        <v>6.61</v>
      </c>
      <c r="P4" s="150">
        <v>210</v>
      </c>
      <c r="Q4" s="150">
        <v>2.69</v>
      </c>
    </row>
    <row r="5" spans="1:17" x14ac:dyDescent="0.25">
      <c r="A5" s="150">
        <v>37.85</v>
      </c>
      <c r="B5" s="150">
        <v>0.28999999999999998</v>
      </c>
      <c r="C5" s="150">
        <v>23.49</v>
      </c>
      <c r="D5" s="165">
        <v>42648.125</v>
      </c>
      <c r="E5" s="150">
        <v>0.51</v>
      </c>
      <c r="F5" s="150" t="s">
        <v>242</v>
      </c>
      <c r="G5" s="150">
        <v>283.52999999999997</v>
      </c>
      <c r="H5" s="150">
        <v>0</v>
      </c>
      <c r="I5" s="150">
        <v>0</v>
      </c>
      <c r="K5" s="150">
        <v>1012.96</v>
      </c>
      <c r="L5" s="150" t="s">
        <v>235</v>
      </c>
      <c r="M5" s="150">
        <v>40.01</v>
      </c>
      <c r="N5" s="150">
        <v>1475658000</v>
      </c>
      <c r="O5" s="150">
        <v>5.98</v>
      </c>
      <c r="P5" s="150">
        <v>212</v>
      </c>
      <c r="Q5" s="150">
        <v>3.47</v>
      </c>
    </row>
    <row r="6" spans="1:17" x14ac:dyDescent="0.25">
      <c r="A6" s="150">
        <v>39.21</v>
      </c>
      <c r="B6" s="150">
        <v>0.42</v>
      </c>
      <c r="C6" s="150">
        <v>22.67</v>
      </c>
      <c r="D6" s="165">
        <v>42648.166666666664</v>
      </c>
      <c r="E6" s="150">
        <v>0.51</v>
      </c>
      <c r="F6" s="150" t="s">
        <v>242</v>
      </c>
      <c r="G6" s="150">
        <v>285.12</v>
      </c>
      <c r="H6" s="150">
        <v>0</v>
      </c>
      <c r="I6" s="150">
        <v>0</v>
      </c>
      <c r="K6" s="150">
        <v>1013.13</v>
      </c>
      <c r="L6" s="150" t="s">
        <v>235</v>
      </c>
      <c r="M6" s="150">
        <v>39.21</v>
      </c>
      <c r="N6" s="150">
        <v>1475661600</v>
      </c>
      <c r="O6" s="150">
        <v>5.81</v>
      </c>
      <c r="P6" s="150">
        <v>206</v>
      </c>
      <c r="Q6" s="150">
        <v>2.89</v>
      </c>
    </row>
    <row r="7" spans="1:17" x14ac:dyDescent="0.25">
      <c r="A7" s="150">
        <v>35.08</v>
      </c>
      <c r="B7" s="150">
        <v>0.56000000000000005</v>
      </c>
      <c r="C7" s="150">
        <v>21.1</v>
      </c>
      <c r="D7" s="165">
        <v>42648.208333333336</v>
      </c>
      <c r="E7" s="150">
        <v>0.5</v>
      </c>
      <c r="F7" s="150" t="s">
        <v>242</v>
      </c>
      <c r="G7" s="150">
        <v>286.8</v>
      </c>
      <c r="H7" s="150">
        <v>0</v>
      </c>
      <c r="I7" s="150">
        <v>0</v>
      </c>
      <c r="K7" s="150">
        <v>1013.23</v>
      </c>
      <c r="L7" s="150" t="s">
        <v>235</v>
      </c>
      <c r="M7" s="150">
        <v>38.22</v>
      </c>
      <c r="N7" s="150">
        <v>1475665200</v>
      </c>
      <c r="O7" s="150">
        <v>6.29</v>
      </c>
      <c r="P7" s="150">
        <v>231</v>
      </c>
      <c r="Q7" s="150">
        <v>4.2</v>
      </c>
    </row>
    <row r="8" spans="1:17" x14ac:dyDescent="0.25">
      <c r="A8" s="150">
        <v>35.72</v>
      </c>
      <c r="B8" s="150">
        <v>0.62</v>
      </c>
      <c r="C8" s="150">
        <v>23.94</v>
      </c>
      <c r="D8" s="165">
        <v>42648.25</v>
      </c>
      <c r="E8" s="150">
        <v>0.53</v>
      </c>
      <c r="F8" s="150" t="s">
        <v>242</v>
      </c>
      <c r="G8" s="150">
        <v>288.54000000000002</v>
      </c>
      <c r="H8" s="150">
        <v>0</v>
      </c>
      <c r="I8" s="150">
        <v>0</v>
      </c>
      <c r="K8" s="150">
        <v>1013.31</v>
      </c>
      <c r="L8" s="150" t="s">
        <v>605</v>
      </c>
      <c r="M8" s="150">
        <v>39.51</v>
      </c>
      <c r="N8" s="150">
        <v>1475668800</v>
      </c>
      <c r="O8" s="150">
        <v>4.9400000000000004</v>
      </c>
      <c r="P8" s="150">
        <v>214</v>
      </c>
      <c r="Q8" s="150">
        <v>5.23</v>
      </c>
    </row>
    <row r="9" spans="1:17" x14ac:dyDescent="0.25">
      <c r="A9" s="150">
        <v>37.19</v>
      </c>
      <c r="B9" s="150">
        <v>0.55000000000000004</v>
      </c>
      <c r="C9" s="150">
        <v>21.01</v>
      </c>
      <c r="D9" s="165">
        <v>42648.291666666664</v>
      </c>
      <c r="E9" s="150">
        <v>0.46</v>
      </c>
      <c r="F9" s="150" t="s">
        <v>242</v>
      </c>
      <c r="G9" s="150">
        <v>290.44</v>
      </c>
      <c r="H9" s="150">
        <v>0</v>
      </c>
      <c r="I9" s="150">
        <v>0</v>
      </c>
      <c r="K9" s="150">
        <v>1013.18</v>
      </c>
      <c r="L9" s="150" t="s">
        <v>235</v>
      </c>
      <c r="M9" s="150">
        <v>40.07</v>
      </c>
      <c r="N9" s="150">
        <v>1475672400</v>
      </c>
      <c r="O9" s="150">
        <v>4.24</v>
      </c>
      <c r="P9" s="150">
        <v>204</v>
      </c>
      <c r="Q9" s="150">
        <v>4.24</v>
      </c>
    </row>
    <row r="10" spans="1:17" x14ac:dyDescent="0.25">
      <c r="A10" s="150">
        <v>43.53</v>
      </c>
      <c r="B10" s="150">
        <v>0.37</v>
      </c>
      <c r="C10" s="150">
        <v>25</v>
      </c>
      <c r="D10" s="165">
        <v>42648.333333333336</v>
      </c>
      <c r="E10" s="150">
        <v>0.48</v>
      </c>
      <c r="F10" s="150" t="s">
        <v>234</v>
      </c>
      <c r="G10" s="150">
        <v>292.39999999999998</v>
      </c>
      <c r="H10" s="150">
        <v>0</v>
      </c>
      <c r="I10" s="150">
        <v>0</v>
      </c>
      <c r="K10" s="150">
        <v>1012.9</v>
      </c>
      <c r="L10" s="150" t="s">
        <v>235</v>
      </c>
      <c r="M10" s="150">
        <v>43.53</v>
      </c>
      <c r="N10" s="150">
        <v>1475676000</v>
      </c>
      <c r="O10" s="150">
        <v>3.75</v>
      </c>
      <c r="P10" s="150">
        <v>211</v>
      </c>
      <c r="Q10" s="150">
        <v>2.0299999999999998</v>
      </c>
    </row>
    <row r="11" spans="1:17" x14ac:dyDescent="0.25">
      <c r="A11" s="150">
        <v>49.09</v>
      </c>
      <c r="B11" s="150">
        <v>0.27</v>
      </c>
      <c r="C11" s="150">
        <v>25.35</v>
      </c>
      <c r="D11" s="165">
        <v>42648.375</v>
      </c>
      <c r="E11" s="150">
        <v>0.39</v>
      </c>
      <c r="F11" s="150" t="s">
        <v>234</v>
      </c>
      <c r="G11" s="150">
        <v>294.05</v>
      </c>
      <c r="H11" s="150">
        <v>0</v>
      </c>
      <c r="I11" s="150">
        <v>0</v>
      </c>
      <c r="K11" s="150">
        <v>1012.45</v>
      </c>
      <c r="L11" s="150" t="s">
        <v>235</v>
      </c>
      <c r="M11" s="150">
        <v>49.09</v>
      </c>
      <c r="N11" s="150">
        <v>1475679600</v>
      </c>
      <c r="O11" s="150">
        <v>3.81</v>
      </c>
      <c r="P11" s="150">
        <v>224</v>
      </c>
      <c r="Q11" s="150">
        <v>1.85</v>
      </c>
    </row>
    <row r="12" spans="1:17" x14ac:dyDescent="0.25">
      <c r="A12" s="150">
        <v>54.18</v>
      </c>
      <c r="B12" s="150">
        <v>0.19</v>
      </c>
      <c r="C12" s="150">
        <v>26.42</v>
      </c>
      <c r="D12" s="165">
        <v>42648.416666666664</v>
      </c>
      <c r="E12" s="150">
        <v>0.34</v>
      </c>
      <c r="F12" s="150" t="s">
        <v>272</v>
      </c>
      <c r="G12" s="150">
        <v>295.07</v>
      </c>
      <c r="H12" s="150">
        <v>0</v>
      </c>
      <c r="I12" s="150">
        <v>0</v>
      </c>
      <c r="K12" s="150">
        <v>1011.82</v>
      </c>
      <c r="L12" s="150" t="s">
        <v>222</v>
      </c>
      <c r="M12" s="150">
        <v>54.18</v>
      </c>
      <c r="N12" s="150">
        <v>1475683200</v>
      </c>
      <c r="O12" s="150">
        <v>3.8</v>
      </c>
      <c r="P12" s="150">
        <v>188</v>
      </c>
      <c r="Q12" s="150">
        <v>2.1</v>
      </c>
    </row>
    <row r="13" spans="1:17" x14ac:dyDescent="0.25">
      <c r="A13" s="150">
        <v>57.41</v>
      </c>
      <c r="B13" s="150">
        <v>0.19</v>
      </c>
      <c r="C13" s="150">
        <v>23</v>
      </c>
      <c r="D13" s="165">
        <v>42648.458333333336</v>
      </c>
      <c r="E13" s="150">
        <v>0.26</v>
      </c>
      <c r="F13" s="150" t="s">
        <v>272</v>
      </c>
      <c r="G13" s="150">
        <v>295.77999999999997</v>
      </c>
      <c r="H13" s="150">
        <v>0</v>
      </c>
      <c r="I13" s="150">
        <v>0</v>
      </c>
      <c r="K13" s="150">
        <v>1011.08</v>
      </c>
      <c r="L13" s="150" t="s">
        <v>222</v>
      </c>
      <c r="M13" s="150">
        <v>57.41</v>
      </c>
      <c r="N13" s="150">
        <v>1475686800</v>
      </c>
      <c r="O13" s="150">
        <v>3.85</v>
      </c>
      <c r="P13" s="150">
        <v>122</v>
      </c>
      <c r="Q13" s="150">
        <v>1.85</v>
      </c>
    </row>
    <row r="14" spans="1:17" x14ac:dyDescent="0.25">
      <c r="A14" s="150">
        <v>59.77</v>
      </c>
      <c r="B14" s="150">
        <v>0.24</v>
      </c>
      <c r="C14" s="150">
        <v>23.35</v>
      </c>
      <c r="D14" s="165">
        <v>42648.5</v>
      </c>
      <c r="E14" s="150">
        <v>0.24</v>
      </c>
      <c r="F14" s="150" t="s">
        <v>272</v>
      </c>
      <c r="G14" s="150">
        <v>296.83999999999997</v>
      </c>
      <c r="H14" s="150">
        <v>0</v>
      </c>
      <c r="I14" s="150">
        <v>0</v>
      </c>
      <c r="K14" s="150">
        <v>1010.35</v>
      </c>
      <c r="L14" s="150" t="s">
        <v>222</v>
      </c>
      <c r="M14" s="150">
        <v>59.77</v>
      </c>
      <c r="N14" s="150">
        <v>1475690400</v>
      </c>
      <c r="O14" s="150">
        <v>4.07</v>
      </c>
      <c r="P14" s="150">
        <v>81</v>
      </c>
      <c r="Q14" s="150">
        <v>2.3199999999999998</v>
      </c>
    </row>
    <row r="15" spans="1:17" x14ac:dyDescent="0.25">
      <c r="A15" s="150">
        <v>61.5</v>
      </c>
      <c r="B15" s="150">
        <v>0.36</v>
      </c>
      <c r="C15" s="150">
        <v>22.67</v>
      </c>
      <c r="D15" s="165">
        <v>42648.541666666664</v>
      </c>
      <c r="E15" s="150">
        <v>0.22</v>
      </c>
      <c r="F15" s="150" t="s">
        <v>234</v>
      </c>
      <c r="G15" s="150">
        <v>298.98</v>
      </c>
      <c r="H15" s="150">
        <v>0</v>
      </c>
      <c r="I15" s="150">
        <v>0</v>
      </c>
      <c r="K15" s="150">
        <v>1009.34</v>
      </c>
      <c r="L15" s="150" t="s">
        <v>235</v>
      </c>
      <c r="M15" s="150">
        <v>61.5</v>
      </c>
      <c r="N15" s="150">
        <v>1475694000</v>
      </c>
      <c r="O15" s="150">
        <v>4.0199999999999996</v>
      </c>
      <c r="P15" s="150">
        <v>63</v>
      </c>
      <c r="Q15" s="150">
        <v>1.95</v>
      </c>
    </row>
    <row r="16" spans="1:17" x14ac:dyDescent="0.25">
      <c r="A16" s="150">
        <v>62.45</v>
      </c>
      <c r="B16" s="150">
        <v>0.52</v>
      </c>
      <c r="C16" s="150">
        <v>22.18</v>
      </c>
      <c r="D16" s="165">
        <v>42648.583333333336</v>
      </c>
      <c r="E16" s="150">
        <v>0.21</v>
      </c>
      <c r="F16" s="150" t="s">
        <v>234</v>
      </c>
      <c r="G16" s="150">
        <v>301.45999999999998</v>
      </c>
      <c r="H16" s="150">
        <v>0</v>
      </c>
      <c r="I16" s="150">
        <v>0</v>
      </c>
      <c r="K16" s="150">
        <v>1008.15</v>
      </c>
      <c r="L16" s="150" t="s">
        <v>235</v>
      </c>
      <c r="M16" s="150">
        <v>62.45</v>
      </c>
      <c r="N16" s="150">
        <v>1475697600</v>
      </c>
      <c r="O16" s="150">
        <v>4.1500000000000004</v>
      </c>
      <c r="P16" s="150">
        <v>69</v>
      </c>
      <c r="Q16" s="150">
        <v>2.93</v>
      </c>
    </row>
    <row r="17" spans="1:17" x14ac:dyDescent="0.25">
      <c r="A17" s="150">
        <v>62.41</v>
      </c>
      <c r="B17" s="150">
        <v>0.64</v>
      </c>
      <c r="C17" s="150">
        <v>21.79</v>
      </c>
      <c r="D17" s="165">
        <v>42648.625</v>
      </c>
      <c r="E17" s="150">
        <v>0.21</v>
      </c>
      <c r="F17" s="150" t="s">
        <v>234</v>
      </c>
      <c r="G17" s="150">
        <v>302.74</v>
      </c>
      <c r="H17" s="150">
        <v>0</v>
      </c>
      <c r="I17" s="150">
        <v>0</v>
      </c>
      <c r="K17" s="150">
        <v>1007.46</v>
      </c>
      <c r="L17" s="150" t="s">
        <v>605</v>
      </c>
      <c r="M17" s="150">
        <v>62.41</v>
      </c>
      <c r="N17" s="150">
        <v>1475701200</v>
      </c>
      <c r="O17" s="150">
        <v>4.2300000000000004</v>
      </c>
      <c r="P17" s="150">
        <v>70</v>
      </c>
      <c r="Q17" s="150">
        <v>3.23</v>
      </c>
    </row>
    <row r="18" spans="1:17" x14ac:dyDescent="0.25">
      <c r="A18" s="150">
        <v>62.42</v>
      </c>
      <c r="B18" s="150">
        <v>0.71</v>
      </c>
      <c r="C18" s="150">
        <v>22.35</v>
      </c>
      <c r="D18" s="165">
        <v>42648.666666666664</v>
      </c>
      <c r="E18" s="150">
        <v>0.21</v>
      </c>
      <c r="F18" s="150" t="s">
        <v>234</v>
      </c>
      <c r="G18" s="150">
        <v>301.69</v>
      </c>
      <c r="H18" s="150">
        <v>0</v>
      </c>
      <c r="I18" s="150">
        <v>0</v>
      </c>
      <c r="K18" s="150">
        <v>1007.46</v>
      </c>
      <c r="L18" s="150" t="s">
        <v>605</v>
      </c>
      <c r="M18" s="150">
        <v>62.42</v>
      </c>
      <c r="N18" s="150">
        <v>1475704800</v>
      </c>
      <c r="O18" s="150">
        <v>4.4000000000000004</v>
      </c>
      <c r="P18" s="150">
        <v>70</v>
      </c>
      <c r="Q18" s="150">
        <v>3.34</v>
      </c>
    </row>
    <row r="19" spans="1:17" x14ac:dyDescent="0.25">
      <c r="A19" s="150">
        <v>61.67</v>
      </c>
      <c r="B19" s="150">
        <v>0.8</v>
      </c>
      <c r="C19" s="150">
        <v>22.62</v>
      </c>
      <c r="D19" s="165">
        <v>42648.708333333336</v>
      </c>
      <c r="E19" s="150">
        <v>0.22</v>
      </c>
      <c r="F19" s="150" t="s">
        <v>234</v>
      </c>
      <c r="G19" s="150">
        <v>299.44</v>
      </c>
      <c r="H19" s="150">
        <v>1.8E-3</v>
      </c>
      <c r="I19" s="150">
        <v>0.04</v>
      </c>
      <c r="J19" s="150" t="s">
        <v>606</v>
      </c>
      <c r="K19" s="150">
        <v>1007.89</v>
      </c>
      <c r="L19" s="150" t="s">
        <v>605</v>
      </c>
      <c r="M19" s="150">
        <v>61.67</v>
      </c>
      <c r="N19" s="150">
        <v>1475708400</v>
      </c>
      <c r="O19" s="150">
        <v>6.74</v>
      </c>
      <c r="P19" s="150">
        <v>51</v>
      </c>
      <c r="Q19" s="150">
        <v>3.99</v>
      </c>
    </row>
    <row r="20" spans="1:17" x14ac:dyDescent="0.25">
      <c r="A20" s="150">
        <v>59.58</v>
      </c>
      <c r="B20" s="150">
        <v>0.91</v>
      </c>
      <c r="C20" s="150">
        <v>22.61</v>
      </c>
      <c r="D20" s="165">
        <v>42648.75</v>
      </c>
      <c r="E20" s="150">
        <v>0.24</v>
      </c>
      <c r="F20" s="150" t="s">
        <v>234</v>
      </c>
      <c r="G20" s="150">
        <v>297.81</v>
      </c>
      <c r="H20" s="150">
        <v>2.3999999999999998E-3</v>
      </c>
      <c r="I20" s="150">
        <v>0.06</v>
      </c>
      <c r="J20" s="150" t="s">
        <v>606</v>
      </c>
      <c r="K20" s="150">
        <v>1008.54</v>
      </c>
      <c r="L20" s="150" t="s">
        <v>605</v>
      </c>
      <c r="M20" s="150">
        <v>59.58</v>
      </c>
      <c r="N20" s="150">
        <v>1475712000</v>
      </c>
      <c r="O20" s="150">
        <v>7</v>
      </c>
      <c r="P20" s="150">
        <v>38</v>
      </c>
      <c r="Q20" s="150">
        <v>4.18</v>
      </c>
    </row>
    <row r="21" spans="1:17" x14ac:dyDescent="0.25">
      <c r="A21" s="150">
        <v>58.89</v>
      </c>
      <c r="B21" s="150">
        <v>0.86</v>
      </c>
      <c r="C21" s="150">
        <v>25.06</v>
      </c>
      <c r="D21" s="165">
        <v>42648.791666666664</v>
      </c>
      <c r="E21" s="150">
        <v>0.27</v>
      </c>
      <c r="F21" s="150" t="s">
        <v>606</v>
      </c>
      <c r="G21" s="150">
        <v>297.24</v>
      </c>
      <c r="H21" s="150">
        <v>5.4999999999999997E-3</v>
      </c>
      <c r="I21" s="150">
        <v>0.22</v>
      </c>
      <c r="J21" s="150" t="s">
        <v>606</v>
      </c>
      <c r="K21" s="150">
        <v>1009.5</v>
      </c>
      <c r="L21" s="150" t="s">
        <v>607</v>
      </c>
      <c r="M21" s="150">
        <v>58.89</v>
      </c>
      <c r="N21" s="150">
        <v>1475715600</v>
      </c>
      <c r="O21" s="150">
        <v>7.4</v>
      </c>
      <c r="P21" s="150">
        <v>13</v>
      </c>
      <c r="Q21" s="150">
        <v>2.16</v>
      </c>
    </row>
    <row r="22" spans="1:17" x14ac:dyDescent="0.25">
      <c r="A22" s="150">
        <v>57.15</v>
      </c>
      <c r="B22" s="150">
        <v>0.77</v>
      </c>
      <c r="C22" s="150">
        <v>26.63</v>
      </c>
      <c r="D22" s="165">
        <v>42648.833333333336</v>
      </c>
      <c r="E22" s="150">
        <v>0.31</v>
      </c>
      <c r="F22" s="150" t="s">
        <v>242</v>
      </c>
      <c r="G22" s="150">
        <v>297.27999999999997</v>
      </c>
      <c r="H22" s="150">
        <v>4.7999999999999996E-3</v>
      </c>
      <c r="I22" s="150">
        <v>0.18</v>
      </c>
      <c r="J22" s="150" t="s">
        <v>606</v>
      </c>
      <c r="K22" s="150">
        <v>1010.73</v>
      </c>
      <c r="L22" s="150" t="s">
        <v>605</v>
      </c>
      <c r="M22" s="150">
        <v>57.15</v>
      </c>
      <c r="N22" s="150">
        <v>1475719200</v>
      </c>
      <c r="O22" s="150">
        <v>7.98</v>
      </c>
      <c r="P22" s="150">
        <v>2</v>
      </c>
      <c r="Q22" s="150">
        <v>2.9</v>
      </c>
    </row>
    <row r="23" spans="1:17" x14ac:dyDescent="0.25">
      <c r="A23" s="150">
        <v>56.1</v>
      </c>
      <c r="B23" s="150">
        <v>0.73</v>
      </c>
      <c r="C23" s="150">
        <v>27.59</v>
      </c>
      <c r="D23" s="165">
        <v>42648.875</v>
      </c>
      <c r="E23" s="150">
        <v>0.33</v>
      </c>
      <c r="F23" s="150" t="s">
        <v>242</v>
      </c>
      <c r="G23" s="150">
        <v>298.43</v>
      </c>
      <c r="H23" s="150">
        <v>3.8E-3</v>
      </c>
      <c r="I23" s="150">
        <v>0.13</v>
      </c>
      <c r="J23" s="150" t="s">
        <v>606</v>
      </c>
      <c r="K23" s="150">
        <v>1011.74</v>
      </c>
      <c r="L23" s="150" t="s">
        <v>605</v>
      </c>
      <c r="M23" s="150">
        <v>56.1</v>
      </c>
      <c r="N23" s="150">
        <v>1475722800</v>
      </c>
      <c r="O23" s="150">
        <v>8.56</v>
      </c>
      <c r="P23" s="150">
        <v>12</v>
      </c>
      <c r="Q23" s="150">
        <v>2.17</v>
      </c>
    </row>
    <row r="24" spans="1:17" x14ac:dyDescent="0.25">
      <c r="A24" s="150">
        <v>55.48</v>
      </c>
      <c r="B24" s="150">
        <v>0.81</v>
      </c>
      <c r="C24" s="150">
        <v>27.84</v>
      </c>
      <c r="D24" s="165">
        <v>42648.916666666664</v>
      </c>
      <c r="E24" s="150">
        <v>0.34</v>
      </c>
      <c r="F24" s="150" t="s">
        <v>242</v>
      </c>
      <c r="G24" s="150">
        <v>301.39999999999998</v>
      </c>
      <c r="H24" s="150">
        <v>8.0000000000000004E-4</v>
      </c>
      <c r="I24" s="150">
        <v>0.01</v>
      </c>
      <c r="J24" s="150" t="s">
        <v>606</v>
      </c>
      <c r="K24" s="150">
        <v>1012.23</v>
      </c>
      <c r="L24" s="150" t="s">
        <v>605</v>
      </c>
      <c r="M24" s="150">
        <v>55.48</v>
      </c>
      <c r="N24" s="150">
        <v>1475726400</v>
      </c>
      <c r="O24" s="150">
        <v>8.31</v>
      </c>
      <c r="P24" s="150">
        <v>3</v>
      </c>
      <c r="Q24" s="150">
        <v>2.77</v>
      </c>
    </row>
    <row r="25" spans="1:17" x14ac:dyDescent="0.25">
      <c r="A25" s="150">
        <v>54.23</v>
      </c>
      <c r="B25" s="150">
        <v>0.9</v>
      </c>
      <c r="C25" s="150">
        <v>28.95</v>
      </c>
      <c r="D25" s="165">
        <v>42648.958333333336</v>
      </c>
      <c r="E25" s="150">
        <v>0.38</v>
      </c>
      <c r="F25" s="150" t="s">
        <v>242</v>
      </c>
      <c r="G25" s="150">
        <v>305.48</v>
      </c>
      <c r="H25" s="150">
        <v>2E-3</v>
      </c>
      <c r="I25" s="150">
        <v>0.05</v>
      </c>
      <c r="J25" s="150" t="s">
        <v>606</v>
      </c>
      <c r="K25" s="150">
        <v>1012.44</v>
      </c>
      <c r="L25" s="150" t="s">
        <v>605</v>
      </c>
      <c r="M25" s="150">
        <v>54.23</v>
      </c>
      <c r="N25" s="150">
        <v>1475730000</v>
      </c>
      <c r="O25" s="150">
        <v>8.11</v>
      </c>
      <c r="P25" s="150">
        <v>335</v>
      </c>
      <c r="Q25" s="150">
        <v>2.69</v>
      </c>
    </row>
    <row r="26" spans="1:17" x14ac:dyDescent="0.25">
      <c r="A26" s="150">
        <v>52.52</v>
      </c>
      <c r="B26" s="150">
        <v>0.99</v>
      </c>
      <c r="C26" s="150">
        <v>28.23</v>
      </c>
      <c r="D26" s="165">
        <v>42649</v>
      </c>
      <c r="E26" s="150">
        <v>0.39</v>
      </c>
      <c r="F26" s="150" t="s">
        <v>608</v>
      </c>
      <c r="G26" s="150">
        <v>309.04000000000002</v>
      </c>
      <c r="H26" s="150">
        <v>0</v>
      </c>
      <c r="I26" s="150">
        <v>0</v>
      </c>
      <c r="K26" s="150">
        <v>1012.6</v>
      </c>
      <c r="L26" s="150" t="s">
        <v>609</v>
      </c>
      <c r="M26" s="150">
        <v>52.52</v>
      </c>
      <c r="N26" s="150">
        <v>1475733600</v>
      </c>
      <c r="O26" s="150">
        <v>8.35</v>
      </c>
      <c r="P26" s="150">
        <v>351</v>
      </c>
      <c r="Q26" s="150">
        <v>3.61</v>
      </c>
    </row>
    <row r="27" spans="1:17" x14ac:dyDescent="0.25">
      <c r="A27" s="150">
        <v>50.85</v>
      </c>
      <c r="B27" s="150">
        <v>0.72</v>
      </c>
      <c r="C27" s="150">
        <v>27.27</v>
      </c>
      <c r="D27" s="165">
        <v>42649.041666666664</v>
      </c>
      <c r="E27" s="150">
        <v>0.4</v>
      </c>
      <c r="F27" s="150" t="s">
        <v>242</v>
      </c>
      <c r="G27" s="150">
        <v>311.02</v>
      </c>
      <c r="H27" s="150">
        <v>1.5E-3</v>
      </c>
      <c r="I27" s="150">
        <v>0.03</v>
      </c>
      <c r="J27" s="150" t="s">
        <v>606</v>
      </c>
      <c r="K27" s="150">
        <v>1012.77</v>
      </c>
      <c r="L27" s="150" t="s">
        <v>605</v>
      </c>
      <c r="M27" s="150">
        <v>50.85</v>
      </c>
      <c r="N27" s="150">
        <v>1475737200</v>
      </c>
      <c r="O27" s="150">
        <v>8.4</v>
      </c>
      <c r="P27" s="150">
        <v>16</v>
      </c>
      <c r="Q27" s="150">
        <v>2.76</v>
      </c>
    </row>
    <row r="28" spans="1:17" x14ac:dyDescent="0.25">
      <c r="A28" s="150">
        <v>49.01</v>
      </c>
      <c r="B28" s="150">
        <v>0.54</v>
      </c>
      <c r="C28" s="150">
        <v>27.67</v>
      </c>
      <c r="D28" s="165">
        <v>42649.083333333336</v>
      </c>
      <c r="E28" s="150">
        <v>0.43</v>
      </c>
      <c r="F28" s="150" t="s">
        <v>242</v>
      </c>
      <c r="G28" s="150">
        <v>313</v>
      </c>
      <c r="H28" s="150">
        <v>3.8999999999999998E-3</v>
      </c>
      <c r="I28" s="150">
        <v>0.13</v>
      </c>
      <c r="J28" s="150" t="s">
        <v>606</v>
      </c>
      <c r="K28" s="150">
        <v>1012.95</v>
      </c>
      <c r="L28" s="150" t="s">
        <v>235</v>
      </c>
      <c r="M28" s="150">
        <v>49.01</v>
      </c>
      <c r="N28" s="150">
        <v>1475740800</v>
      </c>
      <c r="O28" s="150">
        <v>8.3800000000000008</v>
      </c>
      <c r="P28" s="150">
        <v>355</v>
      </c>
      <c r="Q28" s="150">
        <v>2.87</v>
      </c>
    </row>
    <row r="29" spans="1:17" x14ac:dyDescent="0.25">
      <c r="A29" s="150">
        <v>45.55</v>
      </c>
      <c r="B29" s="150">
        <v>0.32</v>
      </c>
      <c r="C29" s="150">
        <v>27.21</v>
      </c>
      <c r="D29" s="165">
        <v>42649.125</v>
      </c>
      <c r="E29" s="150">
        <v>0.46</v>
      </c>
      <c r="F29" s="150" t="s">
        <v>242</v>
      </c>
      <c r="G29" s="150">
        <v>314.99</v>
      </c>
      <c r="H29" s="150">
        <v>0</v>
      </c>
      <c r="I29" s="150">
        <v>0</v>
      </c>
      <c r="K29" s="150">
        <v>1013.14</v>
      </c>
      <c r="L29" s="150" t="s">
        <v>235</v>
      </c>
      <c r="M29" s="150">
        <v>46.77</v>
      </c>
      <c r="N29" s="150">
        <v>1475744400</v>
      </c>
      <c r="O29" s="150">
        <v>8.01</v>
      </c>
      <c r="P29" s="150">
        <v>329</v>
      </c>
      <c r="Q29" s="150">
        <v>3.51</v>
      </c>
    </row>
    <row r="31" spans="1:17" x14ac:dyDescent="0.25">
      <c r="A31" s="150" t="s">
        <v>610</v>
      </c>
    </row>
    <row r="33" spans="1:1" x14ac:dyDescent="0.25">
      <c r="A33" s="150" t="s">
        <v>189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B12" sqref="B12"/>
    </sheetView>
  </sheetViews>
  <sheetFormatPr defaultRowHeight="15" x14ac:dyDescent="0.25"/>
  <cols>
    <col min="1" max="1" width="32.140625" customWidth="1"/>
    <col min="3" max="3" width="24" style="72" customWidth="1"/>
    <col min="4" max="4" width="19.140625" style="72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175" t="s">
        <v>107</v>
      </c>
      <c r="D1" s="176" t="s">
        <v>108</v>
      </c>
      <c r="J1" s="34" t="s">
        <v>109</v>
      </c>
      <c r="K1" s="34" t="s">
        <v>72</v>
      </c>
      <c r="L1" s="34" t="s">
        <v>73</v>
      </c>
      <c r="O1" s="73" t="s">
        <v>110</v>
      </c>
    </row>
    <row r="2" spans="1:16" ht="15.75" thickBot="1" x14ac:dyDescent="0.3">
      <c r="A2" s="14">
        <v>42648</v>
      </c>
      <c r="B2" s="4"/>
      <c r="C2" s="177">
        <v>50</v>
      </c>
      <c r="D2" s="178">
        <v>25</v>
      </c>
      <c r="F2" t="s">
        <v>122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0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ht="45" x14ac:dyDescent="0.25">
      <c r="C4" s="175" t="s">
        <v>107</v>
      </c>
      <c r="D4" s="176" t="s">
        <v>108</v>
      </c>
      <c r="F4" t="s">
        <v>59</v>
      </c>
      <c r="J4" s="35" t="s">
        <v>75</v>
      </c>
      <c r="K4" s="36">
        <v>3.0830000000000002</v>
      </c>
      <c r="L4" s="36">
        <v>3.097</v>
      </c>
      <c r="M4" s="110">
        <f t="shared" si="0"/>
        <v>3.09</v>
      </c>
    </row>
    <row r="5" spans="1:16" x14ac:dyDescent="0.25">
      <c r="C5" s="72">
        <v>30</v>
      </c>
      <c r="D5" s="72">
        <v>9</v>
      </c>
      <c r="J5" s="35" t="s">
        <v>76</v>
      </c>
      <c r="K5" s="36">
        <v>3.3136000000000001</v>
      </c>
      <c r="L5" s="36">
        <v>3.3256999999999999</v>
      </c>
      <c r="M5" s="110">
        <f t="shared" si="0"/>
        <v>3.3196500000000002</v>
      </c>
    </row>
    <row r="6" spans="1:16" x14ac:dyDescent="0.25">
      <c r="F6" t="s">
        <v>123</v>
      </c>
      <c r="J6" s="35" t="s">
        <v>77</v>
      </c>
      <c r="K6" s="36">
        <v>4.2778999999999998</v>
      </c>
      <c r="L6" s="36">
        <v>4.2961</v>
      </c>
      <c r="M6" s="110">
        <f t="shared" si="0"/>
        <v>4.2869999999999999</v>
      </c>
    </row>
    <row r="7" spans="1:16" x14ac:dyDescent="0.25">
      <c r="F7" t="s">
        <v>124</v>
      </c>
      <c r="J7" s="35" t="s">
        <v>78</v>
      </c>
      <c r="K7" s="36">
        <v>4.7865000000000002</v>
      </c>
      <c r="L7" s="36">
        <v>4.8048000000000002</v>
      </c>
      <c r="M7" s="110">
        <f t="shared" si="0"/>
        <v>4.7956500000000002</v>
      </c>
    </row>
    <row r="8" spans="1:16" x14ac:dyDescent="0.25">
      <c r="F8" t="s">
        <v>125</v>
      </c>
      <c r="J8" s="35" t="s">
        <v>79</v>
      </c>
      <c r="K8" s="36">
        <v>5.3155000000000001</v>
      </c>
      <c r="L8" s="36">
        <v>5.3277000000000001</v>
      </c>
      <c r="M8" s="110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0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0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0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0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0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0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233</v>
      </c>
    </row>
    <row r="21" spans="10:13" x14ac:dyDescent="0.25">
      <c r="J21" s="23" t="s">
        <v>97</v>
      </c>
      <c r="K21" s="23" t="s">
        <v>98</v>
      </c>
      <c r="M21" s="70" t="s">
        <v>241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72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160</v>
      </c>
      <c r="M25" s="70" t="b">
        <v>1</v>
      </c>
    </row>
    <row r="26" spans="10:13" x14ac:dyDescent="0.25">
      <c r="J26" t="s">
        <v>161</v>
      </c>
      <c r="M26" s="70" t="str">
        <f>"C:\Users\stu\Documents\GitHub\eaglep3-reporting\EC\"&amp;TEXT(A2,"yyyy-mm-dd")&amp;"-refined-times.txt"</f>
        <v>C:\Users\stu\Documents\GitHub\eaglep3-reporting\EC\2016-10-05-refined-times.txt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24" bestFit="1" customWidth="1"/>
    <col min="2" max="7" width="9.140625" style="124"/>
    <col min="8" max="8" width="17.7109375" style="124" bestFit="1" customWidth="1"/>
    <col min="9" max="9" width="9.140625" style="126"/>
    <col min="10" max="16384" width="9.140625" style="124"/>
  </cols>
  <sheetData>
    <row r="1" spans="1:11" x14ac:dyDescent="0.25">
      <c r="A1" s="123" t="s">
        <v>131</v>
      </c>
      <c r="B1" s="123" t="s">
        <v>132</v>
      </c>
      <c r="C1" s="124" t="s">
        <v>133</v>
      </c>
      <c r="H1" t="s">
        <v>127</v>
      </c>
      <c r="I1" s="125" t="s">
        <v>129</v>
      </c>
      <c r="J1"/>
    </row>
    <row r="2" spans="1:11" x14ac:dyDescent="0.25">
      <c r="A2" s="124" t="s">
        <v>134</v>
      </c>
      <c r="B2" s="124" t="s">
        <v>135</v>
      </c>
      <c r="C2" s="124" t="s">
        <v>136</v>
      </c>
      <c r="H2" t="s">
        <v>128</v>
      </c>
      <c r="I2" s="110" t="s">
        <v>130</v>
      </c>
      <c r="J2"/>
    </row>
    <row r="3" spans="1:11" x14ac:dyDescent="0.25">
      <c r="A3" s="124" t="s">
        <v>137</v>
      </c>
      <c r="B3" s="124" t="s">
        <v>138</v>
      </c>
      <c r="C3" s="124" t="s">
        <v>139</v>
      </c>
      <c r="H3" t="s">
        <v>153</v>
      </c>
      <c r="I3" s="110">
        <v>1</v>
      </c>
      <c r="J3"/>
      <c r="K3" s="70"/>
    </row>
    <row r="4" spans="1:11" x14ac:dyDescent="0.25">
      <c r="A4" s="124" t="s">
        <v>140</v>
      </c>
      <c r="C4" s="124" t="s">
        <v>141</v>
      </c>
      <c r="H4" t="s">
        <v>154</v>
      </c>
      <c r="I4" s="110">
        <v>2</v>
      </c>
      <c r="J4"/>
      <c r="K4" s="70"/>
    </row>
    <row r="5" spans="1:11" x14ac:dyDescent="0.25">
      <c r="A5" s="124" t="s">
        <v>142</v>
      </c>
      <c r="C5" s="124" t="s">
        <v>143</v>
      </c>
      <c r="H5" t="s">
        <v>155</v>
      </c>
      <c r="I5" s="110">
        <v>23</v>
      </c>
      <c r="J5"/>
      <c r="K5" s="70"/>
    </row>
    <row r="6" spans="1:11" x14ac:dyDescent="0.25">
      <c r="A6" s="124" t="s">
        <v>144</v>
      </c>
      <c r="C6" s="124" t="s">
        <v>145</v>
      </c>
      <c r="H6" s="127" t="s">
        <v>156</v>
      </c>
      <c r="I6" s="128" t="s">
        <v>135</v>
      </c>
    </row>
    <row r="7" spans="1:11" x14ac:dyDescent="0.25">
      <c r="A7" s="124" t="s">
        <v>146</v>
      </c>
      <c r="C7" s="124" t="s">
        <v>147</v>
      </c>
    </row>
    <row r="8" spans="1:11" x14ac:dyDescent="0.25">
      <c r="C8" s="124" t="s">
        <v>148</v>
      </c>
    </row>
    <row r="9" spans="1:11" x14ac:dyDescent="0.25">
      <c r="C9" s="127" t="s">
        <v>207</v>
      </c>
    </row>
    <row r="10" spans="1:11" x14ac:dyDescent="0.25">
      <c r="C10" s="124" t="s">
        <v>149</v>
      </c>
    </row>
    <row r="11" spans="1:11" x14ac:dyDescent="0.25">
      <c r="C11" s="124" t="s">
        <v>150</v>
      </c>
    </row>
    <row r="12" spans="1:11" x14ac:dyDescent="0.25">
      <c r="C12" s="124" t="s">
        <v>151</v>
      </c>
    </row>
    <row r="13" spans="1:11" x14ac:dyDescent="0.25">
      <c r="C13" s="124" t="s">
        <v>152</v>
      </c>
    </row>
    <row r="14" spans="1:11" x14ac:dyDescent="0.25">
      <c r="C14" s="127" t="s">
        <v>208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2016-10-07T15:32:34Z</dcterms:modified>
</cp:coreProperties>
</file>