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4" i="1" l="1"/>
  <c r="X165" i="1"/>
  <c r="X166" i="1"/>
  <c r="X167" i="1"/>
  <c r="X168" i="1"/>
  <c r="K163" i="1"/>
  <c r="L163" i="1"/>
  <c r="M163" i="1"/>
  <c r="V163" i="1"/>
  <c r="Y163" i="1"/>
  <c r="Z163" i="1"/>
  <c r="AA163" i="1" s="1"/>
  <c r="AB163" i="1"/>
  <c r="AC163" i="1"/>
  <c r="AD163" i="1"/>
  <c r="T163" i="1" s="1"/>
  <c r="AE163" i="1"/>
  <c r="AF163" i="1"/>
  <c r="AH163" i="1"/>
  <c r="AG163" i="1" l="1"/>
  <c r="X163" i="1"/>
  <c r="P164" i="1"/>
  <c r="X87" i="1"/>
  <c r="X88" i="1"/>
  <c r="X89" i="1"/>
  <c r="X90" i="1"/>
  <c r="U9" i="3"/>
  <c r="AC9" i="3" s="1"/>
  <c r="V9" i="3"/>
  <c r="W9" i="3"/>
  <c r="X9" i="3"/>
  <c r="U34" i="3"/>
  <c r="T34" i="3" s="1"/>
  <c r="V34" i="3"/>
  <c r="W34" i="3"/>
  <c r="X34" i="3"/>
  <c r="AC34" i="3"/>
  <c r="U15" i="3"/>
  <c r="T15" i="3" s="1"/>
  <c r="V15" i="3"/>
  <c r="W15" i="3"/>
  <c r="X15" i="3"/>
  <c r="R19" i="3"/>
  <c r="U19" i="3"/>
  <c r="T19" i="3" s="1"/>
  <c r="V19" i="3"/>
  <c r="W19" i="3"/>
  <c r="X19" i="3"/>
  <c r="AC19" i="3"/>
  <c r="U20" i="3"/>
  <c r="AC20" i="3" s="1"/>
  <c r="V20" i="3"/>
  <c r="W20" i="3"/>
  <c r="X20" i="3"/>
  <c r="U31" i="3"/>
  <c r="T31" i="3" s="1"/>
  <c r="V31" i="3"/>
  <c r="W31" i="3"/>
  <c r="X31" i="3"/>
  <c r="AC31" i="3"/>
  <c r="U21" i="3"/>
  <c r="T21" i="3" s="1"/>
  <c r="V21" i="3"/>
  <c r="W21" i="3"/>
  <c r="X21" i="3"/>
  <c r="S16" i="3"/>
  <c r="U16" i="3"/>
  <c r="T16" i="3" s="1"/>
  <c r="V16" i="3"/>
  <c r="W16" i="3"/>
  <c r="X16" i="3"/>
  <c r="U17" i="3"/>
  <c r="AC17" i="3" s="1"/>
  <c r="V17" i="3"/>
  <c r="W17" i="3"/>
  <c r="Y17" i="3" s="1"/>
  <c r="X17" i="3"/>
  <c r="U35" i="3"/>
  <c r="T35" i="3" s="1"/>
  <c r="V35" i="3"/>
  <c r="W35" i="3"/>
  <c r="X35" i="3"/>
  <c r="AC35" i="3"/>
  <c r="U8" i="3"/>
  <c r="T8" i="3" s="1"/>
  <c r="V8" i="3"/>
  <c r="W8" i="3"/>
  <c r="X8" i="3"/>
  <c r="U22" i="3"/>
  <c r="T22" i="3" s="1"/>
  <c r="V22" i="3"/>
  <c r="W22" i="3"/>
  <c r="X22" i="3"/>
  <c r="AC22" i="3"/>
  <c r="U23" i="3"/>
  <c r="AC23" i="3" s="1"/>
  <c r="V23" i="3"/>
  <c r="W23" i="3"/>
  <c r="X23" i="3"/>
  <c r="U24" i="3"/>
  <c r="T24" i="3" s="1"/>
  <c r="V24" i="3"/>
  <c r="W24" i="3"/>
  <c r="X24" i="3"/>
  <c r="AC24" i="3"/>
  <c r="U12" i="3"/>
  <c r="T12" i="3" s="1"/>
  <c r="V12" i="3"/>
  <c r="W12" i="3"/>
  <c r="X12" i="3"/>
  <c r="U25" i="3"/>
  <c r="T25" i="3" s="1"/>
  <c r="V25" i="3"/>
  <c r="W25" i="3"/>
  <c r="X25" i="3"/>
  <c r="AC25" i="3"/>
  <c r="U18" i="3"/>
  <c r="AC18" i="3" s="1"/>
  <c r="V18" i="3"/>
  <c r="W18" i="3"/>
  <c r="X18" i="3"/>
  <c r="U36" i="3"/>
  <c r="T36" i="3" s="1"/>
  <c r="V36" i="3"/>
  <c r="W36" i="3"/>
  <c r="X36" i="3"/>
  <c r="AC36" i="3"/>
  <c r="U11" i="3"/>
  <c r="T11" i="3" s="1"/>
  <c r="V11" i="3"/>
  <c r="W11" i="3"/>
  <c r="X11" i="3"/>
  <c r="T10" i="3"/>
  <c r="U10" i="3"/>
  <c r="AC10" i="3" s="1"/>
  <c r="V10" i="3"/>
  <c r="W10" i="3"/>
  <c r="X10" i="3"/>
  <c r="U26" i="3"/>
  <c r="AC26" i="3" s="1"/>
  <c r="V26" i="3"/>
  <c r="W26" i="3"/>
  <c r="X26" i="3"/>
  <c r="U13" i="3"/>
  <c r="T13" i="3" s="1"/>
  <c r="V13" i="3"/>
  <c r="W13" i="3"/>
  <c r="X13" i="3"/>
  <c r="AC13" i="3"/>
  <c r="U14" i="3"/>
  <c r="T14" i="3" s="1"/>
  <c r="V14" i="3"/>
  <c r="W14" i="3"/>
  <c r="X14" i="3"/>
  <c r="U29" i="3"/>
  <c r="T29" i="3" s="1"/>
  <c r="V29" i="3"/>
  <c r="W29" i="3"/>
  <c r="X29" i="3"/>
  <c r="AC29" i="3"/>
  <c r="U37" i="3"/>
  <c r="AC37" i="3" s="1"/>
  <c r="V37" i="3"/>
  <c r="W37" i="3"/>
  <c r="X37" i="3"/>
  <c r="U38" i="3"/>
  <c r="T38" i="3" s="1"/>
  <c r="V38" i="3"/>
  <c r="W38" i="3"/>
  <c r="X38" i="3"/>
  <c r="AC38" i="3"/>
  <c r="U39" i="3"/>
  <c r="T39" i="3" s="1"/>
  <c r="V39" i="3"/>
  <c r="W39" i="3"/>
  <c r="X39" i="3"/>
  <c r="U27" i="3"/>
  <c r="T27" i="3" s="1"/>
  <c r="V27" i="3"/>
  <c r="W27" i="3"/>
  <c r="X27" i="3"/>
  <c r="U30" i="3"/>
  <c r="AC30" i="3" s="1"/>
  <c r="V30" i="3"/>
  <c r="W30" i="3"/>
  <c r="X30" i="3"/>
  <c r="U32" i="3"/>
  <c r="T32" i="3" s="1"/>
  <c r="V32" i="3"/>
  <c r="W32" i="3"/>
  <c r="X32" i="3"/>
  <c r="AC32" i="3"/>
  <c r="U40" i="3"/>
  <c r="T40" i="3" s="1"/>
  <c r="V40" i="3"/>
  <c r="W40" i="3"/>
  <c r="X40" i="3"/>
  <c r="U7" i="3"/>
  <c r="T7" i="3" s="1"/>
  <c r="V7" i="3"/>
  <c r="W7" i="3"/>
  <c r="X7" i="3"/>
  <c r="AC7" i="3"/>
  <c r="U28" i="3"/>
  <c r="AC28" i="3" s="1"/>
  <c r="V28" i="3"/>
  <c r="W28" i="3"/>
  <c r="X28" i="3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T16" i="1"/>
  <c r="V16" i="1"/>
  <c r="Y16" i="1"/>
  <c r="Z16" i="1"/>
  <c r="AB16" i="1"/>
  <c r="AC16" i="1"/>
  <c r="AD16" i="1"/>
  <c r="X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X20" i="1"/>
  <c r="Y20" i="1"/>
  <c r="Z20" i="1"/>
  <c r="AB20" i="1"/>
  <c r="AC20" i="1"/>
  <c r="AD20" i="1"/>
  <c r="T20" i="1" s="1"/>
  <c r="AE20" i="1"/>
  <c r="AF20" i="1"/>
  <c r="AG20" i="1"/>
  <c r="K21" i="1"/>
  <c r="L21" i="1"/>
  <c r="M21" i="1"/>
  <c r="P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A24" i="1" s="1"/>
  <c r="AB24" i="1"/>
  <c r="AC24" i="1"/>
  <c r="AD24" i="1"/>
  <c r="X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S9" i="3" s="1"/>
  <c r="Y29" i="1"/>
  <c r="Z29" i="1"/>
  <c r="AB29" i="1"/>
  <c r="AC29" i="1"/>
  <c r="AD29" i="1"/>
  <c r="AG29" i="1" s="1"/>
  <c r="AI29" i="1" s="1"/>
  <c r="AE29" i="1"/>
  <c r="R9" i="3" s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I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S19" i="3" s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S20" i="3" s="1"/>
  <c r="Y41" i="1"/>
  <c r="Z41" i="1"/>
  <c r="AB41" i="1"/>
  <c r="AC41" i="1"/>
  <c r="AD41" i="1"/>
  <c r="AG41" i="1" s="1"/>
  <c r="AI41" i="1" s="1"/>
  <c r="AE41" i="1"/>
  <c r="R20" i="3" s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S21" i="3" s="1"/>
  <c r="Y43" i="1"/>
  <c r="Z43" i="1"/>
  <c r="AB43" i="1"/>
  <c r="AC43" i="1"/>
  <c r="AD43" i="1"/>
  <c r="AE43" i="1"/>
  <c r="R21" i="3" s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I45" i="1" s="1"/>
  <c r="AE45" i="1"/>
  <c r="AF45" i="1"/>
  <c r="K46" i="1"/>
  <c r="L46" i="1"/>
  <c r="M46" i="1"/>
  <c r="N46" i="1" s="1"/>
  <c r="V46" i="1"/>
  <c r="S15" i="3" s="1"/>
  <c r="Y46" i="1"/>
  <c r="Z46" i="1"/>
  <c r="AB46" i="1"/>
  <c r="AC46" i="1"/>
  <c r="AD46" i="1"/>
  <c r="AG46" i="1" s="1"/>
  <c r="AE46" i="1"/>
  <c r="R15" i="3" s="1"/>
  <c r="AF46" i="1"/>
  <c r="K47" i="1"/>
  <c r="L47" i="1"/>
  <c r="M47" i="1"/>
  <c r="N47" i="1" s="1"/>
  <c r="V47" i="1"/>
  <c r="S17" i="3" s="1"/>
  <c r="Y47" i="1"/>
  <c r="Z47" i="1"/>
  <c r="AB47" i="1"/>
  <c r="AC47" i="1"/>
  <c r="AD47" i="1"/>
  <c r="T47" i="1" s="1"/>
  <c r="AE47" i="1"/>
  <c r="R17" i="3" s="1"/>
  <c r="AF47" i="1"/>
  <c r="K48" i="1"/>
  <c r="L48" i="1"/>
  <c r="M48" i="1"/>
  <c r="N48" i="1" s="1"/>
  <c r="V48" i="1"/>
  <c r="S31" i="3" s="1"/>
  <c r="Y48" i="1"/>
  <c r="Z48" i="1"/>
  <c r="AB48" i="1"/>
  <c r="AC48" i="1"/>
  <c r="AD48" i="1"/>
  <c r="AE48" i="1"/>
  <c r="R31" i="3" s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A55" i="1" s="1"/>
  <c r="W55" i="1" s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S8" i="3" s="1"/>
  <c r="Y57" i="1"/>
  <c r="Z57" i="1"/>
  <c r="AB57" i="1"/>
  <c r="AC57" i="1"/>
  <c r="AD57" i="1"/>
  <c r="T57" i="1" s="1"/>
  <c r="AE57" i="1"/>
  <c r="R8" i="3" s="1"/>
  <c r="AF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K59" i="1"/>
  <c r="L59" i="1"/>
  <c r="M59" i="1"/>
  <c r="N59" i="1" s="1"/>
  <c r="V59" i="1"/>
  <c r="Y59" i="1"/>
  <c r="Z59" i="1"/>
  <c r="AA59" i="1" s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S22" i="3" s="1"/>
  <c r="Y65" i="1"/>
  <c r="Z65" i="1"/>
  <c r="AB65" i="1"/>
  <c r="AC65" i="1"/>
  <c r="AD65" i="1"/>
  <c r="T65" i="1" s="1"/>
  <c r="AE65" i="1"/>
  <c r="R22" i="3" s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K70" i="1"/>
  <c r="L70" i="1"/>
  <c r="M70" i="1"/>
  <c r="N70" i="1" s="1"/>
  <c r="T70" i="1"/>
  <c r="V70" i="1"/>
  <c r="Y70" i="1"/>
  <c r="Z70" i="1"/>
  <c r="AB70" i="1"/>
  <c r="AC70" i="1"/>
  <c r="AD70" i="1"/>
  <c r="X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I71" i="1" s="1"/>
  <c r="AE71" i="1"/>
  <c r="AF71" i="1"/>
  <c r="K72" i="1"/>
  <c r="L72" i="1"/>
  <c r="M72" i="1"/>
  <c r="N72" i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S23" i="3" s="1"/>
  <c r="Y73" i="1"/>
  <c r="Z73" i="1"/>
  <c r="AB73" i="1"/>
  <c r="AC73" i="1"/>
  <c r="AD73" i="1"/>
  <c r="T73" i="1" s="1"/>
  <c r="AE73" i="1"/>
  <c r="R23" i="3" s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I75" i="1" s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S12" i="3" s="1"/>
  <c r="Y79" i="1"/>
  <c r="Z79" i="1"/>
  <c r="AB79" i="1"/>
  <c r="AC79" i="1"/>
  <c r="AD79" i="1"/>
  <c r="AG79" i="1" s="1"/>
  <c r="AE79" i="1"/>
  <c r="R12" i="3" s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K85" i="1"/>
  <c r="L85" i="1"/>
  <c r="M85" i="1"/>
  <c r="N85" i="1" s="1"/>
  <c r="V85" i="1"/>
  <c r="S25" i="3" s="1"/>
  <c r="Y85" i="1"/>
  <c r="Z85" i="1"/>
  <c r="AB85" i="1"/>
  <c r="AC85" i="1"/>
  <c r="AD85" i="1"/>
  <c r="T85" i="1" s="1"/>
  <c r="AE85" i="1"/>
  <c r="R25" i="3" s="1"/>
  <c r="AF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S18" i="3" s="1"/>
  <c r="Y95" i="1"/>
  <c r="Z95" i="1"/>
  <c r="AB95" i="1"/>
  <c r="AC95" i="1"/>
  <c r="AD95" i="1"/>
  <c r="AG95" i="1" s="1"/>
  <c r="AE95" i="1"/>
  <c r="R18" i="3" s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S11" i="3" s="1"/>
  <c r="Y101" i="1"/>
  <c r="Z101" i="1"/>
  <c r="AB101" i="1"/>
  <c r="AC101" i="1"/>
  <c r="AD101" i="1"/>
  <c r="T101" i="1" s="1"/>
  <c r="AE101" i="1"/>
  <c r="R11" i="3" s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S26" i="3" s="1"/>
  <c r="Y105" i="1"/>
  <c r="Z105" i="1"/>
  <c r="AB105" i="1"/>
  <c r="AC105" i="1"/>
  <c r="AD105" i="1"/>
  <c r="T105" i="1" s="1"/>
  <c r="AE105" i="1"/>
  <c r="R26" i="3" s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X108" i="1" s="1"/>
  <c r="AE108" i="1"/>
  <c r="AF108" i="1"/>
  <c r="K109" i="1"/>
  <c r="L109" i="1"/>
  <c r="M109" i="1"/>
  <c r="N109" i="1" s="1"/>
  <c r="V109" i="1"/>
  <c r="S13" i="3" s="1"/>
  <c r="Y109" i="1"/>
  <c r="Z109" i="1"/>
  <c r="AB109" i="1"/>
  <c r="AC109" i="1"/>
  <c r="AD109" i="1"/>
  <c r="T109" i="1" s="1"/>
  <c r="AE109" i="1"/>
  <c r="R13" i="3" s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S29" i="3" s="1"/>
  <c r="Y115" i="1"/>
  <c r="Z115" i="1"/>
  <c r="AB115" i="1"/>
  <c r="AC115" i="1"/>
  <c r="AD115" i="1"/>
  <c r="T115" i="1" s="1"/>
  <c r="AE115" i="1"/>
  <c r="R29" i="3" s="1"/>
  <c r="AF115" i="1"/>
  <c r="K116" i="1"/>
  <c r="L116" i="1"/>
  <c r="M116" i="1"/>
  <c r="N116" i="1" s="1"/>
  <c r="V116" i="1"/>
  <c r="Y116" i="1"/>
  <c r="AA116" i="1" s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S14" i="3" s="1"/>
  <c r="Y117" i="1"/>
  <c r="Z117" i="1"/>
  <c r="AB117" i="1"/>
  <c r="AC117" i="1"/>
  <c r="AD117" i="1"/>
  <c r="AE117" i="1"/>
  <c r="R14" i="3" s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S27" i="3" s="1"/>
  <c r="Y121" i="1"/>
  <c r="Z121" i="1"/>
  <c r="AB121" i="1"/>
  <c r="AC121" i="1"/>
  <c r="AD121" i="1"/>
  <c r="AG121" i="1" s="1"/>
  <c r="AE121" i="1"/>
  <c r="R27" i="3" s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S30" i="3" s="1"/>
  <c r="Y123" i="1"/>
  <c r="Z123" i="1"/>
  <c r="AB123" i="1"/>
  <c r="AC123" i="1"/>
  <c r="AD123" i="1"/>
  <c r="T123" i="1" s="1"/>
  <c r="AE123" i="1"/>
  <c r="R30" i="3" s="1"/>
  <c r="AF123" i="1"/>
  <c r="K124" i="1"/>
  <c r="L124" i="1"/>
  <c r="M124" i="1"/>
  <c r="N124" i="1" s="1"/>
  <c r="T124" i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S32" i="3" s="1"/>
  <c r="Y132" i="1"/>
  <c r="Z132" i="1"/>
  <c r="AB132" i="1"/>
  <c r="AC132" i="1"/>
  <c r="AD132" i="1"/>
  <c r="AG132" i="1" s="1"/>
  <c r="AE132" i="1"/>
  <c r="R32" i="3" s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S7" i="3" s="1"/>
  <c r="Y137" i="1"/>
  <c r="Z137" i="1"/>
  <c r="AB137" i="1"/>
  <c r="AC137" i="1"/>
  <c r="AD137" i="1"/>
  <c r="AG137" i="1" s="1"/>
  <c r="AE137" i="1"/>
  <c r="R7" i="3" s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X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I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K236" i="1"/>
  <c r="L236" i="1"/>
  <c r="M236" i="1"/>
  <c r="N236" i="1" s="1"/>
  <c r="V236" i="1"/>
  <c r="S40" i="3" s="1"/>
  <c r="Y236" i="1"/>
  <c r="Z236" i="1"/>
  <c r="AB236" i="1"/>
  <c r="AC236" i="1"/>
  <c r="AD236" i="1"/>
  <c r="AG236" i="1" s="1"/>
  <c r="AE236" i="1"/>
  <c r="R40" i="3" s="1"/>
  <c r="AF236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K241" i="1"/>
  <c r="L241" i="1"/>
  <c r="M241" i="1"/>
  <c r="N241" i="1" s="1"/>
  <c r="V241" i="1"/>
  <c r="S37" i="3" s="1"/>
  <c r="Y241" i="1"/>
  <c r="Z241" i="1"/>
  <c r="AB241" i="1"/>
  <c r="AC241" i="1"/>
  <c r="AD241" i="1"/>
  <c r="T241" i="1" s="1"/>
  <c r="AE241" i="1"/>
  <c r="R37" i="3" s="1"/>
  <c r="AF241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4" i="1"/>
  <c r="L164" i="1"/>
  <c r="M164" i="1"/>
  <c r="V164" i="1"/>
  <c r="S34" i="3" s="1"/>
  <c r="Y164" i="1"/>
  <c r="Z164" i="1"/>
  <c r="AB164" i="1"/>
  <c r="AC164" i="1"/>
  <c r="AD164" i="1"/>
  <c r="AG164" i="1" s="1"/>
  <c r="AE164" i="1"/>
  <c r="R34" i="3" s="1"/>
  <c r="AF164" i="1"/>
  <c r="K165" i="1"/>
  <c r="L165" i="1"/>
  <c r="M165" i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S35" i="3" s="1"/>
  <c r="Y173" i="1"/>
  <c r="Z173" i="1"/>
  <c r="AB173" i="1"/>
  <c r="AC173" i="1"/>
  <c r="AD173" i="1"/>
  <c r="T173" i="1" s="1"/>
  <c r="AE173" i="1"/>
  <c r="R35" i="3" s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AA181" i="1" s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A194" i="1" s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G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K199" i="1"/>
  <c r="L199" i="1"/>
  <c r="M199" i="1"/>
  <c r="N199" i="1" s="1"/>
  <c r="V199" i="1"/>
  <c r="Y199" i="1"/>
  <c r="Z199" i="1"/>
  <c r="AA199" i="1" s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202" i="1"/>
  <c r="L202" i="1"/>
  <c r="M202" i="1"/>
  <c r="N202" i="1" s="1"/>
  <c r="V202" i="1"/>
  <c r="X202" i="1"/>
  <c r="Y202" i="1"/>
  <c r="Z202" i="1"/>
  <c r="AA202" i="1" s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G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K207" i="1"/>
  <c r="L207" i="1"/>
  <c r="M207" i="1"/>
  <c r="N207" i="1" s="1"/>
  <c r="V207" i="1"/>
  <c r="Y207" i="1"/>
  <c r="Z207" i="1"/>
  <c r="AA207" i="1" s="1"/>
  <c r="AB207" i="1"/>
  <c r="AC207" i="1"/>
  <c r="AD207" i="1"/>
  <c r="AG207" i="1" s="1"/>
  <c r="AE207" i="1"/>
  <c r="AF20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S36" i="3" s="1"/>
  <c r="Y222" i="1"/>
  <c r="Z222" i="1"/>
  <c r="AA222" i="1" s="1"/>
  <c r="AB222" i="1"/>
  <c r="AC222" i="1"/>
  <c r="AD222" i="1"/>
  <c r="AG222" i="1" s="1"/>
  <c r="AE222" i="1"/>
  <c r="R36" i="3" s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I163" i="1" l="1"/>
  <c r="U163" i="1"/>
  <c r="S163" i="1" s="1"/>
  <c r="W163" i="1"/>
  <c r="Y30" i="3"/>
  <c r="Y27" i="3"/>
  <c r="AG184" i="1"/>
  <c r="AG160" i="1"/>
  <c r="AA214" i="1"/>
  <c r="T156" i="1"/>
  <c r="U156" i="1" s="1"/>
  <c r="S156" i="1" s="1"/>
  <c r="AA141" i="1"/>
  <c r="W141" i="1" s="1"/>
  <c r="T141" i="1"/>
  <c r="T140" i="1"/>
  <c r="T108" i="1"/>
  <c r="T107" i="1"/>
  <c r="AI104" i="1"/>
  <c r="AA104" i="1"/>
  <c r="AI96" i="1"/>
  <c r="X92" i="1"/>
  <c r="AI59" i="1"/>
  <c r="AA56" i="1"/>
  <c r="X44" i="1"/>
  <c r="AG40" i="1"/>
  <c r="AG39" i="1"/>
  <c r="AA37" i="1"/>
  <c r="W37" i="1" s="1"/>
  <c r="X32" i="1"/>
  <c r="AI204" i="1"/>
  <c r="AA196" i="1"/>
  <c r="AA188" i="1"/>
  <c r="AI112" i="1"/>
  <c r="AA108" i="1"/>
  <c r="AA102" i="1"/>
  <c r="AA90" i="1"/>
  <c r="AA73" i="1"/>
  <c r="AI63" i="1"/>
  <c r="Y8" i="3"/>
  <c r="AA228" i="1"/>
  <c r="AA226" i="1"/>
  <c r="AI217" i="1"/>
  <c r="AA216" i="1"/>
  <c r="AA143" i="1"/>
  <c r="AA135" i="1"/>
  <c r="AA126" i="1"/>
  <c r="AA113" i="1"/>
  <c r="AA95" i="1"/>
  <c r="AI83" i="1"/>
  <c r="AA79" i="1"/>
  <c r="W79" i="1" s="1"/>
  <c r="AA68" i="1"/>
  <c r="AA42" i="1"/>
  <c r="AA41" i="1"/>
  <c r="W41" i="1" s="1"/>
  <c r="T24" i="1"/>
  <c r="AA14" i="1"/>
  <c r="S24" i="3"/>
  <c r="Y7" i="3"/>
  <c r="Y11" i="3"/>
  <c r="Y37" i="3"/>
  <c r="Y25" i="3"/>
  <c r="Y20" i="3"/>
  <c r="AC27" i="3"/>
  <c r="Y38" i="3"/>
  <c r="Y26" i="3"/>
  <c r="Y10" i="3"/>
  <c r="Y22" i="3"/>
  <c r="Y16" i="3"/>
  <c r="Y19" i="3"/>
  <c r="AA177" i="1"/>
  <c r="W177" i="1" s="1"/>
  <c r="AA175" i="1"/>
  <c r="AA172" i="1"/>
  <c r="W172" i="1" s="1"/>
  <c r="T165" i="1"/>
  <c r="AA241" i="1"/>
  <c r="AA122" i="1"/>
  <c r="X54" i="1"/>
  <c r="U160" i="1"/>
  <c r="S160" i="1" s="1"/>
  <c r="T58" i="1"/>
  <c r="AA165" i="1"/>
  <c r="AA235" i="1"/>
  <c r="W235" i="1" s="1"/>
  <c r="AA231" i="1"/>
  <c r="AA150" i="1"/>
  <c r="AA117" i="1"/>
  <c r="AA105" i="1"/>
  <c r="AA97" i="1"/>
  <c r="AA93" i="1"/>
  <c r="AA82" i="1"/>
  <c r="AA71" i="1"/>
  <c r="W71" i="1" s="1"/>
  <c r="AA57" i="1"/>
  <c r="AA45" i="1"/>
  <c r="W45" i="1" s="1"/>
  <c r="S39" i="3"/>
  <c r="S38" i="3"/>
  <c r="S10" i="3"/>
  <c r="AA224" i="1"/>
  <c r="AA219" i="1"/>
  <c r="AA203" i="1"/>
  <c r="X201" i="1"/>
  <c r="AA198" i="1"/>
  <c r="AG182" i="1"/>
  <c r="AI182" i="1" s="1"/>
  <c r="X182" i="1"/>
  <c r="AG167" i="1"/>
  <c r="AI167" i="1" s="1"/>
  <c r="AA234" i="1"/>
  <c r="W234" i="1" s="1"/>
  <c r="AA157" i="1"/>
  <c r="W157" i="1" s="1"/>
  <c r="T157" i="1"/>
  <c r="AA142" i="1"/>
  <c r="AA134" i="1"/>
  <c r="AA127" i="1"/>
  <c r="X125" i="1"/>
  <c r="AA118" i="1"/>
  <c r="AG100" i="1"/>
  <c r="U100" i="1" s="1"/>
  <c r="S100" i="1" s="1"/>
  <c r="AA89" i="1"/>
  <c r="AI46" i="1"/>
  <c r="AA44" i="1"/>
  <c r="AA29" i="1"/>
  <c r="AG19" i="1"/>
  <c r="R39" i="3"/>
  <c r="R38" i="3"/>
  <c r="R10" i="3"/>
  <c r="R24" i="3"/>
  <c r="R16" i="3"/>
  <c r="T240" i="1"/>
  <c r="U240" i="1" s="1"/>
  <c r="S240" i="1" s="1"/>
  <c r="W104" i="1"/>
  <c r="AA96" i="1"/>
  <c r="T87" i="1"/>
  <c r="T86" i="1"/>
  <c r="X82" i="1"/>
  <c r="AG74" i="1"/>
  <c r="X74" i="1"/>
  <c r="AG70" i="1"/>
  <c r="U70" i="1" s="1"/>
  <c r="S70" i="1" s="1"/>
  <c r="T54" i="1"/>
  <c r="AG44" i="1"/>
  <c r="X29" i="1"/>
  <c r="AA17" i="1"/>
  <c r="W17" i="1" s="1"/>
  <c r="S28" i="3"/>
  <c r="X220" i="1"/>
  <c r="AA206" i="1"/>
  <c r="AA200" i="1"/>
  <c r="W200" i="1" s="1"/>
  <c r="AA195" i="1"/>
  <c r="W195" i="1" s="1"/>
  <c r="X190" i="1"/>
  <c r="AA186" i="1"/>
  <c r="W186" i="1" s="1"/>
  <c r="AG181" i="1"/>
  <c r="W181" i="1" s="1"/>
  <c r="X181" i="1"/>
  <c r="AA178" i="1"/>
  <c r="AA173" i="1"/>
  <c r="AA240" i="1"/>
  <c r="W240" i="1" s="1"/>
  <c r="AA238" i="1"/>
  <c r="T234" i="1"/>
  <c r="AA212" i="1"/>
  <c r="AA159" i="1"/>
  <c r="X157" i="1"/>
  <c r="AA151" i="1"/>
  <c r="AA131" i="1"/>
  <c r="AA130" i="1"/>
  <c r="AA125" i="1"/>
  <c r="W125" i="1" s="1"/>
  <c r="T125" i="1"/>
  <c r="X119" i="1"/>
  <c r="AA112" i="1"/>
  <c r="W112" i="1" s="1"/>
  <c r="X104" i="1"/>
  <c r="AA101" i="1"/>
  <c r="X96" i="1"/>
  <c r="AA92" i="1"/>
  <c r="AG88" i="1"/>
  <c r="AI88" i="1" s="1"/>
  <c r="AA87" i="1"/>
  <c r="W87" i="1" s="1"/>
  <c r="AA85" i="1"/>
  <c r="AA83" i="1"/>
  <c r="W83" i="1" s="1"/>
  <c r="AA80" i="1"/>
  <c r="AA67" i="1"/>
  <c r="W67" i="1" s="1"/>
  <c r="X59" i="1"/>
  <c r="X48" i="1"/>
  <c r="AG31" i="1"/>
  <c r="U31" i="1" s="1"/>
  <c r="S31" i="1" s="1"/>
  <c r="AG28" i="1"/>
  <c r="AG27" i="1"/>
  <c r="AI27" i="1" s="1"/>
  <c r="AA25" i="1"/>
  <c r="W25" i="1" s="1"/>
  <c r="AG21" i="1"/>
  <c r="U21" i="1" s="1"/>
  <c r="X21" i="1"/>
  <c r="R28" i="3"/>
  <c r="Y28" i="3"/>
  <c r="Y39" i="3"/>
  <c r="Y18" i="3"/>
  <c r="Y31" i="3"/>
  <c r="Y29" i="3"/>
  <c r="Y36" i="3"/>
  <c r="Y15" i="3"/>
  <c r="AC16" i="3"/>
  <c r="Y9" i="3"/>
  <c r="Y32" i="3"/>
  <c r="Y13" i="3"/>
  <c r="Y24" i="3"/>
  <c r="Y21" i="3"/>
  <c r="Y40" i="3"/>
  <c r="Y14" i="3"/>
  <c r="Y12" i="3"/>
  <c r="Y35" i="3"/>
  <c r="Y34" i="3"/>
  <c r="Y23" i="3"/>
  <c r="T28" i="3"/>
  <c r="AC40" i="3"/>
  <c r="T30" i="3"/>
  <c r="AC39" i="3"/>
  <c r="T37" i="3"/>
  <c r="AC14" i="3"/>
  <c r="T26" i="3"/>
  <c r="AC11" i="3"/>
  <c r="T18" i="3"/>
  <c r="AC12" i="3"/>
  <c r="T23" i="3"/>
  <c r="AC8" i="3"/>
  <c r="T17" i="3"/>
  <c r="AC21" i="3"/>
  <c r="T20" i="3"/>
  <c r="AC15" i="3"/>
  <c r="T9" i="3"/>
  <c r="X221" i="1"/>
  <c r="AG175" i="1"/>
  <c r="U175" i="1" s="1"/>
  <c r="AG171" i="1"/>
  <c r="AI171" i="1" s="1"/>
  <c r="AA162" i="1"/>
  <c r="AA243" i="1"/>
  <c r="AG212" i="1"/>
  <c r="AI212" i="1" s="1"/>
  <c r="AA154" i="1"/>
  <c r="AA138" i="1"/>
  <c r="X83" i="1"/>
  <c r="AA75" i="1"/>
  <c r="W75" i="1" s="1"/>
  <c r="AA63" i="1"/>
  <c r="W63" i="1" s="1"/>
  <c r="AG61" i="1"/>
  <c r="AI61" i="1" s="1"/>
  <c r="AI55" i="1"/>
  <c r="AG192" i="1"/>
  <c r="AI192" i="1" s="1"/>
  <c r="AG200" i="1"/>
  <c r="U200" i="1" s="1"/>
  <c r="S200" i="1" s="1"/>
  <c r="AG188" i="1"/>
  <c r="AI188" i="1" s="1"/>
  <c r="AG173" i="1"/>
  <c r="AG162" i="1"/>
  <c r="AI162" i="1" s="1"/>
  <c r="AG239" i="1"/>
  <c r="AI239" i="1" s="1"/>
  <c r="AA236" i="1"/>
  <c r="W236" i="1" s="1"/>
  <c r="AA210" i="1"/>
  <c r="AG154" i="1"/>
  <c r="U154" i="1" s="1"/>
  <c r="S154" i="1" s="1"/>
  <c r="AA152" i="1"/>
  <c r="AA146" i="1"/>
  <c r="AG138" i="1"/>
  <c r="AI138" i="1" s="1"/>
  <c r="AA136" i="1"/>
  <c r="AG122" i="1"/>
  <c r="AI122" i="1" s="1"/>
  <c r="AA120" i="1"/>
  <c r="AG116" i="1"/>
  <c r="AI116" i="1" s="1"/>
  <c r="AG108" i="1"/>
  <c r="W108" i="1" s="1"/>
  <c r="AG86" i="1"/>
  <c r="W86" i="1" s="1"/>
  <c r="AI79" i="1"/>
  <c r="X75" i="1"/>
  <c r="AG73" i="1"/>
  <c r="U73" i="1" s="1"/>
  <c r="S73" i="1" s="1"/>
  <c r="X71" i="1"/>
  <c r="AI67" i="1"/>
  <c r="X63" i="1"/>
  <c r="AG58" i="1"/>
  <c r="AA49" i="1"/>
  <c r="AA48" i="1"/>
  <c r="AA46" i="1"/>
  <c r="X45" i="1"/>
  <c r="AG43" i="1"/>
  <c r="AI43" i="1" s="1"/>
  <c r="AA40" i="1"/>
  <c r="W40" i="1" s="1"/>
  <c r="AI37" i="1"/>
  <c r="AA32" i="1"/>
  <c r="AI25" i="1"/>
  <c r="AA16" i="1"/>
  <c r="AG224" i="1"/>
  <c r="AI224" i="1" s="1"/>
  <c r="AA221" i="1"/>
  <c r="W221" i="1" s="1"/>
  <c r="AG219" i="1"/>
  <c r="AI196" i="1"/>
  <c r="X194" i="1"/>
  <c r="X193" i="1"/>
  <c r="AA192" i="1"/>
  <c r="W192" i="1" s="1"/>
  <c r="AA191" i="1"/>
  <c r="AA190" i="1"/>
  <c r="X186" i="1"/>
  <c r="X185" i="1"/>
  <c r="AA184" i="1"/>
  <c r="W184" i="1" s="1"/>
  <c r="T172" i="1"/>
  <c r="U172" i="1" s="1"/>
  <c r="S172" i="1" s="1"/>
  <c r="AA170" i="1"/>
  <c r="AA169" i="1"/>
  <c r="W169" i="1" s="1"/>
  <c r="AA168" i="1"/>
  <c r="T168" i="1"/>
  <c r="U168" i="1" s="1"/>
  <c r="S168" i="1" s="1"/>
  <c r="AA160" i="1"/>
  <c r="W160" i="1" s="1"/>
  <c r="AG241" i="1"/>
  <c r="AI241" i="1" s="1"/>
  <c r="U234" i="1"/>
  <c r="AA230" i="1"/>
  <c r="AA225" i="1"/>
  <c r="AA218" i="1"/>
  <c r="AA215" i="1"/>
  <c r="AG210" i="1"/>
  <c r="AA208" i="1"/>
  <c r="W208" i="1" s="1"/>
  <c r="AA148" i="1"/>
  <c r="W148" i="1" s="1"/>
  <c r="AG146" i="1"/>
  <c r="AA144" i="1"/>
  <c r="AA132" i="1"/>
  <c r="W132" i="1" s="1"/>
  <c r="AG130" i="1"/>
  <c r="AA128" i="1"/>
  <c r="AA110" i="1"/>
  <c r="AA106" i="1"/>
  <c r="X100" i="1"/>
  <c r="T95" i="1"/>
  <c r="AA88" i="1"/>
  <c r="W88" i="1" s="1"/>
  <c r="X78" i="1"/>
  <c r="AA74" i="1"/>
  <c r="X66" i="1"/>
  <c r="X62" i="1"/>
  <c r="AA62" i="1"/>
  <c r="AI50" i="1"/>
  <c r="AA50" i="1"/>
  <c r="X40" i="1"/>
  <c r="AA38" i="1"/>
  <c r="X36" i="1"/>
  <c r="AA34" i="1"/>
  <c r="X28" i="1"/>
  <c r="AA26" i="1"/>
  <c r="AA21" i="1"/>
  <c r="AA18" i="1"/>
  <c r="X17" i="1"/>
  <c r="AA187" i="1"/>
  <c r="W187" i="1" s="1"/>
  <c r="AA180" i="1"/>
  <c r="W165" i="1"/>
  <c r="W116" i="1"/>
  <c r="AA33" i="1"/>
  <c r="W29" i="1"/>
  <c r="AI221" i="1"/>
  <c r="W194" i="1"/>
  <c r="W202" i="1"/>
  <c r="T206" i="1"/>
  <c r="T198" i="1"/>
  <c r="T190" i="1"/>
  <c r="AA223" i="1"/>
  <c r="AA220" i="1"/>
  <c r="T220" i="1"/>
  <c r="AG206" i="1"/>
  <c r="AG205" i="1"/>
  <c r="U205" i="1" s="1"/>
  <c r="S205" i="1" s="1"/>
  <c r="X205" i="1"/>
  <c r="AA201" i="1"/>
  <c r="T201" i="1"/>
  <c r="AG198" i="1"/>
  <c r="AI198" i="1" s="1"/>
  <c r="AG197" i="1"/>
  <c r="U197" i="1" s="1"/>
  <c r="S197" i="1" s="1"/>
  <c r="X197" i="1"/>
  <c r="AA193" i="1"/>
  <c r="T193" i="1"/>
  <c r="AG190" i="1"/>
  <c r="AG189" i="1"/>
  <c r="U189" i="1" s="1"/>
  <c r="S189" i="1" s="1"/>
  <c r="X189" i="1"/>
  <c r="AA185" i="1"/>
  <c r="T185" i="1"/>
  <c r="T179" i="1"/>
  <c r="AG179" i="1"/>
  <c r="AA179" i="1"/>
  <c r="W196" i="1"/>
  <c r="T194" i="1"/>
  <c r="U194" i="1" s="1"/>
  <c r="S194" i="1" s="1"/>
  <c r="T186" i="1"/>
  <c r="U186" i="1" s="1"/>
  <c r="S186" i="1" s="1"/>
  <c r="AI184" i="1"/>
  <c r="T221" i="1"/>
  <c r="U221" i="1" s="1"/>
  <c r="S221" i="1" s="1"/>
  <c r="W204" i="1"/>
  <c r="T202" i="1"/>
  <c r="U202" i="1" s="1"/>
  <c r="S202" i="1" s="1"/>
  <c r="AG220" i="1"/>
  <c r="AA205" i="1"/>
  <c r="AG201" i="1"/>
  <c r="AA197" i="1"/>
  <c r="W197" i="1" s="1"/>
  <c r="AG193" i="1"/>
  <c r="AA189" i="1"/>
  <c r="AG185" i="1"/>
  <c r="AA182" i="1"/>
  <c r="X180" i="1"/>
  <c r="T180" i="1"/>
  <c r="AI169" i="1"/>
  <c r="AA183" i="1"/>
  <c r="W183" i="1" s="1"/>
  <c r="AA176" i="1"/>
  <c r="W176" i="1" s="1"/>
  <c r="T176" i="1"/>
  <c r="X172" i="1"/>
  <c r="AA167" i="1"/>
  <c r="W167" i="1" s="1"/>
  <c r="U165" i="1"/>
  <c r="AA164" i="1"/>
  <c r="W164" i="1" s="1"/>
  <c r="T164" i="1"/>
  <c r="U164" i="1" s="1"/>
  <c r="S164" i="1" s="1"/>
  <c r="AA161" i="1"/>
  <c r="X240" i="1"/>
  <c r="AA233" i="1"/>
  <c r="AG232" i="1"/>
  <c r="AI179" i="1" s="1"/>
  <c r="X231" i="1"/>
  <c r="AG230" i="1"/>
  <c r="AI230" i="1" s="1"/>
  <c r="AA229" i="1"/>
  <c r="AI175" i="1"/>
  <c r="T217" i="1"/>
  <c r="U217" i="1" s="1"/>
  <c r="S217" i="1" s="1"/>
  <c r="AG214" i="1"/>
  <c r="U214" i="1" s="1"/>
  <c r="S214" i="1" s="1"/>
  <c r="AA213" i="1"/>
  <c r="W213" i="1" s="1"/>
  <c r="T213" i="1"/>
  <c r="U213" i="1" s="1"/>
  <c r="S213" i="1" s="1"/>
  <c r="X209" i="1"/>
  <c r="AG208" i="1"/>
  <c r="AI208" i="1" s="1"/>
  <c r="AG158" i="1"/>
  <c r="AI158" i="1" s="1"/>
  <c r="AA156" i="1"/>
  <c r="W156" i="1" s="1"/>
  <c r="AA155" i="1"/>
  <c r="AA153" i="1"/>
  <c r="W153" i="1" s="1"/>
  <c r="T153" i="1"/>
  <c r="T148" i="1"/>
  <c r="X145" i="1"/>
  <c r="AG144" i="1"/>
  <c r="W144" i="1" s="1"/>
  <c r="AG142" i="1"/>
  <c r="AI142" i="1" s="1"/>
  <c r="AA140" i="1"/>
  <c r="W140" i="1" s="1"/>
  <c r="AA139" i="1"/>
  <c r="AA137" i="1"/>
  <c r="W137" i="1" s="1"/>
  <c r="T137" i="1"/>
  <c r="T132" i="1"/>
  <c r="X129" i="1"/>
  <c r="AG128" i="1"/>
  <c r="W128" i="1" s="1"/>
  <c r="AG126" i="1"/>
  <c r="AI126" i="1" s="1"/>
  <c r="AA124" i="1"/>
  <c r="W124" i="1" s="1"/>
  <c r="AA123" i="1"/>
  <c r="AA121" i="1"/>
  <c r="T121" i="1"/>
  <c r="X116" i="1"/>
  <c r="AG115" i="1"/>
  <c r="AI115" i="1" s="1"/>
  <c r="X112" i="1"/>
  <c r="AA111" i="1"/>
  <c r="T103" i="1"/>
  <c r="U103" i="1" s="1"/>
  <c r="S103" i="1" s="1"/>
  <c r="AA100" i="1"/>
  <c r="W100" i="1" s="1"/>
  <c r="AG99" i="1"/>
  <c r="AI99" i="1" s="1"/>
  <c r="U95" i="1"/>
  <c r="AI17" i="1"/>
  <c r="AA174" i="1"/>
  <c r="T169" i="1"/>
  <c r="U169" i="1" s="1"/>
  <c r="S169" i="1" s="1"/>
  <c r="AA244" i="1"/>
  <c r="T244" i="1"/>
  <c r="AA242" i="1"/>
  <c r="AA237" i="1"/>
  <c r="T235" i="1"/>
  <c r="AA217" i="1"/>
  <c r="W217" i="1" s="1"/>
  <c r="T216" i="1"/>
  <c r="U216" i="1" s="1"/>
  <c r="S216" i="1" s="1"/>
  <c r="W212" i="1"/>
  <c r="AA149" i="1"/>
  <c r="T149" i="1"/>
  <c r="AA133" i="1"/>
  <c r="T133" i="1"/>
  <c r="U133" i="1" s="1"/>
  <c r="S133" i="1" s="1"/>
  <c r="AA103" i="1"/>
  <c r="W96" i="1"/>
  <c r="W46" i="1"/>
  <c r="T177" i="1"/>
  <c r="U177" i="1" s="1"/>
  <c r="S177" i="1" s="1"/>
  <c r="X176" i="1"/>
  <c r="U173" i="1"/>
  <c r="S173" i="1" s="1"/>
  <c r="AI183" i="1"/>
  <c r="AI181" i="1"/>
  <c r="W231" i="1"/>
  <c r="T231" i="1"/>
  <c r="AG228" i="1"/>
  <c r="AA227" i="1"/>
  <c r="W227" i="1" s="1"/>
  <c r="AG226" i="1"/>
  <c r="AI173" i="1" s="1"/>
  <c r="AG218" i="1"/>
  <c r="AI218" i="1" s="1"/>
  <c r="W216" i="1"/>
  <c r="X213" i="1"/>
  <c r="AA211" i="1"/>
  <c r="AA209" i="1"/>
  <c r="T209" i="1"/>
  <c r="X153" i="1"/>
  <c r="AG152" i="1"/>
  <c r="AG150" i="1"/>
  <c r="AA147" i="1"/>
  <c r="AA145" i="1"/>
  <c r="W145" i="1" s="1"/>
  <c r="T145" i="1"/>
  <c r="X137" i="1"/>
  <c r="AG136" i="1"/>
  <c r="W136" i="1" s="1"/>
  <c r="AG134" i="1"/>
  <c r="AA129" i="1"/>
  <c r="T129" i="1"/>
  <c r="U129" i="1" s="1"/>
  <c r="S129" i="1" s="1"/>
  <c r="X121" i="1"/>
  <c r="AG120" i="1"/>
  <c r="W120" i="1" s="1"/>
  <c r="T112" i="1"/>
  <c r="U112" i="1" s="1"/>
  <c r="S112" i="1" s="1"/>
  <c r="AA109" i="1"/>
  <c r="AI100" i="1"/>
  <c r="AA171" i="1"/>
  <c r="W171" i="1" s="1"/>
  <c r="AA166" i="1"/>
  <c r="X244" i="1"/>
  <c r="AG243" i="1"/>
  <c r="W243" i="1" s="1"/>
  <c r="AA239" i="1"/>
  <c r="AG237" i="1"/>
  <c r="AI237" i="1" s="1"/>
  <c r="X237" i="1"/>
  <c r="AA232" i="1"/>
  <c r="X149" i="1"/>
  <c r="X133" i="1"/>
  <c r="U116" i="1"/>
  <c r="S116" i="1" s="1"/>
  <c r="U115" i="1"/>
  <c r="S115" i="1" s="1"/>
  <c r="T111" i="1"/>
  <c r="U111" i="1" s="1"/>
  <c r="S111" i="1" s="1"/>
  <c r="T104" i="1"/>
  <c r="U104" i="1" s="1"/>
  <c r="S104" i="1" s="1"/>
  <c r="W95" i="1"/>
  <c r="AA98" i="1"/>
  <c r="T79" i="1"/>
  <c r="U79" i="1" s="1"/>
  <c r="S79" i="1" s="1"/>
  <c r="AA77" i="1"/>
  <c r="AA76" i="1"/>
  <c r="W74" i="1"/>
  <c r="T67" i="1"/>
  <c r="U67" i="1" s="1"/>
  <c r="S67" i="1" s="1"/>
  <c r="AA64" i="1"/>
  <c r="T62" i="1"/>
  <c r="AA53" i="1"/>
  <c r="AA52" i="1"/>
  <c r="AA47" i="1"/>
  <c r="W47" i="1" s="1"/>
  <c r="X41" i="1"/>
  <c r="AA35" i="1"/>
  <c r="T33" i="1"/>
  <c r="U33" i="1" s="1"/>
  <c r="S33" i="1" s="1"/>
  <c r="T32" i="1"/>
  <c r="AA30" i="1"/>
  <c r="AA22" i="1"/>
  <c r="AA15" i="1"/>
  <c r="T92" i="1"/>
  <c r="T82" i="1"/>
  <c r="U74" i="1"/>
  <c r="S74" i="1" s="1"/>
  <c r="T55" i="1"/>
  <c r="U55" i="1" s="1"/>
  <c r="S55" i="1" s="1"/>
  <c r="W50" i="1"/>
  <c r="T48" i="1"/>
  <c r="U44" i="1"/>
  <c r="T37" i="1"/>
  <c r="U37" i="1" s="1"/>
  <c r="S37" i="1" s="1"/>
  <c r="U28" i="1"/>
  <c r="S28" i="1" s="1"/>
  <c r="T25" i="1"/>
  <c r="U25" i="1" s="1"/>
  <c r="S25" i="1" s="1"/>
  <c r="T96" i="1"/>
  <c r="U96" i="1" s="1"/>
  <c r="S96" i="1" s="1"/>
  <c r="AG92" i="1"/>
  <c r="AG91" i="1"/>
  <c r="AG82" i="1"/>
  <c r="X79" i="1"/>
  <c r="AA78" i="1"/>
  <c r="AG77" i="1"/>
  <c r="U77" i="1" s="1"/>
  <c r="S77" i="1" s="1"/>
  <c r="T71" i="1"/>
  <c r="U71" i="1" s="1"/>
  <c r="S71" i="1" s="1"/>
  <c r="X67" i="1"/>
  <c r="AA66" i="1"/>
  <c r="AG65" i="1"/>
  <c r="AG62" i="1"/>
  <c r="W62" i="1" s="1"/>
  <c r="T59" i="1"/>
  <c r="U59" i="1" s="1"/>
  <c r="S59" i="1" s="1"/>
  <c r="AA54" i="1"/>
  <c r="AG53" i="1"/>
  <c r="AG48" i="1"/>
  <c r="AI48" i="1" s="1"/>
  <c r="AG47" i="1"/>
  <c r="AI47" i="1" s="1"/>
  <c r="X47" i="1"/>
  <c r="T41" i="1"/>
  <c r="U41" i="1" s="1"/>
  <c r="S41" i="1" s="1"/>
  <c r="AA36" i="1"/>
  <c r="AG35" i="1"/>
  <c r="U35" i="1" s="1"/>
  <c r="S35" i="1" s="1"/>
  <c r="X33" i="1"/>
  <c r="AG32" i="1"/>
  <c r="AG23" i="1"/>
  <c r="U23" i="1" s="1"/>
  <c r="S23" i="1" s="1"/>
  <c r="T17" i="1"/>
  <c r="U17" i="1" s="1"/>
  <c r="S17" i="1" s="1"/>
  <c r="AG15" i="1"/>
  <c r="U15" i="1" s="1"/>
  <c r="S15" i="1" s="1"/>
  <c r="AA107" i="1"/>
  <c r="W107" i="1" s="1"/>
  <c r="AA99" i="1"/>
  <c r="AA94" i="1"/>
  <c r="AI87" i="1"/>
  <c r="AA86" i="1"/>
  <c r="AG85" i="1"/>
  <c r="T83" i="1"/>
  <c r="U83" i="1" s="1"/>
  <c r="S83" i="1" s="1"/>
  <c r="AG78" i="1"/>
  <c r="U78" i="1" s="1"/>
  <c r="S78" i="1" s="1"/>
  <c r="T75" i="1"/>
  <c r="AA72" i="1"/>
  <c r="AA70" i="1"/>
  <c r="AG69" i="1"/>
  <c r="U69" i="1" s="1"/>
  <c r="S69" i="1" s="1"/>
  <c r="AG66" i="1"/>
  <c r="T63" i="1"/>
  <c r="U63" i="1" s="1"/>
  <c r="S63" i="1" s="1"/>
  <c r="AA61" i="1"/>
  <c r="AA60" i="1"/>
  <c r="AA58" i="1"/>
  <c r="AG57" i="1"/>
  <c r="U57" i="1" s="1"/>
  <c r="S57" i="1" s="1"/>
  <c r="X55" i="1"/>
  <c r="AG54" i="1"/>
  <c r="AI54" i="1" s="1"/>
  <c r="T45" i="1"/>
  <c r="U45" i="1" s="1"/>
  <c r="S45" i="1" s="1"/>
  <c r="U39" i="1"/>
  <c r="S39" i="1" s="1"/>
  <c r="X37" i="1"/>
  <c r="AG36" i="1"/>
  <c r="U36" i="1" s="1"/>
  <c r="S36" i="1" s="1"/>
  <c r="AA31" i="1"/>
  <c r="W31" i="1" s="1"/>
  <c r="T29" i="1"/>
  <c r="U29" i="1" s="1"/>
  <c r="S29" i="1" s="1"/>
  <c r="AA28" i="1"/>
  <c r="X25" i="1"/>
  <c r="AG24" i="1"/>
  <c r="W24" i="1" s="1"/>
  <c r="AA20" i="1"/>
  <c r="W20" i="1" s="1"/>
  <c r="U19" i="1"/>
  <c r="AG16" i="1"/>
  <c r="U16" i="1" s="1"/>
  <c r="S16" i="1" s="1"/>
  <c r="AI222" i="1"/>
  <c r="W222" i="1"/>
  <c r="W203" i="1"/>
  <c r="U184" i="1"/>
  <c r="S184" i="1" s="1"/>
  <c r="AI234" i="1"/>
  <c r="W207" i="1"/>
  <c r="U204" i="1"/>
  <c r="S204" i="1" s="1"/>
  <c r="W199" i="1"/>
  <c r="U196" i="1"/>
  <c r="S196" i="1" s="1"/>
  <c r="W191" i="1"/>
  <c r="U188" i="1"/>
  <c r="S188" i="1" s="1"/>
  <c r="X222" i="1"/>
  <c r="T222" i="1"/>
  <c r="U222" i="1" s="1"/>
  <c r="S222" i="1" s="1"/>
  <c r="X207" i="1"/>
  <c r="T207" i="1"/>
  <c r="U207" i="1" s="1"/>
  <c r="S207" i="1" s="1"/>
  <c r="AI235" i="1"/>
  <c r="X203" i="1"/>
  <c r="T203" i="1"/>
  <c r="U203" i="1" s="1"/>
  <c r="S203" i="1" s="1"/>
  <c r="AI231" i="1"/>
  <c r="X199" i="1"/>
  <c r="T199" i="1"/>
  <c r="U199" i="1" s="1"/>
  <c r="S199" i="1" s="1"/>
  <c r="AI227" i="1"/>
  <c r="X195" i="1"/>
  <c r="T195" i="1"/>
  <c r="U195" i="1" s="1"/>
  <c r="S195" i="1" s="1"/>
  <c r="X191" i="1"/>
  <c r="T191" i="1"/>
  <c r="U191" i="1" s="1"/>
  <c r="S191" i="1" s="1"/>
  <c r="X187" i="1"/>
  <c r="T187" i="1"/>
  <c r="U187" i="1" s="1"/>
  <c r="S187" i="1" s="1"/>
  <c r="X183" i="1"/>
  <c r="T183" i="1"/>
  <c r="U183" i="1" s="1"/>
  <c r="S183" i="1" s="1"/>
  <c r="T178" i="1"/>
  <c r="X178" i="1"/>
  <c r="AG178" i="1"/>
  <c r="W178" i="1" s="1"/>
  <c r="S175" i="1"/>
  <c r="AI206" i="1"/>
  <c r="T174" i="1"/>
  <c r="X174" i="1"/>
  <c r="AG174" i="1"/>
  <c r="AI191" i="1"/>
  <c r="U244" i="1"/>
  <c r="S244" i="1" s="1"/>
  <c r="U201" i="1"/>
  <c r="S201" i="1" s="1"/>
  <c r="U193" i="1"/>
  <c r="S193" i="1" s="1"/>
  <c r="AI203" i="1"/>
  <c r="W168" i="1"/>
  <c r="AI187" i="1"/>
  <c r="X224" i="1"/>
  <c r="AG223" i="1"/>
  <c r="AI223" i="1" s="1"/>
  <c r="AI199" i="1"/>
  <c r="AI244" i="1"/>
  <c r="X223" i="1"/>
  <c r="AI240" i="1"/>
  <c r="X219" i="1"/>
  <c r="AI236" i="1"/>
  <c r="X204" i="1"/>
  <c r="X200" i="1"/>
  <c r="AI228" i="1"/>
  <c r="X196" i="1"/>
  <c r="X192" i="1"/>
  <c r="X188" i="1"/>
  <c r="AI216" i="1"/>
  <c r="X184" i="1"/>
  <c r="AG180" i="1"/>
  <c r="W180" i="1" s="1"/>
  <c r="AI207" i="1"/>
  <c r="U176" i="1"/>
  <c r="S176" i="1" s="1"/>
  <c r="W175" i="1"/>
  <c r="AI195" i="1"/>
  <c r="W244" i="1"/>
  <c r="X177" i="1"/>
  <c r="X173" i="1"/>
  <c r="X169" i="1"/>
  <c r="X160" i="1"/>
  <c r="X241" i="1"/>
  <c r="T236" i="1"/>
  <c r="U236" i="1" s="1"/>
  <c r="S236" i="1" s="1"/>
  <c r="X236" i="1"/>
  <c r="X235" i="1"/>
  <c r="S234" i="1"/>
  <c r="X233" i="1"/>
  <c r="U232" i="1"/>
  <c r="S232" i="1" s="1"/>
  <c r="U231" i="1"/>
  <c r="S231" i="1" s="1"/>
  <c r="X227" i="1"/>
  <c r="AI165" i="1"/>
  <c r="W209" i="1"/>
  <c r="U149" i="1"/>
  <c r="S149" i="1" s="1"/>
  <c r="AI149" i="1"/>
  <c r="AI133" i="1"/>
  <c r="W129" i="1"/>
  <c r="U167" i="1"/>
  <c r="S167" i="1" s="1"/>
  <c r="U162" i="1"/>
  <c r="S162" i="1" s="1"/>
  <c r="AG225" i="1"/>
  <c r="AI225" i="1" s="1"/>
  <c r="X226" i="1"/>
  <c r="T215" i="1"/>
  <c r="X215" i="1"/>
  <c r="AG215" i="1"/>
  <c r="AI215" i="1" s="1"/>
  <c r="X216" i="1"/>
  <c r="T211" i="1"/>
  <c r="X211" i="1"/>
  <c r="AG211" i="1"/>
  <c r="X212" i="1"/>
  <c r="U209" i="1"/>
  <c r="S209" i="1" s="1"/>
  <c r="U145" i="1"/>
  <c r="S145" i="1" s="1"/>
  <c r="AI145" i="1"/>
  <c r="AI129" i="1"/>
  <c r="X179" i="1"/>
  <c r="X175" i="1"/>
  <c r="X171" i="1"/>
  <c r="AG170" i="1"/>
  <c r="AI170" i="1" s="1"/>
  <c r="AG166" i="1"/>
  <c r="W166" i="1" s="1"/>
  <c r="X162" i="1"/>
  <c r="AG161" i="1"/>
  <c r="X243" i="1"/>
  <c r="AG242" i="1"/>
  <c r="AI242" i="1" s="1"/>
  <c r="X239" i="1"/>
  <c r="AG238" i="1"/>
  <c r="U235" i="1"/>
  <c r="S235" i="1" s="1"/>
  <c r="AG229" i="1"/>
  <c r="AI229" i="1" s="1"/>
  <c r="X230" i="1"/>
  <c r="T227" i="1"/>
  <c r="U227" i="1" s="1"/>
  <c r="S227" i="1" s="1"/>
  <c r="X225" i="1"/>
  <c r="U158" i="1"/>
  <c r="S158" i="1" s="1"/>
  <c r="U157" i="1"/>
  <c r="S157" i="1" s="1"/>
  <c r="AI157" i="1"/>
  <c r="U142" i="1"/>
  <c r="S142" i="1" s="1"/>
  <c r="U141" i="1"/>
  <c r="S141" i="1" s="1"/>
  <c r="AI141" i="1"/>
  <c r="U126" i="1"/>
  <c r="S126" i="1" s="1"/>
  <c r="U125" i="1"/>
  <c r="S125" i="1" s="1"/>
  <c r="AI125" i="1"/>
  <c r="W121" i="1"/>
  <c r="AI202" i="1"/>
  <c r="X170" i="1"/>
  <c r="AI194" i="1"/>
  <c r="X161" i="1"/>
  <c r="X242" i="1"/>
  <c r="AI186" i="1"/>
  <c r="X238" i="1"/>
  <c r="AG233" i="1"/>
  <c r="X234" i="1"/>
  <c r="X229" i="1"/>
  <c r="AI174" i="1"/>
  <c r="X217" i="1"/>
  <c r="U153" i="1"/>
  <c r="S153" i="1" s="1"/>
  <c r="AI153" i="1"/>
  <c r="W149" i="1"/>
  <c r="U138" i="1"/>
  <c r="S138" i="1" s="1"/>
  <c r="U137" i="1"/>
  <c r="S137" i="1" s="1"/>
  <c r="AI137" i="1"/>
  <c r="W133" i="1"/>
  <c r="U121" i="1"/>
  <c r="S121" i="1" s="1"/>
  <c r="AI121" i="1"/>
  <c r="U208" i="1"/>
  <c r="S208" i="1" s="1"/>
  <c r="U148" i="1"/>
  <c r="S148" i="1" s="1"/>
  <c r="U140" i="1"/>
  <c r="S140" i="1" s="1"/>
  <c r="U132" i="1"/>
  <c r="S132" i="1" s="1"/>
  <c r="U124" i="1"/>
  <c r="S124" i="1" s="1"/>
  <c r="T118" i="1"/>
  <c r="X118" i="1"/>
  <c r="AI111" i="1"/>
  <c r="AI103" i="1"/>
  <c r="S95" i="1"/>
  <c r="AI95" i="1"/>
  <c r="AA91" i="1"/>
  <c r="W91" i="1" s="1"/>
  <c r="T84" i="1"/>
  <c r="X84" i="1"/>
  <c r="X85" i="1"/>
  <c r="AG84" i="1"/>
  <c r="W84" i="1" s="1"/>
  <c r="U75" i="1"/>
  <c r="S75" i="1" s="1"/>
  <c r="T68" i="1"/>
  <c r="X68" i="1"/>
  <c r="AG68" i="1"/>
  <c r="W68" i="1" s="1"/>
  <c r="T52" i="1"/>
  <c r="X52" i="1"/>
  <c r="AG52" i="1"/>
  <c r="U27" i="1"/>
  <c r="S27" i="1" s="1"/>
  <c r="X208" i="1"/>
  <c r="AG159" i="1"/>
  <c r="X156" i="1"/>
  <c r="AG155" i="1"/>
  <c r="X152" i="1"/>
  <c r="AG151" i="1"/>
  <c r="W151" i="1" s="1"/>
  <c r="X148" i="1"/>
  <c r="AG147" i="1"/>
  <c r="W147" i="1" s="1"/>
  <c r="X144" i="1"/>
  <c r="AG143" i="1"/>
  <c r="X140" i="1"/>
  <c r="AG139" i="1"/>
  <c r="X136" i="1"/>
  <c r="AG135" i="1"/>
  <c r="X132" i="1"/>
  <c r="AG131" i="1"/>
  <c r="X128" i="1"/>
  <c r="AG127" i="1"/>
  <c r="W127" i="1" s="1"/>
  <c r="X124" i="1"/>
  <c r="AG123" i="1"/>
  <c r="X120" i="1"/>
  <c r="AA119" i="1"/>
  <c r="AG118" i="1"/>
  <c r="AA115" i="1"/>
  <c r="AA114" i="1"/>
  <c r="T110" i="1"/>
  <c r="X110" i="1"/>
  <c r="AG110" i="1"/>
  <c r="X111" i="1"/>
  <c r="T102" i="1"/>
  <c r="X102" i="1"/>
  <c r="AG102" i="1"/>
  <c r="W102" i="1" s="1"/>
  <c r="X103" i="1"/>
  <c r="T94" i="1"/>
  <c r="X94" i="1"/>
  <c r="AG94" i="1"/>
  <c r="X95" i="1"/>
  <c r="AI69" i="1"/>
  <c r="AI53" i="1"/>
  <c r="U53" i="1"/>
  <c r="S53" i="1" s="1"/>
  <c r="AI160" i="1"/>
  <c r="X159" i="1"/>
  <c r="AI156" i="1"/>
  <c r="X155" i="1"/>
  <c r="X151" i="1"/>
  <c r="AI148" i="1"/>
  <c r="X147" i="1"/>
  <c r="X143" i="1"/>
  <c r="AI140" i="1"/>
  <c r="X139" i="1"/>
  <c r="X135" i="1"/>
  <c r="AI132" i="1"/>
  <c r="X131" i="1"/>
  <c r="X127" i="1"/>
  <c r="AI124" i="1"/>
  <c r="X123" i="1"/>
  <c r="T119" i="1"/>
  <c r="T117" i="1"/>
  <c r="X117" i="1"/>
  <c r="AG117" i="1"/>
  <c r="T114" i="1"/>
  <c r="X114" i="1"/>
  <c r="W111" i="1"/>
  <c r="AI107" i="1"/>
  <c r="W103" i="1"/>
  <c r="AI91" i="1"/>
  <c r="AI81" i="1"/>
  <c r="AG49" i="1"/>
  <c r="X49" i="1"/>
  <c r="T49" i="1"/>
  <c r="X232" i="1"/>
  <c r="X228" i="1"/>
  <c r="X218" i="1"/>
  <c r="X214" i="1"/>
  <c r="X210" i="1"/>
  <c r="X158" i="1"/>
  <c r="X154" i="1"/>
  <c r="X150" i="1"/>
  <c r="X146" i="1"/>
  <c r="X142" i="1"/>
  <c r="X138" i="1"/>
  <c r="X134" i="1"/>
  <c r="X130" i="1"/>
  <c r="X126" i="1"/>
  <c r="X122" i="1"/>
  <c r="AG119" i="1"/>
  <c r="X115" i="1"/>
  <c r="AG114" i="1"/>
  <c r="U107" i="1"/>
  <c r="S107" i="1" s="1"/>
  <c r="T106" i="1"/>
  <c r="X106" i="1"/>
  <c r="AG106" i="1"/>
  <c r="X107" i="1"/>
  <c r="U99" i="1"/>
  <c r="S99" i="1" s="1"/>
  <c r="T98" i="1"/>
  <c r="X98" i="1"/>
  <c r="AG98" i="1"/>
  <c r="X99" i="1"/>
  <c r="U91" i="1"/>
  <c r="S91" i="1" s="1"/>
  <c r="T90" i="1"/>
  <c r="AG90" i="1"/>
  <c r="W90" i="1" s="1"/>
  <c r="X91" i="1"/>
  <c r="W59" i="1"/>
  <c r="AI65" i="1"/>
  <c r="T64" i="1"/>
  <c r="X64" i="1"/>
  <c r="AG64" i="1"/>
  <c r="X51" i="1"/>
  <c r="AG51" i="1"/>
  <c r="T22" i="1"/>
  <c r="X22" i="1"/>
  <c r="AG22" i="1"/>
  <c r="AG113" i="1"/>
  <c r="W113" i="1" s="1"/>
  <c r="AG109" i="1"/>
  <c r="AG105" i="1"/>
  <c r="W105" i="1" s="1"/>
  <c r="AG101" i="1"/>
  <c r="W101" i="1" s="1"/>
  <c r="AG97" i="1"/>
  <c r="AG93" i="1"/>
  <c r="AG89" i="1"/>
  <c r="AA81" i="1"/>
  <c r="W81" i="1" s="1"/>
  <c r="T80" i="1"/>
  <c r="X80" i="1"/>
  <c r="AG80" i="1"/>
  <c r="AI77" i="1"/>
  <c r="T76" i="1"/>
  <c r="X76" i="1"/>
  <c r="AG76" i="1"/>
  <c r="U66" i="1"/>
  <c r="S66" i="1" s="1"/>
  <c r="U65" i="1"/>
  <c r="S65" i="1" s="1"/>
  <c r="T60" i="1"/>
  <c r="X60" i="1"/>
  <c r="AG60" i="1"/>
  <c r="W33" i="1"/>
  <c r="AI23" i="1"/>
  <c r="X113" i="1"/>
  <c r="X109" i="1"/>
  <c r="X105" i="1"/>
  <c r="X101" i="1"/>
  <c r="X97" i="1"/>
  <c r="X93" i="1"/>
  <c r="U87" i="1"/>
  <c r="S87" i="1" s="1"/>
  <c r="T81" i="1"/>
  <c r="U81" i="1" s="1"/>
  <c r="S81" i="1" s="1"/>
  <c r="X81" i="1"/>
  <c r="T72" i="1"/>
  <c r="X72" i="1"/>
  <c r="AG72" i="1"/>
  <c r="AA65" i="1"/>
  <c r="W65" i="1" s="1"/>
  <c r="AI57" i="1"/>
  <c r="T56" i="1"/>
  <c r="X56" i="1"/>
  <c r="AG56" i="1"/>
  <c r="W56" i="1" s="1"/>
  <c r="T51" i="1"/>
  <c r="W49" i="1"/>
  <c r="T26" i="1"/>
  <c r="X26" i="1"/>
  <c r="AG26" i="1"/>
  <c r="W26" i="1" s="1"/>
  <c r="X77" i="1"/>
  <c r="AI74" i="1"/>
  <c r="X73" i="1"/>
  <c r="X69" i="1"/>
  <c r="AI66" i="1"/>
  <c r="X65" i="1"/>
  <c r="AI62" i="1"/>
  <c r="X61" i="1"/>
  <c r="AI58" i="1"/>
  <c r="X57" i="1"/>
  <c r="X53" i="1"/>
  <c r="U48" i="1"/>
  <c r="S48" i="1" s="1"/>
  <c r="T46" i="1"/>
  <c r="U46" i="1" s="1"/>
  <c r="S46" i="1" s="1"/>
  <c r="X46" i="1"/>
  <c r="AA43" i="1"/>
  <c r="T42" i="1"/>
  <c r="X42" i="1"/>
  <c r="AG42" i="1"/>
  <c r="AI39" i="1"/>
  <c r="T38" i="1"/>
  <c r="X38" i="1"/>
  <c r="AG38" i="1"/>
  <c r="U24" i="1"/>
  <c r="S24" i="1" s="1"/>
  <c r="S19" i="1"/>
  <c r="AI19" i="1"/>
  <c r="T18" i="1"/>
  <c r="X18" i="1"/>
  <c r="AG18" i="1"/>
  <c r="T50" i="1"/>
  <c r="U50" i="1" s="1"/>
  <c r="S50" i="1" s="1"/>
  <c r="X50" i="1"/>
  <c r="T43" i="1"/>
  <c r="X43" i="1"/>
  <c r="U40" i="1"/>
  <c r="S40" i="1" s="1"/>
  <c r="T34" i="1"/>
  <c r="X34" i="1"/>
  <c r="AG34" i="1"/>
  <c r="AA27" i="1"/>
  <c r="W27" i="1" s="1"/>
  <c r="AA23" i="1"/>
  <c r="U20" i="1"/>
  <c r="S20" i="1" s="1"/>
  <c r="AI15" i="1"/>
  <c r="T14" i="1"/>
  <c r="AG14" i="1"/>
  <c r="W14" i="1" s="1"/>
  <c r="AA51" i="1"/>
  <c r="S44" i="1"/>
  <c r="AI44" i="1"/>
  <c r="AA39" i="1"/>
  <c r="W39" i="1" s="1"/>
  <c r="AI31" i="1"/>
  <c r="T30" i="1"/>
  <c r="X30" i="1"/>
  <c r="AG30" i="1"/>
  <c r="AA19" i="1"/>
  <c r="W19" i="1" s="1"/>
  <c r="AI40" i="1"/>
  <c r="X39" i="1"/>
  <c r="AI36" i="1"/>
  <c r="X35" i="1"/>
  <c r="AI32" i="1"/>
  <c r="X31" i="1"/>
  <c r="AI28" i="1"/>
  <c r="X27" i="1"/>
  <c r="X23" i="1"/>
  <c r="AI20" i="1"/>
  <c r="X19" i="1"/>
  <c r="X15" i="1"/>
  <c r="U33" i="3"/>
  <c r="T33" i="3" s="1"/>
  <c r="V33" i="3"/>
  <c r="W33" i="3"/>
  <c r="X33" i="3"/>
  <c r="AI16" i="1" l="1"/>
  <c r="W51" i="1"/>
  <c r="W69" i="1"/>
  <c r="AI144" i="1"/>
  <c r="AI86" i="1"/>
  <c r="U144" i="1"/>
  <c r="S144" i="1" s="1"/>
  <c r="AI214" i="1"/>
  <c r="U181" i="1"/>
  <c r="S181" i="1" s="1"/>
  <c r="U220" i="1"/>
  <c r="S220" i="1" s="1"/>
  <c r="AI200" i="1"/>
  <c r="W230" i="1"/>
  <c r="U58" i="1"/>
  <c r="S58" i="1" s="1"/>
  <c r="U43" i="1"/>
  <c r="S43" i="1" s="1"/>
  <c r="W43" i="1"/>
  <c r="W106" i="1"/>
  <c r="AI128" i="1"/>
  <c r="W135" i="1"/>
  <c r="W159" i="1"/>
  <c r="U128" i="1"/>
  <c r="S128" i="1" s="1"/>
  <c r="U239" i="1"/>
  <c r="S239" i="1" s="1"/>
  <c r="W85" i="1"/>
  <c r="W99" i="1"/>
  <c r="AI78" i="1"/>
  <c r="U122" i="1"/>
  <c r="S122" i="1" s="1"/>
  <c r="W239" i="1"/>
  <c r="W152" i="1"/>
  <c r="AI21" i="1"/>
  <c r="W22" i="1"/>
  <c r="W21" i="1"/>
  <c r="W34" i="1"/>
  <c r="U47" i="1"/>
  <c r="S47" i="1" s="1"/>
  <c r="AI152" i="1"/>
  <c r="W115" i="1"/>
  <c r="W139" i="1"/>
  <c r="U120" i="1"/>
  <c r="S120" i="1" s="1"/>
  <c r="W174" i="1"/>
  <c r="U54" i="1"/>
  <c r="S54" i="1" s="1"/>
  <c r="W73" i="1"/>
  <c r="W82" i="1"/>
  <c r="W53" i="1"/>
  <c r="W188" i="1"/>
  <c r="U182" i="1"/>
  <c r="S182" i="1" s="1"/>
  <c r="W219" i="1"/>
  <c r="W173" i="1"/>
  <c r="AI73" i="1"/>
  <c r="AI120" i="1"/>
  <c r="U226" i="1"/>
  <c r="S226" i="1" s="1"/>
  <c r="AI220" i="1"/>
  <c r="U224" i="1"/>
  <c r="S224" i="1" s="1"/>
  <c r="AI226" i="1"/>
  <c r="W61" i="1"/>
  <c r="U61" i="1"/>
  <c r="S61" i="1" s="1"/>
  <c r="U88" i="1"/>
  <c r="S88" i="1" s="1"/>
  <c r="W189" i="1"/>
  <c r="U179" i="1"/>
  <c r="S179" i="1" s="1"/>
  <c r="U185" i="1"/>
  <c r="S185" i="1" s="1"/>
  <c r="U190" i="1"/>
  <c r="S190" i="1" s="1"/>
  <c r="AI35" i="1"/>
  <c r="U152" i="1"/>
  <c r="S152" i="1" s="1"/>
  <c r="W238" i="1"/>
  <c r="W161" i="1"/>
  <c r="U243" i="1"/>
  <c r="S243" i="1" s="1"/>
  <c r="W58" i="1"/>
  <c r="W15" i="1"/>
  <c r="W134" i="1"/>
  <c r="W182" i="1"/>
  <c r="U206" i="1"/>
  <c r="S206" i="1" s="1"/>
  <c r="U86" i="1"/>
  <c r="S86" i="1" s="1"/>
  <c r="W44" i="1"/>
  <c r="W118" i="1"/>
  <c r="U136" i="1"/>
  <c r="S136" i="1" s="1"/>
  <c r="AI219" i="1"/>
  <c r="U32" i="1"/>
  <c r="S32" i="1" s="1"/>
  <c r="W232" i="1"/>
  <c r="W162" i="1"/>
  <c r="AI24" i="1"/>
  <c r="W23" i="1"/>
  <c r="AI70" i="1"/>
  <c r="AI85" i="1"/>
  <c r="U171" i="1"/>
  <c r="S171" i="1" s="1"/>
  <c r="AI178" i="1"/>
  <c r="AI232" i="1"/>
  <c r="W28" i="1"/>
  <c r="AI154" i="1"/>
  <c r="W218" i="1"/>
  <c r="AI108" i="1"/>
  <c r="W205" i="1"/>
  <c r="U212" i="1"/>
  <c r="S212" i="1" s="1"/>
  <c r="W224" i="1"/>
  <c r="U62" i="1"/>
  <c r="S62" i="1" s="1"/>
  <c r="AI136" i="1"/>
  <c r="AI190" i="1"/>
  <c r="W179" i="1"/>
  <c r="U192" i="1"/>
  <c r="S192" i="1" s="1"/>
  <c r="U219" i="1"/>
  <c r="S219" i="1" s="1"/>
  <c r="W70" i="1"/>
  <c r="U241" i="1"/>
  <c r="S241" i="1" s="1"/>
  <c r="U108" i="1"/>
  <c r="S108" i="1" s="1"/>
  <c r="AC33" i="3"/>
  <c r="W114" i="1"/>
  <c r="U130" i="1"/>
  <c r="S130" i="1" s="1"/>
  <c r="AI130" i="1"/>
  <c r="W130" i="1"/>
  <c r="W241" i="1"/>
  <c r="W210" i="1"/>
  <c r="W138" i="1"/>
  <c r="U210" i="1"/>
  <c r="S210" i="1" s="1"/>
  <c r="AI210" i="1"/>
  <c r="W146" i="1"/>
  <c r="W154" i="1"/>
  <c r="W54" i="1"/>
  <c r="W66" i="1"/>
  <c r="W32" i="1"/>
  <c r="W190" i="1"/>
  <c r="U146" i="1"/>
  <c r="S146" i="1" s="1"/>
  <c r="AI146" i="1"/>
  <c r="W122" i="1"/>
  <c r="U92" i="1"/>
  <c r="S92" i="1" s="1"/>
  <c r="AI92" i="1"/>
  <c r="AI177" i="1"/>
  <c r="U230" i="1"/>
  <c r="S230" i="1" s="1"/>
  <c r="W228" i="1"/>
  <c r="W185" i="1"/>
  <c r="U198" i="1"/>
  <c r="S198" i="1" s="1"/>
  <c r="W198" i="1"/>
  <c r="W233" i="1"/>
  <c r="AI233" i="1"/>
  <c r="U82" i="1"/>
  <c r="S82" i="1" s="1"/>
  <c r="AI82" i="1"/>
  <c r="W57" i="1"/>
  <c r="W35" i="1"/>
  <c r="U150" i="1"/>
  <c r="S150" i="1" s="1"/>
  <c r="AI150" i="1"/>
  <c r="W48" i="1"/>
  <c r="U218" i="1"/>
  <c r="S218" i="1" s="1"/>
  <c r="W126" i="1"/>
  <c r="W193" i="1"/>
  <c r="W206" i="1"/>
  <c r="AI166" i="1"/>
  <c r="AI238" i="1"/>
  <c r="W36" i="1"/>
  <c r="U85" i="1"/>
  <c r="S85" i="1" s="1"/>
  <c r="W16" i="1"/>
  <c r="U134" i="1"/>
  <c r="S134" i="1" s="1"/>
  <c r="AI134" i="1"/>
  <c r="U237" i="1"/>
  <c r="S237" i="1" s="1"/>
  <c r="W92" i="1"/>
  <c r="W226" i="1"/>
  <c r="W237" i="1"/>
  <c r="W142" i="1"/>
  <c r="W201" i="1"/>
  <c r="W150" i="1"/>
  <c r="AI161" i="1"/>
  <c r="W78" i="1"/>
  <c r="W77" i="1"/>
  <c r="U228" i="1"/>
  <c r="S228" i="1" s="1"/>
  <c r="W214" i="1"/>
  <c r="W158" i="1"/>
  <c r="W220" i="1"/>
  <c r="AI72" i="1"/>
  <c r="U72" i="1"/>
  <c r="S72" i="1" s="1"/>
  <c r="AI110" i="1"/>
  <c r="U110" i="1"/>
  <c r="S110" i="1" s="1"/>
  <c r="AI52" i="1"/>
  <c r="U52" i="1"/>
  <c r="S52" i="1" s="1"/>
  <c r="AI176" i="1"/>
  <c r="U229" i="1"/>
  <c r="S229" i="1" s="1"/>
  <c r="U174" i="1"/>
  <c r="S174" i="1" s="1"/>
  <c r="AI205" i="1"/>
  <c r="AI18" i="1"/>
  <c r="U18" i="1"/>
  <c r="S18" i="1" s="1"/>
  <c r="AI76" i="1"/>
  <c r="U76" i="1"/>
  <c r="S76" i="1" s="1"/>
  <c r="U105" i="1"/>
  <c r="S105" i="1" s="1"/>
  <c r="AI105" i="1"/>
  <c r="U117" i="1"/>
  <c r="S117" i="1" s="1"/>
  <c r="AI117" i="1"/>
  <c r="U42" i="1"/>
  <c r="S42" i="1" s="1"/>
  <c r="AI42" i="1"/>
  <c r="W52" i="1"/>
  <c r="U80" i="1"/>
  <c r="S80" i="1" s="1"/>
  <c r="AI80" i="1"/>
  <c r="W80" i="1"/>
  <c r="U93" i="1"/>
  <c r="S93" i="1" s="1"/>
  <c r="AI93" i="1"/>
  <c r="U109" i="1"/>
  <c r="S109" i="1" s="1"/>
  <c r="AI109" i="1"/>
  <c r="AI51" i="1"/>
  <c r="U51" i="1"/>
  <c r="S51" i="1" s="1"/>
  <c r="W76" i="1"/>
  <c r="AI90" i="1"/>
  <c r="U90" i="1"/>
  <c r="S90" i="1" s="1"/>
  <c r="AI123" i="1"/>
  <c r="U123" i="1"/>
  <c r="S123" i="1" s="1"/>
  <c r="AI131" i="1"/>
  <c r="U131" i="1"/>
  <c r="S131" i="1" s="1"/>
  <c r="AI139" i="1"/>
  <c r="U139" i="1"/>
  <c r="S139" i="1" s="1"/>
  <c r="AI147" i="1"/>
  <c r="U147" i="1"/>
  <c r="S147" i="1" s="1"/>
  <c r="AI155" i="1"/>
  <c r="U155" i="1"/>
  <c r="S155" i="1" s="1"/>
  <c r="AI68" i="1"/>
  <c r="U68" i="1"/>
  <c r="S68" i="1" s="1"/>
  <c r="W110" i="1"/>
  <c r="W123" i="1"/>
  <c r="U242" i="1"/>
  <c r="S242" i="1" s="1"/>
  <c r="AI189" i="1"/>
  <c r="U166" i="1"/>
  <c r="S166" i="1" s="1"/>
  <c r="AI197" i="1"/>
  <c r="AI164" i="1"/>
  <c r="U211" i="1"/>
  <c r="S211" i="1" s="1"/>
  <c r="AI168" i="1"/>
  <c r="U215" i="1"/>
  <c r="S215" i="1" s="1"/>
  <c r="AI172" i="1"/>
  <c r="U225" i="1"/>
  <c r="S225" i="1" s="1"/>
  <c r="W215" i="1"/>
  <c r="U178" i="1"/>
  <c r="S178" i="1" s="1"/>
  <c r="AI209" i="1"/>
  <c r="AI38" i="1"/>
  <c r="U38" i="1"/>
  <c r="S38" i="1" s="1"/>
  <c r="U89" i="1"/>
  <c r="S89" i="1" s="1"/>
  <c r="AI89" i="1"/>
  <c r="AI64" i="1"/>
  <c r="U64" i="1"/>
  <c r="S64" i="1" s="1"/>
  <c r="AI30" i="1"/>
  <c r="U30" i="1"/>
  <c r="S30" i="1" s="1"/>
  <c r="AI14" i="1"/>
  <c r="U14" i="1"/>
  <c r="S14" i="1" s="1"/>
  <c r="W30" i="1"/>
  <c r="AI26" i="1"/>
  <c r="U26" i="1"/>
  <c r="S26" i="1" s="1"/>
  <c r="U97" i="1"/>
  <c r="S97" i="1" s="1"/>
  <c r="AI97" i="1"/>
  <c r="U113" i="1"/>
  <c r="S113" i="1" s="1"/>
  <c r="AI113" i="1"/>
  <c r="W38" i="1"/>
  <c r="AI98" i="1"/>
  <c r="U98" i="1"/>
  <c r="S98" i="1" s="1"/>
  <c r="U49" i="1"/>
  <c r="S49" i="1" s="1"/>
  <c r="AI49" i="1"/>
  <c r="W98" i="1"/>
  <c r="AI118" i="1"/>
  <c r="U118" i="1"/>
  <c r="S118" i="1" s="1"/>
  <c r="AI84" i="1"/>
  <c r="U84" i="1"/>
  <c r="S84" i="1" s="1"/>
  <c r="W109" i="1"/>
  <c r="W155" i="1"/>
  <c r="W229" i="1"/>
  <c r="W93" i="1"/>
  <c r="W131" i="1"/>
  <c r="W211" i="1"/>
  <c r="W242" i="1"/>
  <c r="U223" i="1"/>
  <c r="S223" i="1" s="1"/>
  <c r="AI243" i="1"/>
  <c r="AI34" i="1"/>
  <c r="U34" i="1"/>
  <c r="S34" i="1" s="1"/>
  <c r="AI56" i="1"/>
  <c r="U56" i="1"/>
  <c r="S56" i="1" s="1"/>
  <c r="W18" i="1"/>
  <c r="AI60" i="1"/>
  <c r="U60" i="1"/>
  <c r="S60" i="1" s="1"/>
  <c r="W72" i="1"/>
  <c r="U101" i="1"/>
  <c r="S101" i="1" s="1"/>
  <c r="AI101" i="1"/>
  <c r="AI22" i="1"/>
  <c r="U22" i="1"/>
  <c r="S21" i="1" s="1"/>
  <c r="W42" i="1"/>
  <c r="W60" i="1"/>
  <c r="AI106" i="1"/>
  <c r="U106" i="1"/>
  <c r="S106" i="1" s="1"/>
  <c r="AI114" i="1"/>
  <c r="U114" i="1"/>
  <c r="S114" i="1" s="1"/>
  <c r="AI119" i="1"/>
  <c r="U119" i="1"/>
  <c r="S119" i="1" s="1"/>
  <c r="W64" i="1"/>
  <c r="AI94" i="1"/>
  <c r="U94" i="1"/>
  <c r="S94" i="1" s="1"/>
  <c r="AI102" i="1"/>
  <c r="U102" i="1"/>
  <c r="S102" i="1" s="1"/>
  <c r="W119" i="1"/>
  <c r="AI127" i="1"/>
  <c r="U127" i="1"/>
  <c r="S127" i="1" s="1"/>
  <c r="AI135" i="1"/>
  <c r="U135" i="1"/>
  <c r="S135" i="1" s="1"/>
  <c r="AI143" i="1"/>
  <c r="U143" i="1"/>
  <c r="S143" i="1" s="1"/>
  <c r="AI151" i="1"/>
  <c r="U151" i="1"/>
  <c r="S151" i="1" s="1"/>
  <c r="AI159" i="1"/>
  <c r="U159" i="1"/>
  <c r="S159" i="1" s="1"/>
  <c r="W94" i="1"/>
  <c r="AI180" i="1"/>
  <c r="U233" i="1"/>
  <c r="S233" i="1" s="1"/>
  <c r="W89" i="1"/>
  <c r="U238" i="1"/>
  <c r="S238" i="1" s="1"/>
  <c r="AI185" i="1"/>
  <c r="U161" i="1"/>
  <c r="S161" i="1" s="1"/>
  <c r="AI193" i="1"/>
  <c r="U170" i="1"/>
  <c r="S170" i="1" s="1"/>
  <c r="AI201" i="1"/>
  <c r="W97" i="1"/>
  <c r="W143" i="1"/>
  <c r="W117" i="1"/>
  <c r="W225" i="1"/>
  <c r="AI211" i="1"/>
  <c r="U180" i="1"/>
  <c r="S180" i="1" s="1"/>
  <c r="W170" i="1"/>
  <c r="W223" i="1"/>
  <c r="Y33" i="3"/>
  <c r="S33" i="3"/>
  <c r="R33" i="3"/>
  <c r="M33" i="3"/>
  <c r="N33" i="3"/>
  <c r="M22" i="3"/>
  <c r="N22" i="3"/>
  <c r="M27" i="3"/>
  <c r="N27" i="3"/>
  <c r="M26" i="3"/>
  <c r="N26" i="3"/>
  <c r="M20" i="3"/>
  <c r="N20" i="3"/>
  <c r="M17" i="3"/>
  <c r="N17" i="3"/>
  <c r="M30" i="3"/>
  <c r="N30" i="3"/>
  <c r="M35" i="3"/>
  <c r="N35" i="3"/>
  <c r="M31" i="3"/>
  <c r="N31" i="3"/>
  <c r="M19" i="3"/>
  <c r="N19" i="3"/>
  <c r="M36" i="3"/>
  <c r="N36" i="3"/>
  <c r="M25" i="3"/>
  <c r="N25" i="3"/>
  <c r="M24" i="3"/>
  <c r="N24" i="3"/>
  <c r="M8" i="3"/>
  <c r="N8" i="3"/>
  <c r="M29" i="3"/>
  <c r="N29" i="3"/>
  <c r="M34" i="3"/>
  <c r="N34" i="3"/>
  <c r="M37" i="3"/>
  <c r="N37" i="3"/>
  <c r="M14" i="3"/>
  <c r="N14" i="3"/>
  <c r="M23" i="3"/>
  <c r="N23" i="3"/>
  <c r="M9" i="3"/>
  <c r="N9" i="3"/>
  <c r="M28" i="3"/>
  <c r="N28" i="3"/>
  <c r="M38" i="3"/>
  <c r="N38" i="3"/>
  <c r="M13" i="3"/>
  <c r="N13" i="3"/>
  <c r="M39" i="3"/>
  <c r="N39" i="3"/>
  <c r="M21" i="3"/>
  <c r="N21" i="3"/>
  <c r="M10" i="3"/>
  <c r="N10" i="3"/>
  <c r="M15" i="3"/>
  <c r="N15" i="3"/>
  <c r="M11" i="3"/>
  <c r="N11" i="3"/>
  <c r="M16" i="3"/>
  <c r="N16" i="3"/>
  <c r="M12" i="3"/>
  <c r="N12" i="3"/>
  <c r="M32" i="3"/>
  <c r="N32" i="3"/>
  <c r="M40" i="3"/>
  <c r="N40" i="3"/>
  <c r="M18" i="3"/>
  <c r="N18" i="3"/>
  <c r="M7" i="3"/>
  <c r="N7" i="3"/>
  <c r="B14" i="6" l="1"/>
  <c r="F14" i="6" s="1"/>
  <c r="V13" i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6" i="1" l="1"/>
  <c r="AH17" i="1"/>
  <c r="AH20" i="1"/>
  <c r="AH27" i="1"/>
  <c r="AH31" i="1"/>
  <c r="AH32" i="1"/>
  <c r="AH33" i="1"/>
  <c r="AH40" i="1"/>
  <c r="AH41" i="1"/>
  <c r="AH54" i="1"/>
  <c r="AH55" i="1"/>
  <c r="AH59" i="1"/>
  <c r="AH66" i="1"/>
  <c r="AH70" i="1"/>
  <c r="AH71" i="1"/>
  <c r="AH74" i="1"/>
  <c r="AH75" i="1"/>
  <c r="AH76" i="1"/>
  <c r="AH77" i="1"/>
  <c r="AH86" i="1"/>
  <c r="AH89" i="1"/>
  <c r="AH90" i="1"/>
  <c r="AH91" i="1"/>
  <c r="AH92" i="1"/>
  <c r="AH93" i="1"/>
  <c r="AH107" i="1"/>
  <c r="AH117" i="1"/>
  <c r="AH118" i="1"/>
  <c r="AH119" i="1"/>
  <c r="AH120" i="1"/>
  <c r="AH121" i="1"/>
  <c r="AH122" i="1"/>
  <c r="AH133" i="1"/>
  <c r="AH134" i="1"/>
  <c r="AH135" i="1"/>
  <c r="AH136" i="1"/>
  <c r="AH137" i="1"/>
  <c r="AH138" i="1"/>
  <c r="AH141" i="1"/>
  <c r="AH142" i="1"/>
  <c r="AH143" i="1"/>
  <c r="AH144" i="1"/>
  <c r="AH155" i="1"/>
  <c r="AH161" i="1"/>
  <c r="AH162" i="1"/>
  <c r="AH168" i="1"/>
  <c r="AH169" i="1"/>
  <c r="AH170" i="1"/>
  <c r="AH171" i="1"/>
  <c r="AH172" i="1"/>
  <c r="AH173" i="1"/>
  <c r="AH182" i="1"/>
  <c r="AH183" i="1"/>
  <c r="AH184" i="1"/>
  <c r="AH185" i="1"/>
  <c r="AH186" i="1"/>
  <c r="AH196" i="1"/>
  <c r="AH207" i="1"/>
  <c r="AH208" i="1"/>
  <c r="AH209" i="1"/>
  <c r="AH210" i="1"/>
  <c r="AH211" i="1"/>
  <c r="AH215" i="1"/>
  <c r="AH216" i="1"/>
  <c r="AH217" i="1"/>
  <c r="AH235" i="1"/>
  <c r="AH236" i="1"/>
  <c r="AH237" i="1"/>
  <c r="AH238" i="1"/>
  <c r="AH239" i="1"/>
  <c r="AH240" i="1"/>
  <c r="AH241" i="1"/>
  <c r="AH242" i="1"/>
  <c r="AH193" i="1"/>
  <c r="AH197" i="1"/>
  <c r="AH213" i="1"/>
  <c r="AH219" i="1"/>
  <c r="AH221" i="1"/>
  <c r="AH222" i="1"/>
  <c r="AH224" i="1"/>
  <c r="AH226" i="1"/>
  <c r="AH243" i="1"/>
  <c r="AH39" i="1"/>
  <c r="AH47" i="1"/>
  <c r="AH50" i="1"/>
  <c r="AH18" i="1"/>
  <c r="AH28" i="1"/>
  <c r="AH34" i="1"/>
  <c r="AH35" i="1"/>
  <c r="AH42" i="1"/>
  <c r="AH43" i="1"/>
  <c r="AH56" i="1"/>
  <c r="AH57" i="1"/>
  <c r="AH67" i="1"/>
  <c r="AH68" i="1"/>
  <c r="AH69" i="1"/>
  <c r="AH78" i="1"/>
  <c r="AH87" i="1"/>
  <c r="AH94" i="1"/>
  <c r="AH95" i="1"/>
  <c r="AH100" i="1"/>
  <c r="AH101" i="1"/>
  <c r="AH102" i="1"/>
  <c r="AH103" i="1"/>
  <c r="AH108" i="1"/>
  <c r="AH109" i="1"/>
  <c r="AH110" i="1"/>
  <c r="AH111" i="1"/>
  <c r="AH112" i="1"/>
  <c r="AH123" i="1"/>
  <c r="AH125" i="1"/>
  <c r="AH126" i="1"/>
  <c r="AH127" i="1"/>
  <c r="AH128" i="1"/>
  <c r="AH139" i="1"/>
  <c r="AH145" i="1"/>
  <c r="AH146" i="1"/>
  <c r="AH156" i="1"/>
  <c r="AH164" i="1"/>
  <c r="AH165" i="1"/>
  <c r="AH174" i="1"/>
  <c r="AH175" i="1"/>
  <c r="AH176" i="1"/>
  <c r="AH177" i="1"/>
  <c r="AH192" i="1"/>
  <c r="AH194" i="1"/>
  <c r="AH218" i="1"/>
  <c r="AH220" i="1"/>
  <c r="AH223" i="1"/>
  <c r="AH225" i="1"/>
  <c r="AH244" i="1"/>
  <c r="AH46" i="1"/>
  <c r="AH49" i="1"/>
  <c r="AH19" i="1"/>
  <c r="AH21" i="1"/>
  <c r="AH22" i="1"/>
  <c r="AH23" i="1"/>
  <c r="AH29" i="1"/>
  <c r="AH36" i="1"/>
  <c r="AH37" i="1"/>
  <c r="AH38" i="1"/>
  <c r="AH44" i="1"/>
  <c r="AH45" i="1"/>
  <c r="AH58" i="1"/>
  <c r="AH60" i="1"/>
  <c r="AH61" i="1"/>
  <c r="AH62" i="1"/>
  <c r="AH72" i="1"/>
  <c r="AH73" i="1"/>
  <c r="AH79" i="1"/>
  <c r="AH80" i="1"/>
  <c r="AH81" i="1"/>
  <c r="AH82" i="1"/>
  <c r="AH83" i="1"/>
  <c r="AH96" i="1"/>
  <c r="AH104" i="1"/>
  <c r="AH113" i="1"/>
  <c r="AH114" i="1"/>
  <c r="AH115" i="1"/>
  <c r="AH129" i="1"/>
  <c r="AH130" i="1"/>
  <c r="AH140" i="1"/>
  <c r="AH147" i="1"/>
  <c r="AH148" i="1"/>
  <c r="AH166" i="1"/>
  <c r="AH178" i="1"/>
  <c r="AH179" i="1"/>
  <c r="AH180" i="1"/>
  <c r="AH187" i="1"/>
  <c r="AH188" i="1"/>
  <c r="AH189" i="1"/>
  <c r="AH190" i="1"/>
  <c r="AH195" i="1"/>
  <c r="AH198" i="1"/>
  <c r="AH199" i="1"/>
  <c r="AH200" i="1"/>
  <c r="AH201" i="1"/>
  <c r="AH202" i="1"/>
  <c r="AH212" i="1"/>
  <c r="AH227" i="1"/>
  <c r="AH228" i="1"/>
  <c r="AH229" i="1"/>
  <c r="AH230" i="1"/>
  <c r="AH231" i="1"/>
  <c r="AH232" i="1"/>
  <c r="AH14" i="1"/>
  <c r="AH15" i="1"/>
  <c r="AH24" i="1"/>
  <c r="AH25" i="1"/>
  <c r="AH26" i="1"/>
  <c r="AH30" i="1"/>
  <c r="AH48" i="1"/>
  <c r="AH51" i="1"/>
  <c r="AH63" i="1"/>
  <c r="AH64" i="1"/>
  <c r="AH65" i="1"/>
  <c r="AH116" i="1"/>
  <c r="AH167" i="1"/>
  <c r="AH214" i="1"/>
  <c r="AH158" i="1"/>
  <c r="AH160" i="1"/>
  <c r="AH191" i="1"/>
  <c r="AH203" i="1"/>
  <c r="AH52" i="1"/>
  <c r="AH53" i="1"/>
  <c r="AH105" i="1"/>
  <c r="AH106" i="1"/>
  <c r="AH124" i="1"/>
  <c r="AH157" i="1"/>
  <c r="AH159" i="1"/>
  <c r="AH99" i="1"/>
  <c r="AH234" i="1"/>
  <c r="AH206" i="1"/>
  <c r="AH84" i="1"/>
  <c r="AH85" i="1"/>
  <c r="AH88" i="1"/>
  <c r="AH97" i="1"/>
  <c r="AH98" i="1"/>
  <c r="AH233" i="1"/>
  <c r="AH204" i="1"/>
  <c r="AH131" i="1"/>
  <c r="AH132" i="1"/>
  <c r="AH149" i="1"/>
  <c r="AH150" i="1"/>
  <c r="AH151" i="1"/>
  <c r="AH152" i="1"/>
  <c r="AH153" i="1"/>
  <c r="AH154" i="1"/>
  <c r="AH181" i="1"/>
  <c r="AH205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<sst xmlns="http://schemas.openxmlformats.org/spreadsheetml/2006/main" count="2237" uniqueCount="784">
  <si>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</si>
  <si>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</si>
  <si>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</si>
  <si>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</si>
  <si>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</si>
  <si>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</si>
  <si>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</si>
  <si>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</si>
  <si>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</si>
  <si>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</si>
  <si>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</si>
  <si>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</si>
  <si>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</si>
  <si>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</si>
  <si>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</si>
  <si>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</si>
  <si>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</si>
  <si>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</si>
  <si>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</si>
  <si>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</si>
  <si>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</si>
  <si>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</si>
  <si>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</si>
  <si>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</si>
  <si>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</si>
  <si>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</si>
  <si>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</si>
  <si>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</si>
  <si>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</si>
  <si>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</si>
  <si>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</si>
  <si>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</si>
  <si>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</si>
  <si>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</si>
  <si>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</si>
  <si>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</si>
  <si>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</si>
  <si>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</si>
  <si>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</si>
  <si>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</si>
  <si>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</si>
  <si>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</si>
  <si>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</si>
  <si>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</si>
  <si>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</si>
  <si>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</si>
  <si>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</si>
  <si>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</si>
  <si>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</si>
  <si>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</si>
  <si>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</si>
  <si>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</si>
  <si>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</si>
  <si>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</si>
  <si>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</si>
  <si>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</si>
  <si>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</si>
  <si>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</si>
  <si>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</si>
  <si>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</si>
  <si>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</si>
  <si>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</si>
  <si>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</si>
  <si>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</si>
  <si>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</si>
  <si>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</si>
  <si>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</si>
  <si>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</si>
  <si>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</si>
  <si>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</si>
  <si>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</si>
  <si>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</si>
  <si>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</si>
  <si>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</si>
  <si>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</si>
  <si>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</si>
  <si>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</si>
  <si>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</si>
  <si>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</si>
  <si>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</si>
  <si>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</si>
  <si>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</si>
  <si>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</si>
  <si>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</si>
  <si>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</si>
  <si>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</si>
  <si>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</si>
  <si>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</si>
  <si>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</si>
  <si>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</si>
  <si>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</si>
  <si>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</si>
  <si>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</si>
  <si>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</si>
  <si>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</si>
  <si>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</si>
  <si>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</si>
  <si>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</si>
  <si>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</si>
  <si>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</si>
  <si>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</si>
  <si>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</si>
  <si>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</si>
  <si>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</si>
  <si>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</si>
  <si>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</si>
  <si>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</si>
  <si>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</si>
  <si>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</si>
  <si>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</si>
  <si>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</si>
  <si>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</si>
  <si>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</si>
  <si>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</si>
  <si>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</si>
  <si>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</si>
  <si>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</si>
  <si>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</si>
  <si>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</si>
  <si>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</si>
  <si>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</si>
  <si>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</si>
  <si>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</si>
  <si>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</si>
  <si>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</si>
  <si>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</si>
  <si>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</si>
  <si>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</si>
  <si>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</si>
  <si>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</si>
  <si>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</si>
  <si>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</si>
  <si>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</si>
  <si>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</si>
  <si>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</si>
  <si>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</si>
  <si>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</si>
  <si>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</si>
  <si>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</si>
  <si>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</si>
  <si>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</si>
  <si>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</si>
  <si>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</si>
  <si>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</si>
  <si>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</si>
  <si>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</si>
  <si>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</si>
  <si>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</si>
  <si>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</si>
  <si>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</si>
  <si>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</si>
  <si>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</si>
  <si>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</si>
  <si>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</si>
  <si>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</si>
  <si>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</si>
  <si>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</si>
  <si>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</si>
  <si>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</si>
  <si>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</si>
  <si>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</si>
  <si>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</si>
  <si>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</si>
  <si>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</si>
  <si>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</si>
  <si>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</si>
  <si>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</si>
  <si>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</si>
  <si>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</si>
  <si>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</si>
  <si>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</si>
  <si>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</si>
  <si>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</si>
  <si>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</si>
  <si>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</si>
  <si>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</si>
  <si>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</si>
  <si>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</si>
  <si>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</si>
  <si>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</si>
  <si>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</si>
  <si>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</si>
  <si>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</si>
  <si>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</si>
  <si>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</si>
  <si>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</si>
  <si>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</si>
  <si>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</si>
  <si>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</si>
  <si>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</si>
  <si>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</si>
  <si>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</si>
  <si>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</si>
  <si>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</si>
  <si>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</si>
  <si>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</si>
  <si>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</si>
  <si>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</si>
  <si>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</si>
  <si>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</si>
  <si>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</si>
  <si>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</si>
  <si>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</si>
  <si>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</si>
  <si>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</si>
  <si>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</si>
  <si>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</si>
  <si>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</si>
  <si>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</si>
  <si>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</si>
  <si>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</si>
  <si>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</si>
  <si>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</si>
  <si>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</si>
  <si>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</si>
  <si>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</si>
  <si>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</si>
  <si>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</si>
  <si>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</si>
  <si>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</si>
  <si>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</si>
  <si>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</si>
  <si>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</si>
  <si>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</si>
  <si>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rtdc.l.rtdc.4006:itc</t>
  </si>
  <si>
    <t>:.+((SYSTEM_STATE.+slice.+state.+changed )|(ment ac)|(system.+state.+changed )|(\[timeout)|(PRM\|1\|D)|(kpr)|(kdp)|(\|lc)|(penalty))</t>
  </si>
  <si>
    <t>STURGEON</t>
  </si>
  <si>
    <t>204:232978</t>
  </si>
  <si>
    <t>204:232986</t>
  </si>
  <si>
    <t>204:161</t>
  </si>
  <si>
    <t>204:477</t>
  </si>
  <si>
    <t>s3://rtdc.mdm.uploadarchive.raw</t>
  </si>
  <si>
    <t>204:449</t>
  </si>
  <si>
    <t>204:232980</t>
  </si>
  <si>
    <t>204:232996</t>
  </si>
  <si>
    <t>204:165</t>
  </si>
  <si>
    <t>204:232969</t>
  </si>
  <si>
    <t>rtdc.l.rtdc.4010:itc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</si>
  <si>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</si>
  <si>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</si>
  <si>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</si>
  <si>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</si>
  <si>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</si>
  <si>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</si>
  <si>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204:447</t>
  </si>
  <si>
    <t>204:233321</t>
  </si>
  <si>
    <t>rtdc.l.rtdc.4003:itc</t>
  </si>
  <si>
    <t>rtdc.l.rtdc.4004:itc</t>
  </si>
  <si>
    <t>204:232998</t>
  </si>
  <si>
    <t>204:233297</t>
  </si>
  <si>
    <t>204:233304</t>
  </si>
  <si>
    <t>204:469</t>
  </si>
  <si>
    <t>204:233021</t>
  </si>
  <si>
    <t>204:232975</t>
  </si>
  <si>
    <t>204:233276</t>
  </si>
  <si>
    <t>204:233299</t>
  </si>
  <si>
    <t>204:232985</t>
  </si>
  <si>
    <t>204:446</t>
  </si>
  <si>
    <t>204:233319</t>
  </si>
  <si>
    <t>204:480</t>
  </si>
  <si>
    <t>rtdc.l.rtdc.4001:itc</t>
  </si>
  <si>
    <t>rtdc.l.rtdc.4002:itc</t>
  </si>
  <si>
    <t>BRANNON</t>
  </si>
  <si>
    <t>rtdc.l.rtdc.4021:itc</t>
  </si>
  <si>
    <t>rtdc.l.rtdc.4022:itc</t>
  </si>
  <si>
    <t>BONDS</t>
  </si>
  <si>
    <t>40th 4S STOP, cleared afterward</t>
  </si>
  <si>
    <t>rtdc.l.rtdc.4008:itc</t>
  </si>
  <si>
    <t>rtdc.l.rtdc.4044:itc</t>
  </si>
  <si>
    <t>GEBRETEKLE</t>
  </si>
  <si>
    <t>rtdc.l.rtdc.4007:itc</t>
  </si>
  <si>
    <t>STORY</t>
  </si>
  <si>
    <t>204:712</t>
  </si>
  <si>
    <t>204:233002</t>
  </si>
  <si>
    <t>204:232993</t>
  </si>
  <si>
    <t>204:233325</t>
  </si>
  <si>
    <t>204:232974</t>
  </si>
  <si>
    <t>204:233013</t>
  </si>
  <si>
    <t>204:460</t>
  </si>
  <si>
    <t>204:478</t>
  </si>
  <si>
    <t>DE.1.0.8.0</t>
  </si>
  <si>
    <t>300:58931</t>
  </si>
  <si>
    <t>204:972</t>
  </si>
  <si>
    <t>Early arrival</t>
  </si>
  <si>
    <t>MAELZER</t>
  </si>
  <si>
    <t>STRICKLAND</t>
  </si>
  <si>
    <t>ROCHA</t>
  </si>
  <si>
    <t>MOSES</t>
  </si>
  <si>
    <t>HILLS</t>
  </si>
  <si>
    <t>YOUNG</t>
  </si>
  <si>
    <t>204:232976</t>
  </si>
  <si>
    <t>204:232990</t>
  </si>
  <si>
    <t>204:233286</t>
  </si>
  <si>
    <t>204:232961</t>
  </si>
  <si>
    <t>204:232989</t>
  </si>
  <si>
    <t>204:233270</t>
  </si>
  <si>
    <t>204:233000</t>
  </si>
  <si>
    <t>204:233305</t>
  </si>
  <si>
    <t>300:23312</t>
  </si>
  <si>
    <t>204:473</t>
  </si>
  <si>
    <t>204:691</t>
  </si>
  <si>
    <t>204:682</t>
  </si>
  <si>
    <t>204:986</t>
  </si>
  <si>
    <t>204:988</t>
  </si>
  <si>
    <t>300:58952</t>
  </si>
  <si>
    <t>300:58941</t>
  </si>
  <si>
    <t>Did not init</t>
  </si>
  <si>
    <t>rtdc.l.rtdc.4046:itc</t>
  </si>
  <si>
    <t>rtdc.l.rtdc.4054:itc</t>
  </si>
  <si>
    <t>rtdc.l.rtdc.4045:itc</t>
  </si>
  <si>
    <t>SHOOK</t>
  </si>
  <si>
    <t>rtdc.l.rtdc.4005:itc</t>
  </si>
  <si>
    <t>NEWELL</t>
  </si>
  <si>
    <t>PUGH</t>
  </si>
  <si>
    <t>56-06</t>
  </si>
  <si>
    <t>309-06</t>
  </si>
  <si>
    <t>244-06</t>
  </si>
  <si>
    <t>311-06</t>
  </si>
  <si>
    <t>315-06</t>
  </si>
  <si>
    <t>Y</t>
  </si>
  <si>
    <t>204:754</t>
  </si>
  <si>
    <t>204:765</t>
  </si>
  <si>
    <t>204:475</t>
  </si>
  <si>
    <t>204:233303</t>
  </si>
  <si>
    <t>204:444</t>
  </si>
  <si>
    <t>204:440</t>
  </si>
  <si>
    <t>204:233338</t>
  </si>
  <si>
    <t>204:437</t>
  </si>
  <si>
    <t>204:233311</t>
  </si>
  <si>
    <t>204:482</t>
  </si>
  <si>
    <t>204:136</t>
  </si>
  <si>
    <t>204:233318</t>
  </si>
  <si>
    <t>204:233282</t>
  </si>
  <si>
    <t>204:139</t>
  </si>
  <si>
    <t>204:233264</t>
  </si>
  <si>
    <t>204:233280</t>
  </si>
  <si>
    <t>204:143</t>
  </si>
  <si>
    <t>204:232967</t>
  </si>
  <si>
    <t>204:435</t>
  </si>
  <si>
    <t>300:23302</t>
  </si>
  <si>
    <t>204:491</t>
  </si>
  <si>
    <t>300:23308</t>
  </si>
  <si>
    <t>204:1225</t>
  </si>
  <si>
    <t>204:10603</t>
  </si>
  <si>
    <t>204:128134</t>
  </si>
  <si>
    <t>204:127875</t>
  </si>
  <si>
    <t>204:10343</t>
  </si>
  <si>
    <t>300:23346</t>
  </si>
  <si>
    <t>204:1023</t>
  </si>
  <si>
    <t>300:58624</t>
  </si>
  <si>
    <t>204:962</t>
  </si>
  <si>
    <t>300:58963</t>
  </si>
  <si>
    <t>300:58604</t>
  </si>
  <si>
    <t>204:979</t>
  </si>
  <si>
    <t>204:724</t>
  </si>
  <si>
    <t>300:58946</t>
  </si>
  <si>
    <t>204:668</t>
  </si>
  <si>
    <t>204:999</t>
  </si>
  <si>
    <t>204:951</t>
  </si>
  <si>
    <t>204:738</t>
  </si>
  <si>
    <t>300:58914</t>
  </si>
  <si>
    <t>204:948</t>
  </si>
  <si>
    <t>300:24263</t>
  </si>
  <si>
    <t>clear-night</t>
  </si>
  <si>
    <t>Improper execution of Form C</t>
  </si>
  <si>
    <t>101-07</t>
  </si>
  <si>
    <t>204:723</t>
  </si>
  <si>
    <t>102-07</t>
  </si>
  <si>
    <t>204:232681</t>
  </si>
  <si>
    <t>103-07</t>
  </si>
  <si>
    <t>204:788</t>
  </si>
  <si>
    <t>104-07</t>
  </si>
  <si>
    <t>204:232694</t>
  </si>
  <si>
    <t>105-07</t>
  </si>
  <si>
    <t>204:777</t>
  </si>
  <si>
    <t>106-07</t>
  </si>
  <si>
    <t>204:232660</t>
  </si>
  <si>
    <t>204:172</t>
  </si>
  <si>
    <t>107-07</t>
  </si>
  <si>
    <t>108-07</t>
  </si>
  <si>
    <t>109-07</t>
  </si>
  <si>
    <t>204:61723</t>
  </si>
  <si>
    <t>204:64708</t>
  </si>
  <si>
    <t>110-07</t>
  </si>
  <si>
    <t>111-07</t>
  </si>
  <si>
    <t>204:779</t>
  </si>
  <si>
    <t>112-07</t>
  </si>
  <si>
    <t>113-07</t>
  </si>
  <si>
    <t>114-07</t>
  </si>
  <si>
    <t>204:232991</t>
  </si>
  <si>
    <t>115-07</t>
  </si>
  <si>
    <t>116-07</t>
  </si>
  <si>
    <t>117-07</t>
  </si>
  <si>
    <t>118-07</t>
  </si>
  <si>
    <t>204:232994</t>
  </si>
  <si>
    <t>119-07</t>
  </si>
  <si>
    <t>204:775</t>
  </si>
  <si>
    <t>120-07</t>
  </si>
  <si>
    <t>204:232944</t>
  </si>
  <si>
    <t>121-07</t>
  </si>
  <si>
    <t>204:233274</t>
  </si>
  <si>
    <t>122-07</t>
  </si>
  <si>
    <t>204:232981</t>
  </si>
  <si>
    <t>123-07</t>
  </si>
  <si>
    <t>204:233284</t>
  </si>
  <si>
    <t>124-07</t>
  </si>
  <si>
    <t>204:167</t>
  </si>
  <si>
    <t>125-07</t>
  </si>
  <si>
    <t>126-07</t>
  </si>
  <si>
    <t>127-07</t>
  </si>
  <si>
    <t>128-07</t>
  </si>
  <si>
    <t>204:232988</t>
  </si>
  <si>
    <t>129-07</t>
  </si>
  <si>
    <t>130-07</t>
  </si>
  <si>
    <t>131-07</t>
  </si>
  <si>
    <t>204:429</t>
  </si>
  <si>
    <t>204:233309</t>
  </si>
  <si>
    <t>132-07</t>
  </si>
  <si>
    <t>204:233001</t>
  </si>
  <si>
    <t>133-07</t>
  </si>
  <si>
    <t>204:233295</t>
  </si>
  <si>
    <t>134-07</t>
  </si>
  <si>
    <t>204:125</t>
  </si>
  <si>
    <t>135-07</t>
  </si>
  <si>
    <t>136-07</t>
  </si>
  <si>
    <t>137-07</t>
  </si>
  <si>
    <t>138-07</t>
  </si>
  <si>
    <t>139-07</t>
  </si>
  <si>
    <t>204:233322</t>
  </si>
  <si>
    <t>140-07</t>
  </si>
  <si>
    <t>204:233009</t>
  </si>
  <si>
    <t>141-07</t>
  </si>
  <si>
    <t>142-07</t>
  </si>
  <si>
    <t>204:233017</t>
  </si>
  <si>
    <t>143-07</t>
  </si>
  <si>
    <t>144-07</t>
  </si>
  <si>
    <t>145-07</t>
  </si>
  <si>
    <t>146-07</t>
  </si>
  <si>
    <t>204:129</t>
  </si>
  <si>
    <t>147-07</t>
  </si>
  <si>
    <t>148-07</t>
  </si>
  <si>
    <t>149-07</t>
  </si>
  <si>
    <t>150-07</t>
  </si>
  <si>
    <t>151-07</t>
  </si>
  <si>
    <t>152-07</t>
  </si>
  <si>
    <t>204:180</t>
  </si>
  <si>
    <t>153-07</t>
  </si>
  <si>
    <t>204:233281</t>
  </si>
  <si>
    <t>154-07</t>
  </si>
  <si>
    <t>155-07</t>
  </si>
  <si>
    <t>156-07</t>
  </si>
  <si>
    <t>157-07</t>
  </si>
  <si>
    <t>204:233257</t>
  </si>
  <si>
    <t>158-07</t>
  </si>
  <si>
    <t>204:232962</t>
  </si>
  <si>
    <t>159-07</t>
  </si>
  <si>
    <t>160-07</t>
  </si>
  <si>
    <t>204:232</t>
  </si>
  <si>
    <t>161-07</t>
  </si>
  <si>
    <t>162-07</t>
  </si>
  <si>
    <t>163-07</t>
  </si>
  <si>
    <t>164-07</t>
  </si>
  <si>
    <t>204:233003</t>
  </si>
  <si>
    <t>165-07</t>
  </si>
  <si>
    <t>204:524</t>
  </si>
  <si>
    <t>204:233302</t>
  </si>
  <si>
    <t>166-07</t>
  </si>
  <si>
    <t>167-07</t>
  </si>
  <si>
    <t>168-07</t>
  </si>
  <si>
    <t>204:233011</t>
  </si>
  <si>
    <t>169-07</t>
  </si>
  <si>
    <t>204:233355</t>
  </si>
  <si>
    <t>170-07</t>
  </si>
  <si>
    <t>204:233034</t>
  </si>
  <si>
    <t>171-07</t>
  </si>
  <si>
    <t>204:233324</t>
  </si>
  <si>
    <t>172-07</t>
  </si>
  <si>
    <t>204:233007</t>
  </si>
  <si>
    <t>204:196</t>
  </si>
  <si>
    <t>173-07</t>
  </si>
  <si>
    <t>204:566</t>
  </si>
  <si>
    <t>174-07</t>
  </si>
  <si>
    <t>175-07</t>
  </si>
  <si>
    <t>176-07</t>
  </si>
  <si>
    <t>204:232984</t>
  </si>
  <si>
    <t>177-07</t>
  </si>
  <si>
    <t>204:233278</t>
  </si>
  <si>
    <t>178-07</t>
  </si>
  <si>
    <t>179-07</t>
  </si>
  <si>
    <t>204:233288</t>
  </si>
  <si>
    <t>180-07</t>
  </si>
  <si>
    <t>204:232982</t>
  </si>
  <si>
    <t>181-07</t>
  </si>
  <si>
    <t>204:233347</t>
  </si>
  <si>
    <t>182-07</t>
  </si>
  <si>
    <t>183-07</t>
  </si>
  <si>
    <t>204:233359</t>
  </si>
  <si>
    <t>184-07</t>
  </si>
  <si>
    <t>204:233038</t>
  </si>
  <si>
    <t>185-07</t>
  </si>
  <si>
    <t>204:502</t>
  </si>
  <si>
    <t>204:233249</t>
  </si>
  <si>
    <t>186-07</t>
  </si>
  <si>
    <t>204:232938</t>
  </si>
  <si>
    <t>187-07</t>
  </si>
  <si>
    <t>188-07</t>
  </si>
  <si>
    <t>204:1186</t>
  </si>
  <si>
    <t>189-07</t>
  </si>
  <si>
    <t>190-07</t>
  </si>
  <si>
    <t>191-07</t>
  </si>
  <si>
    <t>204:233272</t>
  </si>
  <si>
    <t>192-07</t>
  </si>
  <si>
    <t>204:232950</t>
  </si>
  <si>
    <t>193-07</t>
  </si>
  <si>
    <t>204:233310</t>
  </si>
  <si>
    <t>194-07</t>
  </si>
  <si>
    <t>195-07</t>
  </si>
  <si>
    <t>204:233345</t>
  </si>
  <si>
    <t>196-07</t>
  </si>
  <si>
    <t>197-07</t>
  </si>
  <si>
    <t>198-07</t>
  </si>
  <si>
    <t>204:233027</t>
  </si>
  <si>
    <t>199-07</t>
  </si>
  <si>
    <t>200-07</t>
  </si>
  <si>
    <t>201-07</t>
  </si>
  <si>
    <t>202-07</t>
  </si>
  <si>
    <t>204:232672</t>
  </si>
  <si>
    <t>203-07</t>
  </si>
  <si>
    <t>204:233259</t>
  </si>
  <si>
    <t>204-07</t>
  </si>
  <si>
    <t>205-07</t>
  </si>
  <si>
    <t>204:231724</t>
  </si>
  <si>
    <t>206-07</t>
  </si>
  <si>
    <t>207-07</t>
  </si>
  <si>
    <t>208-07</t>
  </si>
  <si>
    <t>204:232957</t>
  </si>
  <si>
    <t>209-07</t>
  </si>
  <si>
    <t>204:233162</t>
  </si>
  <si>
    <t>210-07</t>
  </si>
  <si>
    <t>204:232836</t>
  </si>
  <si>
    <t>204:935</t>
  </si>
  <si>
    <t>211-07</t>
  </si>
  <si>
    <t>204:233360</t>
  </si>
  <si>
    <t>212-07</t>
  </si>
  <si>
    <t>204:233032</t>
  </si>
  <si>
    <t>204:887</t>
  </si>
  <si>
    <t>213-07</t>
  </si>
  <si>
    <t>214-07</t>
  </si>
  <si>
    <t>215-07</t>
  </si>
  <si>
    <t>204:233316</t>
  </si>
  <si>
    <t>216-07</t>
  </si>
  <si>
    <t>204:233028</t>
  </si>
  <si>
    <t>217-07</t>
  </si>
  <si>
    <t>204:488</t>
  </si>
  <si>
    <t>218-07</t>
  </si>
  <si>
    <t>219-07</t>
  </si>
  <si>
    <t>204:233130</t>
  </si>
  <si>
    <t>220-07</t>
  </si>
  <si>
    <t>204:232808</t>
  </si>
  <si>
    <t>221-07</t>
  </si>
  <si>
    <t>222-07</t>
  </si>
  <si>
    <t>223-07</t>
  </si>
  <si>
    <t>224-07</t>
  </si>
  <si>
    <t>225-07</t>
  </si>
  <si>
    <t>226-07</t>
  </si>
  <si>
    <t>227-07</t>
  </si>
  <si>
    <t>228-07</t>
  </si>
  <si>
    <t>229-07</t>
  </si>
  <si>
    <t>230-07</t>
  </si>
  <si>
    <t>231-07</t>
  </si>
  <si>
    <t>232-07</t>
  </si>
  <si>
    <t>233-07</t>
  </si>
  <si>
    <t>234-07</t>
  </si>
  <si>
    <t>235-07</t>
  </si>
  <si>
    <t>236-07</t>
  </si>
  <si>
    <t>237-07</t>
  </si>
  <si>
    <t>238-07</t>
  </si>
  <si>
    <t>239-07</t>
  </si>
  <si>
    <t>240-07</t>
  </si>
  <si>
    <t>241-07</t>
  </si>
  <si>
    <t>242-07</t>
  </si>
  <si>
    <t>243-07</t>
  </si>
  <si>
    <t>204:493</t>
  </si>
  <si>
    <t>244-07</t>
  </si>
  <si>
    <t>204:232953</t>
  </si>
  <si>
    <t>245-07</t>
  </si>
  <si>
    <t>246-07</t>
  </si>
  <si>
    <t>304-07</t>
  </si>
  <si>
    <t>300:23427</t>
  </si>
  <si>
    <t>305-07</t>
  </si>
  <si>
    <t>204:1192</t>
  </si>
  <si>
    <t>306-07</t>
  </si>
  <si>
    <t>300:23640</t>
  </si>
  <si>
    <t>300:19386</t>
  </si>
  <si>
    <t>307-07</t>
  </si>
  <si>
    <t>300:23301</t>
  </si>
  <si>
    <t>308-07</t>
  </si>
  <si>
    <t>300:22144</t>
  </si>
  <si>
    <t>309-07</t>
  </si>
  <si>
    <t>300:23291</t>
  </si>
  <si>
    <t>310-07</t>
  </si>
  <si>
    <t>300:23262</t>
  </si>
  <si>
    <t>204:183</t>
  </si>
  <si>
    <t>311-07</t>
  </si>
  <si>
    <t>300:22854</t>
  </si>
  <si>
    <t>313-07</t>
  </si>
  <si>
    <t>300:23304</t>
  </si>
  <si>
    <t>315-07</t>
  </si>
  <si>
    <t>50-07</t>
  </si>
  <si>
    <t>300:23841</t>
  </si>
  <si>
    <t>300:20104</t>
  </si>
  <si>
    <t>51-07</t>
  </si>
  <si>
    <t>204:1151</t>
  </si>
  <si>
    <t>300:24248</t>
  </si>
  <si>
    <t>52-07</t>
  </si>
  <si>
    <t>300:23457</t>
  </si>
  <si>
    <t>204:88</t>
  </si>
  <si>
    <t>204:10578</t>
  </si>
  <si>
    <t>204:128195</t>
  </si>
  <si>
    <t>204:127939</t>
  </si>
  <si>
    <t>204:665</t>
  </si>
  <si>
    <t>56-07</t>
  </si>
  <si>
    <t>300:22202</t>
  </si>
  <si>
    <t>56-08</t>
  </si>
  <si>
    <t>204:10608</t>
  </si>
  <si>
    <t>204:128028</t>
  </si>
  <si>
    <t>57-07</t>
  </si>
  <si>
    <t>58-07</t>
  </si>
  <si>
    <t>300:23210</t>
  </si>
  <si>
    <t>204:2085</t>
  </si>
  <si>
    <t>60-07</t>
  </si>
  <si>
    <t>204:748</t>
  </si>
  <si>
    <t>204:128798</t>
  </si>
  <si>
    <t>62-07</t>
  </si>
  <si>
    <t>204:127773</t>
  </si>
  <si>
    <t>204:10367</t>
  </si>
  <si>
    <t>63-07</t>
  </si>
  <si>
    <t>204:1273</t>
  </si>
  <si>
    <t>65-07</t>
  </si>
  <si>
    <t>66-07</t>
  </si>
  <si>
    <t>204:910</t>
  </si>
  <si>
    <t>67-07</t>
  </si>
  <si>
    <t>204:1260</t>
  </si>
  <si>
    <t>70-07</t>
  </si>
  <si>
    <t>204:3168</t>
  </si>
  <si>
    <t>71-07</t>
  </si>
  <si>
    <t>204:688</t>
  </si>
  <si>
    <t>300:24229</t>
  </si>
  <si>
    <t>800-07</t>
  </si>
  <si>
    <t>300:58653</t>
  </si>
  <si>
    <t>204:678</t>
  </si>
  <si>
    <t>801-07</t>
  </si>
  <si>
    <t>204:974</t>
  </si>
  <si>
    <t>802-07</t>
  </si>
  <si>
    <t>300:58655</t>
  </si>
  <si>
    <t>804-07</t>
  </si>
  <si>
    <t>300:20187</t>
  </si>
  <si>
    <t>204:703</t>
  </si>
  <si>
    <t>300:25825</t>
  </si>
  <si>
    <t>805-07</t>
  </si>
  <si>
    <t>204:1032</t>
  </si>
  <si>
    <t>300:58961</t>
  </si>
  <si>
    <t>806-07</t>
  </si>
  <si>
    <t>300:58643</t>
  </si>
  <si>
    <t>807-07</t>
  </si>
  <si>
    <t>808-07</t>
  </si>
  <si>
    <t>300:58609</t>
  </si>
  <si>
    <t>204:787</t>
  </si>
  <si>
    <t>809-07</t>
  </si>
  <si>
    <t>810-07</t>
  </si>
  <si>
    <t>300:58634</t>
  </si>
  <si>
    <t>811-07</t>
  </si>
  <si>
    <t>204:1055</t>
  </si>
  <si>
    <t>300:58907</t>
  </si>
  <si>
    <t>812-07</t>
  </si>
  <si>
    <t>300:58583</t>
  </si>
  <si>
    <t>204:670</t>
  </si>
  <si>
    <t>813-07</t>
  </si>
  <si>
    <t>300:58926</t>
  </si>
  <si>
    <t>814-07</t>
  </si>
  <si>
    <t>300:58602</t>
  </si>
  <si>
    <t>204:832</t>
  </si>
  <si>
    <t>815-07</t>
  </si>
  <si>
    <t>204:1133</t>
  </si>
  <si>
    <t>300:58999</t>
  </si>
  <si>
    <t>816-07</t>
  </si>
  <si>
    <t>300:58679</t>
  </si>
  <si>
    <t>204:768</t>
  </si>
  <si>
    <t>817-07</t>
  </si>
  <si>
    <t>204:1062</t>
  </si>
  <si>
    <t>300:58920</t>
  </si>
  <si>
    <t>818-07</t>
  </si>
  <si>
    <t>300:58611</t>
  </si>
  <si>
    <t>204:701</t>
  </si>
  <si>
    <t>819-07</t>
  </si>
  <si>
    <t>204:990</t>
  </si>
  <si>
    <t>820-07</t>
  </si>
  <si>
    <t>300:58630</t>
  </si>
  <si>
    <t>821-07</t>
  </si>
  <si>
    <t>204:1049</t>
  </si>
  <si>
    <t>822-07</t>
  </si>
  <si>
    <t>300:58598</t>
  </si>
  <si>
    <t>204:733</t>
  </si>
  <si>
    <t>823-07</t>
  </si>
  <si>
    <t>204:997</t>
  </si>
  <si>
    <t>300:58916</t>
  </si>
  <si>
    <t>824-07</t>
  </si>
  <si>
    <t>300:57849</t>
  </si>
  <si>
    <t>825-07</t>
  </si>
  <si>
    <t>204:969</t>
  </si>
  <si>
    <t>826-07</t>
  </si>
  <si>
    <t>204:673</t>
  </si>
  <si>
    <t>827-07</t>
  </si>
  <si>
    <t>828-07</t>
  </si>
  <si>
    <t>204:640</t>
  </si>
  <si>
    <t>829-07</t>
  </si>
  <si>
    <t>830-07</t>
  </si>
  <si>
    <t>831-07</t>
  </si>
  <si>
    <t>204:936</t>
  </si>
  <si>
    <t>832-07</t>
  </si>
  <si>
    <t>300:58592</t>
  </si>
  <si>
    <t>204:675</t>
  </si>
  <si>
    <t>833-07</t>
  </si>
  <si>
    <t>834-07</t>
  </si>
  <si>
    <t>300:58615</t>
  </si>
  <si>
    <t>835-07</t>
  </si>
  <si>
    <t>836-07</t>
  </si>
  <si>
    <t>204:656</t>
  </si>
  <si>
    <t>837-07</t>
  </si>
  <si>
    <t>838-07</t>
  </si>
  <si>
    <t>300:58619</t>
  </si>
  <si>
    <t>204:705</t>
  </si>
  <si>
    <t>839-07</t>
  </si>
  <si>
    <t>204:957</t>
  </si>
  <si>
    <t>300:58912</t>
  </si>
  <si>
    <t>840-07</t>
  </si>
  <si>
    <t>841-07</t>
  </si>
  <si>
    <t>842-07</t>
  </si>
  <si>
    <t>300:58587</t>
  </si>
  <si>
    <t>843-07</t>
  </si>
  <si>
    <t>844-07</t>
  </si>
  <si>
    <t>300:58608</t>
  </si>
  <si>
    <t>845-07</t>
  </si>
  <si>
    <t>204:1034</t>
  </si>
  <si>
    <t>847-07</t>
  </si>
  <si>
    <t>204:941</t>
  </si>
  <si>
    <t>901-07</t>
  </si>
  <si>
    <t>300:30400</t>
  </si>
  <si>
    <t>902-07</t>
  </si>
  <si>
    <t>300:22217</t>
  </si>
  <si>
    <t>903-07</t>
  </si>
  <si>
    <t>204:1039</t>
  </si>
  <si>
    <t>904-07</t>
  </si>
  <si>
    <t>300:23552</t>
  </si>
  <si>
    <t>906-07</t>
  </si>
  <si>
    <t>300:28776</t>
  </si>
  <si>
    <t>908-07</t>
  </si>
  <si>
    <t>300:58596</t>
  </si>
  <si>
    <t>300:21733</t>
  </si>
  <si>
    <t>rtdc.l.rtdc.4037:itc</t>
  </si>
  <si>
    <t>rtdc.l.rtdc.4020:itc</t>
  </si>
  <si>
    <t>rtdc.l.rtdc.4019:itc</t>
  </si>
  <si>
    <t>rtdc.l.rtdc.4013:itc</t>
  </si>
  <si>
    <t>DAVIS</t>
  </si>
  <si>
    <t>MALAVE</t>
  </si>
  <si>
    <t>SPECTOR</t>
  </si>
  <si>
    <t>rtdc.l.rtdc.4038:itc</t>
  </si>
  <si>
    <t>BEAM</t>
  </si>
  <si>
    <t>STEWART</t>
  </si>
  <si>
    <t>CLARK</t>
  </si>
  <si>
    <t>ARVIDSON</t>
  </si>
  <si>
    <t>HAITHCOX</t>
  </si>
  <si>
    <t>rtdc.l.rtdc.4014:itc</t>
  </si>
  <si>
    <t>SWANSON</t>
  </si>
  <si>
    <t>CHANDLER</t>
  </si>
  <si>
    <t>64-07</t>
  </si>
  <si>
    <t>MATTHEWS</t>
  </si>
  <si>
    <t>clear-day</t>
  </si>
  <si>
    <t>Summary for DUS 2016-10-07: Clear throughout the day.</t>
  </si>
  <si>
    <t>Powered by darksky [darksky.net]</t>
  </si>
  <si>
    <t>Premature downgrade at CRMFP 2S</t>
  </si>
  <si>
    <t>At 06:48:05, CRMFP 2S downgraded from PROCEED CAB to STOP, but the downgrade seemed unexpected. Was this as-designed or something strange happened?</t>
  </si>
  <si>
    <t>803-07</t>
  </si>
  <si>
    <t>Pena 4S STOP, cleared afterward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</si>
</sst>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5"/>
  <sheetViews>
    <sheetView tabSelected="1" workbookViewId="0">
      <selection activeCell="P16" sqref="P16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.14062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42650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42650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COUNTIFS($N$13:$N$9388,"&gt;0",$AG$13:$AG$9388,I1)</f>
        <v>145</v>
      </c>
      <c r="K5" s="46"/>
      <c r="L5" s="46"/>
      <c r="M5" s="47">
        <f>AVERAGEIFS($N$13:$N$9388,$AG$13:$AG$9388,I1)</f>
        <v>38.86988505735544</v>
      </c>
      <c r="N5" s="45">
        <f t="array" ref="N5">MIN(IF($AG$13:$AG$9388=I1,IF(ISNUMBER($N$13:$N$9388),IF($N$13:$N$9388&gt;0,$N$13:$N$9388))))</f>
        <v>34.266666672192514</v>
      </c>
      <c r="O5" s="3">
        <f t="array" ref="O5">MAX(IF($AG$13:$AG$9388=I1,IF(ISNUMBER($N$13:$N$9388),IF($N$13:$N$9388&gt;0,$N$13:$N$9388))))</f>
        <v>49.533333324361593</v>
      </c>
      <c r="P5" s="2"/>
      <c r="R5" s="83" t="s">
        <v>17</v>
      </c>
      <c r="S5" s="57">
        <f>COUNTIFS($N$13:$N$9388,"&gt;0",$AG$13:$AG$9388,R1)</f>
        <v>45</v>
      </c>
      <c r="T5" s="46"/>
      <c r="U5" s="156"/>
      <c r="V5" s="47">
        <f>AVERAGEIFS($N$13:$N$9388,$AG$13:$AG$9388,R1)</f>
        <v>15.72814814792946</v>
      </c>
      <c r="W5" s="45">
        <f t="array" ref="W5">MIN(IF($AG$13:$AG$9388=R1,IF(ISNUMBER($N$13:$N$9388),IF($N$13:$N$9388&gt;0,$N$13:$N$9388))))</f>
        <v>13.383333329111338</v>
      </c>
      <c r="X5" s="161">
        <f t="array" ref="X5">MAX(IF($AG$13:$AG$9388=R1,IF(ISNUMBER($N$13:$N$9388),IF($N$13:$N$9388&gt;0,$N$13:$N$9388))))</f>
        <v>24.149999998044223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COUNT($O$13:$O$166)</f>
        <v>0</v>
      </c>
      <c r="K6" s="46"/>
      <c r="L6" s="46"/>
      <c r="M6" s="47">
        <f>IFERROR(AVERAGE($O$13:$O$166),0)</f>
        <v>0</v>
      </c>
      <c r="N6" s="45">
        <f>MIN($O$13:$O$166)</f>
        <v>0</v>
      </c>
      <c r="O6" s="3">
        <f>MAX($O$13:$O$166)</f>
        <v>0</v>
      </c>
      <c r="P6" s="2"/>
      <c r="R6" s="84" t="s">
        <v>43</v>
      </c>
      <c r="S6" s="57">
        <f>COUNT($O$13:$O$166)</f>
        <v>0</v>
      </c>
      <c r="T6" s="46"/>
      <c r="U6" s="156"/>
      <c r="V6" s="47">
        <f>IFERROR(AVERAGE($O$13:$O$166),0)</f>
        <v>0</v>
      </c>
      <c r="W6" s="45">
        <f>MIN($O$13:$O$166)</f>
        <v>0</v>
      </c>
      <c r="X6" s="161">
        <f>MAX($O$13:$O$166)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COUNTIFS($P$13:$P$9388,"&gt;0",$AG$13:$AG$9388,I1)</f>
        <v>1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COUNTIFS($P$13:$P$9388,"&gt;0",$AG$13:$AG$9388,R1)</f>
        <v>2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145</v>
      </c>
      <c r="K8" s="46"/>
      <c r="L8" s="46"/>
      <c r="M8" s="47">
        <f>M5</f>
        <v>38.86988505735544</v>
      </c>
      <c r="N8" s="45">
        <f>N5</f>
        <v>34.266666672192514</v>
      </c>
      <c r="O8" s="3">
        <f>O5</f>
        <v>49.533333324361593</v>
      </c>
      <c r="P8" s="2"/>
      <c r="R8" s="83" t="s">
        <v>16</v>
      </c>
      <c r="S8" s="57">
        <f>S5</f>
        <v>45</v>
      </c>
      <c r="T8" s="46"/>
      <c r="U8" s="156"/>
      <c r="V8" s="47">
        <f>V5</f>
        <v>15.72814814792946</v>
      </c>
      <c r="W8" s="45">
        <f>W5</f>
        <v>13.383333329111338</v>
      </c>
      <c r="X8" s="161">
        <f>X5</f>
        <v>24.149999998044223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0.99315068493150682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0.95744680851063835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- 2016-10-07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2">
        <f>AVERAGE(S13:S112)</f>
        <v>0.99915824915824902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365</v>
      </c>
      <c r="B13" s="7">
        <v>4042</v>
      </c>
      <c r="C13" s="24" t="s">
        <v>106</v>
      </c>
      <c r="D13" s="24" t="s">
        <v>366</v>
      </c>
      <c r="E13" s="15">
        <v>42650.132881944446</v>
      </c>
      <c r="F13" s="15">
        <v>42650.135729166665</v>
      </c>
      <c r="G13" s="7">
        <v>1</v>
      </c>
      <c r="H13" s="15" t="s">
        <v>207</v>
      </c>
      <c r="I13" s="15">
        <v>42650.161296296297</v>
      </c>
      <c r="J13" s="7">
        <v>0</v>
      </c>
      <c r="K13" s="117" t="str">
        <f t="shared" ref="K13:K76" si="0">IF(ISEVEN(B13),(B13-1)&amp;"/"&amp;B13,B13&amp;"/"&amp;(B13+1))</f>
        <v>4041/4042</v>
      </c>
      <c r="L13" s="24" t="str">
        <f>VLOOKUP(A13,'Trips&amp;Operators'!$C$1:$E$10000,3,FALSE)</f>
        <v>MAELZER</v>
      </c>
      <c r="M13" s="6">
        <f t="shared" ref="M13:M76" si="1">I13-F13</f>
        <v>2.5567129632690921E-2</v>
      </c>
      <c r="N13" s="7">
        <f t="shared" ref="N13:N20" si="2">24*60*SUM($M13:$M13)</f>
        <v>36.816666671074927</v>
      </c>
      <c r="O13" s="7"/>
      <c r="P13" s="7"/>
      <c r="Q13" s="25"/>
      <c r="R13" s="25"/>
      <c r="S13" s="37">
        <f t="shared" ref="S13:S20" si="3">SUM(U13:U13)/IF(AG13="EC",12,1)</f>
        <v>1</v>
      </c>
      <c r="T13" s="52" t="str">
        <f t="shared" ref="T13:T76" si="4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https://search-rtdc-monitor-bjffxe2xuh6vdkpspy63sjmuny.us-east-1.es.amazonaws.com/_plugin/kibana/#/discover/Steve-Slow-Train-Analysis-(2080s-and-2083s)?_g=(refreshInterval:(display:Off,section:0,value:0),time:(from:'2016-10-07 02:11:21-0600',mode:absolute,to:'2016-10-07 04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" s="54" t="str">
        <f t="shared" ref="W13:W76" si="6">IF(AA13&lt;IF(AG13="EC",23,5.65),"Y","N")</f>
        <v>N</v>
      </c>
      <c r="X13" s="164" t="e">
        <f t="shared" ref="X13:X44" si="7">VALUE(LEFT(AD13,4))-VALUE(LEFT(AD12,4))</f>
        <v>#VALUE!</v>
      </c>
      <c r="Y13" s="69">
        <f t="shared" ref="Y13:Y76" si="8">RIGHT(D13,LEN(D13)-4)/10000</f>
        <v>7.2300000000000003E-2</v>
      </c>
      <c r="Z13" s="69">
        <f t="shared" ref="Z13:Z76" si="9">RIGHT(H13,LEN(H13)-4)/10000</f>
        <v>23.331399999999999</v>
      </c>
      <c r="AA13" s="69">
        <f t="shared" ref="AA13:AA76" si="10">ABS(Z13-Y13)</f>
        <v>23.2591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0101-07</v>
      </c>
      <c r="AE13" s="9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13" s="9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/stypes="app*4042*20161007*"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4042 --swversion DE.1.0.7.0 --startMP 204:723 --initTime 2016-10-07T03:11:21 --startdatetime 2016-10-07T03:15:27 --delay 1 --endMP 204:233314 --enddatetime 2016-10-07T03:52:16 --enforcementcount 0 &gt;&gt;C:\Users\stu\Documents\GitHub\eaglep3-reporting\EC\2016-10-07-refined-times.txt</v>
      </c>
      <c r="AI13" s="130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{"issue":{"subject":"","project_id":79,"tracker_id":40,"status_id":1,"priority_id":2,"assigned_to_id":23,"start_date":"2016-10-07","description":"","custom_fields":[{"id":1,"name":"Subdivision","value":"EC"},{"id":4,"name":"Milepost","value":"23.3314"},{"id":17,"name":"Train ID","value":"101-07"},{"id":16,"name":"Locomotive ID","value":"4042"},{"id":130,"name":"Impact","value":""},{"id":150,"name":"Time of Event (Mountain Time)","value":"03:52:16"},{"id":151,"name":"Denver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367</v>
      </c>
      <c r="B14" s="7">
        <v>4037</v>
      </c>
      <c r="C14" s="24" t="s">
        <v>106</v>
      </c>
      <c r="D14" s="24" t="s">
        <v>368</v>
      </c>
      <c r="E14" s="15">
        <v>42650.168645833335</v>
      </c>
      <c r="F14" s="15">
        <v>42650.174687500003</v>
      </c>
      <c r="G14" s="7">
        <v>1</v>
      </c>
      <c r="H14" s="15" t="s">
        <v>190</v>
      </c>
      <c r="I14" s="15">
        <v>42650.202280092592</v>
      </c>
      <c r="J14" s="7">
        <v>0</v>
      </c>
      <c r="K14" s="117" t="str">
        <f t="shared" si="0"/>
        <v>4037/4038</v>
      </c>
      <c r="L14" s="24" t="str">
        <f>VLOOKUP(A14,'Trips&amp;Operators'!$C$1:$E$10000,3,FALSE)</f>
        <v>MAELZER</v>
      </c>
      <c r="M14" s="6">
        <f t="shared" si="1"/>
        <v>2.7592592588916887E-2</v>
      </c>
      <c r="N14" s="7">
        <f t="shared" si="2"/>
        <v>39.733333328040317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03:02:51-0600',mode:absolute,to:'2016-10-07 05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" s="54" t="str">
        <f t="shared" si="6"/>
        <v>N</v>
      </c>
      <c r="X14" s="164">
        <f t="shared" si="7"/>
        <v>1</v>
      </c>
      <c r="Y14" s="69">
        <f t="shared" si="8"/>
        <v>23.2681</v>
      </c>
      <c r="Z14" s="69">
        <f t="shared" si="9"/>
        <v>1.5800000000000002E-2</v>
      </c>
      <c r="AA14" s="69">
        <f t="shared" si="10"/>
        <v>23.252300000000002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0102-07</v>
      </c>
      <c r="AE14" s="95" t="str">
        <f t="shared" si="12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14" s="92" t="str">
        <f t="shared" si="13"/>
        <v>"C:\Program Files (x86)\AstroGrep\AstroGrep.exe" /spath="%USERPROFILE%\AppData\Local\Temp\OnboardLogs" /stypes="app*4037*20161007*"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4037 --swversion DE.1.0.7.0 --startMP 204:232681 --initTime 2016-10-07T04:02:51 --startdatetime 2016-10-07T04:11:33 --delay 1 --endMP 204:158 --enddatetime 2016-10-07T04:51:17 --enforcementcount 0 &gt;&gt;C:\Users\stu\Documents\GitHub\eaglep3-reporting\EC\2016-10-07-refined-times.txt</v>
      </c>
      <c r="AI14" s="130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ID","value":"102-07"},{"id":16,"name":"Locomotive ID","value":"4037"},{"id":130,"name":"Impact","value":""},{"id":150,"name":"Time of Event (Mountain Time)","value":"04:51:17"},{"id":151,"name":"Denver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369</v>
      </c>
      <c r="B15" s="7">
        <v>4003</v>
      </c>
      <c r="C15" s="24" t="s">
        <v>106</v>
      </c>
      <c r="D15" s="24" t="s">
        <v>370</v>
      </c>
      <c r="E15" s="15">
        <v>42650.154363425929</v>
      </c>
      <c r="F15" s="15">
        <v>42650.156469907408</v>
      </c>
      <c r="G15" s="7">
        <v>1</v>
      </c>
      <c r="H15" s="15" t="s">
        <v>245</v>
      </c>
      <c r="I15" s="15">
        <v>42650.184120370373</v>
      </c>
      <c r="J15" s="7">
        <v>0</v>
      </c>
      <c r="K15" s="117" t="str">
        <f t="shared" si="0"/>
        <v>4003/4004</v>
      </c>
      <c r="L15" s="24" t="str">
        <f>VLOOKUP(A15,'Trips&amp;Operators'!$C$1:$E$10000,3,FALSE)</f>
        <v>DAVIS</v>
      </c>
      <c r="M15" s="6">
        <f t="shared" si="1"/>
        <v>2.7650462965539191E-2</v>
      </c>
      <c r="N15" s="7">
        <f t="shared" si="2"/>
        <v>39.816666670376435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02:42:17-0600',mode:absolute,to:'2016-10-07 05:25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" s="54" t="str">
        <f t="shared" si="6"/>
        <v>N</v>
      </c>
      <c r="X15" s="164">
        <f t="shared" si="7"/>
        <v>1</v>
      </c>
      <c r="Y15" s="69">
        <f t="shared" si="8"/>
        <v>7.8799999999999995E-2</v>
      </c>
      <c r="Z15" s="69">
        <f t="shared" si="9"/>
        <v>23.332100000000001</v>
      </c>
      <c r="AA15" s="69">
        <f t="shared" si="10"/>
        <v>23.253299999999999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0103-07</v>
      </c>
      <c r="AE15" s="95" t="str">
        <f t="shared" si="12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5" s="92" t="str">
        <f t="shared" si="13"/>
        <v>"C:\Program Files (x86)\AstroGrep\AstroGrep.exe" /spath="%USERPROFILE%\AppData\Local\Temp\OnboardLogs" /stypes="app*4003*20161007*"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6" t="str">
        <f t="shared" si="17"/>
        <v>"%USERPROFILE%\Documents\GitHub\eaglep3\Utilities\RefineRTDCRunTimes.py" --tripid 103-07 --locoid 4003 --swversion DE.1.0.7.0 --startMP 204:788 --initTime 2016-10-07T03:42:17 --startdatetime 2016-10-07T03:45:19 --delay 1 --endMP 204:233321 --enddatetime 2016-10-07T04:25:08 --enforcementcount 0 &gt;&gt;C:\Users\stu\Documents\GitHub\eaglep3-reporting\EC\2016-10-07-refined-times.txt</v>
      </c>
      <c r="AI15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{"issue":{"subject":"","project_id":79,"tracker_id":40,"status_id":1,"priority_id":2,"assigned_to_id":23,"start_date":"2016-10-07","description":"","custom_fields":[{"id":1,"name":"Subdivision","value":"EC"},{"id":4,"name":"Milepost","value":"23.3321"},{"id":17,"name":"Train ID","value":"103-07"},{"id":16,"name":"Locomotive ID","value":"4003"},{"id":130,"name":"Impact","value":""},{"id":150,"name":"Time of Event (Mountain Time)","value":"04:25:08"},{"id":151,"name":"Denver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371</v>
      </c>
      <c r="B16" s="7">
        <v>4017</v>
      </c>
      <c r="C16" s="24" t="s">
        <v>106</v>
      </c>
      <c r="D16" s="24" t="s">
        <v>372</v>
      </c>
      <c r="E16" s="15">
        <v>42650.189814814818</v>
      </c>
      <c r="F16" s="15">
        <v>42650.195300925923</v>
      </c>
      <c r="G16" s="7">
        <v>2</v>
      </c>
      <c r="H16" s="15" t="s">
        <v>336</v>
      </c>
      <c r="I16" s="15">
        <v>42650.228761574072</v>
      </c>
      <c r="J16" s="7">
        <v>0</v>
      </c>
      <c r="K16" s="117" t="str">
        <f t="shared" si="0"/>
        <v>4017/4018</v>
      </c>
      <c r="L16" s="24" t="str">
        <f>VLOOKUP(A16,'Trips&amp;Operators'!$C$1:$E$10000,3,FALSE)</f>
        <v>DAVIS</v>
      </c>
      <c r="M16" s="6">
        <f t="shared" si="1"/>
        <v>3.3460648148320615E-2</v>
      </c>
      <c r="N16" s="7">
        <f t="shared" si="2"/>
        <v>48.183333333581686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03:33:20-0600',mode:absolute,to:'2016-10-07 06:29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" s="54" t="str">
        <f t="shared" si="6"/>
        <v>N</v>
      </c>
      <c r="X16" s="164">
        <f t="shared" si="7"/>
        <v>1</v>
      </c>
      <c r="Y16" s="69">
        <f t="shared" si="8"/>
        <v>23.269400000000001</v>
      </c>
      <c r="Z16" s="69">
        <f t="shared" si="9"/>
        <v>1.43E-2</v>
      </c>
      <c r="AA16" s="69">
        <f t="shared" si="10"/>
        <v>23.255100000000002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0104-07</v>
      </c>
      <c r="AE16" s="95" t="str">
        <f t="shared" si="12"/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16" s="92" t="str">
        <f t="shared" si="13"/>
        <v>"C:\Program Files (x86)\AstroGrep\AstroGrep.exe" /spath="%USERPROFILE%\AppData\Local\Temp\OnboardLogs" /stypes="app*4017*20161007*"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6" t="str">
        <f t="shared" si="17"/>
        <v>"%USERPROFILE%\Documents\GitHub\eaglep3\Utilities\RefineRTDCRunTimes.py" --tripid 104-07 --locoid 4017 --swversion DE.1.0.7.0 --startMP 204:232694 --initTime 2016-10-07T04:33:20 --startdatetime 2016-10-07T04:41:14 --delay 2 --endMP 204:143 --enddatetime 2016-10-07T05:29:25 --enforcementcount 0 &gt;&gt;C:\Users\stu\Documents\GitHub\eaglep3-reporting\EC\2016-10-07-refined-times.txt</v>
      </c>
      <c r="AI16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ID","value":"104-07"},{"id":16,"name":"Locomotive ID","value":"4017"},{"id":130,"name":"Impact","value":""},{"id":150,"name":"Time of Event (Mountain Time)","value":"05:29:25"},{"id":151,"name":"Denver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373</v>
      </c>
      <c r="B17" s="7">
        <v>4046</v>
      </c>
      <c r="C17" s="24" t="s">
        <v>106</v>
      </c>
      <c r="D17" s="24" t="s">
        <v>374</v>
      </c>
      <c r="E17" s="15">
        <v>42650.178425925929</v>
      </c>
      <c r="F17" s="15">
        <v>42650.179571759261</v>
      </c>
      <c r="G17" s="7">
        <v>1</v>
      </c>
      <c r="H17" s="15" t="s">
        <v>245</v>
      </c>
      <c r="I17" s="15">
        <v>42650.205833333333</v>
      </c>
      <c r="J17" s="7">
        <v>0</v>
      </c>
      <c r="K17" s="117" t="str">
        <f t="shared" si="0"/>
        <v>4045/4046</v>
      </c>
      <c r="L17" s="24" t="str">
        <f>VLOOKUP(A17,'Trips&amp;Operators'!$C$1:$E$10000,3,FALSE)</f>
        <v>MALAVE</v>
      </c>
      <c r="M17" s="6">
        <f t="shared" si="1"/>
        <v>2.626157407212304E-2</v>
      </c>
      <c r="N17" s="7">
        <f t="shared" si="2"/>
        <v>37.816666663857177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03:16:56-0600',mode:absolute,to:'2016-10-07 05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" s="54" t="str">
        <f t="shared" si="6"/>
        <v>N</v>
      </c>
      <c r="X17" s="164">
        <f t="shared" si="7"/>
        <v>1</v>
      </c>
      <c r="Y17" s="69">
        <f t="shared" si="8"/>
        <v>7.7700000000000005E-2</v>
      </c>
      <c r="Z17" s="69">
        <f t="shared" si="9"/>
        <v>23.332100000000001</v>
      </c>
      <c r="AA17" s="69">
        <f t="shared" si="10"/>
        <v>23.2544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0105-07</v>
      </c>
      <c r="AE17" s="95" t="str">
        <f t="shared" si="12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7" s="92" t="str">
        <f t="shared" si="13"/>
        <v>"C:\Program Files (x86)\AstroGrep\AstroGrep.exe" /spath="%USERPROFILE%\AppData\Local\Temp\OnboardLogs" /stypes="app*4046*20161007*"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6" t="str">
        <f t="shared" si="17"/>
        <v>"%USERPROFILE%\Documents\GitHub\eaglep3\Utilities\RefineRTDCRunTimes.py" --tripid 105-07 --locoid 4046 --swversion DE.1.0.7.0 --startMP 204:777 --initTime 2016-10-07T04:16:56 --startdatetime 2016-10-07T04:18:35 --delay 1 --endMP 204:233321 --enddatetime 2016-10-07T04:56:24 --enforcementcount 0 &gt;&gt;C:\Users\stu\Documents\GitHub\eaglep3-reporting\EC\2016-10-07-refined-times.txt</v>
      </c>
      <c r="AI17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{"issue":{"subject":"","project_id":79,"tracker_id":40,"status_id":1,"priority_id":2,"assigned_to_id":23,"start_date":"2016-10-07","description":"","custom_fields":[{"id":1,"name":"Subdivision","value":"EC"},{"id":4,"name":"Milepost","value":"23.3321"},{"id":17,"name":"Train ID","value":"105-07"},{"id":16,"name":"Locomotive ID","value":"4046"},{"id":130,"name":"Impact","value":""},{"id":150,"name":"Time of Event (Mountain Time)","value":"04:56:24"},{"id":151,"name":"Denver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375</v>
      </c>
      <c r="B18" s="7">
        <v>4013</v>
      </c>
      <c r="C18" s="24" t="s">
        <v>106</v>
      </c>
      <c r="D18" s="24" t="s">
        <v>376</v>
      </c>
      <c r="E18" s="15">
        <v>42650.21261574074</v>
      </c>
      <c r="F18" s="15">
        <v>42650.216296296298</v>
      </c>
      <c r="G18" s="7">
        <v>2</v>
      </c>
      <c r="H18" s="15" t="s">
        <v>377</v>
      </c>
      <c r="I18" s="15">
        <v>42650.246550925927</v>
      </c>
      <c r="J18" s="7">
        <v>0</v>
      </c>
      <c r="K18" s="117" t="str">
        <f t="shared" si="0"/>
        <v>4013/4014</v>
      </c>
      <c r="L18" s="24" t="str">
        <f>VLOOKUP(A18,'Trips&amp;Operators'!$C$1:$E$10000,3,FALSE)</f>
        <v>MALAVE</v>
      </c>
      <c r="M18" s="6">
        <f t="shared" si="1"/>
        <v>3.0254629629780538E-2</v>
      </c>
      <c r="N18" s="7">
        <f t="shared" si="2"/>
        <v>43.566666666883975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04:06:10-0600',mode:absolute,to:'2016-10-07 06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8" s="54" t="str">
        <f t="shared" si="6"/>
        <v>N</v>
      </c>
      <c r="X18" s="164">
        <f t="shared" si="7"/>
        <v>1</v>
      </c>
      <c r="Y18" s="69">
        <f t="shared" si="8"/>
        <v>23.265999999999998</v>
      </c>
      <c r="Z18" s="69">
        <f t="shared" si="9"/>
        <v>1.72E-2</v>
      </c>
      <c r="AA18" s="69">
        <f t="shared" si="10"/>
        <v>23.248799999999999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0106-07</v>
      </c>
      <c r="AE18" s="95" t="str">
        <f t="shared" si="12"/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AF18" s="92" t="str">
        <f t="shared" si="13"/>
        <v>"C:\Program Files (x86)\AstroGrep\AstroGrep.exe" /spath="%USERPROFILE%\AppData\Local\Temp\OnboardLogs" /stypes="app*4013*20161007*"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6" t="str">
        <f t="shared" si="17"/>
        <v>"%USERPROFILE%\Documents\GitHub\eaglep3\Utilities\RefineRTDCRunTimes.py" --tripid 106-07 --locoid 4013 --swversion DE.1.0.7.0 --startMP 204:232660 --initTime 2016-10-07T05:06:10 --startdatetime 2016-10-07T05:11:28 --delay 2 --endMP 204:172 --enddatetime 2016-10-07T05:55:02 --enforcementcount 0 &gt;&gt;C:\Users\stu\Documents\GitHub\eaglep3-reporting\EC\2016-10-07-refined-times.txt</v>
      </c>
      <c r="AI18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{"issue":{"subject":"","project_id":79,"tracker_id":40,"status_id":1,"priority_id":2,"assigned_to_id":23,"start_date":"2016-10-07","description":"","custom_fields":[{"id":1,"name":"Subdivision","value":"EC"},{"id":4,"name":"Milepost","value":"0.0172"},{"id":17,"name":"Train ID","value":"106-07"},{"id":16,"name":"Locomotive ID","value":"4013"},{"id":130,"name":"Impact","value":""},{"id":150,"name":"Time of Event (Mountain Time)","value":"05:55:02"},{"id":151,"name":"Denver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378</v>
      </c>
      <c r="B19" s="7">
        <v>4020</v>
      </c>
      <c r="C19" s="24" t="s">
        <v>106</v>
      </c>
      <c r="D19" s="24" t="s">
        <v>338</v>
      </c>
      <c r="E19" s="15">
        <v>42650.180428240739</v>
      </c>
      <c r="F19" s="15">
        <v>42650.187696759262</v>
      </c>
      <c r="G19" s="7">
        <v>1</v>
      </c>
      <c r="H19" s="15" t="s">
        <v>331</v>
      </c>
      <c r="I19" s="15">
        <v>42650.215127314812</v>
      </c>
      <c r="J19" s="7">
        <v>0</v>
      </c>
      <c r="K19" s="117" t="str">
        <f t="shared" si="0"/>
        <v>4019/4020</v>
      </c>
      <c r="L19" s="24" t="str">
        <f>VLOOKUP(A19,'Trips&amp;Operators'!$C$1:$E$10000,3,FALSE)</f>
        <v>BRANNON</v>
      </c>
      <c r="M19" s="6">
        <f t="shared" si="1"/>
        <v>2.7430555550381541E-2</v>
      </c>
      <c r="N19" s="7">
        <f t="shared" si="2"/>
        <v>39.499999992549419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03:19:49-0600',mode:absolute,to:'2016-10-07 06:09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" s="54" t="str">
        <f t="shared" si="6"/>
        <v>N</v>
      </c>
      <c r="X19" s="164">
        <f t="shared" si="7"/>
        <v>1</v>
      </c>
      <c r="Y19" s="69">
        <f t="shared" si="8"/>
        <v>4.3499999999999997E-2</v>
      </c>
      <c r="Z19" s="69">
        <f t="shared" si="9"/>
        <v>23.331800000000001</v>
      </c>
      <c r="AA19" s="69">
        <f t="shared" si="10"/>
        <v>23.2883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0107-07</v>
      </c>
      <c r="AE19" s="95" t="str">
        <f t="shared" si="12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9" s="92" t="str">
        <f t="shared" si="13"/>
        <v>"C:\Program Files (x86)\AstroGrep\AstroGrep.exe" /spath="%USERPROFILE%\AppData\Local\Temp\OnboardLogs" /stypes="app*4020*20161007*"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6" t="str">
        <f t="shared" si="17"/>
        <v>"%USERPROFILE%\Documents\GitHub\eaglep3\Utilities\RefineRTDCRunTimes.py" --tripid 107-07 --locoid 4020 --swversion DE.1.0.7.0 --startMP 204:435 --initTime 2016-10-07T04:19:49 --startdatetime 2016-10-07T04:30:17 --delay 1 --endMP 204:233318 --enddatetime 2016-10-07T05:09:47 --enforcementcount 0 &gt;&gt;C:\Users\stu\Documents\GitHub\eaglep3-reporting\EC\2016-10-07-refined-times.txt</v>
      </c>
      <c r="AI19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{"issue":{"subject":"","project_id":79,"tracker_id":40,"status_id":1,"priority_id":2,"assigned_to_id":23,"start_date":"2016-10-07","description":"","custom_fields":[{"id":1,"name":"Subdivision","value":"EC"},{"id":4,"name":"Milepost","value":"23.3318"},{"id":17,"name":"Train ID","value":"107-07"},{"id":16,"name":"Locomotive ID","value":"4020"},{"id":130,"name":"Impact","value":""},{"id":150,"name":"Time of Event (Mountain Time)","value":"05:09:47"},{"id":151,"name":"Denver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379</v>
      </c>
      <c r="B20" s="7">
        <v>4019</v>
      </c>
      <c r="C20" s="24" t="s">
        <v>106</v>
      </c>
      <c r="D20" s="24" t="s">
        <v>291</v>
      </c>
      <c r="E20" s="15">
        <v>42650.222604166665</v>
      </c>
      <c r="F20" s="15">
        <v>42650.226840277777</v>
      </c>
      <c r="G20" s="7">
        <v>1</v>
      </c>
      <c r="H20" s="15" t="s">
        <v>188</v>
      </c>
      <c r="I20" s="15">
        <v>42650.257118055553</v>
      </c>
      <c r="J20" s="7">
        <v>0</v>
      </c>
      <c r="K20" s="117" t="str">
        <f t="shared" si="0"/>
        <v>4019/4020</v>
      </c>
      <c r="L20" s="24" t="str">
        <f>VLOOKUP(A20,'Trips&amp;Operators'!$C$1:$E$10000,3,FALSE)</f>
        <v>BRANNON</v>
      </c>
      <c r="M20" s="6">
        <f t="shared" si="1"/>
        <v>3.0277777776063886E-2</v>
      </c>
      <c r="N20" s="7">
        <f t="shared" si="2"/>
        <v>43.599999997531995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04:20:33-0600',mode:absolute,to:'2016-10-07 07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" s="54" t="str">
        <f t="shared" si="6"/>
        <v>N</v>
      </c>
      <c r="X20" s="164">
        <f t="shared" si="7"/>
        <v>1</v>
      </c>
      <c r="Y20" s="69">
        <f t="shared" si="8"/>
        <v>23.298999999999999</v>
      </c>
      <c r="Z20" s="69">
        <f t="shared" si="9"/>
        <v>1.49E-2</v>
      </c>
      <c r="AA20" s="69">
        <f t="shared" si="10"/>
        <v>23.284099999999999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0108-07</v>
      </c>
      <c r="AE20" s="95" t="str">
        <f t="shared" si="12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20" s="92" t="str">
        <f t="shared" si="13"/>
        <v>"C:\Program Files (x86)\AstroGrep\AstroGrep.exe" /spath="%USERPROFILE%\AppData\Local\Temp\OnboardLogs" /stypes="app*4019*20161007*"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6" t="str">
        <f t="shared" si="17"/>
        <v>"%USERPROFILE%\Documents\GitHub\eaglep3\Utilities\RefineRTDCRunTimes.py" --tripid 108-07 --locoid 4019 --swversion DE.1.0.7.0 --startMP 204:232990 --initTime 2016-10-07T05:20:33 --startdatetime 2016-10-07T05:26:39 --delay 1 --endMP 204:149 --enddatetime 2016-10-07T06:10:15 --enforcementcount 0 &gt;&gt;C:\Users\stu\Documents\GitHub\eaglep3-reporting\EC\2016-10-07-refined-times.txt</v>
      </c>
      <c r="AI20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{"issue":{"subject":"","project_id":79,"tracker_id":40,"status_id":1,"priority_id":2,"assigned_to_id":23,"start_date":"2016-10-07","description":"","custom_fields":[{"id":1,"name":"Subdivision","value":"EC"},{"id":4,"name":"Milepost","value":"0.0149"},{"id":17,"name":"Train ID","value":"108-07"},{"id":16,"name":"Locomotive ID","value":"4019"},{"id":130,"name":"Impact","value":""},{"id":150,"name":"Time of Event (Mountain Time)","value":"06:10:15"},{"id":151,"name":"Denver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380</v>
      </c>
      <c r="B21" s="7">
        <v>4007</v>
      </c>
      <c r="C21" s="24" t="s">
        <v>106</v>
      </c>
      <c r="D21" s="24" t="s">
        <v>199</v>
      </c>
      <c r="E21" s="15">
        <v>42650.194444444445</v>
      </c>
      <c r="F21" s="15">
        <v>42650.195393518516</v>
      </c>
      <c r="G21" s="7">
        <v>1</v>
      </c>
      <c r="H21" s="15" t="s">
        <v>381</v>
      </c>
      <c r="I21" s="15">
        <v>42650.210347222222</v>
      </c>
      <c r="J21" s="7">
        <v>0</v>
      </c>
      <c r="K21" s="117" t="str">
        <f t="shared" si="0"/>
        <v>4007/4008</v>
      </c>
      <c r="L21" s="24" t="str">
        <f>VLOOKUP(A21,'Trips&amp;Operators'!$C$1:$E$10000,3,FALSE)</f>
        <v>GEBRETEKLE</v>
      </c>
      <c r="M21" s="6">
        <f t="shared" si="1"/>
        <v>1.4953703706851229E-2</v>
      </c>
      <c r="N21" s="7"/>
      <c r="O21" s="7"/>
      <c r="P21" s="7">
        <f>24*60*SUM($M21:$M22)</f>
        <v>45.616666674613953</v>
      </c>
      <c r="Q21" s="25"/>
      <c r="R21" s="25" t="s">
        <v>364</v>
      </c>
      <c r="S21" s="37">
        <f>SUM(U21:U22)/IF(AG21="EC",12,1)</f>
        <v>0.91666666666666663</v>
      </c>
      <c r="T21" s="52" t="str">
        <f t="shared" si="4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8</v>
      </c>
      <c r="V2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03:40:00-0600',mode:absolute,to:'2016-10-07 06:02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54" t="str">
        <f t="shared" si="6"/>
        <v>Y</v>
      </c>
      <c r="X21" s="164">
        <f t="shared" si="7"/>
        <v>1</v>
      </c>
      <c r="Y21" s="69">
        <f t="shared" si="8"/>
        <v>4.5499999999999999E-2</v>
      </c>
      <c r="Z21" s="69">
        <f t="shared" si="9"/>
        <v>6.1722999999999999</v>
      </c>
      <c r="AA21" s="69">
        <f t="shared" si="10"/>
        <v>6.1268000000000002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0109-07</v>
      </c>
      <c r="AE21" s="95" t="str">
        <f t="shared" si="12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21" s="92" t="str">
        <f t="shared" si="13"/>
        <v>"C:\Program Files (x86)\AstroGrep\AstroGrep.exe" /spath="%USERPROFILE%\AppData\Local\Temp\OnboardLogs" /stypes="app*4007*20161007*"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6" t="str">
        <f t="shared" si="17"/>
        <v>"%USERPROFILE%\Documents\GitHub\eaglep3\Utilities\RefineRTDCRunTimes.py" --tripid 109-07 --locoid 4007 --swversion DE.1.0.7.0 --startMP 204:455 --initTime 2016-10-07T04:40:00 --startdatetime 2016-10-07T04:41:22 --delay 1 --endMP 204:61723 --enddatetime 2016-10-07T05:02:54 --enforcementcount 0 &gt;&gt;C:\Users\stu\Documents\GitHub\eaglep3-reporting\EC\2016-10-07-refined-times.txt</v>
      </c>
      <c r="AI21" s="130" t="str">
        <f t="shared" si="18"/>
        <v>echo {"issue":{"subject":"Improper execution of Form C","project_id":79,"tracker_id":40,"status_id":1,"priority_id":2,"assigned_to_id":23,"start_date":"2016-10-07","description":"","custom_fields":[{"id":1,"name":"Subdivision","value":"EC"},{"id":4,"name":"Milepost","value":"6.1723"},{"id":17,"name":"Train ID","value":"109-07"},{"id":16,"name":"Locomotive ID","value":"4007"},{"id":130,"name":"Impact","value":""},{"id":150,"name":"Time of Event (Mountain Time)","value":"05:02:54"},{"id":151,"name":"Denver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380</v>
      </c>
      <c r="B22" s="7">
        <v>4007</v>
      </c>
      <c r="C22" s="24" t="s">
        <v>106</v>
      </c>
      <c r="D22" s="24" t="s">
        <v>382</v>
      </c>
      <c r="E22" s="15">
        <v>42650.213229166664</v>
      </c>
      <c r="F22" s="15">
        <v>42650.21398148148</v>
      </c>
      <c r="G22" s="7">
        <v>1</v>
      </c>
      <c r="H22" s="15" t="s">
        <v>275</v>
      </c>
      <c r="I22" s="15">
        <v>42650.230706018519</v>
      </c>
      <c r="J22" s="7">
        <v>0</v>
      </c>
      <c r="K22" s="117" t="str">
        <f t="shared" si="0"/>
        <v>4007/4008</v>
      </c>
      <c r="L22" s="24" t="str">
        <f>VLOOKUP(A22,'Trips&amp;Operators'!$C$1:$E$10000,3,FALSE)</f>
        <v>GEBRETEKLE</v>
      </c>
      <c r="M22" s="6">
        <f t="shared" si="1"/>
        <v>1.672453703940846E-2</v>
      </c>
      <c r="N22" s="7"/>
      <c r="O22" s="7"/>
      <c r="P22" s="7"/>
      <c r="Q22" s="25"/>
      <c r="R22" s="25"/>
      <c r="S22" s="37"/>
      <c r="T22" s="52" t="str">
        <f t="shared" si="4"/>
        <v>NorthBound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3</v>
      </c>
      <c r="V2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04:07:03-0600',mode:absolute,to:'2016-10-07 06:32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" s="54" t="str">
        <f t="shared" si="6"/>
        <v>Y</v>
      </c>
      <c r="X22" s="164">
        <f t="shared" si="7"/>
        <v>0</v>
      </c>
      <c r="Y22" s="69">
        <f t="shared" si="8"/>
        <v>6.4707999999999997</v>
      </c>
      <c r="Z22" s="69">
        <f t="shared" si="9"/>
        <v>23.3325</v>
      </c>
      <c r="AA22" s="69">
        <f t="shared" si="10"/>
        <v>16.861699999999999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0109-07</v>
      </c>
      <c r="AE22" s="95" t="str">
        <f t="shared" si="12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22" s="92" t="str">
        <f t="shared" si="13"/>
        <v>"C:\Program Files (x86)\AstroGrep\AstroGrep.exe" /spath="%USERPROFILE%\AppData\Local\Temp\OnboardLogs" /stypes="app*4007*20161007*" /stext=" 11:.+((SYSTEM_STATE.+slice.+state.+changed )|(ment ac)|(system.+state.+changed )|(\[timeout)|(PRM\|1\|D)|(kpr)|(kdp)|(\|lc)|(penalty))" /e /r /s</v>
      </c>
      <c r="AG22" s="1" t="str">
        <f t="shared" si="14"/>
        <v>EC</v>
      </c>
      <c r="AH22" s="96" t="str">
        <f t="shared" si="17"/>
        <v>"%USERPROFILE%\Documents\GitHub\eaglep3\Utilities\RefineRTDCRunTimes.py" --tripid 109-07 --locoid 4007 --swversion DE.1.0.7.0 --startMP 204:64708 --initTime 2016-10-07T05:07:03 --startdatetime 2016-10-07T05:08:08 --delay 1 --endMP 204:233325 --enddatetime 2016-10-07T05:32:13 --enforcementcount 0 &gt;&gt;C:\Users\stu\Documents\GitHub\eaglep3-reporting\EC\2016-10-07-refined-times.txt</v>
      </c>
      <c r="AI22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{"issue":{"subject":"","project_id":79,"tracker_id":40,"status_id":1,"priority_id":2,"assigned_to_id":23,"start_date":"2016-10-07","description":"","custom_fields":[{"id":1,"name":"Subdivision","value":"EC"},{"id":4,"name":"Milepost","value":"23.3325"},{"id":17,"name":"Train ID","value":"109-07"},{"id":16,"name":"Locomotive ID","value":"4007"},{"id":130,"name":"Impact","value":""},{"id":150,"name":"Time of Event (Mountain Time)","value":"05:32:13"},{"id":151,"name":"Denver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383</v>
      </c>
      <c r="B23" s="7">
        <v>4008</v>
      </c>
      <c r="C23" s="24" t="s">
        <v>106</v>
      </c>
      <c r="D23" s="24" t="s">
        <v>248</v>
      </c>
      <c r="E23" s="15">
        <v>42650.232673611114</v>
      </c>
      <c r="F23" s="15">
        <v>42650.237002314818</v>
      </c>
      <c r="G23" s="7">
        <v>1</v>
      </c>
      <c r="H23" s="15" t="s">
        <v>210</v>
      </c>
      <c r="I23" s="15">
        <v>42650.265497685185</v>
      </c>
      <c r="J23" s="7">
        <v>0</v>
      </c>
      <c r="K23" s="117" t="str">
        <f t="shared" si="0"/>
        <v>4007/4008</v>
      </c>
      <c r="L23" s="24" t="str">
        <f>VLOOKUP(A23,'Trips&amp;Operators'!$C$1:$E$10000,3,FALSE)</f>
        <v>GEBRETEKLE</v>
      </c>
      <c r="M23" s="6">
        <f t="shared" si="1"/>
        <v>2.8495370366727002E-2</v>
      </c>
      <c r="N23" s="7">
        <f t="shared" ref="N23:N54" si="19">24*60*SUM($M23:$M23)</f>
        <v>41.033333328086883</v>
      </c>
      <c r="O23" s="7"/>
      <c r="P23" s="7"/>
      <c r="Q23" s="25"/>
      <c r="R23" s="25"/>
      <c r="S23" s="37">
        <f t="shared" ref="S23:S54" si="20">SUM(U23:U23)/IF(AG23="EC",12,1)</f>
        <v>1</v>
      </c>
      <c r="T23" s="52" t="str">
        <f t="shared" si="4"/>
        <v>Southbound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04:35:03-0600',mode:absolute,to:'2016-10-07 07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3" s="54" t="str">
        <f t="shared" si="6"/>
        <v>N</v>
      </c>
      <c r="X23" s="164">
        <f t="shared" si="7"/>
        <v>1</v>
      </c>
      <c r="Y23" s="69">
        <f t="shared" si="8"/>
        <v>23.299800000000001</v>
      </c>
      <c r="Z23" s="69">
        <f t="shared" si="9"/>
        <v>1.41E-2</v>
      </c>
      <c r="AA23" s="69">
        <f t="shared" si="10"/>
        <v>23.285700000000002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0110-07</v>
      </c>
      <c r="AE23" s="95" t="str">
        <f t="shared" si="12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23" s="92" t="str">
        <f t="shared" si="13"/>
        <v>"C:\Program Files (x86)\AstroGrep\AstroGrep.exe" /spath="%USERPROFILE%\AppData\Local\Temp\OnboardLogs" /stypes="app*4008*20161007*"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6" t="str">
        <f t="shared" si="17"/>
        <v>"%USERPROFILE%\Documents\GitHub\eaglep3\Utilities\RefineRTDCRunTimes.py" --tripid 110-07 --locoid 4008 --swversion DE.1.0.7.0 --startMP 204:232998 --initTime 2016-10-07T05:35:03 --startdatetime 2016-10-07T05:41:17 --delay 1 --endMP 204:141 --enddatetime 2016-10-07T06:22:19 --enforcementcount 0 &gt;&gt;C:\Users\stu\Documents\GitHub\eaglep3-reporting\EC\2016-10-07-refined-times.txt</v>
      </c>
      <c r="AI23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{"issue":{"subject":"","project_id":79,"tracker_id":40,"status_id":1,"priority_id":2,"assigned_to_id":23,"start_date":"2016-10-07","description":"","custom_fields":[{"id":1,"name":"Subdivision","value":"EC"},{"id":4,"name":"Milepost","value":"0.0141"},{"id":17,"name":"Train ID","value":"110-07"},{"id":16,"name":"Locomotive ID","value":"4008"},{"id":130,"name":"Impact","value":""},{"id":150,"name":"Time of Event (Mountain Time)","value":"06:22:19"},{"id":151,"name":"Denver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384</v>
      </c>
      <c r="B24" s="7">
        <v>4042</v>
      </c>
      <c r="C24" s="24" t="s">
        <v>106</v>
      </c>
      <c r="D24" s="24" t="s">
        <v>385</v>
      </c>
      <c r="E24" s="15">
        <v>42650.207106481481</v>
      </c>
      <c r="F24" s="15">
        <v>42650.209155092591</v>
      </c>
      <c r="G24" s="7">
        <v>1</v>
      </c>
      <c r="H24" s="15" t="s">
        <v>328</v>
      </c>
      <c r="I24" s="15">
        <v>42650.23704861111</v>
      </c>
      <c r="J24" s="7">
        <v>0</v>
      </c>
      <c r="K24" s="117" t="str">
        <f t="shared" si="0"/>
        <v>4041/4042</v>
      </c>
      <c r="L24" s="24" t="str">
        <f>VLOOKUP(A24,'Trips&amp;Operators'!$C$1:$E$10000,3,FALSE)</f>
        <v>SPECTOR</v>
      </c>
      <c r="M24" s="6">
        <f t="shared" si="1"/>
        <v>2.789351851970423E-2</v>
      </c>
      <c r="N24" s="7">
        <f t="shared" si="19"/>
        <v>40.166666668374091</v>
      </c>
      <c r="O24" s="7"/>
      <c r="P24" s="7"/>
      <c r="Q24" s="25"/>
      <c r="R24" s="25"/>
      <c r="S24" s="37">
        <f t="shared" si="20"/>
        <v>1</v>
      </c>
      <c r="T24" s="52" t="str">
        <f t="shared" si="4"/>
        <v>NorthBound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03:58:14-0600',mode:absolute,to:'2016-10-07 06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4" s="54" t="str">
        <f t="shared" si="6"/>
        <v>N</v>
      </c>
      <c r="X24" s="164">
        <f t="shared" si="7"/>
        <v>1</v>
      </c>
      <c r="Y24" s="69">
        <f t="shared" si="8"/>
        <v>7.7899999999999997E-2</v>
      </c>
      <c r="Z24" s="69">
        <f t="shared" si="9"/>
        <v>23.331099999999999</v>
      </c>
      <c r="AA24" s="69">
        <f t="shared" si="10"/>
        <v>23.2532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0111-07</v>
      </c>
      <c r="AE24" s="95" t="str">
        <f t="shared" si="12"/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24" s="92" t="str">
        <f t="shared" si="13"/>
        <v>"C:\Program Files (x86)\AstroGrep\AstroGrep.exe" /spath="%USERPROFILE%\AppData\Local\Temp\OnboardLogs" /stypes="app*4042*20161007*" /stext=" 11:.+((SYSTEM_STATE.+slice.+state.+changed )|(ment ac)|(system.+state.+changed )|(\[timeout)|(PRM\|1\|D)|(kpr)|(kdp)|(\|lc)|(penalty))" /e /r /s</v>
      </c>
      <c r="AG24" s="1" t="str">
        <f t="shared" si="14"/>
        <v>EC</v>
      </c>
      <c r="AH24" s="96" t="str">
        <f t="shared" si="17"/>
        <v>"%USERPROFILE%\Documents\GitHub\eaglep3\Utilities\RefineRTDCRunTimes.py" --tripid 111-07 --locoid 4042 --swversion DE.1.0.7.0 --startMP 204:779 --initTime 2016-10-07T04:58:14 --startdatetime 2016-10-07T05:01:11 --delay 1 --endMP 204:233311 --enddatetime 2016-10-07T05:41:21 --enforcementcount 0 &gt;&gt;C:\Users\stu\Documents\GitHub\eaglep3-reporting\EC\2016-10-07-refined-times.txt</v>
      </c>
      <c r="AI24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{"issue":{"subject":"","project_id":79,"tracker_id":40,"status_id":1,"priority_id":2,"assigned_to_id":23,"start_date":"2016-10-07","description":"","custom_fields":[{"id":1,"name":"Subdivision","value":"EC"},{"id":4,"name":"Milepost","value":"23.3311"},{"id":17,"name":"Train ID","value":"111-07"},{"id":16,"name":"Locomotive ID","value":"4042"},{"id":130,"name":"Impact","value":""},{"id":150,"name":"Time of Event (Mountain Time)","value":"05:41:21"},{"id":151,"name":"Denver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386</v>
      </c>
      <c r="B25" s="7">
        <v>4041</v>
      </c>
      <c r="C25" s="24" t="s">
        <v>106</v>
      </c>
      <c r="D25" s="24" t="s">
        <v>228</v>
      </c>
      <c r="E25" s="15">
        <v>42650.244490740741</v>
      </c>
      <c r="F25" s="15">
        <v>42650.247407407405</v>
      </c>
      <c r="G25" s="7">
        <v>1</v>
      </c>
      <c r="H25" s="15" t="s">
        <v>206</v>
      </c>
      <c r="I25" s="15">
        <v>42650.276550925926</v>
      </c>
      <c r="J25" s="7">
        <v>0</v>
      </c>
      <c r="K25" s="117" t="str">
        <f t="shared" si="0"/>
        <v>4041/4042</v>
      </c>
      <c r="L25" s="24" t="str">
        <f>VLOOKUP(A25,'Trips&amp;Operators'!$C$1:$E$10000,3,FALSE)</f>
        <v>SPECTOR</v>
      </c>
      <c r="M25" s="6">
        <f t="shared" si="1"/>
        <v>2.9143518520868383E-2</v>
      </c>
      <c r="N25" s="7">
        <f t="shared" si="19"/>
        <v>41.966666670050472</v>
      </c>
      <c r="O25" s="7"/>
      <c r="P25" s="7"/>
      <c r="Q25" s="25"/>
      <c r="R25" s="25"/>
      <c r="S25" s="37">
        <f t="shared" si="20"/>
        <v>1</v>
      </c>
      <c r="T25" s="52" t="str">
        <f t="shared" si="4"/>
        <v>Southbound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04:52:04-0600',mode:absolute,to:'2016-10-07 07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5" s="54" t="str">
        <f t="shared" si="6"/>
        <v>N</v>
      </c>
      <c r="X25" s="164">
        <f t="shared" si="7"/>
        <v>1</v>
      </c>
      <c r="Y25" s="69">
        <f t="shared" si="8"/>
        <v>23.2986</v>
      </c>
      <c r="Z25" s="69">
        <f t="shared" si="9"/>
        <v>1.5599999999999999E-2</v>
      </c>
      <c r="AA25" s="69">
        <f t="shared" si="10"/>
        <v>23.283000000000001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0112-07</v>
      </c>
      <c r="AE25" s="95" t="str">
        <f t="shared" si="12"/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25" s="92" t="str">
        <f t="shared" si="13"/>
        <v>"C:\Program Files (x86)\AstroGrep\AstroGrep.exe" /spath="%USERPROFILE%\AppData\Local\Temp\OnboardLogs" /stypes="app*4041*20161007*"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6" t="str">
        <f t="shared" si="17"/>
        <v>"%USERPROFILE%\Documents\GitHub\eaglep3\Utilities\RefineRTDCRunTimes.py" --tripid 112-07 --locoid 4041 --swversion DE.1.0.7.0 --startMP 204:232986 --initTime 2016-10-07T05:52:04 --startdatetime 2016-10-07T05:56:16 --delay 1 --endMP 204:156 --enddatetime 2016-10-07T06:38:14 --enforcementcount 0 &gt;&gt;C:\Users\stu\Documents\GitHub\eaglep3-reporting\EC\2016-10-07-refined-times.txt</v>
      </c>
      <c r="AI25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ID","value":"112-07"},{"id":16,"name":"Locomotive ID","value":"4041"},{"id":130,"name":"Impact","value":""},{"id":150,"name":"Time of Event (Mountain Time)","value":"06:38:14"},{"id":151,"name":"Denver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387</v>
      </c>
      <c r="B26" s="7">
        <v>4038</v>
      </c>
      <c r="C26" s="24" t="s">
        <v>106</v>
      </c>
      <c r="D26" s="24" t="s">
        <v>324</v>
      </c>
      <c r="E26" s="15">
        <v>42650.212025462963</v>
      </c>
      <c r="F26" s="15">
        <v>42650.218993055554</v>
      </c>
      <c r="G26" s="7">
        <v>1</v>
      </c>
      <c r="H26" s="15" t="s">
        <v>275</v>
      </c>
      <c r="I26" s="15">
        <v>42650.245625000003</v>
      </c>
      <c r="J26" s="7">
        <v>0</v>
      </c>
      <c r="K26" s="117" t="str">
        <f t="shared" si="0"/>
        <v>4037/4038</v>
      </c>
      <c r="L26" s="24" t="str">
        <f>VLOOKUP(A26,'Trips&amp;Operators'!$C$1:$E$10000,3,FALSE)</f>
        <v>MAELZER</v>
      </c>
      <c r="M26" s="6">
        <f t="shared" si="1"/>
        <v>2.6631944449036382E-2</v>
      </c>
      <c r="N26" s="7">
        <f t="shared" si="19"/>
        <v>38.35000000661239</v>
      </c>
      <c r="O26" s="7"/>
      <c r="P26" s="7"/>
      <c r="Q26" s="25"/>
      <c r="R26" s="25"/>
      <c r="S26" s="37">
        <f t="shared" si="20"/>
        <v>1</v>
      </c>
      <c r="T26" s="52" t="str">
        <f t="shared" si="4"/>
        <v>NorthBound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04:05:19-0600',mode:absolute,to:'2016-10-07 06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6" s="54" t="str">
        <f t="shared" si="6"/>
        <v>N</v>
      </c>
      <c r="X26" s="164">
        <f t="shared" si="7"/>
        <v>1</v>
      </c>
      <c r="Y26" s="69">
        <f t="shared" si="8"/>
        <v>4.4400000000000002E-2</v>
      </c>
      <c r="Z26" s="69">
        <f t="shared" si="9"/>
        <v>23.3325</v>
      </c>
      <c r="AA26" s="69">
        <f t="shared" si="10"/>
        <v>23.2881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0113-07</v>
      </c>
      <c r="AE26" s="95" t="str">
        <f t="shared" si="12"/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26" s="92" t="str">
        <f t="shared" si="13"/>
        <v>"C:\Program Files (x86)\AstroGrep\AstroGrep.exe" /spath="%USERPROFILE%\AppData\Local\Temp\OnboardLogs" /stypes="app*4038*20161007*" /stext=" 11:.+((SYSTEM_STATE.+slice.+state.+changed )|(ment ac)|(system.+state.+changed )|(\[timeout)|(PRM\|1\|D)|(kpr)|(kdp)|(\|lc)|(penalty))" /e /r /s</v>
      </c>
      <c r="AG26" s="1" t="str">
        <f t="shared" si="14"/>
        <v>EC</v>
      </c>
      <c r="AH26" s="96" t="str">
        <f t="shared" si="17"/>
        <v>"%USERPROFILE%\Documents\GitHub\eaglep3\Utilities\RefineRTDCRunTimes.py" --tripid 113-07 --locoid 4038 --swversion DE.1.0.7.0 --startMP 204:444 --initTime 2016-10-07T05:05:19 --startdatetime 2016-10-07T05:15:21 --delay 1 --endMP 204:233325 --enddatetime 2016-10-07T05:53:42 --enforcementcount 0 &gt;&gt;C:\Users\stu\Documents\GitHub\eaglep3-reporting\EC\2016-10-07-refined-times.txt</v>
      </c>
      <c r="AI26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{"issue":{"subject":"","project_id":79,"tracker_id":40,"status_id":1,"priority_id":2,"assigned_to_id":23,"start_date":"2016-10-07","description":"","custom_fields":[{"id":1,"name":"Subdivision","value":"EC"},{"id":4,"name":"Milepost","value":"23.3325"},{"id":17,"name":"Train ID","value":"113-07"},{"id":16,"name":"Locomotive ID","value":"4038"},{"id":130,"name":"Impact","value":""},{"id":150,"name":"Time of Event (Mountain Time)","value":"05:53:42"},{"id":151,"name":"Denver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388</v>
      </c>
      <c r="B27" s="7">
        <v>4037</v>
      </c>
      <c r="C27" s="24" t="s">
        <v>106</v>
      </c>
      <c r="D27" s="24" t="s">
        <v>389</v>
      </c>
      <c r="E27" s="15">
        <v>42650.255046296297</v>
      </c>
      <c r="F27" s="15">
        <v>42650.257986111108</v>
      </c>
      <c r="G27" s="7">
        <v>1</v>
      </c>
      <c r="H27" s="15" t="s">
        <v>190</v>
      </c>
      <c r="I27" s="15">
        <v>42650.285787037035</v>
      </c>
      <c r="J27" s="7">
        <v>0</v>
      </c>
      <c r="K27" s="117" t="str">
        <f t="shared" si="0"/>
        <v>4037/4038</v>
      </c>
      <c r="L27" s="24" t="str">
        <f>VLOOKUP(A27,'Trips&amp;Operators'!$C$1:$E$10000,3,FALSE)</f>
        <v>MAELZER</v>
      </c>
      <c r="M27" s="6">
        <f t="shared" si="1"/>
        <v>2.7800925927294884E-2</v>
      </c>
      <c r="N27" s="7">
        <f t="shared" si="19"/>
        <v>40.033333335304633</v>
      </c>
      <c r="O27" s="7"/>
      <c r="P27" s="7"/>
      <c r="Q27" s="25"/>
      <c r="R27" s="25"/>
      <c r="S27" s="37">
        <f t="shared" si="20"/>
        <v>1</v>
      </c>
      <c r="T27" s="52" t="str">
        <f t="shared" si="4"/>
        <v>Southbound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05:07:16-0600',mode:absolute,to:'2016-10-07 07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7" s="54" t="str">
        <f t="shared" si="6"/>
        <v>N</v>
      </c>
      <c r="X27" s="164">
        <f t="shared" si="7"/>
        <v>1</v>
      </c>
      <c r="Y27" s="69">
        <f t="shared" si="8"/>
        <v>23.299099999999999</v>
      </c>
      <c r="Z27" s="69">
        <f t="shared" si="9"/>
        <v>1.5800000000000002E-2</v>
      </c>
      <c r="AA27" s="69">
        <f t="shared" si="10"/>
        <v>23.283300000000001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0114-07</v>
      </c>
      <c r="AE27" s="95" t="str">
        <f t="shared" si="12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27" s="92" t="str">
        <f t="shared" si="13"/>
        <v>"C:\Program Files (x86)\AstroGrep\AstroGrep.exe" /spath="%USERPROFILE%\AppData\Local\Temp\OnboardLogs" /stypes="app*4037*20161007*"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6" t="str">
        <f t="shared" si="17"/>
        <v>"%USERPROFILE%\Documents\GitHub\eaglep3\Utilities\RefineRTDCRunTimes.py" --tripid 114-07 --locoid 4037 --swversion DE.1.0.7.0 --startMP 204:232991 --initTime 2016-10-07T06:07:16 --startdatetime 2016-10-07T06:11:30 --delay 1 --endMP 204:158 --enddatetime 2016-10-07T06:51:32 --enforcementcount 0 &gt;&gt;C:\Users\stu\Documents\GitHub\eaglep3-reporting\EC\2016-10-07-refined-times.txt</v>
      </c>
      <c r="AI27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ID","value":"114-07"},{"id":16,"name":"Locomotive ID","value":"4037"},{"id":130,"name":"Impact","value":""},{"id":150,"name":"Time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390</v>
      </c>
      <c r="B28" s="7">
        <v>4003</v>
      </c>
      <c r="C28" s="24" t="s">
        <v>106</v>
      </c>
      <c r="D28" s="24" t="s">
        <v>321</v>
      </c>
      <c r="E28" s="15">
        <v>42650.231446759259</v>
      </c>
      <c r="F28" s="15">
        <v>42650.232905092591</v>
      </c>
      <c r="G28" s="7">
        <v>1</v>
      </c>
      <c r="H28" s="15" t="s">
        <v>254</v>
      </c>
      <c r="I28" s="15">
        <v>42650.256701388891</v>
      </c>
      <c r="J28" s="7">
        <v>0</v>
      </c>
      <c r="K28" s="117" t="str">
        <f t="shared" si="0"/>
        <v>4003/4004</v>
      </c>
      <c r="L28" s="24" t="str">
        <f>VLOOKUP(A28,'Trips&amp;Operators'!$C$1:$E$10000,3,FALSE)</f>
        <v>ROCHA</v>
      </c>
      <c r="M28" s="6">
        <f t="shared" si="1"/>
        <v>2.379629630013369E-2</v>
      </c>
      <c r="N28" s="7">
        <f t="shared" si="19"/>
        <v>34.266666672192514</v>
      </c>
      <c r="O28" s="7"/>
      <c r="P28" s="7"/>
      <c r="Q28" s="25"/>
      <c r="R28" s="25"/>
      <c r="S28" s="37">
        <f t="shared" si="20"/>
        <v>1</v>
      </c>
      <c r="T28" s="52" t="str">
        <f t="shared" si="4"/>
        <v>NorthBound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04:33:17-0600',mode:absolute,to:'2016-10-07 07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8" s="54" t="str">
        <f t="shared" si="6"/>
        <v>N</v>
      </c>
      <c r="X28" s="164">
        <f t="shared" si="7"/>
        <v>1</v>
      </c>
      <c r="Y28" s="69">
        <f t="shared" si="8"/>
        <v>7.6499999999999999E-2</v>
      </c>
      <c r="Z28" s="69">
        <f t="shared" si="9"/>
        <v>23.3276</v>
      </c>
      <c r="AA28" s="69">
        <f t="shared" si="10"/>
        <v>23.251100000000001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0115-07</v>
      </c>
      <c r="AE28" s="95" t="str">
        <f t="shared" si="12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28" s="92" t="str">
        <f t="shared" si="13"/>
        <v>"C:\Program Files (x86)\AstroGrep\AstroGrep.exe" /spath="%USERPROFILE%\AppData\Local\Temp\OnboardLogs" /stypes="app*4003*20161007*" /stext=" 12:.+((SYSTEM_STATE.+slice.+state.+changed )|(ment ac)|(system.+state.+changed )|(\[timeout)|(PRM\|1\|D)|(kpr)|(kdp)|(\|lc)|(penalty))" /e /r /s</v>
      </c>
      <c r="AG28" s="1" t="str">
        <f t="shared" si="14"/>
        <v>EC</v>
      </c>
      <c r="AH28" s="96" t="str">
        <f t="shared" si="17"/>
        <v>"%USERPROFILE%\Documents\GitHub\eaglep3\Utilities\RefineRTDCRunTimes.py" --tripid 115-07 --locoid 4003 --swversion DE.1.0.7.0 --startMP 204:765 --initTime 2016-10-07T05:33:17 --startdatetime 2016-10-07T05:35:23 --delay 1 --endMP 204:233276 --enddatetime 2016-10-07T06:09:39 --enforcementcount 0 &gt;&gt;C:\Users\stu\Documents\GitHub\eaglep3-reporting\EC\2016-10-07-refined-times.txt</v>
      </c>
      <c r="AI28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{"issue":{"subject":"","project_id":79,"tracker_id":40,"status_id":1,"priority_id":2,"assigned_to_id":23,"start_date":"2016-10-07","description":"","custom_fields":[{"id":1,"name":"Subdivision","value":"EC"},{"id":4,"name":"Milepost","value":"23.3276"},{"id":17,"name":"Train ID","value":"115-07"},{"id":16,"name":"Locomotive ID","value":"4003"},{"id":130,"name":"Impact","value":""},{"id":150,"name":"Time of Event (Mountain Time)","value":"06:09:39"},{"id":151,"name":"Denver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391</v>
      </c>
      <c r="B29" s="7">
        <v>4004</v>
      </c>
      <c r="C29" s="24" t="s">
        <v>106</v>
      </c>
      <c r="D29" s="24" t="s">
        <v>228</v>
      </c>
      <c r="E29" s="15">
        <v>42650.266956018517</v>
      </c>
      <c r="F29" s="15">
        <v>42650.268368055556</v>
      </c>
      <c r="G29" s="7">
        <v>1</v>
      </c>
      <c r="H29" s="15" t="s">
        <v>188</v>
      </c>
      <c r="I29" s="15">
        <v>42650.297951388886</v>
      </c>
      <c r="J29" s="7">
        <v>0</v>
      </c>
      <c r="K29" s="117" t="str">
        <f t="shared" si="0"/>
        <v>4003/4004</v>
      </c>
      <c r="L29" s="24" t="str">
        <f>VLOOKUP(A29,'Trips&amp;Operators'!$C$1:$E$10000,3,FALSE)</f>
        <v>ROCHA</v>
      </c>
      <c r="M29" s="6">
        <f t="shared" si="1"/>
        <v>2.958333332935581E-2</v>
      </c>
      <c r="N29" s="7">
        <f t="shared" si="19"/>
        <v>42.599999994272366</v>
      </c>
      <c r="O29" s="7"/>
      <c r="P29" s="7"/>
      <c r="Q29" s="25"/>
      <c r="R29" s="25"/>
      <c r="S29" s="37">
        <f t="shared" si="20"/>
        <v>1</v>
      </c>
      <c r="T29" s="52" t="str">
        <f t="shared" si="4"/>
        <v>Southbound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05:24:25-0600',mode:absolute,to:'2016-10-07 08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9" s="54" t="str">
        <f t="shared" si="6"/>
        <v>N</v>
      </c>
      <c r="X29" s="164">
        <f t="shared" si="7"/>
        <v>1</v>
      </c>
      <c r="Y29" s="69">
        <f t="shared" si="8"/>
        <v>23.2986</v>
      </c>
      <c r="Z29" s="69">
        <f t="shared" si="9"/>
        <v>1.49E-2</v>
      </c>
      <c r="AA29" s="69">
        <f t="shared" si="10"/>
        <v>23.2837</v>
      </c>
      <c r="AB29" s="66" t="str">
        <f>VLOOKUP(A29,Enforcements!$C$7:$K$21,8,0)</f>
        <v>Bulletin (2)</v>
      </c>
      <c r="AC29" s="62" t="str">
        <f>VLOOKUP(A29,Enforcements!$C$7:$E$21,3,0)</f>
        <v>GRADE CROSSING</v>
      </c>
      <c r="AD29" s="63" t="str">
        <f t="shared" si="11"/>
        <v>0116-07</v>
      </c>
      <c r="AE29" s="95" t="str">
        <f t="shared" si="12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29" s="92" t="str">
        <f t="shared" si="13"/>
        <v>"C:\Program Files (x86)\AstroGrep\AstroGrep.exe" /spath="%USERPROFILE%\AppData\Local\Temp\OnboardLogs" /stypes="app*4004*20161007*"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6" t="str">
        <f t="shared" si="17"/>
        <v>"%USERPROFILE%\Documents\GitHub\eaglep3\Utilities\RefineRTDCRunTimes.py" --tripid 116-07 --locoid 4004 --swversion DE.1.0.7.0 --startMP 204:232986 --initTime 2016-10-07T06:24:25 --startdatetime 2016-10-07T06:26:27 --delay 1 --endMP 204:149 --enddatetime 2016-10-07T07:09:03 --enforcementcount 0 &gt;&gt;C:\Users\stu\Documents\GitHub\eaglep3-reporting\EC\2016-10-07-refined-times.txt</v>
      </c>
      <c r="AI29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{"issue":{"subject":"","project_id":79,"tracker_id":40,"status_id":1,"priority_id":2,"assigned_to_id":23,"start_date":"2016-10-07","description":"","custom_fields":[{"id":1,"name":"Subdivision","value":"EC"},{"id":4,"name":"Milepost","value":"0.0149"},{"id":17,"name":"Train ID","value":"116-07"},{"id":16,"name":"Locomotive ID","value":"4004"},{"id":130,"name":"Impact","value":""},{"id":150,"name":"Time of Event (Mountain Time)","value":"07:09:03"},{"id":151,"name":"Denver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392</v>
      </c>
      <c r="B30" s="7">
        <v>4018</v>
      </c>
      <c r="C30" s="24" t="s">
        <v>106</v>
      </c>
      <c r="D30" s="24" t="s">
        <v>338</v>
      </c>
      <c r="E30" s="15">
        <v>42650.236793981479</v>
      </c>
      <c r="F30" s="15">
        <v>42650.239803240744</v>
      </c>
      <c r="G30" s="7">
        <v>1</v>
      </c>
      <c r="H30" s="15" t="s">
        <v>242</v>
      </c>
      <c r="I30" s="15">
        <v>42650.267280092594</v>
      </c>
      <c r="J30" s="7">
        <v>0</v>
      </c>
      <c r="K30" s="117" t="str">
        <f t="shared" si="0"/>
        <v>4017/4018</v>
      </c>
      <c r="L30" s="24" t="str">
        <f>VLOOKUP(A30,'Trips&amp;Operators'!$C$1:$E$10000,3,FALSE)</f>
        <v>DAVIS</v>
      </c>
      <c r="M30" s="6">
        <f t="shared" si="1"/>
        <v>2.7476851850224193E-2</v>
      </c>
      <c r="N30" s="7">
        <f t="shared" si="19"/>
        <v>39.566666664322838</v>
      </c>
      <c r="O30" s="7"/>
      <c r="P30" s="7"/>
      <c r="Q30" s="25"/>
      <c r="R30" s="25"/>
      <c r="S30" s="37">
        <f t="shared" si="20"/>
        <v>1</v>
      </c>
      <c r="T30" s="52" t="str">
        <f t="shared" si="4"/>
        <v>NorthBound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04:40:59-0600',mode:absolute,to:'2016-10-07 07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0" s="54" t="str">
        <f t="shared" si="6"/>
        <v>N</v>
      </c>
      <c r="X30" s="164">
        <f t="shared" si="7"/>
        <v>1</v>
      </c>
      <c r="Y30" s="69">
        <f t="shared" si="8"/>
        <v>4.3499999999999997E-2</v>
      </c>
      <c r="Z30" s="69">
        <f t="shared" si="9"/>
        <v>23.3308</v>
      </c>
      <c r="AA30" s="69">
        <f t="shared" si="10"/>
        <v>23.287299999999998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0117-07</v>
      </c>
      <c r="AE30" s="95" t="str">
        <f t="shared" si="12"/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30" s="92" t="str">
        <f t="shared" si="13"/>
        <v>"C:\Program Files (x86)\AstroGrep\AstroGrep.exe" /spath="%USERPROFILE%\AppData\Local\Temp\OnboardLogs" /stypes="app*4018*20161007*" /stext=" 12:.+((SYSTEM_STATE.+slice.+state.+changed )|(ment ac)|(system.+state.+changed )|(\[timeout)|(PRM\|1\|D)|(kpr)|(kdp)|(\|lc)|(penalty))" /e /r /s</v>
      </c>
      <c r="AG30" s="1" t="str">
        <f t="shared" si="14"/>
        <v>EC</v>
      </c>
      <c r="AH30" s="96" t="str">
        <f t="shared" si="17"/>
        <v>"%USERPROFILE%\Documents\GitHub\eaglep3\Utilities\RefineRTDCRunTimes.py" --tripid 117-07 --locoid 4018 --swversion DE.1.0.7.0 --startMP 204:435 --initTime 2016-10-07T05:40:59 --startdatetime 2016-10-07T05:45:19 --delay 1 --endMP 204:233308 --enddatetime 2016-10-07T06:24:53 --enforcementcount 0 &gt;&gt;C:\Users\stu\Documents\GitHub\eaglep3-reporting\EC\2016-10-07-refined-times.txt</v>
      </c>
      <c r="AI30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{"issue":{"subject":"","project_id":79,"tracker_id":40,"status_id":1,"priority_id":2,"assigned_to_id":23,"start_date":"2016-10-07","description":"","custom_fields":[{"id":1,"name":"Subdivision","value":"EC"},{"id":4,"name":"Milepost","value":"23.3308"},{"id":17,"name":"Train ID","value":"117-07"},{"id":16,"name":"Locomotive ID","value":"4018"},{"id":130,"name":"Impact","value":""},{"id":150,"name":"Time of Event (Mountain Time)","value":"06:24:53"},{"id":151,"name":"Denver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393</v>
      </c>
      <c r="B31" s="7">
        <v>4017</v>
      </c>
      <c r="C31" s="24" t="s">
        <v>106</v>
      </c>
      <c r="D31" s="24" t="s">
        <v>394</v>
      </c>
      <c r="E31" s="15">
        <v>42650.275150462963</v>
      </c>
      <c r="F31" s="15">
        <v>42650.278657407405</v>
      </c>
      <c r="G31" s="7">
        <v>1</v>
      </c>
      <c r="H31" s="15" t="s">
        <v>333</v>
      </c>
      <c r="I31" s="15">
        <v>42650.307303240741</v>
      </c>
      <c r="J31" s="7">
        <v>0</v>
      </c>
      <c r="K31" s="117" t="str">
        <f t="shared" si="0"/>
        <v>4017/4018</v>
      </c>
      <c r="L31" s="24" t="str">
        <f>VLOOKUP(A31,'Trips&amp;Operators'!$C$1:$E$10000,3,FALSE)</f>
        <v>DAVIS</v>
      </c>
      <c r="M31" s="6">
        <f t="shared" si="1"/>
        <v>2.8645833335758653E-2</v>
      </c>
      <c r="N31" s="7">
        <f t="shared" si="19"/>
        <v>41.25000000349246</v>
      </c>
      <c r="O31" s="7"/>
      <c r="P31" s="7"/>
      <c r="Q31" s="25"/>
      <c r="R31" s="25"/>
      <c r="S31" s="37">
        <f t="shared" si="20"/>
        <v>1</v>
      </c>
      <c r="T31" s="52" t="str">
        <f t="shared" si="4"/>
        <v>Southbound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05:36:13-0600',mode:absolute,to:'2016-10-07 08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1" s="54" t="str">
        <f t="shared" si="6"/>
        <v>N</v>
      </c>
      <c r="X31" s="164">
        <f t="shared" si="7"/>
        <v>1</v>
      </c>
      <c r="Y31" s="69">
        <f t="shared" si="8"/>
        <v>23.299399999999999</v>
      </c>
      <c r="Z31" s="69">
        <f t="shared" si="9"/>
        <v>1.3899999999999999E-2</v>
      </c>
      <c r="AA31" s="69">
        <f t="shared" si="10"/>
        <v>23.285499999999999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0118-07</v>
      </c>
      <c r="AE31" s="95" t="str">
        <f t="shared" si="12"/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31" s="92" t="str">
        <f t="shared" si="13"/>
        <v>"C:\Program Files (x86)\AstroGrep\AstroGrep.exe" /spath="%USERPROFILE%\AppData\Local\Temp\OnboardLogs" /stypes="app*4017*20161007*"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6" t="str">
        <f t="shared" si="17"/>
        <v>"%USERPROFILE%\Documents\GitHub\eaglep3\Utilities\RefineRTDCRunTimes.py" --tripid 118-07 --locoid 4017 --swversion DE.1.0.7.0 --startMP 204:232994 --initTime 2016-10-07T06:36:13 --startdatetime 2016-10-07T06:41:16 --delay 1 --endMP 204:139 --enddatetime 2016-10-07T07:22:31 --enforcementcount 0 &gt;&gt;C:\Users\stu\Documents\GitHub\eaglep3-reporting\EC\2016-10-07-refined-times.txt</v>
      </c>
      <c r="AI31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{"issue":{"subject":"","project_id":79,"tracker_id":40,"status_id":1,"priority_id":2,"assigned_to_id":23,"start_date":"2016-10-07","description":"","custom_fields":[{"id":1,"name":"Subdivision","value":"EC"},{"id":4,"name":"Milepost","value":"0.0139"},{"id":17,"name":"Train ID","value":"118-07"},{"id":16,"name":"Locomotive ID","value":"4017"},{"id":130,"name":"Impact","value":""},{"id":150,"name":"Time of Event (Mountain Time)","value":"07:22:31"},{"id":151,"name":"Denver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395</v>
      </c>
      <c r="B32" s="7">
        <v>4046</v>
      </c>
      <c r="C32" s="24" t="s">
        <v>106</v>
      </c>
      <c r="D32" s="24" t="s">
        <v>396</v>
      </c>
      <c r="E32" s="15">
        <v>42650.25037037037</v>
      </c>
      <c r="F32" s="15">
        <v>42650.251921296294</v>
      </c>
      <c r="G32" s="7">
        <v>1</v>
      </c>
      <c r="H32" s="15" t="s">
        <v>334</v>
      </c>
      <c r="I32" s="15">
        <v>42650.277557870373</v>
      </c>
      <c r="J32" s="7">
        <v>0</v>
      </c>
      <c r="K32" s="117" t="str">
        <f t="shared" si="0"/>
        <v>4045/4046</v>
      </c>
      <c r="L32" s="24" t="str">
        <f>VLOOKUP(A32,'Trips&amp;Operators'!$C$1:$E$10000,3,FALSE)</f>
        <v>MALAVE</v>
      </c>
      <c r="M32" s="6">
        <f t="shared" si="1"/>
        <v>2.5636574078816921E-2</v>
      </c>
      <c r="N32" s="7">
        <f t="shared" si="19"/>
        <v>36.916666673496366</v>
      </c>
      <c r="O32" s="7"/>
      <c r="P32" s="7"/>
      <c r="Q32" s="25"/>
      <c r="R32" s="25"/>
      <c r="S32" s="37">
        <f t="shared" si="20"/>
        <v>1</v>
      </c>
      <c r="T32" s="52" t="str">
        <f t="shared" si="4"/>
        <v>NorthBound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05:00:32-0600',mode:absolute,to:'2016-10-07 07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2" s="54" t="str">
        <f t="shared" si="6"/>
        <v>N</v>
      </c>
      <c r="X32" s="164">
        <f t="shared" si="7"/>
        <v>1</v>
      </c>
      <c r="Y32" s="69">
        <f t="shared" si="8"/>
        <v>7.7499999999999999E-2</v>
      </c>
      <c r="Z32" s="69">
        <f t="shared" si="9"/>
        <v>23.3264</v>
      </c>
      <c r="AA32" s="69">
        <f t="shared" si="10"/>
        <v>23.248899999999999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0119-07</v>
      </c>
      <c r="AE32" s="95" t="str">
        <f t="shared" si="12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32" s="92" t="str">
        <f t="shared" si="13"/>
        <v>"C:\Program Files (x86)\AstroGrep\AstroGrep.exe" /spath="%USERPROFILE%\AppData\Local\Temp\OnboardLogs" /stypes="app*4046*20161007*" /stext=" 12:.+((SYSTEM_STATE.+slice.+state.+changed )|(ment ac)|(system.+state.+changed )|(\[timeout)|(PRM\|1\|D)|(kpr)|(kdp)|(\|lc)|(penalty))" /e /r /s</v>
      </c>
      <c r="AG32" s="1" t="str">
        <f t="shared" si="14"/>
        <v>EC</v>
      </c>
      <c r="AH32" s="96" t="str">
        <f t="shared" si="17"/>
        <v>"%USERPROFILE%\Documents\GitHub\eaglep3\Utilities\RefineRTDCRunTimes.py" --tripid 119-07 --locoid 4046 --swversion DE.1.0.7.0 --startMP 204:775 --initTime 2016-10-07T06:00:32 --startdatetime 2016-10-07T06:02:46 --delay 1 --endMP 204:233264 --enddatetime 2016-10-07T06:39:41 --enforcementcount 0 &gt;&gt;C:\Users\stu\Documents\GitHub\eaglep3-reporting\EC\2016-10-07-refined-times.txt</v>
      </c>
      <c r="AI32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{"issue":{"subject":"","project_id":79,"tracker_id":40,"status_id":1,"priority_id":2,"assigned_to_id":23,"start_date":"2016-10-07","description":"","custom_fields":[{"id":1,"name":"Subdivision","value":"EC"},{"id":4,"name":"Milepost","value":"23.3264"},{"id":17,"name":"Train ID","value":"119-07"},{"id":16,"name":"Locomotive ID","value":"4046"},{"id":130,"name":"Impact","value":""},{"id":150,"name":"Time of Event (Mountain Time)","value":"06:39:41"},{"id":151,"name":"Denver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397</v>
      </c>
      <c r="B33" s="7">
        <v>4045</v>
      </c>
      <c r="C33" s="24" t="s">
        <v>106</v>
      </c>
      <c r="D33" s="24" t="s">
        <v>398</v>
      </c>
      <c r="E33" s="15">
        <v>42650.284120370372</v>
      </c>
      <c r="F33" s="15">
        <v>42650.289351851854</v>
      </c>
      <c r="G33" s="7">
        <v>1</v>
      </c>
      <c r="H33" s="15" t="s">
        <v>206</v>
      </c>
      <c r="I33" s="15">
        <v>42650.317210648151</v>
      </c>
      <c r="J33" s="7">
        <v>0</v>
      </c>
      <c r="K33" s="117" t="str">
        <f t="shared" si="0"/>
        <v>4045/4046</v>
      </c>
      <c r="L33" s="24" t="str">
        <f>VLOOKUP(A33,'Trips&amp;Operators'!$C$1:$E$10000,3,FALSE)</f>
        <v>MALAVE</v>
      </c>
      <c r="M33" s="6">
        <f t="shared" si="1"/>
        <v>2.7858796296641231E-2</v>
      </c>
      <c r="N33" s="7">
        <f t="shared" si="19"/>
        <v>40.116666667163372</v>
      </c>
      <c r="O33" s="7"/>
      <c r="P33" s="7"/>
      <c r="Q33" s="25"/>
      <c r="R33" s="25"/>
      <c r="S33" s="37">
        <f t="shared" si="20"/>
        <v>1</v>
      </c>
      <c r="T33" s="52" t="str">
        <f t="shared" si="4"/>
        <v>Southbound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05:49:08-0600',mode:absolute,to:'2016-10-07 08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3" s="54" t="str">
        <f t="shared" si="6"/>
        <v>N</v>
      </c>
      <c r="X33" s="164">
        <f t="shared" si="7"/>
        <v>1</v>
      </c>
      <c r="Y33" s="69">
        <f t="shared" si="8"/>
        <v>23.2944</v>
      </c>
      <c r="Z33" s="69">
        <f t="shared" si="9"/>
        <v>1.5599999999999999E-2</v>
      </c>
      <c r="AA33" s="69">
        <f t="shared" si="10"/>
        <v>23.2788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0120-07</v>
      </c>
      <c r="AE33" s="95" t="str">
        <f t="shared" si="12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33" s="92" t="str">
        <f t="shared" si="13"/>
        <v>"C:\Program Files (x86)\AstroGrep\AstroGrep.exe" /spath="%USERPROFILE%\AppData\Local\Temp\OnboardLogs" /stypes="app*4045*20161007*"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6" t="str">
        <f t="shared" si="17"/>
        <v>"%USERPROFILE%\Documents\GitHub\eaglep3\Utilities\RefineRTDCRunTimes.py" --tripid 120-07 --locoid 4045 --swversion DE.1.0.7.0 --startMP 204:232944 --initTime 2016-10-07T06:49:08 --startdatetime 2016-10-07T06:56:40 --delay 1 --endMP 204:156 --enddatetime 2016-10-07T07:36:47 --enforcementcount 0 &gt;&gt;C:\Users\stu\Documents\GitHub\eaglep3-reporting\EC\2016-10-07-refined-times.txt</v>
      </c>
      <c r="AI33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ID","value":"120-07"},{"id":16,"name":"Locomotive ID","value":"4045"},{"id":130,"name":"Impact","value":""},{"id":150,"name":"Time of Event (Mountain Time)","value":"07:36:47"},{"id":151,"name":"Denver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399</v>
      </c>
      <c r="B34" s="7">
        <v>4020</v>
      </c>
      <c r="C34" s="24" t="s">
        <v>106</v>
      </c>
      <c r="D34" s="24" t="s">
        <v>216</v>
      </c>
      <c r="E34" s="15">
        <v>42650.258275462962</v>
      </c>
      <c r="F34" s="15">
        <v>42650.260648148149</v>
      </c>
      <c r="G34" s="7">
        <v>1</v>
      </c>
      <c r="H34" s="15" t="s">
        <v>400</v>
      </c>
      <c r="I34" s="15">
        <v>42650.286759259259</v>
      </c>
      <c r="J34" s="7">
        <v>0</v>
      </c>
      <c r="K34" s="117" t="str">
        <f t="shared" si="0"/>
        <v>4019/4020</v>
      </c>
      <c r="L34" s="24" t="str">
        <f>VLOOKUP(A34,'Trips&amp;Operators'!$C$1:$E$10000,3,FALSE)</f>
        <v>BRANNON</v>
      </c>
      <c r="M34" s="6">
        <f t="shared" si="1"/>
        <v>2.6111111110367347E-2</v>
      </c>
      <c r="N34" s="7">
        <f t="shared" si="19"/>
        <v>37.599999998928979</v>
      </c>
      <c r="O34" s="7"/>
      <c r="P34" s="7"/>
      <c r="Q34" s="25"/>
      <c r="R34" s="25"/>
      <c r="S34" s="37">
        <f t="shared" si="20"/>
        <v>1</v>
      </c>
      <c r="T34" s="52" t="str">
        <f t="shared" si="4"/>
        <v>NorthBound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05:11:55-0600',mode:absolute,to:'2016-10-07 07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4" s="54" t="str">
        <f t="shared" si="6"/>
        <v>N</v>
      </c>
      <c r="X34" s="164">
        <f t="shared" si="7"/>
        <v>1</v>
      </c>
      <c r="Y34" s="69">
        <f t="shared" si="8"/>
        <v>4.6399999999999997E-2</v>
      </c>
      <c r="Z34" s="69">
        <f t="shared" si="9"/>
        <v>23.327400000000001</v>
      </c>
      <c r="AA34" s="69">
        <f t="shared" si="10"/>
        <v>23.281000000000002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0121-07</v>
      </c>
      <c r="AE34" s="95" t="str">
        <f t="shared" si="12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34" s="92" t="str">
        <f t="shared" si="13"/>
        <v>"C:\Program Files (x86)\AstroGrep\AstroGrep.exe" /spath="%USERPROFILE%\AppData\Local\Temp\OnboardLogs" /stypes="app*4020*20161007*" /stext=" 12:.+((SYSTEM_STATE.+slice.+state.+changed )|(ment ac)|(system.+state.+changed )|(\[timeout)|(PRM\|1\|D)|(kpr)|(kdp)|(\|lc)|(penalty))" /e /r /s</v>
      </c>
      <c r="AG34" s="1" t="str">
        <f t="shared" si="14"/>
        <v>EC</v>
      </c>
      <c r="AH34" s="96" t="str">
        <f t="shared" si="17"/>
        <v>"%USERPROFILE%\Documents\GitHub\eaglep3\Utilities\RefineRTDCRunTimes.py" --tripid 121-07 --locoid 4020 --swversion DE.1.0.7.0 --startMP 204:464 --initTime 2016-10-07T06:11:55 --startdatetime 2016-10-07T06:15:20 --delay 1 --endMP 204:233274 --enddatetime 2016-10-07T06:52:56 --enforcementcount 0 &gt;&gt;C:\Users\stu\Documents\GitHub\eaglep3-reporting\EC\2016-10-07-refined-times.txt</v>
      </c>
      <c r="AI34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{"issue":{"subject":"","project_id":79,"tracker_id":40,"status_id":1,"priority_id":2,"assigned_to_id":23,"start_date":"2016-10-07","description":"","custom_fields":[{"id":1,"name":"Subdivision","value":"EC"},{"id":4,"name":"Milepost","value":"23.3274"},{"id":17,"name":"Train ID","value":"121-07"},{"id":16,"name":"Locomotive ID","value":"4020"},{"id":130,"name":"Impact","value":""},{"id":150,"name":"Time of Event (Mountain Time)","value":"06:52:56"},{"id":151,"name":"Denver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401</v>
      </c>
      <c r="B35" s="7">
        <v>4019</v>
      </c>
      <c r="C35" s="24" t="s">
        <v>106</v>
      </c>
      <c r="D35" s="24" t="s">
        <v>402</v>
      </c>
      <c r="E35" s="15">
        <v>42650.294120370374</v>
      </c>
      <c r="F35" s="15">
        <v>42650.299733796295</v>
      </c>
      <c r="G35" s="7">
        <v>1</v>
      </c>
      <c r="H35" s="15" t="s">
        <v>209</v>
      </c>
      <c r="I35" s="15">
        <v>42650.326481481483</v>
      </c>
      <c r="J35" s="7">
        <v>0</v>
      </c>
      <c r="K35" s="117" t="str">
        <f t="shared" si="0"/>
        <v>4019/4020</v>
      </c>
      <c r="L35" s="24" t="str">
        <f>VLOOKUP(A35,'Trips&amp;Operators'!$C$1:$E$10000,3,FALSE)</f>
        <v>BRANNON</v>
      </c>
      <c r="M35" s="6">
        <f t="shared" si="1"/>
        <v>2.6747685187729076E-2</v>
      </c>
      <c r="N35" s="7">
        <f t="shared" si="19"/>
        <v>38.516666670329869</v>
      </c>
      <c r="O35" s="7"/>
      <c r="P35" s="7"/>
      <c r="Q35" s="25"/>
      <c r="R35" s="25"/>
      <c r="S35" s="37">
        <f t="shared" si="20"/>
        <v>1</v>
      </c>
      <c r="T35" s="52" t="str">
        <f t="shared" si="4"/>
        <v>Southbound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06:03:32-0600',mode:absolute,to:'2016-10-07 08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5" s="54" t="str">
        <f t="shared" si="6"/>
        <v>N</v>
      </c>
      <c r="X35" s="164">
        <f t="shared" si="7"/>
        <v>1</v>
      </c>
      <c r="Y35" s="69">
        <f t="shared" si="8"/>
        <v>23.298100000000002</v>
      </c>
      <c r="Z35" s="69">
        <f t="shared" si="9"/>
        <v>1.4500000000000001E-2</v>
      </c>
      <c r="AA35" s="69">
        <f t="shared" si="10"/>
        <v>23.2836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0122-07</v>
      </c>
      <c r="AE35" s="95" t="str">
        <f t="shared" si="12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35" s="92" t="str">
        <f t="shared" si="13"/>
        <v>"C:\Program Files (x86)\AstroGrep\AstroGrep.exe" /spath="%USERPROFILE%\AppData\Local\Temp\OnboardLogs" /stypes="app*4019*20161007*"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6" t="str">
        <f t="shared" si="17"/>
        <v>"%USERPROFILE%\Documents\GitHub\eaglep3\Utilities\RefineRTDCRunTimes.py" --tripid 122-07 --locoid 4019 --swversion DE.1.0.7.0 --startMP 204:232981 --initTime 2016-10-07T07:03:32 --startdatetime 2016-10-07T07:11:37 --delay 1 --endMP 204:145 --enddatetime 2016-10-07T07:50:08 --enforcementcount 0 &gt;&gt;C:\Users\stu\Documents\GitHub\eaglep3-reporting\EC\2016-10-07-refined-times.txt</v>
      </c>
      <c r="AI35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ID","value":"122-07"},{"id":16,"name":"Locomotive ID","value":"4019"},{"id":130,"name":"Impact","value":""},{"id":150,"name":"Time of Event (Mountain Time)","value":"07:50:08"},{"id":151,"name":"Denver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403</v>
      </c>
      <c r="B36" s="7">
        <v>4007</v>
      </c>
      <c r="C36" s="24" t="s">
        <v>106</v>
      </c>
      <c r="D36" s="24" t="s">
        <v>196</v>
      </c>
      <c r="E36" s="15">
        <v>42650.268726851849</v>
      </c>
      <c r="F36" s="15">
        <v>42650.271192129629</v>
      </c>
      <c r="G36" s="7">
        <v>1</v>
      </c>
      <c r="H36" s="15" t="s">
        <v>404</v>
      </c>
      <c r="I36" s="15">
        <v>42650.295740740738</v>
      </c>
      <c r="J36" s="7">
        <v>0</v>
      </c>
      <c r="K36" s="117" t="str">
        <f t="shared" si="0"/>
        <v>4007/4008</v>
      </c>
      <c r="L36" s="24" t="str">
        <f>VLOOKUP(A36,'Trips&amp;Operators'!$C$1:$E$10000,3,FALSE)</f>
        <v>GEBRETEKLE</v>
      </c>
      <c r="M36" s="6">
        <f t="shared" si="1"/>
        <v>2.4548611108912155E-2</v>
      </c>
      <c r="N36" s="7">
        <f t="shared" si="19"/>
        <v>35.349999996833503</v>
      </c>
      <c r="O36" s="7"/>
      <c r="P36" s="7"/>
      <c r="Q36" s="25"/>
      <c r="R36" s="25"/>
      <c r="S36" s="37">
        <f t="shared" si="20"/>
        <v>1</v>
      </c>
      <c r="T36" s="52" t="str">
        <f t="shared" si="4"/>
        <v>NorthBound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05:26:58-0600',mode:absolute,to:'2016-10-07 08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6" s="54" t="str">
        <f t="shared" si="6"/>
        <v>N</v>
      </c>
      <c r="X36" s="164">
        <f t="shared" si="7"/>
        <v>1</v>
      </c>
      <c r="Y36" s="69">
        <f t="shared" si="8"/>
        <v>4.5699999999999998E-2</v>
      </c>
      <c r="Z36" s="69">
        <f t="shared" si="9"/>
        <v>23.328399999999998</v>
      </c>
      <c r="AA36" s="69">
        <f t="shared" si="10"/>
        <v>23.282699999999998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0123-07</v>
      </c>
      <c r="AE36" s="95" t="str">
        <f t="shared" si="12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36" s="92" t="str">
        <f t="shared" si="13"/>
        <v>"C:\Program Files (x86)\AstroGrep\AstroGrep.exe" /spath="%USERPROFILE%\AppData\Local\Temp\OnboardLogs" /stypes="app*4007*20161007*" /stext=" 13:.+((SYSTEM_STATE.+slice.+state.+changed )|(ment ac)|(system.+state.+changed )|(\[timeout)|(PRM\|1\|D)|(kpr)|(kdp)|(\|lc)|(penalty))" /e /r /s</v>
      </c>
      <c r="AG36" s="1" t="str">
        <f t="shared" si="14"/>
        <v>EC</v>
      </c>
      <c r="AH36" s="96" t="str">
        <f t="shared" si="17"/>
        <v>"%USERPROFILE%\Documents\GitHub\eaglep3\Utilities\RefineRTDCRunTimes.py" --tripid 123-07 --locoid 4007 --swversion DE.1.0.7.0 --startMP 204:457 --initTime 2016-10-07T06:26:58 --startdatetime 2016-10-07T06:30:31 --delay 1 --endMP 204:233284 --enddatetime 2016-10-07T07:05:52 --enforcementcount 0 &gt;&gt;C:\Users\stu\Documents\GitHub\eaglep3-reporting\EC\2016-10-07-refined-times.txt</v>
      </c>
      <c r="AI36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{"issue":{"subject":"","project_id":79,"tracker_id":40,"status_id":1,"priority_id":2,"assigned_to_id":23,"start_date":"2016-10-07","description":"","custom_fields":[{"id":1,"name":"Subdivision","value":"EC"},{"id":4,"name":"Milepost","value":"23.3284"},{"id":17,"name":"Train ID","value":"123-07"},{"id":16,"name":"Locomotive ID","value":"4007"},{"id":130,"name":"Impact","value":""},{"id":150,"name":"Time of Event (Mountain Time)","value":"07:05:52"},{"id":151,"name":"Denver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405</v>
      </c>
      <c r="B37" s="7">
        <v>4008</v>
      </c>
      <c r="C37" s="24" t="s">
        <v>106</v>
      </c>
      <c r="D37" s="24" t="s">
        <v>233</v>
      </c>
      <c r="E37" s="15">
        <v>42650.305219907408</v>
      </c>
      <c r="F37" s="15">
        <v>42650.309988425928</v>
      </c>
      <c r="G37" s="7">
        <v>2</v>
      </c>
      <c r="H37" s="15" t="s">
        <v>406</v>
      </c>
      <c r="I37" s="15">
        <v>42650.336087962962</v>
      </c>
      <c r="J37" s="7">
        <v>0</v>
      </c>
      <c r="K37" s="117" t="str">
        <f t="shared" si="0"/>
        <v>4007/4008</v>
      </c>
      <c r="L37" s="24" t="str">
        <f>VLOOKUP(A37,'Trips&amp;Operators'!$C$1:$E$10000,3,FALSE)</f>
        <v>GEBRETEKLE</v>
      </c>
      <c r="M37" s="6">
        <f t="shared" si="1"/>
        <v>2.6099537033587694E-2</v>
      </c>
      <c r="N37" s="7">
        <f t="shared" si="19"/>
        <v>37.58333332836628</v>
      </c>
      <c r="O37" s="7"/>
      <c r="P37" s="7"/>
      <c r="Q37" s="25"/>
      <c r="R37" s="25"/>
      <c r="S37" s="37">
        <f t="shared" si="20"/>
        <v>1</v>
      </c>
      <c r="T37" s="52" t="str">
        <f t="shared" si="4"/>
        <v>Southbound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06:19:31-0600',mode:absolute,to:'2016-10-07 09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7" s="54" t="str">
        <f t="shared" si="6"/>
        <v>N</v>
      </c>
      <c r="X37" s="164">
        <f t="shared" si="7"/>
        <v>1</v>
      </c>
      <c r="Y37" s="69">
        <f t="shared" si="8"/>
        <v>23.297999999999998</v>
      </c>
      <c r="Z37" s="69">
        <f t="shared" si="9"/>
        <v>1.67E-2</v>
      </c>
      <c r="AA37" s="69">
        <f t="shared" si="10"/>
        <v>23.281299999999998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0124-07</v>
      </c>
      <c r="AE37" s="95" t="str">
        <f t="shared" si="12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37" s="92" t="str">
        <f t="shared" si="13"/>
        <v>"C:\Program Files (x86)\AstroGrep\AstroGrep.exe" /spath="%USERPROFILE%\AppData\Local\Temp\OnboardLogs" /stypes="app*4008*20161007*"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6" t="str">
        <f t="shared" si="17"/>
        <v>"%USERPROFILE%\Documents\GitHub\eaglep3\Utilities\RefineRTDCRunTimes.py" --tripid 124-07 --locoid 4008 --swversion DE.1.0.7.0 --startMP 204:232980 --initTime 2016-10-07T07:19:31 --startdatetime 2016-10-07T07:26:23 --delay 2 --endMP 204:167 --enddatetime 2016-10-07T08:03:58 --enforcementcount 0 &gt;&gt;C:\Users\stu\Documents\GitHub\eaglep3-reporting\EC\2016-10-07-refined-times.txt</v>
      </c>
      <c r="AI37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{"issue":{"subject":"","project_id":79,"tracker_id":40,"status_id":1,"priority_id":2,"assigned_to_id":23,"start_date":"2016-10-07","description":"","custom_fields":[{"id":1,"name":"Subdivision","value":"EC"},{"id":4,"name":"Milepost","value":"0.0167"},{"id":17,"name":"Train ID","value":"124-07"},{"id":16,"name":"Locomotive ID","value":"4008"},{"id":130,"name":"Impact","value":""},{"id":150,"name":"Time of Event (Mountain Time)","value":"08:03:58"},{"id":151,"name":"Denver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407</v>
      </c>
      <c r="B38" s="7">
        <v>4042</v>
      </c>
      <c r="C38" s="24" t="s">
        <v>106</v>
      </c>
      <c r="D38" s="24" t="s">
        <v>299</v>
      </c>
      <c r="E38" s="15">
        <v>42650.279247685183</v>
      </c>
      <c r="F38" s="15">
        <v>42650.281458333331</v>
      </c>
      <c r="G38" s="7">
        <v>1</v>
      </c>
      <c r="H38" s="15" t="s">
        <v>250</v>
      </c>
      <c r="I38" s="15">
        <v>42650.306400462963</v>
      </c>
      <c r="J38" s="7">
        <v>0</v>
      </c>
      <c r="K38" s="117" t="str">
        <f t="shared" si="0"/>
        <v>4041/4042</v>
      </c>
      <c r="L38" s="24" t="str">
        <f>VLOOKUP(A38,'Trips&amp;Operators'!$C$1:$E$10000,3,FALSE)</f>
        <v>SPECTOR</v>
      </c>
      <c r="M38" s="6">
        <f t="shared" si="1"/>
        <v>2.4942129632108845E-2</v>
      </c>
      <c r="N38" s="7">
        <f t="shared" si="19"/>
        <v>35.916666670236737</v>
      </c>
      <c r="O38" s="7"/>
      <c r="P38" s="7"/>
      <c r="Q38" s="25"/>
      <c r="R38" s="25"/>
      <c r="S38" s="37">
        <f t="shared" si="20"/>
        <v>1</v>
      </c>
      <c r="T38" s="52" t="str">
        <f t="shared" si="4"/>
        <v>NorthBound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05:42:07-0600',mode:absolute,to:'2016-10-07 08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8" s="54" t="str">
        <f t="shared" si="6"/>
        <v>N</v>
      </c>
      <c r="X38" s="164">
        <f t="shared" si="7"/>
        <v>1</v>
      </c>
      <c r="Y38" s="69">
        <f t="shared" si="8"/>
        <v>4.7300000000000002E-2</v>
      </c>
      <c r="Z38" s="69">
        <f t="shared" si="9"/>
        <v>23.330400000000001</v>
      </c>
      <c r="AA38" s="69">
        <f t="shared" si="10"/>
        <v>23.283100000000001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0125-07</v>
      </c>
      <c r="AE38" s="95" t="str">
        <f t="shared" si="12"/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38" s="92" t="str">
        <f t="shared" si="13"/>
        <v>"C:\Program Files (x86)\AstroGrep\AstroGrep.exe" /spath="%USERPROFILE%\AppData\Local\Temp\OnboardLogs" /stypes="app*4042*20161007*" /stext=" 13:.+((SYSTEM_STATE.+slice.+state.+changed )|(ment ac)|(system.+state.+changed )|(\[timeout)|(PRM\|1\|D)|(kpr)|(kdp)|(\|lc)|(penalty))" /e /r /s</v>
      </c>
      <c r="AG38" s="1" t="str">
        <f t="shared" si="14"/>
        <v>EC</v>
      </c>
      <c r="AH38" s="96" t="str">
        <f t="shared" si="17"/>
        <v>"%USERPROFILE%\Documents\GitHub\eaglep3\Utilities\RefineRTDCRunTimes.py" --tripid 125-07 --locoid 4042 --swversion DE.1.0.7.0 --startMP 204:473 --initTime 2016-10-07T06:42:07 --startdatetime 2016-10-07T06:45:18 --delay 1 --endMP 204:233304 --enddatetime 2016-10-07T07:21:13 --enforcementcount 0 &gt;&gt;C:\Users\stu\Documents\GitHub\eaglep3-reporting\EC\2016-10-07-refined-times.txt</v>
      </c>
      <c r="AI38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{"issue":{"subject":"","project_id":79,"tracker_id":40,"status_id":1,"priority_id":2,"assigned_to_id":23,"start_date":"2016-10-07","description":"","custom_fields":[{"id":1,"name":"Subdivision","value":"EC"},{"id":4,"name":"Milepost","value":"23.3304"},{"id":17,"name":"Train ID","value":"125-07"},{"id":16,"name":"Locomotive ID","value":"4042"},{"id":130,"name":"Impact","value":""},{"id":150,"name":"Time of Event (Mountain Time)","value":"07:21:13"},{"id":151,"name":"Denver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408</v>
      </c>
      <c r="B39" s="7">
        <v>4041</v>
      </c>
      <c r="C39" s="24" t="s">
        <v>106</v>
      </c>
      <c r="D39" s="24" t="s">
        <v>217</v>
      </c>
      <c r="E39" s="15">
        <v>42650.313935185186</v>
      </c>
      <c r="F39" s="15">
        <v>42650.320405092592</v>
      </c>
      <c r="G39" s="7">
        <v>1</v>
      </c>
      <c r="H39" s="15" t="s">
        <v>190</v>
      </c>
      <c r="I39" s="15">
        <v>42650.34747685185</v>
      </c>
      <c r="J39" s="7">
        <v>0</v>
      </c>
      <c r="K39" s="117" t="str">
        <f t="shared" si="0"/>
        <v>4041/4042</v>
      </c>
      <c r="L39" s="24" t="str">
        <f>VLOOKUP(A39,'Trips&amp;Operators'!$C$1:$E$10000,3,FALSE)</f>
        <v>SPECTOR</v>
      </c>
      <c r="M39" s="6">
        <f t="shared" si="1"/>
        <v>2.7071759257523809E-2</v>
      </c>
      <c r="N39" s="7">
        <f t="shared" si="19"/>
        <v>38.983333330834284</v>
      </c>
      <c r="O39" s="7"/>
      <c r="P39" s="7"/>
      <c r="Q39" s="25"/>
      <c r="R39" s="25"/>
      <c r="S39" s="37">
        <f t="shared" si="20"/>
        <v>1</v>
      </c>
      <c r="T39" s="52" t="str">
        <f t="shared" si="4"/>
        <v>Southbound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06:32:04-0600',mode:absolute,to:'2016-10-07 09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9" s="54" t="str">
        <f t="shared" si="6"/>
        <v>N</v>
      </c>
      <c r="X39" s="164">
        <f t="shared" si="7"/>
        <v>1</v>
      </c>
      <c r="Y39" s="69">
        <f t="shared" si="8"/>
        <v>23.297699999999999</v>
      </c>
      <c r="Z39" s="69">
        <f t="shared" si="9"/>
        <v>1.5800000000000002E-2</v>
      </c>
      <c r="AA39" s="69">
        <f t="shared" si="10"/>
        <v>23.2819</v>
      </c>
      <c r="AB39" s="66" t="str">
        <f>VLOOKUP(A39,Enforcements!$C$7:$K$21,8,0)</f>
        <v>Form based authority (4)</v>
      </c>
      <c r="AC39" s="62" t="str">
        <f>VLOOKUP(A39,Enforcements!$C$7:$E$21,3,0)</f>
        <v>TRACK WARRANT AUTHORITY</v>
      </c>
      <c r="AD39" s="63" t="str">
        <f t="shared" si="11"/>
        <v>0126-07</v>
      </c>
      <c r="AE39" s="95" t="str">
        <f t="shared" si="12"/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39" s="92" t="str">
        <f t="shared" si="13"/>
        <v>"C:\Program Files (x86)\AstroGrep\AstroGrep.exe" /spath="%USERPROFILE%\AppData\Local\Temp\OnboardLogs" /stypes="app*4041*20161007*"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6" t="str">
        <f t="shared" si="17"/>
        <v>"%USERPROFILE%\Documents\GitHub\eaglep3\Utilities\RefineRTDCRunTimes.py" --tripid 126-07 --locoid 4041 --swversion DE.1.0.7.0 --startMP 204:232977 --initTime 2016-10-07T07:32:04 --startdatetime 2016-10-07T07:41:23 --delay 1 --endMP 204:158 --enddatetime 2016-10-07T08:20:22 --enforcementcount 0 &gt;&gt;C:\Users\stu\Documents\GitHub\eaglep3-reporting\EC\2016-10-07-refined-times.txt</v>
      </c>
      <c r="AI39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ID","value":"126-07"},{"id":16,"name":"Locomotive ID","value":"4041"},{"id":130,"name":"Impact","value":""},{"id":150,"name":"Time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409</v>
      </c>
      <c r="B40" s="7">
        <v>4038</v>
      </c>
      <c r="C40" s="24" t="s">
        <v>106</v>
      </c>
      <c r="D40" s="24" t="s">
        <v>200</v>
      </c>
      <c r="E40" s="15">
        <v>42650.287777777776</v>
      </c>
      <c r="F40" s="15">
        <v>42650.291909722226</v>
      </c>
      <c r="G40" s="7">
        <v>1</v>
      </c>
      <c r="H40" s="15" t="s">
        <v>332</v>
      </c>
      <c r="I40" s="15">
        <v>42650.317280092589</v>
      </c>
      <c r="J40" s="7">
        <v>0</v>
      </c>
      <c r="K40" s="117" t="str">
        <f t="shared" si="0"/>
        <v>4037/4038</v>
      </c>
      <c r="L40" s="24" t="str">
        <f>VLOOKUP(A40,'Trips&amp;Operators'!$C$1:$E$10000,3,FALSE)</f>
        <v>MAELZER</v>
      </c>
      <c r="M40" s="6">
        <f t="shared" si="1"/>
        <v>2.5370370363816619E-2</v>
      </c>
      <c r="N40" s="7">
        <f t="shared" si="19"/>
        <v>36.533333323895931</v>
      </c>
      <c r="O40" s="7"/>
      <c r="P40" s="7"/>
      <c r="Q40" s="25"/>
      <c r="R40" s="25"/>
      <c r="S40" s="37">
        <f t="shared" si="20"/>
        <v>1</v>
      </c>
      <c r="T40" s="52" t="str">
        <f t="shared" si="4"/>
        <v>NorthBound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05:54:24-0600',mode:absolute,to:'2016-10-07 08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0" s="54" t="str">
        <f t="shared" si="6"/>
        <v>N</v>
      </c>
      <c r="X40" s="164">
        <f t="shared" si="7"/>
        <v>1</v>
      </c>
      <c r="Y40" s="69">
        <f t="shared" si="8"/>
        <v>4.58E-2</v>
      </c>
      <c r="Z40" s="69">
        <f t="shared" si="9"/>
        <v>23.328199999999999</v>
      </c>
      <c r="AA40" s="69">
        <f t="shared" si="10"/>
        <v>23.282399999999999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0127-07</v>
      </c>
      <c r="AE40" s="95" t="str">
        <f t="shared" si="12"/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40" s="92" t="str">
        <f t="shared" si="13"/>
        <v>"C:\Program Files (x86)\AstroGrep\AstroGrep.exe" /spath="%USERPROFILE%\AppData\Local\Temp\OnboardLogs" /stypes="app*4038*20161007*" /stext=" 13:.+((SYSTEM_STATE.+slice.+state.+changed )|(ment ac)|(system.+state.+changed )|(\[timeout)|(PRM\|1\|D)|(kpr)|(kdp)|(\|lc)|(penalty))" /e /r /s</v>
      </c>
      <c r="AG40" s="1" t="str">
        <f t="shared" si="14"/>
        <v>EC</v>
      </c>
      <c r="AH40" s="96" t="str">
        <f t="shared" si="17"/>
        <v>"%USERPROFILE%\Documents\GitHub\eaglep3\Utilities\RefineRTDCRunTimes.py" --tripid 127-07 --locoid 4038 --swversion DE.1.0.7.0 --startMP 204:458 --initTime 2016-10-07T06:54:24 --startdatetime 2016-10-07T07:00:21 --delay 1 --endMP 204:233282 --enddatetime 2016-10-07T07:36:53 --enforcementcount 0 &gt;&gt;C:\Users\stu\Documents\GitHub\eaglep3-reporting\EC\2016-10-07-refined-times.txt</v>
      </c>
      <c r="AI40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{"issue":{"subject":"","project_id":79,"tracker_id":40,"status_id":1,"priority_id":2,"assigned_to_id":23,"start_date":"2016-10-07","description":"","custom_fields":[{"id":1,"name":"Subdivision","value":"EC"},{"id":4,"name":"Milepost","value":"23.3282"},{"id":17,"name":"Train ID","value":"127-07"},{"id":16,"name":"Locomotive ID","value":"4038"},{"id":130,"name":"Impact","value":""},{"id":150,"name":"Time of Event (Mountain Time)","value":"07:36:53"},{"id":151,"name":"Denver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410</v>
      </c>
      <c r="B41" s="7">
        <v>4037</v>
      </c>
      <c r="C41" s="24" t="s">
        <v>106</v>
      </c>
      <c r="D41" s="24" t="s">
        <v>411</v>
      </c>
      <c r="E41" s="15">
        <v>42650.322800925926</v>
      </c>
      <c r="F41" s="15">
        <v>42650.330833333333</v>
      </c>
      <c r="G41" s="7">
        <v>1</v>
      </c>
      <c r="H41" s="15" t="s">
        <v>193</v>
      </c>
      <c r="I41" s="15">
        <v>42650.357916666668</v>
      </c>
      <c r="J41" s="7">
        <v>0</v>
      </c>
      <c r="K41" s="117" t="str">
        <f t="shared" si="0"/>
        <v>4037/4038</v>
      </c>
      <c r="L41" s="24" t="str">
        <f>VLOOKUP(A41,'Trips&amp;Operators'!$C$1:$E$10000,3,FALSE)</f>
        <v>MAELZER</v>
      </c>
      <c r="M41" s="6">
        <f t="shared" si="1"/>
        <v>2.7083333334303461E-2</v>
      </c>
      <c r="N41" s="7">
        <f t="shared" si="19"/>
        <v>39.000000001396984</v>
      </c>
      <c r="O41" s="7"/>
      <c r="P41" s="7"/>
      <c r="Q41" s="25"/>
      <c r="R41" s="25"/>
      <c r="S41" s="37">
        <f t="shared" si="20"/>
        <v>1</v>
      </c>
      <c r="T41" s="52" t="str">
        <f t="shared" si="4"/>
        <v>Southbound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06:44:50-0600',mode:absolute,to:'2016-10-07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1" s="54" t="str">
        <f t="shared" si="6"/>
        <v>N</v>
      </c>
      <c r="X41" s="164">
        <f t="shared" si="7"/>
        <v>1</v>
      </c>
      <c r="Y41" s="69">
        <f t="shared" si="8"/>
        <v>23.2988</v>
      </c>
      <c r="Z41" s="69">
        <f t="shared" si="9"/>
        <v>1.4999999999999999E-2</v>
      </c>
      <c r="AA41" s="69">
        <f t="shared" si="10"/>
        <v>23.283799999999999</v>
      </c>
      <c r="AB41" s="66" t="str">
        <f>VLOOKUP(A41,Enforcements!$C$7:$K$21,8,0)</f>
        <v>Form based authority (4)</v>
      </c>
      <c r="AC41" s="62" t="str">
        <f>VLOOKUP(A41,Enforcements!$C$7:$E$21,3,0)</f>
        <v>TRACK WARRANT AUTHORITY</v>
      </c>
      <c r="AD41" s="63" t="str">
        <f t="shared" si="11"/>
        <v>0128-07</v>
      </c>
      <c r="AE41" s="95" t="str">
        <f t="shared" si="12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41" s="92" t="str">
        <f t="shared" si="13"/>
        <v>"C:\Program Files (x86)\AstroGrep\AstroGrep.exe" /spath="%USERPROFILE%\AppData\Local\Temp\OnboardLogs" /stypes="app*4037*20161007*"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6" t="str">
        <f t="shared" si="17"/>
        <v>"%USERPROFILE%\Documents\GitHub\eaglep3\Utilities\RefineRTDCRunTimes.py" --tripid 128-07 --locoid 4037 --swversion DE.1.0.7.0 --startMP 204:232988 --initTime 2016-10-07T07:44:50 --startdatetime 2016-10-07T07:56:24 --delay 1 --endMP 204:150 --enddatetime 2016-10-07T08:35:24 --enforcementcount 0 &gt;&gt;C:\Users\stu\Documents\GitHub\eaglep3-reporting\EC\2016-10-07-refined-times.txt</v>
      </c>
      <c r="AI41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{"issue":{"subject":"","project_id":79,"tracker_id":40,"status_id":1,"priority_id":2,"assigned_to_id":23,"start_date":"2016-10-07","description":"","custom_fields":[{"id":1,"name":"Subdivision","value":"EC"},{"id":4,"name":"Milepost","value":"0.015"},{"id":17,"name":"Train ID","value":"128-07"},{"id":16,"name":"Locomotive ID","value":"4037"},{"id":130,"name":"Impact","value":""},{"id":150,"name":"Time of Event (Mountain Time)","value":"08:35:24"},{"id":151,"name":"Denver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412</v>
      </c>
      <c r="B42" s="7">
        <v>4003</v>
      </c>
      <c r="C42" s="24" t="s">
        <v>106</v>
      </c>
      <c r="D42" s="24" t="s">
        <v>216</v>
      </c>
      <c r="E42" s="15">
        <v>42650.300844907404</v>
      </c>
      <c r="F42" s="15">
        <v>42650.302395833336</v>
      </c>
      <c r="G42" s="7">
        <v>1</v>
      </c>
      <c r="H42" s="15" t="s">
        <v>211</v>
      </c>
      <c r="I42" s="15">
        <v>42650.326585648145</v>
      </c>
      <c r="J42" s="7">
        <v>0</v>
      </c>
      <c r="K42" s="117" t="str">
        <f t="shared" si="0"/>
        <v>4003/4004</v>
      </c>
      <c r="L42" s="24" t="str">
        <f>VLOOKUP(A42,'Trips&amp;Operators'!$C$1:$E$10000,3,FALSE)</f>
        <v>ROCHA</v>
      </c>
      <c r="M42" s="6">
        <f t="shared" si="1"/>
        <v>2.4189814808778465E-2</v>
      </c>
      <c r="N42" s="7">
        <f t="shared" si="19"/>
        <v>34.833333324640989</v>
      </c>
      <c r="O42" s="7"/>
      <c r="P42" s="7"/>
      <c r="Q42" s="25"/>
      <c r="R42" s="25"/>
      <c r="S42" s="37">
        <f t="shared" si="20"/>
        <v>1</v>
      </c>
      <c r="T42" s="52" t="str">
        <f t="shared" si="4"/>
        <v>NorthBound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06:13:13-0600',mode:absolute,to:'2016-10-07 08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2" s="54" t="str">
        <f t="shared" si="6"/>
        <v>N</v>
      </c>
      <c r="X42" s="164">
        <f t="shared" si="7"/>
        <v>1</v>
      </c>
      <c r="Y42" s="69">
        <f t="shared" si="8"/>
        <v>4.6399999999999997E-2</v>
      </c>
      <c r="Z42" s="69">
        <f t="shared" si="9"/>
        <v>23.331199999999999</v>
      </c>
      <c r="AA42" s="69">
        <f t="shared" si="10"/>
        <v>23.284800000000001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0129-07</v>
      </c>
      <c r="AE42" s="95" t="str">
        <f t="shared" si="12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42" s="92" t="str">
        <f t="shared" si="13"/>
        <v>"C:\Program Files (x86)\AstroGrep\AstroGrep.exe" /spath="%USERPROFILE%\AppData\Local\Temp\OnboardLogs" /stypes="app*4003*20161007*" /stext=" 13:.+((SYSTEM_STATE.+slice.+state.+changed )|(ment ac)|(system.+state.+changed )|(\[timeout)|(PRM\|1\|D)|(kpr)|(kdp)|(\|lc)|(penalty))" /e /r /s</v>
      </c>
      <c r="AG42" s="1" t="str">
        <f t="shared" si="14"/>
        <v>EC</v>
      </c>
      <c r="AH42" s="96" t="str">
        <f t="shared" si="17"/>
        <v>"%USERPROFILE%\Documents\GitHub\eaglep3\Utilities\RefineRTDCRunTimes.py" --tripid 129-07 --locoid 4003 --swversion DE.1.0.7.0 --startMP 204:464 --initTime 2016-10-07T07:13:13 --startdatetime 2016-10-07T07:15:27 --delay 1 --endMP 204:233312 --enddatetime 2016-10-07T07:50:17 --enforcementcount 0 &gt;&gt;C:\Users\stu\Documents\GitHub\eaglep3-reporting\EC\2016-10-07-refined-times.txt</v>
      </c>
      <c r="AI42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{"issue":{"subject":"","project_id":79,"tracker_id":40,"status_id":1,"priority_id":2,"assigned_to_id":23,"start_date":"2016-10-07","description":"","custom_fields":[{"id":1,"name":"Subdivision","value":"EC"},{"id":4,"name":"Milepost","value":"23.3312"},{"id":17,"name":"Train ID","value":"129-07"},{"id":16,"name":"Locomotive ID","value":"4003"},{"id":130,"name":"Impact","value":""},{"id":150,"name":"Time of Event (Mountain Time)","value":"07:50:17"},{"id":151,"name":"Denver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413</v>
      </c>
      <c r="B43" s="7">
        <v>4004</v>
      </c>
      <c r="C43" s="24" t="s">
        <v>106</v>
      </c>
      <c r="D43" s="24" t="s">
        <v>248</v>
      </c>
      <c r="E43" s="15">
        <v>42650.338564814818</v>
      </c>
      <c r="F43" s="15">
        <v>42650.341319444444</v>
      </c>
      <c r="G43" s="7">
        <v>1</v>
      </c>
      <c r="H43" s="15" t="s">
        <v>209</v>
      </c>
      <c r="I43" s="15">
        <v>42650.367592592593</v>
      </c>
      <c r="J43" s="7">
        <v>0</v>
      </c>
      <c r="K43" s="117" t="str">
        <f t="shared" si="0"/>
        <v>4003/4004</v>
      </c>
      <c r="L43" s="24" t="str">
        <f>VLOOKUP(A43,'Trips&amp;Operators'!$C$1:$E$10000,3,FALSE)</f>
        <v>ROCHA</v>
      </c>
      <c r="M43" s="6">
        <f t="shared" si="1"/>
        <v>2.6273148148902692E-2</v>
      </c>
      <c r="N43" s="7">
        <f t="shared" si="19"/>
        <v>37.833333334419876</v>
      </c>
      <c r="O43" s="7"/>
      <c r="P43" s="7"/>
      <c r="Q43" s="25"/>
      <c r="R43" s="25"/>
      <c r="S43" s="37">
        <f t="shared" si="20"/>
        <v>1</v>
      </c>
      <c r="T43" s="52" t="str">
        <f t="shared" si="4"/>
        <v>Southbound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07:07:32-0600',mode:absolute,to:'2016-10-07 09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3" s="54" t="str">
        <f t="shared" si="6"/>
        <v>N</v>
      </c>
      <c r="X43" s="164">
        <f t="shared" si="7"/>
        <v>1</v>
      </c>
      <c r="Y43" s="69">
        <f t="shared" si="8"/>
        <v>23.299800000000001</v>
      </c>
      <c r="Z43" s="69">
        <f t="shared" si="9"/>
        <v>1.4500000000000001E-2</v>
      </c>
      <c r="AA43" s="69">
        <f t="shared" si="10"/>
        <v>23.285299999999999</v>
      </c>
      <c r="AB43" s="66" t="str">
        <f>VLOOKUP(A43,Enforcements!$C$7:$K$21,8,0)</f>
        <v>Form based authority (4)</v>
      </c>
      <c r="AC43" s="62" t="str">
        <f>VLOOKUP(A43,Enforcements!$C$7:$E$21,3,0)</f>
        <v>TRACK WARRANT AUTHORITY</v>
      </c>
      <c r="AD43" s="63" t="str">
        <f t="shared" si="11"/>
        <v>0130-07</v>
      </c>
      <c r="AE43" s="95" t="str">
        <f t="shared" si="12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43" s="92" t="str">
        <f t="shared" si="13"/>
        <v>"C:\Program Files (x86)\AstroGrep\AstroGrep.exe" /spath="%USERPROFILE%\AppData\Local\Temp\OnboardLogs" /stypes="app*4004*20161007*"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6" t="str">
        <f t="shared" si="17"/>
        <v>"%USERPROFILE%\Documents\GitHub\eaglep3\Utilities\RefineRTDCRunTimes.py" --tripid 130-07 --locoid 4004 --swversion DE.1.0.7.0 --startMP 204:232998 --initTime 2016-10-07T08:07:32 --startdatetime 2016-10-07T08:11:30 --delay 1 --endMP 204:145 --enddatetime 2016-10-07T08:49:20 --enforcementcount 0 &gt;&gt;C:\Users\stu\Documents\GitHub\eaglep3-reporting\EC\2016-10-07-refined-times.txt</v>
      </c>
      <c r="AI43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ID","value":"130-07"},{"id":16,"name":"Locomotive ID","value":"4004"},{"id":130,"name":"Impact","value":""},{"id":150,"name":"Time of Event (Mountain Time)","value":"08:49:20"},{"id":151,"name":"Denver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414</v>
      </c>
      <c r="B44" s="7">
        <v>4018</v>
      </c>
      <c r="C44" s="24" t="s">
        <v>106</v>
      </c>
      <c r="D44" s="24" t="s">
        <v>415</v>
      </c>
      <c r="E44" s="15">
        <v>42650.308506944442</v>
      </c>
      <c r="F44" s="15">
        <v>42650.312662037039</v>
      </c>
      <c r="G44" s="7">
        <v>1</v>
      </c>
      <c r="H44" s="15" t="s">
        <v>416</v>
      </c>
      <c r="I44" s="15">
        <v>42650.339247685188</v>
      </c>
      <c r="J44" s="7">
        <v>0</v>
      </c>
      <c r="K44" s="117" t="str">
        <f t="shared" si="0"/>
        <v>4017/4018</v>
      </c>
      <c r="L44" s="24" t="str">
        <f>VLOOKUP(A44,'Trips&amp;Operators'!$C$1:$E$10000,3,FALSE)</f>
        <v>DAVIS</v>
      </c>
      <c r="M44" s="6">
        <f t="shared" si="1"/>
        <v>2.658564814919373E-2</v>
      </c>
      <c r="N44" s="7">
        <f t="shared" si="19"/>
        <v>38.283333334838971</v>
      </c>
      <c r="O44" s="7"/>
      <c r="P44" s="7"/>
      <c r="Q44" s="25"/>
      <c r="R44" s="25"/>
      <c r="S44" s="37">
        <f t="shared" si="20"/>
        <v>1</v>
      </c>
      <c r="T44" s="52" t="str">
        <f t="shared" si="4"/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06:24:15-0600',mode:absolute,to:'2016-10-07 09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4" s="54" t="str">
        <f t="shared" si="6"/>
        <v>N</v>
      </c>
      <c r="X44" s="164">
        <f t="shared" si="7"/>
        <v>1</v>
      </c>
      <c r="Y44" s="69">
        <f t="shared" si="8"/>
        <v>4.2900000000000001E-2</v>
      </c>
      <c r="Z44" s="69">
        <f t="shared" si="9"/>
        <v>23.3309</v>
      </c>
      <c r="AA44" s="69">
        <f t="shared" si="10"/>
        <v>23.288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0131-07</v>
      </c>
      <c r="AE44" s="95" t="str">
        <f t="shared" si="12"/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44" s="92" t="str">
        <f t="shared" si="13"/>
        <v>"C:\Program Files (x86)\AstroGrep\AstroGrep.exe" /spath="%USERPROFILE%\AppData\Local\Temp\OnboardLogs" /stypes="app*4018*20161007*" /stext=" 14:.+((SYSTEM_STATE.+slice.+state.+changed )|(ment ac)|(system.+state.+changed )|(\[timeout)|(PRM\|1\|D)|(kpr)|(kdp)|(\|lc)|(penalty))" /e /r /s</v>
      </c>
      <c r="AG44" s="1" t="str">
        <f t="shared" si="14"/>
        <v>EC</v>
      </c>
      <c r="AH44" s="96" t="str">
        <f t="shared" si="17"/>
        <v>"%USERPROFILE%\Documents\GitHub\eaglep3\Utilities\RefineRTDCRunTimes.py" --tripid 131-07 --locoid 4018 --swversion DE.1.0.7.0 --startMP 204:429 --initTime 2016-10-07T07:24:15 --startdatetime 2016-10-07T07:30:14 --delay 1 --endMP 204:233309 --enddatetime 2016-10-07T08:08:31 --enforcementcount 0 &gt;&gt;C:\Users\stu\Documents\GitHub\eaglep3-reporting\EC\2016-10-07-refined-times.txt</v>
      </c>
      <c r="AI44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{"issue":{"subject":"","project_id":79,"tracker_id":40,"status_id":1,"priority_id":2,"assigned_to_id":23,"start_date":"2016-10-07","description":"","custom_fields":[{"id":1,"name":"Subdivision","value":"EC"},{"id":4,"name":"Milepost","value":"23.3309"},{"id":17,"name":"Train ID","value":"131-07"},{"id":16,"name":"Locomotive ID","value":"4018"},{"id":130,"name":"Impact","value":""},{"id":150,"name":"Time of Event (Mountain Time)","value":"08:08:31"},{"id":151,"name":"Denver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31" customFormat="1" x14ac:dyDescent="0.25">
      <c r="A45" s="39" t="s">
        <v>417</v>
      </c>
      <c r="B45" s="7">
        <v>4017</v>
      </c>
      <c r="C45" s="24" t="s">
        <v>106</v>
      </c>
      <c r="D45" s="24" t="s">
        <v>418</v>
      </c>
      <c r="E45" s="15">
        <v>42650.347708333335</v>
      </c>
      <c r="F45" s="15">
        <v>42650.351539351854</v>
      </c>
      <c r="G45" s="7">
        <v>1</v>
      </c>
      <c r="H45" s="15" t="s">
        <v>209</v>
      </c>
      <c r="I45" s="15">
        <v>42650.379155092596</v>
      </c>
      <c r="J45" s="7">
        <v>0</v>
      </c>
      <c r="K45" s="117" t="str">
        <f t="shared" si="0"/>
        <v>4017/4018</v>
      </c>
      <c r="L45" s="24" t="str">
        <f>VLOOKUP(A45,'Trips&amp;Operators'!$C$1:$E$10000,3,FALSE)</f>
        <v>DAVIS</v>
      </c>
      <c r="M45" s="6">
        <f t="shared" si="1"/>
        <v>2.7615740742476191E-2</v>
      </c>
      <c r="N45" s="7">
        <f t="shared" si="19"/>
        <v>39.766666669165716</v>
      </c>
      <c r="O45" s="7"/>
      <c r="P45" s="7"/>
      <c r="Q45" s="25"/>
      <c r="R45" s="25"/>
      <c r="S45" s="37">
        <f t="shared" si="20"/>
        <v>1</v>
      </c>
      <c r="T45" s="52" t="str">
        <f t="shared" si="4"/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07:20:42-0600',mode:absolute,to:'2016-10-07 10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5" s="54" t="str">
        <f t="shared" si="6"/>
        <v>N</v>
      </c>
      <c r="X45" s="164">
        <f t="shared" ref="X45:X76" si="21">VALUE(LEFT(AD45,4))-VALUE(LEFT(AD44,4))</f>
        <v>1</v>
      </c>
      <c r="Y45" s="69">
        <f t="shared" si="8"/>
        <v>23.3001</v>
      </c>
      <c r="Z45" s="69">
        <f t="shared" si="9"/>
        <v>1.4500000000000001E-2</v>
      </c>
      <c r="AA45" s="69">
        <f t="shared" si="10"/>
        <v>23.285599999999999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0132-07</v>
      </c>
      <c r="AE45" s="95" t="str">
        <f t="shared" si="12"/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45" s="92" t="str">
        <f t="shared" si="13"/>
        <v>"C:\Program Files (x86)\AstroGrep\AstroGrep.exe" /spath="%USERPROFILE%\AppData\Local\Temp\OnboardLogs" /stypes="app*4017*20161007*" /stext=" 15:.+((SYSTEM_STATE.+slice.+state.+changed )|(ment ac)|(system.+state.+changed )|(\[timeout)|(PRM\|1\|D)|(kpr)|(kdp)|(\|lc)|(penalty))" /e /r /s</v>
      </c>
      <c r="AG45" s="1" t="str">
        <f t="shared" si="14"/>
        <v>EC</v>
      </c>
      <c r="AH45" s="96" t="str">
        <f t="shared" si="17"/>
        <v>"%USERPROFILE%\Documents\GitHub\eaglep3\Utilities\RefineRTDCRunTimes.py" --tripid 132-07 --locoid 4017 --swversion DE.1.0.7.0 --startMP 204:233001 --initTime 2016-10-07T08:20:42 --startdatetime 2016-10-07T08:26:13 --delay 1 --endMP 204:145 --enddatetime 2016-10-07T09:05:59 --enforcementcount 0 &gt;&gt;C:\Users\stu\Documents\GitHub\eaglep3-reporting\EC\2016-10-07-refined-times.txt</v>
      </c>
      <c r="AI45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ID","value":"132-07"},{"id":16,"name":"Locomotive ID","value":"4017"},{"id":130,"name":"Impact","value":""},{"id":150,"name":"Time of Event (Mountain Time)","value":"09:05:59"},{"id":151,"name":"Denver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419</v>
      </c>
      <c r="B46" s="7">
        <v>4046</v>
      </c>
      <c r="C46" s="24" t="s">
        <v>106</v>
      </c>
      <c r="D46" s="24" t="s">
        <v>198</v>
      </c>
      <c r="E46" s="15">
        <v>42650.322199074071</v>
      </c>
      <c r="F46" s="15">
        <v>42650.323229166665</v>
      </c>
      <c r="G46" s="7">
        <v>0</v>
      </c>
      <c r="H46" s="15" t="s">
        <v>420</v>
      </c>
      <c r="I46" s="15">
        <v>42650.348923611113</v>
      </c>
      <c r="J46" s="7">
        <v>0</v>
      </c>
      <c r="K46" s="117" t="str">
        <f t="shared" si="0"/>
        <v>4045/4046</v>
      </c>
      <c r="L46" s="24" t="str">
        <f>VLOOKUP(A46,'Trips&amp;Operators'!$C$1:$E$10000,3,FALSE)</f>
        <v>MALAVE</v>
      </c>
      <c r="M46" s="6">
        <f t="shared" si="1"/>
        <v>2.5694444448163267E-2</v>
      </c>
      <c r="N46" s="7">
        <f t="shared" si="19"/>
        <v>37.000000005355105</v>
      </c>
      <c r="O46" s="7"/>
      <c r="P46" s="7"/>
      <c r="Q46" s="25"/>
      <c r="R46" s="25"/>
      <c r="S46" s="37">
        <f t="shared" si="20"/>
        <v>1</v>
      </c>
      <c r="T46" s="52" t="str">
        <f t="shared" si="4"/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06:43:58-0600',mode:absolute,to:'2016-10-07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6" s="54" t="str">
        <f t="shared" si="6"/>
        <v>N</v>
      </c>
      <c r="X46" s="164">
        <f t="shared" si="21"/>
        <v>1</v>
      </c>
      <c r="Y46" s="69">
        <f t="shared" si="8"/>
        <v>4.5100000000000001E-2</v>
      </c>
      <c r="Z46" s="69">
        <f t="shared" si="9"/>
        <v>23.329499999999999</v>
      </c>
      <c r="AA46" s="69">
        <f t="shared" si="10"/>
        <v>23.284399999999998</v>
      </c>
      <c r="AB46" s="66" t="str">
        <f>VLOOKUP(A46,Enforcements!$C$7:$K$21,8,0)</f>
        <v>Speed (6)</v>
      </c>
      <c r="AC46" s="62" t="str">
        <f>VLOOKUP(A46,Enforcements!$C$7:$E$21,3,0)</f>
        <v>PERMANENT SPEED RESTRICTION</v>
      </c>
      <c r="AD46" s="63" t="str">
        <f t="shared" si="11"/>
        <v>0133-07</v>
      </c>
      <c r="AE46" s="95" t="str">
        <f t="shared" si="12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46" s="92" t="str">
        <f t="shared" si="13"/>
        <v>"C:\Program Files (x86)\AstroGrep\AstroGrep.exe" /spath="%USERPROFILE%\AppData\Local\Temp\OnboardLogs" /stypes="app*4046*20161007*" /stext=" 14:.+((SYSTEM_STATE.+slice.+state.+changed )|(ment ac)|(system.+state.+changed )|(\[timeout)|(PRM\|1\|D)|(kpr)|(kdp)|(\|lc)|(penalty))" /e /r /s</v>
      </c>
      <c r="AG46" s="1" t="str">
        <f t="shared" si="14"/>
        <v>EC</v>
      </c>
      <c r="AH46" s="96" t="str">
        <f t="shared" si="17"/>
        <v>"%USERPROFILE%\Documents\GitHub\eaglep3\Utilities\RefineRTDCRunTimes.py" --tripid 133-07 --locoid 4046 --swversion DE.1.0.7.0 --startMP 204:451 --initTime 2016-10-07T07:43:58 --startdatetime 2016-10-07T07:45:27 --delay 0 --endMP 204:233295 --enddatetime 2016-10-07T08:22:27 --enforcementcount 0 &gt;&gt;C:\Users\stu\Documents\GitHub\eaglep3-reporting\EC\2016-10-07-refined-times.txt</v>
      </c>
      <c r="AI46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{"issue":{"subject":"","project_id":79,"tracker_id":40,"status_id":1,"priority_id":2,"assigned_to_id":23,"start_date":"2016-10-07","description":"","custom_fields":[{"id":1,"name":"Subdivision","value":"EC"},{"id":4,"name":"Milepost","value":"23.3295"},{"id":17,"name":"Train ID","value":"133-07"},{"id":16,"name":"Locomotive ID","value":"4046"},{"id":130,"name":"Impact","value":""},{"id":150,"name":"Time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421</v>
      </c>
      <c r="B47" s="7">
        <v>4045</v>
      </c>
      <c r="C47" s="24" t="s">
        <v>106</v>
      </c>
      <c r="D47" s="24" t="s">
        <v>217</v>
      </c>
      <c r="E47" s="15">
        <v>42650.359791666669</v>
      </c>
      <c r="F47" s="15">
        <v>42650.362175925926</v>
      </c>
      <c r="G47" s="7">
        <v>3</v>
      </c>
      <c r="H47" s="15" t="s">
        <v>422</v>
      </c>
      <c r="I47" s="15">
        <v>42650.390150462961</v>
      </c>
      <c r="J47" s="7">
        <v>0</v>
      </c>
      <c r="K47" s="117" t="str">
        <f t="shared" si="0"/>
        <v>4045/4046</v>
      </c>
      <c r="L47" s="24" t="str">
        <f>VLOOKUP(A47,'Trips&amp;Operators'!$C$1:$E$10000,3,FALSE)</f>
        <v>MALAVE</v>
      </c>
      <c r="M47" s="6">
        <f t="shared" si="1"/>
        <v>2.7974537035333924E-2</v>
      </c>
      <c r="N47" s="7">
        <f t="shared" si="19"/>
        <v>40.283333330880851</v>
      </c>
      <c r="O47" s="7"/>
      <c r="P47" s="7"/>
      <c r="Q47" s="25"/>
      <c r="R47" s="25"/>
      <c r="S47" s="37">
        <f t="shared" si="20"/>
        <v>1</v>
      </c>
      <c r="T47" s="52" t="str">
        <f t="shared" si="4"/>
        <v>Southbound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07:38:06-0600',mode:absolute,to:'2016-10-07 10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7" s="54" t="str">
        <f t="shared" si="6"/>
        <v>N</v>
      </c>
      <c r="X47" s="164">
        <f t="shared" si="21"/>
        <v>1</v>
      </c>
      <c r="Y47" s="69">
        <f t="shared" si="8"/>
        <v>23.297699999999999</v>
      </c>
      <c r="Z47" s="69">
        <f t="shared" si="9"/>
        <v>1.2500000000000001E-2</v>
      </c>
      <c r="AA47" s="69">
        <f t="shared" si="10"/>
        <v>23.2852</v>
      </c>
      <c r="AB47" s="66" t="str">
        <f>VLOOKUP(A47,Enforcements!$C$7:$K$21,8,0)</f>
        <v>Signal based authority (5)</v>
      </c>
      <c r="AC47" s="62" t="str">
        <f>VLOOKUP(A47,Enforcements!$C$7:$E$21,3,0)</f>
        <v>SIGNAL</v>
      </c>
      <c r="AD47" s="63" t="str">
        <f t="shared" si="11"/>
        <v>0134-07</v>
      </c>
      <c r="AE47" s="95" t="str">
        <f t="shared" si="12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47" s="92" t="str">
        <f t="shared" si="13"/>
        <v>"C:\Program Files (x86)\AstroGrep\AstroGrep.exe" /spath="%USERPROFILE%\AppData\Local\Temp\OnboardLogs" /stypes="app*4045*20161007*" /stext=" 15:.+((SYSTEM_STATE.+slice.+state.+changed )|(ment ac)|(system.+state.+changed )|(\[timeout)|(PRM\|1\|D)|(kpr)|(kdp)|(\|lc)|(penalty))" /e /r /s</v>
      </c>
      <c r="AG47" s="1" t="str">
        <f t="shared" si="14"/>
        <v>EC</v>
      </c>
      <c r="AH47" s="96" t="str">
        <f t="shared" si="17"/>
        <v>"%USERPROFILE%\Documents\GitHub\eaglep3\Utilities\RefineRTDCRunTimes.py" --tripid 134-07 --locoid 4045 --swversion DE.1.0.7.0 --startMP 204:232977 --initTime 2016-10-07T08:38:06 --startdatetime 2016-10-07T08:41:32 --delay 3 --endMP 204:125 --enddatetime 2016-10-07T09:21:49 --enforcementcount 0 &gt;&gt;C:\Users\stu\Documents\GitHub\eaglep3-reporting\EC\2016-10-07-refined-times.txt</v>
      </c>
      <c r="AI47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{"issue":{"subject":"","project_id":79,"tracker_id":40,"status_id":1,"priority_id":2,"assigned_to_id":23,"start_date":"2016-10-07","description":"","custom_fields":[{"id":1,"name":"Subdivision","value":"EC"},{"id":4,"name":"Milepost","value":"0.0125"},{"id":17,"name":"Train ID","value":"134-07"},{"id":16,"name":"Locomotive ID","value":"4045"},{"id":130,"name":"Impact","value":""},{"id":150,"name":"Time of Event (Mountain Time)","value":"09:21:49"},{"id":151,"name":"Denver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423</v>
      </c>
      <c r="B48" s="7">
        <v>4020</v>
      </c>
      <c r="C48" s="24" t="s">
        <v>106</v>
      </c>
      <c r="D48" s="24" t="s">
        <v>198</v>
      </c>
      <c r="E48" s="15">
        <v>42650.328263888892</v>
      </c>
      <c r="F48" s="15">
        <v>42650.333611111113</v>
      </c>
      <c r="G48" s="7">
        <v>6</v>
      </c>
      <c r="H48" s="15" t="s">
        <v>334</v>
      </c>
      <c r="I48" s="15">
        <v>42650.358182870368</v>
      </c>
      <c r="J48" s="7">
        <v>0</v>
      </c>
      <c r="K48" s="117" t="str">
        <f t="shared" si="0"/>
        <v>4019/4020</v>
      </c>
      <c r="L48" s="24" t="str">
        <f>VLOOKUP(A48,'Trips&amp;Operators'!$C$1:$E$10000,3,FALSE)</f>
        <v>BRANNON</v>
      </c>
      <c r="M48" s="6">
        <f t="shared" si="1"/>
        <v>2.4571759255195502E-2</v>
      </c>
      <c r="N48" s="7">
        <f t="shared" si="19"/>
        <v>35.383333327481523</v>
      </c>
      <c r="O48" s="7"/>
      <c r="P48" s="7"/>
      <c r="Q48" s="25"/>
      <c r="R48" s="25"/>
      <c r="S48" s="37">
        <f t="shared" si="20"/>
        <v>1</v>
      </c>
      <c r="T48" s="52" t="str">
        <f t="shared" si="4"/>
        <v>NorthBound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06:52:42-0600',mode:absolute,to:'2016-10-07 09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8" s="54" t="str">
        <f t="shared" si="6"/>
        <v>N</v>
      </c>
      <c r="X48" s="164">
        <f t="shared" si="21"/>
        <v>1</v>
      </c>
      <c r="Y48" s="69">
        <f t="shared" si="8"/>
        <v>4.5100000000000001E-2</v>
      </c>
      <c r="Z48" s="69">
        <f t="shared" si="9"/>
        <v>23.3264</v>
      </c>
      <c r="AA48" s="69">
        <f t="shared" si="10"/>
        <v>23.281299999999998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0135-07</v>
      </c>
      <c r="AE48" s="95" t="str">
        <f t="shared" si="12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48" s="92" t="str">
        <f t="shared" si="13"/>
        <v>"C:\Program Files (x86)\AstroGrep\AstroGrep.exe" /spath="%USERPROFILE%\AppData\Local\Temp\OnboardLogs" /stypes="app*4020*20161007*" /stext=" 14:.+((SYSTEM_STATE.+slice.+state.+changed )|(ment ac)|(system.+state.+changed )|(\[timeout)|(PRM\|1\|D)|(kpr)|(kdp)|(\|lc)|(penalty))" /e /r /s</v>
      </c>
      <c r="AG48" s="1" t="str">
        <f t="shared" si="14"/>
        <v>EC</v>
      </c>
      <c r="AH48" s="96" t="str">
        <f t="shared" si="17"/>
        <v>"%USERPROFILE%\Documents\GitHub\eaglep3\Utilities\RefineRTDCRunTimes.py" --tripid 135-07 --locoid 4020 --swversion DE.1.0.7.0 --startMP 204:451 --initTime 2016-10-07T07:52:42 --startdatetime 2016-10-07T08:00:24 --delay 6 --endMP 204:233264 --enddatetime 2016-10-07T08:35:47 --enforcementcount 0 &gt;&gt;C:\Users\stu\Documents\GitHub\eaglep3-reporting\EC\2016-10-07-refined-times.txt</v>
      </c>
      <c r="AI48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{"issue":{"subject":"","project_id":79,"tracker_id":40,"status_id":1,"priority_id":2,"assigned_to_id":23,"start_date":"2016-10-07","description":"","custom_fields":[{"id":1,"name":"Subdivision","value":"EC"},{"id":4,"name":"Milepost","value":"23.3264"},{"id":17,"name":"Train ID","value":"135-07"},{"id":16,"name":"Locomotive ID","value":"4020"},{"id":130,"name":"Impact","value":""},{"id":150,"name":"Time of Event (Mountain Time)","value":"08:35:47"},{"id":151,"name":"Denver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424</v>
      </c>
      <c r="B49" s="7">
        <v>4019</v>
      </c>
      <c r="C49" s="24" t="s">
        <v>106</v>
      </c>
      <c r="D49" s="24" t="s">
        <v>398</v>
      </c>
      <c r="E49" s="15">
        <v>42650.367314814815</v>
      </c>
      <c r="F49" s="15">
        <v>42650.372407407405</v>
      </c>
      <c r="G49" s="7">
        <v>1</v>
      </c>
      <c r="H49" s="15" t="s">
        <v>195</v>
      </c>
      <c r="I49" s="15">
        <v>42650.399386574078</v>
      </c>
      <c r="J49" s="7">
        <v>0</v>
      </c>
      <c r="K49" s="117" t="str">
        <f t="shared" si="0"/>
        <v>4019/4020</v>
      </c>
      <c r="L49" s="24" t="str">
        <f>VLOOKUP(A49,'Trips&amp;Operators'!$C$1:$E$10000,3,FALSE)</f>
        <v>BRANNON</v>
      </c>
      <c r="M49" s="6">
        <f t="shared" si="1"/>
        <v>2.697916667239042E-2</v>
      </c>
      <c r="N49" s="7">
        <f t="shared" si="19"/>
        <v>38.850000008242205</v>
      </c>
      <c r="O49" s="7"/>
      <c r="P49" s="7"/>
      <c r="Q49" s="25"/>
      <c r="R49" s="25"/>
      <c r="S49" s="37">
        <f t="shared" si="20"/>
        <v>1</v>
      </c>
      <c r="T49" s="52" t="str">
        <f t="shared" si="4"/>
        <v>Southbound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07:48:56-0600',mode:absolute,to:'2016-10-07 10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9" s="54" t="str">
        <f t="shared" si="6"/>
        <v>N</v>
      </c>
      <c r="X49" s="164">
        <f t="shared" si="21"/>
        <v>1</v>
      </c>
      <c r="Y49" s="69">
        <f t="shared" si="8"/>
        <v>23.2944</v>
      </c>
      <c r="Z49" s="69">
        <f t="shared" si="9"/>
        <v>1.52E-2</v>
      </c>
      <c r="AA49" s="69">
        <f t="shared" si="10"/>
        <v>23.279199999999999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0136-07</v>
      </c>
      <c r="AE49" s="95" t="str">
        <f t="shared" si="12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49" s="92" t="str">
        <f t="shared" si="13"/>
        <v>"C:\Program Files (x86)\AstroGrep\AstroGrep.exe" /spath="%USERPROFILE%\AppData\Local\Temp\OnboardLogs" /stypes="app*4019*20161007*" /stext=" 15:.+((SYSTEM_STATE.+slice.+state.+changed )|(ment ac)|(system.+state.+changed )|(\[timeout)|(PRM\|1\|D)|(kpr)|(kdp)|(\|lc)|(penalty))" /e /r /s</v>
      </c>
      <c r="AG49" s="1" t="str">
        <f t="shared" si="14"/>
        <v>EC</v>
      </c>
      <c r="AH49" s="96" t="str">
        <f t="shared" si="17"/>
        <v>"%USERPROFILE%\Documents\GitHub\eaglep3\Utilities\RefineRTDCRunTimes.py" --tripid 136-07 --locoid 4019 --swversion DE.1.0.7.0 --startMP 204:232944 --initTime 2016-10-07T08:48:56 --startdatetime 2016-10-07T08:56:16 --delay 1 --endMP 204:152 --enddatetime 2016-10-07T09:35:07 --enforcementcount 0 &gt;&gt;C:\Users\stu\Documents\GitHub\eaglep3-reporting\EC\2016-10-07-refined-times.txt</v>
      </c>
      <c r="AI49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{"issue":{"subject":"","project_id":79,"tracker_id":40,"status_id":1,"priority_id":2,"assigned_to_id":23,"start_date":"2016-10-07","description":"","custom_fields":[{"id":1,"name":"Subdivision","value":"EC"},{"id":4,"name":"Milepost","value":"0.0152"},{"id":17,"name":"Train ID","value":"136-07"},{"id":16,"name":"Locomotive ID","value":"4019"},{"id":130,"name":"Impact","value":""},{"id":150,"name":"Time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425</v>
      </c>
      <c r="B50" s="7">
        <v>4007</v>
      </c>
      <c r="C50" s="24" t="s">
        <v>106</v>
      </c>
      <c r="D50" s="24" t="s">
        <v>200</v>
      </c>
      <c r="E50" s="15">
        <v>42650.338958333334</v>
      </c>
      <c r="F50" s="15">
        <v>42650.343935185185</v>
      </c>
      <c r="G50" s="7">
        <v>6</v>
      </c>
      <c r="H50" s="15" t="s">
        <v>242</v>
      </c>
      <c r="I50" s="15">
        <v>42650.369293981479</v>
      </c>
      <c r="J50" s="7">
        <v>0</v>
      </c>
      <c r="K50" s="117" t="str">
        <f t="shared" si="0"/>
        <v>4007/4008</v>
      </c>
      <c r="L50" s="24" t="str">
        <f>VLOOKUP(A50,'Trips&amp;Operators'!$C$1:$E$10000,3,FALSE)</f>
        <v>GEBRETEKLE</v>
      </c>
      <c r="M50" s="6">
        <f t="shared" si="1"/>
        <v>2.5358796294312924E-2</v>
      </c>
      <c r="N50" s="7">
        <f t="shared" si="19"/>
        <v>36.516666663810611</v>
      </c>
      <c r="O50" s="7"/>
      <c r="P50" s="7"/>
      <c r="Q50" s="25"/>
      <c r="R50" s="25"/>
      <c r="S50" s="37">
        <f t="shared" si="20"/>
        <v>1</v>
      </c>
      <c r="T50" s="52" t="str">
        <f t="shared" si="4"/>
        <v>NorthBound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07:08:06-0600',mode:absolute,to:'2016-10-07 09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0" s="54" t="str">
        <f t="shared" si="6"/>
        <v>N</v>
      </c>
      <c r="X50" s="164">
        <f t="shared" si="21"/>
        <v>1</v>
      </c>
      <c r="Y50" s="69">
        <f t="shared" si="8"/>
        <v>4.58E-2</v>
      </c>
      <c r="Z50" s="69">
        <f t="shared" si="9"/>
        <v>23.3308</v>
      </c>
      <c r="AA50" s="69">
        <f t="shared" si="10"/>
        <v>23.285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0137-07</v>
      </c>
      <c r="AE50" s="95" t="str">
        <f t="shared" si="12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50" s="92" t="str">
        <f t="shared" si="13"/>
        <v>"C:\Program Files (x86)\AstroGrep\AstroGrep.exe" /spath="%USERPROFILE%\AppData\Local\Temp\OnboardLogs" /stypes="app*4007*20161007*" /stext=" 14:.+((SYSTEM_STATE.+slice.+state.+changed )|(ment ac)|(system.+state.+changed )|(\[timeout)|(PRM\|1\|D)|(kpr)|(kdp)|(\|lc)|(penalty))" /e /r /s</v>
      </c>
      <c r="AG50" s="1" t="str">
        <f t="shared" si="14"/>
        <v>EC</v>
      </c>
      <c r="AH50" s="96" t="str">
        <f t="shared" si="17"/>
        <v>"%USERPROFILE%\Documents\GitHub\eaglep3\Utilities\RefineRTDCRunTimes.py" --tripid 137-07 --locoid 4007 --swversion DE.1.0.7.0 --startMP 204:458 --initTime 2016-10-07T08:08:06 --startdatetime 2016-10-07T08:15:16 --delay 6 --endMP 204:233308 --enddatetime 2016-10-07T08:51:47 --enforcementcount 0 &gt;&gt;C:\Users\stu\Documents\GitHub\eaglep3-reporting\EC\2016-10-07-refined-times.txt</v>
      </c>
      <c r="AI50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{"issue":{"subject":"","project_id":79,"tracker_id":40,"status_id":1,"priority_id":2,"assigned_to_id":23,"start_date":"2016-10-07","description":"","custom_fields":[{"id":1,"name":"Subdivision","value":"EC"},{"id":4,"name":"Milepost","value":"23.3308"},{"id":17,"name":"Train ID","value":"137-07"},{"id":16,"name":"Locomotive ID","value":"4007"},{"id":130,"name":"Impact","value":""},{"id":150,"name":"Time of Event (Mountain Time)","value":"08:51:47"},{"id":151,"name":"Denver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426</v>
      </c>
      <c r="B51" s="7">
        <v>4008</v>
      </c>
      <c r="C51" s="24" t="s">
        <v>106</v>
      </c>
      <c r="D51" s="24" t="s">
        <v>274</v>
      </c>
      <c r="E51" s="15">
        <v>42650.380567129629</v>
      </c>
      <c r="F51" s="15">
        <v>42650.382835648146</v>
      </c>
      <c r="G51" s="7">
        <v>1</v>
      </c>
      <c r="H51" s="15" t="s">
        <v>336</v>
      </c>
      <c r="I51" s="15">
        <v>42650.412222222221</v>
      </c>
      <c r="J51" s="7">
        <v>0</v>
      </c>
      <c r="K51" s="117" t="str">
        <f t="shared" si="0"/>
        <v>4007/4008</v>
      </c>
      <c r="L51" s="24" t="str">
        <f>VLOOKUP(A51,'Trips&amp;Operators'!$C$1:$E$10000,3,FALSE)</f>
        <v>GEBRETEKLE</v>
      </c>
      <c r="M51" s="6">
        <f t="shared" si="1"/>
        <v>2.9386574075033423E-2</v>
      </c>
      <c r="N51" s="7">
        <f t="shared" si="19"/>
        <v>42.316666668048128</v>
      </c>
      <c r="O51" s="7"/>
      <c r="P51" s="7"/>
      <c r="Q51" s="25"/>
      <c r="R51" s="25"/>
      <c r="S51" s="37">
        <f t="shared" si="20"/>
        <v>1</v>
      </c>
      <c r="T51" s="52" t="str">
        <f t="shared" si="4"/>
        <v>Southbound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08:08:01-0600',mode:absolute,to:'2016-10-07 10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1" s="54" t="str">
        <f t="shared" si="6"/>
        <v>N</v>
      </c>
      <c r="X51" s="164">
        <f t="shared" si="21"/>
        <v>1</v>
      </c>
      <c r="Y51" s="69">
        <f t="shared" si="8"/>
        <v>23.299299999999999</v>
      </c>
      <c r="Z51" s="69">
        <f t="shared" si="9"/>
        <v>1.43E-2</v>
      </c>
      <c r="AA51" s="69">
        <f t="shared" si="10"/>
        <v>23.285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0138-07</v>
      </c>
      <c r="AE51" s="95" t="str">
        <f t="shared" si="12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51" s="92" t="str">
        <f t="shared" si="13"/>
        <v>"C:\Program Files (x86)\AstroGrep\AstroGrep.exe" /spath="%USERPROFILE%\AppData\Local\Temp\OnboardLogs" /stypes="app*4008*20161007*"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6" t="str">
        <f t="shared" si="17"/>
        <v>"%USERPROFILE%\Documents\GitHub\eaglep3\Utilities\RefineRTDCRunTimes.py" --tripid 138-07 --locoid 4008 --swversion DE.1.0.7.0 --startMP 204:232993 --initTime 2016-10-07T09:08:01 --startdatetime 2016-10-07T09:11:17 --delay 1 --endMP 204:143 --enddatetime 2016-10-07T09:53:36 --enforcementcount 0 &gt;&gt;C:\Users\stu\Documents\GitHub\eaglep3-reporting\EC\2016-10-07-refined-times.txt</v>
      </c>
      <c r="AI51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ID","value":"138-07"},{"id":16,"name":"Locomotive ID","value":"4008"},{"id":130,"name":"Impact","value":""},{"id":150,"name":"Time of Event (Mountain Time)","value":"09:53:36"},{"id":151,"name":"Denver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427</v>
      </c>
      <c r="B52" s="7">
        <v>4042</v>
      </c>
      <c r="C52" s="24" t="s">
        <v>106</v>
      </c>
      <c r="D52" s="24" t="s">
        <v>322</v>
      </c>
      <c r="E52" s="15">
        <v>42650.349652777775</v>
      </c>
      <c r="F52" s="15">
        <v>42650.354502314818</v>
      </c>
      <c r="G52" s="7">
        <v>1</v>
      </c>
      <c r="H52" s="15" t="s">
        <v>428</v>
      </c>
      <c r="I52" s="15">
        <v>42650.379629629628</v>
      </c>
      <c r="J52" s="7">
        <v>0</v>
      </c>
      <c r="K52" s="117" t="str">
        <f t="shared" si="0"/>
        <v>4041/4042</v>
      </c>
      <c r="L52" s="24" t="str">
        <f>VLOOKUP(A52,'Trips&amp;Operators'!$C$1:$E$10000,3,FALSE)</f>
        <v>SPECTOR</v>
      </c>
      <c r="M52" s="6">
        <f t="shared" si="1"/>
        <v>2.512731480965158E-2</v>
      </c>
      <c r="N52" s="7">
        <f t="shared" si="19"/>
        <v>36.183333325898275</v>
      </c>
      <c r="O52" s="7"/>
      <c r="P52" s="7"/>
      <c r="Q52" s="25"/>
      <c r="R52" s="25"/>
      <c r="S52" s="37">
        <f t="shared" si="20"/>
        <v>1</v>
      </c>
      <c r="T52" s="52" t="str">
        <f t="shared" si="4"/>
        <v>NorthBound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07:23:30-0600',mode:absolute,to:'2016-10-07 10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2" s="54" t="str">
        <f t="shared" si="6"/>
        <v>N</v>
      </c>
      <c r="X52" s="164">
        <f t="shared" si="21"/>
        <v>1</v>
      </c>
      <c r="Y52" s="69">
        <f t="shared" si="8"/>
        <v>4.7500000000000001E-2</v>
      </c>
      <c r="Z52" s="69">
        <f t="shared" si="9"/>
        <v>23.3322</v>
      </c>
      <c r="AA52" s="69">
        <f t="shared" si="10"/>
        <v>23.284700000000001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0139-07</v>
      </c>
      <c r="AE52" s="95" t="str">
        <f t="shared" si="12"/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52" s="92" t="str">
        <f t="shared" si="13"/>
        <v>"C:\Program Files (x86)\AstroGrep\AstroGrep.exe" /spath="%USERPROFILE%\AppData\Local\Temp\OnboardLogs" /stypes="app*4042*20161007*" /stext=" 15:.+((SYSTEM_STATE.+slice.+state.+changed )|(ment ac)|(system.+state.+changed )|(\[timeout)|(PRM\|1\|D)|(kpr)|(kdp)|(\|lc)|(penalty))" /e /r /s</v>
      </c>
      <c r="AG52" s="1" t="str">
        <f t="shared" si="14"/>
        <v>EC</v>
      </c>
      <c r="AH52" s="96" t="str">
        <f t="shared" si="17"/>
        <v>"%USERPROFILE%\Documents\GitHub\eaglep3\Utilities\RefineRTDCRunTimes.py" --tripid 139-07 --locoid 4042 --swversion DE.1.0.7.0 --startMP 204:475 --initTime 2016-10-07T08:23:30 --startdatetime 2016-10-07T08:30:29 --delay 1 --endMP 204:233322 --enddatetime 2016-10-07T09:06:40 --enforcementcount 0 &gt;&gt;C:\Users\stu\Documents\GitHub\eaglep3-reporting\EC\2016-10-07-refined-times.txt</v>
      </c>
      <c r="AI52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{"issue":{"subject":"","project_id":79,"tracker_id":40,"status_id":1,"priority_id":2,"assigned_to_id":23,"start_date":"2016-10-07","description":"","custom_fields":[{"id":1,"name":"Subdivision","value":"EC"},{"id":4,"name":"Milepost","value":"23.3322"},{"id":17,"name":"Train ID","value":"139-07"},{"id":16,"name":"Locomotive ID","value":"4042"},{"id":130,"name":"Impact","value":""},{"id":150,"name":"Time of Event (Mountain Time)","value":"09:06:40"},{"id":151,"name":"Denver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429</v>
      </c>
      <c r="B53" s="7">
        <v>4041</v>
      </c>
      <c r="C53" s="24" t="s">
        <v>106</v>
      </c>
      <c r="D53" s="24" t="s">
        <v>430</v>
      </c>
      <c r="E53" s="15">
        <v>42650.388171296298</v>
      </c>
      <c r="F53" s="15">
        <v>42650.393287037034</v>
      </c>
      <c r="G53" s="7">
        <v>1</v>
      </c>
      <c r="H53" s="15" t="s">
        <v>336</v>
      </c>
      <c r="I53" s="15">
        <v>42650.419675925928</v>
      </c>
      <c r="J53" s="7">
        <v>0</v>
      </c>
      <c r="K53" s="117" t="str">
        <f t="shared" si="0"/>
        <v>4041/4042</v>
      </c>
      <c r="L53" s="24" t="str">
        <f>VLOOKUP(A53,'Trips&amp;Operators'!$C$1:$E$10000,3,FALSE)</f>
        <v>SPECTOR</v>
      </c>
      <c r="M53" s="6">
        <f t="shared" si="1"/>
        <v>2.6388888894871343E-2</v>
      </c>
      <c r="N53" s="7">
        <f t="shared" si="19"/>
        <v>38.000000008614734</v>
      </c>
      <c r="O53" s="7"/>
      <c r="P53" s="7"/>
      <c r="Q53" s="25"/>
      <c r="R53" s="25"/>
      <c r="S53" s="37">
        <f t="shared" si="20"/>
        <v>1</v>
      </c>
      <c r="T53" s="52" t="str">
        <f t="shared" si="4"/>
        <v>Southbound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08:18:58-0600',mode:absolute,to:'2016-10-07 11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3" s="54" t="str">
        <f t="shared" si="6"/>
        <v>N</v>
      </c>
      <c r="X53" s="164">
        <f t="shared" si="21"/>
        <v>1</v>
      </c>
      <c r="Y53" s="69">
        <f t="shared" si="8"/>
        <v>23.300899999999999</v>
      </c>
      <c r="Z53" s="69">
        <f t="shared" si="9"/>
        <v>1.43E-2</v>
      </c>
      <c r="AA53" s="69">
        <f t="shared" si="10"/>
        <v>23.2866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0140-07</v>
      </c>
      <c r="AE53" s="95" t="str">
        <f t="shared" si="12"/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53" s="92" t="str">
        <f t="shared" si="13"/>
        <v>"C:\Program Files (x86)\AstroGrep\AstroGrep.exe" /spath="%USERPROFILE%\AppData\Local\Temp\OnboardLogs" /stypes="app*4041*20161007*" /stext=" 16:.+((SYSTEM_STATE.+slice.+state.+changed )|(ment ac)|(system.+state.+changed )|(\[timeout)|(PRM\|1\|D)|(kpr)|(kdp)|(\|lc)|(penalty))" /e /r /s</v>
      </c>
      <c r="AG53" s="1" t="str">
        <f t="shared" si="14"/>
        <v>EC</v>
      </c>
      <c r="AH53" s="96" t="str">
        <f t="shared" si="17"/>
        <v>"%USERPROFILE%\Documents\GitHub\eaglep3\Utilities\RefineRTDCRunTimes.py" --tripid 140-07 --locoid 4041 --swversion DE.1.0.7.0 --startMP 204:233009 --initTime 2016-10-07T09:18:58 --startdatetime 2016-10-07T09:26:20 --delay 1 --endMP 204:143 --enddatetime 2016-10-07T10:04:20 --enforcementcount 0 &gt;&gt;C:\Users\stu\Documents\GitHub\eaglep3-reporting\EC\2016-10-07-refined-times.txt</v>
      </c>
      <c r="AI53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ID","value":"140-07"},{"id":16,"name":"Locomotive ID","value":"4041"},{"id":130,"name":"Impact","value":""},{"id":150,"name":"Time of Event (Mountain Time)","value":"10:04:20"},{"id":151,"name":"Denver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431</v>
      </c>
      <c r="B54" s="7">
        <v>4038</v>
      </c>
      <c r="C54" s="24" t="s">
        <v>106</v>
      </c>
      <c r="D54" s="24" t="s">
        <v>192</v>
      </c>
      <c r="E54" s="15">
        <v>42650.36005787037</v>
      </c>
      <c r="F54" s="15">
        <v>42650.36482638889</v>
      </c>
      <c r="G54" s="7">
        <v>1</v>
      </c>
      <c r="H54" s="15" t="s">
        <v>258</v>
      </c>
      <c r="I54" s="15">
        <v>42650.38962962963</v>
      </c>
      <c r="J54" s="7">
        <v>0</v>
      </c>
      <c r="K54" s="117" t="str">
        <f t="shared" si="0"/>
        <v>4037/4038</v>
      </c>
      <c r="L54" s="24" t="str">
        <f>VLOOKUP(A54,'Trips&amp;Operators'!$C$1:$E$10000,3,FALSE)</f>
        <v>MAELZER</v>
      </c>
      <c r="M54" s="6">
        <f t="shared" si="1"/>
        <v>2.4803240739856847E-2</v>
      </c>
      <c r="N54" s="7">
        <f t="shared" si="19"/>
        <v>35.716666665393859</v>
      </c>
      <c r="O54" s="7"/>
      <c r="P54" s="7"/>
      <c r="Q54" s="25"/>
      <c r="R54" s="25"/>
      <c r="S54" s="37">
        <f t="shared" si="20"/>
        <v>1</v>
      </c>
      <c r="T54" s="52" t="str">
        <f t="shared" si="4"/>
        <v>NorthBound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07:38:29-0600',mode:absolute,to:'2016-10-07 10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4" s="54" t="str">
        <f t="shared" si="6"/>
        <v>N</v>
      </c>
      <c r="X54" s="164">
        <f t="shared" si="21"/>
        <v>1</v>
      </c>
      <c r="Y54" s="69">
        <f t="shared" si="8"/>
        <v>4.53E-2</v>
      </c>
      <c r="Z54" s="69">
        <f t="shared" si="9"/>
        <v>23.331900000000001</v>
      </c>
      <c r="AA54" s="69">
        <f t="shared" si="10"/>
        <v>23.2866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0141-07</v>
      </c>
      <c r="AE54" s="95" t="str">
        <f t="shared" si="12"/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54" s="92" t="str">
        <f t="shared" si="13"/>
        <v>"C:\Program Files (x86)\AstroGrep\AstroGrep.exe" /spath="%USERPROFILE%\AppData\Local\Temp\OnboardLogs" /stypes="app*4038*20161007*" /stext=" 15:.+((SYSTEM_STATE.+slice.+state.+changed )|(ment ac)|(system.+state.+changed )|(\[timeout)|(PRM\|1\|D)|(kpr)|(kdp)|(\|lc)|(penalty))" /e /r /s</v>
      </c>
      <c r="AG54" s="1" t="str">
        <f t="shared" si="14"/>
        <v>EC</v>
      </c>
      <c r="AH54" s="96" t="str">
        <f t="shared" si="17"/>
        <v>"%USERPROFILE%\Documents\GitHub\eaglep3\Utilities\RefineRTDCRunTimes.py" --tripid 141-07 --locoid 4038 --swversion DE.1.0.7.0 --startMP 204:453 --initTime 2016-10-07T08:38:29 --startdatetime 2016-10-07T08:45:21 --delay 1 --endMP 204:233319 --enddatetime 2016-10-07T09:21:04 --enforcementcount 0 &gt;&gt;C:\Users\stu\Documents\GitHub\eaglep3-reporting\EC\2016-10-07-refined-times.txt</v>
      </c>
      <c r="AI54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{"issue":{"subject":"","project_id":79,"tracker_id":40,"status_id":1,"priority_id":2,"assigned_to_id":23,"start_date":"2016-10-07","description":"","custom_fields":[{"id":1,"name":"Subdivision","value":"EC"},{"id":4,"name":"Milepost","value":"23.3319"},{"id":17,"name":"Train ID","value":"141-07"},{"id":16,"name":"Locomotive ID","value":"4038"},{"id":130,"name":"Impact","value":""},{"id":150,"name":"Time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432</v>
      </c>
      <c r="B55" s="7">
        <v>4037</v>
      </c>
      <c r="C55" s="24" t="s">
        <v>106</v>
      </c>
      <c r="D55" s="24" t="s">
        <v>433</v>
      </c>
      <c r="E55" s="15">
        <v>42650.397129629629</v>
      </c>
      <c r="F55" s="15">
        <v>42650.403773148151</v>
      </c>
      <c r="G55" s="7">
        <v>1</v>
      </c>
      <c r="H55" s="15" t="s">
        <v>209</v>
      </c>
      <c r="I55" s="15">
        <v>42650.43072916667</v>
      </c>
      <c r="J55" s="7">
        <v>0</v>
      </c>
      <c r="K55" s="117" t="str">
        <f t="shared" si="0"/>
        <v>4037/4038</v>
      </c>
      <c r="L55" s="24" t="str">
        <f>VLOOKUP(A55,'Trips&amp;Operators'!$C$1:$E$10000,3,FALSE)</f>
        <v>MAELZER</v>
      </c>
      <c r="M55" s="6">
        <f t="shared" si="1"/>
        <v>2.6956018518831115E-2</v>
      </c>
      <c r="N55" s="7">
        <f t="shared" ref="N55:N86" si="22">24*60*SUM($M55:$M55)</f>
        <v>38.816666667116806</v>
      </c>
      <c r="O55" s="7"/>
      <c r="P55" s="7"/>
      <c r="Q55" s="25"/>
      <c r="R55" s="25"/>
      <c r="S55" s="37">
        <f t="shared" ref="S55:S86" si="23">SUM(U55:U55)/IF(AG55="EC",12,1)</f>
        <v>1</v>
      </c>
      <c r="T55" s="52" t="str">
        <f t="shared" si="4"/>
        <v>Southbound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08:31:52-0600',mode:absolute,to:'2016-10-07 11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5" s="54" t="str">
        <f t="shared" si="6"/>
        <v>N</v>
      </c>
      <c r="X55" s="164">
        <f t="shared" si="21"/>
        <v>1</v>
      </c>
      <c r="Y55" s="69">
        <f t="shared" si="8"/>
        <v>23.3017</v>
      </c>
      <c r="Z55" s="69">
        <f t="shared" si="9"/>
        <v>1.4500000000000001E-2</v>
      </c>
      <c r="AA55" s="69">
        <f t="shared" si="10"/>
        <v>23.287199999999999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0142-07</v>
      </c>
      <c r="AE55" s="95" t="str">
        <f t="shared" si="12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55" s="92" t="str">
        <f t="shared" si="13"/>
        <v>"C:\Program Files (x86)\AstroGrep\AstroGrep.exe" /spath="%USERPROFILE%\AppData\Local\Temp\OnboardLogs" /stypes="app*4037*20161007*" /stext=" 16:.+((SYSTEM_STATE.+slice.+state.+changed )|(ment ac)|(system.+state.+changed )|(\[timeout)|(PRM\|1\|D)|(kpr)|(kdp)|(\|lc)|(penalty))" /e /r /s</v>
      </c>
      <c r="AG55" s="1" t="str">
        <f t="shared" si="14"/>
        <v>EC</v>
      </c>
      <c r="AH55" s="96" t="str">
        <f t="shared" si="17"/>
        <v>"%USERPROFILE%\Documents\GitHub\eaglep3\Utilities\RefineRTDCRunTimes.py" --tripid 142-07 --locoid 4037 --swversion DE.1.0.7.0 --startMP 204:233017 --initTime 2016-10-07T09:31:52 --startdatetime 2016-10-07T09:41:26 --delay 1 --endMP 204:145 --enddatetime 2016-10-07T10:20:15 --enforcementcount 0 &gt;&gt;C:\Users\stu\Documents\GitHub\eaglep3-reporting\EC\2016-10-07-refined-times.txt</v>
      </c>
      <c r="AI55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ID","value":"142-07"},{"id":16,"name":"Locomotive ID","value":"4037"},{"id":130,"name":"Impact","value":""},{"id":150,"name":"Time of Event (Mountain Time)","value":"10:20:15"},{"id":151,"name":"Denver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434</v>
      </c>
      <c r="B56" s="7">
        <v>4003</v>
      </c>
      <c r="C56" s="24" t="s">
        <v>106</v>
      </c>
      <c r="D56" s="24" t="s">
        <v>278</v>
      </c>
      <c r="E56" s="15">
        <v>42650.370798611111</v>
      </c>
      <c r="F56" s="15">
        <v>42650.375254629631</v>
      </c>
      <c r="G56" s="7">
        <v>1</v>
      </c>
      <c r="H56" s="15" t="s">
        <v>211</v>
      </c>
      <c r="I56" s="15">
        <v>42650.406423611108</v>
      </c>
      <c r="J56" s="7">
        <v>0</v>
      </c>
      <c r="K56" s="117" t="str">
        <f t="shared" si="0"/>
        <v>4003/4004</v>
      </c>
      <c r="L56" s="24" t="str">
        <f>VLOOKUP(A56,'Trips&amp;Operators'!$C$1:$E$10000,3,FALSE)</f>
        <v>ROCHA</v>
      </c>
      <c r="M56" s="6">
        <f t="shared" si="1"/>
        <v>3.1168981477094349E-2</v>
      </c>
      <c r="N56" s="7">
        <f t="shared" si="22"/>
        <v>44.883333327015862</v>
      </c>
      <c r="O56" s="7"/>
      <c r="P56" s="7"/>
      <c r="Q56" s="25"/>
      <c r="R56" s="25"/>
      <c r="S56" s="37">
        <f t="shared" si="23"/>
        <v>1</v>
      </c>
      <c r="T56" s="52" t="str">
        <f t="shared" si="4"/>
        <v>NorthBound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07:53:57-0600',mode:absolute,to:'2016-10-07 10:45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6" s="54" t="str">
        <f t="shared" si="6"/>
        <v>N</v>
      </c>
      <c r="X56" s="164">
        <f t="shared" si="21"/>
        <v>1</v>
      </c>
      <c r="Y56" s="69">
        <f t="shared" si="8"/>
        <v>4.5999999999999999E-2</v>
      </c>
      <c r="Z56" s="69">
        <f t="shared" si="9"/>
        <v>23.331199999999999</v>
      </c>
      <c r="AA56" s="69">
        <f t="shared" si="10"/>
        <v>23.2852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0143-07</v>
      </c>
      <c r="AE56" s="95" t="str">
        <f t="shared" si="12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56" s="92" t="str">
        <f t="shared" si="13"/>
        <v>"C:\Program Files (x86)\AstroGrep\AstroGrep.exe" /spath="%USERPROFILE%\AppData\Local\Temp\OnboardLogs" /stypes="app*4003*20161007*" /stext=" 15:.+((SYSTEM_STATE.+slice.+state.+changed )|(ment ac)|(system.+state.+changed )|(\[timeout)|(PRM\|1\|D)|(kpr)|(kdp)|(\|lc)|(penalty))" /e /r /s</v>
      </c>
      <c r="AG56" s="1" t="str">
        <f t="shared" si="14"/>
        <v>EC</v>
      </c>
      <c r="AH56" s="96" t="str">
        <f t="shared" si="17"/>
        <v>"%USERPROFILE%\Documents\GitHub\eaglep3\Utilities\RefineRTDCRunTimes.py" --tripid 143-07 --locoid 4003 --swversion DE.1.0.7.0 --startMP 204:460 --initTime 2016-10-07T08:53:57 --startdatetime 2016-10-07T09:00:22 --delay 1 --endMP 204:233312 --enddatetime 2016-10-07T09:45:15 --enforcementcount 0 &gt;&gt;C:\Users\stu\Documents\GitHub\eaglep3-reporting\EC\2016-10-07-refined-times.txt</v>
      </c>
      <c r="AI56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{"issue":{"subject":"","project_id":79,"tracker_id":40,"status_id":1,"priority_id":2,"assigned_to_id":23,"start_date":"2016-10-07","description":"","custom_fields":[{"id":1,"name":"Subdivision","value":"EC"},{"id":4,"name":"Milepost","value":"23.3312"},{"id":17,"name":"Train ID","value":"143-07"},{"id":16,"name":"Locomotive ID","value":"4003"},{"id":130,"name":"Impact","value":""},{"id":150,"name":"Time of Event (Mountain Time)","value":"09:45:15"},{"id":151,"name":"Denver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435</v>
      </c>
      <c r="B57" s="7">
        <v>4004</v>
      </c>
      <c r="C57" s="24" t="s">
        <v>106</v>
      </c>
      <c r="D57" s="24" t="s">
        <v>227</v>
      </c>
      <c r="E57" s="15">
        <v>42650.409351851849</v>
      </c>
      <c r="F57" s="15">
        <v>42650.414270833331</v>
      </c>
      <c r="G57" s="7">
        <v>1</v>
      </c>
      <c r="H57" s="15" t="s">
        <v>229</v>
      </c>
      <c r="I57" s="15">
        <v>42650.441354166665</v>
      </c>
      <c r="J57" s="7">
        <v>0</v>
      </c>
      <c r="K57" s="117" t="str">
        <f t="shared" si="0"/>
        <v>4003/4004</v>
      </c>
      <c r="L57" s="24" t="str">
        <f>VLOOKUP(A57,'Trips&amp;Operators'!$C$1:$E$10000,3,FALSE)</f>
        <v>ROCHA</v>
      </c>
      <c r="M57" s="6">
        <f t="shared" si="1"/>
        <v>2.7083333334303461E-2</v>
      </c>
      <c r="N57" s="7">
        <f t="shared" si="22"/>
        <v>39.000000001396984</v>
      </c>
      <c r="O57" s="7"/>
      <c r="P57" s="7"/>
      <c r="Q57" s="25"/>
      <c r="R57" s="25"/>
      <c r="S57" s="37">
        <f t="shared" si="23"/>
        <v>1</v>
      </c>
      <c r="T57" s="52" t="str">
        <f t="shared" si="4"/>
        <v>Southbound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08:49:28-0600',mode:absolute,to:'2016-10-07 11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7" s="54" t="str">
        <f t="shared" si="6"/>
        <v>N</v>
      </c>
      <c r="X57" s="164">
        <f t="shared" si="21"/>
        <v>1</v>
      </c>
      <c r="Y57" s="69">
        <f t="shared" si="8"/>
        <v>23.297799999999999</v>
      </c>
      <c r="Z57" s="69">
        <f t="shared" si="9"/>
        <v>1.61E-2</v>
      </c>
      <c r="AA57" s="69">
        <f t="shared" si="10"/>
        <v>23.281699999999997</v>
      </c>
      <c r="AB57" s="66" t="str">
        <f>VLOOKUP(A57,Enforcements!$C$7:$K$21,8,0)</f>
        <v>Bulletin (2)</v>
      </c>
      <c r="AC57" s="62" t="str">
        <f>VLOOKUP(A57,Enforcements!$C$7:$E$21,3,0)</f>
        <v>GRADE CROSSING</v>
      </c>
      <c r="AD57" s="63" t="str">
        <f t="shared" si="11"/>
        <v>0144-07</v>
      </c>
      <c r="AE57" s="95" t="str">
        <f t="shared" si="12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57" s="92" t="str">
        <f t="shared" si="13"/>
        <v>"C:\Program Files (x86)\AstroGrep\AstroGrep.exe" /spath="%USERPROFILE%\AppData\Local\Temp\OnboardLogs" /stypes="app*4004*20161007*" /stext=" 16:.+((SYSTEM_STATE.+slice.+state.+changed )|(ment ac)|(system.+state.+changed )|(\[timeout)|(PRM\|1\|D)|(kpr)|(kdp)|(\|lc)|(penalty))" /e /r /s</v>
      </c>
      <c r="AG57" s="1" t="str">
        <f t="shared" si="14"/>
        <v>EC</v>
      </c>
      <c r="AH57" s="96" t="str">
        <f t="shared" si="17"/>
        <v>"%USERPROFILE%\Documents\GitHub\eaglep3\Utilities\RefineRTDCRunTimes.py" --tripid 144-07 --locoid 4004 --swversion DE.1.0.7.0 --startMP 204:232978 --initTime 2016-10-07T09:49:28 --startdatetime 2016-10-07T09:56:33 --delay 1 --endMP 204:161 --enddatetime 2016-10-07T10:35:33 --enforcementcount 0 &gt;&gt;C:\Users\stu\Documents\GitHub\eaglep3-reporting\EC\2016-10-07-refined-times.txt</v>
      </c>
      <c r="AI57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{"issue":{"subject":"","project_id":79,"tracker_id":40,"status_id":1,"priority_id":2,"assigned_to_id":23,"start_date":"2016-10-07","description":"","custom_fields":[{"id":1,"name":"Subdivision","value":"EC"},{"id":4,"name":"Milepost","value":"0.0161"},{"id":17,"name":"Train ID","value":"144-07"},{"id":16,"name":"Locomotive ID","value":"4004"},{"id":130,"name":"Impact","value":""},{"id":150,"name":"Time of Event (Mountain Time)","value":"10:35:33"},{"id":151,"name":"Denver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436</v>
      </c>
      <c r="B58" s="7">
        <v>4018</v>
      </c>
      <c r="C58" s="24" t="s">
        <v>106</v>
      </c>
      <c r="D58" s="24" t="s">
        <v>232</v>
      </c>
      <c r="E58" s="15">
        <v>42650.380416666667</v>
      </c>
      <c r="F58" s="15">
        <v>42650.385659722226</v>
      </c>
      <c r="G58" s="7">
        <v>1</v>
      </c>
      <c r="H58" s="15" t="s">
        <v>242</v>
      </c>
      <c r="I58" s="15">
        <v>42650.411412037036</v>
      </c>
      <c r="J58" s="7">
        <v>0</v>
      </c>
      <c r="K58" s="117" t="str">
        <f t="shared" si="0"/>
        <v>4017/4018</v>
      </c>
      <c r="L58" s="24" t="str">
        <f>VLOOKUP(A58,'Trips&amp;Operators'!$C$1:$E$10000,3,FALSE)</f>
        <v>DAVIS</v>
      </c>
      <c r="M58" s="6">
        <f t="shared" si="1"/>
        <v>2.5752314810233656E-2</v>
      </c>
      <c r="N58" s="7">
        <f t="shared" si="22"/>
        <v>37.083333326736465</v>
      </c>
      <c r="O58" s="7"/>
      <c r="P58" s="7"/>
      <c r="Q58" s="25"/>
      <c r="R58" s="25"/>
      <c r="S58" s="37">
        <f t="shared" si="23"/>
        <v>1</v>
      </c>
      <c r="T58" s="52" t="str">
        <f t="shared" si="4"/>
        <v>NorthBound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08:07:48-0600',mode:absolute,to:'2016-10-07 10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8" s="54" t="str">
        <f t="shared" si="6"/>
        <v>N</v>
      </c>
      <c r="X58" s="164">
        <f t="shared" si="21"/>
        <v>1</v>
      </c>
      <c r="Y58" s="69">
        <f t="shared" si="8"/>
        <v>4.4900000000000002E-2</v>
      </c>
      <c r="Z58" s="69">
        <f t="shared" si="9"/>
        <v>23.3308</v>
      </c>
      <c r="AA58" s="69">
        <f t="shared" si="10"/>
        <v>23.285900000000002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0145-07</v>
      </c>
      <c r="AE58" s="95" t="str">
        <f t="shared" si="12"/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58" s="92" t="str">
        <f t="shared" si="13"/>
        <v>"C:\Program Files (x86)\AstroGrep\AstroGrep.exe" /spath="%USERPROFILE%\AppData\Local\Temp\OnboardLogs" /stypes="app*4018*20161007*" /stext=" 15:.+((SYSTEM_STATE.+slice.+state.+changed )|(ment ac)|(system.+state.+changed )|(\[timeout)|(PRM\|1\|D)|(kpr)|(kdp)|(\|lc)|(penalty))" /e /r /s</v>
      </c>
      <c r="AG58" s="1" t="str">
        <f t="shared" si="14"/>
        <v>EC</v>
      </c>
      <c r="AH58" s="96" t="str">
        <f t="shared" si="17"/>
        <v>"%USERPROFILE%\Documents\GitHub\eaglep3\Utilities\RefineRTDCRunTimes.py" --tripid 145-07 --locoid 4018 --swversion DE.1.0.7.0 --startMP 204:449 --initTime 2016-10-07T09:07:48 --startdatetime 2016-10-07T09:15:21 --delay 1 --endMP 204:233308 --enddatetime 2016-10-07T09:52:26 --enforcementcount 0 &gt;&gt;C:\Users\stu\Documents\GitHub\eaglep3-reporting\EC\2016-10-07-refined-times.txt</v>
      </c>
      <c r="AI58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{"issue":{"subject":"","project_id":79,"tracker_id":40,"status_id":1,"priority_id":2,"assigned_to_id":23,"start_date":"2016-10-07","description":"","custom_fields":[{"id":1,"name":"Subdivision","value":"EC"},{"id":4,"name":"Milepost","value":"23.3308"},{"id":17,"name":"Train ID","value":"145-07"},{"id":16,"name":"Locomotive ID","value":"4018"},{"id":130,"name":"Impact","value":""},{"id":150,"name":"Time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437</v>
      </c>
      <c r="B59" s="7">
        <v>4017</v>
      </c>
      <c r="C59" s="24" t="s">
        <v>106</v>
      </c>
      <c r="D59" s="24" t="s">
        <v>296</v>
      </c>
      <c r="E59" s="15">
        <v>42650.42046296296</v>
      </c>
      <c r="F59" s="15">
        <v>42650.424583333333</v>
      </c>
      <c r="G59" s="7">
        <v>1</v>
      </c>
      <c r="H59" s="15" t="s">
        <v>438</v>
      </c>
      <c r="I59" s="15">
        <v>42650.452106481483</v>
      </c>
      <c r="J59" s="7">
        <v>0</v>
      </c>
      <c r="K59" s="117" t="str">
        <f t="shared" si="0"/>
        <v>4017/4018</v>
      </c>
      <c r="L59" s="24" t="str">
        <f>VLOOKUP(A59,'Trips&amp;Operators'!$C$1:$E$10000,3,FALSE)</f>
        <v>DAVIS</v>
      </c>
      <c r="M59" s="6">
        <f t="shared" si="1"/>
        <v>2.7523148150066845E-2</v>
      </c>
      <c r="N59" s="7">
        <f t="shared" si="22"/>
        <v>39.633333336096257</v>
      </c>
      <c r="O59" s="7"/>
      <c r="P59" s="7"/>
      <c r="Q59" s="25"/>
      <c r="R59" s="25"/>
      <c r="S59" s="37">
        <f t="shared" si="23"/>
        <v>1</v>
      </c>
      <c r="T59" s="52" t="str">
        <f t="shared" si="4"/>
        <v>Southbound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09:05:28-0600',mode:absolute,to:'2016-10-07 11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9" s="54" t="str">
        <f t="shared" si="6"/>
        <v>N</v>
      </c>
      <c r="X59" s="164">
        <f t="shared" si="21"/>
        <v>1</v>
      </c>
      <c r="Y59" s="69">
        <f t="shared" si="8"/>
        <v>23.3</v>
      </c>
      <c r="Z59" s="69">
        <f t="shared" si="9"/>
        <v>1.29E-2</v>
      </c>
      <c r="AA59" s="69">
        <f t="shared" si="10"/>
        <v>23.287100000000002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0146-07</v>
      </c>
      <c r="AE59" s="95" t="str">
        <f t="shared" si="12"/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59" s="92" t="str">
        <f t="shared" si="13"/>
        <v>"C:\Program Files (x86)\AstroGrep\AstroGrep.exe" /spath="%USERPROFILE%\AppData\Local\Temp\OnboardLogs" /stypes="app*4017*20161007*"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6" t="str">
        <f t="shared" si="17"/>
        <v>"%USERPROFILE%\Documents\GitHub\eaglep3\Utilities\RefineRTDCRunTimes.py" --tripid 146-07 --locoid 4017 --swversion DE.1.0.7.0 --startMP 204:233000 --initTime 2016-10-07T10:05:28 --startdatetime 2016-10-07T10:11:24 --delay 1 --endMP 204:129 --enddatetime 2016-10-07T10:51:02 --enforcementcount 0 &gt;&gt;C:\Users\stu\Documents\GitHub\eaglep3-reporting\EC\2016-10-07-refined-times.txt</v>
      </c>
      <c r="AI59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{"issue":{"subject":"","project_id":79,"tracker_id":40,"status_id":1,"priority_id":2,"assigned_to_id":23,"start_date":"2016-10-07","description":"","custom_fields":[{"id":1,"name":"Subdivision","value":"EC"},{"id":4,"name":"Milepost","value":"0.0129"},{"id":17,"name":"Train ID","value":"146-07"},{"id":16,"name":"Locomotive ID","value":"4017"},{"id":130,"name":"Impact","value":""},{"id":150,"name":"Time of Event (Mountain Time)","value":"10:51:02"},{"id":151,"name":"Denver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439</v>
      </c>
      <c r="B60" s="7">
        <v>4046</v>
      </c>
      <c r="C60" s="24" t="s">
        <v>106</v>
      </c>
      <c r="D60" s="24" t="s">
        <v>196</v>
      </c>
      <c r="E60" s="15">
        <v>42650.394618055558</v>
      </c>
      <c r="F60" s="15">
        <v>42650.396145833336</v>
      </c>
      <c r="G60" s="7">
        <v>1</v>
      </c>
      <c r="H60" s="15" t="s">
        <v>254</v>
      </c>
      <c r="I60" s="15">
        <v>42650.422407407408</v>
      </c>
      <c r="J60" s="7">
        <v>0</v>
      </c>
      <c r="K60" s="117" t="str">
        <f t="shared" si="0"/>
        <v>4045/4046</v>
      </c>
      <c r="L60" s="24" t="str">
        <f>VLOOKUP(A60,'Trips&amp;Operators'!$C$1:$E$10000,3,FALSE)</f>
        <v>MALAVE</v>
      </c>
      <c r="M60" s="6">
        <f t="shared" si="1"/>
        <v>2.626157407212304E-2</v>
      </c>
      <c r="N60" s="7">
        <f t="shared" si="22"/>
        <v>37.816666663857177</v>
      </c>
      <c r="O60" s="7"/>
      <c r="P60" s="7"/>
      <c r="Q60" s="25"/>
      <c r="R60" s="25"/>
      <c r="S60" s="37">
        <f t="shared" si="23"/>
        <v>1</v>
      </c>
      <c r="T60" s="52" t="str">
        <f t="shared" si="4"/>
        <v>NorthBound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08:28:15-0600',mode:absolute,to:'2016-10-07 11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0" s="54" t="str">
        <f t="shared" si="6"/>
        <v>N</v>
      </c>
      <c r="X60" s="164">
        <f t="shared" si="21"/>
        <v>1</v>
      </c>
      <c r="Y60" s="69">
        <f t="shared" si="8"/>
        <v>4.5699999999999998E-2</v>
      </c>
      <c r="Z60" s="69">
        <f t="shared" si="9"/>
        <v>23.3276</v>
      </c>
      <c r="AA60" s="69">
        <f t="shared" si="10"/>
        <v>23.2819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0147-07</v>
      </c>
      <c r="AE60" s="95" t="str">
        <f t="shared" si="12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60" s="92" t="str">
        <f t="shared" si="13"/>
        <v>"C:\Program Files (x86)\AstroGrep\AstroGrep.exe" /spath="%USERPROFILE%\AppData\Local\Temp\OnboardLogs" /stypes="app*4046*20161007*"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6" t="str">
        <f t="shared" si="17"/>
        <v>"%USERPROFILE%\Documents\GitHub\eaglep3\Utilities\RefineRTDCRunTimes.py" --tripid 147-07 --locoid 4046 --swversion DE.1.0.7.0 --startMP 204:457 --initTime 2016-10-07T09:28:15 --startdatetime 2016-10-07T09:30:27 --delay 1 --endMP 204:233276 --enddatetime 2016-10-07T10:08:16 --enforcementcount 0 &gt;&gt;C:\Users\stu\Documents\GitHub\eaglep3-reporting\EC\2016-10-07-refined-times.txt</v>
      </c>
      <c r="AI60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{"issue":{"subject":"","project_id":79,"tracker_id":40,"status_id":1,"priority_id":2,"assigned_to_id":23,"start_date":"2016-10-07","description":"","custom_fields":[{"id":1,"name":"Subdivision","value":"EC"},{"id":4,"name":"Milepost","value":"23.3276"},{"id":17,"name":"Train ID","value":"147-07"},{"id":16,"name":"Locomotive ID","value":"4046"},{"id":130,"name":"Impact","value":""},{"id":150,"name":"Time of Event (Mountain Time)","value":"10:08:16"},{"id":151,"name":"Denver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440</v>
      </c>
      <c r="B61" s="7">
        <v>4045</v>
      </c>
      <c r="C61" s="24" t="s">
        <v>106</v>
      </c>
      <c r="D61" s="24" t="s">
        <v>337</v>
      </c>
      <c r="E61" s="15">
        <v>42650.433136574073</v>
      </c>
      <c r="F61" s="15">
        <v>42650.434930555559</v>
      </c>
      <c r="G61" s="7">
        <v>1</v>
      </c>
      <c r="H61" s="15" t="s">
        <v>377</v>
      </c>
      <c r="I61" s="15">
        <v>42650.461863425924</v>
      </c>
      <c r="J61" s="7">
        <v>0</v>
      </c>
      <c r="K61" s="117" t="str">
        <f t="shared" si="0"/>
        <v>4045/4046</v>
      </c>
      <c r="L61" s="24" t="str">
        <f>VLOOKUP(A61,'Trips&amp;Operators'!$C$1:$E$10000,3,FALSE)</f>
        <v>MALAVE</v>
      </c>
      <c r="M61" s="6">
        <f t="shared" si="1"/>
        <v>2.693287036527181E-2</v>
      </c>
      <c r="N61" s="7">
        <f t="shared" si="22"/>
        <v>38.783333325991407</v>
      </c>
      <c r="O61" s="7"/>
      <c r="P61" s="7"/>
      <c r="Q61" s="25"/>
      <c r="R61" s="25"/>
      <c r="S61" s="37">
        <f t="shared" si="23"/>
        <v>1</v>
      </c>
      <c r="T61" s="52" t="str">
        <f t="shared" si="4"/>
        <v>Southbound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09:23:43-0600',mode:absolute,to:'2016-10-07 12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1" s="54" t="str">
        <f t="shared" si="6"/>
        <v>N</v>
      </c>
      <c r="X61" s="164">
        <f t="shared" si="21"/>
        <v>1</v>
      </c>
      <c r="Y61" s="69">
        <f t="shared" si="8"/>
        <v>23.296700000000001</v>
      </c>
      <c r="Z61" s="69">
        <f t="shared" si="9"/>
        <v>1.72E-2</v>
      </c>
      <c r="AA61" s="69">
        <f t="shared" si="10"/>
        <v>23.279500000000002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0148-07</v>
      </c>
      <c r="AE61" s="95" t="str">
        <f t="shared" si="12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61" s="92" t="str">
        <f t="shared" si="13"/>
        <v>"C:\Program Files (x86)\AstroGrep\AstroGrep.exe" /spath="%USERPROFILE%\AppData\Local\Temp\OnboardLogs" /stypes="app*4045*20161007*"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6" t="str">
        <f t="shared" si="17"/>
        <v>"%USERPROFILE%\Documents\GitHub\eaglep3\Utilities\RefineRTDCRunTimes.py" --tripid 148-07 --locoid 4045 --swversion DE.1.0.7.0 --startMP 204:232967 --initTime 2016-10-07T10:23:43 --startdatetime 2016-10-07T10:26:18 --delay 1 --endMP 204:172 --enddatetime 2016-10-07T11:05:05 --enforcementcount 0 &gt;&gt;C:\Users\stu\Documents\GitHub\eaglep3-reporting\EC\2016-10-07-refined-times.txt</v>
      </c>
      <c r="AI61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{"issue":{"subject":"","project_id":79,"tracker_id":40,"status_id":1,"priority_id":2,"assigned_to_id":23,"start_date":"2016-10-07","description":"","custom_fields":[{"id":1,"name":"Subdivision","value":"EC"},{"id":4,"name":"Milepost","value":"0.0172"},{"id":17,"name":"Train ID","value":"148-07"},{"id":16,"name":"Locomotive ID","value":"4045"},{"id":130,"name":"Impact","value":""},{"id":150,"name":"Time of Event (Mountain Time)","value":"11:05:05"},{"id":151,"name":"Denver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441</v>
      </c>
      <c r="B62" s="7">
        <v>4020</v>
      </c>
      <c r="C62" s="24" t="s">
        <v>106</v>
      </c>
      <c r="D62" s="24" t="s">
        <v>196</v>
      </c>
      <c r="E62" s="15">
        <v>42650.401319444441</v>
      </c>
      <c r="F62" s="15">
        <v>42650.406539351854</v>
      </c>
      <c r="G62" s="7">
        <v>1</v>
      </c>
      <c r="H62" s="15" t="s">
        <v>223</v>
      </c>
      <c r="I62" s="15">
        <v>42650.432025462964</v>
      </c>
      <c r="J62" s="7">
        <v>0</v>
      </c>
      <c r="K62" s="117" t="str">
        <f t="shared" si="0"/>
        <v>4019/4020</v>
      </c>
      <c r="L62" s="24" t="str">
        <f>VLOOKUP(A62,'Trips&amp;Operators'!$C$1:$E$10000,3,FALSE)</f>
        <v>BRANNON</v>
      </c>
      <c r="M62" s="6">
        <f t="shared" si="1"/>
        <v>2.548611110978527E-2</v>
      </c>
      <c r="N62" s="7">
        <f t="shared" si="22"/>
        <v>36.699999998090789</v>
      </c>
      <c r="O62" s="7"/>
      <c r="P62" s="7"/>
      <c r="Q62" s="25"/>
      <c r="R62" s="25"/>
      <c r="S62" s="37">
        <f t="shared" si="23"/>
        <v>1</v>
      </c>
      <c r="T62" s="52" t="str">
        <f t="shared" si="4"/>
        <v>NorthBound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08:37:54-0600',mode:absolute,to:'2016-10-07 11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2" s="54" t="str">
        <f t="shared" si="6"/>
        <v>N</v>
      </c>
      <c r="X62" s="164">
        <f t="shared" si="21"/>
        <v>1</v>
      </c>
      <c r="Y62" s="69">
        <f t="shared" si="8"/>
        <v>4.5699999999999998E-2</v>
      </c>
      <c r="Z62" s="69">
        <f t="shared" si="9"/>
        <v>23.3293</v>
      </c>
      <c r="AA62" s="69">
        <f t="shared" si="10"/>
        <v>23.2836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0149-07</v>
      </c>
      <c r="AE62" s="95" t="str">
        <f t="shared" si="12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62" s="92" t="str">
        <f t="shared" si="13"/>
        <v>"C:\Program Files (x86)\AstroGrep\AstroGrep.exe" /spath="%USERPROFILE%\AppData\Local\Temp\OnboardLogs" /stypes="app*4020*20161007*" /stext=" 16:.+((SYSTEM_STATE.+slice.+state.+changed )|(ment ac)|(system.+state.+changed )|(\[timeout)|(PRM\|1\|D)|(kpr)|(kdp)|(\|lc)|(penalty))" /e /r /s</v>
      </c>
      <c r="AG62" s="1" t="str">
        <f t="shared" si="14"/>
        <v>EC</v>
      </c>
      <c r="AH62" s="96" t="str">
        <f t="shared" si="17"/>
        <v>"%USERPROFILE%\Documents\GitHub\eaglep3\Utilities\RefineRTDCRunTimes.py" --tripid 149-07 --locoid 4020 --swversion DE.1.0.7.0 --startMP 204:457 --initTime 2016-10-07T09:37:54 --startdatetime 2016-10-07T09:45:25 --delay 1 --endMP 204:233293 --enddatetime 2016-10-07T10:22:07 --enforcementcount 0 &gt;&gt;C:\Users\stu\Documents\GitHub\eaglep3-reporting\EC\2016-10-07-refined-times.txt</v>
      </c>
      <c r="AI62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{"issue":{"subject":"","project_id":79,"tracker_id":40,"status_id":1,"priority_id":2,"assigned_to_id":23,"start_date":"2016-10-07","description":"","custom_fields":[{"id":1,"name":"Subdivision","value":"EC"},{"id":4,"name":"Milepost","value":"23.3293"},{"id":17,"name":"Train ID","value":"149-07"},{"id":16,"name":"Locomotive ID","value":"4020"},{"id":130,"name":"Impact","value":""},{"id":150,"name":"Time of Event (Mountain Time)","value":"10:22:07"},{"id":151,"name":"Denver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442</v>
      </c>
      <c r="B63" s="7">
        <v>4019</v>
      </c>
      <c r="C63" s="24" t="s">
        <v>106</v>
      </c>
      <c r="D63" s="24" t="s">
        <v>256</v>
      </c>
      <c r="E63" s="15">
        <v>42650.434432870374</v>
      </c>
      <c r="F63" s="15">
        <v>42650.446122685185</v>
      </c>
      <c r="G63" s="7">
        <v>1</v>
      </c>
      <c r="H63" s="15" t="s">
        <v>190</v>
      </c>
      <c r="I63" s="15">
        <v>42650.47284722222</v>
      </c>
      <c r="J63" s="7">
        <v>0</v>
      </c>
      <c r="K63" s="117" t="str">
        <f t="shared" si="0"/>
        <v>4019/4020</v>
      </c>
      <c r="L63" s="24" t="str">
        <f>VLOOKUP(A63,'Trips&amp;Operators'!$C$1:$E$10000,3,FALSE)</f>
        <v>BRANNON</v>
      </c>
      <c r="M63" s="6">
        <f t="shared" si="1"/>
        <v>2.6724537034169771E-2</v>
      </c>
      <c r="N63" s="7">
        <f t="shared" si="22"/>
        <v>38.48333332920447</v>
      </c>
      <c r="O63" s="7"/>
      <c r="P63" s="7"/>
      <c r="Q63" s="25"/>
      <c r="R63" s="25"/>
      <c r="S63" s="37">
        <f t="shared" si="23"/>
        <v>1</v>
      </c>
      <c r="T63" s="52" t="str">
        <f t="shared" si="4"/>
        <v>Southbound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09:25:35-0600',mode:absolute,to:'2016-10-07 12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3" s="54" t="str">
        <f t="shared" si="6"/>
        <v>N</v>
      </c>
      <c r="X63" s="164">
        <f t="shared" si="21"/>
        <v>1</v>
      </c>
      <c r="Y63" s="69">
        <f t="shared" si="8"/>
        <v>23.298500000000001</v>
      </c>
      <c r="Z63" s="69">
        <f t="shared" si="9"/>
        <v>1.5800000000000002E-2</v>
      </c>
      <c r="AA63" s="69">
        <f t="shared" si="10"/>
        <v>23.282700000000002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0150-07</v>
      </c>
      <c r="AE63" s="95" t="str">
        <f t="shared" si="12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63" s="92" t="str">
        <f t="shared" si="13"/>
        <v>"C:\Program Files (x86)\AstroGrep\AstroGrep.exe" /spath="%USERPROFILE%\AppData\Local\Temp\OnboardLogs" /stypes="app*4019*20161007*"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6" t="str">
        <f t="shared" si="17"/>
        <v>"%USERPROFILE%\Documents\GitHub\eaglep3\Utilities\RefineRTDCRunTimes.py" --tripid 150-07 --locoid 4019 --swversion DE.1.0.7.0 --startMP 204:232985 --initTime 2016-10-07T10:25:35 --startdatetime 2016-10-07T10:42:25 --delay 1 --endMP 204:158 --enddatetime 2016-10-07T11:20:54 --enforcementcount 0 &gt;&gt;C:\Users\stu\Documents\GitHub\eaglep3-reporting\EC\2016-10-07-refined-times.txt</v>
      </c>
      <c r="AI63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ID","value":"150-07"},{"id":16,"name":"Locomotive ID","value":"4019"},{"id":130,"name":"Impact","value":""},{"id":150,"name":"Time of Event (Mountain Time)","value":"11:20:54"},{"id":151,"name":"Denver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443</v>
      </c>
      <c r="B64" s="7">
        <v>4007</v>
      </c>
      <c r="C64" s="24" t="s">
        <v>106</v>
      </c>
      <c r="D64" s="24" t="s">
        <v>278</v>
      </c>
      <c r="E64" s="15">
        <v>42650.414027777777</v>
      </c>
      <c r="F64" s="15">
        <v>42650.416921296295</v>
      </c>
      <c r="G64" s="7">
        <v>1</v>
      </c>
      <c r="H64" s="15" t="s">
        <v>323</v>
      </c>
      <c r="I64" s="15">
        <v>42650.441111111111</v>
      </c>
      <c r="J64" s="7">
        <v>0</v>
      </c>
      <c r="K64" s="117" t="str">
        <f t="shared" si="0"/>
        <v>4007/4008</v>
      </c>
      <c r="L64" s="24" t="str">
        <f>VLOOKUP(A64,'Trips&amp;Operators'!$C$1:$E$10000,3,FALSE)</f>
        <v>GEBRETEKLE</v>
      </c>
      <c r="M64" s="6">
        <f t="shared" si="1"/>
        <v>2.4189814816054422E-2</v>
      </c>
      <c r="N64" s="7">
        <f t="shared" si="22"/>
        <v>34.833333335118368</v>
      </c>
      <c r="O64" s="7"/>
      <c r="P64" s="7"/>
      <c r="Q64" s="25"/>
      <c r="R64" s="25"/>
      <c r="S64" s="37">
        <f t="shared" si="23"/>
        <v>1</v>
      </c>
      <c r="T64" s="52" t="str">
        <f t="shared" si="4"/>
        <v>NorthBound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08:56:12-0600',mode:absolute,to:'2016-10-07 11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4" s="54" t="str">
        <f t="shared" si="6"/>
        <v>N</v>
      </c>
      <c r="X64" s="164">
        <f t="shared" si="21"/>
        <v>1</v>
      </c>
      <c r="Y64" s="69">
        <f t="shared" si="8"/>
        <v>4.5999999999999999E-2</v>
      </c>
      <c r="Z64" s="69">
        <f t="shared" si="9"/>
        <v>23.330300000000001</v>
      </c>
      <c r="AA64" s="69">
        <f t="shared" si="10"/>
        <v>23.284300000000002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0151-07</v>
      </c>
      <c r="AE64" s="95" t="str">
        <f t="shared" si="12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64" s="92" t="str">
        <f t="shared" si="13"/>
        <v>"C:\Program Files (x86)\AstroGrep\AstroGrep.exe" /spath="%USERPROFILE%\AppData\Local\Temp\OnboardLogs" /stypes="app*4007*20161007*" /stext=" 16:.+((SYSTEM_STATE.+slice.+state.+changed )|(ment ac)|(system.+state.+changed )|(\[timeout)|(PRM\|1\|D)|(kpr)|(kdp)|(\|lc)|(penalty))" /e /r /s</v>
      </c>
      <c r="AG64" s="1" t="str">
        <f t="shared" si="14"/>
        <v>EC</v>
      </c>
      <c r="AH64" s="96" t="str">
        <f t="shared" si="17"/>
        <v>"%USERPROFILE%\Documents\GitHub\eaglep3\Utilities\RefineRTDCRunTimes.py" --tripid 151-07 --locoid 4007 --swversion DE.1.0.7.0 --startMP 204:460 --initTime 2016-10-07T09:56:12 --startdatetime 2016-10-07T10:00:22 --delay 1 --endMP 204:233303 --enddatetime 2016-10-07T10:35:12 --enforcementcount 0 &gt;&gt;C:\Users\stu\Documents\GitHub\eaglep3-reporting\EC\2016-10-07-refined-times.txt</v>
      </c>
      <c r="AI64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{"issue":{"subject":"","project_id":79,"tracker_id":40,"status_id":1,"priority_id":2,"assigned_to_id":23,"start_date":"2016-10-07","description":"","custom_fields":[{"id":1,"name":"Subdivision","value":"EC"},{"id":4,"name":"Milepost","value":"23.3303"},{"id":17,"name":"Train ID","value":"151-07"},{"id":16,"name":"Locomotive ID","value":"4007"},{"id":130,"name":"Impact","value":""},{"id":150,"name":"Time of Event (Mountain Time)","value":"10:35:12"},{"id":151,"name":"Denver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444</v>
      </c>
      <c r="B65" s="7">
        <v>4008</v>
      </c>
      <c r="C65" s="24" t="s">
        <v>106</v>
      </c>
      <c r="D65" s="24" t="s">
        <v>394</v>
      </c>
      <c r="E65" s="15">
        <v>42650.450069444443</v>
      </c>
      <c r="F65" s="15">
        <v>42650.455740740741</v>
      </c>
      <c r="G65" s="7">
        <v>1</v>
      </c>
      <c r="H65" s="15" t="s">
        <v>445</v>
      </c>
      <c r="I65" s="15">
        <v>42650.483113425929</v>
      </c>
      <c r="J65" s="7">
        <v>0</v>
      </c>
      <c r="K65" s="117" t="str">
        <f t="shared" si="0"/>
        <v>4007/4008</v>
      </c>
      <c r="L65" s="24" t="str">
        <f>VLOOKUP(A65,'Trips&amp;Operators'!$C$1:$E$10000,3,FALSE)</f>
        <v>GEBRETEKLE</v>
      </c>
      <c r="M65" s="6">
        <f t="shared" si="1"/>
        <v>2.7372685188311152E-2</v>
      </c>
      <c r="N65" s="7">
        <f t="shared" si="22"/>
        <v>39.416666671168059</v>
      </c>
      <c r="O65" s="7"/>
      <c r="P65" s="7"/>
      <c r="Q65" s="25"/>
      <c r="R65" s="25"/>
      <c r="S65" s="37">
        <f t="shared" si="23"/>
        <v>1</v>
      </c>
      <c r="T65" s="52" t="str">
        <f t="shared" si="4"/>
        <v>Southbound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09:48:06-0600',mode:absolute,to:'2016-10-07 12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5" s="54" t="str">
        <f t="shared" si="6"/>
        <v>N</v>
      </c>
      <c r="X65" s="164">
        <f t="shared" si="21"/>
        <v>1</v>
      </c>
      <c r="Y65" s="69">
        <f t="shared" si="8"/>
        <v>23.299399999999999</v>
      </c>
      <c r="Z65" s="69">
        <f t="shared" si="9"/>
        <v>1.7999999999999999E-2</v>
      </c>
      <c r="AA65" s="69">
        <f t="shared" si="10"/>
        <v>23.281399999999998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0152-07</v>
      </c>
      <c r="AE65" s="95" t="str">
        <f t="shared" si="12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65" s="92" t="str">
        <f t="shared" si="13"/>
        <v>"C:\Program Files (x86)\AstroGrep\AstroGrep.exe" /spath="%USERPROFILE%\AppData\Local\Temp\OnboardLogs" /stypes="app*4008*20161007*"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6" t="str">
        <f t="shared" si="17"/>
        <v>"%USERPROFILE%\Documents\GitHub\eaglep3\Utilities\RefineRTDCRunTimes.py" --tripid 152-07 --locoid 4008 --swversion DE.1.0.7.0 --startMP 204:232994 --initTime 2016-10-07T10:48:06 --startdatetime 2016-10-07T10:56:16 --delay 1 --endMP 204:180 --enddatetime 2016-10-07T11:35:41 --enforcementcount 0 &gt;&gt;C:\Users\stu\Documents\GitHub\eaglep3-reporting\EC\2016-10-07-refined-times.txt</v>
      </c>
      <c r="AI65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{"issue":{"subject":"","project_id":79,"tracker_id":40,"status_id":1,"priority_id":2,"assigned_to_id":23,"start_date":"2016-10-07","description":"","custom_fields":[{"id":1,"name":"Subdivision","value":"EC"},{"id":4,"name":"Milepost","value":"0.018"},{"id":17,"name":"Train ID","value":"152-07"},{"id":16,"name":"Locomotive ID","value":"4008"},{"id":130,"name":"Impact","value":""},{"id":150,"name":"Time of Event (Mountain Time)","value":"11:35:41"},{"id":151,"name":"Denver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446</v>
      </c>
      <c r="B66" s="7">
        <v>4042</v>
      </c>
      <c r="C66" s="24" t="s">
        <v>106</v>
      </c>
      <c r="D66" s="24" t="s">
        <v>216</v>
      </c>
      <c r="E66" s="15">
        <v>42650.423368055555</v>
      </c>
      <c r="F66" s="15">
        <v>42650.42728009259</v>
      </c>
      <c r="G66" s="7">
        <v>1</v>
      </c>
      <c r="H66" s="15" t="s">
        <v>447</v>
      </c>
      <c r="I66" s="15">
        <v>42650.452222222222</v>
      </c>
      <c r="J66" s="7">
        <v>0</v>
      </c>
      <c r="K66" s="117" t="str">
        <f t="shared" si="0"/>
        <v>4041/4042</v>
      </c>
      <c r="L66" s="24" t="str">
        <f>VLOOKUP(A66,'Trips&amp;Operators'!$C$1:$E$10000,3,FALSE)</f>
        <v>SPECTOR</v>
      </c>
      <c r="M66" s="6">
        <f t="shared" si="1"/>
        <v>2.4942129632108845E-2</v>
      </c>
      <c r="N66" s="7">
        <f t="shared" si="22"/>
        <v>35.916666670236737</v>
      </c>
      <c r="O66" s="7"/>
      <c r="P66" s="7"/>
      <c r="Q66" s="25"/>
      <c r="R66" s="25"/>
      <c r="S66" s="37">
        <f t="shared" si="23"/>
        <v>1</v>
      </c>
      <c r="T66" s="52" t="str">
        <f t="shared" si="4"/>
        <v>NorthBound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09:09:39-0600',mode:absolute,to:'2016-10-07 11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6" s="54" t="str">
        <f t="shared" si="6"/>
        <v>N</v>
      </c>
      <c r="X66" s="164">
        <f t="shared" si="21"/>
        <v>1</v>
      </c>
      <c r="Y66" s="69">
        <f t="shared" si="8"/>
        <v>4.6399999999999997E-2</v>
      </c>
      <c r="Z66" s="69">
        <f t="shared" si="9"/>
        <v>23.328099999999999</v>
      </c>
      <c r="AA66" s="69">
        <f t="shared" si="10"/>
        <v>23.281700000000001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0153-07</v>
      </c>
      <c r="AE66" s="95" t="str">
        <f t="shared" si="12"/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66" s="92" t="str">
        <f t="shared" si="13"/>
        <v>"C:\Program Files (x86)\AstroGrep\AstroGrep.exe" /spath="%USERPROFILE%\AppData\Local\Temp\OnboardLogs" /stypes="app*4042*20161007*" /stext=" 16:.+((SYSTEM_STATE.+slice.+state.+changed )|(ment ac)|(system.+state.+changed )|(\[timeout)|(PRM\|1\|D)|(kpr)|(kdp)|(\|lc)|(penalty))" /e /r /s</v>
      </c>
      <c r="AG66" s="1" t="str">
        <f t="shared" si="14"/>
        <v>EC</v>
      </c>
      <c r="AH66" s="96" t="str">
        <f t="shared" si="17"/>
        <v>"%USERPROFILE%\Documents\GitHub\eaglep3\Utilities\RefineRTDCRunTimes.py" --tripid 153-07 --locoid 4042 --swversion DE.1.0.7.0 --startMP 204:464 --initTime 2016-10-07T10:09:39 --startdatetime 2016-10-07T10:15:17 --delay 1 --endMP 204:233281 --enddatetime 2016-10-07T10:51:12 --enforcementcount 0 &gt;&gt;C:\Users\stu\Documents\GitHub\eaglep3-reporting\EC\2016-10-07-refined-times.txt</v>
      </c>
      <c r="AI66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{"issue":{"subject":"","project_id":79,"tracker_id":40,"status_id":1,"priority_id":2,"assigned_to_id":23,"start_date":"2016-10-07","description":"","custom_fields":[{"id":1,"name":"Subdivision","value":"EC"},{"id":4,"name":"Milepost","value":"23.3281"},{"id":17,"name":"Train ID","value":"153-07"},{"id":16,"name":"Locomotive ID","value":"4042"},{"id":130,"name":"Impact","value":""},{"id":150,"name":"Time of Event (Mountain Time)","value":"10:51:12"},{"id":151,"name":"Denver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448</v>
      </c>
      <c r="B67" s="7">
        <v>4041</v>
      </c>
      <c r="C67" s="24" t="s">
        <v>106</v>
      </c>
      <c r="D67" s="24" t="s">
        <v>290</v>
      </c>
      <c r="E67" s="15">
        <v>42650.459050925929</v>
      </c>
      <c r="F67" s="15">
        <v>42650.466203703705</v>
      </c>
      <c r="G67" s="7">
        <v>1</v>
      </c>
      <c r="H67" s="15" t="s">
        <v>206</v>
      </c>
      <c r="I67" s="15">
        <v>42650.493425925924</v>
      </c>
      <c r="J67" s="7">
        <v>0</v>
      </c>
      <c r="K67" s="117" t="str">
        <f t="shared" si="0"/>
        <v>4041/4042</v>
      </c>
      <c r="L67" s="24" t="str">
        <f>VLOOKUP(A67,'Trips&amp;Operators'!$C$1:$E$10000,3,FALSE)</f>
        <v>SPECTOR</v>
      </c>
      <c r="M67" s="6">
        <f t="shared" si="1"/>
        <v>2.7222222219279502E-2</v>
      </c>
      <c r="N67" s="7">
        <f t="shared" si="22"/>
        <v>39.199999995762482</v>
      </c>
      <c r="O67" s="7"/>
      <c r="P67" s="7"/>
      <c r="Q67" s="25"/>
      <c r="R67" s="25"/>
      <c r="S67" s="37">
        <f t="shared" si="23"/>
        <v>1</v>
      </c>
      <c r="T67" s="52" t="str">
        <f t="shared" si="4"/>
        <v>Southbound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10:01:02-0600',mode:absolute,to:'2016-10-07 12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7" s="54" t="str">
        <f t="shared" si="6"/>
        <v>N</v>
      </c>
      <c r="X67" s="164">
        <f t="shared" si="21"/>
        <v>1</v>
      </c>
      <c r="Y67" s="69">
        <f t="shared" si="8"/>
        <v>23.297599999999999</v>
      </c>
      <c r="Z67" s="69">
        <f t="shared" si="9"/>
        <v>1.5599999999999999E-2</v>
      </c>
      <c r="AA67" s="69">
        <f t="shared" si="10"/>
        <v>23.282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0154-07</v>
      </c>
      <c r="AE67" s="95" t="str">
        <f t="shared" si="12"/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67" s="92" t="str">
        <f t="shared" si="13"/>
        <v>"C:\Program Files (x86)\AstroGrep\AstroGrep.exe" /spath="%USERPROFILE%\AppData\Local\Temp\OnboardLogs" /stypes="app*4041*20161007*"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6" t="str">
        <f t="shared" si="17"/>
        <v>"%USERPROFILE%\Documents\GitHub\eaglep3\Utilities\RefineRTDCRunTimes.py" --tripid 154-07 --locoid 4041 --swversion DE.1.0.7.0 --startMP 204:232976 --initTime 2016-10-07T11:01:02 --startdatetime 2016-10-07T11:11:20 --delay 1 --endMP 204:156 --enddatetime 2016-10-07T11:50:32 --enforcementcount 0 &gt;&gt;C:\Users\stu\Documents\GitHub\eaglep3-reporting\EC\2016-10-07-refined-times.txt</v>
      </c>
      <c r="AI67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ID","value":"154-07"},{"id":16,"name":"Locomotive ID","value":"4041"},{"id":130,"name":"Impact","value":""},{"id":150,"name":"Time of Event (Mountain Time)","value":"11:50:32"},{"id":151,"name":"Denver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449</v>
      </c>
      <c r="B68" s="7">
        <v>4038</v>
      </c>
      <c r="C68" s="24" t="s">
        <v>106</v>
      </c>
      <c r="D68" s="24" t="s">
        <v>199</v>
      </c>
      <c r="E68" s="15">
        <v>42650.433020833334</v>
      </c>
      <c r="F68" s="15">
        <v>42650.437951388885</v>
      </c>
      <c r="G68" s="7">
        <v>2</v>
      </c>
      <c r="H68" s="15" t="s">
        <v>223</v>
      </c>
      <c r="I68" s="15">
        <v>42650.464722222219</v>
      </c>
      <c r="J68" s="7">
        <v>0</v>
      </c>
      <c r="K68" s="117" t="str">
        <f t="shared" si="0"/>
        <v>4037/4038</v>
      </c>
      <c r="L68" s="24" t="str">
        <f>VLOOKUP(A68,'Trips&amp;Operators'!$C$1:$E$10000,3,FALSE)</f>
        <v>STRICKLAND</v>
      </c>
      <c r="M68" s="6">
        <f t="shared" si="1"/>
        <v>2.6770833334012423E-2</v>
      </c>
      <c r="N68" s="7">
        <f t="shared" si="22"/>
        <v>38.550000000977889</v>
      </c>
      <c r="O68" s="7"/>
      <c r="P68" s="7"/>
      <c r="Q68" s="25"/>
      <c r="R68" s="25"/>
      <c r="S68" s="37">
        <f t="shared" si="23"/>
        <v>1</v>
      </c>
      <c r="T68" s="52" t="str">
        <f t="shared" si="4"/>
        <v>NorthBound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09:23:33-0600',mode:absolute,to:'2016-10-07 12:09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8" s="54" t="str">
        <f t="shared" si="6"/>
        <v>N</v>
      </c>
      <c r="X68" s="164">
        <f t="shared" si="21"/>
        <v>1</v>
      </c>
      <c r="Y68" s="69">
        <f t="shared" si="8"/>
        <v>4.5499999999999999E-2</v>
      </c>
      <c r="Z68" s="69">
        <f t="shared" si="9"/>
        <v>23.3293</v>
      </c>
      <c r="AA68" s="69">
        <f t="shared" si="10"/>
        <v>23.283799999999999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0155-07</v>
      </c>
      <c r="AE68" s="95" t="str">
        <f t="shared" si="12"/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68" s="92" t="str">
        <f t="shared" si="13"/>
        <v>"C:\Program Files (x86)\AstroGrep\AstroGrep.exe" /spath="%USERPROFILE%\AppData\Local\Temp\OnboardLogs" /stypes="app*4038*20161007*"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6" t="str">
        <f t="shared" si="17"/>
        <v>"%USERPROFILE%\Documents\GitHub\eaglep3\Utilities\RefineRTDCRunTimes.py" --tripid 155-07 --locoid 4038 --swversion DE.1.0.7.0 --startMP 204:455 --initTime 2016-10-07T10:23:33 --startdatetime 2016-10-07T10:30:39 --delay 2 --endMP 204:233293 --enddatetime 2016-10-07T11:09:12 --enforcementcount 0 &gt;&gt;C:\Users\stu\Documents\GitHub\eaglep3-reporting\EC\2016-10-07-refined-times.txt</v>
      </c>
      <c r="AI68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{"issue":{"subject":"","project_id":79,"tracker_id":40,"status_id":1,"priority_id":2,"assigned_to_id":23,"start_date":"2016-10-07","description":"","custom_fields":[{"id":1,"name":"Subdivision","value":"EC"},{"id":4,"name":"Milepost","value":"23.3293"},{"id":17,"name":"Train ID","value":"155-07"},{"id":16,"name":"Locomotive ID","value":"4038"},{"id":130,"name":"Impact","value":""},{"id":150,"name":"Time of Event (Mountain Time)","value":"11:09:12"},{"id":151,"name":"Denver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450</v>
      </c>
      <c r="B69" s="7">
        <v>4037</v>
      </c>
      <c r="C69" s="24" t="s">
        <v>106</v>
      </c>
      <c r="D69" s="24" t="s">
        <v>253</v>
      </c>
      <c r="E69" s="15">
        <v>42650.470555555556</v>
      </c>
      <c r="F69" s="15">
        <v>42650.476875</v>
      </c>
      <c r="G69" s="7">
        <v>1</v>
      </c>
      <c r="H69" s="15" t="s">
        <v>193</v>
      </c>
      <c r="I69" s="15">
        <v>42650.504537037035</v>
      </c>
      <c r="J69" s="7">
        <v>0</v>
      </c>
      <c r="K69" s="117" t="str">
        <f t="shared" si="0"/>
        <v>4037/4038</v>
      </c>
      <c r="L69" s="24" t="str">
        <f>VLOOKUP(A69,'Trips&amp;Operators'!$C$1:$E$10000,3,FALSE)</f>
        <v>STRICKLAND</v>
      </c>
      <c r="M69" s="6">
        <f t="shared" si="1"/>
        <v>2.7662037035042886E-2</v>
      </c>
      <c r="N69" s="7">
        <f t="shared" si="22"/>
        <v>39.833333330461755</v>
      </c>
      <c r="O69" s="7"/>
      <c r="P69" s="7"/>
      <c r="Q69" s="25"/>
      <c r="R69" s="25"/>
      <c r="S69" s="37">
        <f t="shared" si="23"/>
        <v>1</v>
      </c>
      <c r="T69" s="52" t="str">
        <f t="shared" si="4"/>
        <v>Southbound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10:17:36-0600',mode:absolute,to:'2016-10-07 13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9" s="54" t="str">
        <f t="shared" si="6"/>
        <v>N</v>
      </c>
      <c r="X69" s="164">
        <f t="shared" si="21"/>
        <v>1</v>
      </c>
      <c r="Y69" s="69">
        <f t="shared" si="8"/>
        <v>23.297499999999999</v>
      </c>
      <c r="Z69" s="69">
        <f t="shared" si="9"/>
        <v>1.4999999999999999E-2</v>
      </c>
      <c r="AA69" s="69">
        <f t="shared" si="10"/>
        <v>23.282499999999999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0156-07</v>
      </c>
      <c r="AE69" s="95" t="str">
        <f t="shared" si="12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69" s="92" t="str">
        <f t="shared" si="13"/>
        <v>"C:\Program Files (x86)\AstroGrep\AstroGrep.exe" /spath="%USERPROFILE%\AppData\Local\Temp\OnboardLogs" /stypes="app*4037*20161007*"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6" t="str">
        <f t="shared" si="17"/>
        <v>"%USERPROFILE%\Documents\GitHub\eaglep3\Utilities\RefineRTDCRunTimes.py" --tripid 156-07 --locoid 4037 --swversion DE.1.0.7.0 --startMP 204:232975 --initTime 2016-10-07T11:17:36 --startdatetime 2016-10-07T11:26:42 --delay 1 --endMP 204:150 --enddatetime 2016-10-07T12:06:32 --enforcementcount 0 &gt;&gt;C:\Users\stu\Documents\GitHub\eaglep3-reporting\EC\2016-10-07-refined-times.txt</v>
      </c>
      <c r="AI69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{"issue":{"subject":"","project_id":79,"tracker_id":40,"status_id":1,"priority_id":2,"assigned_to_id":23,"start_date":"2016-10-07","description":"","custom_fields":[{"id":1,"name":"Subdivision","value":"EC"},{"id":4,"name":"Milepost","value":"0.015"},{"id":17,"name":"Train ID","value":"156-07"},{"id":16,"name":"Locomotive ID","value":"4037"},{"id":130,"name":"Impact","value":""},{"id":150,"name":"Time of Event (Mountain Time)","value":"12:06:32"},{"id":151,"name":"Denver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451</v>
      </c>
      <c r="B70" s="7">
        <v>4003</v>
      </c>
      <c r="C70" s="24" t="s">
        <v>106</v>
      </c>
      <c r="D70" s="24" t="s">
        <v>199</v>
      </c>
      <c r="E70" s="15">
        <v>42650.444050925929</v>
      </c>
      <c r="F70" s="15">
        <v>42650.448391203703</v>
      </c>
      <c r="G70" s="7">
        <v>1</v>
      </c>
      <c r="H70" s="15" t="s">
        <v>452</v>
      </c>
      <c r="I70" s="15">
        <v>42650.474548611113</v>
      </c>
      <c r="J70" s="7">
        <v>0</v>
      </c>
      <c r="K70" s="117" t="str">
        <f t="shared" si="0"/>
        <v>4003/4004</v>
      </c>
      <c r="L70" s="24" t="str">
        <f>VLOOKUP(A70,'Trips&amp;Operators'!$C$1:$E$10000,3,FALSE)</f>
        <v>ROCHA</v>
      </c>
      <c r="M70" s="6">
        <f t="shared" si="1"/>
        <v>2.6157407410209998E-2</v>
      </c>
      <c r="N70" s="7">
        <f t="shared" si="22"/>
        <v>37.666666670702398</v>
      </c>
      <c r="O70" s="7"/>
      <c r="P70" s="7"/>
      <c r="Q70" s="25"/>
      <c r="R70" s="25"/>
      <c r="S70" s="37">
        <f t="shared" si="23"/>
        <v>1</v>
      </c>
      <c r="T70" s="52" t="str">
        <f t="shared" si="4"/>
        <v>NorthBound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09:39:26-0600',mode:absolute,to:'2016-10-07 12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0" s="54" t="str">
        <f t="shared" si="6"/>
        <v>N</v>
      </c>
      <c r="X70" s="164">
        <f t="shared" si="21"/>
        <v>1</v>
      </c>
      <c r="Y70" s="69">
        <f t="shared" si="8"/>
        <v>4.5499999999999999E-2</v>
      </c>
      <c r="Z70" s="69">
        <f t="shared" si="9"/>
        <v>23.325700000000001</v>
      </c>
      <c r="AA70" s="69">
        <f t="shared" si="10"/>
        <v>23.280200000000001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0157-07</v>
      </c>
      <c r="AE70" s="95" t="str">
        <f t="shared" si="12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70" s="92" t="str">
        <f t="shared" si="13"/>
        <v>"C:\Program Files (x86)\AstroGrep\AstroGrep.exe" /spath="%USERPROFILE%\AppData\Local\Temp\OnboardLogs" /stypes="app*4003*20161007*" /stext=" 17:.+((SYSTEM_STATE.+slice.+state.+changed )|(ment ac)|(system.+state.+changed )|(\[timeout)|(PRM\|1\|D)|(kpr)|(kdp)|(\|lc)|(penalty))" /e /r /s</v>
      </c>
      <c r="AG70" s="1" t="str">
        <f t="shared" si="14"/>
        <v>EC</v>
      </c>
      <c r="AH70" s="96" t="str">
        <f t="shared" si="17"/>
        <v>"%USERPROFILE%\Documents\GitHub\eaglep3\Utilities\RefineRTDCRunTimes.py" --tripid 157-07 --locoid 4003 --swversion DE.1.0.7.0 --startMP 204:455 --initTime 2016-10-07T10:39:26 --startdatetime 2016-10-07T10:45:41 --delay 1 --endMP 204:233257 --enddatetime 2016-10-07T11:23:21 --enforcementcount 0 &gt;&gt;C:\Users\stu\Documents\GitHub\eaglep3-reporting\EC\2016-10-07-refined-times.txt</v>
      </c>
      <c r="AI70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{"issue":{"subject":"","project_id":79,"tracker_id":40,"status_id":1,"priority_id":2,"assigned_to_id":23,"start_date":"2016-10-07","description":"","custom_fields":[{"id":1,"name":"Subdivision","value":"EC"},{"id":4,"name":"Milepost","value":"23.3257"},{"id":17,"name":"Train ID","value":"157-07"},{"id":16,"name":"Locomotive ID","value":"4003"},{"id":130,"name":"Impact","value":""},{"id":150,"name":"Time of Event (Mountain Time)","value":"11:23:21"},{"id":151,"name":"Denver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453</v>
      </c>
      <c r="B71" s="7">
        <v>4004</v>
      </c>
      <c r="C71" s="24" t="s">
        <v>106</v>
      </c>
      <c r="D71" s="24" t="s">
        <v>454</v>
      </c>
      <c r="E71" s="15">
        <v>42650.477442129632</v>
      </c>
      <c r="F71" s="15">
        <v>42650.487222222226</v>
      </c>
      <c r="G71" s="7">
        <v>1</v>
      </c>
      <c r="H71" s="15" t="s">
        <v>209</v>
      </c>
      <c r="I71" s="15">
        <v>42650.513842592591</v>
      </c>
      <c r="J71" s="7">
        <v>0</v>
      </c>
      <c r="K71" s="117" t="str">
        <f t="shared" si="0"/>
        <v>4003/4004</v>
      </c>
      <c r="L71" s="24" t="str">
        <f>VLOOKUP(A71,'Trips&amp;Operators'!$C$1:$E$10000,3,FALSE)</f>
        <v>ROCHA</v>
      </c>
      <c r="M71" s="6">
        <f t="shared" si="1"/>
        <v>2.6620370364980772E-2</v>
      </c>
      <c r="N71" s="7">
        <f t="shared" si="22"/>
        <v>38.333333325572312</v>
      </c>
      <c r="O71" s="7"/>
      <c r="P71" s="7"/>
      <c r="Q71" s="25"/>
      <c r="R71" s="25"/>
      <c r="S71" s="37">
        <f t="shared" si="23"/>
        <v>1</v>
      </c>
      <c r="T71" s="52" t="str">
        <f t="shared" si="4"/>
        <v>Southbound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10:27:31-0600',mode:absolute,to:'2016-10-07 13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1" s="54" t="str">
        <f t="shared" si="6"/>
        <v>N</v>
      </c>
      <c r="X71" s="164">
        <f t="shared" si="21"/>
        <v>1</v>
      </c>
      <c r="Y71" s="69">
        <f t="shared" si="8"/>
        <v>23.296199999999999</v>
      </c>
      <c r="Z71" s="69">
        <f t="shared" si="9"/>
        <v>1.4500000000000001E-2</v>
      </c>
      <c r="AA71" s="69">
        <f t="shared" si="10"/>
        <v>23.281699999999997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0158-07</v>
      </c>
      <c r="AE71" s="95" t="str">
        <f t="shared" si="12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71" s="92" t="str">
        <f t="shared" si="13"/>
        <v>"C:\Program Files (x86)\AstroGrep\AstroGrep.exe" /spath="%USERPROFILE%\AppData\Local\Temp\OnboardLogs" /stypes="app*4004*20161007*"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6" t="str">
        <f t="shared" si="17"/>
        <v>"%USERPROFILE%\Documents\GitHub\eaglep3\Utilities\RefineRTDCRunTimes.py" --tripid 158-07 --locoid 4004 --swversion DE.1.0.7.0 --startMP 204:232962 --initTime 2016-10-07T11:27:31 --startdatetime 2016-10-07T11:41:36 --delay 1 --endMP 204:145 --enddatetime 2016-10-07T12:19:56 --enforcementcount 0 &gt;&gt;C:\Users\stu\Documents\GitHub\eaglep3-reporting\EC\2016-10-07-refined-times.txt</v>
      </c>
      <c r="AI71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ID","value":"158-07"},{"id":16,"name":"Locomotive ID","value":"4004"},{"id":130,"name":"Impact","value":""},{"id":150,"name":"Time of Event (Mountain Time)","value":"12:19:56"},{"id":151,"name":"Denver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455</v>
      </c>
      <c r="B72" s="7">
        <v>4018</v>
      </c>
      <c r="C72" s="24" t="s">
        <v>106</v>
      </c>
      <c r="D72" s="24" t="s">
        <v>192</v>
      </c>
      <c r="E72" s="15">
        <v>42650.454398148147</v>
      </c>
      <c r="F72" s="15">
        <v>42650.458715277775</v>
      </c>
      <c r="G72" s="7">
        <v>2</v>
      </c>
      <c r="H72" s="15" t="s">
        <v>328</v>
      </c>
      <c r="I72" s="15">
        <v>42650.484502314815</v>
      </c>
      <c r="J72" s="7">
        <v>0</v>
      </c>
      <c r="K72" s="117" t="str">
        <f t="shared" si="0"/>
        <v>4017/4018</v>
      </c>
      <c r="L72" s="24" t="str">
        <f>VLOOKUP(A72,'Trips&amp;Operators'!$C$1:$E$10000,3,FALSE)</f>
        <v>STEWART</v>
      </c>
      <c r="M72" s="6">
        <f t="shared" si="1"/>
        <v>2.5787037040572613E-2</v>
      </c>
      <c r="N72" s="7">
        <f t="shared" si="22"/>
        <v>37.133333338424563</v>
      </c>
      <c r="O72" s="7"/>
      <c r="P72" s="7"/>
      <c r="Q72" s="25"/>
      <c r="R72" s="25"/>
      <c r="S72" s="37">
        <f t="shared" si="23"/>
        <v>1</v>
      </c>
      <c r="T72" s="52" t="str">
        <f t="shared" si="4"/>
        <v>NorthBound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09:54:20-0600',mode:absolute,to:'2016-10-07 12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2" s="54" t="str">
        <f t="shared" si="6"/>
        <v>N</v>
      </c>
      <c r="X72" s="164">
        <f t="shared" si="21"/>
        <v>1</v>
      </c>
      <c r="Y72" s="69">
        <f t="shared" si="8"/>
        <v>4.53E-2</v>
      </c>
      <c r="Z72" s="69">
        <f t="shared" si="9"/>
        <v>23.331099999999999</v>
      </c>
      <c r="AA72" s="69">
        <f t="shared" si="10"/>
        <v>23.285799999999998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0159-07</v>
      </c>
      <c r="AE72" s="95" t="str">
        <f t="shared" si="12"/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72" s="92" t="str">
        <f t="shared" si="13"/>
        <v>"C:\Program Files (x86)\AstroGrep\AstroGrep.exe" /spath="%USERPROFILE%\AppData\Local\Temp\OnboardLogs" /stypes="app*4018*20161007*" /stext=" 17:.+((SYSTEM_STATE.+slice.+state.+changed )|(ment ac)|(system.+state.+changed )|(\[timeout)|(PRM\|1\|D)|(kpr)|(kdp)|(\|lc)|(penalty))" /e /r /s</v>
      </c>
      <c r="AG72" s="1" t="str">
        <f t="shared" si="14"/>
        <v>EC</v>
      </c>
      <c r="AH72" s="96" t="str">
        <f t="shared" si="17"/>
        <v>"%USERPROFILE%\Documents\GitHub\eaglep3\Utilities\RefineRTDCRunTimes.py" --tripid 159-07 --locoid 4018 --swversion DE.1.0.7.0 --startMP 204:453 --initTime 2016-10-07T10:54:20 --startdatetime 2016-10-07T11:00:33 --delay 2 --endMP 204:233311 --enddatetime 2016-10-07T11:37:41 --enforcementcount 0 &gt;&gt;C:\Users\stu\Documents\GitHub\eaglep3-reporting\EC\2016-10-07-refined-times.txt</v>
      </c>
      <c r="AI72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{"issue":{"subject":"","project_id":79,"tracker_id":40,"status_id":1,"priority_id":2,"assigned_to_id":23,"start_date":"2016-10-07","description":"","custom_fields":[{"id":1,"name":"Subdivision","value":"EC"},{"id":4,"name":"Milepost","value":"23.3311"},{"id":17,"name":"Train ID","value":"159-07"},{"id":16,"name":"Locomotive ID","value":"4018"},{"id":130,"name":"Impact","value":""},{"id":150,"name":"Time of Event (Mountain Time)","value":"11:37:41"},{"id":151,"name":"Denver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456</v>
      </c>
      <c r="B73" s="7">
        <v>4017</v>
      </c>
      <c r="C73" s="24" t="s">
        <v>106</v>
      </c>
      <c r="D73" s="24" t="s">
        <v>217</v>
      </c>
      <c r="E73" s="15">
        <v>42650.493923611109</v>
      </c>
      <c r="F73" s="15">
        <v>42650.497719907406</v>
      </c>
      <c r="G73" s="7">
        <v>2</v>
      </c>
      <c r="H73" s="15" t="s">
        <v>457</v>
      </c>
      <c r="I73" s="15">
        <v>42650.525300925925</v>
      </c>
      <c r="J73" s="7">
        <v>0</v>
      </c>
      <c r="K73" s="117" t="str">
        <f t="shared" si="0"/>
        <v>4017/4018</v>
      </c>
      <c r="L73" s="24" t="str">
        <f>VLOOKUP(A73,'Trips&amp;Operators'!$C$1:$E$10000,3,FALSE)</f>
        <v>STEWART</v>
      </c>
      <c r="M73" s="6">
        <f t="shared" si="1"/>
        <v>2.7581018519413192E-2</v>
      </c>
      <c r="N73" s="7">
        <f t="shared" si="22"/>
        <v>39.716666667954996</v>
      </c>
      <c r="O73" s="7"/>
      <c r="P73" s="7"/>
      <c r="Q73" s="25"/>
      <c r="R73" s="25"/>
      <c r="S73" s="37">
        <f t="shared" si="23"/>
        <v>1</v>
      </c>
      <c r="T73" s="52" t="str">
        <f t="shared" si="4"/>
        <v>Southbound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10:51:15-0600',mode:absolute,to:'2016-10-07 13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3" s="54" t="str">
        <f t="shared" si="6"/>
        <v>N</v>
      </c>
      <c r="X73" s="164">
        <f t="shared" si="21"/>
        <v>1</v>
      </c>
      <c r="Y73" s="69">
        <f t="shared" si="8"/>
        <v>23.297699999999999</v>
      </c>
      <c r="Z73" s="69">
        <f t="shared" si="9"/>
        <v>2.3199999999999998E-2</v>
      </c>
      <c r="AA73" s="69">
        <f t="shared" si="10"/>
        <v>23.2745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0160-07</v>
      </c>
      <c r="AE73" s="95" t="str">
        <f t="shared" si="12"/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73" s="92" t="str">
        <f t="shared" si="13"/>
        <v>"C:\Program Files (x86)\AstroGrep\AstroGrep.exe" /spath="%USERPROFILE%\AppData\Local\Temp\OnboardLogs" /stypes="app*4017*20161007*"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6" t="str">
        <f t="shared" si="17"/>
        <v>"%USERPROFILE%\Documents\GitHub\eaglep3\Utilities\RefineRTDCRunTimes.py" --tripid 160-07 --locoid 4017 --swversion DE.1.0.7.0 --startMP 204:232977 --initTime 2016-10-07T11:51:15 --startdatetime 2016-10-07T11:56:43 --delay 2 --endMP 204:232 --enddatetime 2016-10-07T12:36:26 --enforcementcount 0 &gt;&gt;C:\Users\stu\Documents\GitHub\eaglep3-reporting\EC\2016-10-07-refined-times.txt</v>
      </c>
      <c r="AI73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{"issue":{"subject":"","project_id":79,"tracker_id":40,"status_id":1,"priority_id":2,"assigned_to_id":23,"start_date":"2016-10-07","description":"","custom_fields":[{"id":1,"name":"Subdivision","value":"EC"},{"id":4,"name":"Milepost","value":"0.0232"},{"id":17,"name":"Train ID","value":"160-07"},{"id":16,"name":"Locomotive ID","value":"4017"},{"id":130,"name":"Impact","value":""},{"id":150,"name":"Time of Event (Mountain Time)","value":"12:36:26"},{"id":151,"name":"Denver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458</v>
      </c>
      <c r="B74" s="7">
        <v>4046</v>
      </c>
      <c r="C74" s="24" t="s">
        <v>106</v>
      </c>
      <c r="D74" s="24" t="s">
        <v>199</v>
      </c>
      <c r="E74" s="15">
        <v>42650.463888888888</v>
      </c>
      <c r="F74" s="15">
        <v>42650.468923611108</v>
      </c>
      <c r="G74" s="7">
        <v>1</v>
      </c>
      <c r="H74" s="15" t="s">
        <v>249</v>
      </c>
      <c r="I74" s="15">
        <v>42650.494629629633</v>
      </c>
      <c r="J74" s="7">
        <v>0</v>
      </c>
      <c r="K74" s="117" t="str">
        <f t="shared" si="0"/>
        <v>4045/4046</v>
      </c>
      <c r="L74" s="24" t="str">
        <f>VLOOKUP(A74,'Trips&amp;Operators'!$C$1:$E$10000,3,FALSE)</f>
        <v>CLARK</v>
      </c>
      <c r="M74" s="6">
        <f t="shared" si="1"/>
        <v>2.570601852494292E-2</v>
      </c>
      <c r="N74" s="7">
        <f t="shared" si="22"/>
        <v>37.016666675917804</v>
      </c>
      <c r="O74" s="7"/>
      <c r="P74" s="7"/>
      <c r="Q74" s="25"/>
      <c r="R74" s="25"/>
      <c r="S74" s="37">
        <f t="shared" si="23"/>
        <v>1</v>
      </c>
      <c r="T74" s="52" t="str">
        <f t="shared" si="4"/>
        <v>NorthBound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10:08:00-0600',mode:absolute,to:'2016-10-07 12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4" s="54" t="str">
        <f t="shared" si="6"/>
        <v>N</v>
      </c>
      <c r="X74" s="164">
        <f t="shared" si="21"/>
        <v>1</v>
      </c>
      <c r="Y74" s="69">
        <f t="shared" si="8"/>
        <v>4.5499999999999999E-2</v>
      </c>
      <c r="Z74" s="69">
        <f t="shared" si="9"/>
        <v>23.329699999999999</v>
      </c>
      <c r="AA74" s="69">
        <f t="shared" si="10"/>
        <v>23.284199999999998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0161-07</v>
      </c>
      <c r="AE74" s="95" t="str">
        <f t="shared" si="12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74" s="92" t="str">
        <f t="shared" si="13"/>
        <v>"C:\Program Files (x86)\AstroGrep\AstroGrep.exe" /spath="%USERPROFILE%\AppData\Local\Temp\OnboardLogs" /stypes="app*4046*20161007*" /stext=" 17:.+((SYSTEM_STATE.+slice.+state.+changed )|(ment ac)|(system.+state.+changed )|(\[timeout)|(PRM\|1\|D)|(kpr)|(kdp)|(\|lc)|(penalty))" /e /r /s</v>
      </c>
      <c r="AG74" s="1" t="str">
        <f t="shared" si="14"/>
        <v>EC</v>
      </c>
      <c r="AH74" s="96" t="str">
        <f t="shared" si="17"/>
        <v>"%USERPROFILE%\Documents\GitHub\eaglep3\Utilities\RefineRTDCRunTimes.py" --tripid 161-07 --locoid 4046 --swversion DE.1.0.7.0 --startMP 204:455 --initTime 2016-10-07T11:08:00 --startdatetime 2016-10-07T11:15:15 --delay 1 --endMP 204:233297 --enddatetime 2016-10-07T11:52:16 --enforcementcount 0 &gt;&gt;C:\Users\stu\Documents\GitHub\eaglep3-reporting\EC\2016-10-07-refined-times.txt</v>
      </c>
      <c r="AI74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{"issue":{"subject":"","project_id":79,"tracker_id":40,"status_id":1,"priority_id":2,"assigned_to_id":23,"start_date":"2016-10-07","description":"","custom_fields":[{"id":1,"name":"Subdivision","value":"EC"},{"id":4,"name":"Milepost","value":"23.3297"},{"id":17,"name":"Train ID","value":"161-07"},{"id":16,"name":"Locomotive ID","value":"4046"},{"id":130,"name":"Impact","value":""},{"id":150,"name":"Time of Event (Mountain Time)","value":"11:52:16"},{"id":151,"name":"Denver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459</v>
      </c>
      <c r="B75" s="7">
        <v>4045</v>
      </c>
      <c r="C75" s="24" t="s">
        <v>106</v>
      </c>
      <c r="D75" s="24" t="s">
        <v>276</v>
      </c>
      <c r="E75" s="15">
        <v>42650.501423611109</v>
      </c>
      <c r="F75" s="15">
        <v>42650.507974537039</v>
      </c>
      <c r="G75" s="7">
        <v>1</v>
      </c>
      <c r="H75" s="15" t="s">
        <v>193</v>
      </c>
      <c r="I75" s="15">
        <v>42650.536180555559</v>
      </c>
      <c r="J75" s="7">
        <v>0</v>
      </c>
      <c r="K75" s="117" t="str">
        <f t="shared" si="0"/>
        <v>4045/4046</v>
      </c>
      <c r="L75" s="24" t="str">
        <f>VLOOKUP(A75,'Trips&amp;Operators'!$C$1:$E$10000,3,FALSE)</f>
        <v>CLARK</v>
      </c>
      <c r="M75" s="6">
        <f t="shared" si="1"/>
        <v>2.8206018519995268E-2</v>
      </c>
      <c r="N75" s="7">
        <f t="shared" si="22"/>
        <v>40.616666668793187</v>
      </c>
      <c r="O75" s="7"/>
      <c r="P75" s="7"/>
      <c r="Q75" s="25"/>
      <c r="R75" s="25"/>
      <c r="S75" s="37">
        <f t="shared" si="23"/>
        <v>1</v>
      </c>
      <c r="T75" s="52" t="str">
        <f t="shared" si="4"/>
        <v>Southbound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11:02:03-0600',mode:absolute,to:'2016-10-07 13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5" s="54" t="str">
        <f t="shared" si="6"/>
        <v>N</v>
      </c>
      <c r="X75" s="164">
        <f t="shared" si="21"/>
        <v>1</v>
      </c>
      <c r="Y75" s="69">
        <f t="shared" si="8"/>
        <v>23.2974</v>
      </c>
      <c r="Z75" s="69">
        <f t="shared" si="9"/>
        <v>1.4999999999999999E-2</v>
      </c>
      <c r="AA75" s="69">
        <f t="shared" si="10"/>
        <v>23.282399999999999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0162-07</v>
      </c>
      <c r="AE75" s="95" t="str">
        <f t="shared" si="12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75" s="92" t="str">
        <f t="shared" si="13"/>
        <v>"C:\Program Files (x86)\AstroGrep\AstroGrep.exe" /spath="%USERPROFILE%\AppData\Local\Temp\OnboardLogs" /stypes="app*4045*20161007*"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6" t="str">
        <f t="shared" si="17"/>
        <v>"%USERPROFILE%\Documents\GitHub\eaglep3\Utilities\RefineRTDCRunTimes.py" --tripid 162-07 --locoid 4045 --swversion DE.1.0.7.0 --startMP 204:232974 --initTime 2016-10-07T12:02:03 --startdatetime 2016-10-07T12:11:29 --delay 1 --endMP 204:150 --enddatetime 2016-10-07T12:52:06 --enforcementcount 0 &gt;&gt;C:\Users\stu\Documents\GitHub\eaglep3-reporting\EC\2016-10-07-refined-times.txt</v>
      </c>
      <c r="AI75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{"issue":{"subject":"","project_id":79,"tracker_id":40,"status_id":1,"priority_id":2,"assigned_to_id":23,"start_date":"2016-10-07","description":"","custom_fields":[{"id":1,"name":"Subdivision","value":"EC"},{"id":4,"name":"Milepost","value":"0.015"},{"id":17,"name":"Train ID","value":"162-07"},{"id":16,"name":"Locomotive ID","value":"4045"},{"id":130,"name":"Impact","value":""},{"id":150,"name":"Time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460</v>
      </c>
      <c r="B76" s="7">
        <v>4020</v>
      </c>
      <c r="C76" s="24" t="s">
        <v>106</v>
      </c>
      <c r="D76" s="24" t="s">
        <v>196</v>
      </c>
      <c r="E76" s="15">
        <v>42650.474560185183</v>
      </c>
      <c r="F76" s="15">
        <v>42650.479305555556</v>
      </c>
      <c r="G76" s="7">
        <v>2</v>
      </c>
      <c r="H76" s="15" t="s">
        <v>428</v>
      </c>
      <c r="I76" s="15">
        <v>42650.505069444444</v>
      </c>
      <c r="J76" s="7">
        <v>0</v>
      </c>
      <c r="K76" s="117" t="str">
        <f t="shared" si="0"/>
        <v>4019/4020</v>
      </c>
      <c r="L76" s="24" t="str">
        <f>VLOOKUP(A76,'Trips&amp;Operators'!$C$1:$E$10000,3,FALSE)</f>
        <v>BONDS</v>
      </c>
      <c r="M76" s="6">
        <f t="shared" si="1"/>
        <v>2.5763888887013309E-2</v>
      </c>
      <c r="N76" s="7">
        <f t="shared" si="22"/>
        <v>37.099999997299165</v>
      </c>
      <c r="O76" s="7"/>
      <c r="P76" s="7"/>
      <c r="Q76" s="25"/>
      <c r="R76" s="25"/>
      <c r="S76" s="37">
        <f t="shared" si="23"/>
        <v>1</v>
      </c>
      <c r="T76" s="52" t="str">
        <f t="shared" si="4"/>
        <v>NorthBound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https://search-rtdc-monitor-bjffxe2xuh6vdkpspy63sjmuny.us-east-1.es.amazonaws.com/_plugin/kibana/#/discover/Steve-Slow-Train-Analysis-(2080s-and-2083s)?_g=(refreshInterval:(display:Off,section:0,value:0),time:(from:'2016-10-07 10:23:22-0600',mode:absolute,to:'2016-10-07 13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6" s="54" t="str">
        <f t="shared" si="6"/>
        <v>N</v>
      </c>
      <c r="X76" s="164">
        <f t="shared" si="21"/>
        <v>1</v>
      </c>
      <c r="Y76" s="69">
        <f t="shared" si="8"/>
        <v>4.5699999999999998E-2</v>
      </c>
      <c r="Z76" s="69">
        <f t="shared" si="9"/>
        <v>23.3322</v>
      </c>
      <c r="AA76" s="69">
        <f t="shared" si="10"/>
        <v>23.2865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0163-07</v>
      </c>
      <c r="AE76" s="95" t="str">
        <f t="shared" si="12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76" s="92" t="str">
        <f t="shared" si="13"/>
        <v>"C:\Program Files (x86)\AstroGrep\AstroGrep.exe" /spath="%USERPROFILE%\AppData\Local\Temp\OnboardLogs" /stypes="app*4020*20161007*"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6" t="str">
        <f t="shared" si="17"/>
        <v>"%USERPROFILE%\Documents\GitHub\eaglep3\Utilities\RefineRTDCRunTimes.py" --tripid 163-07 --locoid 4020 --swversion DE.1.0.7.0 --startMP 204:457 --initTime 2016-10-07T11:23:22 --startdatetime 2016-10-07T11:30:12 --delay 2 --endMP 204:233322 --enddatetime 2016-10-07T12:07:18 --enforcementcount 0 &gt;&gt;C:\Users\stu\Documents\GitHub\eaglep3-reporting\EC\2016-10-07-refined-times.txt</v>
      </c>
      <c r="AI76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{"issue":{"subject":"","project_id":79,"tracker_id":40,"status_id":1,"priority_id":2,"assigned_to_id":23,"start_date":"2016-10-07","description":"","custom_fields":[{"id":1,"name":"Subdivision","value":"EC"},{"id":4,"name":"Milepost","value":"23.3322"},{"id":17,"name":"Train ID","value":"163-07"},{"id":16,"name":"Locomotive ID","value":"4020"},{"id":130,"name":"Impact","value":""},{"id":150,"name":"Time of Event (Mountain Time)","value":"12:07:18"},{"id":151,"name":"Denver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461</v>
      </c>
      <c r="B77" s="7">
        <v>4019</v>
      </c>
      <c r="C77" s="24" t="s">
        <v>106</v>
      </c>
      <c r="D77" s="24" t="s">
        <v>462</v>
      </c>
      <c r="E77" s="15">
        <v>42650.507638888892</v>
      </c>
      <c r="F77" s="15">
        <v>42650.518229166664</v>
      </c>
      <c r="G77" s="7">
        <v>3</v>
      </c>
      <c r="H77" s="15" t="s">
        <v>126</v>
      </c>
      <c r="I77" s="15">
        <v>42650.544861111113</v>
      </c>
      <c r="J77" s="7">
        <v>0</v>
      </c>
      <c r="K77" s="117" t="str">
        <f t="shared" ref="K77:K140" si="24">IF(ISEVEN(B77),(B77-1)&amp;"/"&amp;B77,B77&amp;"/"&amp;(B77+1))</f>
        <v>4019/4020</v>
      </c>
      <c r="L77" s="24" t="str">
        <f>VLOOKUP(A77,'Trips&amp;Operators'!$C$1:$E$10000,3,FALSE)</f>
        <v>BONDS</v>
      </c>
      <c r="M77" s="6">
        <f t="shared" ref="M77:M140" si="25">I77-F77</f>
        <v>2.6631944449036382E-2</v>
      </c>
      <c r="N77" s="7">
        <f t="shared" si="22"/>
        <v>38.35000000661239</v>
      </c>
      <c r="O77" s="7"/>
      <c r="P77" s="7"/>
      <c r="Q77" s="25"/>
      <c r="R77" s="25"/>
      <c r="S77" s="37">
        <f t="shared" si="23"/>
        <v>1</v>
      </c>
      <c r="T77" s="52" t="str">
        <f t="shared" ref="T77:T140" si="26">IF(ISEVEN(LEFT(AD77,4)),"Southbound","NorthBound")</f>
        <v>Southbound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https://search-rtdc-monitor-bjffxe2xuh6vdkpspy63sjmuny.us-east-1.es.amazonaws.com/_plugin/kibana/#/discover/Steve-Slow-Train-Analysis-(2080s-and-2083s)?_g=(refreshInterval:(display:Off,section:0,value:0),time:(from:'2016-10-07 11:11:00-0600',mode:absolute,to:'2016-10-07 14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7" s="54" t="str">
        <f t="shared" ref="W77:W140" si="28">IF(AA77&lt;IF(AG77="EC",23,5.65),"Y","N")</f>
        <v>N</v>
      </c>
      <c r="X77" s="164">
        <f t="shared" ref="X77:X86" si="29">VALUE(LEFT(AD77,4))-VALUE(LEFT(AD76,4))</f>
        <v>1</v>
      </c>
      <c r="Y77" s="69">
        <f t="shared" ref="Y77:Y140" si="30">RIGHT(D77,LEN(D77)-4)/10000</f>
        <v>23.3003</v>
      </c>
      <c r="Z77" s="69">
        <f t="shared" ref="Z77:Z140" si="31">RIGHT(H77,LEN(H77)-4)/10000</f>
        <v>1.54E-2</v>
      </c>
      <c r="AA77" s="69">
        <f t="shared" ref="AA77:AA140" si="32">ABS(Z77-Y77)</f>
        <v>23.2849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3">IF(LEN(A77)=6,"0"&amp;A77,A77)</f>
        <v>0164-07</v>
      </c>
      <c r="AE77" s="95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77" s="92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/stypes="app*4019*20161007*" /stext=" 19:.+((SYSTEM_STATE.+slice.+state.+changed )|(ment ac)|(system.+state.+changed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96" t="str">
        <f t="shared" si="17"/>
        <v>"%USERPROFILE%\Documents\GitHub\eaglep3\Utilities\RefineRTDCRunTimes.py" --tripid 164-07 --locoid 4019 --swversion DE.1.0.7.0 --startMP 204:233003 --initTime 2016-10-07T12:11:00 --startdatetime 2016-10-07T12:26:15 --delay 3 --endMP 204:154 --enddatetime 2016-10-07T13:04:36 --enforcementcount 0 &gt;&gt;C:\Users\stu\Documents\GitHub\eaglep3-reporting\EC\2016-10-07-refined-times.txt</v>
      </c>
      <c r="AI77" s="130" t="str">
        <f t="shared" si="18"/>
        <v>echo {"issue":{"subject":"","project_id":79,"tracker_id":40,"status_id":1,"priority_id":2,"assigned_to_id":23,"start_date":"2016-10-07","description":"","custom_fields":[{"id":1,"name":"Subdivision","value":"EC"},{"id":4,"name":"Milepost","value":"0.0154"},{"id":17,"name":"Train ID","value":"164-07"},{"id":16,"name":"Locomotive ID","value":"4019"},{"id":130,"name":"Impact","value":""},{"id":150,"name":"Time of Event (Mountain Time)","value":"13:04:36"},{"id":151,"name":"Denver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463</v>
      </c>
      <c r="B78" s="7">
        <v>4007</v>
      </c>
      <c r="C78" s="24" t="s">
        <v>106</v>
      </c>
      <c r="D78" s="24" t="s">
        <v>464</v>
      </c>
      <c r="E78" s="15">
        <v>42650.484953703701</v>
      </c>
      <c r="F78" s="15">
        <v>42650.490277777775</v>
      </c>
      <c r="G78" s="7">
        <v>2</v>
      </c>
      <c r="H78" s="15" t="s">
        <v>465</v>
      </c>
      <c r="I78" s="15">
        <v>42650.516087962962</v>
      </c>
      <c r="J78" s="7">
        <v>0</v>
      </c>
      <c r="K78" s="117" t="str">
        <f t="shared" si="24"/>
        <v>4007/4008</v>
      </c>
      <c r="L78" s="24" t="str">
        <f>VLOOKUP(A78,'Trips&amp;Operators'!$C$1:$E$10000,3,FALSE)</f>
        <v>MOSES</v>
      </c>
      <c r="M78" s="6">
        <f t="shared" si="25"/>
        <v>2.5810185186855961E-2</v>
      </c>
      <c r="N78" s="7">
        <f t="shared" si="22"/>
        <v>37.166666669072583</v>
      </c>
      <c r="O78" s="7"/>
      <c r="P78" s="7"/>
      <c r="Q78" s="25"/>
      <c r="R78" s="25"/>
      <c r="S78" s="37">
        <f t="shared" si="23"/>
        <v>1</v>
      </c>
      <c r="T78" s="52" t="str">
        <f t="shared" si="26"/>
        <v>NorthBound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10:38:20-0600',mode:absolute,to:'2016-10-07 13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8" s="54" t="str">
        <f t="shared" si="28"/>
        <v>N</v>
      </c>
      <c r="X78" s="164">
        <f t="shared" si="29"/>
        <v>1</v>
      </c>
      <c r="Y78" s="69">
        <f t="shared" si="30"/>
        <v>5.2400000000000002E-2</v>
      </c>
      <c r="Z78" s="69">
        <f t="shared" si="31"/>
        <v>23.330200000000001</v>
      </c>
      <c r="AA78" s="69">
        <f t="shared" si="32"/>
        <v>23.277800000000003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3"/>
        <v>0165-07</v>
      </c>
      <c r="AE78" s="95" t="str">
        <f t="shared" si="34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78" s="92" t="str">
        <f t="shared" si="35"/>
        <v>"C:\Program Files (x86)\AstroGrep\AstroGrep.exe" /spath="%USERPROFILE%\AppData\Local\Temp\OnboardLogs" /stypes="app*4007*20161007*" /stext=" 18:.+((SYSTEM_STATE.+slice.+state.+changed )|(ment ac)|(system.+state.+changed )|(\[timeout)|(PRM\|1\|D)|(kpr)|(kdp)|(\|lc)|(penalty))" /e /r /s</v>
      </c>
      <c r="AG78" s="1" t="str">
        <f t="shared" si="36"/>
        <v>EC</v>
      </c>
      <c r="AH78" s="96" t="str">
        <f t="shared" ref="AH78:AH139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165-07 --locoid 4007 --swversion DE.1.0.7.0 --startMP 204:524 --initTime 2016-10-07T11:38:20 --startdatetime 2016-10-07T11:46:00 --delay 2 --endMP 204:233302 --enddatetime 2016-10-07T12:23:10 --enforcementcount 0 &gt;&gt;C:\Users\stu\Documents\GitHub\eaglep3-reporting\EC\2016-10-07-refined-times.txt</v>
      </c>
      <c r="AI78" s="130" t="str">
        <f t="shared" ref="AI78:AI139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{"issue":{"subject":"","project_id":79,"tracker_id":40,"status_id":1,"priority_id":2,"assigned_to_id":23,"start_date":"2016-10-07","description":"","custom_fields":[{"id":1,"name":"Subdivision","value":"EC"},{"id":4,"name":"Milepost","value":"23.3302"},{"id":17,"name":"Train ID","value":"165-07"},{"id":16,"name":"Locomotive ID","value":"4007"},{"id":130,"name":"Impact","value":""},{"id":150,"name":"Time of Event (Mountain Time)","value":"12:23:10"},{"id":151,"name":"Denver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466</v>
      </c>
      <c r="B79" s="7">
        <v>4008</v>
      </c>
      <c r="C79" s="24" t="s">
        <v>106</v>
      </c>
      <c r="D79" s="24" t="s">
        <v>294</v>
      </c>
      <c r="E79" s="15">
        <v>42650.524513888886</v>
      </c>
      <c r="F79" s="15">
        <v>42650.528726851851</v>
      </c>
      <c r="G79" s="7">
        <v>2</v>
      </c>
      <c r="H79" s="15" t="s">
        <v>202</v>
      </c>
      <c r="I79" s="15">
        <v>42650.556516203702</v>
      </c>
      <c r="J79" s="7">
        <v>0</v>
      </c>
      <c r="K79" s="117" t="str">
        <f t="shared" si="24"/>
        <v>4007/4008</v>
      </c>
      <c r="L79" s="24" t="str">
        <f>VLOOKUP(A79,'Trips&amp;Operators'!$C$1:$E$10000,3,FALSE)</f>
        <v>MOSES</v>
      </c>
      <c r="M79" s="6">
        <f t="shared" si="25"/>
        <v>2.7789351850515231E-2</v>
      </c>
      <c r="N79" s="7">
        <f t="shared" si="22"/>
        <v>40.016666664741933</v>
      </c>
      <c r="O79" s="7"/>
      <c r="P79" s="7"/>
      <c r="Q79" s="25"/>
      <c r="R79" s="25"/>
      <c r="S79" s="37">
        <f t="shared" si="23"/>
        <v>1</v>
      </c>
      <c r="T79" s="52" t="str">
        <f t="shared" si="26"/>
        <v>Southbound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11:35:18-0600',mode:absolute,to:'2016-10-07 14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9" s="54" t="str">
        <f t="shared" si="28"/>
        <v>N</v>
      </c>
      <c r="X79" s="164">
        <f t="shared" si="29"/>
        <v>1</v>
      </c>
      <c r="Y79" s="69">
        <f t="shared" si="30"/>
        <v>23.2989</v>
      </c>
      <c r="Z79" s="69">
        <f t="shared" si="31"/>
        <v>1.38E-2</v>
      </c>
      <c r="AA79" s="69">
        <f t="shared" si="32"/>
        <v>23.2851</v>
      </c>
      <c r="AB79" s="66" t="str">
        <f>VLOOKUP(A79,Enforcements!$C$7:$K$21,8,0)</f>
        <v>Speed (6)</v>
      </c>
      <c r="AC79" s="62" t="str">
        <f>VLOOKUP(A79,Enforcements!$C$7:$E$21,3,0)</f>
        <v>PERMANENT SPEED RESTRICTION</v>
      </c>
      <c r="AD79" s="63" t="str">
        <f t="shared" si="33"/>
        <v>0166-07</v>
      </c>
      <c r="AE79" s="95" t="str">
        <f t="shared" si="34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79" s="92" t="str">
        <f t="shared" si="35"/>
        <v>"C:\Program Files (x86)\AstroGrep\AstroGrep.exe" /spath="%USERPROFILE%\AppData\Local\Temp\OnboardLogs" /stypes="app*4008*20161007*" /stext=" 19:.+((SYSTEM_STATE.+slice.+state.+changed )|(ment ac)|(system.+state.+changed )|(\[timeout)|(PRM\|1\|D)|(kpr)|(kdp)|(\|lc)|(penalty))" /e /r /s</v>
      </c>
      <c r="AG79" s="1" t="str">
        <f t="shared" si="36"/>
        <v>EC</v>
      </c>
      <c r="AH79" s="96" t="str">
        <f t="shared" si="37"/>
        <v>"%USERPROFILE%\Documents\GitHub\eaglep3\Utilities\RefineRTDCRunTimes.py" --tripid 166-07 --locoid 4008 --swversion DE.1.0.7.0 --startMP 204:232989 --initTime 2016-10-07T12:35:18 --startdatetime 2016-10-07T12:41:22 --delay 2 --endMP 204:138 --enddatetime 2016-10-07T13:21:23 --enforcementcount 0 &gt;&gt;C:\Users\stu\Documents\GitHub\eaglep3-reporting\EC\2016-10-07-refined-times.txt</v>
      </c>
      <c r="AI79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{"issue":{"subject":"","project_id":79,"tracker_id":40,"status_id":1,"priority_id":2,"assigned_to_id":23,"start_date":"2016-10-07","description":"","custom_fields":[{"id":1,"name":"Subdivision","value":"EC"},{"id":4,"name":"Milepost","value":"0.0138"},{"id":17,"name":"Train ID","value":"166-07"},{"id":16,"name":"Locomotive ID","value":"4008"},{"id":130,"name":"Impact","value":""},{"id":150,"name":"Time of Event (Mountain Time)","value":"13:21:23"},{"id":151,"name":"Denver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467</v>
      </c>
      <c r="B80" s="7">
        <v>4042</v>
      </c>
      <c r="C80" s="24" t="s">
        <v>106</v>
      </c>
      <c r="D80" s="24" t="s">
        <v>257</v>
      </c>
      <c r="E80" s="15">
        <v>42650.496516203704</v>
      </c>
      <c r="F80" s="15">
        <v>42650.500173611108</v>
      </c>
      <c r="G80" s="7">
        <v>1</v>
      </c>
      <c r="H80" s="15" t="s">
        <v>297</v>
      </c>
      <c r="I80" s="15">
        <v>42650.525405092594</v>
      </c>
      <c r="J80" s="7">
        <v>0</v>
      </c>
      <c r="K80" s="117" t="str">
        <f t="shared" si="24"/>
        <v>4041/4042</v>
      </c>
      <c r="L80" s="24" t="str">
        <f>VLOOKUP(A80,'Trips&amp;Operators'!$C$1:$E$10000,3,FALSE)</f>
        <v>HILLS</v>
      </c>
      <c r="M80" s="6">
        <f t="shared" si="25"/>
        <v>2.5231481486116536E-2</v>
      </c>
      <c r="N80" s="7">
        <f t="shared" si="22"/>
        <v>36.333333340007812</v>
      </c>
      <c r="O80" s="7"/>
      <c r="P80" s="7"/>
      <c r="Q80" s="25"/>
      <c r="R80" s="25"/>
      <c r="S80" s="37">
        <f t="shared" si="23"/>
        <v>1</v>
      </c>
      <c r="T80" s="52" t="str">
        <f t="shared" si="26"/>
        <v>NorthBound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10:54:59-0600',mode:absolute,to:'2016-10-07 13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0" s="54" t="str">
        <f t="shared" si="28"/>
        <v>N</v>
      </c>
      <c r="X80" s="164">
        <f t="shared" si="29"/>
        <v>1</v>
      </c>
      <c r="Y80" s="69">
        <f t="shared" si="30"/>
        <v>4.4600000000000001E-2</v>
      </c>
      <c r="Z80" s="69">
        <f t="shared" si="31"/>
        <v>23.330500000000001</v>
      </c>
      <c r="AA80" s="69">
        <f t="shared" si="32"/>
        <v>23.285900000000002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3"/>
        <v>0167-07</v>
      </c>
      <c r="AE80" s="95" t="str">
        <f t="shared" si="34"/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80" s="92" t="str">
        <f t="shared" si="35"/>
        <v>"C:\Program Files (x86)\AstroGrep\AstroGrep.exe" /spath="%USERPROFILE%\AppData\Local\Temp\OnboardLogs" /stypes="app*4042*20161007*" /stext=" 18:.+((SYSTEM_STATE.+slice.+state.+changed )|(ment ac)|(system.+state.+changed )|(\[timeout)|(PRM\|1\|D)|(kpr)|(kdp)|(\|lc)|(penalty))" /e /r /s</v>
      </c>
      <c r="AG80" s="1" t="str">
        <f t="shared" si="36"/>
        <v>EC</v>
      </c>
      <c r="AH80" s="96" t="str">
        <f t="shared" si="37"/>
        <v>"%USERPROFILE%\Documents\GitHub\eaglep3\Utilities\RefineRTDCRunTimes.py" --tripid 167-07 --locoid 4042 --swversion DE.1.0.7.0 --startMP 204:446 --initTime 2016-10-07T11:54:59 --startdatetime 2016-10-07T12:00:15 --delay 1 --endMP 204:233305 --enddatetime 2016-10-07T12:36:35 --enforcementcount 0 &gt;&gt;C:\Users\stu\Documents\GitHub\eaglep3-reporting\EC\2016-10-07-refined-times.txt</v>
      </c>
      <c r="AI80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{"issue":{"subject":"","project_id":79,"tracker_id":40,"status_id":1,"priority_id":2,"assigned_to_id":23,"start_date":"2016-10-07","description":"","custom_fields":[{"id":1,"name":"Subdivision","value":"EC"},{"id":4,"name":"Milepost","value":"23.3305"},{"id":17,"name":"Train ID","value":"167-07"},{"id":16,"name":"Locomotive ID","value":"4042"},{"id":130,"name":"Impact","value":""},{"id":150,"name":"Time of Event (Mountain Time)","value":"12:36:35"},{"id":151,"name":"Denver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468</v>
      </c>
      <c r="B81" s="7">
        <v>4041</v>
      </c>
      <c r="C81" s="24" t="s">
        <v>106</v>
      </c>
      <c r="D81" s="24" t="s">
        <v>469</v>
      </c>
      <c r="E81" s="15">
        <v>42650.527118055557</v>
      </c>
      <c r="F81" s="15">
        <v>42650.53943287037</v>
      </c>
      <c r="G81" s="7">
        <v>1</v>
      </c>
      <c r="H81" s="15" t="s">
        <v>189</v>
      </c>
      <c r="I81" s="15">
        <v>42650.566319444442</v>
      </c>
      <c r="J81" s="7">
        <v>0</v>
      </c>
      <c r="K81" s="117" t="str">
        <f t="shared" si="24"/>
        <v>4041/4042</v>
      </c>
      <c r="L81" s="24" t="str">
        <f>VLOOKUP(A81,'Trips&amp;Operators'!$C$1:$E$10000,3,FALSE)</f>
        <v>HILLS</v>
      </c>
      <c r="M81" s="6">
        <f t="shared" si="25"/>
        <v>2.6886574072705116E-2</v>
      </c>
      <c r="N81" s="7">
        <f t="shared" si="22"/>
        <v>38.716666664695367</v>
      </c>
      <c r="O81" s="7"/>
      <c r="P81" s="7"/>
      <c r="Q81" s="25"/>
      <c r="R81" s="25"/>
      <c r="S81" s="37">
        <f t="shared" si="23"/>
        <v>1</v>
      </c>
      <c r="T81" s="52" t="str">
        <f t="shared" si="26"/>
        <v>Southbound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11:39:03-0600',mode:absolute,to:'2016-10-07 14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1" s="54" t="str">
        <f t="shared" si="28"/>
        <v>N</v>
      </c>
      <c r="X81" s="164">
        <f t="shared" si="29"/>
        <v>1</v>
      </c>
      <c r="Y81" s="69">
        <f t="shared" si="30"/>
        <v>23.301100000000002</v>
      </c>
      <c r="Z81" s="69">
        <f t="shared" si="31"/>
        <v>1.6E-2</v>
      </c>
      <c r="AA81" s="69">
        <f t="shared" si="32"/>
        <v>23.285100000000003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3"/>
        <v>0168-07</v>
      </c>
      <c r="AE81" s="95" t="str">
        <f t="shared" si="34"/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81" s="92" t="str">
        <f t="shared" si="35"/>
        <v>"C:\Program Files (x86)\AstroGrep\AstroGrep.exe" /spath="%USERPROFILE%\AppData\Local\Temp\OnboardLogs" /stypes="app*4041*20161007*" /stext=" 19:.+((SYSTEM_STATE.+slice.+state.+changed )|(ment ac)|(system.+state.+changed )|(\[timeout)|(PRM\|1\|D)|(kpr)|(kdp)|(\|lc)|(penalty))" /e /r /s</v>
      </c>
      <c r="AG81" s="1" t="str">
        <f t="shared" si="36"/>
        <v>EC</v>
      </c>
      <c r="AH81" s="96" t="str">
        <f t="shared" si="37"/>
        <v>"%USERPROFILE%\Documents\GitHub\eaglep3\Utilities\RefineRTDCRunTimes.py" --tripid 168-07 --locoid 4041 --swversion DE.1.0.7.0 --startMP 204:233011 --initTime 2016-10-07T12:39:03 --startdatetime 2016-10-07T12:56:47 --delay 1 --endMP 204:160 --enddatetime 2016-10-07T13:35:30 --enforcementcount 0 &gt;&gt;C:\Users\stu\Documents\GitHub\eaglep3-reporting\EC\2016-10-07-refined-times.txt</v>
      </c>
      <c r="AI81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{"issue":{"subject":"","project_id":79,"tracker_id":40,"status_id":1,"priority_id":2,"assigned_to_id":23,"start_date":"2016-10-07","description":"","custom_fields":[{"id":1,"name":"Subdivision","value":"EC"},{"id":4,"name":"Milepost","value":"0.016"},{"id":17,"name":"Train ID","value":"168-07"},{"id":16,"name":"Locomotive ID","value":"4041"},{"id":130,"name":"Impact","value":""},{"id":150,"name":"Time of Event (Mountain Time)","value":"13:35:30"},{"id":151,"name":"Denver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470</v>
      </c>
      <c r="B82" s="7">
        <v>4038</v>
      </c>
      <c r="C82" s="24" t="s">
        <v>106</v>
      </c>
      <c r="D82" s="24" t="s">
        <v>243</v>
      </c>
      <c r="E82" s="15">
        <v>42650.507118055553</v>
      </c>
      <c r="F82" s="15">
        <v>42650.510706018518</v>
      </c>
      <c r="G82" s="7">
        <v>1</v>
      </c>
      <c r="H82" s="15" t="s">
        <v>471</v>
      </c>
      <c r="I82" s="15">
        <v>42650.536168981482</v>
      </c>
      <c r="J82" s="7">
        <v>0</v>
      </c>
      <c r="K82" s="117" t="str">
        <f t="shared" si="24"/>
        <v>4037/4038</v>
      </c>
      <c r="L82" s="24" t="str">
        <f>VLOOKUP(A82,'Trips&amp;Operators'!$C$1:$E$10000,3,FALSE)</f>
        <v>SHOOK</v>
      </c>
      <c r="M82" s="6">
        <f t="shared" si="25"/>
        <v>2.5462962963501923E-2</v>
      </c>
      <c r="N82" s="7">
        <f t="shared" si="22"/>
        <v>36.666666667442769</v>
      </c>
      <c r="O82" s="7"/>
      <c r="P82" s="7"/>
      <c r="Q82" s="25"/>
      <c r="R82" s="25"/>
      <c r="S82" s="37">
        <f t="shared" si="23"/>
        <v>1</v>
      </c>
      <c r="T82" s="52" t="str">
        <f t="shared" si="26"/>
        <v>NorthBound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11:10:15-0600',mode:absolute,to:'2016-10-07 13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2" s="54" t="str">
        <f t="shared" si="28"/>
        <v>N</v>
      </c>
      <c r="X82" s="164">
        <f t="shared" si="29"/>
        <v>1</v>
      </c>
      <c r="Y82" s="69">
        <f t="shared" si="30"/>
        <v>4.6699999999999998E-2</v>
      </c>
      <c r="Z82" s="69">
        <f t="shared" si="31"/>
        <v>23.3355</v>
      </c>
      <c r="AA82" s="69">
        <f t="shared" si="32"/>
        <v>23.288799999999998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3"/>
        <v>0169-07</v>
      </c>
      <c r="AE82" s="95" t="str">
        <f t="shared" si="34"/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82" s="92" t="str">
        <f t="shared" si="35"/>
        <v>"C:\Program Files (x86)\AstroGrep\AstroGrep.exe" /spath="%USERPROFILE%\AppData\Local\Temp\OnboardLogs" /stypes="app*4038*20161007*" /stext=" 18:.+((SYSTEM_STATE.+slice.+state.+changed )|(ment ac)|(system.+state.+changed )|(\[timeout)|(PRM\|1\|D)|(kpr)|(kdp)|(\|lc)|(penalty))" /e /r /s</v>
      </c>
      <c r="AG82" s="1" t="str">
        <f t="shared" si="36"/>
        <v>EC</v>
      </c>
      <c r="AH82" s="96" t="str">
        <f t="shared" si="37"/>
        <v>"%USERPROFILE%\Documents\GitHub\eaglep3\Utilities\RefineRTDCRunTimes.py" --tripid 169-07 --locoid 4038 --swversion DE.1.0.7.0 --startMP 204:467 --initTime 2016-10-07T12:10:15 --startdatetime 2016-10-07T12:15:25 --delay 1 --endMP 204:233355 --enddatetime 2016-10-07T12:52:05 --enforcementcount 0 &gt;&gt;C:\Users\stu\Documents\GitHub\eaglep3-reporting\EC\2016-10-07-refined-times.txt</v>
      </c>
      <c r="AI82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{"issue":{"subject":"","project_id":79,"tracker_id":40,"status_id":1,"priority_id":2,"assigned_to_id":23,"start_date":"2016-10-07","description":"","custom_fields":[{"id":1,"name":"Subdivision","value":"EC"},{"id":4,"name":"Milepost","value":"23.3355"},{"id":17,"name":"Train ID","value":"169-07"},{"id":16,"name":"Locomotive ID","value":"4038"},{"id":130,"name":"Impact","value":""},{"id":150,"name":"Time of Event (Mountain Time)","value":"12:52:05"},{"id":151,"name":"Denver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472</v>
      </c>
      <c r="B83" s="7">
        <v>4037</v>
      </c>
      <c r="C83" s="24" t="s">
        <v>106</v>
      </c>
      <c r="D83" s="24" t="s">
        <v>473</v>
      </c>
      <c r="E83" s="15">
        <v>42650.54315972222</v>
      </c>
      <c r="F83" s="15">
        <v>42650.54954861111</v>
      </c>
      <c r="G83" s="7">
        <v>1</v>
      </c>
      <c r="H83" s="15" t="s">
        <v>336</v>
      </c>
      <c r="I83" s="15">
        <v>42650.576562499999</v>
      </c>
      <c r="J83" s="7">
        <v>0</v>
      </c>
      <c r="K83" s="117" t="str">
        <f t="shared" si="24"/>
        <v>4037/4038</v>
      </c>
      <c r="L83" s="24" t="str">
        <f>VLOOKUP(A83,'Trips&amp;Operators'!$C$1:$E$10000,3,FALSE)</f>
        <v>SHOOK</v>
      </c>
      <c r="M83" s="6">
        <f t="shared" si="25"/>
        <v>2.7013888888177462E-2</v>
      </c>
      <c r="N83" s="7">
        <f t="shared" si="22"/>
        <v>38.899999998975545</v>
      </c>
      <c r="O83" s="7"/>
      <c r="P83" s="7"/>
      <c r="Q83" s="25"/>
      <c r="R83" s="25"/>
      <c r="S83" s="37">
        <f t="shared" si="23"/>
        <v>1</v>
      </c>
      <c r="T83" s="52" t="str">
        <f t="shared" si="26"/>
        <v>Southbound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12:02:09-0600',mode:absolute,to:'2016-10-07 14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3" s="54" t="str">
        <f t="shared" si="28"/>
        <v>N</v>
      </c>
      <c r="X83" s="164">
        <f t="shared" si="29"/>
        <v>1</v>
      </c>
      <c r="Y83" s="69">
        <f t="shared" si="30"/>
        <v>23.3034</v>
      </c>
      <c r="Z83" s="69">
        <f t="shared" si="31"/>
        <v>1.43E-2</v>
      </c>
      <c r="AA83" s="69">
        <f t="shared" si="32"/>
        <v>23.289100000000001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3"/>
        <v>0170-07</v>
      </c>
      <c r="AE83" s="95" t="str">
        <f t="shared" si="34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83" s="92" t="str">
        <f t="shared" si="35"/>
        <v>"C:\Program Files (x86)\AstroGrep\AstroGrep.exe" /spath="%USERPROFILE%\AppData\Local\Temp\OnboardLogs" /stypes="app*4037*20161007*" /stext=" 19:.+((SYSTEM_STATE.+slice.+state.+changed )|(ment ac)|(system.+state.+changed )|(\[timeout)|(PRM\|1\|D)|(kpr)|(kdp)|(\|lc)|(penalty))" /e /r /s</v>
      </c>
      <c r="AG83" s="1" t="str">
        <f t="shared" si="36"/>
        <v>EC</v>
      </c>
      <c r="AH83" s="96" t="str">
        <f t="shared" si="37"/>
        <v>"%USERPROFILE%\Documents\GitHub\eaglep3\Utilities\RefineRTDCRunTimes.py" --tripid 170-07 --locoid 4037 --swversion DE.1.0.7.0 --startMP 204:233034 --initTime 2016-10-07T13:02:09 --startdatetime 2016-10-07T13:11:21 --delay 1 --endMP 204:143 --enddatetime 2016-10-07T13:50:15 --enforcementcount 0 &gt;&gt;C:\Users\stu\Documents\GitHub\eaglep3-reporting\EC\2016-10-07-refined-times.txt</v>
      </c>
      <c r="AI83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ID","value":"170-07"},{"id":16,"name":"Locomotive ID","value":"4037"},{"id":130,"name":"Impact","value":""},{"id":150,"name":"Time of Event (Mountain Time)","value":"13:50:15"},{"id":151,"name":"Denver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474</v>
      </c>
      <c r="B84" s="7">
        <v>4003</v>
      </c>
      <c r="C84" s="24" t="s">
        <v>106</v>
      </c>
      <c r="D84" s="24" t="s">
        <v>196</v>
      </c>
      <c r="E84" s="15">
        <v>42650.516597222224</v>
      </c>
      <c r="F84" s="15">
        <v>42650.521111111113</v>
      </c>
      <c r="G84" s="7">
        <v>2</v>
      </c>
      <c r="H84" s="15" t="s">
        <v>475</v>
      </c>
      <c r="I84" s="15">
        <v>42650.545995370368</v>
      </c>
      <c r="J84" s="7">
        <v>0</v>
      </c>
      <c r="K84" s="117" t="str">
        <f t="shared" si="24"/>
        <v>4003/4004</v>
      </c>
      <c r="L84" s="24" t="str">
        <f>VLOOKUP(A84,'Trips&amp;Operators'!$C$1:$E$10000,3,FALSE)</f>
        <v>STORY</v>
      </c>
      <c r="M84" s="6">
        <f t="shared" si="25"/>
        <v>2.488425925548654E-2</v>
      </c>
      <c r="N84" s="7">
        <f t="shared" si="22"/>
        <v>35.833333327900618</v>
      </c>
      <c r="O84" s="7"/>
      <c r="P84" s="7"/>
      <c r="Q84" s="25"/>
      <c r="R84" s="25"/>
      <c r="S84" s="37">
        <f t="shared" si="23"/>
        <v>1</v>
      </c>
      <c r="T84" s="52" t="str">
        <f t="shared" si="26"/>
        <v>NorthBound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11:23:54-0600',mode:absolute,to:'2016-10-07 14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4" s="54" t="str">
        <f t="shared" si="28"/>
        <v>N</v>
      </c>
      <c r="X84" s="164">
        <f t="shared" si="29"/>
        <v>1</v>
      </c>
      <c r="Y84" s="69">
        <f t="shared" si="30"/>
        <v>4.5699999999999998E-2</v>
      </c>
      <c r="Z84" s="69">
        <f t="shared" si="31"/>
        <v>23.3324</v>
      </c>
      <c r="AA84" s="69">
        <f t="shared" si="32"/>
        <v>23.2867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3"/>
        <v>0171-07</v>
      </c>
      <c r="AE84" s="95" t="str">
        <f t="shared" si="34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84" s="92" t="str">
        <f t="shared" si="35"/>
        <v>"C:\Program Files (x86)\AstroGrep\AstroGrep.exe" /spath="%USERPROFILE%\AppData\Local\Temp\OnboardLogs" /stypes="app*4003*20161007*" /stext=" 19:.+((SYSTEM_STATE.+slice.+state.+changed )|(ment ac)|(system.+state.+changed )|(\[timeout)|(PRM\|1\|D)|(kpr)|(kdp)|(\|lc)|(penalty))" /e /r /s</v>
      </c>
      <c r="AG84" s="1" t="str">
        <f t="shared" si="36"/>
        <v>EC</v>
      </c>
      <c r="AH84" s="96" t="str">
        <f t="shared" si="37"/>
        <v>"%USERPROFILE%\Documents\GitHub\eaglep3\Utilities\RefineRTDCRunTimes.py" --tripid 171-07 --locoid 4003 --swversion DE.1.0.7.0 --startMP 204:457 --initTime 2016-10-07T12:23:54 --startdatetime 2016-10-07T12:30:24 --delay 2 --endMP 204:233324 --enddatetime 2016-10-07T13:06:14 --enforcementcount 0 &gt;&gt;C:\Users\stu\Documents\GitHub\eaglep3-reporting\EC\2016-10-07-refined-times.txt</v>
      </c>
      <c r="AI84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{"issue":{"subject":"","project_id":79,"tracker_id":40,"status_id":1,"priority_id":2,"assigned_to_id":23,"start_date":"2016-10-07","description":"","custom_fields":[{"id":1,"name":"Subdivision","value":"EC"},{"id":4,"name":"Milepost","value":"23.3324"},{"id":17,"name":"Train ID","value":"171-07"},{"id":16,"name":"Locomotive ID","value":"4003"},{"id":130,"name":"Impact","value":""},{"id":150,"name":"Time of Event (Mountain Time)","value":"13:06:14"},{"id":151,"name":"Denver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476</v>
      </c>
      <c r="B85" s="7">
        <v>4004</v>
      </c>
      <c r="C85" s="24" t="s">
        <v>106</v>
      </c>
      <c r="D85" s="24" t="s">
        <v>477</v>
      </c>
      <c r="E85" s="15">
        <v>42650.557187500002</v>
      </c>
      <c r="F85" s="15">
        <v>42650.560254629629</v>
      </c>
      <c r="G85" s="7">
        <v>1</v>
      </c>
      <c r="H85" s="15" t="s">
        <v>478</v>
      </c>
      <c r="I85" s="15">
        <v>42650.587013888886</v>
      </c>
      <c r="J85" s="7">
        <v>0</v>
      </c>
      <c r="K85" s="117" t="str">
        <f t="shared" si="24"/>
        <v>4003/4004</v>
      </c>
      <c r="L85" s="24" t="str">
        <f>VLOOKUP(A85,'Trips&amp;Operators'!$C$1:$E$10000,3,FALSE)</f>
        <v>STORY</v>
      </c>
      <c r="M85" s="6">
        <f t="shared" si="25"/>
        <v>2.675925925723277E-2</v>
      </c>
      <c r="N85" s="7">
        <f t="shared" si="22"/>
        <v>38.533333330415189</v>
      </c>
      <c r="O85" s="7"/>
      <c r="P85" s="7"/>
      <c r="Q85" s="25"/>
      <c r="R85" s="25"/>
      <c r="S85" s="37">
        <f t="shared" si="23"/>
        <v>1</v>
      </c>
      <c r="T85" s="52" t="str">
        <f t="shared" si="26"/>
        <v>Southbound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12:22:21-0600',mode:absolute,to:'2016-10-07 15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5" s="54" t="str">
        <f t="shared" si="28"/>
        <v>N</v>
      </c>
      <c r="X85" s="164">
        <f t="shared" si="29"/>
        <v>1</v>
      </c>
      <c r="Y85" s="69">
        <f t="shared" si="30"/>
        <v>23.300699999999999</v>
      </c>
      <c r="Z85" s="69">
        <f t="shared" si="31"/>
        <v>1.9599999999999999E-2</v>
      </c>
      <c r="AA85" s="69">
        <f t="shared" si="32"/>
        <v>23.281099999999999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3"/>
        <v>0172-07</v>
      </c>
      <c r="AE85" s="95" t="str">
        <f t="shared" si="34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85" s="92" t="str">
        <f t="shared" si="35"/>
        <v>"C:\Program Files (x86)\AstroGrep\AstroGrep.exe" /spath="%USERPROFILE%\AppData\Local\Temp\OnboardLogs" /stypes="app*4004*20161007*" /stext=" 20:.+((SYSTEM_STATE.+slice.+state.+changed )|(ment ac)|(system.+state.+changed )|(\[timeout)|(PRM\|1\|D)|(kpr)|(kdp)|(\|lc)|(penalty))" /e /r /s</v>
      </c>
      <c r="AG85" s="1" t="str">
        <f t="shared" si="36"/>
        <v>EC</v>
      </c>
      <c r="AH85" s="96" t="str">
        <f t="shared" si="37"/>
        <v>"%USERPROFILE%\Documents\GitHub\eaglep3\Utilities\RefineRTDCRunTimes.py" --tripid 172-07 --locoid 4004 --swversion DE.1.0.7.0 --startMP 204:233007 --initTime 2016-10-07T13:22:21 --startdatetime 2016-10-07T13:26:46 --delay 1 --endMP 204:196 --enddatetime 2016-10-07T14:05:18 --enforcementcount 0 &gt;&gt;C:\Users\stu\Documents\GitHub\eaglep3-reporting\EC\2016-10-07-refined-times.txt</v>
      </c>
      <c r="AI85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{"issue":{"subject":"","project_id":79,"tracker_id":40,"status_id":1,"priority_id":2,"assigned_to_id":23,"start_date":"2016-10-07","description":"","custom_fields":[{"id":1,"name":"Subdivision","value":"EC"},{"id":4,"name":"Milepost","value":"0.0196"},{"id":17,"name":"Train ID","value":"172-07"},{"id":16,"name":"Locomotive ID","value":"4004"},{"id":130,"name":"Impact","value":""},{"id":150,"name":"Time of Event (Mountain Time)","value":"14:05:18"},{"id":151,"name":"Denver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479</v>
      </c>
      <c r="B86" s="7">
        <v>4018</v>
      </c>
      <c r="C86" s="24" t="s">
        <v>106</v>
      </c>
      <c r="D86" s="24" t="s">
        <v>480</v>
      </c>
      <c r="E86" s="15">
        <v>42650.52815972222</v>
      </c>
      <c r="F86" s="15">
        <v>42650.531539351854</v>
      </c>
      <c r="G86" s="7">
        <v>1</v>
      </c>
      <c r="H86" s="15" t="s">
        <v>420</v>
      </c>
      <c r="I86" s="15">
        <v>42650.556932870371</v>
      </c>
      <c r="J86" s="7">
        <v>0</v>
      </c>
      <c r="K86" s="117" t="str">
        <f t="shared" si="24"/>
        <v>4017/4018</v>
      </c>
      <c r="L86" s="24" t="str">
        <f>VLOOKUP(A86,'Trips&amp;Operators'!$C$1:$E$10000,3,FALSE)</f>
        <v>STEWART</v>
      </c>
      <c r="M86" s="6">
        <f t="shared" si="25"/>
        <v>2.5393518517375924E-2</v>
      </c>
      <c r="N86" s="7">
        <f t="shared" si="22"/>
        <v>36.56666666502133</v>
      </c>
      <c r="O86" s="7"/>
      <c r="P86" s="7"/>
      <c r="Q86" s="25"/>
      <c r="R86" s="25"/>
      <c r="S86" s="37">
        <f t="shared" si="23"/>
        <v>1</v>
      </c>
      <c r="T86" s="52" t="str">
        <f t="shared" si="26"/>
        <v>NorthBound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11:40:33-0600',mode:absolute,to:'2016-10-07 14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6" s="54" t="str">
        <f t="shared" si="28"/>
        <v>N</v>
      </c>
      <c r="X86" s="164">
        <f t="shared" si="29"/>
        <v>1</v>
      </c>
      <c r="Y86" s="69">
        <f t="shared" si="30"/>
        <v>5.6599999999999998E-2</v>
      </c>
      <c r="Z86" s="69">
        <f t="shared" si="31"/>
        <v>23.329499999999999</v>
      </c>
      <c r="AA86" s="69">
        <f t="shared" si="32"/>
        <v>23.2729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3"/>
        <v>0173-07</v>
      </c>
      <c r="AE86" s="95" t="str">
        <f t="shared" si="34"/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86" s="92" t="str">
        <f t="shared" si="35"/>
        <v>"C:\Program Files (x86)\AstroGrep\AstroGrep.exe" /spath="%USERPROFILE%\AppData\Local\Temp\OnboardLogs" /stypes="app*4018*20161007*" /stext=" 19:.+((SYSTEM_STATE.+slice.+state.+changed )|(ment ac)|(system.+state.+changed )|(\[timeout)|(PRM\|1\|D)|(kpr)|(kdp)|(\|lc)|(penalty))" /e /r /s</v>
      </c>
      <c r="AG86" s="1" t="str">
        <f t="shared" si="36"/>
        <v>EC</v>
      </c>
      <c r="AH86" s="96" t="str">
        <f t="shared" si="37"/>
        <v>"%USERPROFILE%\Documents\GitHub\eaglep3\Utilities\RefineRTDCRunTimes.py" --tripid 173-07 --locoid 4018 --swversion DE.1.0.7.0 --startMP 204:566 --initTime 2016-10-07T12:40:33 --startdatetime 2016-10-07T12:45:25 --delay 1 --endMP 204:233295 --enddatetime 2016-10-07T13:21:59 --enforcementcount 0 &gt;&gt;C:\Users\stu\Documents\GitHub\eaglep3-reporting\EC\2016-10-07-refined-times.txt</v>
      </c>
      <c r="AI86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{"issue":{"subject":"","project_id":79,"tracker_id":40,"status_id":1,"priority_id":2,"assigned_to_id":23,"start_date":"2016-10-07","description":"","custom_fields":[{"id":1,"name":"Subdivision","value":"EC"},{"id":4,"name":"Milepost","value":"23.3295"},{"id":17,"name":"Train ID","value":"173-07"},{"id":16,"name":"Locomotive ID","value":"4018"},{"id":130,"name":"Impact","value":""},{"id":150,"name":"Time of Event (Mountain Time)","value":"13:21:59"},{"id":151,"name":"Denver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481</v>
      </c>
      <c r="B87" s="7">
        <v>4017</v>
      </c>
      <c r="C87" s="24" t="s">
        <v>106</v>
      </c>
      <c r="D87" s="24" t="s">
        <v>290</v>
      </c>
      <c r="E87" s="15">
        <v>42650.565925925926</v>
      </c>
      <c r="F87" s="15">
        <v>42650.570462962962</v>
      </c>
      <c r="G87" s="7">
        <v>2</v>
      </c>
      <c r="H87" s="15" t="s">
        <v>206</v>
      </c>
      <c r="I87" s="15">
        <v>42650.598587962966</v>
      </c>
      <c r="J87" s="7">
        <v>0</v>
      </c>
      <c r="K87" s="117" t="str">
        <f t="shared" si="24"/>
        <v>4017/4018</v>
      </c>
      <c r="L87" s="24" t="str">
        <f>VLOOKUP(A87,'Trips&amp;Operators'!$C$1:$E$10000,3,FALSE)</f>
        <v>STEWART</v>
      </c>
      <c r="M87" s="6">
        <f t="shared" si="25"/>
        <v>2.8125000004365575E-2</v>
      </c>
      <c r="N87" s="7">
        <f t="shared" ref="N87:N118" si="39">24*60*SUM($M87:$M87)</f>
        <v>40.500000006286427</v>
      </c>
      <c r="O87" s="7"/>
      <c r="P87" s="7"/>
      <c r="Q87" s="25"/>
      <c r="R87" s="25"/>
      <c r="S87" s="37">
        <f t="shared" ref="S87:S118" si="40">SUM(U87:U87)/IF(AG87="EC",12,1)</f>
        <v>1</v>
      </c>
      <c r="T87" s="52" t="str">
        <f t="shared" si="26"/>
        <v>Southbound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12:34:56-0600',mode:absolute,to:'2016-10-07 15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7" s="54" t="str">
        <f t="shared" si="28"/>
        <v>N</v>
      </c>
      <c r="X87" s="164">
        <f t="shared" ref="X87:X90" si="41">VALUE(LEFT(AD87,4))-VALUE(LEFT(AD86,4))</f>
        <v>1</v>
      </c>
      <c r="Y87" s="69">
        <f t="shared" si="30"/>
        <v>23.297599999999999</v>
      </c>
      <c r="Z87" s="69">
        <f t="shared" si="31"/>
        <v>1.5599999999999999E-2</v>
      </c>
      <c r="AA87" s="69">
        <f t="shared" si="32"/>
        <v>23.282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3"/>
        <v>0174-07</v>
      </c>
      <c r="AE87" s="95" t="str">
        <f t="shared" si="34"/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87" s="92" t="str">
        <f t="shared" si="35"/>
        <v>"C:\Program Files (x86)\AstroGrep\AstroGrep.exe" /spath="%USERPROFILE%\AppData\Local\Temp\OnboardLogs" /stypes="app*4017*20161007*" /stext=" 20:.+((SYSTEM_STATE.+slice.+state.+changed )|(ment ac)|(system.+state.+changed )|(\[timeout)|(PRM\|1\|D)|(kpr)|(kdp)|(\|lc)|(penalty))" /e /r /s</v>
      </c>
      <c r="AG87" s="1" t="str">
        <f t="shared" si="36"/>
        <v>EC</v>
      </c>
      <c r="AH87" s="96" t="str">
        <f t="shared" si="37"/>
        <v>"%USERPROFILE%\Documents\GitHub\eaglep3\Utilities\RefineRTDCRunTimes.py" --tripid 174-07 --locoid 4017 --swversion DE.1.0.7.0 --startMP 204:232976 --initTime 2016-10-07T13:34:56 --startdatetime 2016-10-07T13:41:28 --delay 2 --endMP 204:156 --enddatetime 2016-10-07T14:21:58 --enforcementcount 0 &gt;&gt;C:\Users\stu\Documents\GitHub\eaglep3-reporting\EC\2016-10-07-refined-times.txt</v>
      </c>
      <c r="AI87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ID","value":"174-07"},{"id":16,"name":"Locomotive ID","value":"4017"},{"id":130,"name":"Impact","value":""},{"id":150,"name":"Time of Event (Mountain Time)","value":"14:21:58"},{"id":151,"name":"Denver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482</v>
      </c>
      <c r="B88" s="7">
        <v>4046</v>
      </c>
      <c r="C88" s="24" t="s">
        <v>106</v>
      </c>
      <c r="D88" s="24" t="s">
        <v>196</v>
      </c>
      <c r="E88" s="15">
        <v>42650.538206018522</v>
      </c>
      <c r="F88" s="15">
        <v>42650.54184027778</v>
      </c>
      <c r="G88" s="7">
        <v>2</v>
      </c>
      <c r="H88" s="15" t="s">
        <v>416</v>
      </c>
      <c r="I88" s="15">
        <v>42650.567511574074</v>
      </c>
      <c r="J88" s="7">
        <v>0</v>
      </c>
      <c r="K88" s="117" t="str">
        <f t="shared" si="24"/>
        <v>4045/4046</v>
      </c>
      <c r="L88" s="24" t="str">
        <f>VLOOKUP(A88,'Trips&amp;Operators'!$C$1:$E$10000,3,FALSE)</f>
        <v>CLARK</v>
      </c>
      <c r="M88" s="6">
        <f t="shared" si="25"/>
        <v>2.5671296294603962E-2</v>
      </c>
      <c r="N88" s="7">
        <f t="shared" si="39"/>
        <v>36.966666664229706</v>
      </c>
      <c r="O88" s="7"/>
      <c r="P88" s="7"/>
      <c r="Q88" s="25"/>
      <c r="R88" s="25"/>
      <c r="S88" s="37">
        <f t="shared" si="40"/>
        <v>1</v>
      </c>
      <c r="T88" s="52" t="str">
        <f t="shared" si="26"/>
        <v>NorthBound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11:55:01-0600',mode:absolute,to:'2016-10-07 14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8" s="54" t="str">
        <f t="shared" si="28"/>
        <v>N</v>
      </c>
      <c r="X88" s="164">
        <f t="shared" si="41"/>
        <v>1</v>
      </c>
      <c r="Y88" s="69">
        <f t="shared" si="30"/>
        <v>4.5699999999999998E-2</v>
      </c>
      <c r="Z88" s="69">
        <f t="shared" si="31"/>
        <v>23.3309</v>
      </c>
      <c r="AA88" s="69">
        <f t="shared" si="32"/>
        <v>23.2852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3"/>
        <v>0175-07</v>
      </c>
      <c r="AE88" s="95" t="str">
        <f t="shared" si="34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88" s="92" t="str">
        <f t="shared" si="35"/>
        <v>"C:\Program Files (x86)\AstroGrep\AstroGrep.exe" /spath="%USERPROFILE%\AppData\Local\Temp\OnboardLogs" /stypes="app*4046*20161007*" /stext=" 19:.+((SYSTEM_STATE.+slice.+state.+changed )|(ment ac)|(system.+state.+changed )|(\[timeout)|(PRM\|1\|D)|(kpr)|(kdp)|(\|lc)|(penalty))" /e /r /s</v>
      </c>
      <c r="AG88" s="1" t="str">
        <f t="shared" si="36"/>
        <v>EC</v>
      </c>
      <c r="AH88" s="96" t="str">
        <f t="shared" si="37"/>
        <v>"%USERPROFILE%\Documents\GitHub\eaglep3\Utilities\RefineRTDCRunTimes.py" --tripid 175-07 --locoid 4046 --swversion DE.1.0.7.0 --startMP 204:457 --initTime 2016-10-07T12:55:01 --startdatetime 2016-10-07T13:00:15 --delay 2 --endMP 204:233309 --enddatetime 2016-10-07T13:37:13 --enforcementcount 0 &gt;&gt;C:\Users\stu\Documents\GitHub\eaglep3-reporting\EC\2016-10-07-refined-times.txt</v>
      </c>
      <c r="AI88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{"issue":{"subject":"","project_id":79,"tracker_id":40,"status_id":1,"priority_id":2,"assigned_to_id":23,"start_date":"2016-10-07","description":"","custom_fields":[{"id":1,"name":"Subdivision","value":"EC"},{"id":4,"name":"Milepost","value":"23.3309"},{"id":17,"name":"Train ID","value":"175-07"},{"id":16,"name":"Locomotive ID","value":"4046"},{"id":130,"name":"Impact","value":""},{"id":150,"name":"Time of Event (Mountain Time)","value":"13:37:13"},{"id":151,"name":"Denver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483</v>
      </c>
      <c r="B89" s="7">
        <v>4045</v>
      </c>
      <c r="C89" s="24" t="s">
        <v>106</v>
      </c>
      <c r="D89" s="24" t="s">
        <v>484</v>
      </c>
      <c r="E89" s="15">
        <v>42650.575891203705</v>
      </c>
      <c r="F89" s="15">
        <v>42650.580740740741</v>
      </c>
      <c r="G89" s="7">
        <v>1</v>
      </c>
      <c r="H89" s="15" t="s">
        <v>206</v>
      </c>
      <c r="I89" s="15">
        <v>42650.608969907407</v>
      </c>
      <c r="J89" s="7">
        <v>0</v>
      </c>
      <c r="K89" s="117" t="str">
        <f t="shared" si="24"/>
        <v>4045/4046</v>
      </c>
      <c r="L89" s="24" t="str">
        <f>VLOOKUP(A89,'Trips&amp;Operators'!$C$1:$E$10000,3,FALSE)</f>
        <v>CLARK</v>
      </c>
      <c r="M89" s="6">
        <f t="shared" si="25"/>
        <v>2.8229166666278616E-2</v>
      </c>
      <c r="N89" s="7">
        <f t="shared" si="39"/>
        <v>40.649999999441206</v>
      </c>
      <c r="O89" s="7"/>
      <c r="P89" s="7"/>
      <c r="Q89" s="25"/>
      <c r="R89" s="25"/>
      <c r="S89" s="37">
        <f t="shared" si="40"/>
        <v>1</v>
      </c>
      <c r="T89" s="52" t="str">
        <f t="shared" si="26"/>
        <v>Southbound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12:49:17-0600',mode:absolute,to:'2016-10-07 15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9" s="54" t="str">
        <f t="shared" si="28"/>
        <v>N</v>
      </c>
      <c r="X89" s="164">
        <f t="shared" si="41"/>
        <v>1</v>
      </c>
      <c r="Y89" s="69">
        <f t="shared" si="30"/>
        <v>23.298400000000001</v>
      </c>
      <c r="Z89" s="69">
        <f t="shared" si="31"/>
        <v>1.5599999999999999E-2</v>
      </c>
      <c r="AA89" s="69">
        <f t="shared" si="32"/>
        <v>23.282800000000002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3"/>
        <v>0176-07</v>
      </c>
      <c r="AE89" s="95" t="str">
        <f t="shared" si="34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89" s="92" t="str">
        <f t="shared" si="35"/>
        <v>"C:\Program Files (x86)\AstroGrep\AstroGrep.exe" /spath="%USERPROFILE%\AppData\Local\Temp\OnboardLogs" /stypes="app*4045*20161007*" /stext=" 20:.+((SYSTEM_STATE.+slice.+state.+changed )|(ment ac)|(system.+state.+changed )|(\[timeout)|(PRM\|1\|D)|(kpr)|(kdp)|(\|lc)|(penalty))" /e /r /s</v>
      </c>
      <c r="AG89" s="1" t="str">
        <f t="shared" si="36"/>
        <v>EC</v>
      </c>
      <c r="AH89" s="96" t="str">
        <f t="shared" si="37"/>
        <v>"%USERPROFILE%\Documents\GitHub\eaglep3\Utilities\RefineRTDCRunTimes.py" --tripid 176-07 --locoid 4045 --swversion DE.1.0.7.0 --startMP 204:232984 --initTime 2016-10-07T13:49:17 --startdatetime 2016-10-07T13:56:16 --delay 1 --endMP 204:156 --enddatetime 2016-10-07T14:36:55 --enforcementcount 0 &gt;&gt;C:\Users\stu\Documents\GitHub\eaglep3-reporting\EC\2016-10-07-refined-times.txt</v>
      </c>
      <c r="AI89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ID","value":"176-07"},{"id":16,"name":"Locomotive ID","value":"4045"},{"id":130,"name":"Impact","value":""},{"id":150,"name":"Time of Event (Mountain Time)","value":"14:36:55"},{"id":151,"name":"Denver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485</v>
      </c>
      <c r="B90" s="7">
        <v>4020</v>
      </c>
      <c r="C90" s="24" t="s">
        <v>106</v>
      </c>
      <c r="D90" s="24" t="s">
        <v>197</v>
      </c>
      <c r="E90" s="15">
        <v>42650.546099537038</v>
      </c>
      <c r="F90" s="15">
        <v>42650.552337962959</v>
      </c>
      <c r="G90" s="7">
        <v>1</v>
      </c>
      <c r="H90" s="15" t="s">
        <v>486</v>
      </c>
      <c r="I90" s="15">
        <v>42650.577893518515</v>
      </c>
      <c r="J90" s="7">
        <v>0</v>
      </c>
      <c r="K90" s="117" t="str">
        <f t="shared" si="24"/>
        <v>4019/4020</v>
      </c>
      <c r="L90" s="24" t="str">
        <f>VLOOKUP(A90,'Trips&amp;Operators'!$C$1:$E$10000,3,FALSE)</f>
        <v>BONDS</v>
      </c>
      <c r="M90" s="6">
        <f t="shared" si="25"/>
        <v>2.5555555555911269E-2</v>
      </c>
      <c r="N90" s="7">
        <f t="shared" si="39"/>
        <v>36.800000000512227</v>
      </c>
      <c r="O90" s="7"/>
      <c r="P90" s="7"/>
      <c r="Q90" s="25"/>
      <c r="R90" s="25"/>
      <c r="S90" s="37">
        <f t="shared" si="40"/>
        <v>1</v>
      </c>
      <c r="T90" s="52" t="str">
        <f t="shared" si="26"/>
        <v>NorthBound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12:06:23-0600',mode:absolute,to:'2016-10-07 14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0" s="54" t="str">
        <f t="shared" si="28"/>
        <v>N</v>
      </c>
      <c r="X90" s="164">
        <f t="shared" si="41"/>
        <v>1</v>
      </c>
      <c r="Y90" s="69">
        <f t="shared" si="30"/>
        <v>4.6600000000000003E-2</v>
      </c>
      <c r="Z90" s="69">
        <f t="shared" si="31"/>
        <v>23.3278</v>
      </c>
      <c r="AA90" s="69">
        <f t="shared" si="32"/>
        <v>23.281199999999998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3"/>
        <v>0177-07</v>
      </c>
      <c r="AE90" s="95" t="str">
        <f t="shared" si="34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90" s="92" t="str">
        <f t="shared" si="35"/>
        <v>"C:\Program Files (x86)\AstroGrep\AstroGrep.exe" /spath="%USERPROFILE%\AppData\Local\Temp\OnboardLogs" /stypes="app*4020*20161007*" /stext=" 19:.+((SYSTEM_STATE.+slice.+state.+changed )|(ment ac)|(system.+state.+changed )|(\[timeout)|(PRM\|1\|D)|(kpr)|(kdp)|(\|lc)|(penalty))" /e /r /s</v>
      </c>
      <c r="AG90" s="1" t="str">
        <f t="shared" si="36"/>
        <v>EC</v>
      </c>
      <c r="AH90" s="96" t="str">
        <f t="shared" si="37"/>
        <v>"%USERPROFILE%\Documents\GitHub\eaglep3\Utilities\RefineRTDCRunTimes.py" --tripid 177-07 --locoid 4020 --swversion DE.1.0.7.0 --startMP 204:466 --initTime 2016-10-07T13:06:23 --startdatetime 2016-10-07T13:15:22 --delay 1 --endMP 204:233278 --enddatetime 2016-10-07T13:52:10 --enforcementcount 0 &gt;&gt;C:\Users\stu\Documents\GitHub\eaglep3-reporting\EC\2016-10-07-refined-times.txt</v>
      </c>
      <c r="AI90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{"issue":{"subject":"","project_id":79,"tracker_id":40,"status_id":1,"priority_id":2,"assigned_to_id":23,"start_date":"2016-10-07","description":"","custom_fields":[{"id":1,"name":"Subdivision","value":"EC"},{"id":4,"name":"Milepost","value":"23.3278"},{"id":17,"name":"Train ID","value":"177-07"},{"id":16,"name":"Locomotive ID","value":"4020"},{"id":130,"name":"Impact","value":""},{"id":150,"name":"Time of Event (Mountain Time)","value":"13:52:10"},{"id":151,"name":"Denver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487</v>
      </c>
      <c r="B91" s="7">
        <v>4019</v>
      </c>
      <c r="C91" s="24" t="s">
        <v>106</v>
      </c>
      <c r="D91" s="24" t="s">
        <v>402</v>
      </c>
      <c r="E91" s="15">
        <v>42650.582372685189</v>
      </c>
      <c r="F91" s="15">
        <v>42650.591157407405</v>
      </c>
      <c r="G91" s="7">
        <v>1</v>
      </c>
      <c r="H91" s="15" t="s">
        <v>330</v>
      </c>
      <c r="I91" s="15">
        <v>42650.617824074077</v>
      </c>
      <c r="J91" s="7">
        <v>0</v>
      </c>
      <c r="K91" s="117" t="str">
        <f t="shared" si="24"/>
        <v>4019/4020</v>
      </c>
      <c r="L91" s="24" t="str">
        <f>VLOOKUP(A91,'Trips&amp;Operators'!$C$1:$E$10000,3,FALSE)</f>
        <v>BONDS</v>
      </c>
      <c r="M91" s="6">
        <f t="shared" si="25"/>
        <v>2.6666666672099382E-2</v>
      </c>
      <c r="N91" s="7">
        <f t="shared" si="39"/>
        <v>38.40000000782311</v>
      </c>
      <c r="O91" s="7"/>
      <c r="P91" s="7"/>
      <c r="Q91" s="25"/>
      <c r="R91" s="25"/>
      <c r="S91" s="37">
        <f t="shared" si="40"/>
        <v>1</v>
      </c>
      <c r="T91" s="52" t="str">
        <f t="shared" si="26"/>
        <v>Southbound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12:58:37-0600',mode:absolute,to:'2016-10-07 15:49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1" s="54" t="str">
        <f t="shared" si="28"/>
        <v>N</v>
      </c>
      <c r="X91" s="164">
        <f t="shared" ref="X91:X122" si="42">VALUE(LEFT(AD91,4))-VALUE(LEFT(AD90,4))</f>
        <v>1</v>
      </c>
      <c r="Y91" s="69">
        <f t="shared" si="30"/>
        <v>23.298100000000002</v>
      </c>
      <c r="Z91" s="69">
        <f t="shared" si="31"/>
        <v>1.3599999999999999E-2</v>
      </c>
      <c r="AA91" s="69">
        <f t="shared" si="32"/>
        <v>23.284500000000001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3"/>
        <v>0178-07</v>
      </c>
      <c r="AE91" s="95" t="str">
        <f t="shared" si="34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91" s="92" t="str">
        <f t="shared" si="35"/>
        <v>"C:\Program Files (x86)\AstroGrep\AstroGrep.exe" /spath="%USERPROFILE%\AppData\Local\Temp\OnboardLogs" /stypes="app*4019*20161007*" /stext=" 20:.+((SYSTEM_STATE.+slice.+state.+changed )|(ment ac)|(system.+state.+changed )|(\[timeout)|(PRM\|1\|D)|(kpr)|(kdp)|(\|lc)|(penalty))" /e /r /s</v>
      </c>
      <c r="AG91" s="1" t="str">
        <f t="shared" si="36"/>
        <v>EC</v>
      </c>
      <c r="AH91" s="96" t="str">
        <f t="shared" si="37"/>
        <v>"%USERPROFILE%\Documents\GitHub\eaglep3\Utilities\RefineRTDCRunTimes.py" --tripid 178-07 --locoid 4019 --swversion DE.1.0.7.0 --startMP 204:232981 --initTime 2016-10-07T13:58:37 --startdatetime 2016-10-07T14:11:16 --delay 1 --endMP 204:136 --enddatetime 2016-10-07T14:49:40 --enforcementcount 0 &gt;&gt;C:\Users\stu\Documents\GitHub\eaglep3-reporting\EC\2016-10-07-refined-times.txt</v>
      </c>
      <c r="AI91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{"issue":{"subject":"","project_id":79,"tracker_id":40,"status_id":1,"priority_id":2,"assigned_to_id":23,"start_date":"2016-10-07","description":"","custom_fields":[{"id":1,"name":"Subdivision","value":"EC"},{"id":4,"name":"Milepost","value":"0.0136"},{"id":17,"name":"Train ID","value":"178-07"},{"id":16,"name":"Locomotive ID","value":"4019"},{"id":130,"name":"Impact","value":""},{"id":150,"name":"Time of Event (Mountain Time)","value":"14:49:40"},{"id":151,"name":"Denver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488</v>
      </c>
      <c r="B92" s="7">
        <v>4007</v>
      </c>
      <c r="C92" s="24" t="s">
        <v>106</v>
      </c>
      <c r="D92" s="24" t="s">
        <v>257</v>
      </c>
      <c r="E92" s="15">
        <v>42650.55809027778</v>
      </c>
      <c r="F92" s="15">
        <v>42650.562719907408</v>
      </c>
      <c r="G92" s="7">
        <v>1</v>
      </c>
      <c r="H92" s="15" t="s">
        <v>489</v>
      </c>
      <c r="I92" s="15">
        <v>42650.588680555556</v>
      </c>
      <c r="J92" s="7">
        <v>0</v>
      </c>
      <c r="K92" s="117" t="str">
        <f t="shared" si="24"/>
        <v>4007/4008</v>
      </c>
      <c r="L92" s="24" t="str">
        <f>VLOOKUP(A92,'Trips&amp;Operators'!$C$1:$E$10000,3,FALSE)</f>
        <v>MOSES</v>
      </c>
      <c r="M92" s="6">
        <f t="shared" si="25"/>
        <v>2.5960648148611654E-2</v>
      </c>
      <c r="N92" s="7">
        <f t="shared" si="39"/>
        <v>37.383333334000781</v>
      </c>
      <c r="O92" s="7"/>
      <c r="P92" s="7"/>
      <c r="Q92" s="25"/>
      <c r="R92" s="25"/>
      <c r="S92" s="37">
        <f t="shared" si="40"/>
        <v>1</v>
      </c>
      <c r="T92" s="52" t="str">
        <f t="shared" si="26"/>
        <v>NorthBound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12:23:39-0600',mode:absolute,to:'2016-10-07 15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2" s="54" t="str">
        <f t="shared" si="28"/>
        <v>N</v>
      </c>
      <c r="X92" s="164">
        <f t="shared" si="42"/>
        <v>1</v>
      </c>
      <c r="Y92" s="69">
        <f t="shared" si="30"/>
        <v>4.4600000000000001E-2</v>
      </c>
      <c r="Z92" s="69">
        <f t="shared" si="31"/>
        <v>23.328800000000001</v>
      </c>
      <c r="AA92" s="69">
        <f t="shared" si="32"/>
        <v>23.284200000000002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3"/>
        <v>0179-07</v>
      </c>
      <c r="AE92" s="95" t="str">
        <f t="shared" si="34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92" s="92" t="str">
        <f t="shared" si="35"/>
        <v>"C:\Program Files (x86)\AstroGrep\AstroGrep.exe" /spath="%USERPROFILE%\AppData\Local\Temp\OnboardLogs" /stypes="app*4007*20161007*" /stext=" 20:.+((SYSTEM_STATE.+slice.+state.+changed )|(ment ac)|(system.+state.+changed )|(\[timeout)|(PRM\|1\|D)|(kpr)|(kdp)|(\|lc)|(penalty))" /e /r /s</v>
      </c>
      <c r="AG92" s="1" t="str">
        <f t="shared" si="36"/>
        <v>EC</v>
      </c>
      <c r="AH92" s="96" t="str">
        <f t="shared" si="37"/>
        <v>"%USERPROFILE%\Documents\GitHub\eaglep3\Utilities\RefineRTDCRunTimes.py" --tripid 179-07 --locoid 4007 --swversion DE.1.0.7.0 --startMP 204:446 --initTime 2016-10-07T13:23:39 --startdatetime 2016-10-07T13:30:19 --delay 1 --endMP 204:233288 --enddatetime 2016-10-07T14:07:42 --enforcementcount 0 &gt;&gt;C:\Users\stu\Documents\GitHub\eaglep3-reporting\EC\2016-10-07-refined-times.txt</v>
      </c>
      <c r="AI92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{"issue":{"subject":"","project_id":79,"tracker_id":40,"status_id":1,"priority_id":2,"assigned_to_id":23,"start_date":"2016-10-07","description":"","custom_fields":[{"id":1,"name":"Subdivision","value":"EC"},{"id":4,"name":"Milepost","value":"23.3288"},{"id":17,"name":"Train ID","value":"179-07"},{"id":16,"name":"Locomotive ID","value":"4007"},{"id":130,"name":"Impact","value":""},{"id":150,"name":"Time of Event (Mountain Time)","value":"14:07:42"},{"id":151,"name":"Denver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490</v>
      </c>
      <c r="B93" s="7">
        <v>4008</v>
      </c>
      <c r="C93" s="24" t="s">
        <v>106</v>
      </c>
      <c r="D93" s="24" t="s">
        <v>491</v>
      </c>
      <c r="E93" s="15">
        <v>42650.597754629627</v>
      </c>
      <c r="F93" s="15">
        <v>42650.601620370369</v>
      </c>
      <c r="G93" s="7">
        <v>1</v>
      </c>
      <c r="H93" s="15" t="s">
        <v>195</v>
      </c>
      <c r="I93" s="15">
        <v>42650.628993055558</v>
      </c>
      <c r="J93" s="7">
        <v>0</v>
      </c>
      <c r="K93" s="117" t="str">
        <f t="shared" si="24"/>
        <v>4007/4008</v>
      </c>
      <c r="L93" s="24" t="str">
        <f>VLOOKUP(A93,'Trips&amp;Operators'!$C$1:$E$10000,3,FALSE)</f>
        <v>MOSES</v>
      </c>
      <c r="M93" s="6">
        <f t="shared" si="25"/>
        <v>2.7372685188311152E-2</v>
      </c>
      <c r="N93" s="7">
        <f t="shared" si="39"/>
        <v>39.416666671168059</v>
      </c>
      <c r="O93" s="7"/>
      <c r="P93" s="7"/>
      <c r="Q93" s="25"/>
      <c r="R93" s="25"/>
      <c r="S93" s="37">
        <f t="shared" si="40"/>
        <v>1</v>
      </c>
      <c r="T93" s="52" t="str">
        <f t="shared" si="26"/>
        <v>Southbound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13:20:46-0600',mode:absolute,to:'2016-10-07 16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3" s="54" t="str">
        <f t="shared" si="28"/>
        <v>N</v>
      </c>
      <c r="X93" s="164">
        <f t="shared" si="42"/>
        <v>1</v>
      </c>
      <c r="Y93" s="69">
        <f t="shared" si="30"/>
        <v>23.298200000000001</v>
      </c>
      <c r="Z93" s="69">
        <f t="shared" si="31"/>
        <v>1.52E-2</v>
      </c>
      <c r="AA93" s="69">
        <f t="shared" si="32"/>
        <v>23.283000000000001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3"/>
        <v>0180-07</v>
      </c>
      <c r="AE93" s="95" t="str">
        <f t="shared" si="34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93" s="92" t="str">
        <f t="shared" si="35"/>
        <v>"C:\Program Files (x86)\AstroGrep\AstroGrep.exe" /spath="%USERPROFILE%\AppData\Local\Temp\OnboardLogs" /stypes="app*4008*20161007*" /stext=" 21:.+((SYSTEM_STATE.+slice.+state.+changed )|(ment ac)|(system.+state.+changed )|(\[timeout)|(PRM\|1\|D)|(kpr)|(kdp)|(\|lc)|(penalty))" /e /r /s</v>
      </c>
      <c r="AG93" s="1" t="str">
        <f t="shared" si="36"/>
        <v>EC</v>
      </c>
      <c r="AH93" s="96" t="str">
        <f t="shared" si="37"/>
        <v>"%USERPROFILE%\Documents\GitHub\eaglep3\Utilities\RefineRTDCRunTimes.py" --tripid 180-07 --locoid 4008 --swversion DE.1.0.7.0 --startMP 204:232982 --initTime 2016-10-07T14:20:46 --startdatetime 2016-10-07T14:26:20 --delay 1 --endMP 204:152 --enddatetime 2016-10-07T15:05:45 --enforcementcount 0 &gt;&gt;C:\Users\stu\Documents\GitHub\eaglep3-reporting\EC\2016-10-07-refined-times.txt</v>
      </c>
      <c r="AI93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{"issue":{"subject":"","project_id":79,"tracker_id":40,"status_id":1,"priority_id":2,"assigned_to_id":23,"start_date":"2016-10-07","description":"","custom_fields":[{"id":1,"name":"Subdivision","value":"EC"},{"id":4,"name":"Milepost","value":"0.0152"},{"id":17,"name":"Train ID","value":"180-07"},{"id":16,"name":"Locomotive ID","value":"4008"},{"id":130,"name":"Impact","value":""},{"id":150,"name":"Time of Event (Mountain Time)","value":"15:05:45"},{"id":151,"name":"Denver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492</v>
      </c>
      <c r="B94" s="7">
        <v>4042</v>
      </c>
      <c r="C94" s="24" t="s">
        <v>106</v>
      </c>
      <c r="D94" s="24" t="s">
        <v>216</v>
      </c>
      <c r="E94" s="15">
        <v>42650.56758101852</v>
      </c>
      <c r="F94" s="15">
        <v>42650.573194444441</v>
      </c>
      <c r="G94" s="7">
        <v>1</v>
      </c>
      <c r="H94" s="15" t="s">
        <v>493</v>
      </c>
      <c r="I94" s="15">
        <v>42650.598680555559</v>
      </c>
      <c r="J94" s="7">
        <v>0</v>
      </c>
      <c r="K94" s="117" t="str">
        <f t="shared" si="24"/>
        <v>4041/4042</v>
      </c>
      <c r="L94" s="24" t="str">
        <f>VLOOKUP(A94,'Trips&amp;Operators'!$C$1:$E$10000,3,FALSE)</f>
        <v>HILLS</v>
      </c>
      <c r="M94" s="6">
        <f t="shared" si="25"/>
        <v>2.5486111117061228E-2</v>
      </c>
      <c r="N94" s="7">
        <f t="shared" si="39"/>
        <v>36.700000008568168</v>
      </c>
      <c r="O94" s="7"/>
      <c r="P94" s="7"/>
      <c r="Q94" s="25"/>
      <c r="R94" s="25"/>
      <c r="S94" s="37">
        <f t="shared" si="40"/>
        <v>1</v>
      </c>
      <c r="T94" s="52" t="str">
        <f t="shared" si="26"/>
        <v>NorthBound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12:37:19-0600',mode:absolute,to:'2016-10-07 15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4" s="54" t="str">
        <f t="shared" si="28"/>
        <v>N</v>
      </c>
      <c r="X94" s="164">
        <f t="shared" si="42"/>
        <v>1</v>
      </c>
      <c r="Y94" s="69">
        <f t="shared" si="30"/>
        <v>4.6399999999999997E-2</v>
      </c>
      <c r="Z94" s="69">
        <f t="shared" si="31"/>
        <v>23.334700000000002</v>
      </c>
      <c r="AA94" s="69">
        <f t="shared" si="32"/>
        <v>23.288300000000003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3"/>
        <v>0181-07</v>
      </c>
      <c r="AE94" s="95" t="str">
        <f t="shared" si="34"/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94" s="92" t="str">
        <f t="shared" si="35"/>
        <v>"C:\Program Files (x86)\AstroGrep\AstroGrep.exe" /spath="%USERPROFILE%\AppData\Local\Temp\OnboardLogs" /stypes="app*4042*20161007*" /stext=" 20:.+((SYSTEM_STATE.+slice.+state.+changed )|(ment ac)|(system.+state.+changed )|(\[timeout)|(PRM\|1\|D)|(kpr)|(kdp)|(\|lc)|(penalty))" /e /r /s</v>
      </c>
      <c r="AG94" s="1" t="str">
        <f t="shared" si="36"/>
        <v>EC</v>
      </c>
      <c r="AH94" s="96" t="str">
        <f t="shared" si="37"/>
        <v>"%USERPROFILE%\Documents\GitHub\eaglep3\Utilities\RefineRTDCRunTimes.py" --tripid 181-07 --locoid 4042 --swversion DE.1.0.7.0 --startMP 204:464 --initTime 2016-10-07T13:37:19 --startdatetime 2016-10-07T13:45:24 --delay 1 --endMP 204:233347 --enddatetime 2016-10-07T14:22:06 --enforcementcount 0 &gt;&gt;C:\Users\stu\Documents\GitHub\eaglep3-reporting\EC\2016-10-07-refined-times.txt</v>
      </c>
      <c r="AI94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{"issue":{"subject":"","project_id":79,"tracker_id":40,"status_id":1,"priority_id":2,"assigned_to_id":23,"start_date":"2016-10-07","description":"","custom_fields":[{"id":1,"name":"Subdivision","value":"EC"},{"id":4,"name":"Milepost","value":"23.3347"},{"id":17,"name":"Train ID","value":"181-07"},{"id":16,"name":"Locomotive ID","value":"4042"},{"id":130,"name":"Impact","value":""},{"id":150,"name":"Time of Event (Mountain Time)","value":"14:22:06"},{"id":151,"name":"Denver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494</v>
      </c>
      <c r="B95" s="7">
        <v>4041</v>
      </c>
      <c r="C95" s="24" t="s">
        <v>106</v>
      </c>
      <c r="D95" s="24" t="s">
        <v>277</v>
      </c>
      <c r="E95" s="15">
        <v>42650.60015046296</v>
      </c>
      <c r="F95" s="15">
        <v>42650.61209490741</v>
      </c>
      <c r="G95" s="7">
        <v>1</v>
      </c>
      <c r="H95" s="15" t="s">
        <v>336</v>
      </c>
      <c r="I95" s="15">
        <v>42650.639953703707</v>
      </c>
      <c r="J95" s="7">
        <v>0</v>
      </c>
      <c r="K95" s="117" t="str">
        <f t="shared" si="24"/>
        <v>4041/4042</v>
      </c>
      <c r="L95" s="24" t="str">
        <f>VLOOKUP(A95,'Trips&amp;Operators'!$C$1:$E$10000,3,FALSE)</f>
        <v>HILLS</v>
      </c>
      <c r="M95" s="6">
        <f t="shared" si="25"/>
        <v>2.7858796296641231E-2</v>
      </c>
      <c r="N95" s="7">
        <f t="shared" si="39"/>
        <v>40.116666667163372</v>
      </c>
      <c r="O95" s="7"/>
      <c r="P95" s="7"/>
      <c r="Q95" s="25"/>
      <c r="R95" s="25"/>
      <c r="S95" s="37">
        <f t="shared" si="40"/>
        <v>1</v>
      </c>
      <c r="T95" s="52" t="str">
        <f t="shared" si="26"/>
        <v>Southbound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13:24:13-0600',mode:absolute,to:'2016-10-07 16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5" s="54" t="str">
        <f t="shared" si="28"/>
        <v>N</v>
      </c>
      <c r="X95" s="164">
        <f t="shared" si="42"/>
        <v>1</v>
      </c>
      <c r="Y95" s="69">
        <f t="shared" si="30"/>
        <v>23.301300000000001</v>
      </c>
      <c r="Z95" s="69">
        <f t="shared" si="31"/>
        <v>1.43E-2</v>
      </c>
      <c r="AA95" s="69">
        <f t="shared" si="32"/>
        <v>23.287000000000003</v>
      </c>
      <c r="AB95" s="66" t="str">
        <f>VLOOKUP(A95,Enforcements!$C$7:$K$21,8,0)</f>
        <v>Signal based authority (5)</v>
      </c>
      <c r="AC95" s="62" t="str">
        <f>VLOOKUP(A95,Enforcements!$C$7:$E$21,3,0)</f>
        <v>SIGNAL</v>
      </c>
      <c r="AD95" s="63" t="str">
        <f t="shared" si="33"/>
        <v>0182-07</v>
      </c>
      <c r="AE95" s="95" t="str">
        <f t="shared" si="34"/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95" s="92" t="str">
        <f t="shared" si="35"/>
        <v>"C:\Program Files (x86)\AstroGrep\AstroGrep.exe" /spath="%USERPROFILE%\AppData\Local\Temp\OnboardLogs" /stypes="app*4041*20161007*" /stext=" 21:.+((SYSTEM_STATE.+slice.+state.+changed )|(ment ac)|(system.+state.+changed )|(\[timeout)|(PRM\|1\|D)|(kpr)|(kdp)|(\|lc)|(penalty))" /e /r /s</v>
      </c>
      <c r="AG95" s="1" t="str">
        <f t="shared" si="36"/>
        <v>EC</v>
      </c>
      <c r="AH95" s="96" t="str">
        <f t="shared" si="37"/>
        <v>"%USERPROFILE%\Documents\GitHub\eaglep3\Utilities\RefineRTDCRunTimes.py" --tripid 182-07 --locoid 4041 --swversion DE.1.0.7.0 --startMP 204:233013 --initTime 2016-10-07T14:24:13 --startdatetime 2016-10-07T14:41:25 --delay 1 --endMP 204:143 --enddatetime 2016-10-07T15:21:32 --enforcementcount 0 &gt;&gt;C:\Users\stu\Documents\GitHub\eaglep3-reporting\EC\2016-10-07-refined-times.txt</v>
      </c>
      <c r="AI95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ID","value":"182-07"},{"id":16,"name":"Locomotive ID","value":"4041"},{"id":130,"name":"Impact","value":""},{"id":150,"name":"Time of Event (Mountain Time)","value":"15:21:32"},{"id":151,"name":"Denver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495</v>
      </c>
      <c r="B96" s="7">
        <v>4038</v>
      </c>
      <c r="C96" s="24" t="s">
        <v>106</v>
      </c>
      <c r="D96" s="24" t="s">
        <v>203</v>
      </c>
      <c r="E96" s="15">
        <v>42650.578055555554</v>
      </c>
      <c r="F96" s="15">
        <v>42650.583738425928</v>
      </c>
      <c r="G96" s="7">
        <v>1</v>
      </c>
      <c r="H96" s="15" t="s">
        <v>496</v>
      </c>
      <c r="I96" s="15">
        <v>42650.608749999999</v>
      </c>
      <c r="J96" s="7">
        <v>0</v>
      </c>
      <c r="K96" s="117" t="str">
        <f t="shared" si="24"/>
        <v>4037/4038</v>
      </c>
      <c r="L96" s="24" t="str">
        <f>VLOOKUP(A96,'Trips&amp;Operators'!$C$1:$E$10000,3,FALSE)</f>
        <v>SHOOK</v>
      </c>
      <c r="M96" s="6">
        <f t="shared" si="25"/>
        <v>2.5011574070958886E-2</v>
      </c>
      <c r="N96" s="7">
        <f t="shared" si="39"/>
        <v>36.016666662180796</v>
      </c>
      <c r="O96" s="7"/>
      <c r="P96" s="7"/>
      <c r="Q96" s="25"/>
      <c r="R96" s="25"/>
      <c r="S96" s="37">
        <f t="shared" si="40"/>
        <v>1</v>
      </c>
      <c r="T96" s="52" t="str">
        <f t="shared" si="26"/>
        <v>NorthBound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12:52:24-0600',mode:absolute,to:'2016-10-07 15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6" s="54" t="str">
        <f t="shared" si="28"/>
        <v>N</v>
      </c>
      <c r="X96" s="164">
        <f t="shared" si="42"/>
        <v>1</v>
      </c>
      <c r="Y96" s="69">
        <f t="shared" si="30"/>
        <v>4.6199999999999998E-2</v>
      </c>
      <c r="Z96" s="69">
        <f t="shared" si="31"/>
        <v>23.335899999999999</v>
      </c>
      <c r="AA96" s="69">
        <f t="shared" si="32"/>
        <v>23.2897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3"/>
        <v>0183-07</v>
      </c>
      <c r="AE96" s="95" t="str">
        <f t="shared" si="34"/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96" s="92" t="str">
        <f t="shared" si="35"/>
        <v>"C:\Program Files (x86)\AstroGrep\AstroGrep.exe" /spath="%USERPROFILE%\AppData\Local\Temp\OnboardLogs" /stypes="app*4038*20161007*" /stext=" 20:.+((SYSTEM_STATE.+slice.+state.+changed )|(ment ac)|(system.+state.+changed )|(\[timeout)|(PRM\|1\|D)|(kpr)|(kdp)|(\|lc)|(penalty))" /e /r /s</v>
      </c>
      <c r="AG96" s="1" t="str">
        <f t="shared" si="36"/>
        <v>EC</v>
      </c>
      <c r="AH96" s="96" t="str">
        <f t="shared" si="37"/>
        <v>"%USERPROFILE%\Documents\GitHub\eaglep3\Utilities\RefineRTDCRunTimes.py" --tripid 183-07 --locoid 4038 --swversion DE.1.0.7.0 --startMP 204:462 --initTime 2016-10-07T13:52:24 --startdatetime 2016-10-07T14:00:35 --delay 1 --endMP 204:233359 --enddatetime 2016-10-07T14:36:36 --enforcementcount 0 &gt;&gt;C:\Users\stu\Documents\GitHub\eaglep3-reporting\EC\2016-10-07-refined-times.txt</v>
      </c>
      <c r="AI96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{"issue":{"subject":"","project_id":79,"tracker_id":40,"status_id":1,"priority_id":2,"assigned_to_id":23,"start_date":"2016-10-07","description":"","custom_fields":[{"id":1,"name":"Subdivision","value":"EC"},{"id":4,"name":"Milepost","value":"23.3359"},{"id":17,"name":"Train ID","value":"183-07"},{"id":16,"name":"Locomotive ID","value":"4038"},{"id":130,"name":"Impact","value":""},{"id":150,"name":"Time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497</v>
      </c>
      <c r="B97" s="7">
        <v>4037</v>
      </c>
      <c r="C97" s="24" t="s">
        <v>106</v>
      </c>
      <c r="D97" s="24" t="s">
        <v>498</v>
      </c>
      <c r="E97" s="15">
        <v>42650.617893518516</v>
      </c>
      <c r="F97" s="15">
        <v>42650.622465277775</v>
      </c>
      <c r="G97" s="7">
        <v>1</v>
      </c>
      <c r="H97" s="15" t="s">
        <v>206</v>
      </c>
      <c r="I97" s="15">
        <v>42650.650451388887</v>
      </c>
      <c r="J97" s="7">
        <v>0</v>
      </c>
      <c r="K97" s="117" t="str">
        <f t="shared" si="24"/>
        <v>4037/4038</v>
      </c>
      <c r="L97" s="24" t="str">
        <f>VLOOKUP(A97,'Trips&amp;Operators'!$C$1:$E$10000,3,FALSE)</f>
        <v>SHOOK</v>
      </c>
      <c r="M97" s="6">
        <f t="shared" si="25"/>
        <v>2.7986111112113576E-2</v>
      </c>
      <c r="N97" s="7">
        <f t="shared" si="39"/>
        <v>40.30000000144355</v>
      </c>
      <c r="O97" s="7"/>
      <c r="P97" s="7"/>
      <c r="Q97" s="25"/>
      <c r="R97" s="25"/>
      <c r="S97" s="37">
        <f t="shared" si="40"/>
        <v>1</v>
      </c>
      <c r="T97" s="52" t="str">
        <f t="shared" si="26"/>
        <v>Southbound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13:49:46-0600',mode:absolute,to:'2016-10-07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7" s="54" t="str">
        <f t="shared" si="28"/>
        <v>N</v>
      </c>
      <c r="X97" s="164">
        <f t="shared" si="42"/>
        <v>1</v>
      </c>
      <c r="Y97" s="69">
        <f t="shared" si="30"/>
        <v>23.303799999999999</v>
      </c>
      <c r="Z97" s="69">
        <f t="shared" si="31"/>
        <v>1.5599999999999999E-2</v>
      </c>
      <c r="AA97" s="69">
        <f t="shared" si="32"/>
        <v>23.2882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3"/>
        <v>0184-07</v>
      </c>
      <c r="AE97" s="95" t="str">
        <f t="shared" si="34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97" s="92" t="str">
        <f t="shared" si="35"/>
        <v>"C:\Program Files (x86)\AstroGrep\AstroGrep.exe" /spath="%USERPROFILE%\AppData\Local\Temp\OnboardLogs" /stypes="app*4037*20161007*" /stext=" 21:.+((SYSTEM_STATE.+slice.+state.+changed )|(ment ac)|(system.+state.+changed )|(\[timeout)|(PRM\|1\|D)|(kpr)|(kdp)|(\|lc)|(penalty))" /e /r /s</v>
      </c>
      <c r="AG97" s="1" t="str">
        <f t="shared" si="36"/>
        <v>EC</v>
      </c>
      <c r="AH97" s="96" t="str">
        <f t="shared" si="37"/>
        <v>"%USERPROFILE%\Documents\GitHub\eaglep3\Utilities\RefineRTDCRunTimes.py" --tripid 184-07 --locoid 4037 --swversion DE.1.0.7.0 --startMP 204:233038 --initTime 2016-10-07T14:49:46 --startdatetime 2016-10-07T14:56:21 --delay 1 --endMP 204:156 --enddatetime 2016-10-07T15:36:39 --enforcementcount 0 &gt;&gt;C:\Users\stu\Documents\GitHub\eaglep3-reporting\EC\2016-10-07-refined-times.txt</v>
      </c>
      <c r="AI97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ID","value":"184-07"},{"id":16,"name":"Locomotive ID","value":"4037"},{"id":130,"name":"Impact","value":""},{"id":150,"name":"Time of Event (Mountain Time)","value":"15:36:39"},{"id":151,"name":"Denver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499</v>
      </c>
      <c r="B98" s="7">
        <v>4003</v>
      </c>
      <c r="C98" s="24" t="s">
        <v>106</v>
      </c>
      <c r="D98" s="24" t="s">
        <v>500</v>
      </c>
      <c r="E98" s="15">
        <v>42650.589409722219</v>
      </c>
      <c r="F98" s="15">
        <v>42650.594444444447</v>
      </c>
      <c r="G98" s="7">
        <v>2</v>
      </c>
      <c r="H98" s="15" t="s">
        <v>501</v>
      </c>
      <c r="I98" s="15">
        <v>42650.620821759258</v>
      </c>
      <c r="J98" s="7">
        <v>0</v>
      </c>
      <c r="K98" s="117" t="str">
        <f t="shared" si="24"/>
        <v>4003/4004</v>
      </c>
      <c r="L98" s="24" t="str">
        <f>VLOOKUP(A98,'Trips&amp;Operators'!$C$1:$E$10000,3,FALSE)</f>
        <v>STORY</v>
      </c>
      <c r="M98" s="6">
        <f t="shared" si="25"/>
        <v>2.6377314810815733E-2</v>
      </c>
      <c r="N98" s="7">
        <f t="shared" si="39"/>
        <v>37.983333327574655</v>
      </c>
      <c r="O98" s="7"/>
      <c r="P98" s="7"/>
      <c r="Q98" s="25"/>
      <c r="R98" s="25"/>
      <c r="S98" s="37">
        <f t="shared" si="40"/>
        <v>1</v>
      </c>
      <c r="T98" s="52" t="str">
        <f t="shared" si="26"/>
        <v>NorthBound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13:08:45-0600',mode:absolute,to:'2016-10-07 15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8" s="54" t="str">
        <f t="shared" si="28"/>
        <v>N</v>
      </c>
      <c r="X98" s="164">
        <f t="shared" si="42"/>
        <v>1</v>
      </c>
      <c r="Y98" s="69">
        <f t="shared" si="30"/>
        <v>5.0200000000000002E-2</v>
      </c>
      <c r="Z98" s="69">
        <f t="shared" si="31"/>
        <v>23.3249</v>
      </c>
      <c r="AA98" s="69">
        <f t="shared" si="32"/>
        <v>23.274699999999999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3"/>
        <v>0185-07</v>
      </c>
      <c r="AE98" s="95" t="str">
        <f t="shared" si="34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98" s="92" t="str">
        <f t="shared" si="35"/>
        <v>"C:\Program Files (x86)\AstroGrep\AstroGrep.exe" /spath="%USERPROFILE%\AppData\Local\Temp\OnboardLogs" /stypes="app*4003*20161007*" /stext=" 20:.+((SYSTEM_STATE.+slice.+state.+changed )|(ment ac)|(system.+state.+changed )|(\[timeout)|(PRM\|1\|D)|(kpr)|(kdp)|(\|lc)|(penalty))" /e /r /s</v>
      </c>
      <c r="AG98" s="1" t="str">
        <f t="shared" si="36"/>
        <v>EC</v>
      </c>
      <c r="AH98" s="96" t="str">
        <f t="shared" si="37"/>
        <v>"%USERPROFILE%\Documents\GitHub\eaglep3\Utilities\RefineRTDCRunTimes.py" --tripid 185-07 --locoid 4003 --swversion DE.1.0.7.0 --startMP 204:502 --initTime 2016-10-07T14:08:45 --startdatetime 2016-10-07T14:16:00 --delay 2 --endMP 204:233249 --enddatetime 2016-10-07T14:53:59 --enforcementcount 0 &gt;&gt;C:\Users\stu\Documents\GitHub\eaglep3-reporting\EC\2016-10-07-refined-times.txt</v>
      </c>
      <c r="AI98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{"issue":{"subject":"","project_id":79,"tracker_id":40,"status_id":1,"priority_id":2,"assigned_to_id":23,"start_date":"2016-10-07","description":"","custom_fields":[{"id":1,"name":"Subdivision","value":"EC"},{"id":4,"name":"Milepost","value":"23.3249"},{"id":17,"name":"Train ID","value":"185-07"},{"id":16,"name":"Locomotive ID","value":"4003"},{"id":130,"name":"Impact","value":""},{"id":150,"name":"Time of Event (Mountain Time)","value":"14:53:59"},{"id":151,"name":"Denver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502</v>
      </c>
      <c r="B99" s="7">
        <v>4004</v>
      </c>
      <c r="C99" s="24" t="s">
        <v>106</v>
      </c>
      <c r="D99" s="24" t="s">
        <v>503</v>
      </c>
      <c r="E99" s="15">
        <v>42650.629189814812</v>
      </c>
      <c r="F99" s="15">
        <v>42650.633240740739</v>
      </c>
      <c r="G99" s="7">
        <v>2</v>
      </c>
      <c r="H99" s="15" t="s">
        <v>206</v>
      </c>
      <c r="I99" s="15">
        <v>42650.660543981481</v>
      </c>
      <c r="J99" s="7">
        <v>0</v>
      </c>
      <c r="K99" s="117" t="str">
        <f t="shared" si="24"/>
        <v>4003/4004</v>
      </c>
      <c r="L99" s="24" t="str">
        <f>VLOOKUP(A99,'Trips&amp;Operators'!$C$1:$E$10000,3,FALSE)</f>
        <v>STORY</v>
      </c>
      <c r="M99" s="6">
        <f t="shared" si="25"/>
        <v>2.7303240742185153E-2</v>
      </c>
      <c r="N99" s="7">
        <f t="shared" si="39"/>
        <v>39.31666666874662</v>
      </c>
      <c r="O99" s="7"/>
      <c r="P99" s="7"/>
      <c r="Q99" s="25"/>
      <c r="R99" s="25"/>
      <c r="S99" s="37">
        <f t="shared" si="40"/>
        <v>1</v>
      </c>
      <c r="T99" s="52" t="str">
        <f t="shared" si="26"/>
        <v>Southbound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14:06:02-0600',mode:absolute,to:'2016-10-07 16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9" s="54" t="str">
        <f t="shared" si="28"/>
        <v>N</v>
      </c>
      <c r="X99" s="164">
        <f t="shared" si="42"/>
        <v>1</v>
      </c>
      <c r="Y99" s="69">
        <f t="shared" si="30"/>
        <v>23.293800000000001</v>
      </c>
      <c r="Z99" s="69">
        <f t="shared" si="31"/>
        <v>1.5599999999999999E-2</v>
      </c>
      <c r="AA99" s="69">
        <f t="shared" si="32"/>
        <v>23.278200000000002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3"/>
        <v>0186-07</v>
      </c>
      <c r="AE99" s="95" t="str">
        <f t="shared" si="34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99" s="92" t="str">
        <f t="shared" si="35"/>
        <v>"C:\Program Files (x86)\AstroGrep\AstroGrep.exe" /spath="%USERPROFILE%\AppData\Local\Temp\OnboardLogs" /stypes="app*4004*20161007*" /stext=" 21:.+((SYSTEM_STATE.+slice.+state.+changed )|(ment ac)|(system.+state.+changed )|(\[timeout)|(PRM\|1\|D)|(kpr)|(kdp)|(\|lc)|(penalty))" /e /r /s</v>
      </c>
      <c r="AG99" s="1" t="str">
        <f t="shared" si="36"/>
        <v>EC</v>
      </c>
      <c r="AH99" s="96" t="str">
        <f t="shared" si="37"/>
        <v>"%USERPROFILE%\Documents\GitHub\eaglep3\Utilities\RefineRTDCRunTimes.py" --tripid 186-07 --locoid 4004 --swversion DE.1.0.7.0 --startMP 204:232938 --initTime 2016-10-07T15:06:02 --startdatetime 2016-10-07T15:11:52 --delay 2 --endMP 204:156 --enddatetime 2016-10-07T15:51:11 --enforcementcount 0 &gt;&gt;C:\Users\stu\Documents\GitHub\eaglep3-reporting\EC\2016-10-07-refined-times.txt</v>
      </c>
      <c r="AI99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ID","value":"186-07"},{"id":16,"name":"Locomotive ID","value":"4004"},{"id":130,"name":"Impact","value":""},{"id":150,"name":"Time of Event (Mountain Time)","value":"15:51:11"},{"id":151,"name":"Denver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504</v>
      </c>
      <c r="B100" s="7">
        <v>4018</v>
      </c>
      <c r="C100" s="24" t="s">
        <v>106</v>
      </c>
      <c r="D100" s="24" t="s">
        <v>230</v>
      </c>
      <c r="E100" s="15">
        <v>42650.601122685184</v>
      </c>
      <c r="F100" s="15">
        <v>42650.604537037034</v>
      </c>
      <c r="G100" s="7">
        <v>1</v>
      </c>
      <c r="H100" s="15" t="s">
        <v>292</v>
      </c>
      <c r="I100" s="15">
        <v>42650.63003472222</v>
      </c>
      <c r="J100" s="7">
        <v>0</v>
      </c>
      <c r="K100" s="117" t="str">
        <f t="shared" si="24"/>
        <v>4017/4018</v>
      </c>
      <c r="L100" s="24" t="str">
        <f>VLOOKUP(A100,'Trips&amp;Operators'!$C$1:$E$10000,3,FALSE)</f>
        <v>STEWART</v>
      </c>
      <c r="M100" s="6">
        <f t="shared" si="25"/>
        <v>2.5497685186564922E-2</v>
      </c>
      <c r="N100" s="7">
        <f t="shared" si="39"/>
        <v>36.716666668653488</v>
      </c>
      <c r="O100" s="7"/>
      <c r="P100" s="7"/>
      <c r="Q100" s="25"/>
      <c r="R100" s="25"/>
      <c r="S100" s="37">
        <f t="shared" si="40"/>
        <v>1</v>
      </c>
      <c r="T100" s="52" t="str">
        <f t="shared" si="26"/>
        <v>NorthBound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13:25:37-0600',mode:absolute,to:'2016-10-07 16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0" s="54" t="str">
        <f t="shared" si="28"/>
        <v>N</v>
      </c>
      <c r="X100" s="164">
        <f t="shared" si="42"/>
        <v>1</v>
      </c>
      <c r="Y100" s="69">
        <f t="shared" si="30"/>
        <v>4.7699999999999999E-2</v>
      </c>
      <c r="Z100" s="69">
        <f t="shared" si="31"/>
        <v>23.328600000000002</v>
      </c>
      <c r="AA100" s="69">
        <f t="shared" si="32"/>
        <v>23.280900000000003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3"/>
        <v>0187-07</v>
      </c>
      <c r="AE100" s="95" t="str">
        <f t="shared" si="34"/>
        <v>aws s3 cp s3://rtdc.mdm.uploadarchive.raw/RTDC4018/ "%USERPROFILE%\AppData\Local\Temp\OnboardLogs"\RTDC4018\2016-10-07 --exclude "*" --recursive --include "*20161007*" &amp; "%USERPROFILE%\Documents\GitHub\mrs-test-scripts\Headless Mode &amp; Sideloading\WalkAndUnGZ.bat" "%USERPROFILE%\AppData\Local\Temp\OnboardLogs"\RTDC4018\2016-10-07 &amp; aws s3 cp s3://rtdc.mdm.uploadarchive.raw/RTDC4018/ "%USERPROFILE%\AppData\Local\Temp\OnboardLogs"\RTDC4018\2016-10-08 --exclude "*" --recursive --include "*20161008*" &amp; "%USERPROFILE%\Documents\GitHub\mrs-test-scripts\Headless Mode &amp; Sideloading\WalkAndUnGZ.bat" "%USERPROFILE%\AppData\Local\Temp\OnboardLogs"\RTDC4018\2016-10-08</v>
      </c>
      <c r="AF100" s="92" t="str">
        <f t="shared" si="35"/>
        <v>"C:\Program Files (x86)\AstroGrep\AstroGrep.exe" /spath="%USERPROFILE%\AppData\Local\Temp\OnboardLogs" /stypes="app*4018*20161007*" /stext=" 21:.+((SYSTEM_STATE.+slice.+state.+changed )|(ment ac)|(system.+state.+changed )|(\[timeout)|(PRM\|1\|D)|(kpr)|(kdp)|(\|lc)|(penalty))" /e /r /s</v>
      </c>
      <c r="AG100" s="1" t="str">
        <f t="shared" si="36"/>
        <v>EC</v>
      </c>
      <c r="AH100" s="96" t="str">
        <f t="shared" si="37"/>
        <v>"%USERPROFILE%\Documents\GitHub\eaglep3\Utilities\RefineRTDCRunTimes.py" --tripid 187-07 --locoid 4018 --swversion DE.1.0.7.0 --startMP 204:477 --initTime 2016-10-07T14:25:37 --startdatetime 2016-10-07T14:30:32 --delay 1 --endMP 204:233286 --enddatetime 2016-10-07T15:07:15 --enforcementcount 0 &gt;&gt;C:\Users\stu\Documents\GitHub\eaglep3-reporting\EC\2016-10-07-refined-times.txt</v>
      </c>
      <c r="AI100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{"issue":{"subject":"","project_id":79,"tracker_id":40,"status_id":1,"priority_id":2,"assigned_to_id":23,"start_date":"2016-10-07","description":"","custom_fields":[{"id":1,"name":"Subdivision","value":"EC"},{"id":4,"name":"Milepost","value":"23.3286"},{"id":17,"name":"Train ID","value":"187-07"},{"id":16,"name":"Locomotive ID","value":"4018"},{"id":130,"name":"Impact","value":""},{"id":150,"name":"Time of Event (Mountain Time)","value":"15:07:15"},{"id":151,"name":"Denver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505</v>
      </c>
      <c r="B101" s="7">
        <v>4017</v>
      </c>
      <c r="C101" s="24" t="s">
        <v>106</v>
      </c>
      <c r="D101" s="24" t="s">
        <v>253</v>
      </c>
      <c r="E101" s="15">
        <v>42650.639189814814</v>
      </c>
      <c r="F101" s="15">
        <v>42650.643437500003</v>
      </c>
      <c r="G101" s="7">
        <v>1</v>
      </c>
      <c r="H101" s="15" t="s">
        <v>506</v>
      </c>
      <c r="I101" s="15">
        <v>42650.677835648145</v>
      </c>
      <c r="J101" s="7">
        <v>0</v>
      </c>
      <c r="K101" s="117" t="str">
        <f t="shared" si="24"/>
        <v>4017/4018</v>
      </c>
      <c r="L101" s="24" t="str">
        <f>VLOOKUP(A101,'Trips&amp;Operators'!$C$1:$E$10000,3,FALSE)</f>
        <v>STEWART</v>
      </c>
      <c r="M101" s="6">
        <f t="shared" si="25"/>
        <v>3.4398148141917773E-2</v>
      </c>
      <c r="N101" s="7">
        <f t="shared" si="39"/>
        <v>49.533333324361593</v>
      </c>
      <c r="O101" s="7"/>
      <c r="P101" s="7"/>
      <c r="Q101" s="25"/>
      <c r="R101" s="25"/>
      <c r="S101" s="37">
        <f t="shared" si="40"/>
        <v>1</v>
      </c>
      <c r="T101" s="52" t="str">
        <f t="shared" si="26"/>
        <v>Southbound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14:20:26-0600',mode:absolute,to:'2016-10-07 17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1" s="54" t="str">
        <f t="shared" si="28"/>
        <v>N</v>
      </c>
      <c r="X101" s="164">
        <f t="shared" si="42"/>
        <v>1</v>
      </c>
      <c r="Y101" s="69">
        <f t="shared" si="30"/>
        <v>23.297499999999999</v>
      </c>
      <c r="Z101" s="69">
        <f t="shared" si="31"/>
        <v>0.1186</v>
      </c>
      <c r="AA101" s="69">
        <f t="shared" si="32"/>
        <v>23.178899999999999</v>
      </c>
      <c r="AB101" s="66" t="str">
        <f>VLOOKUP(A101,Enforcements!$C$7:$K$21,8,0)</f>
        <v>Bulletin (2)</v>
      </c>
      <c r="AC101" s="62" t="str">
        <f>VLOOKUP(A101,Enforcements!$C$7:$E$21,3,0)</f>
        <v>GRADE CROSSING</v>
      </c>
      <c r="AD101" s="63" t="str">
        <f t="shared" si="33"/>
        <v>0188-07</v>
      </c>
      <c r="AE101" s="95" t="str">
        <f t="shared" si="34"/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101" s="92" t="str">
        <f t="shared" si="35"/>
        <v>"C:\Program Files (x86)\AstroGrep\AstroGrep.exe" /spath="%USERPROFILE%\AppData\Local\Temp\OnboardLogs" /stypes="app*4017*20161007*" /stext=" 22:.+((SYSTEM_STATE.+slice.+state.+changed )|(ment ac)|(system.+state.+changed )|(\[timeout)|(PRM\|1\|D)|(kpr)|(kdp)|(\|lc)|(penalty))" /e /r /s</v>
      </c>
      <c r="AG101" s="1" t="str">
        <f t="shared" si="36"/>
        <v>EC</v>
      </c>
      <c r="AH101" s="96" t="str">
        <f t="shared" si="37"/>
        <v>"%USERPROFILE%\Documents\GitHub\eaglep3\Utilities\RefineRTDCRunTimes.py" --tripid 188-07 --locoid 4017 --swversion DE.1.0.7.0 --startMP 204:232975 --initTime 2016-10-07T15:20:26 --startdatetime 2016-10-07T15:26:33 --delay 1 --endMP 204:1186 --enddatetime 2016-10-07T16:16:05 --enforcementcount 0 &gt;&gt;C:\Users\stu\Documents\GitHub\eaglep3-reporting\EC\2016-10-07-refined-times.txt</v>
      </c>
      <c r="AI101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{"issue":{"subject":"","project_id":79,"tracker_id":40,"status_id":1,"priority_id":2,"assigned_to_id":23,"start_date":"2016-10-07","description":"","custom_fields":[{"id":1,"name":"Subdivision","value":"EC"},{"id":4,"name":"Milepost","value":"0.1186"},{"id":17,"name":"Train ID","value":"188-07"},{"id":16,"name":"Locomotive ID","value":"4017"},{"id":130,"name":"Impact","value":""},{"id":150,"name":"Time of Event (Mountain Time)","value":"16:16:05"},{"id":151,"name":"Denver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507</v>
      </c>
      <c r="B102" s="7">
        <v>4046</v>
      </c>
      <c r="C102" s="24" t="s">
        <v>106</v>
      </c>
      <c r="D102" s="24" t="s">
        <v>278</v>
      </c>
      <c r="E102" s="15">
        <v>42650.610069444447</v>
      </c>
      <c r="F102" s="15">
        <v>42650.614756944444</v>
      </c>
      <c r="G102" s="7">
        <v>1</v>
      </c>
      <c r="H102" s="15" t="s">
        <v>249</v>
      </c>
      <c r="I102" s="15">
        <v>42650.640486111108</v>
      </c>
      <c r="J102" s="7">
        <v>0</v>
      </c>
      <c r="K102" s="117" t="str">
        <f t="shared" si="24"/>
        <v>4045/4046</v>
      </c>
      <c r="L102" s="24" t="str">
        <f>VLOOKUP(A102,'Trips&amp;Operators'!$C$1:$E$10000,3,FALSE)</f>
        <v>CLARK</v>
      </c>
      <c r="M102" s="6">
        <f t="shared" si="25"/>
        <v>2.5729166663950309E-2</v>
      </c>
      <c r="N102" s="7">
        <f t="shared" si="39"/>
        <v>37.049999996088445</v>
      </c>
      <c r="O102" s="7"/>
      <c r="P102" s="7"/>
      <c r="Q102" s="25"/>
      <c r="R102" s="25"/>
      <c r="S102" s="37">
        <f t="shared" si="40"/>
        <v>1</v>
      </c>
      <c r="T102" s="52" t="str">
        <f t="shared" si="26"/>
        <v>NorthBound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13:38:30-0600',mode:absolute,to:'2016-10-07 16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2" s="54" t="str">
        <f t="shared" si="28"/>
        <v>N</v>
      </c>
      <c r="X102" s="164">
        <f t="shared" si="42"/>
        <v>1</v>
      </c>
      <c r="Y102" s="69">
        <f t="shared" si="30"/>
        <v>4.5999999999999999E-2</v>
      </c>
      <c r="Z102" s="69">
        <f t="shared" si="31"/>
        <v>23.329699999999999</v>
      </c>
      <c r="AA102" s="69">
        <f t="shared" si="32"/>
        <v>23.2837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3"/>
        <v>0189-07</v>
      </c>
      <c r="AE102" s="95" t="str">
        <f t="shared" si="34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02" s="92" t="str">
        <f t="shared" si="35"/>
        <v>"C:\Program Files (x86)\AstroGrep\AstroGrep.exe" /spath="%USERPROFILE%\AppData\Local\Temp\OnboardLogs" /stypes="app*4046*20161007*" /stext=" 21:.+((SYSTEM_STATE.+slice.+state.+changed )|(ment ac)|(system.+state.+changed )|(\[timeout)|(PRM\|1\|D)|(kpr)|(kdp)|(\|lc)|(penalty))" /e /r /s</v>
      </c>
      <c r="AG102" s="1" t="str">
        <f t="shared" si="36"/>
        <v>EC</v>
      </c>
      <c r="AH102" s="96" t="str">
        <f t="shared" si="37"/>
        <v>"%USERPROFILE%\Documents\GitHub\eaglep3\Utilities\RefineRTDCRunTimes.py" --tripid 189-07 --locoid 4046 --swversion DE.1.0.7.0 --startMP 204:460 --initTime 2016-10-07T14:38:30 --startdatetime 2016-10-07T14:45:15 --delay 1 --endMP 204:233297 --enddatetime 2016-10-07T15:22:18 --enforcementcount 0 &gt;&gt;C:\Users\stu\Documents\GitHub\eaglep3-reporting\EC\2016-10-07-refined-times.txt</v>
      </c>
      <c r="AI102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{"issue":{"subject":"","project_id":79,"tracker_id":40,"status_id":1,"priority_id":2,"assigned_to_id":23,"start_date":"2016-10-07","description":"","custom_fields":[{"id":1,"name":"Subdivision","value":"EC"},{"id":4,"name":"Milepost","value":"23.3297"},{"id":17,"name":"Train ID","value":"189-07"},{"id":16,"name":"Locomotive ID","value":"4046"},{"id":130,"name":"Impact","value":""},{"id":150,"name":"Time of Event (Mountain Time)","value":"15:22:18"},{"id":151,"name":"Denver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508</v>
      </c>
      <c r="B103" s="7">
        <v>4045</v>
      </c>
      <c r="C103" s="24" t="s">
        <v>106</v>
      </c>
      <c r="D103" s="24" t="s">
        <v>402</v>
      </c>
      <c r="E103" s="15">
        <v>42650.647997685184</v>
      </c>
      <c r="F103" s="15">
        <v>42650.653645833336</v>
      </c>
      <c r="G103" s="7">
        <v>1</v>
      </c>
      <c r="H103" s="15" t="s">
        <v>206</v>
      </c>
      <c r="I103" s="15">
        <v>42650.683437500003</v>
      </c>
      <c r="J103" s="7">
        <v>0</v>
      </c>
      <c r="K103" s="117" t="str">
        <f t="shared" si="24"/>
        <v>4045/4046</v>
      </c>
      <c r="L103" s="24" t="str">
        <f>VLOOKUP(A103,'Trips&amp;Operators'!$C$1:$E$10000,3,FALSE)</f>
        <v>CLARK</v>
      </c>
      <c r="M103" s="6">
        <f t="shared" si="25"/>
        <v>2.9791666667733807E-2</v>
      </c>
      <c r="N103" s="7">
        <f t="shared" si="39"/>
        <v>42.900000001536682</v>
      </c>
      <c r="O103" s="7"/>
      <c r="P103" s="7"/>
      <c r="Q103" s="25"/>
      <c r="R103" s="25"/>
      <c r="S103" s="37">
        <f t="shared" si="40"/>
        <v>1</v>
      </c>
      <c r="T103" s="52" t="str">
        <f t="shared" si="26"/>
        <v>Southbound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14:33:07-0600',mode:absolute,to:'2016-10-07 17:24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3" s="54" t="str">
        <f t="shared" si="28"/>
        <v>N</v>
      </c>
      <c r="X103" s="164">
        <f t="shared" si="42"/>
        <v>1</v>
      </c>
      <c r="Y103" s="69">
        <f t="shared" si="30"/>
        <v>23.298100000000002</v>
      </c>
      <c r="Z103" s="69">
        <f t="shared" si="31"/>
        <v>1.5599999999999999E-2</v>
      </c>
      <c r="AA103" s="69">
        <f t="shared" si="32"/>
        <v>23.282500000000002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3"/>
        <v>0190-07</v>
      </c>
      <c r="AE103" s="95" t="str">
        <f t="shared" si="34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03" s="92" t="str">
        <f t="shared" si="35"/>
        <v>"C:\Program Files (x86)\AstroGrep\AstroGrep.exe" /spath="%USERPROFILE%\AppData\Local\Temp\OnboardLogs" /stypes="app*4045*20161007*" /stext=" 22:.+((SYSTEM_STATE.+slice.+state.+changed )|(ment ac)|(system.+state.+changed )|(\[timeout)|(PRM\|1\|D)|(kpr)|(kdp)|(\|lc)|(penalty))" /e /r /s</v>
      </c>
      <c r="AG103" s="1" t="str">
        <f t="shared" si="36"/>
        <v>EC</v>
      </c>
      <c r="AH103" s="96" t="str">
        <f t="shared" si="37"/>
        <v>"%USERPROFILE%\Documents\GitHub\eaglep3\Utilities\RefineRTDCRunTimes.py" --tripid 190-07 --locoid 4045 --swversion DE.1.0.7.0 --startMP 204:232981 --initTime 2016-10-07T15:33:07 --startdatetime 2016-10-07T15:41:15 --delay 1 --endMP 204:156 --enddatetime 2016-10-07T16:24:09 --enforcementcount 0 &gt;&gt;C:\Users\stu\Documents\GitHub\eaglep3-reporting\EC\2016-10-07-refined-times.txt</v>
      </c>
      <c r="AI103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ID","value":"190-07"},{"id":16,"name":"Locomotive ID","value":"4045"},{"id":130,"name":"Impact","value":""},{"id":150,"name":"Time of Event (Mountain Time)","value":"16:24:09"},{"id":151,"name":"Denver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509</v>
      </c>
      <c r="B104" s="7">
        <v>4020</v>
      </c>
      <c r="C104" s="24" t="s">
        <v>106</v>
      </c>
      <c r="D104" s="24" t="s">
        <v>244</v>
      </c>
      <c r="E104" s="15">
        <v>42650.619131944448</v>
      </c>
      <c r="F104" s="15">
        <v>42650.625162037039</v>
      </c>
      <c r="G104" s="7">
        <v>1</v>
      </c>
      <c r="H104" s="15" t="s">
        <v>510</v>
      </c>
      <c r="I104" s="15">
        <v>42650.651608796295</v>
      </c>
      <c r="J104" s="7">
        <v>0</v>
      </c>
      <c r="K104" s="117" t="str">
        <f t="shared" si="24"/>
        <v>4019/4020</v>
      </c>
      <c r="L104" s="24" t="str">
        <f>VLOOKUP(A104,'Trips&amp;Operators'!$C$1:$E$10000,3,FALSE)</f>
        <v>BONDS</v>
      </c>
      <c r="M104" s="6">
        <f t="shared" si="25"/>
        <v>2.6446759256941732E-2</v>
      </c>
      <c r="N104" s="7">
        <f t="shared" si="39"/>
        <v>38.083333329996094</v>
      </c>
      <c r="O104" s="7"/>
      <c r="P104" s="7"/>
      <c r="Q104" s="25"/>
      <c r="R104" s="25"/>
      <c r="S104" s="37">
        <f t="shared" si="40"/>
        <v>1</v>
      </c>
      <c r="T104" s="52" t="str">
        <f t="shared" si="26"/>
        <v>NorthBound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13:51:33-0600',mode:absolute,to:'2016-10-07 16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4" s="54" t="str">
        <f t="shared" si="28"/>
        <v>N</v>
      </c>
      <c r="X104" s="164">
        <f t="shared" si="42"/>
        <v>1</v>
      </c>
      <c r="Y104" s="69">
        <f t="shared" si="30"/>
        <v>4.4699999999999997E-2</v>
      </c>
      <c r="Z104" s="69">
        <f t="shared" si="31"/>
        <v>23.327200000000001</v>
      </c>
      <c r="AA104" s="69">
        <f t="shared" si="32"/>
        <v>23.282500000000002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3"/>
        <v>0191-07</v>
      </c>
      <c r="AE104" s="95" t="str">
        <f t="shared" si="34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04" s="92" t="str">
        <f t="shared" si="35"/>
        <v>"C:\Program Files (x86)\AstroGrep\AstroGrep.exe" /spath="%USERPROFILE%\AppData\Local\Temp\OnboardLogs" /stypes="app*4020*20161007*" /stext=" 21:.+((SYSTEM_STATE.+slice.+state.+changed )|(ment ac)|(system.+state.+changed )|(\[timeout)|(PRM\|1\|D)|(kpr)|(kdp)|(\|lc)|(penalty))" /e /r /s</v>
      </c>
      <c r="AG104" s="1" t="str">
        <f t="shared" si="36"/>
        <v>EC</v>
      </c>
      <c r="AH104" s="96" t="str">
        <f t="shared" si="37"/>
        <v>"%USERPROFILE%\Documents\GitHub\eaglep3\Utilities\RefineRTDCRunTimes.py" --tripid 191-07 --locoid 4020 --swversion DE.1.0.7.0 --startMP 204:447 --initTime 2016-10-07T14:51:33 --startdatetime 2016-10-07T15:00:14 --delay 1 --endMP 204:233272 --enddatetime 2016-10-07T15:38:19 --enforcementcount 0 &gt;&gt;C:\Users\stu\Documents\GitHub\eaglep3-reporting\EC\2016-10-07-refined-times.txt</v>
      </c>
      <c r="AI104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{"issue":{"subject":"","project_id":79,"tracker_id":40,"status_id":1,"priority_id":2,"assigned_to_id":23,"start_date":"2016-10-07","description":"","custom_fields":[{"id":1,"name":"Subdivision","value":"EC"},{"id":4,"name":"Milepost","value":"23.3272"},{"id":17,"name":"Train ID","value":"191-07"},{"id":16,"name":"Locomotive ID","value":"4020"},{"id":130,"name":"Impact","value":""},{"id":150,"name":"Time of Event (Mountain Time)","value":"15:38:19"},{"id":151,"name":"Denver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511</v>
      </c>
      <c r="B105" s="7">
        <v>4019</v>
      </c>
      <c r="C105" s="24" t="s">
        <v>106</v>
      </c>
      <c r="D105" s="24" t="s">
        <v>512</v>
      </c>
      <c r="E105" s="15">
        <v>42650.653865740744</v>
      </c>
      <c r="F105" s="15">
        <v>42650.6640625</v>
      </c>
      <c r="G105" s="7">
        <v>1</v>
      </c>
      <c r="H105" s="15" t="s">
        <v>209</v>
      </c>
      <c r="I105" s="15">
        <v>42650.692708333336</v>
      </c>
      <c r="J105" s="7">
        <v>0</v>
      </c>
      <c r="K105" s="117" t="str">
        <f t="shared" si="24"/>
        <v>4019/4020</v>
      </c>
      <c r="L105" s="24" t="str">
        <f>VLOOKUP(A105,'Trips&amp;Operators'!$C$1:$E$10000,3,FALSE)</f>
        <v>BONDS</v>
      </c>
      <c r="M105" s="6">
        <f t="shared" si="25"/>
        <v>2.8645833335758653E-2</v>
      </c>
      <c r="N105" s="7">
        <f t="shared" si="39"/>
        <v>41.25000000349246</v>
      </c>
      <c r="O105" s="7"/>
      <c r="P105" s="7"/>
      <c r="Q105" s="25"/>
      <c r="R105" s="25"/>
      <c r="S105" s="37">
        <f t="shared" si="40"/>
        <v>1</v>
      </c>
      <c r="T105" s="52" t="str">
        <f t="shared" si="26"/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14:41:34-0600',mode:absolute,to:'2016-10-07 17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5" s="54" t="str">
        <f t="shared" si="28"/>
        <v>N</v>
      </c>
      <c r="X105" s="164">
        <f t="shared" si="42"/>
        <v>1</v>
      </c>
      <c r="Y105" s="69">
        <f t="shared" si="30"/>
        <v>23.295000000000002</v>
      </c>
      <c r="Z105" s="69">
        <f t="shared" si="31"/>
        <v>1.4500000000000001E-2</v>
      </c>
      <c r="AA105" s="69">
        <f t="shared" si="32"/>
        <v>23.2805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3"/>
        <v>0192-07</v>
      </c>
      <c r="AE105" s="95" t="str">
        <f t="shared" si="34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05" s="92" t="str">
        <f t="shared" si="35"/>
        <v>"C:\Program Files (x86)\AstroGrep\AstroGrep.exe" /spath="%USERPROFILE%\AppData\Local\Temp\OnboardLogs" /stypes="app*4019*20161007*" /stext=" 22:.+((SYSTEM_STATE.+slice.+state.+changed )|(ment ac)|(system.+state.+changed )|(\[timeout)|(PRM\|1\|D)|(kpr)|(kdp)|(\|lc)|(penalty))" /e /r /s</v>
      </c>
      <c r="AG105" s="1" t="str">
        <f t="shared" si="36"/>
        <v>EC</v>
      </c>
      <c r="AH105" s="96" t="str">
        <f t="shared" si="37"/>
        <v>"%USERPROFILE%\Documents\GitHub\eaglep3\Utilities\RefineRTDCRunTimes.py" --tripid 192-07 --locoid 4019 --swversion DE.1.0.7.0 --startMP 204:232950 --initTime 2016-10-07T15:41:34 --startdatetime 2016-10-07T15:56:15 --delay 1 --endMP 204:145 --enddatetime 2016-10-07T16:37:30 --enforcementcount 0 &gt;&gt;C:\Users\stu\Documents\GitHub\eaglep3-reporting\EC\2016-10-07-refined-times.txt</v>
      </c>
      <c r="AI105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{"issue":{"subject":"","project_id":79,"tracker_id":40,"status_id":1,"priority_id":2,"assigned_to_id":23,"start_date":"2016-10-07","description":"","custom_fields":[{"id":1,"name":"Subdivision","value":"EC"},{"id":4,"name":"Milepost","value":"0.0145"},{"id":17,"name":"Train ID","value":"192-07"},{"id":16,"name":"Locomotive ID","value":"4019"},{"id":130,"name":"Impact","value":""},{"id":150,"name":"Time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513</v>
      </c>
      <c r="B106" s="7">
        <v>4007</v>
      </c>
      <c r="C106" s="24" t="s">
        <v>106</v>
      </c>
      <c r="D106" s="24" t="s">
        <v>324</v>
      </c>
      <c r="E106" s="15">
        <v>42650.631064814814</v>
      </c>
      <c r="F106" s="15">
        <v>42650.635798611111</v>
      </c>
      <c r="G106" s="7">
        <v>6</v>
      </c>
      <c r="H106" s="15" t="s">
        <v>514</v>
      </c>
      <c r="I106" s="15">
        <v>42650.662222222221</v>
      </c>
      <c r="J106" s="7">
        <v>0</v>
      </c>
      <c r="K106" s="117" t="str">
        <f t="shared" si="24"/>
        <v>4007/4008</v>
      </c>
      <c r="L106" s="24" t="str">
        <f>VLOOKUP(A106,'Trips&amp;Operators'!$C$1:$E$10000,3,FALSE)</f>
        <v>MOSES</v>
      </c>
      <c r="M106" s="6">
        <f t="shared" si="25"/>
        <v>2.6423611110658385E-2</v>
      </c>
      <c r="N106" s="7">
        <f t="shared" si="39"/>
        <v>38.049999999348074</v>
      </c>
      <c r="O106" s="7"/>
      <c r="P106" s="7"/>
      <c r="Q106" s="25"/>
      <c r="R106" s="25"/>
      <c r="S106" s="37">
        <f t="shared" si="40"/>
        <v>1</v>
      </c>
      <c r="T106" s="52" t="str">
        <f t="shared" si="26"/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14:08:44-0600',mode:absolute,to:'2016-10-07 16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6" s="54" t="str">
        <f t="shared" si="28"/>
        <v>N</v>
      </c>
      <c r="X106" s="164">
        <f t="shared" si="42"/>
        <v>1</v>
      </c>
      <c r="Y106" s="69">
        <f t="shared" si="30"/>
        <v>4.4400000000000002E-2</v>
      </c>
      <c r="Z106" s="69">
        <f t="shared" si="31"/>
        <v>23.331</v>
      </c>
      <c r="AA106" s="69">
        <f t="shared" si="32"/>
        <v>23.2866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3"/>
        <v>0193-07</v>
      </c>
      <c r="AE106" s="95" t="str">
        <f t="shared" si="34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06" s="92" t="str">
        <f t="shared" si="35"/>
        <v>"C:\Program Files (x86)\AstroGrep\AstroGrep.exe" /spath="%USERPROFILE%\AppData\Local\Temp\OnboardLogs" /stypes="app*4007*20161007*" /stext=" 21:.+((SYSTEM_STATE.+slice.+state.+changed )|(ment ac)|(system.+state.+changed )|(\[timeout)|(PRM\|1\|D)|(kpr)|(kdp)|(\|lc)|(penalty))" /e /r /s</v>
      </c>
      <c r="AG106" s="1" t="str">
        <f t="shared" si="36"/>
        <v>EC</v>
      </c>
      <c r="AH106" s="96" t="str">
        <f t="shared" si="37"/>
        <v>"%USERPROFILE%\Documents\GitHub\eaglep3\Utilities\RefineRTDCRunTimes.py" --tripid 193-07 --locoid 4007 --swversion DE.1.0.7.0 --startMP 204:444 --initTime 2016-10-07T15:08:44 --startdatetime 2016-10-07T15:15:33 --delay 6 --endMP 204:233310 --enddatetime 2016-10-07T15:53:36 --enforcementcount 0 &gt;&gt;C:\Users\stu\Documents\GitHub\eaglep3-reporting\EC\2016-10-07-refined-times.txt</v>
      </c>
      <c r="AI106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{"issue":{"subject":"","project_id":79,"tracker_id":40,"status_id":1,"priority_id":2,"assigned_to_id":23,"start_date":"2016-10-07","description":"","custom_fields":[{"id":1,"name":"Subdivision","value":"EC"},{"id":4,"name":"Milepost","value":"23.331"},{"id":17,"name":"Train ID","value":"193-07"},{"id":16,"name":"Locomotive ID","value":"4007"},{"id":130,"name":"Impact","value":""},{"id":150,"name":"Time of Event (Mountain Time)","value":"15:53:36"},{"id":151,"name":"Denver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515</v>
      </c>
      <c r="B107" s="7">
        <v>4008</v>
      </c>
      <c r="C107" s="24" t="s">
        <v>106</v>
      </c>
      <c r="D107" s="24" t="s">
        <v>234</v>
      </c>
      <c r="E107" s="15">
        <v>42650.670555555553</v>
      </c>
      <c r="F107" s="15">
        <v>42650.674699074072</v>
      </c>
      <c r="G107" s="7">
        <v>1</v>
      </c>
      <c r="H107" s="15" t="s">
        <v>193</v>
      </c>
      <c r="I107" s="15">
        <v>42650.702615740738</v>
      </c>
      <c r="J107" s="7">
        <v>0</v>
      </c>
      <c r="K107" s="117" t="str">
        <f t="shared" si="24"/>
        <v>4007/4008</v>
      </c>
      <c r="L107" s="24" t="str">
        <f>VLOOKUP(A107,'Trips&amp;Operators'!$C$1:$E$10000,3,FALSE)</f>
        <v>MOSES</v>
      </c>
      <c r="M107" s="6">
        <f t="shared" si="25"/>
        <v>2.7916666665987577E-2</v>
      </c>
      <c r="N107" s="7">
        <f t="shared" si="39"/>
        <v>40.199999999022111</v>
      </c>
      <c r="O107" s="7"/>
      <c r="P107" s="7"/>
      <c r="Q107" s="25"/>
      <c r="R107" s="25"/>
      <c r="S107" s="37">
        <f t="shared" si="40"/>
        <v>1</v>
      </c>
      <c r="T107" s="52" t="str">
        <f t="shared" si="26"/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15:05:36-0600',mode:absolute,to:'2016-10-07 17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7" s="54" t="str">
        <f t="shared" si="28"/>
        <v>N</v>
      </c>
      <c r="X107" s="164">
        <f t="shared" si="42"/>
        <v>1</v>
      </c>
      <c r="Y107" s="69">
        <f t="shared" si="30"/>
        <v>23.299600000000002</v>
      </c>
      <c r="Z107" s="69">
        <f t="shared" si="31"/>
        <v>1.4999999999999999E-2</v>
      </c>
      <c r="AA107" s="69">
        <f t="shared" si="32"/>
        <v>23.284600000000001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3"/>
        <v>0194-07</v>
      </c>
      <c r="AE107" s="95" t="str">
        <f t="shared" si="34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07" s="92" t="str">
        <f t="shared" si="35"/>
        <v>"C:\Program Files (x86)\AstroGrep\AstroGrep.exe" /spath="%USERPROFILE%\AppData\Local\Temp\OnboardLogs" /stypes="app*4008*20161007*" /stext=" 22:.+((SYSTEM_STATE.+slice.+state.+changed )|(ment ac)|(system.+state.+changed )|(\[timeout)|(PRM\|1\|D)|(kpr)|(kdp)|(\|lc)|(penalty))" /e /r /s</v>
      </c>
      <c r="AG107" s="1" t="str">
        <f t="shared" si="36"/>
        <v>EC</v>
      </c>
      <c r="AH107" s="96" t="str">
        <f t="shared" si="37"/>
        <v>"%USERPROFILE%\Documents\GitHub\eaglep3\Utilities\RefineRTDCRunTimes.py" --tripid 194-07 --locoid 4008 --swversion DE.1.0.7.0 --startMP 204:232996 --initTime 2016-10-07T16:05:36 --startdatetime 2016-10-07T16:11:34 --delay 1 --endMP 204:150 --enddatetime 2016-10-07T16:51:46 --enforcementcount 0 &gt;&gt;C:\Users\stu\Documents\GitHub\eaglep3-reporting\EC\2016-10-07-refined-times.txt</v>
      </c>
      <c r="AI107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{"issue":{"subject":"","project_id":79,"tracker_id":40,"status_id":1,"priority_id":2,"assigned_to_id":23,"start_date":"2016-10-07","description":"","custom_fields":[{"id":1,"name":"Subdivision","value":"EC"},{"id":4,"name":"Milepost","value":"0.015"},{"id":17,"name":"Train ID","value":"194-07"},{"id":16,"name":"Locomotive ID","value":"4008"},{"id":130,"name":"Impact","value":""},{"id":150,"name":"Time of Event (Mountain Time)","value":"16:51:46"},{"id":151,"name":"Denver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516</v>
      </c>
      <c r="B108" s="7">
        <v>4042</v>
      </c>
      <c r="C108" s="24" t="s">
        <v>106</v>
      </c>
      <c r="D108" s="24" t="s">
        <v>251</v>
      </c>
      <c r="E108" s="15">
        <v>42650.641423611109</v>
      </c>
      <c r="F108" s="15">
        <v>42650.646331018521</v>
      </c>
      <c r="G108" s="7">
        <v>1</v>
      </c>
      <c r="H108" s="15" t="s">
        <v>517</v>
      </c>
      <c r="I108" s="15">
        <v>42650.671539351853</v>
      </c>
      <c r="J108" s="7">
        <v>0</v>
      </c>
      <c r="K108" s="117" t="str">
        <f t="shared" si="24"/>
        <v>4041/4042</v>
      </c>
      <c r="L108" s="24" t="str">
        <f>VLOOKUP(A108,'Trips&amp;Operators'!$C$1:$E$10000,3,FALSE)</f>
        <v>HILLS</v>
      </c>
      <c r="M108" s="6">
        <f t="shared" si="25"/>
        <v>2.5208333332557231E-2</v>
      </c>
      <c r="N108" s="7">
        <f t="shared" si="39"/>
        <v>36.299999998882413</v>
      </c>
      <c r="O108" s="7"/>
      <c r="P108" s="7"/>
      <c r="Q108" s="25"/>
      <c r="R108" s="25"/>
      <c r="S108" s="37">
        <f t="shared" si="40"/>
        <v>1</v>
      </c>
      <c r="T108" s="52" t="str">
        <f t="shared" si="26"/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14:23:39-0600',mode:absolute,to:'2016-10-07 17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8" s="54" t="str">
        <f t="shared" si="28"/>
        <v>N</v>
      </c>
      <c r="X108" s="164">
        <f t="shared" si="42"/>
        <v>1</v>
      </c>
      <c r="Y108" s="69">
        <f t="shared" si="30"/>
        <v>4.6899999999999997E-2</v>
      </c>
      <c r="Z108" s="69">
        <f t="shared" si="31"/>
        <v>23.334499999999998</v>
      </c>
      <c r="AA108" s="69">
        <f t="shared" si="32"/>
        <v>23.287599999999998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3"/>
        <v>0195-07</v>
      </c>
      <c r="AE108" s="95" t="str">
        <f t="shared" si="34"/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108" s="92" t="str">
        <f t="shared" si="35"/>
        <v>"C:\Program Files (x86)\AstroGrep\AstroGrep.exe" /spath="%USERPROFILE%\AppData\Local\Temp\OnboardLogs" /stypes="app*4042*20161007*" /stext=" 22:.+((SYSTEM_STATE.+slice.+state.+changed )|(ment ac)|(system.+state.+changed )|(\[timeout)|(PRM\|1\|D)|(kpr)|(kdp)|(\|lc)|(penalty))" /e /r /s</v>
      </c>
      <c r="AG108" s="1" t="str">
        <f t="shared" si="36"/>
        <v>EC</v>
      </c>
      <c r="AH108" s="96" t="str">
        <f t="shared" si="37"/>
        <v>"%USERPROFILE%\Documents\GitHub\eaglep3\Utilities\RefineRTDCRunTimes.py" --tripid 195-07 --locoid 4042 --swversion DE.1.0.7.0 --startMP 204:469 --initTime 2016-10-07T15:23:39 --startdatetime 2016-10-07T15:30:43 --delay 1 --endMP 204:233345 --enddatetime 2016-10-07T16:07:01 --enforcementcount 0 &gt;&gt;C:\Users\stu\Documents\GitHub\eaglep3-reporting\EC\2016-10-07-refined-times.txt</v>
      </c>
      <c r="AI108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{"issue":{"subject":"","project_id":79,"tracker_id":40,"status_id":1,"priority_id":2,"assigned_to_id":23,"start_date":"2016-10-07","description":"","custom_fields":[{"id":1,"name":"Subdivision","value":"EC"},{"id":4,"name":"Milepost","value":"23.3345"},{"id":17,"name":"Train ID","value":"195-07"},{"id":16,"name":"Locomotive ID","value":"4042"},{"id":130,"name":"Impact","value":""},{"id":150,"name":"Time of Event (Mountain Time)","value":"16:07:01"},{"id":151,"name":"Denver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518</v>
      </c>
      <c r="B109" s="7">
        <v>4041</v>
      </c>
      <c r="C109" s="24" t="s">
        <v>106</v>
      </c>
      <c r="D109" s="24" t="s">
        <v>252</v>
      </c>
      <c r="E109" s="15">
        <v>42650.677395833336</v>
      </c>
      <c r="F109" s="15">
        <v>42650.68509259259</v>
      </c>
      <c r="G109" s="7">
        <v>1</v>
      </c>
      <c r="H109" s="15" t="s">
        <v>422</v>
      </c>
      <c r="I109" s="15">
        <v>42650.715451388889</v>
      </c>
      <c r="J109" s="7">
        <v>0</v>
      </c>
      <c r="K109" s="117" t="str">
        <f t="shared" si="24"/>
        <v>4041/4042</v>
      </c>
      <c r="L109" s="24" t="str">
        <f>VLOOKUP(A109,'Trips&amp;Operators'!$C$1:$E$10000,3,FALSE)</f>
        <v>HILLS</v>
      </c>
      <c r="M109" s="6">
        <f t="shared" si="25"/>
        <v>3.0358796298969537E-2</v>
      </c>
      <c r="N109" s="7">
        <f t="shared" si="39"/>
        <v>43.716666670516133</v>
      </c>
      <c r="O109" s="7"/>
      <c r="P109" s="7"/>
      <c r="Q109" s="25"/>
      <c r="R109" s="25"/>
      <c r="S109" s="37">
        <f t="shared" si="40"/>
        <v>1</v>
      </c>
      <c r="T109" s="52" t="str">
        <f t="shared" si="26"/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15:15:27-0600',mode:absolute,to:'2016-10-07 18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9" s="54" t="str">
        <f t="shared" si="28"/>
        <v>N</v>
      </c>
      <c r="X109" s="164">
        <f t="shared" si="42"/>
        <v>1</v>
      </c>
      <c r="Y109" s="69">
        <f t="shared" si="30"/>
        <v>23.302099999999999</v>
      </c>
      <c r="Z109" s="69">
        <f t="shared" si="31"/>
        <v>1.2500000000000001E-2</v>
      </c>
      <c r="AA109" s="69">
        <f t="shared" si="32"/>
        <v>23.2896</v>
      </c>
      <c r="AB109" s="66" t="str">
        <f>VLOOKUP(A109,Enforcements!$C$7:$K$21,8,0)</f>
        <v>Speed (6)</v>
      </c>
      <c r="AC109" s="62" t="str">
        <f>VLOOKUP(A109,Enforcements!$C$7:$E$21,3,0)</f>
        <v>PERMANENT SPEED RESTRICTION</v>
      </c>
      <c r="AD109" s="63" t="str">
        <f t="shared" si="33"/>
        <v>0196-07</v>
      </c>
      <c r="AE109" s="95" t="str">
        <f t="shared" si="34"/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109" s="92" t="str">
        <f t="shared" si="35"/>
        <v>"C:\Program Files (x86)\AstroGrep\AstroGrep.exe" /spath="%USERPROFILE%\AppData\Local\Temp\OnboardLogs" /stypes="app*4041*20161007*" /stext=" 23:.+((SYSTEM_STATE.+slice.+state.+changed )|(ment ac)|(system.+state.+changed )|(\[timeout)|(PRM\|1\|D)|(kpr)|(kdp)|(\|lc)|(penalty))" /e /r /s</v>
      </c>
      <c r="AG109" s="1" t="str">
        <f t="shared" si="36"/>
        <v>EC</v>
      </c>
      <c r="AH109" s="96" t="str">
        <f t="shared" si="37"/>
        <v>"%USERPROFILE%\Documents\GitHub\eaglep3\Utilities\RefineRTDCRunTimes.py" --tripid 196-07 --locoid 4041 --swversion DE.1.0.7.0 --startMP 204:233021 --initTime 2016-10-07T16:15:27 --startdatetime 2016-10-07T16:26:32 --delay 1 --endMP 204:125 --enddatetime 2016-10-07T17:10:15 --enforcementcount 0 &gt;&gt;C:\Users\stu\Documents\GitHub\eaglep3-reporting\EC\2016-10-07-refined-times.txt</v>
      </c>
      <c r="AI109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{"issue":{"subject":"","project_id":79,"tracker_id":40,"status_id":1,"priority_id":2,"assigned_to_id":23,"start_date":"2016-10-07","description":"","custom_fields":[{"id":1,"name":"Subdivision","value":"EC"},{"id":4,"name":"Milepost","value":"0.0125"},{"id":17,"name":"Train ID","value":"196-07"},{"id":16,"name":"Locomotive ID","value":"4041"},{"id":130,"name":"Impact","value":""},{"id":150,"name":"Time of Event (Mountain Time)","value":"17:10:15"},{"id":151,"name":"Denver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519</v>
      </c>
      <c r="B110" s="7">
        <v>4038</v>
      </c>
      <c r="C110" s="24" t="s">
        <v>106</v>
      </c>
      <c r="D110" s="24" t="s">
        <v>329</v>
      </c>
      <c r="E110" s="15">
        <v>42650.652060185188</v>
      </c>
      <c r="F110" s="15">
        <v>42650.656458333331</v>
      </c>
      <c r="G110" s="7">
        <v>2</v>
      </c>
      <c r="H110" s="15" t="s">
        <v>493</v>
      </c>
      <c r="I110" s="15">
        <v>42650.68209490741</v>
      </c>
      <c r="J110" s="7">
        <v>0</v>
      </c>
      <c r="K110" s="117" t="str">
        <f t="shared" si="24"/>
        <v>4037/4038</v>
      </c>
      <c r="L110" s="24" t="str">
        <f>VLOOKUP(A110,'Trips&amp;Operators'!$C$1:$E$10000,3,FALSE)</f>
        <v>SHOOK</v>
      </c>
      <c r="M110" s="6">
        <f t="shared" si="25"/>
        <v>2.5636574078816921E-2</v>
      </c>
      <c r="N110" s="7">
        <f t="shared" si="39"/>
        <v>36.916666673496366</v>
      </c>
      <c r="O110" s="7"/>
      <c r="P110" s="7"/>
      <c r="Q110" s="25"/>
      <c r="R110" s="25"/>
      <c r="S110" s="37">
        <f t="shared" si="40"/>
        <v>1</v>
      </c>
      <c r="T110" s="52" t="str">
        <f t="shared" si="26"/>
        <v>NorthBound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14:38:58-0600',mode:absolute,to:'2016-10-07 17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0" s="54" t="str">
        <f t="shared" si="28"/>
        <v>N</v>
      </c>
      <c r="X110" s="164">
        <f t="shared" si="42"/>
        <v>1</v>
      </c>
      <c r="Y110" s="69">
        <f t="shared" si="30"/>
        <v>4.82E-2</v>
      </c>
      <c r="Z110" s="69">
        <f t="shared" si="31"/>
        <v>23.334700000000002</v>
      </c>
      <c r="AA110" s="69">
        <f t="shared" si="32"/>
        <v>23.2865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3"/>
        <v>0197-07</v>
      </c>
      <c r="AE110" s="95" t="str">
        <f t="shared" si="34"/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110" s="92" t="str">
        <f t="shared" si="35"/>
        <v>"C:\Program Files (x86)\AstroGrep\AstroGrep.exe" /spath="%USERPROFILE%\AppData\Local\Temp\OnboardLogs" /stypes="app*4038*20161007*" /stext=" 22:.+((SYSTEM_STATE.+slice.+state.+changed )|(ment ac)|(system.+state.+changed )|(\[timeout)|(PRM\|1\|D)|(kpr)|(kdp)|(\|lc)|(penalty))" /e /r /s</v>
      </c>
      <c r="AG110" s="1" t="str">
        <f t="shared" si="36"/>
        <v>EC</v>
      </c>
      <c r="AH110" s="96" t="str">
        <f t="shared" si="37"/>
        <v>"%USERPROFILE%\Documents\GitHub\eaglep3\Utilities\RefineRTDCRunTimes.py" --tripid 197-07 --locoid 4038 --swversion DE.1.0.7.0 --startMP 204:482 --initTime 2016-10-07T15:38:58 --startdatetime 2016-10-07T15:45:18 --delay 2 --endMP 204:233347 --enddatetime 2016-10-07T16:22:13 --enforcementcount 0 &gt;&gt;C:\Users\stu\Documents\GitHub\eaglep3-reporting\EC\2016-10-07-refined-times.txt</v>
      </c>
      <c r="AI110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{"issue":{"subject":"","project_id":79,"tracker_id":40,"status_id":1,"priority_id":2,"assigned_to_id":23,"start_date":"2016-10-07","description":"","custom_fields":[{"id":1,"name":"Subdivision","value":"EC"},{"id":4,"name":"Milepost","value":"23.3347"},{"id":17,"name":"Train ID","value":"197-07"},{"id":16,"name":"Locomotive ID","value":"4038"},{"id":130,"name":"Impact","value":""},{"id":150,"name":"Time of Event (Mountain Time)","value":"16:22:13"},{"id":151,"name":"Denver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520</v>
      </c>
      <c r="B111" s="7">
        <v>4037</v>
      </c>
      <c r="C111" s="24" t="s">
        <v>106</v>
      </c>
      <c r="D111" s="24" t="s">
        <v>521</v>
      </c>
      <c r="E111" s="15">
        <v>42650.689895833333</v>
      </c>
      <c r="F111" s="15">
        <v>42650.695462962962</v>
      </c>
      <c r="G111" s="7">
        <v>1</v>
      </c>
      <c r="H111" s="15" t="s">
        <v>195</v>
      </c>
      <c r="I111" s="15">
        <v>42650.724131944444</v>
      </c>
      <c r="J111" s="7">
        <v>0</v>
      </c>
      <c r="K111" s="117" t="str">
        <f t="shared" si="24"/>
        <v>4037/4038</v>
      </c>
      <c r="L111" s="24" t="str">
        <f>VLOOKUP(A111,'Trips&amp;Operators'!$C$1:$E$10000,3,FALSE)</f>
        <v>SHOOK</v>
      </c>
      <c r="M111" s="6">
        <f t="shared" si="25"/>
        <v>2.8668981482042E-2</v>
      </c>
      <c r="N111" s="7">
        <f t="shared" si="39"/>
        <v>41.28333333414048</v>
      </c>
      <c r="O111" s="7"/>
      <c r="P111" s="7"/>
      <c r="Q111" s="25"/>
      <c r="R111" s="25"/>
      <c r="S111" s="37">
        <f t="shared" si="40"/>
        <v>1</v>
      </c>
      <c r="T111" s="52" t="str">
        <f t="shared" si="26"/>
        <v>Southbound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15:33:27-0600',mode:absolute,to:'2016-10-07 18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1" s="54" t="str">
        <f t="shared" si="28"/>
        <v>N</v>
      </c>
      <c r="X111" s="164">
        <f t="shared" si="42"/>
        <v>1</v>
      </c>
      <c r="Y111" s="69">
        <f t="shared" si="30"/>
        <v>23.302700000000002</v>
      </c>
      <c r="Z111" s="69">
        <f t="shared" si="31"/>
        <v>1.52E-2</v>
      </c>
      <c r="AA111" s="69">
        <f t="shared" si="32"/>
        <v>23.287500000000001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3"/>
        <v>0198-07</v>
      </c>
      <c r="AE111" s="95" t="str">
        <f t="shared" si="34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111" s="92" t="str">
        <f t="shared" si="35"/>
        <v>"C:\Program Files (x86)\AstroGrep\AstroGrep.exe" /spath="%USERPROFILE%\AppData\Local\Temp\OnboardLogs" /stypes="app*4037*20161007*" /stext=" 23:.+((SYSTEM_STATE.+slice.+state.+changed )|(ment ac)|(system.+state.+changed )|(\[timeout)|(PRM\|1\|D)|(kpr)|(kdp)|(\|lc)|(penalty))" /e /r /s</v>
      </c>
      <c r="AG111" s="1" t="str">
        <f t="shared" si="36"/>
        <v>EC</v>
      </c>
      <c r="AH111" s="96" t="str">
        <f t="shared" si="37"/>
        <v>"%USERPROFILE%\Documents\GitHub\eaglep3\Utilities\RefineRTDCRunTimes.py" --tripid 198-07 --locoid 4037 --swversion DE.1.0.7.0 --startMP 204:233027 --initTime 2016-10-07T16:33:27 --startdatetime 2016-10-07T16:41:28 --delay 1 --endMP 204:152 --enddatetime 2016-10-07T17:22:45 --enforcementcount 0 &gt;&gt;C:\Users\stu\Documents\GitHub\eaglep3-reporting\EC\2016-10-07-refined-times.txt</v>
      </c>
      <c r="AI111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{"issue":{"subject":"","project_id":79,"tracker_id":40,"status_id":1,"priority_id":2,"assigned_to_id":23,"start_date":"2016-10-07","description":"","custom_fields":[{"id":1,"name":"Subdivision","value":"EC"},{"id":4,"name":"Milepost","value":"0.0152"},{"id":17,"name":"Train ID","value":"198-07"},{"id":16,"name":"Locomotive ID","value":"4037"},{"id":130,"name":"Impact","value":""},{"id":150,"name":"Time of Event (Mountain Time)","value":"17:22:45"},{"id":151,"name":"Denver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522</v>
      </c>
      <c r="B112" s="7">
        <v>4003</v>
      </c>
      <c r="C112" s="24" t="s">
        <v>106</v>
      </c>
      <c r="D112" s="24" t="s">
        <v>200</v>
      </c>
      <c r="E112" s="15">
        <v>42650.662986111114</v>
      </c>
      <c r="F112" s="15">
        <v>42650.667118055557</v>
      </c>
      <c r="G112" s="7">
        <v>1</v>
      </c>
      <c r="H112" s="15" t="s">
        <v>295</v>
      </c>
      <c r="I112" s="15">
        <v>42650.693460648145</v>
      </c>
      <c r="J112" s="7">
        <v>0</v>
      </c>
      <c r="K112" s="117" t="str">
        <f t="shared" si="24"/>
        <v>4003/4004</v>
      </c>
      <c r="L112" s="24" t="str">
        <f>VLOOKUP(A112,'Trips&amp;Operators'!$C$1:$E$10000,3,FALSE)</f>
        <v>STORY</v>
      </c>
      <c r="M112" s="6">
        <f t="shared" si="25"/>
        <v>2.6342592587752733E-2</v>
      </c>
      <c r="N112" s="7">
        <f t="shared" si="39"/>
        <v>37.933333326363936</v>
      </c>
      <c r="O112" s="7"/>
      <c r="P112" s="7"/>
      <c r="Q112" s="25"/>
      <c r="R112" s="25"/>
      <c r="S112" s="37">
        <f t="shared" si="40"/>
        <v>1</v>
      </c>
      <c r="T112" s="52" t="str">
        <f t="shared" si="26"/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14:54:42-0600',mode:absolute,to:'2016-10-07 17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2" s="54" t="str">
        <f t="shared" si="28"/>
        <v>N</v>
      </c>
      <c r="X112" s="164">
        <f t="shared" si="42"/>
        <v>1</v>
      </c>
      <c r="Y112" s="69">
        <f t="shared" si="30"/>
        <v>4.58E-2</v>
      </c>
      <c r="Z112" s="69">
        <f t="shared" si="31"/>
        <v>23.327000000000002</v>
      </c>
      <c r="AA112" s="69">
        <f t="shared" si="32"/>
        <v>23.281200000000002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3"/>
        <v>0199-07</v>
      </c>
      <c r="AE112" s="95" t="str">
        <f t="shared" si="34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12" s="92" t="str">
        <f t="shared" si="35"/>
        <v>"C:\Program Files (x86)\AstroGrep\AstroGrep.exe" /spath="%USERPROFILE%\AppData\Local\Temp\OnboardLogs" /stypes="app*4003*20161007*" /stext=" 22:.+((SYSTEM_STATE.+slice.+state.+changed )|(ment ac)|(system.+state.+changed )|(\[timeout)|(PRM\|1\|D)|(kpr)|(kdp)|(\|lc)|(penalty))" /e /r /s</v>
      </c>
      <c r="AG112" s="1" t="str">
        <f t="shared" si="36"/>
        <v>EC</v>
      </c>
      <c r="AH112" s="96" t="str">
        <f t="shared" si="37"/>
        <v>"%USERPROFILE%\Documents\GitHub\eaglep3\Utilities\RefineRTDCRunTimes.py" --tripid 199-07 --locoid 4003 --swversion DE.1.0.7.0 --startMP 204:458 --initTime 2016-10-07T15:54:42 --startdatetime 2016-10-07T16:00:39 --delay 1 --endMP 204:233270 --enddatetime 2016-10-07T16:38:35 --enforcementcount 0 &gt;&gt;C:\Users\stu\Documents\GitHub\eaglep3-reporting\EC\2016-10-07-refined-times.txt</v>
      </c>
      <c r="AI112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{"issue":{"subject":"","project_id":79,"tracker_id":40,"status_id":1,"priority_id":2,"assigned_to_id":23,"start_date":"2016-10-07","description":"","custom_fields":[{"id":1,"name":"Subdivision","value":"EC"},{"id":4,"name":"Milepost","value":"23.327"},{"id":17,"name":"Train ID","value":"199-07"},{"id":16,"name":"Locomotive ID","value":"4003"},{"id":130,"name":"Impact","value":""},{"id":150,"name":"Time of Event (Mountain Time)","value":"16:38:35"},{"id":151,"name":"Denver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523</v>
      </c>
      <c r="B113" s="7">
        <v>4004</v>
      </c>
      <c r="C113" s="24" t="s">
        <v>106</v>
      </c>
      <c r="D113" s="24" t="s">
        <v>293</v>
      </c>
      <c r="E113" s="15">
        <v>42650.70207175926</v>
      </c>
      <c r="F113" s="15">
        <v>42650.706354166665</v>
      </c>
      <c r="G113" s="7">
        <v>1</v>
      </c>
      <c r="H113" s="15" t="s">
        <v>191</v>
      </c>
      <c r="I113" s="15">
        <v>42650.735138888886</v>
      </c>
      <c r="J113" s="7">
        <v>0</v>
      </c>
      <c r="K113" s="117" t="str">
        <f t="shared" si="24"/>
        <v>4003/4004</v>
      </c>
      <c r="L113" s="24" t="str">
        <f>VLOOKUP(A113,'Trips&amp;Operators'!$C$1:$E$10000,3,FALSE)</f>
        <v>STORY</v>
      </c>
      <c r="M113" s="6">
        <f t="shared" si="25"/>
        <v>2.8784722220734693E-2</v>
      </c>
      <c r="N113" s="7">
        <f t="shared" si="39"/>
        <v>41.449999997857958</v>
      </c>
      <c r="O113" s="7"/>
      <c r="P113" s="7"/>
      <c r="Q113" s="25"/>
      <c r="R113" s="25"/>
      <c r="S113" s="37">
        <f t="shared" si="40"/>
        <v>1</v>
      </c>
      <c r="T113" s="52" t="str">
        <f t="shared" si="26"/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15:50:59-0600',mode:absolute,to:'2016-10-07 18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3" s="54" t="str">
        <f t="shared" si="28"/>
        <v>N</v>
      </c>
      <c r="X113" s="164">
        <f t="shared" si="42"/>
        <v>1</v>
      </c>
      <c r="Y113" s="69">
        <f t="shared" si="30"/>
        <v>23.296099999999999</v>
      </c>
      <c r="Z113" s="69">
        <f t="shared" si="31"/>
        <v>1.47E-2</v>
      </c>
      <c r="AA113" s="69">
        <f t="shared" si="32"/>
        <v>23.281399999999998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3"/>
        <v>0200-07</v>
      </c>
      <c r="AE113" s="95" t="str">
        <f t="shared" si="34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113" s="92" t="str">
        <f t="shared" si="35"/>
        <v>"C:\Program Files (x86)\AstroGrep\AstroGrep.exe" /spath="%USERPROFILE%\AppData\Local\Temp\OnboardLogs" /stypes="app*4004*20161007*" /stext=" 23:.+((SYSTEM_STATE.+slice.+state.+changed )|(ment ac)|(system.+state.+changed )|(\[timeout)|(PRM\|1\|D)|(kpr)|(kdp)|(\|lc)|(penalty))" /e /r /s</v>
      </c>
      <c r="AG113" s="1" t="str">
        <f t="shared" si="36"/>
        <v>EC</v>
      </c>
      <c r="AH113" s="96" t="str">
        <f t="shared" si="37"/>
        <v>"%USERPROFILE%\Documents\GitHub\eaglep3\Utilities\RefineRTDCRunTimes.py" --tripid 200-07 --locoid 4004 --swversion DE.1.0.7.0 --startMP 204:232961 --initTime 2016-10-07T16:50:59 --startdatetime 2016-10-07T16:57:09 --delay 1 --endMP 204:147 --enddatetime 2016-10-07T17:38:36 --enforcementcount 0 &gt;&gt;C:\Users\stu\Documents\GitHub\eaglep3-reporting\EC\2016-10-07-refined-times.txt</v>
      </c>
      <c r="AI113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{"issue":{"subject":"","project_id":79,"tracker_id":40,"status_id":1,"priority_id":2,"assigned_to_id":23,"start_date":"2016-10-07","description":"","custom_fields":[{"id":1,"name":"Subdivision","value":"EC"},{"id":4,"name":"Milepost","value":"0.0147"},{"id":17,"name":"Train ID","value":"200-07"},{"id":16,"name":"Locomotive ID","value":"4004"},{"id":130,"name":"Impact","value":""},{"id":150,"name":"Time of Event (Mountain Time)","value":"17:38:36"},{"id":151,"name":"Denver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524</v>
      </c>
      <c r="B114" s="7">
        <v>4014</v>
      </c>
      <c r="C114" s="24" t="s">
        <v>106</v>
      </c>
      <c r="D114" s="24" t="s">
        <v>327</v>
      </c>
      <c r="E114" s="15">
        <v>42650.676296296297</v>
      </c>
      <c r="F114" s="15">
        <v>42650.678437499999</v>
      </c>
      <c r="G114" s="7">
        <v>1</v>
      </c>
      <c r="H114" s="15" t="s">
        <v>256</v>
      </c>
      <c r="I114" s="15">
        <v>42650.70590277778</v>
      </c>
      <c r="J114" s="7">
        <v>0</v>
      </c>
      <c r="K114" s="117" t="str">
        <f t="shared" si="24"/>
        <v>4013/4014</v>
      </c>
      <c r="L114" s="24" t="str">
        <f>VLOOKUP(A114,'Trips&amp;Operators'!$C$1:$E$10000,3,FALSE)</f>
        <v>SWANSON</v>
      </c>
      <c r="M114" s="6">
        <f t="shared" si="25"/>
        <v>2.7465277780720498E-2</v>
      </c>
      <c r="N114" s="7">
        <f t="shared" si="39"/>
        <v>39.550000004237518</v>
      </c>
      <c r="O114" s="7"/>
      <c r="P114" s="7"/>
      <c r="Q114" s="25"/>
      <c r="R114" s="25"/>
      <c r="S114" s="37">
        <f t="shared" si="40"/>
        <v>1</v>
      </c>
      <c r="T114" s="52" t="str">
        <f t="shared" si="26"/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15:13:52-0600',mode:absolute,to:'2016-10-07 17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4" s="54" t="str">
        <f t="shared" si="28"/>
        <v>N</v>
      </c>
      <c r="X114" s="164">
        <f t="shared" si="42"/>
        <v>1</v>
      </c>
      <c r="Y114" s="69">
        <f t="shared" si="30"/>
        <v>4.3700000000000003E-2</v>
      </c>
      <c r="Z114" s="69">
        <f t="shared" si="31"/>
        <v>23.298500000000001</v>
      </c>
      <c r="AA114" s="69">
        <f t="shared" si="32"/>
        <v>23.254799999999999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3"/>
        <v>0201-07</v>
      </c>
      <c r="AE114" s="95" t="str">
        <f t="shared" si="34"/>
        <v>aws s3 cp s3://rtdc.mdm.uploadarchive.raw/RTDC4014/ "%USERPROFILE%\AppData\Local\Temp\OnboardLogs"\RTDC4014\2016-10-07 --exclude "*" --recursive --include "*20161007*" &amp; "%USERPROFILE%\Documents\GitHub\mrs-test-scripts\Headless Mode &amp; Sideloading\WalkAndUnGZ.bat" "%USERPROFILE%\AppData\Local\Temp\OnboardLogs"\RTDC4014\2016-10-07 &amp; aws s3 cp s3://rtdc.mdm.uploadarchive.raw/RTDC4014/ "%USERPROFILE%\AppData\Local\Temp\OnboardLogs"\RTDC4014\2016-10-08 --exclude "*" --recursive --include "*20161008*" &amp; "%USERPROFILE%\Documents\GitHub\mrs-test-scripts\Headless Mode &amp; Sideloading\WalkAndUnGZ.bat" "%USERPROFILE%\AppData\Local\Temp\OnboardLogs"\RTDC4014\2016-10-08</v>
      </c>
      <c r="AF114" s="92" t="str">
        <f t="shared" si="35"/>
        <v>"C:\Program Files (x86)\AstroGrep\AstroGrep.exe" /spath="%USERPROFILE%\AppData\Local\Temp\OnboardLogs" /stypes="app*4014*20161007*" /stext=" 22:.+((SYSTEM_STATE.+slice.+state.+changed )|(ment ac)|(system.+state.+changed )|(\[timeout)|(PRM\|1\|D)|(kpr)|(kdp)|(\|lc)|(penalty))" /e /r /s</v>
      </c>
      <c r="AG114" s="1" t="str">
        <f t="shared" si="36"/>
        <v>EC</v>
      </c>
      <c r="AH114" s="96" t="str">
        <f t="shared" si="37"/>
        <v>"%USERPROFILE%\Documents\GitHub\eaglep3\Utilities\RefineRTDCRunTimes.py" --tripid 201-07 --locoid 4014 --swversion DE.1.0.7.0 --startMP 204:437 --initTime 2016-10-07T16:13:52 --startdatetime 2016-10-07T16:16:57 --delay 1 --endMP 204:232985 --enddatetime 2016-10-07T16:56:30 --enforcementcount 0 &gt;&gt;C:\Users\stu\Documents\GitHub\eaglep3-reporting\EC\2016-10-07-refined-times.txt</v>
      </c>
      <c r="AI114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{"issue":{"subject":"","project_id":79,"tracker_id":40,"status_id":1,"priority_id":2,"assigned_to_id":23,"start_date":"2016-10-07","description":"","custom_fields":[{"id":1,"name":"Subdivision","value":"EC"},{"id":4,"name":"Milepost","value":"23.2985"},{"id":17,"name":"Train ID","value":"201-07"},{"id":16,"name":"Locomotive ID","value":"4014"},{"id":130,"name":"Impact","value":""},{"id":150,"name":"Time of Event (Mountain Time)","value":"16:56:30"},{"id":151,"name":"Denver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525</v>
      </c>
      <c r="B115" s="7">
        <v>4013</v>
      </c>
      <c r="C115" s="24" t="s">
        <v>106</v>
      </c>
      <c r="D115" s="24" t="s">
        <v>526</v>
      </c>
      <c r="E115" s="15">
        <v>42650.710763888892</v>
      </c>
      <c r="F115" s="15">
        <v>42650.716365740744</v>
      </c>
      <c r="G115" s="7">
        <v>1</v>
      </c>
      <c r="H115" s="15" t="s">
        <v>361</v>
      </c>
      <c r="I115" s="15">
        <v>42650.744537037041</v>
      </c>
      <c r="J115" s="7">
        <v>0</v>
      </c>
      <c r="K115" s="117" t="str">
        <f t="shared" si="24"/>
        <v>4013/4014</v>
      </c>
      <c r="L115" s="24" t="str">
        <f>VLOOKUP(A115,'Trips&amp;Operators'!$C$1:$E$10000,3,FALSE)</f>
        <v>SWANSON</v>
      </c>
      <c r="M115" s="6">
        <f t="shared" si="25"/>
        <v>2.8171296296932269E-2</v>
      </c>
      <c r="N115" s="7">
        <f t="shared" si="39"/>
        <v>40.566666667582467</v>
      </c>
      <c r="O115" s="7"/>
      <c r="P115" s="7"/>
      <c r="Q115" s="25"/>
      <c r="R115" s="25"/>
      <c r="S115" s="37">
        <f t="shared" si="40"/>
        <v>1</v>
      </c>
      <c r="T115" s="52" t="str">
        <f t="shared" si="26"/>
        <v>Southbound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16:03:30-0600',mode:absolute,to:'2016-10-07 18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5" s="54" t="str">
        <f t="shared" si="28"/>
        <v>N</v>
      </c>
      <c r="X115" s="164">
        <f t="shared" si="42"/>
        <v>1</v>
      </c>
      <c r="Y115" s="69">
        <f t="shared" si="30"/>
        <v>23.267199999999999</v>
      </c>
      <c r="Z115" s="69">
        <f t="shared" si="31"/>
        <v>9.4799999999999995E-2</v>
      </c>
      <c r="AA115" s="69">
        <f t="shared" si="32"/>
        <v>23.1724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3"/>
        <v>0202-07</v>
      </c>
      <c r="AE115" s="95" t="str">
        <f t="shared" si="34"/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AF115" s="92" t="str">
        <f t="shared" si="35"/>
        <v>"C:\Program Files (x86)\AstroGrep\AstroGrep.exe" /spath="%USERPROFILE%\AppData\Local\Temp\OnboardLogs" /stypes="app*4013*20161007*" /stext=" 23:.+((SYSTEM_STATE.+slice.+state.+changed )|(ment ac)|(system.+state.+changed )|(\[timeout)|(PRM\|1\|D)|(kpr)|(kdp)|(\|lc)|(penalty))" /e /r /s</v>
      </c>
      <c r="AG115" s="1" t="str">
        <f t="shared" si="36"/>
        <v>EC</v>
      </c>
      <c r="AH115" s="96" t="str">
        <f t="shared" si="37"/>
        <v>"%USERPROFILE%\Documents\GitHub\eaglep3\Utilities\RefineRTDCRunTimes.py" --tripid 202-07 --locoid 4013 --swversion DE.1.0.7.0 --startMP 204:232672 --initTime 2016-10-07T17:03:30 --startdatetime 2016-10-07T17:11:34 --delay 1 --endMP 204:948 --enddatetime 2016-10-07T17:52:08 --enforcementcount 0 &gt;&gt;C:\Users\stu\Documents\GitHub\eaglep3-reporting\EC\2016-10-07-refined-times.txt</v>
      </c>
      <c r="AI115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{"issue":{"subject":"","project_id":79,"tracker_id":40,"status_id":1,"priority_id":2,"assigned_to_id":23,"start_date":"2016-10-07","description":"","custom_fields":[{"id":1,"name":"Subdivision","value":"EC"},{"id":4,"name":"Milepost","value":"0.0948"},{"id":17,"name":"Train ID","value":"202-07"},{"id":16,"name":"Locomotive ID","value":"4013"},{"id":130,"name":"Impact","value":""},{"id":150,"name":"Time of Event (Mountain Time)","value":"17:52:08"},{"id":151,"name":"Denver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527</v>
      </c>
      <c r="B116" s="7">
        <v>4046</v>
      </c>
      <c r="C116" s="24" t="s">
        <v>106</v>
      </c>
      <c r="D116" s="24" t="s">
        <v>299</v>
      </c>
      <c r="E116" s="15">
        <v>42650.68472222222</v>
      </c>
      <c r="F116" s="15">
        <v>42650.687673611108</v>
      </c>
      <c r="G116" s="7">
        <v>1</v>
      </c>
      <c r="H116" s="15" t="s">
        <v>528</v>
      </c>
      <c r="I116" s="15">
        <v>42650.713645833333</v>
      </c>
      <c r="J116" s="7">
        <v>0</v>
      </c>
      <c r="K116" s="117" t="str">
        <f t="shared" si="24"/>
        <v>4045/4046</v>
      </c>
      <c r="L116" s="24" t="str">
        <f>VLOOKUP(A116,'Trips&amp;Operators'!$C$1:$E$10000,3,FALSE)</f>
        <v>CLARK</v>
      </c>
      <c r="M116" s="6">
        <f t="shared" si="25"/>
        <v>2.5972222225391306E-2</v>
      </c>
      <c r="N116" s="7">
        <f t="shared" si="39"/>
        <v>37.400000004563481</v>
      </c>
      <c r="O116" s="7"/>
      <c r="P116" s="7"/>
      <c r="Q116" s="25"/>
      <c r="R116" s="25"/>
      <c r="S116" s="37">
        <f t="shared" si="40"/>
        <v>1</v>
      </c>
      <c r="T116" s="52" t="str">
        <f t="shared" si="26"/>
        <v>NorthBound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15:26:00-0600',mode:absolute,to:'2016-10-07 18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6" s="54" t="str">
        <f t="shared" si="28"/>
        <v>N</v>
      </c>
      <c r="X116" s="164">
        <f t="shared" si="42"/>
        <v>1</v>
      </c>
      <c r="Y116" s="69">
        <f t="shared" si="30"/>
        <v>4.7300000000000002E-2</v>
      </c>
      <c r="Z116" s="69">
        <f t="shared" si="31"/>
        <v>23.325900000000001</v>
      </c>
      <c r="AA116" s="69">
        <f t="shared" si="32"/>
        <v>23.278600000000001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3"/>
        <v>0203-07</v>
      </c>
      <c r="AE116" s="95" t="str">
        <f t="shared" si="34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16" s="92" t="str">
        <f t="shared" si="35"/>
        <v>"C:\Program Files (x86)\AstroGrep\AstroGrep.exe" /spath="%USERPROFILE%\AppData\Local\Temp\OnboardLogs" /stypes="app*4046*20161007*" /stext=" 23:.+((SYSTEM_STATE.+slice.+state.+changed )|(ment ac)|(system.+state.+changed )|(\[timeout)|(PRM\|1\|D)|(kpr)|(kdp)|(\|lc)|(penalty))" /e /r /s</v>
      </c>
      <c r="AG116" s="1" t="str">
        <f t="shared" si="36"/>
        <v>EC</v>
      </c>
      <c r="AH116" s="96" t="str">
        <f t="shared" si="37"/>
        <v>"%USERPROFILE%\Documents\GitHub\eaglep3\Utilities\RefineRTDCRunTimes.py" --tripid 203-07 --locoid 4046 --swversion DE.1.0.7.0 --startMP 204:473 --initTime 2016-10-07T16:26:00 --startdatetime 2016-10-07T16:30:15 --delay 1 --endMP 204:233259 --enddatetime 2016-10-07T17:07:39 --enforcementcount 0 &gt;&gt;C:\Users\stu\Documents\GitHub\eaglep3-reporting\EC\2016-10-07-refined-times.txt</v>
      </c>
      <c r="AI116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{"issue":{"subject":"","project_id":79,"tracker_id":40,"status_id":1,"priority_id":2,"assigned_to_id":23,"start_date":"2016-10-07","description":"","custom_fields":[{"id":1,"name":"Subdivision","value":"EC"},{"id":4,"name":"Milepost","value":"23.3259"},{"id":17,"name":"Train ID","value":"203-07"},{"id":16,"name":"Locomotive ID","value":"4046"},{"id":130,"name":"Impact","value":""},{"id":150,"name":"Time of Event (Mountain Time)","value":"17:07:39"},{"id":151,"name":"Denver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529</v>
      </c>
      <c r="B117" s="7">
        <v>4045</v>
      </c>
      <c r="C117" s="24" t="s">
        <v>106</v>
      </c>
      <c r="D117" s="24" t="s">
        <v>503</v>
      </c>
      <c r="E117" s="15">
        <v>42650.722361111111</v>
      </c>
      <c r="F117" s="15">
        <v>42650.726574074077</v>
      </c>
      <c r="G117" s="7">
        <v>1</v>
      </c>
      <c r="H117" s="15" t="s">
        <v>190</v>
      </c>
      <c r="I117" s="15">
        <v>42650.757372685184</v>
      </c>
      <c r="J117" s="7">
        <v>0</v>
      </c>
      <c r="K117" s="117" t="str">
        <f t="shared" si="24"/>
        <v>4045/4046</v>
      </c>
      <c r="L117" s="24" t="str">
        <f>VLOOKUP(A117,'Trips&amp;Operators'!$C$1:$E$10000,3,FALSE)</f>
        <v>CLARK</v>
      </c>
      <c r="M117" s="6">
        <f t="shared" si="25"/>
        <v>3.0798611107456964E-2</v>
      </c>
      <c r="N117" s="7">
        <f t="shared" si="39"/>
        <v>44.349999994738027</v>
      </c>
      <c r="O117" s="7"/>
      <c r="P117" s="7"/>
      <c r="Q117" s="25"/>
      <c r="R117" s="25"/>
      <c r="S117" s="37">
        <f t="shared" si="40"/>
        <v>1</v>
      </c>
      <c r="T117" s="52" t="str">
        <f t="shared" si="26"/>
        <v>Southbound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16:20:12-0600',mode:absolute,to:'2016-10-07 19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7" s="54" t="str">
        <f t="shared" si="28"/>
        <v>N</v>
      </c>
      <c r="X117" s="164">
        <f t="shared" si="42"/>
        <v>1</v>
      </c>
      <c r="Y117" s="69">
        <f t="shared" si="30"/>
        <v>23.293800000000001</v>
      </c>
      <c r="Z117" s="69">
        <f t="shared" si="31"/>
        <v>1.5800000000000002E-2</v>
      </c>
      <c r="AA117" s="69">
        <f t="shared" si="32"/>
        <v>23.278000000000002</v>
      </c>
      <c r="AB117" s="66" t="str">
        <f>VLOOKUP(A117,Enforcements!$C$7:$K$21,8,0)</f>
        <v>Speed (6)</v>
      </c>
      <c r="AC117" s="62" t="str">
        <f>VLOOKUP(A117,Enforcements!$C$7:$E$21,3,0)</f>
        <v>PERMANENT SPEED RESTRICTION</v>
      </c>
      <c r="AD117" s="63" t="str">
        <f t="shared" si="33"/>
        <v>0204-07</v>
      </c>
      <c r="AE117" s="95" t="str">
        <f t="shared" si="34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17" s="92" t="str">
        <f t="shared" si="35"/>
        <v>"C:\Program Files (x86)\AstroGrep\AstroGrep.exe" /spath="%USERPROFILE%\AppData\Local\Temp\OnboardLogs" /stypes="app*4045*20161008*" /stext=" 00:.+((SYSTEM_STATE.+slice.+state.+changed )|(ment ac)|(system.+state.+changed )|(\[timeout)|(PRM\|1\|D)|(kpr)|(kdp)|(\|lc)|(penalty))" /e /r /s</v>
      </c>
      <c r="AG117" s="1" t="str">
        <f t="shared" si="36"/>
        <v>EC</v>
      </c>
      <c r="AH117" s="96" t="str">
        <f t="shared" si="37"/>
        <v>"%USERPROFILE%\Documents\GitHub\eaglep3\Utilities\RefineRTDCRunTimes.py" --tripid 204-07 --locoid 4045 --swversion DE.1.0.7.0 --startMP 204:232938 --initTime 2016-10-07T17:20:12 --startdatetime 2016-10-07T17:26:16 --delay 1 --endMP 204:158 --enddatetime 2016-10-07T18:10:37 --enforcementcount 0 &gt;&gt;C:\Users\stu\Documents\GitHub\eaglep3-reporting\EC\2016-10-07-refined-times.txt</v>
      </c>
      <c r="AI117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{"issue":{"subject":"","project_id":79,"tracker_id":40,"status_id":1,"priority_id":2,"assigned_to_id":23,"start_date":"2016-10-07","description":"","custom_fields":[{"id":1,"name":"Subdivision","value":"EC"},{"id":4,"name":"Milepost","value":"0.0158"},{"id":17,"name":"Train ID","value":"204-07"},{"id":16,"name":"Locomotive ID","value":"4045"},{"id":130,"name":"Impact","value":""},{"id":150,"name":"Time of Event (Mountain Time)","value":"18:10:37"},{"id":151,"name":"Denver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530</v>
      </c>
      <c r="B118" s="7">
        <v>4020</v>
      </c>
      <c r="C118" s="24" t="s">
        <v>106</v>
      </c>
      <c r="D118" s="24" t="s">
        <v>203</v>
      </c>
      <c r="E118" s="15">
        <v>42650.694479166668</v>
      </c>
      <c r="F118" s="15">
        <v>42650.69809027778</v>
      </c>
      <c r="G118" s="7">
        <v>1</v>
      </c>
      <c r="H118" s="15" t="s">
        <v>531</v>
      </c>
      <c r="I118" s="15">
        <v>42650.723287037035</v>
      </c>
      <c r="J118" s="7">
        <v>0</v>
      </c>
      <c r="K118" s="117" t="str">
        <f t="shared" si="24"/>
        <v>4019/4020</v>
      </c>
      <c r="L118" s="24" t="str">
        <f>VLOOKUP(A118,'Trips&amp;Operators'!$C$1:$E$10000,3,FALSE)</f>
        <v>BONDS</v>
      </c>
      <c r="M118" s="6">
        <f t="shared" si="25"/>
        <v>2.5196759255777579E-2</v>
      </c>
      <c r="N118" s="7">
        <f t="shared" si="39"/>
        <v>36.283333328319713</v>
      </c>
      <c r="O118" s="7"/>
      <c r="P118" s="7"/>
      <c r="Q118" s="25"/>
      <c r="R118" s="25"/>
      <c r="S118" s="37">
        <f t="shared" si="40"/>
        <v>1</v>
      </c>
      <c r="T118" s="52" t="str">
        <f t="shared" si="26"/>
        <v>NorthBound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15:40:03-0600',mode:absolute,to:'2016-10-07 18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8" s="54" t="str">
        <f t="shared" si="28"/>
        <v>N</v>
      </c>
      <c r="X118" s="164">
        <f t="shared" si="42"/>
        <v>1</v>
      </c>
      <c r="Y118" s="69">
        <f t="shared" si="30"/>
        <v>4.6199999999999998E-2</v>
      </c>
      <c r="Z118" s="69">
        <f t="shared" si="31"/>
        <v>23.1724</v>
      </c>
      <c r="AA118" s="69">
        <f t="shared" si="32"/>
        <v>23.126200000000001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3"/>
        <v>0205-07</v>
      </c>
      <c r="AE118" s="95" t="str">
        <f t="shared" si="34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18" s="92" t="str">
        <f t="shared" si="35"/>
        <v>"C:\Program Files (x86)\AstroGrep\AstroGrep.exe" /spath="%USERPROFILE%\AppData\Local\Temp\OnboardLogs" /stypes="app*4020*20161007*" /stext=" 23:.+((SYSTEM_STATE.+slice.+state.+changed )|(ment ac)|(system.+state.+changed )|(\[timeout)|(PRM\|1\|D)|(kpr)|(kdp)|(\|lc)|(penalty))" /e /r /s</v>
      </c>
      <c r="AG118" s="1" t="str">
        <f t="shared" si="36"/>
        <v>EC</v>
      </c>
      <c r="AH118" s="96" t="str">
        <f t="shared" si="37"/>
        <v>"%USERPROFILE%\Documents\GitHub\eaglep3\Utilities\RefineRTDCRunTimes.py" --tripid 205-07 --locoid 4020 --swversion DE.1.0.7.0 --startMP 204:462 --initTime 2016-10-07T16:40:03 --startdatetime 2016-10-07T16:45:15 --delay 1 --endMP 204:231724 --enddatetime 2016-10-07T17:21:32 --enforcementcount 0 &gt;&gt;C:\Users\stu\Documents\GitHub\eaglep3-reporting\EC\2016-10-07-refined-times.txt</v>
      </c>
      <c r="AI118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{"issue":{"subject":"","project_id":79,"tracker_id":40,"status_id":1,"priority_id":2,"assigned_to_id":23,"start_date":"2016-10-07","description":"","custom_fields":[{"id":1,"name":"Subdivision","value":"EC"},{"id":4,"name":"Milepost","value":"23.1724"},{"id":17,"name":"Train ID","value":"205-07"},{"id":16,"name":"Locomotive ID","value":"4020"},{"id":130,"name":"Impact","value":""},{"id":150,"name":"Time of Event (Mountain Time)","value":"17:21:32"},{"id":151,"name":"Denver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532</v>
      </c>
      <c r="B119" s="7">
        <v>4019</v>
      </c>
      <c r="C119" s="24" t="s">
        <v>106</v>
      </c>
      <c r="D119" s="24" t="s">
        <v>217</v>
      </c>
      <c r="E119" s="15">
        <v>42650.725763888891</v>
      </c>
      <c r="F119" s="15">
        <v>42650.736990740741</v>
      </c>
      <c r="G119" s="7">
        <v>1</v>
      </c>
      <c r="H119" s="15" t="s">
        <v>210</v>
      </c>
      <c r="I119" s="15">
        <v>42650.768738425926</v>
      </c>
      <c r="J119" s="7">
        <v>0</v>
      </c>
      <c r="K119" s="117" t="str">
        <f t="shared" si="24"/>
        <v>4019/4020</v>
      </c>
      <c r="L119" s="24" t="str">
        <f>VLOOKUP(A119,'Trips&amp;Operators'!$C$1:$E$10000,3,FALSE)</f>
        <v>BONDS</v>
      </c>
      <c r="M119" s="6">
        <f t="shared" si="25"/>
        <v>3.1747685185109731E-2</v>
      </c>
      <c r="N119" s="7">
        <f t="shared" ref="N119:N150" si="43">24*60*SUM($M119:$M119)</f>
        <v>45.716666666558012</v>
      </c>
      <c r="O119" s="7"/>
      <c r="P119" s="7"/>
      <c r="Q119" s="25"/>
      <c r="R119" s="25"/>
      <c r="S119" s="37">
        <f t="shared" ref="S119:S150" si="44">SUM(U119:U119)/IF(AG119="EC",12,1)</f>
        <v>1</v>
      </c>
      <c r="T119" s="52" t="str">
        <f t="shared" si="26"/>
        <v>Southbound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16:25:06-0600',mode:absolute,to:'2016-10-07 19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9" s="54" t="str">
        <f t="shared" si="28"/>
        <v>N</v>
      </c>
      <c r="X119" s="164">
        <f t="shared" si="42"/>
        <v>1</v>
      </c>
      <c r="Y119" s="69">
        <f t="shared" si="30"/>
        <v>23.297699999999999</v>
      </c>
      <c r="Z119" s="69">
        <f t="shared" si="31"/>
        <v>1.41E-2</v>
      </c>
      <c r="AA119" s="69">
        <f t="shared" si="32"/>
        <v>23.2836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3"/>
        <v>0206-07</v>
      </c>
      <c r="AE119" s="95" t="str">
        <f t="shared" si="34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19" s="92" t="str">
        <f t="shared" si="35"/>
        <v>"C:\Program Files (x86)\AstroGrep\AstroGrep.exe" /spath="%USERPROFILE%\AppData\Local\Temp\OnboardLogs" /stypes="app*4019*20161008*" /stext=" 00:.+((SYSTEM_STATE.+slice.+state.+changed )|(ment ac)|(system.+state.+changed )|(\[timeout)|(PRM\|1\|D)|(kpr)|(kdp)|(\|lc)|(penalty))" /e /r /s</v>
      </c>
      <c r="AG119" s="1" t="str">
        <f t="shared" si="36"/>
        <v>EC</v>
      </c>
      <c r="AH119" s="96" t="str">
        <f t="shared" si="37"/>
        <v>"%USERPROFILE%\Documents\GitHub\eaglep3\Utilities\RefineRTDCRunTimes.py" --tripid 206-07 --locoid 4019 --swversion DE.1.0.7.0 --startMP 204:232977 --initTime 2016-10-07T17:25:06 --startdatetime 2016-10-07T17:41:16 --delay 1 --endMP 204:141 --enddatetime 2016-10-07T18:26:59 --enforcementcount 0 &gt;&gt;C:\Users\stu\Documents\GitHub\eaglep3-reporting\EC\2016-10-07-refined-times.txt</v>
      </c>
      <c r="AI119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{"issue":{"subject":"","project_id":79,"tracker_id":40,"status_id":1,"priority_id":2,"assigned_to_id":23,"start_date":"2016-10-07","description":"","custom_fields":[{"id":1,"name":"Subdivision","value":"EC"},{"id":4,"name":"Milepost","value":"0.0141"},{"id":17,"name":"Train ID","value":"206-07"},{"id":16,"name":"Locomotive ID","value":"4019"},{"id":130,"name":"Impact","value":""},{"id":150,"name":"Time of Event (Mountain Time)","value":"18:26:59"},{"id":151,"name":"Denver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533</v>
      </c>
      <c r="B120" s="7">
        <v>4007</v>
      </c>
      <c r="C120" s="24" t="s">
        <v>106</v>
      </c>
      <c r="D120" s="24" t="s">
        <v>327</v>
      </c>
      <c r="E120" s="15">
        <v>42650.705451388887</v>
      </c>
      <c r="F120" s="15">
        <v>42650.708587962959</v>
      </c>
      <c r="G120" s="7">
        <v>1</v>
      </c>
      <c r="H120" s="15" t="s">
        <v>486</v>
      </c>
      <c r="I120" s="15">
        <v>42650.734490740739</v>
      </c>
      <c r="J120" s="7">
        <v>0</v>
      </c>
      <c r="K120" s="117" t="str">
        <f t="shared" si="24"/>
        <v>4007/4008</v>
      </c>
      <c r="L120" s="24" t="str">
        <f>VLOOKUP(A120,'Trips&amp;Operators'!$C$1:$E$10000,3,FALSE)</f>
        <v>MOSES</v>
      </c>
      <c r="M120" s="6">
        <f t="shared" si="25"/>
        <v>2.5902777779265307E-2</v>
      </c>
      <c r="N120" s="7">
        <f t="shared" si="43"/>
        <v>37.300000002142042</v>
      </c>
      <c r="O120" s="7"/>
      <c r="P120" s="7"/>
      <c r="Q120" s="25"/>
      <c r="R120" s="25"/>
      <c r="S120" s="37">
        <f t="shared" si="44"/>
        <v>1</v>
      </c>
      <c r="T120" s="52" t="str">
        <f t="shared" si="26"/>
        <v>NorthBound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15:55:51-0600',mode:absolute,to:'2016-10-07 18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0" s="54" t="str">
        <f t="shared" si="28"/>
        <v>N</v>
      </c>
      <c r="X120" s="164">
        <f t="shared" si="42"/>
        <v>1</v>
      </c>
      <c r="Y120" s="69">
        <f t="shared" si="30"/>
        <v>4.3700000000000003E-2</v>
      </c>
      <c r="Z120" s="69">
        <f t="shared" si="31"/>
        <v>23.3278</v>
      </c>
      <c r="AA120" s="69">
        <f t="shared" si="32"/>
        <v>23.284099999999999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3"/>
        <v>0207-07</v>
      </c>
      <c r="AE120" s="95" t="str">
        <f t="shared" si="34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20" s="92" t="str">
        <f t="shared" si="35"/>
        <v>"C:\Program Files (x86)\AstroGrep\AstroGrep.exe" /spath="%USERPROFILE%\AppData\Local\Temp\OnboardLogs" /stypes="app*4007*20161007*" /stext=" 23:.+((SYSTEM_STATE.+slice.+state.+changed )|(ment ac)|(system.+state.+changed )|(\[timeout)|(PRM\|1\|D)|(kpr)|(kdp)|(\|lc)|(penalty))" /e /r /s</v>
      </c>
      <c r="AG120" s="1" t="str">
        <f t="shared" si="36"/>
        <v>EC</v>
      </c>
      <c r="AH120" s="96" t="str">
        <f t="shared" si="37"/>
        <v>"%USERPROFILE%\Documents\GitHub\eaglep3\Utilities\RefineRTDCRunTimes.py" --tripid 207-07 --locoid 4007 --swversion DE.1.0.7.0 --startMP 204:437 --initTime 2016-10-07T16:55:51 --startdatetime 2016-10-07T17:00:22 --delay 1 --endMP 204:233278 --enddatetime 2016-10-07T17:37:40 --enforcementcount 0 &gt;&gt;C:\Users\stu\Documents\GitHub\eaglep3-reporting\EC\2016-10-07-refined-times.txt</v>
      </c>
      <c r="AI120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{"issue":{"subject":"","project_id":79,"tracker_id":40,"status_id":1,"priority_id":2,"assigned_to_id":23,"start_date":"2016-10-07","description":"","custom_fields":[{"id":1,"name":"Subdivision","value":"EC"},{"id":4,"name":"Milepost","value":"23.3278"},{"id":17,"name":"Train ID","value":"207-07"},{"id":16,"name":"Locomotive ID","value":"4007"},{"id":130,"name":"Impact","value":""},{"id":150,"name":"Time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534</v>
      </c>
      <c r="B121" s="7">
        <v>4008</v>
      </c>
      <c r="C121" s="24" t="s">
        <v>106</v>
      </c>
      <c r="D121" s="24" t="s">
        <v>535</v>
      </c>
      <c r="E121" s="15">
        <v>42650.742349537039</v>
      </c>
      <c r="F121" s="15">
        <v>42650.747546296298</v>
      </c>
      <c r="G121" s="7">
        <v>1</v>
      </c>
      <c r="H121" s="15" t="s">
        <v>406</v>
      </c>
      <c r="I121" s="15">
        <v>42650.775717592594</v>
      </c>
      <c r="J121" s="7">
        <v>0</v>
      </c>
      <c r="K121" s="117" t="str">
        <f t="shared" si="24"/>
        <v>4007/4008</v>
      </c>
      <c r="L121" s="24" t="str">
        <f>VLOOKUP(A121,'Trips&amp;Operators'!$C$1:$E$10000,3,FALSE)</f>
        <v>MOSES</v>
      </c>
      <c r="M121" s="6">
        <f t="shared" si="25"/>
        <v>2.8171296296932269E-2</v>
      </c>
      <c r="N121" s="7">
        <f t="shared" si="43"/>
        <v>40.566666667582467</v>
      </c>
      <c r="O121" s="7"/>
      <c r="P121" s="7"/>
      <c r="Q121" s="25"/>
      <c r="R121" s="25"/>
      <c r="S121" s="37">
        <f t="shared" si="44"/>
        <v>1</v>
      </c>
      <c r="T121" s="52" t="str">
        <f t="shared" si="26"/>
        <v>Southbound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16:48:59-0600',mode:absolute,to:'2016-10-07 19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1" s="54" t="str">
        <f t="shared" si="28"/>
        <v>N</v>
      </c>
      <c r="X121" s="164">
        <f t="shared" si="42"/>
        <v>1</v>
      </c>
      <c r="Y121" s="69">
        <f t="shared" si="30"/>
        <v>23.2957</v>
      </c>
      <c r="Z121" s="69">
        <f t="shared" si="31"/>
        <v>1.67E-2</v>
      </c>
      <c r="AA121" s="69">
        <f t="shared" si="32"/>
        <v>23.279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3"/>
        <v>0208-07</v>
      </c>
      <c r="AE121" s="95" t="str">
        <f t="shared" si="34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21" s="92" t="str">
        <f t="shared" si="35"/>
        <v>"C:\Program Files (x86)\AstroGrep\AstroGrep.exe" /spath="%USERPROFILE%\AppData\Local\Temp\OnboardLogs" /stypes="app*4008*20161008*" /stext=" 00:.+((SYSTEM_STATE.+slice.+state.+changed )|(ment ac)|(system.+state.+changed )|(\[timeout)|(PRM\|1\|D)|(kpr)|(kdp)|(\|lc)|(penalty))" /e /r /s</v>
      </c>
      <c r="AG121" s="1" t="str">
        <f t="shared" si="36"/>
        <v>EC</v>
      </c>
      <c r="AH121" s="96" t="str">
        <f t="shared" si="37"/>
        <v>"%USERPROFILE%\Documents\GitHub\eaglep3\Utilities\RefineRTDCRunTimes.py" --tripid 208-07 --locoid 4008 --swversion DE.1.0.7.0 --startMP 204:232957 --initTime 2016-10-07T17:48:59 --startdatetime 2016-10-07T17:56:28 --delay 1 --endMP 204:167 --enddatetime 2016-10-07T18:37:02 --enforcementcount 0 &gt;&gt;C:\Users\stu\Documents\GitHub\eaglep3-reporting\EC\2016-10-07-refined-times.txt</v>
      </c>
      <c r="AI121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{"issue":{"subject":"","project_id":79,"tracker_id":40,"status_id":1,"priority_id":2,"assigned_to_id":23,"start_date":"2016-10-07","description":"","custom_fields":[{"id":1,"name":"Subdivision","value":"EC"},{"id":4,"name":"Milepost","value":"0.0167"},{"id":17,"name":"Train ID","value":"208-07"},{"id":16,"name":"Locomotive ID","value":"4008"},{"id":130,"name":"Impact","value":""},{"id":150,"name":"Time of Event (Mountain Time)","value":"18:37:02"},{"id":151,"name":"Denver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536</v>
      </c>
      <c r="B122" s="7">
        <v>4042</v>
      </c>
      <c r="C122" s="24" t="s">
        <v>106</v>
      </c>
      <c r="D122" s="24" t="s">
        <v>198</v>
      </c>
      <c r="E122" s="15">
        <v>42650.71707175926</v>
      </c>
      <c r="F122" s="15">
        <v>42650.719502314816</v>
      </c>
      <c r="G122" s="7">
        <v>1</v>
      </c>
      <c r="H122" s="15" t="s">
        <v>537</v>
      </c>
      <c r="I122" s="15">
        <v>42650.74664351852</v>
      </c>
      <c r="J122" s="7">
        <v>0</v>
      </c>
      <c r="K122" s="117" t="str">
        <f t="shared" si="24"/>
        <v>4041/4042</v>
      </c>
      <c r="L122" s="24" t="str">
        <f>VLOOKUP(A122,'Trips&amp;Operators'!$C$1:$E$10000,3,FALSE)</f>
        <v>HILLS</v>
      </c>
      <c r="M122" s="6">
        <f t="shared" si="25"/>
        <v>2.7141203703649808E-2</v>
      </c>
      <c r="N122" s="7">
        <f t="shared" si="43"/>
        <v>39.083333333255723</v>
      </c>
      <c r="O122" s="7"/>
      <c r="P122" s="7"/>
      <c r="Q122" s="25"/>
      <c r="R122" s="25"/>
      <c r="S122" s="37">
        <f t="shared" si="44"/>
        <v>1</v>
      </c>
      <c r="T122" s="52" t="str">
        <f t="shared" si="26"/>
        <v>NorthBound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16:12:35-0600',mode:absolute,to:'2016-10-07 18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2" s="54" t="str">
        <f t="shared" si="28"/>
        <v>N</v>
      </c>
      <c r="X122" s="164">
        <f t="shared" si="42"/>
        <v>1</v>
      </c>
      <c r="Y122" s="69">
        <f t="shared" si="30"/>
        <v>4.5100000000000001E-2</v>
      </c>
      <c r="Z122" s="69">
        <f t="shared" si="31"/>
        <v>23.316199999999998</v>
      </c>
      <c r="AA122" s="69">
        <f t="shared" si="32"/>
        <v>23.271099999999997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3"/>
        <v>0209-07</v>
      </c>
      <c r="AE122" s="95" t="str">
        <f t="shared" si="34"/>
        <v>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 &amp; aws s3 cp s3://rtdc.mdm.uploadarchive.raw/RTDC4042/ "%USERPROFILE%\AppData\Local\Temp\OnboardLogs"\RTDC4042\2016-10-08 --exclude "*" --recursive --include "*20161008*" &amp; "%USERPROFILE%\Documents\GitHub\mrs-test-scripts\Headless Mode &amp; Sideloading\WalkAndUnGZ.bat" "%USERPROFILE%\AppData\Local\Temp\OnboardLogs"\RTDC4042\2016-10-08</v>
      </c>
      <c r="AF122" s="92" t="str">
        <f t="shared" si="35"/>
        <v>"C:\Program Files (x86)\AstroGrep\AstroGrep.exe" /spath="%USERPROFILE%\AppData\Local\Temp\OnboardLogs" /stypes="app*4042*20161007*" /stext=" 23:.+((SYSTEM_STATE.+slice.+state.+changed )|(ment ac)|(system.+state.+changed )|(\[timeout)|(PRM\|1\|D)|(kpr)|(kdp)|(\|lc)|(penalty))" /e /r /s</v>
      </c>
      <c r="AG122" s="1" t="str">
        <f t="shared" si="36"/>
        <v>EC</v>
      </c>
      <c r="AH122" s="96" t="str">
        <f t="shared" si="37"/>
        <v>"%USERPROFILE%\Documents\GitHub\eaglep3\Utilities\RefineRTDCRunTimes.py" --tripid 209-07 --locoid 4042 --swversion DE.1.0.7.0 --startMP 204:451 --initTime 2016-10-07T17:12:35 --startdatetime 2016-10-07T17:16:05 --delay 1 --endMP 204:233162 --enddatetime 2016-10-07T17:55:10 --enforcementcount 0 &gt;&gt;C:\Users\stu\Documents\GitHub\eaglep3-reporting\EC\2016-10-07-refined-times.txt</v>
      </c>
      <c r="AI122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{"issue":{"subject":"","project_id":79,"tracker_id":40,"status_id":1,"priority_id":2,"assigned_to_id":23,"start_date":"2016-10-07","description":"","custom_fields":[{"id":1,"name":"Subdivision","value":"EC"},{"id":4,"name":"Milepost","value":"23.3162"},{"id":17,"name":"Train ID","value":"209-07"},{"id":16,"name":"Locomotive ID","value":"4042"},{"id":130,"name":"Impact","value":""},{"id":150,"name":"Time of Event (Mountain Time)","value":"17:55:10"},{"id":151,"name":"Denver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538</v>
      </c>
      <c r="B123" s="7">
        <v>4041</v>
      </c>
      <c r="C123" s="24" t="s">
        <v>106</v>
      </c>
      <c r="D123" s="24" t="s">
        <v>539</v>
      </c>
      <c r="E123" s="15">
        <v>42650.748611111114</v>
      </c>
      <c r="F123" s="15">
        <v>42650.757905092592</v>
      </c>
      <c r="G123" s="7">
        <v>1</v>
      </c>
      <c r="H123" s="15" t="s">
        <v>540</v>
      </c>
      <c r="I123" s="15">
        <v>42650.784513888888</v>
      </c>
      <c r="J123" s="7">
        <v>0</v>
      </c>
      <c r="K123" s="117" t="str">
        <f t="shared" si="24"/>
        <v>4041/4042</v>
      </c>
      <c r="L123" s="24" t="str">
        <f>VLOOKUP(A123,'Trips&amp;Operators'!$C$1:$E$10000,3,FALSE)</f>
        <v>HILLS</v>
      </c>
      <c r="M123" s="6">
        <f t="shared" si="25"/>
        <v>2.6608796295477077E-2</v>
      </c>
      <c r="N123" s="7">
        <f t="shared" si="43"/>
        <v>38.316666665486991</v>
      </c>
      <c r="O123" s="7"/>
      <c r="P123" s="7"/>
      <c r="Q123" s="25"/>
      <c r="R123" s="25"/>
      <c r="S123" s="37">
        <f t="shared" si="44"/>
        <v>1</v>
      </c>
      <c r="T123" s="52" t="str">
        <f t="shared" si="26"/>
        <v>Southbound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16:58:00-0600',mode:absolute,to:'2016-10-07 19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3" s="54" t="str">
        <f t="shared" si="28"/>
        <v>N</v>
      </c>
      <c r="X123" s="164">
        <f t="shared" ref="X123:X154" si="45">VALUE(LEFT(AD123,4))-VALUE(LEFT(AD122,4))</f>
        <v>1</v>
      </c>
      <c r="Y123" s="69">
        <f t="shared" si="30"/>
        <v>23.2836</v>
      </c>
      <c r="Z123" s="69">
        <f t="shared" si="31"/>
        <v>9.35E-2</v>
      </c>
      <c r="AA123" s="69">
        <f t="shared" si="32"/>
        <v>23.190100000000001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3"/>
        <v>0210-07</v>
      </c>
      <c r="AE123" s="95" t="str">
        <f t="shared" si="34"/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AF123" s="92" t="str">
        <f t="shared" si="35"/>
        <v>"C:\Program Files (x86)\AstroGrep\AstroGrep.exe" /spath="%USERPROFILE%\AppData\Local\Temp\OnboardLogs" /stypes="app*4041*20161008*" /stext=" 00:.+((SYSTEM_STATE.+slice.+state.+changed )|(ment ac)|(system.+state.+changed )|(\[timeout)|(PRM\|1\|D)|(kpr)|(kdp)|(\|lc)|(penalty))" /e /r /s</v>
      </c>
      <c r="AG123" s="1" t="str">
        <f t="shared" si="36"/>
        <v>EC</v>
      </c>
      <c r="AH123" s="96" t="str">
        <f t="shared" si="37"/>
        <v>"%USERPROFILE%\Documents\GitHub\eaglep3\Utilities\RefineRTDCRunTimes.py" --tripid 210-07 --locoid 4041 --swversion DE.1.0.7.0 --startMP 204:232836 --initTime 2016-10-07T17:58:00 --startdatetime 2016-10-07T18:11:23 --delay 1 --endMP 204:935 --enddatetime 2016-10-07T18:49:42 --enforcementcount 0 &gt;&gt;C:\Users\stu\Documents\GitHub\eaglep3-reporting\EC\2016-10-07-refined-times.txt</v>
      </c>
      <c r="AI123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{"issue":{"subject":"","project_id":79,"tracker_id":40,"status_id":1,"priority_id":2,"assigned_to_id":23,"start_date":"2016-10-07","description":"","custom_fields":[{"id":1,"name":"Subdivision","value":"EC"},{"id":4,"name":"Milepost","value":"0.0935"},{"id":17,"name":"Train ID","value":"210-07"},{"id":16,"name":"Locomotive ID","value":"4041"},{"id":130,"name":"Impact","value":""},{"id":150,"name":"Time of Event (Mountain Time)","value":"18:49:42"},{"id":151,"name":"Denver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541</v>
      </c>
      <c r="B124" s="7">
        <v>4038</v>
      </c>
      <c r="C124" s="24" t="s">
        <v>106</v>
      </c>
      <c r="D124" s="24" t="s">
        <v>327</v>
      </c>
      <c r="E124" s="15">
        <v>42650.725474537037</v>
      </c>
      <c r="F124" s="15">
        <v>42650.729363425926</v>
      </c>
      <c r="G124" s="7">
        <v>1</v>
      </c>
      <c r="H124" s="15" t="s">
        <v>542</v>
      </c>
      <c r="I124" s="15">
        <v>42650.75513888889</v>
      </c>
      <c r="J124" s="7">
        <v>0</v>
      </c>
      <c r="K124" s="117" t="str">
        <f t="shared" si="24"/>
        <v>4037/4038</v>
      </c>
      <c r="L124" s="24" t="str">
        <f>VLOOKUP(A124,'Trips&amp;Operators'!$C$1:$E$10000,3,FALSE)</f>
        <v>SHOOK</v>
      </c>
      <c r="M124" s="6">
        <f t="shared" si="25"/>
        <v>2.5775462963792961E-2</v>
      </c>
      <c r="N124" s="7">
        <f t="shared" si="43"/>
        <v>37.116666667861864</v>
      </c>
      <c r="O124" s="7"/>
      <c r="P124" s="7"/>
      <c r="Q124" s="25"/>
      <c r="R124" s="25"/>
      <c r="S124" s="37">
        <f t="shared" si="44"/>
        <v>1</v>
      </c>
      <c r="T124" s="52" t="str">
        <f t="shared" si="26"/>
        <v>NorthBound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16:24:41-0600',mode:absolute,to:'2016-10-07 19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4" s="54" t="str">
        <f t="shared" si="28"/>
        <v>N</v>
      </c>
      <c r="X124" s="164">
        <f t="shared" si="45"/>
        <v>1</v>
      </c>
      <c r="Y124" s="69">
        <f t="shared" si="30"/>
        <v>4.3700000000000003E-2</v>
      </c>
      <c r="Z124" s="69">
        <f t="shared" si="31"/>
        <v>23.335999999999999</v>
      </c>
      <c r="AA124" s="69">
        <f t="shared" si="32"/>
        <v>23.292299999999997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3"/>
        <v>0211-07</v>
      </c>
      <c r="AE124" s="95" t="str">
        <f t="shared" si="34"/>
        <v>aws s3 cp s3://rtdc.mdm.uploadarchive.raw/RTDC4038/ "%USERPROFILE%\AppData\Local\Temp\OnboardLogs"\RTDC4038\2016-10-07 --exclude "*" --recursive --include "*20161007*" &amp; "%USERPROFILE%\Documents\GitHub\mrs-test-scripts\Headless Mode &amp; Sideloading\WalkAndUnGZ.bat" "%USERPROFILE%\AppData\Local\Temp\OnboardLogs"\RTDC4038\2016-10-07 &amp; aws s3 cp s3://rtdc.mdm.uploadarchive.raw/RTDC4038/ "%USERPROFILE%\AppData\Local\Temp\OnboardLogs"\RTDC4038\2016-10-08 --exclude "*" --recursive --include "*20161008*" &amp; "%USERPROFILE%\Documents\GitHub\mrs-test-scripts\Headless Mode &amp; Sideloading\WalkAndUnGZ.bat" "%USERPROFILE%\AppData\Local\Temp\OnboardLogs"\RTDC4038\2016-10-08</v>
      </c>
      <c r="AF124" s="92" t="str">
        <f t="shared" si="35"/>
        <v>"C:\Program Files (x86)\AstroGrep\AstroGrep.exe" /spath="%USERPROFILE%\AppData\Local\Temp\OnboardLogs" /stypes="app*4038*20161008*" /stext=" 00:.+((SYSTEM_STATE.+slice.+state.+changed )|(ment ac)|(system.+state.+changed )|(\[timeout)|(PRM\|1\|D)|(kpr)|(kdp)|(\|lc)|(penalty))" /e /r /s</v>
      </c>
      <c r="AG124" s="1" t="str">
        <f t="shared" si="36"/>
        <v>EC</v>
      </c>
      <c r="AH124" s="96" t="str">
        <f t="shared" si="37"/>
        <v>"%USERPROFILE%\Documents\GitHub\eaglep3\Utilities\RefineRTDCRunTimes.py" --tripid 211-07 --locoid 4038 --swversion DE.1.0.7.0 --startMP 204:437 --initTime 2016-10-07T17:24:41 --startdatetime 2016-10-07T17:30:17 --delay 1 --endMP 204:233360 --enddatetime 2016-10-07T18:07:24 --enforcementcount 0 &gt;&gt;C:\Users\stu\Documents\GitHub\eaglep3-reporting\EC\2016-10-07-refined-times.txt</v>
      </c>
      <c r="AI124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{"issue":{"subject":"","project_id":79,"tracker_id":40,"status_id":1,"priority_id":2,"assigned_to_id":23,"start_date":"2016-10-07","description":"","custom_fields":[{"id":1,"name":"Subdivision","value":"EC"},{"id":4,"name":"Milepost","value":"23.336"},{"id":17,"name":"Train ID","value":"211-07"},{"id":16,"name":"Locomotive ID","value":"4038"},{"id":130,"name":"Impact","value":""},{"id":150,"name":"Time of Event (Mountain Time)","value":"18:07:24"},{"id":151,"name":"Denver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543</v>
      </c>
      <c r="B125" s="7">
        <v>4037</v>
      </c>
      <c r="C125" s="24" t="s">
        <v>106</v>
      </c>
      <c r="D125" s="24" t="s">
        <v>544</v>
      </c>
      <c r="E125" s="15">
        <v>42650.762372685182</v>
      </c>
      <c r="F125" s="15">
        <v>42650.76829861111</v>
      </c>
      <c r="G125" s="7">
        <v>1</v>
      </c>
      <c r="H125" s="15" t="s">
        <v>545</v>
      </c>
      <c r="I125" s="15">
        <v>42650.796122685184</v>
      </c>
      <c r="J125" s="7">
        <v>0</v>
      </c>
      <c r="K125" s="117" t="str">
        <f t="shared" si="24"/>
        <v>4037/4038</v>
      </c>
      <c r="L125" s="24" t="str">
        <f>VLOOKUP(A125,'Trips&amp;Operators'!$C$1:$E$10000,3,FALSE)</f>
        <v>SHOOK</v>
      </c>
      <c r="M125" s="6">
        <f t="shared" si="25"/>
        <v>2.7824074073578231E-2</v>
      </c>
      <c r="N125" s="7">
        <f t="shared" si="43"/>
        <v>40.066666665952653</v>
      </c>
      <c r="O125" s="7"/>
      <c r="P125" s="7"/>
      <c r="Q125" s="25"/>
      <c r="R125" s="25"/>
      <c r="S125" s="37">
        <f t="shared" si="44"/>
        <v>1</v>
      </c>
      <c r="T125" s="52" t="str">
        <f t="shared" si="26"/>
        <v>Southbound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17:17:49-0600',mode:absolute,to:'2016-10-07 20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5" s="54" t="str">
        <f t="shared" si="28"/>
        <v>N</v>
      </c>
      <c r="X125" s="164">
        <f t="shared" si="45"/>
        <v>1</v>
      </c>
      <c r="Y125" s="69">
        <f t="shared" si="30"/>
        <v>23.3032</v>
      </c>
      <c r="Z125" s="69">
        <f t="shared" si="31"/>
        <v>8.8700000000000001E-2</v>
      </c>
      <c r="AA125" s="69">
        <f t="shared" si="32"/>
        <v>23.214500000000001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3"/>
        <v>0212-07</v>
      </c>
      <c r="AE125" s="95" t="str">
        <f t="shared" si="34"/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AF125" s="92" t="str">
        <f t="shared" si="35"/>
        <v>"C:\Program Files (x86)\AstroGrep\AstroGrep.exe" /spath="%USERPROFILE%\AppData\Local\Temp\OnboardLogs" /stypes="app*4037*20161008*" /stext=" 01:.+((SYSTEM_STATE.+slice.+state.+changed )|(ment ac)|(system.+state.+changed )|(\[timeout)|(PRM\|1\|D)|(kpr)|(kdp)|(\|lc)|(penalty))" /e /r /s</v>
      </c>
      <c r="AG125" s="1" t="str">
        <f t="shared" si="36"/>
        <v>EC</v>
      </c>
      <c r="AH125" s="96" t="str">
        <f t="shared" si="37"/>
        <v>"%USERPROFILE%\Documents\GitHub\eaglep3\Utilities\RefineRTDCRunTimes.py" --tripid 212-07 --locoid 4037 --swversion DE.1.0.7.0 --startMP 204:233032 --initTime 2016-10-07T18:17:49 --startdatetime 2016-10-07T18:26:21 --delay 1 --endMP 204:887 --enddatetime 2016-10-07T19:06:25 --enforcementcount 0 &gt;&gt;C:\Users\stu\Documents\GitHub\eaglep3-reporting\EC\2016-10-07-refined-times.txt</v>
      </c>
      <c r="AI125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{"issue":{"subject":"","project_id":79,"tracker_id":40,"status_id":1,"priority_id":2,"assigned_to_id":23,"start_date":"2016-10-07","description":"","custom_fields":[{"id":1,"name":"Subdivision","value":"EC"},{"id":4,"name":"Milepost","value":"0.0887"},{"id":17,"name":"Train ID","value":"212-07"},{"id":16,"name":"Locomotive ID","value":"4037"},{"id":130,"name":"Impact","value":""},{"id":150,"name":"Time of Event (Mountain Time)","value":"19:06:25"},{"id":151,"name":"Denver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546</v>
      </c>
      <c r="B126" s="7">
        <v>4003</v>
      </c>
      <c r="C126" s="24" t="s">
        <v>106</v>
      </c>
      <c r="D126" s="24" t="s">
        <v>192</v>
      </c>
      <c r="E126" s="15">
        <v>42650.738668981481</v>
      </c>
      <c r="F126" s="15">
        <v>42650.742592592593</v>
      </c>
      <c r="G126" s="7">
        <v>2</v>
      </c>
      <c r="H126" s="15" t="s">
        <v>250</v>
      </c>
      <c r="I126" s="15">
        <v>42650.772106481483</v>
      </c>
      <c r="J126" s="7">
        <v>0</v>
      </c>
      <c r="K126" s="117" t="str">
        <f t="shared" si="24"/>
        <v>4003/4004</v>
      </c>
      <c r="L126" s="24" t="str">
        <f>VLOOKUP(A126,'Trips&amp;Operators'!$C$1:$E$10000,3,FALSE)</f>
        <v>YOUNG</v>
      </c>
      <c r="M126" s="6">
        <f t="shared" si="25"/>
        <v>2.9513888890505768E-2</v>
      </c>
      <c r="N126" s="7">
        <f t="shared" si="43"/>
        <v>42.500000002328306</v>
      </c>
      <c r="O126" s="7"/>
      <c r="P126" s="7"/>
      <c r="Q126" s="25"/>
      <c r="R126" s="25"/>
      <c r="S126" s="37">
        <f t="shared" si="44"/>
        <v>1</v>
      </c>
      <c r="T126" s="52" t="str">
        <f t="shared" si="26"/>
        <v>NorthBound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16:43:41-0600',mode:absolute,to:'2016-10-07 19:31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6" s="54" t="str">
        <f t="shared" si="28"/>
        <v>N</v>
      </c>
      <c r="X126" s="164">
        <f t="shared" si="45"/>
        <v>1</v>
      </c>
      <c r="Y126" s="69">
        <f t="shared" si="30"/>
        <v>4.53E-2</v>
      </c>
      <c r="Z126" s="69">
        <f t="shared" si="31"/>
        <v>23.330400000000001</v>
      </c>
      <c r="AA126" s="69">
        <f t="shared" si="32"/>
        <v>23.2851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3"/>
        <v>0213-07</v>
      </c>
      <c r="AE126" s="95" t="str">
        <f t="shared" si="34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26" s="92" t="str">
        <f t="shared" si="35"/>
        <v>"C:\Program Files (x86)\AstroGrep\AstroGrep.exe" /spath="%USERPROFILE%\AppData\Local\Temp\OnboardLogs" /stypes="app*4003*20161008*" /stext=" 00:.+((SYSTEM_STATE.+slice.+state.+changed )|(ment ac)|(system.+state.+changed )|(\[timeout)|(PRM\|1\|D)|(kpr)|(kdp)|(\|lc)|(penalty))" /e /r /s</v>
      </c>
      <c r="AG126" s="1" t="str">
        <f t="shared" si="36"/>
        <v>EC</v>
      </c>
      <c r="AH126" s="96" t="str">
        <f t="shared" si="37"/>
        <v>"%USERPROFILE%\Documents\GitHub\eaglep3\Utilities\RefineRTDCRunTimes.py" --tripid 213-07 --locoid 4003 --swversion DE.1.0.7.0 --startMP 204:453 --initTime 2016-10-07T17:43:41 --startdatetime 2016-10-07T17:49:20 --delay 2 --endMP 204:233304 --enddatetime 2016-10-07T18:31:50 --enforcementcount 0 &gt;&gt;C:\Users\stu\Documents\GitHub\eaglep3-reporting\EC\2016-10-07-refined-times.txt</v>
      </c>
      <c r="AI126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{"issue":{"subject":"","project_id":79,"tracker_id":40,"status_id":1,"priority_id":2,"assigned_to_id":23,"start_date":"2016-10-07","description":"","custom_fields":[{"id":1,"name":"Subdivision","value":"EC"},{"id":4,"name":"Milepost","value":"23.3304"},{"id":17,"name":"Train ID","value":"213-07"},{"id":16,"name":"Locomotive ID","value":"4003"},{"id":130,"name":"Impact","value":""},{"id":150,"name":"Time of Event (Mountain Time)","value":"18:31:50"},{"id":151,"name":"Denver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547</v>
      </c>
      <c r="B127" s="7">
        <v>4004</v>
      </c>
      <c r="C127" s="24" t="s">
        <v>106</v>
      </c>
      <c r="D127" s="24" t="s">
        <v>256</v>
      </c>
      <c r="E127" s="15">
        <v>42650.777175925927</v>
      </c>
      <c r="F127" s="15">
        <v>42650.779305555552</v>
      </c>
      <c r="G127" s="7">
        <v>1</v>
      </c>
      <c r="H127" s="15" t="s">
        <v>206</v>
      </c>
      <c r="I127" s="15">
        <v>42650.808657407404</v>
      </c>
      <c r="J127" s="7">
        <v>0</v>
      </c>
      <c r="K127" s="117" t="str">
        <f t="shared" si="24"/>
        <v>4003/4004</v>
      </c>
      <c r="L127" s="24" t="str">
        <f>VLOOKUP(A127,'Trips&amp;Operators'!$C$1:$E$10000,3,FALSE)</f>
        <v>YOUNG</v>
      </c>
      <c r="M127" s="6">
        <f t="shared" si="25"/>
        <v>2.9351851851970423E-2</v>
      </c>
      <c r="N127" s="7">
        <f t="shared" si="43"/>
        <v>42.266666666837409</v>
      </c>
      <c r="O127" s="7"/>
      <c r="P127" s="7"/>
      <c r="Q127" s="25"/>
      <c r="R127" s="25"/>
      <c r="S127" s="37">
        <f t="shared" si="44"/>
        <v>1</v>
      </c>
      <c r="T127" s="52" t="str">
        <f t="shared" si="26"/>
        <v>Southbound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17:39:08-0600',mode:absolute,to:'2016-10-07 20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7" s="54" t="str">
        <f t="shared" si="28"/>
        <v>N</v>
      </c>
      <c r="X127" s="164">
        <f t="shared" si="45"/>
        <v>1</v>
      </c>
      <c r="Y127" s="69">
        <f t="shared" si="30"/>
        <v>23.298500000000001</v>
      </c>
      <c r="Z127" s="69">
        <f t="shared" si="31"/>
        <v>1.5599999999999999E-2</v>
      </c>
      <c r="AA127" s="69">
        <f t="shared" si="32"/>
        <v>23.282900000000001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3"/>
        <v>0214-07</v>
      </c>
      <c r="AE127" s="95" t="str">
        <f t="shared" si="34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127" s="92" t="str">
        <f t="shared" si="35"/>
        <v>"C:\Program Files (x86)\AstroGrep\AstroGrep.exe" /spath="%USERPROFILE%\AppData\Local\Temp\OnboardLogs" /stypes="app*4004*20161008*" /stext=" 01:.+((SYSTEM_STATE.+slice.+state.+changed )|(ment ac)|(system.+state.+changed )|(\[timeout)|(PRM\|1\|D)|(kpr)|(kdp)|(\|lc)|(penalty))" /e /r /s</v>
      </c>
      <c r="AG127" s="1" t="str">
        <f t="shared" si="36"/>
        <v>EC</v>
      </c>
      <c r="AH127" s="96" t="str">
        <f t="shared" si="37"/>
        <v>"%USERPROFILE%\Documents\GitHub\eaglep3\Utilities\RefineRTDCRunTimes.py" --tripid 214-07 --locoid 4004 --swversion DE.1.0.7.0 --startMP 204:232985 --initTime 2016-10-07T18:39:08 --startdatetime 2016-10-07T18:42:12 --delay 1 --endMP 204:156 --enddatetime 2016-10-07T19:24:28 --enforcementcount 0 &gt;&gt;C:\Users\stu\Documents\GitHub\eaglep3-reporting\EC\2016-10-07-refined-times.txt</v>
      </c>
      <c r="AI127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ID","value":"214-07"},{"id":16,"name":"Locomotive ID","value":"4004"},{"id":130,"name":"Impact","value":""},{"id":150,"name":"Time of Event (Mountain Time)","value":"19:24:28"},{"id":151,"name":"Denver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548</v>
      </c>
      <c r="B128" s="7">
        <v>4002</v>
      </c>
      <c r="C128" s="24" t="s">
        <v>106</v>
      </c>
      <c r="D128" s="24" t="s">
        <v>278</v>
      </c>
      <c r="E128" s="15">
        <v>42650.746747685182</v>
      </c>
      <c r="F128" s="15">
        <v>42650.750451388885</v>
      </c>
      <c r="G128" s="7">
        <v>3</v>
      </c>
      <c r="H128" s="15" t="s">
        <v>549</v>
      </c>
      <c r="I128" s="15">
        <v>42650.776435185187</v>
      </c>
      <c r="J128" s="7">
        <v>0</v>
      </c>
      <c r="K128" s="117" t="str">
        <f t="shared" si="24"/>
        <v>4001/4002</v>
      </c>
      <c r="L128" s="24" t="str">
        <f>VLOOKUP(A128,'Trips&amp;Operators'!$C$1:$E$10000,3,FALSE)</f>
        <v>STORY</v>
      </c>
      <c r="M128" s="6">
        <f t="shared" si="25"/>
        <v>2.5983796302170958E-2</v>
      </c>
      <c r="N128" s="7">
        <f t="shared" si="43"/>
        <v>37.41666667512618</v>
      </c>
      <c r="O128" s="7"/>
      <c r="P128" s="7"/>
      <c r="Q128" s="25"/>
      <c r="R128" s="25"/>
      <c r="S128" s="37">
        <f t="shared" si="44"/>
        <v>1</v>
      </c>
      <c r="T128" s="52" t="str">
        <f t="shared" si="26"/>
        <v>NorthBound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16:55:19-0600',mode:absolute,to:'2016-10-07 19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8" s="54" t="str">
        <f t="shared" si="28"/>
        <v>N</v>
      </c>
      <c r="X128" s="164">
        <f t="shared" si="45"/>
        <v>1</v>
      </c>
      <c r="Y128" s="69">
        <f t="shared" si="30"/>
        <v>4.5999999999999999E-2</v>
      </c>
      <c r="Z128" s="69">
        <f t="shared" si="31"/>
        <v>23.331600000000002</v>
      </c>
      <c r="AA128" s="69">
        <f t="shared" si="32"/>
        <v>23.285600000000002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3"/>
        <v>0215-07</v>
      </c>
      <c r="AE128" s="95" t="str">
        <f t="shared" si="34"/>
        <v>aws s3 cp s3://rtdc.mdm.uploadarchive.raw/RTDC4002/ "%USERPROFILE%\AppData\Local\Temp\OnboardLogs"\RTDC4002\2016-10-07 --exclude "*" --recursive --include "*20161007*" &amp; "%USERPROFILE%\Documents\GitHub\mrs-test-scripts\Headless Mode &amp; Sideloading\WalkAndUnGZ.bat" "%USERPROFILE%\AppData\Local\Temp\OnboardLogs"\RTDC4002\2016-10-07 &amp; aws s3 cp s3://rtdc.mdm.uploadarchive.raw/RTDC4002/ "%USERPROFILE%\AppData\Local\Temp\OnboardLogs"\RTDC4002\2016-10-08 --exclude "*" --recursive --include "*20161008*" &amp; "%USERPROFILE%\Documents\GitHub\mrs-test-scripts\Headless Mode &amp; Sideloading\WalkAndUnGZ.bat" "%USERPROFILE%\AppData\Local\Temp\OnboardLogs"\RTDC4002\2016-10-08</v>
      </c>
      <c r="AF128" s="92" t="str">
        <f t="shared" si="35"/>
        <v>"C:\Program Files (x86)\AstroGrep\AstroGrep.exe" /spath="%USERPROFILE%\AppData\Local\Temp\OnboardLogs" /stypes="app*4002*20161008*" /stext=" 00:.+((SYSTEM_STATE.+slice.+state.+changed )|(ment ac)|(system.+state.+changed )|(\[timeout)|(PRM\|1\|D)|(kpr)|(kdp)|(\|lc)|(penalty))" /e /r /s</v>
      </c>
      <c r="AG128" s="1" t="str">
        <f t="shared" si="36"/>
        <v>EC</v>
      </c>
      <c r="AH128" s="96" t="str">
        <f t="shared" si="37"/>
        <v>"%USERPROFILE%\Documents\GitHub\eaglep3\Utilities\RefineRTDCRunTimes.py" --tripid 215-07 --locoid 4002 --swversion DE.1.0.7.0 --startMP 204:460 --initTime 2016-10-07T17:55:19 --startdatetime 2016-10-07T18:00:39 --delay 3 --endMP 204:233316 --enddatetime 2016-10-07T18:38:04 --enforcementcount 0 &gt;&gt;C:\Users\stu\Documents\GitHub\eaglep3-reporting\EC\2016-10-07-refined-times.txt</v>
      </c>
      <c r="AI128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{"issue":{"subject":"","project_id":79,"tracker_id":40,"status_id":1,"priority_id":2,"assigned_to_id":23,"start_date":"2016-10-07","description":"","custom_fields":[{"id":1,"name":"Subdivision","value":"EC"},{"id":4,"name":"Milepost","value":"23.3316"},{"id":17,"name":"Train ID","value":"215-07"},{"id":16,"name":"Locomotive ID","value":"4002"},{"id":130,"name":"Impact","value":""},{"id":150,"name":"Time of Event (Mountain Time)","value":"18:38:04"},{"id":151,"name":"Denver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550</v>
      </c>
      <c r="B129" s="7">
        <v>4001</v>
      </c>
      <c r="C129" s="24" t="s">
        <v>106</v>
      </c>
      <c r="D129" s="24" t="s">
        <v>551</v>
      </c>
      <c r="E129" s="15">
        <v>42650.787627314814</v>
      </c>
      <c r="F129" s="15">
        <v>42650.789247685185</v>
      </c>
      <c r="G129" s="7">
        <v>1</v>
      </c>
      <c r="H129" s="15" t="s">
        <v>235</v>
      </c>
      <c r="I129" s="15">
        <v>42650.820925925924</v>
      </c>
      <c r="J129" s="7">
        <v>0</v>
      </c>
      <c r="K129" s="117" t="str">
        <f t="shared" si="24"/>
        <v>4001/4002</v>
      </c>
      <c r="L129" s="24" t="str">
        <f>VLOOKUP(A129,'Trips&amp;Operators'!$C$1:$E$10000,3,FALSE)</f>
        <v>STORY</v>
      </c>
      <c r="M129" s="6">
        <f t="shared" si="25"/>
        <v>3.1678240738983732E-2</v>
      </c>
      <c r="N129" s="7">
        <f t="shared" si="43"/>
        <v>45.616666664136574</v>
      </c>
      <c r="O129" s="7"/>
      <c r="P129" s="7"/>
      <c r="Q129" s="25"/>
      <c r="R129" s="25"/>
      <c r="S129" s="37">
        <f t="shared" si="44"/>
        <v>1</v>
      </c>
      <c r="T129" s="52" t="str">
        <f t="shared" si="26"/>
        <v>Southbound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17:54:11-0600',mode:absolute,to:'2016-10-07 20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9" s="54" t="str">
        <f t="shared" si="28"/>
        <v>N</v>
      </c>
      <c r="X129" s="164">
        <f t="shared" si="45"/>
        <v>1</v>
      </c>
      <c r="Y129" s="69">
        <f t="shared" si="30"/>
        <v>23.302800000000001</v>
      </c>
      <c r="Z129" s="69">
        <f t="shared" si="31"/>
        <v>1.6500000000000001E-2</v>
      </c>
      <c r="AA129" s="69">
        <f t="shared" si="32"/>
        <v>23.286300000000001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3"/>
        <v>0216-07</v>
      </c>
      <c r="AE129" s="95" t="str">
        <f t="shared" si="34"/>
        <v>aws s3 cp s3://rtdc.mdm.uploadarchive.raw/RTDC4001/ "%USERPROFILE%\AppData\Local\Temp\OnboardLogs"\RTDC4001\2016-10-07 --exclude "*" --recursive --include "*20161007*" &amp; "%USERPROFILE%\Documents\GitHub\mrs-test-scripts\Headless Mode &amp; Sideloading\WalkAndUnGZ.bat" "%USERPROFILE%\AppData\Local\Temp\OnboardLogs"\RTDC4001\2016-10-07 &amp; aws s3 cp s3://rtdc.mdm.uploadarchive.raw/RTDC4001/ "%USERPROFILE%\AppData\Local\Temp\OnboardLogs"\RTDC4001\2016-10-08 --exclude "*" --recursive --include "*20161008*" &amp; "%USERPROFILE%\Documents\GitHub\mrs-test-scripts\Headless Mode &amp; Sideloading\WalkAndUnGZ.bat" "%USERPROFILE%\AppData\Local\Temp\OnboardLogs"\RTDC4001\2016-10-08</v>
      </c>
      <c r="AF129" s="92" t="str">
        <f t="shared" si="35"/>
        <v>"C:\Program Files (x86)\AstroGrep\AstroGrep.exe" /spath="%USERPROFILE%\AppData\Local\Temp\OnboardLogs" /stypes="app*4001*20161008*" /stext=" 01:.+((SYSTEM_STATE.+slice.+state.+changed )|(ment ac)|(system.+state.+changed )|(\[timeout)|(PRM\|1\|D)|(kpr)|(kdp)|(\|lc)|(penalty))" /e /r /s</v>
      </c>
      <c r="AG129" s="1" t="str">
        <f t="shared" si="36"/>
        <v>EC</v>
      </c>
      <c r="AH129" s="96" t="str">
        <f t="shared" si="37"/>
        <v>"%USERPROFILE%\Documents\GitHub\eaglep3\Utilities\RefineRTDCRunTimes.py" --tripid 216-07 --locoid 4001 --swversion DE.1.0.7.0 --startMP 204:233028 --initTime 2016-10-07T18:54:11 --startdatetime 2016-10-07T18:56:31 --delay 1 --endMP 204:165 --enddatetime 2016-10-07T19:42:08 --enforcementcount 0 &gt;&gt;C:\Users\stu\Documents\GitHub\eaglep3-reporting\EC\2016-10-07-refined-times.txt</v>
      </c>
      <c r="AI129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{"issue":{"subject":"","project_id":79,"tracker_id":40,"status_id":1,"priority_id":2,"assigned_to_id":23,"start_date":"2016-10-07","description":"","custom_fields":[{"id":1,"name":"Subdivision","value":"EC"},{"id":4,"name":"Milepost","value":"0.0165"},{"id":17,"name":"Train ID","value":"216-07"},{"id":16,"name":"Locomotive ID","value":"4001"},{"id":130,"name":"Impact","value":""},{"id":150,"name":"Time of Event (Mountain Time)","value":"19:42:08"},{"id":151,"name":"Denver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552</v>
      </c>
      <c r="B130" s="7">
        <v>4046</v>
      </c>
      <c r="C130" s="24" t="s">
        <v>106</v>
      </c>
      <c r="D130" s="24" t="s">
        <v>553</v>
      </c>
      <c r="E130" s="15">
        <v>42650.762071759258</v>
      </c>
      <c r="F130" s="15">
        <v>42650.763078703705</v>
      </c>
      <c r="G130" s="7">
        <v>1</v>
      </c>
      <c r="H130" s="15" t="s">
        <v>420</v>
      </c>
      <c r="I130" s="15">
        <v>42650.788356481484</v>
      </c>
      <c r="J130" s="7">
        <v>0</v>
      </c>
      <c r="K130" s="117" t="str">
        <f t="shared" si="24"/>
        <v>4045/4046</v>
      </c>
      <c r="L130" s="24" t="str">
        <f>VLOOKUP(A130,'Trips&amp;Operators'!$C$1:$E$10000,3,FALSE)</f>
        <v>CHANDLER</v>
      </c>
      <c r="M130" s="6">
        <f t="shared" si="25"/>
        <v>2.527777777868323E-2</v>
      </c>
      <c r="N130" s="7">
        <f t="shared" si="43"/>
        <v>36.400000001303852</v>
      </c>
      <c r="O130" s="7"/>
      <c r="P130" s="7"/>
      <c r="Q130" s="25"/>
      <c r="R130" s="25"/>
      <c r="S130" s="37">
        <f t="shared" si="44"/>
        <v>1</v>
      </c>
      <c r="T130" s="52" t="str">
        <f t="shared" si="26"/>
        <v>NorthBound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17:17:23-0600',mode:absolute,to:'2016-10-07 19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0" s="54" t="str">
        <f t="shared" si="28"/>
        <v>N</v>
      </c>
      <c r="X130" s="164">
        <f t="shared" si="45"/>
        <v>1</v>
      </c>
      <c r="Y130" s="69">
        <f t="shared" si="30"/>
        <v>4.8800000000000003E-2</v>
      </c>
      <c r="Z130" s="69">
        <f t="shared" si="31"/>
        <v>23.329499999999999</v>
      </c>
      <c r="AA130" s="69">
        <f t="shared" si="32"/>
        <v>23.2807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3"/>
        <v>0217-07</v>
      </c>
      <c r="AE130" s="95" t="str">
        <f t="shared" si="34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30" s="92" t="str">
        <f t="shared" si="35"/>
        <v>"C:\Program Files (x86)\AstroGrep\AstroGrep.exe" /spath="%USERPROFILE%\AppData\Local\Temp\OnboardLogs" /stypes="app*4046*20161008*" /stext=" 00:.+((SYSTEM_STATE.+slice.+state.+changed )|(ment ac)|(system.+state.+changed )|(\[timeout)|(PRM\|1\|D)|(kpr)|(kdp)|(\|lc)|(penalty))" /e /r /s</v>
      </c>
      <c r="AG130" s="1" t="str">
        <f t="shared" si="36"/>
        <v>EC</v>
      </c>
      <c r="AH130" s="96" t="str">
        <f t="shared" si="37"/>
        <v>"%USERPROFILE%\Documents\GitHub\eaglep3\Utilities\RefineRTDCRunTimes.py" --tripid 217-07 --locoid 4046 --swversion DE.1.0.7.0 --startMP 204:488 --initTime 2016-10-07T18:17:23 --startdatetime 2016-10-07T18:18:50 --delay 1 --endMP 204:233295 --enddatetime 2016-10-07T18:55:14 --enforcementcount 0 &gt;&gt;C:\Users\stu\Documents\GitHub\eaglep3-reporting\EC\2016-10-07-refined-times.txt</v>
      </c>
      <c r="AI130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{"issue":{"subject":"","project_id":79,"tracker_id":40,"status_id":1,"priority_id":2,"assigned_to_id":23,"start_date":"2016-10-07","description":"","custom_fields":[{"id":1,"name":"Subdivision","value":"EC"},{"id":4,"name":"Milepost","value":"23.3295"},{"id":17,"name":"Train ID","value":"217-07"},{"id":16,"name":"Locomotive ID","value":"4046"},{"id":130,"name":"Impact","value":""},{"id":150,"name":"Time of Event (Mountain Time)","value":"18:55:14"},{"id":151,"name":"Denver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554</v>
      </c>
      <c r="B131" s="7">
        <v>4045</v>
      </c>
      <c r="C131" s="24" t="s">
        <v>106</v>
      </c>
      <c r="D131" s="24" t="s">
        <v>276</v>
      </c>
      <c r="E131" s="15">
        <v>42650.798182870371</v>
      </c>
      <c r="F131" s="15">
        <v>42650.799837962964</v>
      </c>
      <c r="G131" s="7">
        <v>1</v>
      </c>
      <c r="H131" s="15" t="s">
        <v>188</v>
      </c>
      <c r="I131" s="15">
        <v>42650.826678240737</v>
      </c>
      <c r="J131" s="7">
        <v>0</v>
      </c>
      <c r="K131" s="117" t="str">
        <f t="shared" si="24"/>
        <v>4045/4046</v>
      </c>
      <c r="L131" s="24" t="str">
        <f>VLOOKUP(A131,'Trips&amp;Operators'!$C$1:$E$10000,3,FALSE)</f>
        <v>CHANDLER</v>
      </c>
      <c r="M131" s="6">
        <f t="shared" si="25"/>
        <v>2.6840277772862464E-2</v>
      </c>
      <c r="N131" s="7">
        <f t="shared" si="43"/>
        <v>38.649999992921948</v>
      </c>
      <c r="O131" s="7"/>
      <c r="P131" s="7"/>
      <c r="Q131" s="25"/>
      <c r="R131" s="25"/>
      <c r="S131" s="37">
        <f t="shared" si="44"/>
        <v>1</v>
      </c>
      <c r="T131" s="52" t="str">
        <f t="shared" si="26"/>
        <v>Southbound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18:09:23-0600',mode:absolute,to:'2016-10-07 20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1" s="54" t="str">
        <f t="shared" si="28"/>
        <v>N</v>
      </c>
      <c r="X131" s="164">
        <f t="shared" si="45"/>
        <v>1</v>
      </c>
      <c r="Y131" s="69">
        <f t="shared" si="30"/>
        <v>23.2974</v>
      </c>
      <c r="Z131" s="69">
        <f t="shared" si="31"/>
        <v>1.49E-2</v>
      </c>
      <c r="AA131" s="69">
        <f t="shared" si="32"/>
        <v>23.282499999999999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3"/>
        <v>0218-07</v>
      </c>
      <c r="AE131" s="95" t="str">
        <f t="shared" si="34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31" s="92" t="str">
        <f t="shared" si="35"/>
        <v>"C:\Program Files (x86)\AstroGrep\AstroGrep.exe" /spath="%USERPROFILE%\AppData\Local\Temp\OnboardLogs" /stypes="app*4045*20161008*" /stext=" 01:.+((SYSTEM_STATE.+slice.+state.+changed )|(ment ac)|(system.+state.+changed )|(\[timeout)|(PRM\|1\|D)|(kpr)|(kdp)|(\|lc)|(penalty))" /e /r /s</v>
      </c>
      <c r="AG131" s="1" t="str">
        <f t="shared" si="36"/>
        <v>EC</v>
      </c>
      <c r="AH131" s="96" t="str">
        <f t="shared" si="37"/>
        <v>"%USERPROFILE%\Documents\GitHub\eaglep3\Utilities\RefineRTDCRunTimes.py" --tripid 218-07 --locoid 4045 --swversion DE.1.0.7.0 --startMP 204:232974 --initTime 2016-10-07T19:09:23 --startdatetime 2016-10-07T19:11:46 --delay 1 --endMP 204:149 --enddatetime 2016-10-07T19:50:25 --enforcementcount 0 &gt;&gt;C:\Users\stu\Documents\GitHub\eaglep3-reporting\EC\2016-10-07-refined-times.txt</v>
      </c>
      <c r="AI131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{"issue":{"subject":"","project_id":79,"tracker_id":40,"status_id":1,"priority_id":2,"assigned_to_id":23,"start_date":"2016-10-07","description":"","custom_fields":[{"id":1,"name":"Subdivision","value":"EC"},{"id":4,"name":"Milepost","value":"0.0149"},{"id":17,"name":"Train ID","value":"218-07"},{"id":16,"name":"Locomotive ID","value":"4045"},{"id":130,"name":"Impact","value":""},{"id":150,"name":"Time of Event (Mountain Time)","value":"19:50:25"},{"id":151,"name":"Denver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555</v>
      </c>
      <c r="B132" s="7">
        <v>4020</v>
      </c>
      <c r="C132" s="24" t="s">
        <v>106</v>
      </c>
      <c r="D132" s="24" t="s">
        <v>243</v>
      </c>
      <c r="E132" s="15">
        <v>42650.77034722222</v>
      </c>
      <c r="F132" s="15">
        <v>42650.773055555554</v>
      </c>
      <c r="G132" s="7">
        <v>3</v>
      </c>
      <c r="H132" s="15" t="s">
        <v>556</v>
      </c>
      <c r="I132" s="15">
        <v>42650.798888888887</v>
      </c>
      <c r="J132" s="7">
        <v>0</v>
      </c>
      <c r="K132" s="117" t="str">
        <f t="shared" si="24"/>
        <v>4019/4020</v>
      </c>
      <c r="L132" s="24" t="str">
        <f>VLOOKUP(A132,'Trips&amp;Operators'!$C$1:$E$10000,3,FALSE)</f>
        <v>STURGEON</v>
      </c>
      <c r="M132" s="6">
        <f t="shared" si="25"/>
        <v>2.5833333333139308E-2</v>
      </c>
      <c r="N132" s="7">
        <f t="shared" si="43"/>
        <v>37.199999999720603</v>
      </c>
      <c r="O132" s="7"/>
      <c r="P132" s="7"/>
      <c r="Q132" s="25"/>
      <c r="R132" s="25"/>
      <c r="S132" s="37">
        <f t="shared" si="44"/>
        <v>1</v>
      </c>
      <c r="T132" s="52" t="str">
        <f t="shared" si="26"/>
        <v>NorthBound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17:29:18-0600',mode:absolute,to:'2016-10-07 20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2" s="54" t="str">
        <f t="shared" si="28"/>
        <v>N</v>
      </c>
      <c r="X132" s="164">
        <f t="shared" si="45"/>
        <v>1</v>
      </c>
      <c r="Y132" s="69">
        <f t="shared" si="30"/>
        <v>4.6699999999999998E-2</v>
      </c>
      <c r="Z132" s="69">
        <f t="shared" si="31"/>
        <v>23.312999999999999</v>
      </c>
      <c r="AA132" s="69">
        <f t="shared" si="32"/>
        <v>23.266299999999998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3"/>
        <v>0219-07</v>
      </c>
      <c r="AE132" s="95" t="str">
        <f t="shared" si="34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32" s="92" t="str">
        <f t="shared" si="35"/>
        <v>"C:\Program Files (x86)\AstroGrep\AstroGrep.exe" /spath="%USERPROFILE%\AppData\Local\Temp\OnboardLogs" /stypes="app*4020*20161008*" /stext=" 01:.+((SYSTEM_STATE.+slice.+state.+changed )|(ment ac)|(system.+state.+changed )|(\[timeout)|(PRM\|1\|D)|(kpr)|(kdp)|(\|lc)|(penalty))" /e /r /s</v>
      </c>
      <c r="AG132" s="1" t="str">
        <f t="shared" si="36"/>
        <v>EC</v>
      </c>
      <c r="AH132" s="96" t="str">
        <f t="shared" si="37"/>
        <v>"%USERPROFILE%\Documents\GitHub\eaglep3\Utilities\RefineRTDCRunTimes.py" --tripid 219-07 --locoid 4020 --swversion DE.1.0.7.0 --startMP 204:467 --initTime 2016-10-07T18:29:18 --startdatetime 2016-10-07T18:33:12 --delay 3 --endMP 204:233130 --enddatetime 2016-10-07T19:10:24 --enforcementcount 0 &gt;&gt;C:\Users\stu\Documents\GitHub\eaglep3-reporting\EC\2016-10-07-refined-times.txt</v>
      </c>
      <c r="AI132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{"issue":{"subject":"","project_id":79,"tracker_id":40,"status_id":1,"priority_id":2,"assigned_to_id":23,"start_date":"2016-10-07","description":"","custom_fields":[{"id":1,"name":"Subdivision","value":"EC"},{"id":4,"name":"Milepost","value":"23.313"},{"id":17,"name":"Train ID","value":"219-07"},{"id":16,"name":"Locomotive ID","value":"4020"},{"id":130,"name":"Impact","value":""},{"id":150,"name":"Time of Event (Mountain Time)","value":"19:10:24"},{"id":151,"name":"Denver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557</v>
      </c>
      <c r="B133" s="7">
        <v>4019</v>
      </c>
      <c r="C133" s="24" t="s">
        <v>106</v>
      </c>
      <c r="D133" s="24" t="s">
        <v>558</v>
      </c>
      <c r="E133" s="15">
        <v>42650.802442129629</v>
      </c>
      <c r="F133" s="15">
        <v>42650.810219907406</v>
      </c>
      <c r="G133" s="7">
        <v>2</v>
      </c>
      <c r="H133" s="15" t="s">
        <v>191</v>
      </c>
      <c r="I133" s="15">
        <v>42650.837569444448</v>
      </c>
      <c r="J133" s="7">
        <v>0</v>
      </c>
      <c r="K133" s="117" t="str">
        <f t="shared" si="24"/>
        <v>4019/4020</v>
      </c>
      <c r="L133" s="24" t="str">
        <f>VLOOKUP(A133,'Trips&amp;Operators'!$C$1:$E$10000,3,FALSE)</f>
        <v>STURGEON</v>
      </c>
      <c r="M133" s="6">
        <f t="shared" si="25"/>
        <v>2.7349537042027805E-2</v>
      </c>
      <c r="N133" s="7">
        <f t="shared" si="43"/>
        <v>39.383333340520039</v>
      </c>
      <c r="O133" s="7"/>
      <c r="P133" s="7"/>
      <c r="Q133" s="25"/>
      <c r="R133" s="25"/>
      <c r="S133" s="37">
        <f t="shared" si="44"/>
        <v>1</v>
      </c>
      <c r="T133" s="52" t="str">
        <f t="shared" si="26"/>
        <v>Southbound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18:15:31-0600',mode:absolute,to:'2016-10-07 21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3" s="54" t="str">
        <f t="shared" si="28"/>
        <v>N</v>
      </c>
      <c r="X133" s="164">
        <f t="shared" si="45"/>
        <v>1</v>
      </c>
      <c r="Y133" s="69">
        <f t="shared" si="30"/>
        <v>23.280799999999999</v>
      </c>
      <c r="Z133" s="69">
        <f t="shared" si="31"/>
        <v>1.47E-2</v>
      </c>
      <c r="AA133" s="69">
        <f t="shared" si="32"/>
        <v>23.266099999999998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3"/>
        <v>0220-07</v>
      </c>
      <c r="AE133" s="95" t="str">
        <f t="shared" si="34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33" s="92" t="str">
        <f t="shared" si="35"/>
        <v>"C:\Program Files (x86)\AstroGrep\AstroGrep.exe" /spath="%USERPROFILE%\AppData\Local\Temp\OnboardLogs" /stypes="app*4019*20161008*" /stext=" 02:.+((SYSTEM_STATE.+slice.+state.+changed )|(ment ac)|(system.+state.+changed )|(\[timeout)|(PRM\|1\|D)|(kpr)|(kdp)|(\|lc)|(penalty))" /e /r /s</v>
      </c>
      <c r="AG133" s="1" t="str">
        <f t="shared" si="36"/>
        <v>EC</v>
      </c>
      <c r="AH133" s="96" t="str">
        <f t="shared" si="37"/>
        <v>"%USERPROFILE%\Documents\GitHub\eaglep3\Utilities\RefineRTDCRunTimes.py" --tripid 220-07 --locoid 4019 --swversion DE.1.0.7.0 --startMP 204:232808 --initTime 2016-10-07T19:15:31 --startdatetime 2016-10-07T19:26:43 --delay 2 --endMP 204:147 --enddatetime 2016-10-07T20:06:06 --enforcementcount 0 &gt;&gt;C:\Users\stu\Documents\GitHub\eaglep3-reporting\EC\2016-10-07-refined-times.txt</v>
      </c>
      <c r="AI133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{"issue":{"subject":"","project_id":79,"tracker_id":40,"status_id":1,"priority_id":2,"assigned_to_id":23,"start_date":"2016-10-07","description":"","custom_fields":[{"id":1,"name":"Subdivision","value":"EC"},{"id":4,"name":"Milepost","value":"0.0147"},{"id":17,"name":"Train ID","value":"220-07"},{"id":16,"name":"Locomotive ID","value":"4019"},{"id":130,"name":"Impact","value":""},{"id":150,"name":"Time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559</v>
      </c>
      <c r="B134" s="7">
        <v>4007</v>
      </c>
      <c r="C134" s="24" t="s">
        <v>106</v>
      </c>
      <c r="D134" s="24" t="s">
        <v>299</v>
      </c>
      <c r="E134" s="15">
        <v>42650.785752314812</v>
      </c>
      <c r="F134" s="15">
        <v>42650.791851851849</v>
      </c>
      <c r="G134" s="7">
        <v>1</v>
      </c>
      <c r="H134" s="15" t="s">
        <v>326</v>
      </c>
      <c r="I134" s="15">
        <v>42650.81695601852</v>
      </c>
      <c r="J134" s="7">
        <v>0</v>
      </c>
      <c r="K134" s="117" t="str">
        <f t="shared" si="24"/>
        <v>4007/4008</v>
      </c>
      <c r="L134" s="24" t="str">
        <f>VLOOKUP(A134,'Trips&amp;Operators'!$C$1:$E$10000,3,FALSE)</f>
        <v>LEVIN</v>
      </c>
      <c r="M134" s="6">
        <f t="shared" si="25"/>
        <v>2.510416667064419E-2</v>
      </c>
      <c r="N134" s="7">
        <f t="shared" si="43"/>
        <v>36.150000005727634</v>
      </c>
      <c r="O134" s="7"/>
      <c r="P134" s="7"/>
      <c r="Q134" s="25"/>
      <c r="R134" s="25"/>
      <c r="S134" s="37">
        <f t="shared" si="44"/>
        <v>1</v>
      </c>
      <c r="T134" s="52" t="str">
        <f t="shared" si="26"/>
        <v>NorthBound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17:51:29-0600',mode:absolute,to:'2016-10-07 20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4" s="54" t="str">
        <f t="shared" si="28"/>
        <v>N</v>
      </c>
      <c r="X134" s="164">
        <f t="shared" si="45"/>
        <v>1</v>
      </c>
      <c r="Y134" s="69">
        <f t="shared" si="30"/>
        <v>4.7300000000000002E-2</v>
      </c>
      <c r="Z134" s="69">
        <f t="shared" si="31"/>
        <v>23.3338</v>
      </c>
      <c r="AA134" s="69">
        <f t="shared" si="32"/>
        <v>23.2865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3"/>
        <v>0221-07</v>
      </c>
      <c r="AE134" s="95" t="str">
        <f t="shared" si="34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34" s="92" t="str">
        <f t="shared" si="35"/>
        <v>"C:\Program Files (x86)\AstroGrep\AstroGrep.exe" /spath="%USERPROFILE%\AppData\Local\Temp\OnboardLogs" /stypes="app*4007*20161008*" /stext=" 01:.+((SYSTEM_STATE.+slice.+state.+changed )|(ment ac)|(system.+state.+changed )|(\[timeout)|(PRM\|1\|D)|(kpr)|(kdp)|(\|lc)|(penalty))" /e /r /s</v>
      </c>
      <c r="AG134" s="1" t="str">
        <f t="shared" si="36"/>
        <v>EC</v>
      </c>
      <c r="AH134" s="96" t="str">
        <f t="shared" si="37"/>
        <v>"%USERPROFILE%\Documents\GitHub\eaglep3\Utilities\RefineRTDCRunTimes.py" --tripid 221-07 --locoid 4007 --swversion DE.1.0.7.0 --startMP 204:473 --initTime 2016-10-07T18:51:29 --startdatetime 2016-10-07T19:00:16 --delay 1 --endMP 204:233338 --enddatetime 2016-10-07T19:36:25 --enforcementcount 0 &gt;&gt;C:\Users\stu\Documents\GitHub\eaglep3-reporting\EC\2016-10-07-refined-times.txt</v>
      </c>
      <c r="AI134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{"issue":{"subject":"","project_id":79,"tracker_id":40,"status_id":1,"priority_id":2,"assigned_to_id":23,"start_date":"2016-10-07","description":"","custom_fields":[{"id":1,"name":"Subdivision","value":"EC"},{"id":4,"name":"Milepost","value":"23.3338"},{"id":17,"name":"Train ID","value":"221-07"},{"id":16,"name":"Locomotive ID","value":"4007"},{"id":130,"name":"Impact","value":""},{"id":150,"name":"Time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560</v>
      </c>
      <c r="B135" s="7">
        <v>4008</v>
      </c>
      <c r="C135" s="24" t="s">
        <v>106</v>
      </c>
      <c r="D135" s="24" t="s">
        <v>273</v>
      </c>
      <c r="E135" s="15">
        <v>42650.826585648145</v>
      </c>
      <c r="F135" s="15">
        <v>42650.830787037034</v>
      </c>
      <c r="G135" s="7">
        <v>1</v>
      </c>
      <c r="H135" s="15" t="s">
        <v>336</v>
      </c>
      <c r="I135" s="15">
        <v>42650.859236111108</v>
      </c>
      <c r="J135" s="7">
        <v>0</v>
      </c>
      <c r="K135" s="117" t="str">
        <f t="shared" si="24"/>
        <v>4007/4008</v>
      </c>
      <c r="L135" s="24" t="str">
        <f>VLOOKUP(A135,'Trips&amp;Operators'!$C$1:$E$10000,3,FALSE)</f>
        <v>LEVIN</v>
      </c>
      <c r="M135" s="6">
        <f t="shared" si="25"/>
        <v>2.8449074074160308E-2</v>
      </c>
      <c r="N135" s="7">
        <f t="shared" si="43"/>
        <v>40.966666666790843</v>
      </c>
      <c r="O135" s="7"/>
      <c r="P135" s="7"/>
      <c r="Q135" s="25"/>
      <c r="R135" s="25"/>
      <c r="S135" s="37">
        <f t="shared" si="44"/>
        <v>1</v>
      </c>
      <c r="T135" s="52" t="str">
        <f t="shared" si="26"/>
        <v>Southbound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18:50:17-0600',mode:absolute,to:'2016-10-07 21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5" s="54" t="str">
        <f t="shared" si="28"/>
        <v>N</v>
      </c>
      <c r="X135" s="164">
        <f t="shared" si="45"/>
        <v>1</v>
      </c>
      <c r="Y135" s="69">
        <f t="shared" si="30"/>
        <v>23.3002</v>
      </c>
      <c r="Z135" s="69">
        <f t="shared" si="31"/>
        <v>1.43E-2</v>
      </c>
      <c r="AA135" s="69">
        <f t="shared" si="32"/>
        <v>23.285900000000002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3"/>
        <v>0222-07</v>
      </c>
      <c r="AE135" s="95" t="str">
        <f t="shared" si="34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35" s="92" t="str">
        <f t="shared" si="35"/>
        <v>"C:\Program Files (x86)\AstroGrep\AstroGrep.exe" /spath="%USERPROFILE%\AppData\Local\Temp\OnboardLogs" /stypes="app*4008*20161008*" /stext=" 02:.+((SYSTEM_STATE.+slice.+state.+changed )|(ment ac)|(system.+state.+changed )|(\[timeout)|(PRM\|1\|D)|(kpr)|(kdp)|(\|lc)|(penalty))" /e /r /s</v>
      </c>
      <c r="AG135" s="1" t="str">
        <f t="shared" si="36"/>
        <v>EC</v>
      </c>
      <c r="AH135" s="96" t="str">
        <f t="shared" si="37"/>
        <v>"%USERPROFILE%\Documents\GitHub\eaglep3\Utilities\RefineRTDCRunTimes.py" --tripid 222-07 --locoid 4008 --swversion DE.1.0.7.0 --startMP 204:233002 --initTime 2016-10-07T19:50:17 --startdatetime 2016-10-07T19:56:20 --delay 1 --endMP 204:143 --enddatetime 2016-10-07T20:37:18 --enforcementcount 0 &gt;&gt;C:\Users\stu\Documents\GitHub\eaglep3-reporting\EC\2016-10-07-refined-times.txt</v>
      </c>
      <c r="AI135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ID","value":"222-07"},{"id":16,"name":"Locomotive ID","value":"4008"},{"id":130,"name":"Impact","value":""},{"id":150,"name":"Time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561</v>
      </c>
      <c r="B136" s="7">
        <v>4003</v>
      </c>
      <c r="C136" s="24" t="s">
        <v>106</v>
      </c>
      <c r="D136" s="24" t="s">
        <v>243</v>
      </c>
      <c r="E136" s="15">
        <v>42650.810682870368</v>
      </c>
      <c r="F136" s="15">
        <v>42650.8128125</v>
      </c>
      <c r="G136" s="7">
        <v>1</v>
      </c>
      <c r="H136" s="15" t="s">
        <v>335</v>
      </c>
      <c r="I136" s="15">
        <v>42650.83929398148</v>
      </c>
      <c r="J136" s="7">
        <v>0</v>
      </c>
      <c r="K136" s="117" t="str">
        <f t="shared" si="24"/>
        <v>4003/4004</v>
      </c>
      <c r="L136" s="24" t="str">
        <f>VLOOKUP(A136,'Trips&amp;Operators'!$C$1:$E$10000,3,FALSE)</f>
        <v>YOUNG</v>
      </c>
      <c r="M136" s="6">
        <f t="shared" si="25"/>
        <v>2.6481481480004732E-2</v>
      </c>
      <c r="N136" s="7">
        <f t="shared" si="43"/>
        <v>38.133333331206813</v>
      </c>
      <c r="O136" s="7"/>
      <c r="P136" s="7"/>
      <c r="Q136" s="25"/>
      <c r="R136" s="25"/>
      <c r="S136" s="37">
        <f t="shared" si="44"/>
        <v>1</v>
      </c>
      <c r="T136" s="52" t="str">
        <f t="shared" si="26"/>
        <v>NorthBound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18:27:23-0600',mode:absolute,to:'2016-10-07 21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6" s="54" t="str">
        <f t="shared" si="28"/>
        <v>N</v>
      </c>
      <c r="X136" s="164">
        <f t="shared" si="45"/>
        <v>1</v>
      </c>
      <c r="Y136" s="69">
        <f t="shared" si="30"/>
        <v>4.6699999999999998E-2</v>
      </c>
      <c r="Z136" s="69">
        <f t="shared" si="31"/>
        <v>23.327999999999999</v>
      </c>
      <c r="AA136" s="69">
        <f t="shared" si="32"/>
        <v>23.281299999999998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3"/>
        <v>0223-07</v>
      </c>
      <c r="AE136" s="95" t="str">
        <f t="shared" si="34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36" s="92" t="str">
        <f t="shared" si="35"/>
        <v>"C:\Program Files (x86)\AstroGrep\AstroGrep.exe" /spath="%USERPROFILE%\AppData\Local\Temp\OnboardLogs" /stypes="app*4003*20161008*" /stext=" 02:.+((SYSTEM_STATE.+slice.+state.+changed )|(ment ac)|(system.+state.+changed )|(\[timeout)|(PRM\|1\|D)|(kpr)|(kdp)|(\|lc)|(penalty))" /e /r /s</v>
      </c>
      <c r="AG136" s="1" t="str">
        <f t="shared" si="36"/>
        <v>EC</v>
      </c>
      <c r="AH136" s="96" t="str">
        <f t="shared" si="37"/>
        <v>"%USERPROFILE%\Documents\GitHub\eaglep3\Utilities\RefineRTDCRunTimes.py" --tripid 223-07 --locoid 4003 --swversion DE.1.0.7.0 --startMP 204:467 --initTime 2016-10-07T19:27:23 --startdatetime 2016-10-07T19:30:27 --delay 1 --endMP 204:233280 --enddatetime 2016-10-07T20:08:35 --enforcementcount 0 &gt;&gt;C:\Users\stu\Documents\GitHub\eaglep3-reporting\EC\2016-10-07-refined-times.txt</v>
      </c>
      <c r="AI136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{"issue":{"subject":"","project_id":79,"tracker_id":40,"status_id":1,"priority_id":2,"assigned_to_id":23,"start_date":"2016-10-07","description":"","custom_fields":[{"id":1,"name":"Subdivision","value":"EC"},{"id":4,"name":"Milepost","value":"23.328"},{"id":17,"name":"Train ID","value":"223-07"},{"id":16,"name":"Locomotive ID","value":"4003"},{"id":130,"name":"Impact","value":""},{"id":150,"name":"Time of Event (Mountain Time)","value":"20:08:35"},{"id":151,"name":"Denver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562</v>
      </c>
      <c r="B137" s="7">
        <v>4004</v>
      </c>
      <c r="C137" s="24" t="s">
        <v>106</v>
      </c>
      <c r="D137" s="24" t="s">
        <v>291</v>
      </c>
      <c r="E137" s="15">
        <v>42650.844074074077</v>
      </c>
      <c r="F137" s="15">
        <v>42650.851631944446</v>
      </c>
      <c r="G137" s="7">
        <v>1</v>
      </c>
      <c r="H137" s="15" t="s">
        <v>406</v>
      </c>
      <c r="I137" s="15">
        <v>42650.879571759258</v>
      </c>
      <c r="J137" s="7">
        <v>0</v>
      </c>
      <c r="K137" s="117" t="str">
        <f t="shared" si="24"/>
        <v>4003/4004</v>
      </c>
      <c r="L137" s="24" t="str">
        <f>VLOOKUP(A137,'Trips&amp;Operators'!$C$1:$E$10000,3,FALSE)</f>
        <v>YOUNG</v>
      </c>
      <c r="M137" s="6">
        <f t="shared" si="25"/>
        <v>2.7939814812270924E-2</v>
      </c>
      <c r="N137" s="7">
        <f t="shared" si="43"/>
        <v>40.233333329670131</v>
      </c>
      <c r="O137" s="7"/>
      <c r="P137" s="7"/>
      <c r="Q137" s="25"/>
      <c r="R137" s="25"/>
      <c r="S137" s="37">
        <f t="shared" si="44"/>
        <v>1</v>
      </c>
      <c r="T137" s="52" t="str">
        <f t="shared" si="26"/>
        <v>Southbound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19:15:28-0600',mode:absolute,to:'2016-10-07 22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7" s="54" t="str">
        <f t="shared" si="28"/>
        <v>N</v>
      </c>
      <c r="X137" s="164">
        <f t="shared" si="45"/>
        <v>1</v>
      </c>
      <c r="Y137" s="69">
        <f t="shared" si="30"/>
        <v>23.298999999999999</v>
      </c>
      <c r="Z137" s="69">
        <f t="shared" si="31"/>
        <v>1.67E-2</v>
      </c>
      <c r="AA137" s="69">
        <f t="shared" si="32"/>
        <v>23.282299999999999</v>
      </c>
      <c r="AB137" s="66" t="str">
        <f>VLOOKUP(A137,Enforcements!$C$7:$K$21,8,0)</f>
        <v>Bulletin (2)</v>
      </c>
      <c r="AC137" s="62" t="str">
        <f>VLOOKUP(A137,Enforcements!$C$7:$E$21,3,0)</f>
        <v>GRADE CROSSING</v>
      </c>
      <c r="AD137" s="63" t="str">
        <f t="shared" si="33"/>
        <v>0224-07</v>
      </c>
      <c r="AE137" s="95" t="str">
        <f t="shared" si="34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137" s="92" t="str">
        <f t="shared" si="35"/>
        <v>"C:\Program Files (x86)\AstroGrep\AstroGrep.exe" /spath="%USERPROFILE%\AppData\Local\Temp\OnboardLogs" /stypes="app*4004*20161008*" /stext=" 03:.+((SYSTEM_STATE.+slice.+state.+changed )|(ment ac)|(system.+state.+changed )|(\[timeout)|(PRM\|1\|D)|(kpr)|(kdp)|(\|lc)|(penalty))" /e /r /s</v>
      </c>
      <c r="AG137" s="1" t="str">
        <f t="shared" si="36"/>
        <v>EC</v>
      </c>
      <c r="AH137" s="96" t="str">
        <f t="shared" si="37"/>
        <v>"%USERPROFILE%\Documents\GitHub\eaglep3\Utilities\RefineRTDCRunTimes.py" --tripid 224-07 --locoid 4004 --swversion DE.1.0.7.0 --startMP 204:232990 --initTime 2016-10-07T20:15:28 --startdatetime 2016-10-07T20:26:21 --delay 1 --endMP 204:167 --enddatetime 2016-10-07T21:06:35 --enforcementcount 0 &gt;&gt;C:\Users\stu\Documents\GitHub\eaglep3-reporting\EC\2016-10-07-refined-times.txt</v>
      </c>
      <c r="AI137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{"issue":{"subject":"","project_id":79,"tracker_id":40,"status_id":1,"priority_id":2,"assigned_to_id":23,"start_date":"2016-10-07","description":"","custom_fields":[{"id":1,"name":"Subdivision","value":"EC"},{"id":4,"name":"Milepost","value":"0.0167"},{"id":17,"name":"Train ID","value":"224-07"},{"id":16,"name":"Locomotive ID","value":"4004"},{"id":130,"name":"Impact","value":""},{"id":150,"name":"Time of Event (Mountain Time)","value":"21:06:35"},{"id":151,"name":"Denver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563</v>
      </c>
      <c r="B138" s="7">
        <v>4046</v>
      </c>
      <c r="C138" s="24" t="s">
        <v>106</v>
      </c>
      <c r="D138" s="24" t="s">
        <v>279</v>
      </c>
      <c r="E138" s="15">
        <v>42650.831435185188</v>
      </c>
      <c r="F138" s="15">
        <v>42650.833599537036</v>
      </c>
      <c r="G138" s="7">
        <v>1</v>
      </c>
      <c r="H138" s="15" t="s">
        <v>194</v>
      </c>
      <c r="I138" s="15">
        <v>42650.859317129631</v>
      </c>
      <c r="J138" s="7">
        <v>0</v>
      </c>
      <c r="K138" s="117" t="str">
        <f t="shared" si="24"/>
        <v>4045/4046</v>
      </c>
      <c r="L138" s="24" t="str">
        <f>VLOOKUP(A138,'Trips&amp;Operators'!$C$1:$E$10000,3,FALSE)</f>
        <v>CHANDLER</v>
      </c>
      <c r="M138" s="6">
        <f t="shared" si="25"/>
        <v>2.5717592594446614E-2</v>
      </c>
      <c r="N138" s="7">
        <f t="shared" si="43"/>
        <v>37.033333336003125</v>
      </c>
      <c r="O138" s="7"/>
      <c r="P138" s="7"/>
      <c r="Q138" s="25"/>
      <c r="R138" s="25"/>
      <c r="S138" s="37">
        <f t="shared" si="44"/>
        <v>1</v>
      </c>
      <c r="T138" s="52" t="str">
        <f t="shared" si="26"/>
        <v>NorthBound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18:57:16-0600',mode:absolute,to:'2016-10-07 21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8" s="54" t="str">
        <f t="shared" si="28"/>
        <v>N</v>
      </c>
      <c r="X138" s="164">
        <f t="shared" si="45"/>
        <v>1</v>
      </c>
      <c r="Y138" s="69">
        <f t="shared" si="30"/>
        <v>4.7800000000000002E-2</v>
      </c>
      <c r="Z138" s="69">
        <f t="shared" si="31"/>
        <v>23.3291</v>
      </c>
      <c r="AA138" s="69">
        <f t="shared" si="32"/>
        <v>23.281300000000002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3"/>
        <v>0225-07</v>
      </c>
      <c r="AE138" s="95" t="str">
        <f t="shared" si="34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38" s="92" t="str">
        <f t="shared" si="35"/>
        <v>"C:\Program Files (x86)\AstroGrep\AstroGrep.exe" /spath="%USERPROFILE%\AppData\Local\Temp\OnboardLogs" /stypes="app*4046*20161008*" /stext=" 02:.+((SYSTEM_STATE.+slice.+state.+changed )|(ment ac)|(system.+state.+changed )|(\[timeout)|(PRM\|1\|D)|(kpr)|(kdp)|(\|lc)|(penalty))" /e /r /s</v>
      </c>
      <c r="AG138" s="1" t="str">
        <f t="shared" si="36"/>
        <v>EC</v>
      </c>
      <c r="AH138" s="96" t="str">
        <f t="shared" si="37"/>
        <v>"%USERPROFILE%\Documents\GitHub\eaglep3\Utilities\RefineRTDCRunTimes.py" --tripid 225-07 --locoid 4046 --swversion DE.1.0.7.0 --startMP 204:478 --initTime 2016-10-07T19:57:16 --startdatetime 2016-10-07T20:00:23 --delay 1 --endMP 204:233291 --enddatetime 2016-10-07T20:37:25 --enforcementcount 0 &gt;&gt;C:\Users\stu\Documents\GitHub\eaglep3-reporting\EC\2016-10-07-refined-times.txt</v>
      </c>
      <c r="AI138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{"issue":{"subject":"","project_id":79,"tracker_id":40,"status_id":1,"priority_id":2,"assigned_to_id":23,"start_date":"2016-10-07","description":"","custom_fields":[{"id":1,"name":"Subdivision","value":"EC"},{"id":4,"name":"Milepost","value":"23.3291"},{"id":17,"name":"Train ID","value":"225-07"},{"id":16,"name":"Locomotive ID","value":"4046"},{"id":130,"name":"Impact","value":""},{"id":150,"name":"Time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564</v>
      </c>
      <c r="B139" s="7">
        <v>4045</v>
      </c>
      <c r="C139" s="24" t="s">
        <v>106</v>
      </c>
      <c r="D139" s="24" t="s">
        <v>256</v>
      </c>
      <c r="E139" s="15">
        <v>42650.871111111112</v>
      </c>
      <c r="F139" s="15">
        <v>42650.872604166667</v>
      </c>
      <c r="G139" s="7">
        <v>1</v>
      </c>
      <c r="H139" s="15" t="s">
        <v>235</v>
      </c>
      <c r="I139" s="15">
        <v>42650.901076388887</v>
      </c>
      <c r="J139" s="7">
        <v>0</v>
      </c>
      <c r="K139" s="117" t="str">
        <f t="shared" si="24"/>
        <v>4045/4046</v>
      </c>
      <c r="L139" s="24" t="str">
        <f>VLOOKUP(A139,'Trips&amp;Operators'!$C$1:$E$10000,3,FALSE)</f>
        <v>CHANDLER</v>
      </c>
      <c r="M139" s="6">
        <f t="shared" si="25"/>
        <v>2.8472222220443655E-2</v>
      </c>
      <c r="N139" s="7">
        <f t="shared" si="43"/>
        <v>40.999999997438863</v>
      </c>
      <c r="O139" s="7"/>
      <c r="P139" s="7"/>
      <c r="Q139" s="25"/>
      <c r="R139" s="25"/>
      <c r="S139" s="37">
        <f t="shared" si="44"/>
        <v>1</v>
      </c>
      <c r="T139" s="52" t="str">
        <f t="shared" si="26"/>
        <v>Southbound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19:54:24-0600',mode:absolute,to:'2016-10-07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9" s="54" t="str">
        <f t="shared" si="28"/>
        <v>N</v>
      </c>
      <c r="X139" s="164">
        <f t="shared" si="45"/>
        <v>1</v>
      </c>
      <c r="Y139" s="69">
        <f t="shared" si="30"/>
        <v>23.298500000000001</v>
      </c>
      <c r="Z139" s="69">
        <f t="shared" si="31"/>
        <v>1.6500000000000001E-2</v>
      </c>
      <c r="AA139" s="69">
        <f t="shared" si="32"/>
        <v>23.282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3"/>
        <v>0226-07</v>
      </c>
      <c r="AE139" s="95" t="str">
        <f t="shared" si="34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39" s="92" t="str">
        <f t="shared" si="35"/>
        <v>"C:\Program Files (x86)\AstroGrep\AstroGrep.exe" /spath="%USERPROFILE%\AppData\Local\Temp\OnboardLogs" /stypes="app*4045*20161008*" /stext=" 03:.+((SYSTEM_STATE.+slice.+state.+changed )|(ment ac)|(system.+state.+changed )|(\[timeout)|(PRM\|1\|D)|(kpr)|(kdp)|(\|lc)|(penalty))" /e /r /s</v>
      </c>
      <c r="AG139" s="1" t="str">
        <f t="shared" si="36"/>
        <v>EC</v>
      </c>
      <c r="AH139" s="96" t="str">
        <f t="shared" si="37"/>
        <v>"%USERPROFILE%\Documents\GitHub\eaglep3\Utilities\RefineRTDCRunTimes.py" --tripid 226-07 --locoid 4045 --swversion DE.1.0.7.0 --startMP 204:232985 --initTime 2016-10-07T20:54:24 --startdatetime 2016-10-07T20:56:33 --delay 1 --endMP 204:165 --enddatetime 2016-10-07T21:37:33 --enforcementcount 0 &gt;&gt;C:\Users\stu\Documents\GitHub\eaglep3-reporting\EC\2016-10-07-refined-times.txt</v>
      </c>
      <c r="AI139" s="130" t="str">
        <f t="shared" si="38"/>
        <v>echo {"issue":{"subject":"","project_id":79,"tracker_id":40,"status_id":1,"priority_id":2,"assigned_to_id":23,"start_date":"2016-10-07","description":"","custom_fields":[{"id":1,"name":"Subdivision","value":"EC"},{"id":4,"name":"Milepost","value":"0.0165"},{"id":17,"name":"Train ID","value":"226-07"},{"id":16,"name":"Locomotive ID","value":"4045"},{"id":130,"name":"Impact","value":""},{"id":150,"name":"Time of Event (Mountain Time)","value":"21:37:33"},{"id":151,"name":"Denver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565</v>
      </c>
      <c r="B140" s="7">
        <v>4020</v>
      </c>
      <c r="C140" s="24" t="s">
        <v>106</v>
      </c>
      <c r="D140" s="24" t="s">
        <v>325</v>
      </c>
      <c r="E140" s="15">
        <v>42650.848333333335</v>
      </c>
      <c r="F140" s="15">
        <v>42650.854560185187</v>
      </c>
      <c r="G140" s="7">
        <v>3</v>
      </c>
      <c r="H140" s="15" t="s">
        <v>420</v>
      </c>
      <c r="I140" s="15">
        <v>42650.880856481483</v>
      </c>
      <c r="J140" s="7">
        <v>0</v>
      </c>
      <c r="K140" s="117" t="str">
        <f t="shared" si="24"/>
        <v>4019/4020</v>
      </c>
      <c r="L140" s="24" t="str">
        <f>VLOOKUP(A140,'Trips&amp;Operators'!$C$1:$E$10000,3,FALSE)</f>
        <v>STURGEON</v>
      </c>
      <c r="M140" s="6">
        <f t="shared" si="25"/>
        <v>2.6296296295186039E-2</v>
      </c>
      <c r="N140" s="7">
        <f t="shared" si="43"/>
        <v>37.866666665067896</v>
      </c>
      <c r="O140" s="7"/>
      <c r="P140" s="7"/>
      <c r="Q140" s="25"/>
      <c r="R140" s="25"/>
      <c r="S140" s="37">
        <f t="shared" si="44"/>
        <v>1</v>
      </c>
      <c r="T140" s="52" t="str">
        <f t="shared" si="26"/>
        <v>NorthBound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https://search-rtdc-monitor-bjffxe2xuh6vdkpspy63sjmuny.us-east-1.es.amazonaws.com/_plugin/kibana/#/discover/Steve-Slow-Train-Analysis-(2080s-and-2083s)?_g=(refreshInterval:(display:Off,section:0,value:0),time:(from:'2016-10-07 19:21:36-0600',mode:absolute,to:'2016-10-07 22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0" s="54" t="str">
        <f t="shared" si="28"/>
        <v>N</v>
      </c>
      <c r="X140" s="164">
        <f t="shared" si="45"/>
        <v>1</v>
      </c>
      <c r="Y140" s="69">
        <f t="shared" si="30"/>
        <v>4.3999999999999997E-2</v>
      </c>
      <c r="Z140" s="69">
        <f t="shared" si="31"/>
        <v>23.329499999999999</v>
      </c>
      <c r="AA140" s="69">
        <f t="shared" si="32"/>
        <v>23.285499999999999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3"/>
        <v>0227-07</v>
      </c>
      <c r="AE140" s="95" t="str">
        <f t="shared" si="34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40" s="92" t="str">
        <f t="shared" si="35"/>
        <v>"C:\Program Files (x86)\AstroGrep\AstroGrep.exe" /spath="%USERPROFILE%\AppData\Local\Temp\OnboardLogs" /stypes="app*4020*20161008*" /stext=" 03:.+((SYSTEM_STATE.+slice.+state.+changed )|(ment ac)|(system.+state.+changed )|(\[timeout)|(PRM\|1\|D)|(kpr)|(kdp)|(\|lc)|(penalty))" /e /r /s</v>
      </c>
      <c r="AG140" s="1" t="str">
        <f t="shared" si="36"/>
        <v>EC</v>
      </c>
      <c r="AH140" s="96" t="str">
        <f t="shared" ref="AH140:AH204" si="46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227-07 --locoid 4020 --swversion DE.1.0.7.0 --startMP 204:440 --initTime 2016-10-07T20:21:36 --startdatetime 2016-10-07T20:30:34 --delay 3 --endMP 204:233295 --enddatetime 2016-10-07T21:08:26 --enforcementcount 0 &gt;&gt;C:\Users\stu\Documents\GitHub\eaglep3-reporting\EC\2016-10-07-refined-times.txt</v>
      </c>
      <c r="AI140" s="130" t="str">
        <f t="shared" ref="AI140:AI204" si="47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{"issue":{"subject":"","project_id":79,"tracker_id":40,"status_id":1,"priority_id":2,"assigned_to_id":23,"start_date":"2016-10-07","description":"","custom_fields":[{"id":1,"name":"Subdivision","value":"EC"},{"id":4,"name":"Milepost","value":"23.3295"},{"id":17,"name":"Train ID","value":"227-07"},{"id":16,"name":"Locomotive ID","value":"4020"},{"id":130,"name":"Impact","value":""},{"id":150,"name":"Time of Event (Mountain Time)","value":"21:08:26"},{"id":151,"name":"Denver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566</v>
      </c>
      <c r="B141" s="7">
        <v>4019</v>
      </c>
      <c r="C141" s="24" t="s">
        <v>106</v>
      </c>
      <c r="D141" s="24" t="s">
        <v>491</v>
      </c>
      <c r="E141" s="15">
        <v>42650.887060185189</v>
      </c>
      <c r="F141" s="15">
        <v>42650.893368055556</v>
      </c>
      <c r="G141" s="7">
        <v>1</v>
      </c>
      <c r="H141" s="15" t="s">
        <v>206</v>
      </c>
      <c r="I141" s="15">
        <v>42650.921041666668</v>
      </c>
      <c r="J141" s="7">
        <v>0</v>
      </c>
      <c r="K141" s="117" t="str">
        <f t="shared" ref="K141:K204" si="48">IF(ISEVEN(B141),(B141-1)&amp;"/"&amp;B141,B141&amp;"/"&amp;(B141+1))</f>
        <v>4019/4020</v>
      </c>
      <c r="L141" s="24" t="str">
        <f>VLOOKUP(A141,'Trips&amp;Operators'!$C$1:$E$10000,3,FALSE)</f>
        <v>STURGEON</v>
      </c>
      <c r="M141" s="6">
        <f t="shared" ref="M141:M204" si="49">I141-F141</f>
        <v>2.7673611111822538E-2</v>
      </c>
      <c r="N141" s="7">
        <f t="shared" si="43"/>
        <v>39.850000001024455</v>
      </c>
      <c r="O141" s="7"/>
      <c r="P141" s="7"/>
      <c r="Q141" s="25"/>
      <c r="R141" s="25"/>
      <c r="S141" s="37">
        <f t="shared" si="44"/>
        <v>1</v>
      </c>
      <c r="T141" s="52" t="str">
        <f t="shared" ref="T141:T204" si="50">IF(ISEVEN(LEFT(AD141,4)),"Southbound","NorthBound")</f>
        <v>Southbound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ref="V141:V204" si="51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https://search-rtdc-monitor-bjffxe2xuh6vdkpspy63sjmuny.us-east-1.es.amazonaws.com/_plugin/kibana/#/discover/Steve-Slow-Train-Analysis-(2080s-and-2083s)?_g=(refreshInterval:(display:Off,section:0,value:0),time:(from:'2016-10-07 20:17:22-0600',mode:absolute,to:'2016-10-07 23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1" s="54" t="str">
        <f t="shared" ref="W141:W204" si="52">IF(AA141&lt;IF(AG141="EC",23,5.65),"Y","N")</f>
        <v>N</v>
      </c>
      <c r="X141" s="164">
        <f t="shared" si="45"/>
        <v>1</v>
      </c>
      <c r="Y141" s="69">
        <f t="shared" ref="Y141:Y204" si="53">RIGHT(D141,LEN(D141)-4)/10000</f>
        <v>23.298200000000001</v>
      </c>
      <c r="Z141" s="69">
        <f t="shared" ref="Z141:Z204" si="54">RIGHT(H141,LEN(H141)-4)/10000</f>
        <v>1.5599999999999999E-2</v>
      </c>
      <c r="AA141" s="69">
        <f t="shared" ref="AA141:AA204" si="55">ABS(Z141-Y141)</f>
        <v>23.282600000000002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56">IF(LEN(A141)=6,"0"&amp;A141,A141)</f>
        <v>0228-07</v>
      </c>
      <c r="AE141" s="95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41" s="92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/stypes="app*4019*20161008*" /stext=" 04:.+((SYSTEM_STATE.+slice.+state.+changed )|(ment ac)|(system.+state.+changed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96" t="str">
        <f t="shared" si="46"/>
        <v>"%USERPROFILE%\Documents\GitHub\eaglep3\Utilities\RefineRTDCRunTimes.py" --tripid 228-07 --locoid 4019 --swversion DE.1.0.7.0 --startMP 204:232982 --initTime 2016-10-07T21:17:22 --startdatetime 2016-10-07T21:26:27 --delay 1 --endMP 204:156 --enddatetime 2016-10-07T22:06:18 --enforcementcount 0 &gt;&gt;C:\Users\stu\Documents\GitHub\eaglep3-reporting\EC\2016-10-07-refined-times.txt</v>
      </c>
      <c r="AI141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ID","value":"228-07"},{"id":16,"name":"Locomotive ID","value":"4019"},{"id":130,"name":"Impact","value":""},{"id":150,"name":"Time of Event (Mountain Time)","value":"22:06:18"},{"id":151,"name":"Denver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567</v>
      </c>
      <c r="B142" s="7">
        <v>4007</v>
      </c>
      <c r="C142" s="24" t="s">
        <v>106</v>
      </c>
      <c r="D142" s="24" t="s">
        <v>192</v>
      </c>
      <c r="E142" s="15">
        <v>42650.871469907404</v>
      </c>
      <c r="F142" s="15">
        <v>42650.875162037039</v>
      </c>
      <c r="G142" s="7">
        <v>1</v>
      </c>
      <c r="H142" s="15" t="s">
        <v>326</v>
      </c>
      <c r="I142" s="15">
        <v>42650.899907407409</v>
      </c>
      <c r="J142" s="7">
        <v>0</v>
      </c>
      <c r="K142" s="117" t="str">
        <f t="shared" si="48"/>
        <v>4007/4008</v>
      </c>
      <c r="L142" s="24" t="str">
        <f>VLOOKUP(A142,'Trips&amp;Operators'!$C$1:$E$10000,3,FALSE)</f>
        <v>LEVIN</v>
      </c>
      <c r="M142" s="6">
        <f t="shared" si="49"/>
        <v>2.47453703705105E-2</v>
      </c>
      <c r="N142" s="7">
        <f t="shared" si="43"/>
        <v>35.63333333353512</v>
      </c>
      <c r="O142" s="7"/>
      <c r="P142" s="7"/>
      <c r="Q142" s="25"/>
      <c r="R142" s="25"/>
      <c r="S142" s="37">
        <f t="shared" si="44"/>
        <v>1</v>
      </c>
      <c r="T142" s="52" t="str">
        <f t="shared" si="50"/>
        <v>NorthBound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19:54:55-0600',mode:absolute,to:'2016-10-07 22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2" s="54" t="str">
        <f t="shared" si="52"/>
        <v>N</v>
      </c>
      <c r="X142" s="164">
        <f t="shared" si="45"/>
        <v>1</v>
      </c>
      <c r="Y142" s="69">
        <f t="shared" si="53"/>
        <v>4.53E-2</v>
      </c>
      <c r="Z142" s="69">
        <f t="shared" si="54"/>
        <v>23.3338</v>
      </c>
      <c r="AA142" s="69">
        <f t="shared" si="55"/>
        <v>23.288499999999999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56"/>
        <v>0229-07</v>
      </c>
      <c r="AE142" s="95" t="str">
        <f t="shared" si="57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42" s="92" t="str">
        <f t="shared" si="58"/>
        <v>"C:\Program Files (x86)\AstroGrep\AstroGrep.exe" /spath="%USERPROFILE%\AppData\Local\Temp\OnboardLogs" /stypes="app*4007*20161008*" /stext=" 03:.+((SYSTEM_STATE.+slice.+state.+changed )|(ment ac)|(system.+state.+changed )|(\[timeout)|(PRM\|1\|D)|(kpr)|(kdp)|(\|lc)|(penalty))" /e /r /s</v>
      </c>
      <c r="AG142" s="1" t="str">
        <f t="shared" si="59"/>
        <v>EC</v>
      </c>
      <c r="AH142" s="96" t="str">
        <f t="shared" si="46"/>
        <v>"%USERPROFILE%\Documents\GitHub\eaglep3\Utilities\RefineRTDCRunTimes.py" --tripid 229-07 --locoid 4007 --swversion DE.1.0.7.0 --startMP 204:453 --initTime 2016-10-07T20:54:55 --startdatetime 2016-10-07T21:00:14 --delay 1 --endMP 204:233338 --enddatetime 2016-10-07T21:35:52 --enforcementcount 0 &gt;&gt;C:\Users\stu\Documents\GitHub\eaglep3-reporting\EC\2016-10-07-refined-times.txt</v>
      </c>
      <c r="AI142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{"issue":{"subject":"","project_id":79,"tracker_id":40,"status_id":1,"priority_id":2,"assigned_to_id":23,"start_date":"2016-10-07","description":"","custom_fields":[{"id":1,"name":"Subdivision","value":"EC"},{"id":4,"name":"Milepost","value":"23.3338"},{"id":17,"name":"Train ID","value":"229-07"},{"id":16,"name":"Locomotive ID","value":"4007"},{"id":130,"name":"Impact","value":""},{"id":150,"name":"Time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568</v>
      </c>
      <c r="B143" s="7">
        <v>4008</v>
      </c>
      <c r="C143" s="24" t="s">
        <v>106</v>
      </c>
      <c r="D143" s="24" t="s">
        <v>273</v>
      </c>
      <c r="E143" s="15">
        <v>42650.910624999997</v>
      </c>
      <c r="F143" s="15">
        <v>42650.91443287037</v>
      </c>
      <c r="G143" s="7">
        <v>1</v>
      </c>
      <c r="H143" s="15" t="s">
        <v>336</v>
      </c>
      <c r="I143" s="15">
        <v>42650.941793981481</v>
      </c>
      <c r="J143" s="7">
        <v>0</v>
      </c>
      <c r="K143" s="117" t="str">
        <f t="shared" si="48"/>
        <v>4007/4008</v>
      </c>
      <c r="L143" s="24" t="str">
        <f>VLOOKUP(A143,'Trips&amp;Operators'!$C$1:$E$10000,3,FALSE)</f>
        <v>LEVIN</v>
      </c>
      <c r="M143" s="6">
        <f t="shared" si="49"/>
        <v>2.73611111115315E-2</v>
      </c>
      <c r="N143" s="7">
        <f t="shared" si="43"/>
        <v>39.40000000060536</v>
      </c>
      <c r="O143" s="7"/>
      <c r="P143" s="7"/>
      <c r="Q143" s="25"/>
      <c r="R143" s="25"/>
      <c r="S143" s="37">
        <f t="shared" si="44"/>
        <v>1</v>
      </c>
      <c r="T143" s="52" t="str">
        <f t="shared" si="50"/>
        <v>Southbound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20:51:18-0600',mode:absolute,to:'2016-10-07 23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3" s="54" t="str">
        <f t="shared" si="52"/>
        <v>N</v>
      </c>
      <c r="X143" s="164">
        <f t="shared" si="45"/>
        <v>1</v>
      </c>
      <c r="Y143" s="69">
        <f t="shared" si="53"/>
        <v>23.3002</v>
      </c>
      <c r="Z143" s="69">
        <f t="shared" si="54"/>
        <v>1.43E-2</v>
      </c>
      <c r="AA143" s="69">
        <f t="shared" si="55"/>
        <v>23.285900000000002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56"/>
        <v>0230-07</v>
      </c>
      <c r="AE143" s="95" t="str">
        <f t="shared" si="57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43" s="92" t="str">
        <f t="shared" si="58"/>
        <v>"C:\Program Files (x86)\AstroGrep\AstroGrep.exe" /spath="%USERPROFILE%\AppData\Local\Temp\OnboardLogs" /stypes="app*4008*20161008*" /stext=" 04:.+((SYSTEM_STATE.+slice.+state.+changed )|(ment ac)|(system.+state.+changed )|(\[timeout)|(PRM\|1\|D)|(kpr)|(kdp)|(\|lc)|(penalty))" /e /r /s</v>
      </c>
      <c r="AG143" s="1" t="str">
        <f t="shared" si="59"/>
        <v>EC</v>
      </c>
      <c r="AH143" s="96" t="str">
        <f t="shared" si="46"/>
        <v>"%USERPROFILE%\Documents\GitHub\eaglep3\Utilities\RefineRTDCRunTimes.py" --tripid 230-07 --locoid 4008 --swversion DE.1.0.7.0 --startMP 204:233002 --initTime 2016-10-07T21:51:18 --startdatetime 2016-10-07T21:56:47 --delay 1 --endMP 204:143 --enddatetime 2016-10-07T22:36:11 --enforcementcount 0 &gt;&gt;C:\Users\stu\Documents\GitHub\eaglep3-reporting\EC\2016-10-07-refined-times.txt</v>
      </c>
      <c r="AI143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ID","value":"230-07"},{"id":16,"name":"Locomotive ID","value":"4008"},{"id":130,"name":"Impact","value":""},{"id":150,"name":"Time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569</v>
      </c>
      <c r="B144" s="7">
        <v>4003</v>
      </c>
      <c r="C144" s="24" t="s">
        <v>106</v>
      </c>
      <c r="D144" s="24" t="s">
        <v>197</v>
      </c>
      <c r="E144" s="15">
        <v>42650.882696759261</v>
      </c>
      <c r="F144" s="15">
        <v>42650.896134259259</v>
      </c>
      <c r="G144" s="7">
        <v>1</v>
      </c>
      <c r="H144" s="15" t="s">
        <v>194</v>
      </c>
      <c r="I144" s="15">
        <v>42650.922210648147</v>
      </c>
      <c r="J144" s="7">
        <v>0</v>
      </c>
      <c r="K144" s="117" t="str">
        <f t="shared" si="48"/>
        <v>4003/4004</v>
      </c>
      <c r="L144" s="24" t="str">
        <f>VLOOKUP(A144,'Trips&amp;Operators'!$C$1:$E$10000,3,FALSE)</f>
        <v>YOUNG</v>
      </c>
      <c r="M144" s="6">
        <f t="shared" si="49"/>
        <v>2.6076388887304347E-2</v>
      </c>
      <c r="N144" s="7">
        <f t="shared" si="43"/>
        <v>37.54999999771826</v>
      </c>
      <c r="O144" s="7"/>
      <c r="P144" s="7"/>
      <c r="Q144" s="25"/>
      <c r="R144" s="25"/>
      <c r="S144" s="37">
        <f t="shared" si="44"/>
        <v>1</v>
      </c>
      <c r="T144" s="52" t="str">
        <f t="shared" si="50"/>
        <v>NorthBound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20:11:05-0600',mode:absolute,to:'2016-10-07 23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4" s="54" t="str">
        <f t="shared" si="52"/>
        <v>N</v>
      </c>
      <c r="X144" s="164">
        <f t="shared" si="45"/>
        <v>1</v>
      </c>
      <c r="Y144" s="69">
        <f t="shared" si="53"/>
        <v>4.6600000000000003E-2</v>
      </c>
      <c r="Z144" s="69">
        <f t="shared" si="54"/>
        <v>23.3291</v>
      </c>
      <c r="AA144" s="69">
        <f t="shared" si="55"/>
        <v>23.282499999999999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56"/>
        <v>0231-07</v>
      </c>
      <c r="AE144" s="95" t="str">
        <f t="shared" si="57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44" s="92" t="str">
        <f t="shared" si="58"/>
        <v>"C:\Program Files (x86)\AstroGrep\AstroGrep.exe" /spath="%USERPROFILE%\AppData\Local\Temp\OnboardLogs" /stypes="app*4003*20161008*" /stext=" 04:.+((SYSTEM_STATE.+slice.+state.+changed )|(ment ac)|(system.+state.+changed )|(\[timeout)|(PRM\|1\|D)|(kpr)|(kdp)|(\|lc)|(penalty))" /e /r /s</v>
      </c>
      <c r="AG144" s="1" t="str">
        <f t="shared" si="59"/>
        <v>EC</v>
      </c>
      <c r="AH144" s="96" t="str">
        <f t="shared" si="46"/>
        <v>"%USERPROFILE%\Documents\GitHub\eaglep3\Utilities\RefineRTDCRunTimes.py" --tripid 231-07 --locoid 4003 --swversion DE.1.0.7.0 --startMP 204:466 --initTime 2016-10-07T21:11:05 --startdatetime 2016-10-07T21:30:26 --delay 1 --endMP 204:233291 --enddatetime 2016-10-07T22:07:59 --enforcementcount 0 &gt;&gt;C:\Users\stu\Documents\GitHub\eaglep3-reporting\EC\2016-10-07-refined-times.txt</v>
      </c>
      <c r="AI144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{"issue":{"subject":"","project_id":79,"tracker_id":40,"status_id":1,"priority_id":2,"assigned_to_id":23,"start_date":"2016-10-07","description":"","custom_fields":[{"id":1,"name":"Subdivision","value":"EC"},{"id":4,"name":"Milepost","value":"23.3291"},{"id":17,"name":"Train ID","value":"231-07"},{"id":16,"name":"Locomotive ID","value":"4003"},{"id":130,"name":"Impact","value":""},{"id":150,"name":"Time of Event (Mountain Time)","value":"22:07:59"},{"id":151,"name":"Denver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570</v>
      </c>
      <c r="B145" s="7">
        <v>4004</v>
      </c>
      <c r="C145" s="24" t="s">
        <v>106</v>
      </c>
      <c r="D145" s="24" t="s">
        <v>228</v>
      </c>
      <c r="E145" s="15">
        <v>42650.929375</v>
      </c>
      <c r="F145" s="15">
        <v>42650.935150462959</v>
      </c>
      <c r="G145" s="7">
        <v>1</v>
      </c>
      <c r="H145" s="15" t="s">
        <v>336</v>
      </c>
      <c r="I145" s="15">
        <v>42650.963333333333</v>
      </c>
      <c r="J145" s="7">
        <v>0</v>
      </c>
      <c r="K145" s="117" t="str">
        <f t="shared" si="48"/>
        <v>4003/4004</v>
      </c>
      <c r="L145" s="24" t="str">
        <f>VLOOKUP(A145,'Trips&amp;Operators'!$C$1:$E$10000,3,FALSE)</f>
        <v>YOUNG</v>
      </c>
      <c r="M145" s="6">
        <f t="shared" si="49"/>
        <v>2.8182870373711921E-2</v>
      </c>
      <c r="N145" s="7">
        <f t="shared" si="43"/>
        <v>40.583333338145167</v>
      </c>
      <c r="O145" s="7"/>
      <c r="P145" s="7"/>
      <c r="Q145" s="25"/>
      <c r="R145" s="25"/>
      <c r="S145" s="37">
        <f t="shared" si="44"/>
        <v>1</v>
      </c>
      <c r="T145" s="52" t="str">
        <f t="shared" si="50"/>
        <v>Southbound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21:18:18-0600',mode:absolute,to:'2016-10-08 00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5" s="54" t="str">
        <f t="shared" si="52"/>
        <v>N</v>
      </c>
      <c r="X145" s="164">
        <f t="shared" si="45"/>
        <v>1</v>
      </c>
      <c r="Y145" s="69">
        <f t="shared" si="53"/>
        <v>23.2986</v>
      </c>
      <c r="Z145" s="69">
        <f t="shared" si="54"/>
        <v>1.43E-2</v>
      </c>
      <c r="AA145" s="69">
        <f t="shared" si="55"/>
        <v>23.284300000000002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56"/>
        <v>0232-07</v>
      </c>
      <c r="AE145" s="95" t="str">
        <f t="shared" si="57"/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AF145" s="92" t="str">
        <f t="shared" si="58"/>
        <v>"C:\Program Files (x86)\AstroGrep\AstroGrep.exe" /spath="%USERPROFILE%\AppData\Local\Temp\OnboardLogs" /stypes="app*4004*20161008*" /stext=" 05:.+((SYSTEM_STATE.+slice.+state.+changed )|(ment ac)|(system.+state.+changed )|(\[timeout)|(PRM\|1\|D)|(kpr)|(kdp)|(\|lc)|(penalty))" /e /r /s</v>
      </c>
      <c r="AG145" s="1" t="str">
        <f t="shared" si="59"/>
        <v>EC</v>
      </c>
      <c r="AH145" s="96" t="str">
        <f t="shared" si="46"/>
        <v>"%USERPROFILE%\Documents\GitHub\eaglep3\Utilities\RefineRTDCRunTimes.py" --tripid 232-07 --locoid 4004 --swversion DE.1.0.7.0 --startMP 204:232986 --initTime 2016-10-07T22:18:18 --startdatetime 2016-10-07T22:26:37 --delay 1 --endMP 204:143 --enddatetime 2016-10-07T23:07:12 --enforcementcount 0 &gt;&gt;C:\Users\stu\Documents\GitHub\eaglep3-reporting\EC\2016-10-07-refined-times.txt</v>
      </c>
      <c r="AI145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{"issue":{"subject":"","project_id":79,"tracker_id":40,"status_id":1,"priority_id":2,"assigned_to_id":23,"start_date":"2016-10-07","description":"","custom_fields":[{"id":1,"name":"Subdivision","value":"EC"},{"id":4,"name":"Milepost","value":"0.0143"},{"id":17,"name":"Train ID","value":"232-07"},{"id":16,"name":"Locomotive ID","value":"4004"},{"id":130,"name":"Impact","value":""},{"id":150,"name":"Time of Event (Mountain Time)","value":"23:07:12"},{"id":151,"name":"Denver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571</v>
      </c>
      <c r="B146" s="7">
        <v>4046</v>
      </c>
      <c r="C146" s="24" t="s">
        <v>106</v>
      </c>
      <c r="D146" s="24" t="s">
        <v>216</v>
      </c>
      <c r="E146" s="15">
        <v>42650.914664351854</v>
      </c>
      <c r="F146" s="15">
        <v>42650.916909722226</v>
      </c>
      <c r="G146" s="7">
        <v>1</v>
      </c>
      <c r="H146" s="15" t="s">
        <v>255</v>
      </c>
      <c r="I146" s="15">
        <v>42650.942719907405</v>
      </c>
      <c r="J146" s="7">
        <v>0</v>
      </c>
      <c r="K146" s="117" t="str">
        <f t="shared" si="48"/>
        <v>4045/4046</v>
      </c>
      <c r="L146" s="24" t="str">
        <f>VLOOKUP(A146,'Trips&amp;Operators'!$C$1:$E$10000,3,FALSE)</f>
        <v>CHANDLER</v>
      </c>
      <c r="M146" s="6">
        <f t="shared" si="49"/>
        <v>2.5810185179580003E-2</v>
      </c>
      <c r="N146" s="7">
        <f t="shared" si="43"/>
        <v>37.166666658595204</v>
      </c>
      <c r="O146" s="7"/>
      <c r="P146" s="7"/>
      <c r="Q146" s="25"/>
      <c r="R146" s="25"/>
      <c r="S146" s="37">
        <f t="shared" si="44"/>
        <v>1</v>
      </c>
      <c r="T146" s="52" t="str">
        <f t="shared" si="50"/>
        <v>NorthBound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20:57:07-0600',mode:absolute,to:'2016-10-07 23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6" s="54" t="str">
        <f t="shared" si="52"/>
        <v>N</v>
      </c>
      <c r="X146" s="164">
        <f t="shared" si="45"/>
        <v>1</v>
      </c>
      <c r="Y146" s="69">
        <f t="shared" si="53"/>
        <v>4.6399999999999997E-2</v>
      </c>
      <c r="Z146" s="69">
        <f t="shared" si="54"/>
        <v>23.329899999999999</v>
      </c>
      <c r="AA146" s="69">
        <f t="shared" si="55"/>
        <v>23.2835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56"/>
        <v>0233-07</v>
      </c>
      <c r="AE146" s="95" t="str">
        <f t="shared" si="57"/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AF146" s="92" t="str">
        <f t="shared" si="58"/>
        <v>"C:\Program Files (x86)\AstroGrep\AstroGrep.exe" /spath="%USERPROFILE%\AppData\Local\Temp\OnboardLogs" /stypes="app*4046*20161008*" /stext=" 04:.+((SYSTEM_STATE.+slice.+state.+changed )|(ment ac)|(system.+state.+changed )|(\[timeout)|(PRM\|1\|D)|(kpr)|(kdp)|(\|lc)|(penalty))" /e /r /s</v>
      </c>
      <c r="AG146" s="1" t="str">
        <f t="shared" si="59"/>
        <v>EC</v>
      </c>
      <c r="AH146" s="96" t="str">
        <f t="shared" si="46"/>
        <v>"%USERPROFILE%\Documents\GitHub\eaglep3\Utilities\RefineRTDCRunTimes.py" --tripid 233-07 --locoid 4046 --swversion DE.1.0.7.0 --startMP 204:464 --initTime 2016-10-07T21:57:07 --startdatetime 2016-10-07T22:00:21 --delay 1 --endMP 204:233299 --enddatetime 2016-10-07T22:37:31 --enforcementcount 0 &gt;&gt;C:\Users\stu\Documents\GitHub\eaglep3-reporting\EC\2016-10-07-refined-times.txt</v>
      </c>
      <c r="AI146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{"issue":{"subject":"","project_id":79,"tracker_id":40,"status_id":1,"priority_id":2,"assigned_to_id":23,"start_date":"2016-10-07","description":"","custom_fields":[{"id":1,"name":"Subdivision","value":"EC"},{"id":4,"name":"Milepost","value":"23.3299"},{"id":17,"name":"Train ID","value":"233-07"},{"id":16,"name":"Locomotive ID","value":"4046"},{"id":130,"name":"Impact","value":""},{"id":150,"name":"Time of Event (Mountain Time)","value":"22:37:31"},{"id":151,"name":"Denver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572</v>
      </c>
      <c r="B147" s="7">
        <v>4045</v>
      </c>
      <c r="C147" s="24" t="s">
        <v>106</v>
      </c>
      <c r="D147" s="24" t="s">
        <v>535</v>
      </c>
      <c r="E147" s="15">
        <v>42650.954988425925</v>
      </c>
      <c r="F147" s="15">
        <v>42650.956273148149</v>
      </c>
      <c r="G147" s="7">
        <v>1</v>
      </c>
      <c r="H147" s="15" t="s">
        <v>206</v>
      </c>
      <c r="I147" s="15">
        <v>42650.984155092592</v>
      </c>
      <c r="J147" s="7">
        <v>0</v>
      </c>
      <c r="K147" s="117" t="str">
        <f t="shared" si="48"/>
        <v>4045/4046</v>
      </c>
      <c r="L147" s="24" t="str">
        <f>VLOOKUP(A147,'Trips&amp;Operators'!$C$1:$E$10000,3,FALSE)</f>
        <v>CHANDLER</v>
      </c>
      <c r="M147" s="6">
        <f t="shared" si="49"/>
        <v>2.7881944442924578E-2</v>
      </c>
      <c r="N147" s="7">
        <f t="shared" si="43"/>
        <v>40.149999997811392</v>
      </c>
      <c r="O147" s="7"/>
      <c r="P147" s="7"/>
      <c r="Q147" s="25"/>
      <c r="R147" s="25"/>
      <c r="S147" s="37">
        <f t="shared" si="44"/>
        <v>1</v>
      </c>
      <c r="T147" s="52" t="str">
        <f t="shared" si="50"/>
        <v>Southbound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21:55:11-0600',mode:absolute,to:'2016-10-08 00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7" s="54" t="str">
        <f t="shared" si="52"/>
        <v>N</v>
      </c>
      <c r="X147" s="164">
        <f t="shared" si="45"/>
        <v>1</v>
      </c>
      <c r="Y147" s="69">
        <f t="shared" si="53"/>
        <v>23.2957</v>
      </c>
      <c r="Z147" s="69">
        <f t="shared" si="54"/>
        <v>1.5599999999999999E-2</v>
      </c>
      <c r="AA147" s="69">
        <f t="shared" si="55"/>
        <v>23.280100000000001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56"/>
        <v>0234-07</v>
      </c>
      <c r="AE147" s="95" t="str">
        <f t="shared" si="57"/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AF147" s="92" t="str">
        <f t="shared" si="58"/>
        <v>"C:\Program Files (x86)\AstroGrep\AstroGrep.exe" /spath="%USERPROFILE%\AppData\Local\Temp\OnboardLogs" /stypes="app*4045*20161008*" /stext=" 05:.+((SYSTEM_STATE.+slice.+state.+changed )|(ment ac)|(system.+state.+changed )|(\[timeout)|(PRM\|1\|D)|(kpr)|(kdp)|(\|lc)|(penalty))" /e /r /s</v>
      </c>
      <c r="AG147" s="1" t="str">
        <f t="shared" si="59"/>
        <v>EC</v>
      </c>
      <c r="AH147" s="96" t="str">
        <f t="shared" si="46"/>
        <v>"%USERPROFILE%\Documents\GitHub\eaglep3\Utilities\RefineRTDCRunTimes.py" --tripid 234-07 --locoid 4045 --swversion DE.1.0.7.0 --startMP 204:232957 --initTime 2016-10-07T22:55:11 --startdatetime 2016-10-07T22:57:02 --delay 1 --endMP 204:156 --enddatetime 2016-10-07T23:37:11 --enforcementcount 0 &gt;&gt;C:\Users\stu\Documents\GitHub\eaglep3-reporting\EC\2016-10-07-refined-times.txt</v>
      </c>
      <c r="AI147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{"issue":{"subject":"","project_id":79,"tracker_id":40,"status_id":1,"priority_id":2,"assigned_to_id":23,"start_date":"2016-10-07","description":"","custom_fields":[{"id":1,"name":"Subdivision","value":"EC"},{"id":4,"name":"Milepost","value":"0.0156"},{"id":17,"name":"Train ID","value":"234-07"},{"id":16,"name":"Locomotive ID","value":"4045"},{"id":130,"name":"Impact","value":""},{"id":150,"name":"Time of Event (Mountain Time)","value":"23:37:11"},{"id":151,"name":"Denver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573</v>
      </c>
      <c r="B148" s="7">
        <v>4020</v>
      </c>
      <c r="C148" s="24" t="s">
        <v>106</v>
      </c>
      <c r="D148" s="24" t="s">
        <v>322</v>
      </c>
      <c r="E148" s="15">
        <v>42650.932951388888</v>
      </c>
      <c r="F148" s="15">
        <v>42650.937777777777</v>
      </c>
      <c r="G148" s="7">
        <v>1</v>
      </c>
      <c r="H148" s="15" t="s">
        <v>223</v>
      </c>
      <c r="I148" s="15">
        <v>42650.963020833333</v>
      </c>
      <c r="J148" s="7">
        <v>0</v>
      </c>
      <c r="K148" s="117" t="str">
        <f t="shared" si="48"/>
        <v>4019/4020</v>
      </c>
      <c r="L148" s="24" t="str">
        <f>VLOOKUP(A148,'Trips&amp;Operators'!$C$1:$E$10000,3,FALSE)</f>
        <v>STURGEON</v>
      </c>
      <c r="M148" s="6">
        <f t="shared" si="49"/>
        <v>2.5243055555620231E-2</v>
      </c>
      <c r="N148" s="7">
        <f t="shared" si="43"/>
        <v>36.350000000093132</v>
      </c>
      <c r="O148" s="7"/>
      <c r="P148" s="7"/>
      <c r="Q148" s="25"/>
      <c r="R148" s="25"/>
      <c r="S148" s="37">
        <f t="shared" si="44"/>
        <v>1</v>
      </c>
      <c r="T148" s="52" t="str">
        <f t="shared" si="50"/>
        <v>NorthBound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21:23:27-0600',mode:absolute,to:'2016-10-08 00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8" s="54" t="str">
        <f t="shared" si="52"/>
        <v>N</v>
      </c>
      <c r="X148" s="164">
        <f t="shared" si="45"/>
        <v>1</v>
      </c>
      <c r="Y148" s="69">
        <f t="shared" si="53"/>
        <v>4.7500000000000001E-2</v>
      </c>
      <c r="Z148" s="69">
        <f t="shared" si="54"/>
        <v>23.3293</v>
      </c>
      <c r="AA148" s="69">
        <f t="shared" si="55"/>
        <v>23.2818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56"/>
        <v>0235-07</v>
      </c>
      <c r="AE148" s="95" t="str">
        <f t="shared" si="57"/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AF148" s="92" t="str">
        <f t="shared" si="58"/>
        <v>"C:\Program Files (x86)\AstroGrep\AstroGrep.exe" /spath="%USERPROFILE%\AppData\Local\Temp\OnboardLogs" /stypes="app*4020*20161008*" /stext=" 05:.+((SYSTEM_STATE.+slice.+state.+changed )|(ment ac)|(system.+state.+changed )|(\[timeout)|(PRM\|1\|D)|(kpr)|(kdp)|(\|lc)|(penalty))" /e /r /s</v>
      </c>
      <c r="AG148" s="1" t="str">
        <f t="shared" si="59"/>
        <v>EC</v>
      </c>
      <c r="AH148" s="96" t="str">
        <f t="shared" si="46"/>
        <v>"%USERPROFILE%\Documents\GitHub\eaglep3\Utilities\RefineRTDCRunTimes.py" --tripid 235-07 --locoid 4020 --swversion DE.1.0.7.0 --startMP 204:475 --initTime 2016-10-07T22:23:27 --startdatetime 2016-10-07T22:30:24 --delay 1 --endMP 204:233293 --enddatetime 2016-10-07T23:06:45 --enforcementcount 0 &gt;&gt;C:\Users\stu\Documents\GitHub\eaglep3-reporting\EC\2016-10-07-refined-times.txt</v>
      </c>
      <c r="AI148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{"issue":{"subject":"","project_id":79,"tracker_id":40,"status_id":1,"priority_id":2,"assigned_to_id":23,"start_date":"2016-10-07","description":"","custom_fields":[{"id":1,"name":"Subdivision","value":"EC"},{"id":4,"name":"Milepost","value":"23.3293"},{"id":17,"name":"Train ID","value":"235-07"},{"id":16,"name":"Locomotive ID","value":"4020"},{"id":130,"name":"Impact","value":""},{"id":150,"name":"Time of Event (Mountain Time)","value":"23:06:45"},{"id":151,"name":"Denver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574</v>
      </c>
      <c r="B149" s="7">
        <v>4019</v>
      </c>
      <c r="C149" s="24" t="s">
        <v>106</v>
      </c>
      <c r="D149" s="24" t="s">
        <v>293</v>
      </c>
      <c r="E149" s="15">
        <v>42650.9690162037</v>
      </c>
      <c r="F149" s="15">
        <v>42650.976620370369</v>
      </c>
      <c r="G149" s="7">
        <v>1</v>
      </c>
      <c r="H149" s="15" t="s">
        <v>445</v>
      </c>
      <c r="I149" s="15">
        <v>42651.004525462966</v>
      </c>
      <c r="J149" s="7">
        <v>0</v>
      </c>
      <c r="K149" s="117" t="str">
        <f t="shared" si="48"/>
        <v>4019/4020</v>
      </c>
      <c r="L149" s="24" t="str">
        <f>VLOOKUP(A149,'Trips&amp;Operators'!$C$1:$E$10000,3,FALSE)</f>
        <v>STURGEON</v>
      </c>
      <c r="M149" s="6">
        <f t="shared" si="49"/>
        <v>2.7905092596483883E-2</v>
      </c>
      <c r="N149" s="7">
        <f t="shared" si="43"/>
        <v>40.183333338936791</v>
      </c>
      <c r="O149" s="7"/>
      <c r="P149" s="7"/>
      <c r="Q149" s="25"/>
      <c r="R149" s="25"/>
      <c r="S149" s="37">
        <f t="shared" si="44"/>
        <v>1</v>
      </c>
      <c r="T149" s="52" t="str">
        <f t="shared" si="50"/>
        <v>Southbound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22:15:23-0600',mode:absolute,to:'2016-10-08 01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9" s="54" t="str">
        <f t="shared" si="52"/>
        <v>N</v>
      </c>
      <c r="X149" s="164">
        <f t="shared" si="45"/>
        <v>1</v>
      </c>
      <c r="Y149" s="69">
        <f t="shared" si="53"/>
        <v>23.296099999999999</v>
      </c>
      <c r="Z149" s="69">
        <f t="shared" si="54"/>
        <v>1.7999999999999999E-2</v>
      </c>
      <c r="AA149" s="69">
        <f t="shared" si="55"/>
        <v>23.278099999999998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56"/>
        <v>0236-07</v>
      </c>
      <c r="AE149" s="95" t="str">
        <f t="shared" si="57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149" s="92" t="str">
        <f t="shared" si="58"/>
        <v>"C:\Program Files (x86)\AstroGrep\AstroGrep.exe" /spath="%USERPROFILE%\AppData\Local\Temp\OnboardLogs" /stypes="app*4019*20161008*" /stext=" 06:.+((SYSTEM_STATE.+slice.+state.+changed )|(ment ac)|(system.+state.+changed )|(\[timeout)|(PRM\|1\|D)|(kpr)|(kdp)|(\|lc)|(penalty))" /e /r /s</v>
      </c>
      <c r="AG149" s="1" t="str">
        <f t="shared" si="59"/>
        <v>EC</v>
      </c>
      <c r="AH149" s="96" t="str">
        <f t="shared" si="46"/>
        <v>"%USERPROFILE%\Documents\GitHub\eaglep3\Utilities\RefineRTDCRunTimes.py" --tripid 236-07 --locoid 4019 --swversion DE.1.0.7.0 --startMP 204:232961 --initTime 2016-10-07T23:15:23 --startdatetime 2016-10-07T23:26:20 --delay 1 --endMP 204:180 --enddatetime 2016-10-08T00:06:31 --enforcementcount 0 &gt;&gt;C:\Users\stu\Documents\GitHub\eaglep3-reporting\EC\2016-10-07-refined-times.txt</v>
      </c>
      <c r="AI149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{"issue":{"subject":"","project_id":79,"tracker_id":40,"status_id":1,"priority_id":2,"assigned_to_id":23,"start_date":"2016-10-08","description":"","custom_fields":[{"id":1,"name":"Subdivision","value":"EC"},{"id":4,"name":"Milepost","value":"0.018"},{"id":17,"name":"Train ID","value":"236-07"},{"id":16,"name":"Locomotive ID","value":"4019"},{"id":130,"name":"Impact","value":""},{"id":150,"name":"Time of Event (Mountain Time)","value":"00:06:31"},{"id":151,"name":"Denver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575</v>
      </c>
      <c r="B150" s="7">
        <v>4007</v>
      </c>
      <c r="C150" s="24" t="s">
        <v>106</v>
      </c>
      <c r="D150" s="24" t="s">
        <v>327</v>
      </c>
      <c r="E150" s="15">
        <v>42650.954097222224</v>
      </c>
      <c r="F150" s="15">
        <v>42650.958541666667</v>
      </c>
      <c r="G150" s="7">
        <v>1</v>
      </c>
      <c r="H150" s="15" t="s">
        <v>475</v>
      </c>
      <c r="I150" s="15">
        <v>42650.983124999999</v>
      </c>
      <c r="J150" s="7">
        <v>0</v>
      </c>
      <c r="K150" s="117" t="str">
        <f t="shared" si="48"/>
        <v>4007/4008</v>
      </c>
      <c r="L150" s="24" t="str">
        <f>VLOOKUP(A150,'Trips&amp;Operators'!$C$1:$E$10000,3,FALSE)</f>
        <v>LEVIN</v>
      </c>
      <c r="M150" s="6">
        <f t="shared" si="49"/>
        <v>2.4583333331975155E-2</v>
      </c>
      <c r="N150" s="7">
        <f t="shared" si="43"/>
        <v>35.399999998044223</v>
      </c>
      <c r="O150" s="7"/>
      <c r="P150" s="7"/>
      <c r="Q150" s="25"/>
      <c r="R150" s="25"/>
      <c r="S150" s="37">
        <f t="shared" si="44"/>
        <v>1</v>
      </c>
      <c r="T150" s="52" t="str">
        <f t="shared" si="50"/>
        <v>NorthBound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21:53:54-0600',mode:absolute,to:'2016-10-08 00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0" s="54" t="str">
        <f t="shared" si="52"/>
        <v>N</v>
      </c>
      <c r="X150" s="164">
        <f t="shared" si="45"/>
        <v>1</v>
      </c>
      <c r="Y150" s="69">
        <f t="shared" si="53"/>
        <v>4.3700000000000003E-2</v>
      </c>
      <c r="Z150" s="69">
        <f t="shared" si="54"/>
        <v>23.3324</v>
      </c>
      <c r="AA150" s="69">
        <f t="shared" si="55"/>
        <v>23.288699999999999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56"/>
        <v>0237-07</v>
      </c>
      <c r="AE150" s="95" t="str">
        <f t="shared" si="57"/>
        <v>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 &amp; 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</v>
      </c>
      <c r="AF150" s="92" t="str">
        <f t="shared" si="58"/>
        <v>"C:\Program Files (x86)\AstroGrep\AstroGrep.exe" /spath="%USERPROFILE%\AppData\Local\Temp\OnboardLogs" /stypes="app*4007*20161008*" /stext=" 05:.+((SYSTEM_STATE.+slice.+state.+changed )|(ment ac)|(system.+state.+changed )|(\[timeout)|(PRM\|1\|D)|(kpr)|(kdp)|(\|lc)|(penalty))" /e /r /s</v>
      </c>
      <c r="AG150" s="1" t="str">
        <f t="shared" si="59"/>
        <v>EC</v>
      </c>
      <c r="AH150" s="96" t="str">
        <f t="shared" si="46"/>
        <v>"%USERPROFILE%\Documents\GitHub\eaglep3\Utilities\RefineRTDCRunTimes.py" --tripid 237-07 --locoid 4007 --swversion DE.1.0.7.0 --startMP 204:437 --initTime 2016-10-07T22:53:54 --startdatetime 2016-10-07T23:00:18 --delay 1 --endMP 204:233324 --enddatetime 2016-10-07T23:35:42 --enforcementcount 0 &gt;&gt;C:\Users\stu\Documents\GitHub\eaglep3-reporting\EC\2016-10-07-refined-times.txt</v>
      </c>
      <c r="AI150" s="130" t="str">
        <f t="shared" si="47"/>
        <v>echo {"issue":{"subject":"","project_id":79,"tracker_id":40,"status_id":1,"priority_id":2,"assigned_to_id":23,"start_date":"2016-10-07","description":"","custom_fields":[{"id":1,"name":"Subdivision","value":"EC"},{"id":4,"name":"Milepost","value":"23.3324"},{"id":17,"name":"Train ID","value":"237-07"},{"id":16,"name":"Locomotive ID","value":"4007"},{"id":130,"name":"Impact","value":""},{"id":150,"name":"Time of Event (Mountain Time)","value":"23:35:42"},{"id":151,"name":"Denver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576</v>
      </c>
      <c r="B151" s="7">
        <v>4008</v>
      </c>
      <c r="C151" s="24" t="s">
        <v>106</v>
      </c>
      <c r="D151" s="24" t="s">
        <v>248</v>
      </c>
      <c r="E151" s="15">
        <v>42650.995358796295</v>
      </c>
      <c r="F151" s="15">
        <v>42650.997708333336</v>
      </c>
      <c r="G151" s="7">
        <v>1</v>
      </c>
      <c r="H151" s="15" t="s">
        <v>195</v>
      </c>
      <c r="I151" s="15">
        <v>42651.025671296295</v>
      </c>
      <c r="J151" s="7">
        <v>0</v>
      </c>
      <c r="K151" s="117" t="str">
        <f t="shared" si="48"/>
        <v>4007/4008</v>
      </c>
      <c r="L151" s="24" t="str">
        <f>VLOOKUP(A151,'Trips&amp;Operators'!$C$1:$E$10000,3,FALSE)</f>
        <v>LEVIN</v>
      </c>
      <c r="M151" s="6">
        <f t="shared" si="49"/>
        <v>2.7962962958554272E-2</v>
      </c>
      <c r="N151" s="7">
        <f t="shared" ref="N151:N162" si="60">24*60*SUM($M151:$M151)</f>
        <v>40.266666660318151</v>
      </c>
      <c r="O151" s="7"/>
      <c r="P151" s="7"/>
      <c r="Q151" s="25"/>
      <c r="R151" s="25"/>
      <c r="S151" s="37">
        <f t="shared" ref="S151:S164" si="61">SUM(U151:U151)/IF(AG151="EC",12,1)</f>
        <v>1</v>
      </c>
      <c r="T151" s="52" t="str">
        <f t="shared" si="50"/>
        <v>Southbound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22:53:19-0600',mode:absolute,to:'2016-10-08 01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1" s="54" t="str">
        <f t="shared" si="52"/>
        <v>N</v>
      </c>
      <c r="X151" s="164">
        <f t="shared" si="45"/>
        <v>1</v>
      </c>
      <c r="Y151" s="69">
        <f t="shared" si="53"/>
        <v>23.299800000000001</v>
      </c>
      <c r="Z151" s="69">
        <f t="shared" si="54"/>
        <v>1.52E-2</v>
      </c>
      <c r="AA151" s="69">
        <f t="shared" si="55"/>
        <v>23.284600000000001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56"/>
        <v>0238-07</v>
      </c>
      <c r="AE151" s="95" t="str">
        <f t="shared" si="57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151" s="92" t="str">
        <f t="shared" si="58"/>
        <v>"C:\Program Files (x86)\AstroGrep\AstroGrep.exe" /spath="%USERPROFILE%\AppData\Local\Temp\OnboardLogs" /stypes="app*4008*20161008*" /stext=" 06:.+((SYSTEM_STATE.+slice.+state.+changed )|(ment ac)|(system.+state.+changed )|(\[timeout)|(PRM\|1\|D)|(kpr)|(kdp)|(\|lc)|(penalty))" /e /r /s</v>
      </c>
      <c r="AG151" s="1" t="str">
        <f t="shared" si="59"/>
        <v>EC</v>
      </c>
      <c r="AH151" s="96" t="str">
        <f t="shared" si="46"/>
        <v>"%USERPROFILE%\Documents\GitHub\eaglep3\Utilities\RefineRTDCRunTimes.py" --tripid 238-07 --locoid 4008 --swversion DE.1.0.7.0 --startMP 204:232998 --initTime 2016-10-07T23:53:19 --startdatetime 2016-10-07T23:56:42 --delay 1 --endMP 204:152 --enddatetime 2016-10-08T00:36:58 --enforcementcount 0 &gt;&gt;C:\Users\stu\Documents\GitHub\eaglep3-reporting\EC\2016-10-07-refined-times.txt</v>
      </c>
      <c r="AI151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{"issue":{"subject":"","project_id":79,"tracker_id":40,"status_id":1,"priority_id":2,"assigned_to_id":23,"start_date":"2016-10-08","description":"","custom_fields":[{"id":1,"name":"Subdivision","value":"EC"},{"id":4,"name":"Milepost","value":"0.0152"},{"id":17,"name":"Train ID","value":"238-07"},{"id":16,"name":"Locomotive ID","value":"4008"},{"id":130,"name":"Impact","value":""},{"id":150,"name":"Time of Event (Mountain Time)","value":"00:36:58"},{"id":151,"name":"Denver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577</v>
      </c>
      <c r="B152" s="7">
        <v>4003</v>
      </c>
      <c r="C152" s="24" t="s">
        <v>106</v>
      </c>
      <c r="D152" s="24" t="s">
        <v>197</v>
      </c>
      <c r="E152" s="15">
        <v>42650.97074074074</v>
      </c>
      <c r="F152" s="15">
        <v>42650.979432870372</v>
      </c>
      <c r="G152" s="7">
        <v>1</v>
      </c>
      <c r="H152" s="15" t="s">
        <v>420</v>
      </c>
      <c r="I152" s="15">
        <v>42651.005127314813</v>
      </c>
      <c r="J152" s="7">
        <v>0</v>
      </c>
      <c r="K152" s="117" t="str">
        <f t="shared" si="48"/>
        <v>4003/4004</v>
      </c>
      <c r="L152" s="24" t="str">
        <f>VLOOKUP(A152,'Trips&amp;Operators'!$C$1:$E$10000,3,FALSE)</f>
        <v>YOUNG</v>
      </c>
      <c r="M152" s="6">
        <f t="shared" si="49"/>
        <v>2.569444444088731E-2</v>
      </c>
      <c r="N152" s="7">
        <f t="shared" si="60"/>
        <v>36.999999994877726</v>
      </c>
      <c r="O152" s="7"/>
      <c r="P152" s="7"/>
      <c r="Q152" s="25"/>
      <c r="R152" s="25"/>
      <c r="S152" s="37">
        <f t="shared" si="61"/>
        <v>1</v>
      </c>
      <c r="T152" s="52" t="str">
        <f t="shared" si="50"/>
        <v>NorthBound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22:17:52-0600',mode:absolute,to:'2016-10-08 01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2" s="54" t="str">
        <f t="shared" si="52"/>
        <v>N</v>
      </c>
      <c r="X152" s="164">
        <f t="shared" si="45"/>
        <v>1</v>
      </c>
      <c r="Y152" s="69">
        <f t="shared" si="53"/>
        <v>4.6600000000000003E-2</v>
      </c>
      <c r="Z152" s="69">
        <f t="shared" si="54"/>
        <v>23.329499999999999</v>
      </c>
      <c r="AA152" s="69">
        <f t="shared" si="55"/>
        <v>23.282899999999998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56"/>
        <v>0239-07</v>
      </c>
      <c r="AE152" s="95" t="str">
        <f t="shared" si="57"/>
        <v>aws s3 cp s3://rtdc.mdm.uploadarchive.raw/RTDC4003/ "%USERPROFILE%\AppData\Local\Temp\OnboardLogs"\RTDC4003\2016-10-07 --exclude "*" --recursive --include "*20161007*" &amp; "%USERPROFILE%\Documents\GitHub\mrs-test-scripts\Headless Mode &amp; Sideloading\WalkAndUnGZ.bat" "%USERPROFILE%\AppData\Local\Temp\OnboardLogs"\RTDC4003\2016-10-07 &amp; aws s3 cp s3://rtdc.mdm.uploadarchive.raw/RTDC4003/ "%USERPROFILE%\AppData\Local\Temp\OnboardLogs"\RTDC4003\2016-10-08 --exclude "*" --recursive --include "*20161008*" &amp; "%USERPROFILE%\Documents\GitHub\mrs-test-scripts\Headless Mode &amp; Sideloading\WalkAndUnGZ.bat" "%USERPROFILE%\AppData\Local\Temp\OnboardLogs"\RTDC4003\2016-10-08</v>
      </c>
      <c r="AF152" s="92" t="str">
        <f t="shared" si="58"/>
        <v>"C:\Program Files (x86)\AstroGrep\AstroGrep.exe" /spath="%USERPROFILE%\AppData\Local\Temp\OnboardLogs" /stypes="app*4003*20161008*" /stext=" 06:.+((SYSTEM_STATE.+slice.+state.+changed )|(ment ac)|(system.+state.+changed )|(\[timeout)|(PRM\|1\|D)|(kpr)|(kdp)|(\|lc)|(penalty))" /e /r /s</v>
      </c>
      <c r="AG152" s="1" t="str">
        <f t="shared" si="59"/>
        <v>EC</v>
      </c>
      <c r="AH152" s="96" t="str">
        <f t="shared" si="46"/>
        <v>"%USERPROFILE%\Documents\GitHub\eaglep3\Utilities\RefineRTDCRunTimes.py" --tripid 239-07 --locoid 4003 --swversion DE.1.0.7.0 --startMP 204:466 --initTime 2016-10-07T23:17:52 --startdatetime 2016-10-07T23:30:23 --delay 1 --endMP 204:233295 --enddatetime 2016-10-08T00:07:23 --enforcementcount 0 &gt;&gt;C:\Users\stu\Documents\GitHub\eaglep3-reporting\EC\2016-10-07-refined-times.txt</v>
      </c>
      <c r="AI152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{"issue":{"subject":"","project_id":79,"tracker_id":40,"status_id":1,"priority_id":2,"assigned_to_id":23,"start_date":"2016-10-08","description":"","custom_fields":[{"id":1,"name":"Subdivision","value":"EC"},{"id":4,"name":"Milepost","value":"23.3295"},{"id":17,"name":"Train ID","value":"239-07"},{"id":16,"name":"Locomotive ID","value":"4003"},{"id":130,"name":"Impact","value":""},{"id":150,"name":"Time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578</v>
      </c>
      <c r="B153" s="7">
        <v>4004</v>
      </c>
      <c r="C153" s="24" t="s">
        <v>106</v>
      </c>
      <c r="D153" s="24" t="s">
        <v>411</v>
      </c>
      <c r="E153" s="15">
        <v>42651.011331018519</v>
      </c>
      <c r="F153" s="15">
        <v>42651.018518518518</v>
      </c>
      <c r="G153" s="7">
        <v>1</v>
      </c>
      <c r="H153" s="15" t="s">
        <v>202</v>
      </c>
      <c r="I153" s="15">
        <v>42651.044999999998</v>
      </c>
      <c r="J153" s="7">
        <v>0</v>
      </c>
      <c r="K153" s="117" t="str">
        <f t="shared" si="48"/>
        <v>4003/4004</v>
      </c>
      <c r="L153" s="24" t="str">
        <f>VLOOKUP(A153,'Trips&amp;Operators'!$C$1:$E$10000,3,FALSE)</f>
        <v>YOUNG</v>
      </c>
      <c r="M153" s="6">
        <f t="shared" si="49"/>
        <v>2.6481481480004732E-2</v>
      </c>
      <c r="N153" s="7">
        <f t="shared" si="60"/>
        <v>38.133333331206813</v>
      </c>
      <c r="O153" s="7"/>
      <c r="P153" s="7"/>
      <c r="Q153" s="25"/>
      <c r="R153" s="25"/>
      <c r="S153" s="37">
        <f t="shared" si="61"/>
        <v>1</v>
      </c>
      <c r="T153" s="52" t="str">
        <f t="shared" si="50"/>
        <v>Southbound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23:16:19-0600',mode:absolute,to:'2016-10-08 02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3" s="54" t="str">
        <f t="shared" si="52"/>
        <v>N</v>
      </c>
      <c r="X153" s="164">
        <f t="shared" si="45"/>
        <v>1</v>
      </c>
      <c r="Y153" s="69">
        <f t="shared" si="53"/>
        <v>23.2988</v>
      </c>
      <c r="Z153" s="69">
        <f t="shared" si="54"/>
        <v>1.38E-2</v>
      </c>
      <c r="AA153" s="69">
        <f t="shared" si="55"/>
        <v>23.285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56"/>
        <v>0240-07</v>
      </c>
      <c r="AE153" s="95" t="str">
        <f t="shared" si="57"/>
        <v>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 &amp; 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</v>
      </c>
      <c r="AF153" s="92" t="str">
        <f t="shared" si="58"/>
        <v>"C:\Program Files (x86)\AstroGrep\AstroGrep.exe" /spath="%USERPROFILE%\AppData\Local\Temp\OnboardLogs" /stypes="app*4004*20161008*" /stext=" 07:.+((SYSTEM_STATE.+slice.+state.+changed )|(ment ac)|(system.+state.+changed )|(\[timeout)|(PRM\|1\|D)|(kpr)|(kdp)|(\|lc)|(penalty))" /e /r /s</v>
      </c>
      <c r="AG153" s="1" t="str">
        <f t="shared" si="59"/>
        <v>EC</v>
      </c>
      <c r="AH153" s="96" t="str">
        <f t="shared" si="46"/>
        <v>"%USERPROFILE%\Documents\GitHub\eaglep3\Utilities\RefineRTDCRunTimes.py" --tripid 240-07 --locoid 4004 --swversion DE.1.0.7.0 --startMP 204:232988 --initTime 2016-10-08T00:16:19 --startdatetime 2016-10-08T00:26:40 --delay 1 --endMP 204:138 --enddatetime 2016-10-08T01:04:48 --enforcementcount 0 &gt;&gt;C:\Users\stu\Documents\GitHub\eaglep3-reporting\EC\2016-10-07-refined-times.txt</v>
      </c>
      <c r="AI153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{"issue":{"subject":"","project_id":79,"tracker_id":40,"status_id":1,"priority_id":2,"assigned_to_id":23,"start_date":"2016-10-08","description":"","custom_fields":[{"id":1,"name":"Subdivision","value":"EC"},{"id":4,"name":"Milepost","value":"0.0138"},{"id":17,"name":"Train ID","value":"240-07"},{"id":16,"name":"Locomotive ID","value":"4004"},{"id":130,"name":"Impact","value":""},{"id":150,"name":"Time of Event (Mountain Time)","value":"01:04:48"},{"id":151,"name":"Denver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579</v>
      </c>
      <c r="B154" s="7">
        <v>4046</v>
      </c>
      <c r="C154" s="24" t="s">
        <v>106</v>
      </c>
      <c r="D154" s="24" t="s">
        <v>216</v>
      </c>
      <c r="E154" s="15">
        <v>42650.995312500003</v>
      </c>
      <c r="F154" s="15">
        <v>42651.000416666669</v>
      </c>
      <c r="G154" s="7">
        <v>1</v>
      </c>
      <c r="H154" s="15" t="s">
        <v>254</v>
      </c>
      <c r="I154" s="15">
        <v>42651.026388888888</v>
      </c>
      <c r="J154" s="7">
        <v>0</v>
      </c>
      <c r="K154" s="117" t="str">
        <f t="shared" si="48"/>
        <v>4045/4046</v>
      </c>
      <c r="L154" s="24" t="str">
        <f>VLOOKUP(A154,'Trips&amp;Operators'!$C$1:$E$10000,3,FALSE)</f>
        <v>CHANDLER</v>
      </c>
      <c r="M154" s="6">
        <f t="shared" si="49"/>
        <v>2.5972222218115348E-2</v>
      </c>
      <c r="N154" s="7">
        <f t="shared" si="60"/>
        <v>37.399999994086102</v>
      </c>
      <c r="O154" s="7"/>
      <c r="P154" s="7"/>
      <c r="Q154" s="25"/>
      <c r="R154" s="25"/>
      <c r="S154" s="37">
        <f t="shared" si="61"/>
        <v>1</v>
      </c>
      <c r="T154" s="52" t="str">
        <f t="shared" si="50"/>
        <v>NorthBound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22:53:15-0600',mode:absolute,to:'2016-10-08 01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4" s="54" t="str">
        <f t="shared" si="52"/>
        <v>N</v>
      </c>
      <c r="X154" s="164">
        <f t="shared" si="45"/>
        <v>1</v>
      </c>
      <c r="Y154" s="69">
        <f t="shared" si="53"/>
        <v>4.6399999999999997E-2</v>
      </c>
      <c r="Z154" s="69">
        <f t="shared" si="54"/>
        <v>23.3276</v>
      </c>
      <c r="AA154" s="69">
        <f t="shared" si="55"/>
        <v>23.281200000000002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56"/>
        <v>0241-07</v>
      </c>
      <c r="AE154" s="95" t="str">
        <f t="shared" si="57"/>
        <v>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 &amp; aws s3 cp s3://rtdc.mdm.uploadarchive.raw/RTDC4046/ "%USERPROFILE%\AppData\Local\Temp\OnboardLogs"\RTDC4046\2016-10-09 --exclude "*" --recursive --include "*20161009*" &amp; "%USERPROFILE%\Documents\GitHub\mrs-test-scripts\Headless Mode &amp; Sideloading\WalkAndUnGZ.bat" "%USERPROFILE%\AppData\Local\Temp\OnboardLogs"\RTDC4046\2016-10-09</v>
      </c>
      <c r="AF154" s="92" t="str">
        <f t="shared" si="58"/>
        <v>"C:\Program Files (x86)\AstroGrep\AstroGrep.exe" /spath="%USERPROFILE%\AppData\Local\Temp\OnboardLogs" /stypes="app*4046*20161008*" /stext=" 06:.+((SYSTEM_STATE.+slice.+state.+changed )|(ment ac)|(system.+state.+changed )|(\[timeout)|(PRM\|1\|D)|(kpr)|(kdp)|(\|lc)|(penalty))" /e /r /s</v>
      </c>
      <c r="AG154" s="1" t="str">
        <f t="shared" si="59"/>
        <v>EC</v>
      </c>
      <c r="AH154" s="96" t="str">
        <f t="shared" si="46"/>
        <v>"%USERPROFILE%\Documents\GitHub\eaglep3\Utilities\RefineRTDCRunTimes.py" --tripid 241-07 --locoid 4046 --swversion DE.1.0.7.0 --startMP 204:464 --initTime 2016-10-07T23:53:15 --startdatetime 2016-10-08T00:00:36 --delay 1 --endMP 204:233276 --enddatetime 2016-10-08T00:38:00 --enforcementcount 0 &gt;&gt;C:\Users\stu\Documents\GitHub\eaglep3-reporting\EC\2016-10-07-refined-times.txt</v>
      </c>
      <c r="AI154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{"issue":{"subject":"","project_id":79,"tracker_id":40,"status_id":1,"priority_id":2,"assigned_to_id":23,"start_date":"2016-10-08","description":"","custom_fields":[{"id":1,"name":"Subdivision","value":"EC"},{"id":4,"name":"Milepost","value":"23.3276"},{"id":17,"name":"Train ID","value":"241-07"},{"id":16,"name":"Locomotive ID","value":"4046"},{"id":130,"name":"Impact","value":""},{"id":150,"name":"Time of Event (Mountain Time)","value":"00:38:00"},{"id":151,"name":"Denver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580</v>
      </c>
      <c r="B155" s="7">
        <v>4045</v>
      </c>
      <c r="C155" s="24" t="s">
        <v>106</v>
      </c>
      <c r="D155" s="24" t="s">
        <v>236</v>
      </c>
      <c r="E155" s="15">
        <v>42651.036006944443</v>
      </c>
      <c r="F155" s="15">
        <v>42651.039305555554</v>
      </c>
      <c r="G155" s="7">
        <v>1</v>
      </c>
      <c r="H155" s="15" t="s">
        <v>210</v>
      </c>
      <c r="I155" s="15">
        <v>42651.06722222222</v>
      </c>
      <c r="J155" s="7">
        <v>0</v>
      </c>
      <c r="K155" s="117" t="str">
        <f t="shared" si="48"/>
        <v>4045/4046</v>
      </c>
      <c r="L155" s="24" t="str">
        <f>VLOOKUP(A155,'Trips&amp;Operators'!$C$1:$E$10000,3,FALSE)</f>
        <v>CHANDLER</v>
      </c>
      <c r="M155" s="6">
        <f t="shared" si="49"/>
        <v>2.7916666665987577E-2</v>
      </c>
      <c r="N155" s="7">
        <f t="shared" si="60"/>
        <v>40.199999999022111</v>
      </c>
      <c r="O155" s="7"/>
      <c r="P155" s="7"/>
      <c r="Q155" s="25"/>
      <c r="R155" s="25"/>
      <c r="S155" s="37">
        <f t="shared" si="61"/>
        <v>1</v>
      </c>
      <c r="T155" s="52" t="str">
        <f t="shared" si="50"/>
        <v>Southbound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23:51:51-0600',mode:absolute,to:'2016-10-08 02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5" s="54" t="str">
        <f t="shared" si="52"/>
        <v>N</v>
      </c>
      <c r="X155" s="164">
        <f t="shared" ref="X155:X163" si="62">VALUE(LEFT(AD155,4))-VALUE(LEFT(AD154,4))</f>
        <v>1</v>
      </c>
      <c r="Y155" s="69">
        <f t="shared" si="53"/>
        <v>23.296900000000001</v>
      </c>
      <c r="Z155" s="69">
        <f t="shared" si="54"/>
        <v>1.41E-2</v>
      </c>
      <c r="AA155" s="69">
        <f t="shared" si="55"/>
        <v>23.282800000000002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56"/>
        <v>0242-07</v>
      </c>
      <c r="AE155" s="95" t="str">
        <f t="shared" si="57"/>
        <v>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 &amp; aws s3 cp s3://rtdc.mdm.uploadarchive.raw/RTDC4045/ "%USERPROFILE%\AppData\Local\Temp\OnboardLogs"\RTDC4045\2016-10-09 --exclude "*" --recursive --include "*20161009*" &amp; "%USERPROFILE%\Documents\GitHub\mrs-test-scripts\Headless Mode &amp; Sideloading\WalkAndUnGZ.bat" "%USERPROFILE%\AppData\Local\Temp\OnboardLogs"\RTDC4045\2016-10-09</v>
      </c>
      <c r="AF155" s="92" t="str">
        <f t="shared" si="58"/>
        <v>"C:\Program Files (x86)\AstroGrep\AstroGrep.exe" /spath="%USERPROFILE%\AppData\Local\Temp\OnboardLogs" /stypes="app*4045*20161008*" /stext=" 07:.+((SYSTEM_STATE.+slice.+state.+changed )|(ment ac)|(system.+state.+changed )|(\[timeout)|(PRM\|1\|D)|(kpr)|(kdp)|(\|lc)|(penalty))" /e /r /s</v>
      </c>
      <c r="AG155" s="1" t="str">
        <f t="shared" si="59"/>
        <v>EC</v>
      </c>
      <c r="AH155" s="96" t="str">
        <f t="shared" si="46"/>
        <v>"%USERPROFILE%\Documents\GitHub\eaglep3\Utilities\RefineRTDCRunTimes.py" --tripid 242-07 --locoid 4045 --swversion DE.1.0.7.0 --startMP 204:232969 --initTime 2016-10-08T00:51:51 --startdatetime 2016-10-08T00:56:36 --delay 1 --endMP 204:141 --enddatetime 2016-10-08T01:36:48 --enforcementcount 0 &gt;&gt;C:\Users\stu\Documents\GitHub\eaglep3-reporting\EC\2016-10-07-refined-times.txt</v>
      </c>
      <c r="AI155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{"issue":{"subject":"","project_id":79,"tracker_id":40,"status_id":1,"priority_id":2,"assigned_to_id":23,"start_date":"2016-10-08","description":"","custom_fields":[{"id":1,"name":"Subdivision","value":"EC"},{"id":4,"name":"Milepost","value":"0.0141"},{"id":17,"name":"Train ID","value":"242-07"},{"id":16,"name":"Locomotive ID","value":"4045"},{"id":130,"name":"Impact","value":""},{"id":150,"name":"Time of Event (Mountain Time)","value":"01:36:48"},{"id":151,"name":"Denver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581</v>
      </c>
      <c r="B156" s="7">
        <v>4020</v>
      </c>
      <c r="C156" s="24" t="s">
        <v>106</v>
      </c>
      <c r="D156" s="24" t="s">
        <v>582</v>
      </c>
      <c r="E156" s="15">
        <v>42651.01358796296</v>
      </c>
      <c r="F156" s="15">
        <v>42651.021053240744</v>
      </c>
      <c r="G156" s="7">
        <v>6</v>
      </c>
      <c r="H156" s="15" t="s">
        <v>335</v>
      </c>
      <c r="I156" s="15">
        <v>42651.047013888892</v>
      </c>
      <c r="J156" s="7">
        <v>0</v>
      </c>
      <c r="K156" s="117" t="str">
        <f t="shared" si="48"/>
        <v>4019/4020</v>
      </c>
      <c r="L156" s="24" t="str">
        <f>VLOOKUP(A156,'Trips&amp;Operators'!$C$1:$E$10000,3,FALSE)</f>
        <v>STURGEON</v>
      </c>
      <c r="M156" s="6">
        <f t="shared" si="49"/>
        <v>2.5960648148611654E-2</v>
      </c>
      <c r="N156" s="7">
        <f t="shared" si="60"/>
        <v>37.383333334000781</v>
      </c>
      <c r="O156" s="7"/>
      <c r="P156" s="7"/>
      <c r="Q156" s="25"/>
      <c r="R156" s="25"/>
      <c r="S156" s="37">
        <f t="shared" si="61"/>
        <v>1</v>
      </c>
      <c r="T156" s="52" t="str">
        <f t="shared" si="50"/>
        <v>NorthBound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23:19:34-0600',mode:absolute,to:'2016-10-08 02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6" s="54" t="str">
        <f t="shared" si="52"/>
        <v>N</v>
      </c>
      <c r="X156" s="164">
        <f t="shared" si="62"/>
        <v>1</v>
      </c>
      <c r="Y156" s="69">
        <f t="shared" si="53"/>
        <v>4.9299999999999997E-2</v>
      </c>
      <c r="Z156" s="69">
        <f t="shared" si="54"/>
        <v>23.327999999999999</v>
      </c>
      <c r="AA156" s="69">
        <f t="shared" si="55"/>
        <v>23.278700000000001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56"/>
        <v>0243-07</v>
      </c>
      <c r="AE156" s="95" t="str">
        <f t="shared" si="57"/>
        <v>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 &amp; 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</v>
      </c>
      <c r="AF156" s="92" t="str">
        <f t="shared" si="58"/>
        <v>"C:\Program Files (x86)\AstroGrep\AstroGrep.exe" /spath="%USERPROFILE%\AppData\Local\Temp\OnboardLogs" /stypes="app*4020*20161008*" /stext=" 07:.+((SYSTEM_STATE.+slice.+state.+changed )|(ment ac)|(system.+state.+changed )|(\[timeout)|(PRM\|1\|D)|(kpr)|(kdp)|(\|lc)|(penalty))" /e /r /s</v>
      </c>
      <c r="AG156" s="1" t="str">
        <f t="shared" si="59"/>
        <v>EC</v>
      </c>
      <c r="AH156" s="96" t="str">
        <f t="shared" si="46"/>
        <v>"%USERPROFILE%\Documents\GitHub\eaglep3\Utilities\RefineRTDCRunTimes.py" --tripid 243-07 --locoid 4020 --swversion DE.1.0.7.0 --startMP 204:493 --initTime 2016-10-08T00:19:34 --startdatetime 2016-10-08T00:30:19 --delay 6 --endMP 204:233280 --enddatetime 2016-10-08T01:07:42 --enforcementcount 0 &gt;&gt;C:\Users\stu\Documents\GitHub\eaglep3-reporting\EC\2016-10-07-refined-times.txt</v>
      </c>
      <c r="AI156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{"issue":{"subject":"","project_id":79,"tracker_id":40,"status_id":1,"priority_id":2,"assigned_to_id":23,"start_date":"2016-10-08","description":"","custom_fields":[{"id":1,"name":"Subdivision","value":"EC"},{"id":4,"name":"Milepost","value":"23.328"},{"id":17,"name":"Train ID","value":"243-07"},{"id":16,"name":"Locomotive ID","value":"4020"},{"id":130,"name":"Impact","value":""},{"id":150,"name":"Time of Event (Mountain Time)","value":"01:07:42"},{"id":151,"name":"Denver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583</v>
      </c>
      <c r="B157" s="7">
        <v>4019</v>
      </c>
      <c r="C157" s="24" t="s">
        <v>106</v>
      </c>
      <c r="D157" s="24" t="s">
        <v>584</v>
      </c>
      <c r="E157" s="15">
        <v>42651.05096064815</v>
      </c>
      <c r="F157" s="15">
        <v>42651.059953703705</v>
      </c>
      <c r="G157" s="7">
        <v>1</v>
      </c>
      <c r="H157" s="15" t="s">
        <v>235</v>
      </c>
      <c r="I157" s="15">
        <v>42651.088125000002</v>
      </c>
      <c r="J157" s="7">
        <v>0</v>
      </c>
      <c r="K157" s="117" t="str">
        <f t="shared" si="48"/>
        <v>4019/4020</v>
      </c>
      <c r="L157" s="24" t="str">
        <f>VLOOKUP(A157,'Trips&amp;Operators'!$C$1:$E$10000,3,FALSE)</f>
        <v>STURGEON</v>
      </c>
      <c r="M157" s="6">
        <f t="shared" si="49"/>
        <v>2.8171296296932269E-2</v>
      </c>
      <c r="N157" s="7">
        <f t="shared" si="60"/>
        <v>40.566666667582467</v>
      </c>
      <c r="O157" s="7"/>
      <c r="P157" s="7"/>
      <c r="Q157" s="25"/>
      <c r="R157" s="25"/>
      <c r="S157" s="37">
        <f t="shared" si="61"/>
        <v>1</v>
      </c>
      <c r="T157" s="52" t="str">
        <f t="shared" si="50"/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https://search-rtdc-monitor-bjffxe2xuh6vdkpspy63sjmuny.us-east-1.es.amazonaws.com/_plugin/kibana/#/discover/Steve-Slow-Train-Analysis-(2080s-and-2083s)?_g=(refreshInterval:(display:Off,section:0,value:0),time:(from:'2016-10-08 00:13:23-0600',mode:absolute,to:'2016-10-08 03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7" s="54" t="str">
        <f t="shared" si="52"/>
        <v>N</v>
      </c>
      <c r="X157" s="164">
        <f t="shared" si="62"/>
        <v>1</v>
      </c>
      <c r="Y157" s="69">
        <f t="shared" si="53"/>
        <v>23.295300000000001</v>
      </c>
      <c r="Z157" s="69">
        <f t="shared" si="54"/>
        <v>1.6500000000000001E-2</v>
      </c>
      <c r="AA157" s="69">
        <f t="shared" si="55"/>
        <v>23.2788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56"/>
        <v>0244-07</v>
      </c>
      <c r="AE157" s="95" t="str">
        <f t="shared" si="57"/>
        <v>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 &amp; 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</v>
      </c>
      <c r="AF157" s="92" t="str">
        <f t="shared" si="58"/>
        <v>"C:\Program Files (x86)\AstroGrep\AstroGrep.exe" /spath="%USERPROFILE%\AppData\Local\Temp\OnboardLogs" /stypes="app*4019*20161008*" /stext=" 08:.+((SYSTEM_STATE.+slice.+state.+changed )|(ment ac)|(system.+state.+changed )|(\[timeout)|(PRM\|1\|D)|(kpr)|(kdp)|(\|lc)|(penalty))" /e /r /s</v>
      </c>
      <c r="AG157" s="1" t="str">
        <f t="shared" si="59"/>
        <v>EC</v>
      </c>
      <c r="AH157" s="96" t="str">
        <f t="shared" si="46"/>
        <v>"%USERPROFILE%\Documents\GitHub\eaglep3\Utilities\RefineRTDCRunTimes.py" --tripid 244-07 --locoid 4019 --swversion DE.1.0.7.0 --startMP 204:232953 --initTime 2016-10-08T01:13:23 --startdatetime 2016-10-08T01:26:20 --delay 1 --endMP 204:165 --enddatetime 2016-10-08T02:06:54 --enforcementcount 0 &gt;&gt;C:\Users\stu\Documents\GitHub\eaglep3-reporting\EC\2016-10-07-refined-times.txt</v>
      </c>
      <c r="AI157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{"issue":{"subject":"","project_id":79,"tracker_id":40,"status_id":1,"priority_id":2,"assigned_to_id":23,"start_date":"2016-10-08","description":"","custom_fields":[{"id":1,"name":"Subdivision","value":"EC"},{"id":4,"name":"Milepost","value":"0.0165"},{"id":17,"name":"Train ID","value":"244-07"},{"id":16,"name":"Locomotive ID","value":"4019"},{"id":130,"name":"Impact","value":""},{"id":150,"name":"Time of Event (Mountain Time)","value":"02:06:54"},{"id":151,"name":"Denver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585</v>
      </c>
      <c r="B158" s="7">
        <v>4007</v>
      </c>
      <c r="C158" s="24" t="s">
        <v>106</v>
      </c>
      <c r="D158" s="24" t="s">
        <v>199</v>
      </c>
      <c r="E158" s="15">
        <v>42651.037476851852</v>
      </c>
      <c r="F158" s="15">
        <v>42651.041863425926</v>
      </c>
      <c r="G158" s="7">
        <v>1</v>
      </c>
      <c r="H158" s="15" t="s">
        <v>475</v>
      </c>
      <c r="I158" s="15">
        <v>42651.067280092589</v>
      </c>
      <c r="J158" s="7">
        <v>0</v>
      </c>
      <c r="K158" s="117" t="str">
        <f t="shared" si="48"/>
        <v>4007/4008</v>
      </c>
      <c r="L158" s="24" t="str">
        <f>VLOOKUP(A158,'Trips&amp;Operators'!$C$1:$E$10000,3,FALSE)</f>
        <v>LEVIN</v>
      </c>
      <c r="M158" s="6">
        <f t="shared" si="49"/>
        <v>2.5416666663659271E-2</v>
      </c>
      <c r="N158" s="7">
        <f t="shared" si="60"/>
        <v>36.59999999566935</v>
      </c>
      <c r="O158" s="7"/>
      <c r="P158" s="7"/>
      <c r="Q158" s="25"/>
      <c r="R158" s="25"/>
      <c r="S158" s="37">
        <f t="shared" si="61"/>
        <v>1</v>
      </c>
      <c r="T158" s="52" t="str">
        <f t="shared" si="50"/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23:53:58-0600',mode:absolute,to:'2016-10-08 02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8" s="54" t="str">
        <f t="shared" si="52"/>
        <v>N</v>
      </c>
      <c r="X158" s="164">
        <f t="shared" si="62"/>
        <v>1</v>
      </c>
      <c r="Y158" s="69">
        <f t="shared" si="53"/>
        <v>4.5499999999999999E-2</v>
      </c>
      <c r="Z158" s="69">
        <f t="shared" si="54"/>
        <v>23.3324</v>
      </c>
      <c r="AA158" s="69">
        <f t="shared" si="55"/>
        <v>23.286899999999999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56"/>
        <v>0245-07</v>
      </c>
      <c r="AE158" s="95" t="str">
        <f t="shared" si="57"/>
        <v>aws s3 cp s3://rtdc.mdm.uploadarchive.raw/RTDC4007/ "%USERPROFILE%\AppData\Local\Temp\OnboardLogs"\RTDC4007\2016-10-08 --exclude "*" --recursive --include "*20161008*" &amp; "%USERPROFILE%\Documents\GitHub\mrs-test-scripts\Headless Mode &amp; Sideloading\WalkAndUnGZ.bat" "%USERPROFILE%\AppData\Local\Temp\OnboardLogs"\RTDC4007\2016-10-08 &amp; 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</v>
      </c>
      <c r="AF158" s="92" t="str">
        <f t="shared" si="58"/>
        <v>"C:\Program Files (x86)\AstroGrep\AstroGrep.exe" /spath="%USERPROFILE%\AppData\Local\Temp\OnboardLogs" /stypes="app*4007*20161008*" /stext=" 07:.+((SYSTEM_STATE.+slice.+state.+changed )|(ment ac)|(system.+state.+changed )|(\[timeout)|(PRM\|1\|D)|(kpr)|(kdp)|(\|lc)|(penalty))" /e /r /s</v>
      </c>
      <c r="AG158" s="1" t="str">
        <f t="shared" si="59"/>
        <v>EC</v>
      </c>
      <c r="AH158" s="96" t="str">
        <f t="shared" si="46"/>
        <v>"%USERPROFILE%\Documents\GitHub\eaglep3\Utilities\RefineRTDCRunTimes.py" --tripid 245-07 --locoid 4007 --swversion DE.1.0.7.0 --startMP 204:455 --initTime 2016-10-08T00:53:58 --startdatetime 2016-10-08T01:00:17 --delay 1 --endMP 204:233324 --enddatetime 2016-10-08T01:36:53 --enforcementcount 0 &gt;&gt;C:\Users\stu\Documents\GitHub\eaglep3-reporting\EC\2016-10-07-refined-times.txt</v>
      </c>
      <c r="AI158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{"issue":{"subject":"","project_id":79,"tracker_id":40,"status_id":1,"priority_id":2,"assigned_to_id":23,"start_date":"2016-10-08","description":"","custom_fields":[{"id":1,"name":"Subdivision","value":"EC"},{"id":4,"name":"Milepost","value":"23.3324"},{"id":17,"name":"Train ID","value":"245-07"},{"id":16,"name":"Locomotive ID","value":"4007"},{"id":130,"name":"Impact","value":""},{"id":150,"name":"Time of Event (Mountain Time)","value":"01:36:53"},{"id":151,"name":"Denver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586</v>
      </c>
      <c r="B159" s="7">
        <v>4008</v>
      </c>
      <c r="C159" s="24" t="s">
        <v>106</v>
      </c>
      <c r="D159" s="24" t="s">
        <v>418</v>
      </c>
      <c r="E159" s="15">
        <v>42651.076168981483</v>
      </c>
      <c r="F159" s="15">
        <v>42651.080763888887</v>
      </c>
      <c r="G159" s="7">
        <v>1</v>
      </c>
      <c r="H159" s="15" t="s">
        <v>191</v>
      </c>
      <c r="I159" s="15">
        <v>42651.107071759259</v>
      </c>
      <c r="J159" s="7">
        <v>0</v>
      </c>
      <c r="K159" s="117" t="str">
        <f t="shared" si="48"/>
        <v>4007/4008</v>
      </c>
      <c r="L159" s="24" t="str">
        <f>VLOOKUP(A159,'Trips&amp;Operators'!$C$1:$E$10000,3,FALSE)</f>
        <v>LEVIN</v>
      </c>
      <c r="M159" s="6">
        <f t="shared" si="49"/>
        <v>2.6307870371965691E-2</v>
      </c>
      <c r="N159" s="7">
        <f t="shared" si="60"/>
        <v>37.883333335630596</v>
      </c>
      <c r="O159" s="7"/>
      <c r="P159" s="7"/>
      <c r="Q159" s="25"/>
      <c r="R159" s="25"/>
      <c r="S159" s="37">
        <f t="shared" si="61"/>
        <v>1</v>
      </c>
      <c r="T159" s="52" t="str">
        <f t="shared" si="50"/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https://search-rtdc-monitor-bjffxe2xuh6vdkpspy63sjmuny.us-east-1.es.amazonaws.com/_plugin/kibana/#/discover/Steve-Slow-Train-Analysis-(2080s-and-2083s)?_g=(refreshInterval:(display:Off,section:0,value:0),time:(from:'2016-10-08 00:49:41-0600',mode:absolute,to:'2016-10-08 03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9" s="54" t="str">
        <f t="shared" si="52"/>
        <v>N</v>
      </c>
      <c r="X159" s="164">
        <f t="shared" si="62"/>
        <v>1</v>
      </c>
      <c r="Y159" s="69">
        <f t="shared" si="53"/>
        <v>23.3001</v>
      </c>
      <c r="Z159" s="69">
        <f t="shared" si="54"/>
        <v>1.47E-2</v>
      </c>
      <c r="AA159" s="69">
        <f t="shared" si="55"/>
        <v>23.285399999999999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56"/>
        <v>0246-07</v>
      </c>
      <c r="AE159" s="95" t="str">
        <f t="shared" si="57"/>
        <v>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 &amp; 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</v>
      </c>
      <c r="AF159" s="92" t="str">
        <f t="shared" si="58"/>
        <v>"C:\Program Files (x86)\AstroGrep\AstroGrep.exe" /spath="%USERPROFILE%\AppData\Local\Temp\OnboardLogs" /stypes="app*4008*20161008*" /stext=" 08:.+((SYSTEM_STATE.+slice.+state.+changed )|(ment ac)|(system.+state.+changed )|(\[timeout)|(PRM\|1\|D)|(kpr)|(kdp)|(\|lc)|(penalty))" /e /r /s</v>
      </c>
      <c r="AG159" s="1" t="str">
        <f t="shared" si="59"/>
        <v>EC</v>
      </c>
      <c r="AH159" s="96" t="str">
        <f t="shared" si="46"/>
        <v>"%USERPROFILE%\Documents\GitHub\eaglep3\Utilities\RefineRTDCRunTimes.py" --tripid 246-07 --locoid 4008 --swversion DE.1.0.7.0 --startMP 204:233001 --initTime 2016-10-08T01:49:41 --startdatetime 2016-10-08T01:56:18 --delay 1 --endMP 204:147 --enddatetime 2016-10-08T02:34:11 --enforcementcount 0 &gt;&gt;C:\Users\stu\Documents\GitHub\eaglep3-reporting\EC\2016-10-07-refined-times.txt</v>
      </c>
      <c r="AI159" s="130" t="str">
        <f t="shared" si="47"/>
        <v>echo {"issue":{"subject":"","project_id":79,"tracker_id":40,"status_id":1,"priority_id":2,"assigned_to_id":23,"start_date":"2016-10-08","description":"","custom_fields":[{"id":1,"name":"Subdivision","value":"EC"},{"id":4,"name":"Milepost","value":"0.0147"},{"id":17,"name":"Train ID","value":"246-07"},{"id":16,"name":"Locomotive ID","value":"4008"},{"id":130,"name":"Impact","value":""},{"id":150,"name":"Time of Event (Mountain Time)","value":"02:34:11"},{"id":151,"name":"Denver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648</v>
      </c>
      <c r="B160" s="7">
        <v>4054</v>
      </c>
      <c r="C160" s="24" t="s">
        <v>106</v>
      </c>
      <c r="D160" s="24" t="s">
        <v>649</v>
      </c>
      <c r="E160" s="15">
        <v>42650.208356481482</v>
      </c>
      <c r="F160" s="15">
        <v>42650.210150462961</v>
      </c>
      <c r="G160" s="7">
        <v>1</v>
      </c>
      <c r="H160" s="15" t="s">
        <v>650</v>
      </c>
      <c r="I160" s="15">
        <v>42650.226921296293</v>
      </c>
      <c r="J160" s="7">
        <v>0</v>
      </c>
      <c r="K160" s="117" t="str">
        <f t="shared" si="48"/>
        <v>4053/4054</v>
      </c>
      <c r="L160" s="24" t="str">
        <f>VLOOKUP(A160,'Trips&amp;Operators'!$C$1:$E$10000,3,FALSE)</f>
        <v>STRICKLAND</v>
      </c>
      <c r="M160" s="6">
        <f t="shared" si="49"/>
        <v>1.6770833331975155E-2</v>
      </c>
      <c r="N160" s="7">
        <f t="shared" si="60"/>
        <v>24.149999998044223</v>
      </c>
      <c r="O160" s="7"/>
      <c r="P160" s="7"/>
      <c r="Q160" s="25"/>
      <c r="R160" s="25"/>
      <c r="S160" s="37">
        <f t="shared" si="61"/>
        <v>1</v>
      </c>
      <c r="T160" s="52" t="str">
        <f t="shared" si="50"/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04:00:02-0600',mode:absolute,to:'2016-10-07 06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0" s="54" t="str">
        <f t="shared" si="52"/>
        <v>N</v>
      </c>
      <c r="X160" s="164">
        <f t="shared" si="62"/>
        <v>554</v>
      </c>
      <c r="Y160" s="69">
        <f t="shared" si="53"/>
        <v>5.8653000000000004</v>
      </c>
      <c r="Z160" s="69">
        <f t="shared" si="54"/>
        <v>6.7799999999999999E-2</v>
      </c>
      <c r="AA160" s="69">
        <f t="shared" si="55"/>
        <v>5.7975000000000003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56"/>
        <v>0800-07</v>
      </c>
      <c r="AE160" s="95" t="str">
        <f t="shared" si="57"/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60" s="92" t="str">
        <f t="shared" si="58"/>
        <v>"C:\Program Files (x86)\AstroGrep\AstroGrep.exe" /spath="%USERPROFILE%\AppData\Local\Temp\OnboardLogs" /stypes="app*4054*20161007*" /stext=" 11:.+((SYSTEM_STATE.+slice.+state.+changed )|(ment ac)|(system.+state.+changed )|(\[timeout)|(PRM\|1\|D)|(kpr)|(kdp)|(\|lc)|(penalty))" /e /r /s</v>
      </c>
      <c r="AG160" s="1" t="str">
        <f t="shared" si="59"/>
        <v>NW</v>
      </c>
      <c r="AH160" s="96" t="str">
        <f t="shared" si="46"/>
        <v>"%USERPROFILE%\Documents\GitHub\eaglep3\Utilities\RefineRTDCRunTimes.py" --tripid 800-07 --locoid 4054 --swversion DE.1.0.7.0 --startMP 300:58653 --initTime 2016-10-07T05:00:02 --startdatetime 2016-10-07T05:02:37 --delay 1 --endMP 204:678 --enddatetime 2016-10-07T05:26:46 --enforcementcount 0 &gt;&gt;C:\Users\stu\Documents\GitHub\eaglep3-reporting\EC\2016-10-07-refined-times.txt</v>
      </c>
      <c r="AI160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{"issue":{"subject":"","project_id":79,"tracker_id":40,"status_id":1,"priority_id":2,"assigned_to_id":23,"start_date":"2016-10-07","description":"","custom_fields":[{"id":1,"name":"Subdivision","value":"NW"},{"id":4,"name":"Milepost","value":"0.0678"},{"id":17,"name":"Train ID","value":"800-07"},{"id":16,"name":"Locomotive ID","value":"4054"},{"id":130,"name":"Impact","value":""},{"id":150,"name":"Time of Event (Mountain Time)","value":"05:26:46"},{"id":151,"name":"Denver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651</v>
      </c>
      <c r="B161" s="7">
        <v>4053</v>
      </c>
      <c r="C161" s="24" t="s">
        <v>106</v>
      </c>
      <c r="D161" s="24" t="s">
        <v>652</v>
      </c>
      <c r="E161" s="15">
        <v>42650.235682870371</v>
      </c>
      <c r="F161" s="15">
        <v>42650.244004629632</v>
      </c>
      <c r="G161" s="7">
        <v>1</v>
      </c>
      <c r="H161" s="15" t="s">
        <v>351</v>
      </c>
      <c r="I161" s="15">
        <v>42650.255312499998</v>
      </c>
      <c r="J161" s="7">
        <v>0</v>
      </c>
      <c r="K161" s="117" t="str">
        <f t="shared" si="48"/>
        <v>4053/4054</v>
      </c>
      <c r="L161" s="24" t="str">
        <f>VLOOKUP(A161,'Trips&amp;Operators'!$C$1:$E$10000,3,FALSE)</f>
        <v>STRICKLAND</v>
      </c>
      <c r="M161" s="6">
        <f t="shared" si="49"/>
        <v>1.130787036527181E-2</v>
      </c>
      <c r="N161" s="7">
        <f t="shared" si="60"/>
        <v>16.283333325991407</v>
      </c>
      <c r="O161" s="7"/>
      <c r="P161" s="7"/>
      <c r="Q161" s="25"/>
      <c r="R161" s="25"/>
      <c r="S161" s="37">
        <f t="shared" si="61"/>
        <v>1</v>
      </c>
      <c r="T161" s="52" t="str">
        <f t="shared" si="50"/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04:39:23-0600',mode:absolute,to:'2016-10-07 07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1" s="54" t="str">
        <f t="shared" si="52"/>
        <v>N</v>
      </c>
      <c r="X161" s="164">
        <f t="shared" si="62"/>
        <v>1</v>
      </c>
      <c r="Y161" s="69">
        <f t="shared" si="53"/>
        <v>9.74E-2</v>
      </c>
      <c r="Z161" s="69">
        <f t="shared" si="54"/>
        <v>5.8963000000000001</v>
      </c>
      <c r="AA161" s="69">
        <f t="shared" si="55"/>
        <v>5.7988999999999997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56"/>
        <v>0801-07</v>
      </c>
      <c r="AE161" s="95" t="str">
        <f t="shared" si="57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61" s="92" t="str">
        <f t="shared" si="58"/>
        <v>"C:\Program Files (x86)\AstroGrep\AstroGrep.exe" /spath="%USERPROFILE%\AppData\Local\Temp\OnboardLogs" /stypes="app*4053*20161007*" /stext=" 12:.+((SYSTEM_STATE.+slice.+state.+changed )|(ment ac)|(system.+state.+changed )|(\[timeout)|(PRM\|1\|D)|(kpr)|(kdp)|(\|lc)|(penalty))" /e /r /s</v>
      </c>
      <c r="AG161" s="1" t="str">
        <f t="shared" si="59"/>
        <v>NW</v>
      </c>
      <c r="AH161" s="96" t="str">
        <f t="shared" si="46"/>
        <v>"%USERPROFILE%\Documents\GitHub\eaglep3\Utilities\RefineRTDCRunTimes.py" --tripid 801-07 --locoid 4053 --swversion DE.1.0.7.0 --startMP 204:974 --initTime 2016-10-07T05:39:23 --startdatetime 2016-10-07T05:51:22 --delay 1 --endMP 300:58963 --enddatetime 2016-10-07T06:07:39 --enforcementcount 0 &gt;&gt;C:\Users\stu\Documents\GitHub\eaglep3-reporting\EC\2016-10-07-refined-times.txt</v>
      </c>
      <c r="AI161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{"issue":{"subject":"","project_id":79,"tracker_id":40,"status_id":1,"priority_id":2,"assigned_to_id":23,"start_date":"2016-10-07","description":"","custom_fields":[{"id":1,"name":"Subdivision","value":"NW"},{"id":4,"name":"Milepost","value":"5.8963"},{"id":17,"name":"Train ID","value":"801-07"},{"id":16,"name":"Locomotive ID","value":"4053"},{"id":130,"name":"Impact","value":""},{"id":150,"name":"Time of Event (Mountain Time)","value":"06:07:39"},{"id":151,"name":"Denver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653</v>
      </c>
      <c r="B162" s="7">
        <v>4054</v>
      </c>
      <c r="C162" s="24" t="s">
        <v>106</v>
      </c>
      <c r="D162" s="24" t="s">
        <v>654</v>
      </c>
      <c r="E162" s="15">
        <v>42650.256099537037</v>
      </c>
      <c r="F162" s="15">
        <v>42650.257430555554</v>
      </c>
      <c r="G162" s="7">
        <v>1</v>
      </c>
      <c r="H162" s="15" t="s">
        <v>359</v>
      </c>
      <c r="I162" s="15">
        <v>42650.269143518519</v>
      </c>
      <c r="J162" s="7">
        <v>0</v>
      </c>
      <c r="K162" s="117" t="str">
        <f t="shared" si="48"/>
        <v>4053/4054</v>
      </c>
      <c r="L162" s="24" t="str">
        <f>VLOOKUP(A162,'Trips&amp;Operators'!$C$1:$E$10000,3,FALSE)</f>
        <v>STRICKLAND</v>
      </c>
      <c r="M162" s="6">
        <f t="shared" si="49"/>
        <v>1.1712962965248153E-2</v>
      </c>
      <c r="N162" s="7">
        <f t="shared" si="60"/>
        <v>16.86666666995734</v>
      </c>
      <c r="O162" s="7"/>
      <c r="P162" s="7"/>
      <c r="Q162" s="25"/>
      <c r="R162" s="25"/>
      <c r="S162" s="37">
        <f t="shared" si="61"/>
        <v>1</v>
      </c>
      <c r="T162" s="52" t="str">
        <f t="shared" si="50"/>
        <v>Southbound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05:08:47-0600',mode:absolute,to:'2016-10-07 07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2" s="54" t="str">
        <f t="shared" si="52"/>
        <v>N</v>
      </c>
      <c r="X162" s="164">
        <f t="shared" si="62"/>
        <v>1</v>
      </c>
      <c r="Y162" s="69">
        <f t="shared" si="53"/>
        <v>5.8654999999999999</v>
      </c>
      <c r="Z162" s="69">
        <f t="shared" si="54"/>
        <v>7.3800000000000004E-2</v>
      </c>
      <c r="AA162" s="69">
        <f t="shared" si="55"/>
        <v>5.7916999999999996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56"/>
        <v>0802-07</v>
      </c>
      <c r="AE162" s="95" t="str">
        <f t="shared" si="57"/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62" s="92" t="str">
        <f t="shared" si="58"/>
        <v>"C:\Program Files (x86)\AstroGrep\AstroGrep.exe" /spath="%USERPROFILE%\AppData\Local\Temp\OnboardLogs" /stypes="app*4054*20161007*" /stext=" 12:.+((SYSTEM_STATE.+slice.+state.+changed )|(ment ac)|(system.+state.+changed )|(\[timeout)|(PRM\|1\|D)|(kpr)|(kdp)|(\|lc)|(penalty))" /e /r /s</v>
      </c>
      <c r="AG162" s="1" t="str">
        <f t="shared" si="59"/>
        <v>NW</v>
      </c>
      <c r="AH162" s="96" t="str">
        <f t="shared" si="46"/>
        <v>"%USERPROFILE%\Documents\GitHub\eaglep3\Utilities\RefineRTDCRunTimes.py" --tripid 802-07 --locoid 4054 --swversion DE.1.0.7.0 --startMP 300:58655 --initTime 2016-10-07T06:08:47 --startdatetime 2016-10-07T06:10:42 --delay 1 --endMP 204:738 --enddatetime 2016-10-07T06:27:34 --enforcementcount 0 &gt;&gt;C:\Users\stu\Documents\GitHub\eaglep3-reporting\EC\2016-10-07-refined-times.txt</v>
      </c>
      <c r="AI162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{"issue":{"subject":"","project_id":79,"tracker_id":40,"status_id":1,"priority_id":2,"assigned_to_id":23,"start_date":"2016-10-07","description":"","custom_fields":[{"id":1,"name":"Subdivision","value":"NW"},{"id":4,"name":"Milepost","value":"0.0738"},{"id":17,"name":"Train ID","value":"802-07"},{"id":16,"name":"Locomotive ID","value":"4054"},{"id":130,"name":"Impact","value":""},{"id":150,"name":"Time of Event (Mountain Time)","value":"06:27:34"},{"id":151,"name":"Denver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782</v>
      </c>
      <c r="B163" s="7"/>
      <c r="C163" s="24" t="s">
        <v>106</v>
      </c>
      <c r="D163" s="24" t="s">
        <v>654</v>
      </c>
      <c r="E163" s="15">
        <v>42650.256099537037</v>
      </c>
      <c r="F163" s="15"/>
      <c r="G163" s="7">
        <v>1</v>
      </c>
      <c r="H163" s="15" t="s">
        <v>359</v>
      </c>
      <c r="I163" s="15"/>
      <c r="J163" s="7">
        <v>0</v>
      </c>
      <c r="K163" s="117" t="str">
        <f t="shared" si="48"/>
        <v>-1/</v>
      </c>
      <c r="L163" s="24" t="e">
        <f>VLOOKUP(A163,'Trips&amp;Operators'!$C$1:$E$10000,3,FALSE)</f>
        <v>#N/A</v>
      </c>
      <c r="M163" s="6">
        <f t="shared" si="49"/>
        <v>0</v>
      </c>
      <c r="N163" s="7"/>
      <c r="O163" s="7"/>
      <c r="P163" s="7">
        <v>1</v>
      </c>
      <c r="Q163" s="25"/>
      <c r="R163" s="25" t="s">
        <v>306</v>
      </c>
      <c r="S163" s="37">
        <f t="shared" si="61"/>
        <v>0</v>
      </c>
      <c r="T163" s="52" t="str">
        <f t="shared" si="50"/>
        <v>NorthBound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05:08:47-0600',mode:absolute,to:'1900-01-00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63" s="54" t="str">
        <f t="shared" si="52"/>
        <v>N</v>
      </c>
      <c r="X163" s="164">
        <f t="shared" si="62"/>
        <v>1</v>
      </c>
      <c r="Y163" s="69">
        <f t="shared" si="53"/>
        <v>5.8654999999999999</v>
      </c>
      <c r="Z163" s="69">
        <f t="shared" si="54"/>
        <v>7.3800000000000004E-2</v>
      </c>
      <c r="AA163" s="69">
        <f t="shared" si="55"/>
        <v>5.7916999999999996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56"/>
        <v>0803-07</v>
      </c>
      <c r="AE163" s="95" t="str">
        <f t="shared" si="57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3" s="92" t="str">
        <f t="shared" si="58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63" s="1" t="str">
        <f t="shared" si="59"/>
        <v>NW</v>
      </c>
      <c r="AH163" s="96" t="str">
        <f t="shared" ref="AH163" si="63"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803-07 --locoid  --swversion DE.1.0.7.0 --startMP 300:58655 --initTime 2016-10-07T06:08:47 --startdatetime 1900-01-00T00:00:00 --delay 1 --endMP 204:738 --enddatetime 1900-01-00T00:00:00 --enforcementcount 0 &gt;&gt;C:\Users\stu\Documents\GitHub\eaglep3-reporting\EC\2016-10-07-refined-times.txt</v>
      </c>
      <c r="AI163" s="130" t="str">
        <f t="shared" ref="AI163" si="64"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init","project_id":79,"tracker_id":40,"status_id":1,"priority_id":2,"assigned_to_id":23,"start_date":"1900-01-00","description":"","custom_fields":[{"id":1,"name":"Subdivision","value":"NW"},{"id":4,"name":"Milepost","value":"0.0738"},{"id":17,"name":"Train ID","value":"803-07"},{"id":16,"name":"Locomotive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655</v>
      </c>
      <c r="B164" s="7">
        <v>4026</v>
      </c>
      <c r="C164" s="24" t="s">
        <v>106</v>
      </c>
      <c r="D164" s="24" t="s">
        <v>656</v>
      </c>
      <c r="E164" s="15">
        <v>42650.285601851851</v>
      </c>
      <c r="F164" s="15">
        <v>42650.286307870374</v>
      </c>
      <c r="G164" s="7">
        <v>1</v>
      </c>
      <c r="H164" s="15" t="s">
        <v>657</v>
      </c>
      <c r="I164" s="15">
        <v>42650.291400462964</v>
      </c>
      <c r="J164" s="7">
        <v>0</v>
      </c>
      <c r="K164" s="117" t="str">
        <f t="shared" si="48"/>
        <v>4025/4026</v>
      </c>
      <c r="L164" s="24" t="str">
        <f>VLOOKUP(A164,'Trips&amp;Operators'!$C$1:$E$10000,3,FALSE)</f>
        <v>BEAM</v>
      </c>
      <c r="M164" s="6">
        <f t="shared" si="49"/>
        <v>5.0925925897900015E-3</v>
      </c>
      <c r="N164" s="7"/>
      <c r="O164" s="7"/>
      <c r="P164" s="7">
        <f>24*60*SUM($M164:$M165)</f>
        <v>16.833333328831941</v>
      </c>
      <c r="Q164" s="25"/>
      <c r="R164" s="25" t="s">
        <v>780</v>
      </c>
      <c r="S164" s="37">
        <f t="shared" si="61"/>
        <v>1</v>
      </c>
      <c r="T164" s="52" t="str">
        <f t="shared" si="50"/>
        <v>Southbound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05:51:16-0600',mode:absolute,to:'2016-10-07 07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4" s="54" t="str">
        <f t="shared" si="52"/>
        <v>Y</v>
      </c>
      <c r="X164" s="164">
        <f t="shared" ref="X164:X168" si="65">VALUE(LEFT(AD164,4))-VALUE(LEFT(AD163,4))</f>
        <v>1</v>
      </c>
      <c r="Y164" s="69">
        <f t="shared" si="53"/>
        <v>2.0186999999999999</v>
      </c>
      <c r="Z164" s="69">
        <f t="shared" si="54"/>
        <v>7.0300000000000001E-2</v>
      </c>
      <c r="AA164" s="69">
        <f t="shared" si="55"/>
        <v>1.9483999999999999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56"/>
        <v>0804-07</v>
      </c>
      <c r="AE164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64" s="92" t="str">
        <f t="shared" si="58"/>
        <v>"C:\Program Files (x86)\AstroGrep\AstroGrep.exe" /spath="%USERPROFILE%\AppData\Local\Temp\OnboardLogs" /stypes="app*4026*20161007*" /stext=" 12:.+((SYSTEM_STATE.+slice.+state.+changed )|(ment ac)|(system.+state.+changed )|(\[timeout)|(PRM\|1\|D)|(kpr)|(kdp)|(\|lc)|(penalty))" /e /r /s</v>
      </c>
      <c r="AG164" s="1" t="str">
        <f t="shared" si="59"/>
        <v>NW</v>
      </c>
      <c r="AH164" s="96" t="str">
        <f t="shared" si="46"/>
        <v>"%USERPROFILE%\Documents\GitHub\eaglep3\Utilities\RefineRTDCRunTimes.py" --tripid 804-07 --locoid 4026 --swversion DE.1.0.7.0 --startMP 300:20187 --initTime 2016-10-07T06:51:16 --startdatetime 2016-10-07T06:52:17 --delay 1 --endMP 204:703 --enddatetime 2016-10-07T06:59:37 --enforcementcount 0 &gt;&gt;C:\Users\stu\Documents\GitHub\eaglep3-reporting\EC\2016-10-07-refined-times.txt</v>
      </c>
      <c r="AI164" s="130" t="str">
        <f t="shared" si="47"/>
        <v>echo {"issue":{"subject":"Premature downgrade at CRMFP 2S","project_id":79,"tracker_id":40,"status_id":1,"priority_id":2,"assigned_to_id":23,"start_date":"2016-10-07","description":"At 06:48:05, CRMFP 2S downgraded from PROCEED CAB to STOP, but the downgrade seemed unexpected. Was this as-designed or something strange happened?","custom_fields":[{"id":1,"name":"Subdivision","value":"NW"},{"id":4,"name":"Milepost","value":"0.0703"},{"id":17,"name":"Train ID","value":"804-07"},{"id":16,"name":"Locomotive ID","value":"4026"},{"id":130,"name":"Impact","value":"Enforcement"},{"id":150,"name":"Time of Event (Mountain Time)","value":"06:59:37"},{"id":151,"name":"Denver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64" s="55" t="s">
        <v>781</v>
      </c>
      <c r="AK164" s="55" t="s">
        <v>134</v>
      </c>
      <c r="AL164" s="55" t="s">
        <v>139</v>
      </c>
    </row>
    <row r="165" spans="1:38" s="23" customFormat="1" x14ac:dyDescent="0.25">
      <c r="A165" s="39" t="s">
        <v>655</v>
      </c>
      <c r="B165" s="7">
        <v>4026</v>
      </c>
      <c r="C165" s="24" t="s">
        <v>106</v>
      </c>
      <c r="D165" s="24" t="s">
        <v>349</v>
      </c>
      <c r="E165" s="15">
        <v>42650.276400462964</v>
      </c>
      <c r="F165" s="15">
        <v>42650.277233796296</v>
      </c>
      <c r="G165" s="7">
        <v>1</v>
      </c>
      <c r="H165" s="15" t="s">
        <v>658</v>
      </c>
      <c r="I165" s="15">
        <v>42650.283831018518</v>
      </c>
      <c r="J165" s="7">
        <v>1</v>
      </c>
      <c r="K165" s="117" t="str">
        <f t="shared" si="48"/>
        <v>4025/4026</v>
      </c>
      <c r="L165" s="24" t="str">
        <f>VLOOKUP(A165,'Trips&amp;Operators'!$C$1:$E$10000,3,FALSE)</f>
        <v>BEAM</v>
      </c>
      <c r="M165" s="6">
        <f t="shared" si="49"/>
        <v>6.5972222218988463E-3</v>
      </c>
      <c r="N165" s="7"/>
      <c r="O165" s="7"/>
      <c r="P165" s="7"/>
      <c r="Q165" s="25"/>
      <c r="R165" s="25"/>
      <c r="S165" s="37"/>
      <c r="T165" s="52" t="str">
        <f t="shared" si="50"/>
        <v>Southbound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05:38:01-0600',mode:absolute,to:'2016-10-07 07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5" s="54" t="str">
        <f t="shared" si="52"/>
        <v>Y</v>
      </c>
      <c r="X165" s="164">
        <f t="shared" si="65"/>
        <v>0</v>
      </c>
      <c r="Y165" s="69">
        <f t="shared" si="53"/>
        <v>5.8624000000000001</v>
      </c>
      <c r="Z165" s="69">
        <f t="shared" si="54"/>
        <v>2.5825</v>
      </c>
      <c r="AA165" s="69">
        <f t="shared" si="55"/>
        <v>3.2799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56"/>
        <v>0804-07</v>
      </c>
      <c r="AE165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65" s="92" t="str">
        <f t="shared" si="58"/>
        <v>"C:\Program Files (x86)\AstroGrep\AstroGrep.exe" /spath="%USERPROFILE%\AppData\Local\Temp\OnboardLogs" /stypes="app*4026*20161007*" /stext=" 12:.+((SYSTEM_STATE.+slice.+state.+changed )|(ment ac)|(system.+state.+changed )|(\[timeout)|(PRM\|1\|D)|(kpr)|(kdp)|(\|lc)|(penalty))" /e /r /s</v>
      </c>
      <c r="AG165" s="1" t="str">
        <f t="shared" si="59"/>
        <v>NW</v>
      </c>
      <c r="AH165" s="96" t="str">
        <f t="shared" si="46"/>
        <v>"%USERPROFILE%\Documents\GitHub\eaglep3\Utilities\RefineRTDCRunTimes.py" --tripid 804-07 --locoid 4026 --swversion DE.1.0.7.0 --startMP 300:58624 --initTime 2016-10-07T06:38:01 --startdatetime 2016-10-07T06:39:13 --delay 1 --endMP 300:25825 --enddatetime 2016-10-07T06:48:43 --enforcementcount 1 &gt;&gt;C:\Users\stu\Documents\GitHub\eaglep3-reporting\EC\2016-10-07-refined-times.txt</v>
      </c>
      <c r="AI165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{"issue":{"subject":"","project_id":79,"tracker_id":40,"status_id":1,"priority_id":2,"assigned_to_id":23,"start_date":"2016-10-07","description":"","custom_fields":[{"id":1,"name":"Subdivision","value":"NW"},{"id":4,"name":"Milepost","value":"2.5825"},{"id":17,"name":"Train ID","value":"804-07"},{"id":16,"name":"Locomotive ID","value":"4026"},{"id":130,"name":"Impact","value":""},{"id":150,"name":"Time of Event (Mountain Time)","value":"06:48:43"},{"id":151,"name":"Denver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659</v>
      </c>
      <c r="B166" s="7">
        <v>4053</v>
      </c>
      <c r="C166" s="24" t="s">
        <v>106</v>
      </c>
      <c r="D166" s="24" t="s">
        <v>660</v>
      </c>
      <c r="E166" s="15">
        <v>42650.27615740741</v>
      </c>
      <c r="F166" s="15">
        <v>42650.28565972222</v>
      </c>
      <c r="G166" s="7">
        <v>2</v>
      </c>
      <c r="H166" s="15" t="s">
        <v>661</v>
      </c>
      <c r="I166" s="15">
        <v>42650.295949074076</v>
      </c>
      <c r="J166" s="7">
        <v>0</v>
      </c>
      <c r="K166" s="117" t="str">
        <f t="shared" si="48"/>
        <v>4053/4054</v>
      </c>
      <c r="L166" s="24" t="str">
        <f>VLOOKUP(A166,'Trips&amp;Operators'!$C$1:$E$10000,3,FALSE)</f>
        <v>STRICKLAND</v>
      </c>
      <c r="M166" s="6">
        <f t="shared" si="49"/>
        <v>1.0289351856044959E-2</v>
      </c>
      <c r="N166" s="7">
        <f t="shared" ref="N166:N197" si="66">24*60*SUM($M166:$M166)</f>
        <v>14.816666672704741</v>
      </c>
      <c r="O166" s="7"/>
      <c r="P166" s="7"/>
      <c r="Q166" s="25"/>
      <c r="R166" s="25"/>
      <c r="S166" s="37">
        <f t="shared" ref="S166:S197" si="67">SUM(U166:U166)/IF(AG166="EC",12,1)</f>
        <v>1</v>
      </c>
      <c r="T166" s="52" t="str">
        <f t="shared" si="50"/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05:37:40-0600',mode:absolute,to:'2016-10-07 08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6" s="54" t="str">
        <f t="shared" si="52"/>
        <v>N</v>
      </c>
      <c r="X166" s="164">
        <f t="shared" si="65"/>
        <v>1</v>
      </c>
      <c r="Y166" s="69">
        <f t="shared" si="53"/>
        <v>0.1032</v>
      </c>
      <c r="Z166" s="69">
        <f t="shared" si="54"/>
        <v>5.8960999999999997</v>
      </c>
      <c r="AA166" s="69">
        <f t="shared" si="55"/>
        <v>5.7928999999999995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56"/>
        <v>0805-07</v>
      </c>
      <c r="AE166" s="95" t="str">
        <f t="shared" si="57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66" s="92" t="str">
        <f t="shared" si="58"/>
        <v>"C:\Program Files (x86)\AstroGrep\AstroGrep.exe" /spath="%USERPROFILE%\AppData\Local\Temp\OnboardLogs" /stypes="app*4053*20161007*" /stext=" 13:.+((SYSTEM_STATE.+slice.+state.+changed )|(ment ac)|(system.+state.+changed )|(\[timeout)|(PRM\|1\|D)|(kpr)|(kdp)|(\|lc)|(penalty))" /e /r /s</v>
      </c>
      <c r="AG166" s="1" t="str">
        <f t="shared" si="59"/>
        <v>NW</v>
      </c>
      <c r="AH166" s="96" t="str">
        <f t="shared" si="46"/>
        <v>"%USERPROFILE%\Documents\GitHub\eaglep3\Utilities\RefineRTDCRunTimes.py" --tripid 805-07 --locoid 4053 --swversion DE.1.0.7.0 --startMP 204:1032 --initTime 2016-10-07T06:37:40 --startdatetime 2016-10-07T06:51:21 --delay 2 --endMP 300:58961 --enddatetime 2016-10-07T07:06:10 --enforcementcount 0 &gt;&gt;C:\Users\stu\Documents\GitHub\eaglep3-reporting\EC\2016-10-07-refined-times.txt</v>
      </c>
      <c r="AI166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{"issue":{"subject":"","project_id":79,"tracker_id":40,"status_id":1,"priority_id":2,"assigned_to_id":23,"start_date":"2016-10-07","description":"","custom_fields":[{"id":1,"name":"Subdivision","value":"NW"},{"id":4,"name":"Milepost","value":"5.8961"},{"id":17,"name":"Train ID","value":"805-07"},{"id":16,"name":"Locomotive ID","value":"4053"},{"id":130,"name":"Impact","value":""},{"id":150,"name":"Time of Event (Mountain Time)","value":"07:06:10"},{"id":151,"name":"Denver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662</v>
      </c>
      <c r="B167" s="7">
        <v>4054</v>
      </c>
      <c r="C167" s="24" t="s">
        <v>106</v>
      </c>
      <c r="D167" s="24" t="s">
        <v>663</v>
      </c>
      <c r="E167" s="15">
        <v>42650.296886574077</v>
      </c>
      <c r="F167" s="15">
        <v>42650.298182870371</v>
      </c>
      <c r="G167" s="7">
        <v>1</v>
      </c>
      <c r="H167" s="15" t="s">
        <v>359</v>
      </c>
      <c r="I167" s="15">
        <v>42650.311423611114</v>
      </c>
      <c r="J167" s="7">
        <v>0</v>
      </c>
      <c r="K167" s="117" t="str">
        <f t="shared" si="48"/>
        <v>4053/4054</v>
      </c>
      <c r="L167" s="24" t="str">
        <f>VLOOKUP(A167,'Trips&amp;Operators'!$C$1:$E$10000,3,FALSE)</f>
        <v>STRICKLAND</v>
      </c>
      <c r="M167" s="6">
        <f t="shared" si="49"/>
        <v>1.3240740743640345E-2</v>
      </c>
      <c r="N167" s="7">
        <f t="shared" si="66"/>
        <v>19.066666670842096</v>
      </c>
      <c r="O167" s="7"/>
      <c r="P167" s="7"/>
      <c r="Q167" s="25"/>
      <c r="R167" s="25"/>
      <c r="S167" s="37">
        <f t="shared" si="67"/>
        <v>1</v>
      </c>
      <c r="T167" s="52" t="str">
        <f t="shared" si="50"/>
        <v>Southbound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06:07:31-0600',mode:absolute,to:'2016-10-07 08:28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7" s="54" t="str">
        <f t="shared" si="52"/>
        <v>N</v>
      </c>
      <c r="X167" s="164">
        <f t="shared" si="65"/>
        <v>1</v>
      </c>
      <c r="Y167" s="69">
        <f t="shared" si="53"/>
        <v>5.8643000000000001</v>
      </c>
      <c r="Z167" s="69">
        <f t="shared" si="54"/>
        <v>7.3800000000000004E-2</v>
      </c>
      <c r="AA167" s="69">
        <f t="shared" si="55"/>
        <v>5.7904999999999998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56"/>
        <v>0806-07</v>
      </c>
      <c r="AE167" s="95" t="str">
        <f t="shared" si="57"/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67" s="92" t="str">
        <f t="shared" si="58"/>
        <v>"C:\Program Files (x86)\AstroGrep\AstroGrep.exe" /spath="%USERPROFILE%\AppData\Local\Temp\OnboardLogs" /stypes="app*4054*20161007*" /stext=" 13:.+((SYSTEM_STATE.+slice.+state.+changed )|(ment ac)|(system.+state.+changed )|(\[timeout)|(PRM\|1\|D)|(kpr)|(kdp)|(\|lc)|(penalty))" /e /r /s</v>
      </c>
      <c r="AG167" s="1" t="str">
        <f t="shared" si="59"/>
        <v>NW</v>
      </c>
      <c r="AH167" s="96" t="str">
        <f t="shared" si="46"/>
        <v>"%USERPROFILE%\Documents\GitHub\eaglep3\Utilities\RefineRTDCRunTimes.py" --tripid 806-07 --locoid 4054 --swversion DE.1.0.7.0 --startMP 300:58643 --initTime 2016-10-07T07:07:31 --startdatetime 2016-10-07T07:09:23 --delay 1 --endMP 204:738 --enddatetime 2016-10-07T07:28:27 --enforcementcount 0 &gt;&gt;C:\Users\stu\Documents\GitHub\eaglep3-reporting\EC\2016-10-07-refined-times.txt</v>
      </c>
      <c r="AI167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{"issue":{"subject":"","project_id":79,"tracker_id":40,"status_id":1,"priority_id":2,"assigned_to_id":23,"start_date":"2016-10-07","description":"","custom_fields":[{"id":1,"name":"Subdivision","value":"NW"},{"id":4,"name":"Milepost","value":"0.0738"},{"id":17,"name":"Train ID","value":"806-07"},{"id":16,"name":"Locomotive ID","value":"4054"},{"id":130,"name":"Impact","value":""},{"id":150,"name":"Time of Event (Mountain Time)","value":"07:28:27"},{"id":151,"name":"Denver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664</v>
      </c>
      <c r="B168" s="7">
        <v>4025</v>
      </c>
      <c r="C168" s="24" t="s">
        <v>106</v>
      </c>
      <c r="D168" s="24" t="s">
        <v>303</v>
      </c>
      <c r="E168" s="15">
        <v>42650.303333333337</v>
      </c>
      <c r="F168" s="15">
        <v>42650.306469907409</v>
      </c>
      <c r="G168" s="7">
        <v>1</v>
      </c>
      <c r="H168" s="15" t="s">
        <v>305</v>
      </c>
      <c r="I168" s="15">
        <v>42650.316712962966</v>
      </c>
      <c r="J168" s="7">
        <v>0</v>
      </c>
      <c r="K168" s="117" t="str">
        <f t="shared" si="48"/>
        <v>4025/4026</v>
      </c>
      <c r="L168" s="24" t="str">
        <f>VLOOKUP(A168,'Trips&amp;Operators'!$C$1:$E$10000,3,FALSE)</f>
        <v>BEAM</v>
      </c>
      <c r="M168" s="6">
        <f t="shared" si="49"/>
        <v>1.0243055556202307E-2</v>
      </c>
      <c r="N168" s="7">
        <f t="shared" si="66"/>
        <v>14.750000000931323</v>
      </c>
      <c r="O168" s="7"/>
      <c r="P168" s="7"/>
      <c r="Q168" s="25"/>
      <c r="R168" s="25"/>
      <c r="S168" s="37">
        <f t="shared" si="67"/>
        <v>1</v>
      </c>
      <c r="T168" s="52" t="str">
        <f t="shared" si="50"/>
        <v>NorthBound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06:16:48-0600',mode:absolute,to:'2016-10-07 08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8" s="54" t="str">
        <f t="shared" si="52"/>
        <v>N</v>
      </c>
      <c r="X168" s="164">
        <f t="shared" si="65"/>
        <v>1</v>
      </c>
      <c r="Y168" s="69">
        <f t="shared" si="53"/>
        <v>9.8799999999999999E-2</v>
      </c>
      <c r="Z168" s="69">
        <f t="shared" si="54"/>
        <v>5.8940999999999999</v>
      </c>
      <c r="AA168" s="69">
        <f t="shared" si="55"/>
        <v>5.7953000000000001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56"/>
        <v>0807-07</v>
      </c>
      <c r="AE168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68" s="92" t="str">
        <f t="shared" si="58"/>
        <v>"C:\Program Files (x86)\AstroGrep\AstroGrep.exe" /spath="%USERPROFILE%\AppData\Local\Temp\OnboardLogs" /stypes="app*4025*20161007*" /stext=" 13:.+((SYSTEM_STATE.+slice.+state.+changed )|(ment ac)|(system.+state.+changed )|(\[timeout)|(PRM\|1\|D)|(kpr)|(kdp)|(\|lc)|(penalty))" /e /r /s</v>
      </c>
      <c r="AG168" s="1" t="str">
        <f t="shared" si="59"/>
        <v>NW</v>
      </c>
      <c r="AH168" s="96" t="str">
        <f t="shared" si="46"/>
        <v>"%USERPROFILE%\Documents\GitHub\eaglep3\Utilities\RefineRTDCRunTimes.py" --tripid 807-07 --locoid 4025 --swversion DE.1.0.7.0 --startMP 204:988 --initTime 2016-10-07T07:16:48 --startdatetime 2016-10-07T07:21:19 --delay 1 --endMP 300:58941 --enddatetime 2016-10-07T07:36:04 --enforcementcount 0 &gt;&gt;C:\Users\stu\Documents\GitHub\eaglep3-reporting\EC\2016-10-07-refined-times.txt</v>
      </c>
      <c r="AI168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{"issue":{"subject":"","project_id":79,"tracker_id":40,"status_id":1,"priority_id":2,"assigned_to_id":23,"start_date":"2016-10-07","description":"","custom_fields":[{"id":1,"name":"Subdivision","value":"NW"},{"id":4,"name":"Milepost","value":"5.8941"},{"id":17,"name":"Train ID","value":"807-07"},{"id":16,"name":"Locomotive ID","value":"4025"},{"id":130,"name":"Impact","value":""},{"id":150,"name":"Time of Event (Mountain Time)","value":"07:36:04"},{"id":151,"name":"Denver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665</v>
      </c>
      <c r="B169" s="7">
        <v>4026</v>
      </c>
      <c r="C169" s="24" t="s">
        <v>106</v>
      </c>
      <c r="D169" s="24" t="s">
        <v>666</v>
      </c>
      <c r="E169" s="15">
        <v>42650.317916666667</v>
      </c>
      <c r="F169" s="15">
        <v>42650.320011574076</v>
      </c>
      <c r="G169" s="7">
        <v>1</v>
      </c>
      <c r="H169" s="15" t="s">
        <v>667</v>
      </c>
      <c r="I169" s="15">
        <v>42650.33189814815</v>
      </c>
      <c r="J169" s="7">
        <v>0</v>
      </c>
      <c r="K169" s="117" t="str">
        <f t="shared" si="48"/>
        <v>4025/4026</v>
      </c>
      <c r="L169" s="24" t="str">
        <f>VLOOKUP(A169,'Trips&amp;Operators'!$C$1:$E$10000,3,FALSE)</f>
        <v>BEAM</v>
      </c>
      <c r="M169" s="6">
        <f t="shared" si="49"/>
        <v>1.1886574073287193E-2</v>
      </c>
      <c r="N169" s="7">
        <f t="shared" si="66"/>
        <v>17.116666665533558</v>
      </c>
      <c r="O169" s="7"/>
      <c r="P169" s="7"/>
      <c r="Q169" s="25"/>
      <c r="R169" s="25"/>
      <c r="S169" s="37">
        <f t="shared" si="67"/>
        <v>1</v>
      </c>
      <c r="T169" s="52" t="str">
        <f t="shared" si="50"/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06:37:48-0600',mode:absolute,to:'2016-10-07 08:57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9" s="54" t="str">
        <f t="shared" si="52"/>
        <v>N</v>
      </c>
      <c r="X169" s="164">
        <f t="shared" ref="X169:X200" si="68">VALUE(LEFT(AD169,4))-VALUE(LEFT(AD168,4))</f>
        <v>1</v>
      </c>
      <c r="Y169" s="69">
        <f t="shared" si="53"/>
        <v>5.8609</v>
      </c>
      <c r="Z169" s="69">
        <f t="shared" si="54"/>
        <v>7.8700000000000006E-2</v>
      </c>
      <c r="AA169" s="69">
        <f t="shared" si="55"/>
        <v>5.7821999999999996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56"/>
        <v>0808-07</v>
      </c>
      <c r="AE169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69" s="92" t="str">
        <f t="shared" si="58"/>
        <v>"C:\Program Files (x86)\AstroGrep\AstroGrep.exe" /spath="%USERPROFILE%\AppData\Local\Temp\OnboardLogs" /stypes="app*4026*20161007*" /stext=" 13:.+((SYSTEM_STATE.+slice.+state.+changed )|(ment ac)|(system.+state.+changed )|(\[timeout)|(PRM\|1\|D)|(kpr)|(kdp)|(\|lc)|(penalty))" /e /r /s</v>
      </c>
      <c r="AG169" s="1" t="str">
        <f t="shared" si="59"/>
        <v>NW</v>
      </c>
      <c r="AH169" s="96" t="str">
        <f t="shared" si="46"/>
        <v>"%USERPROFILE%\Documents\GitHub\eaglep3\Utilities\RefineRTDCRunTimes.py" --tripid 808-07 --locoid 4026 --swversion DE.1.0.7.0 --startMP 300:58609 --initTime 2016-10-07T07:37:48 --startdatetime 2016-10-07T07:40:49 --delay 1 --endMP 204:787 --enddatetime 2016-10-07T07:57:56 --enforcementcount 0 &gt;&gt;C:\Users\stu\Documents\GitHub\eaglep3-reporting\EC\2016-10-07-refined-times.txt</v>
      </c>
      <c r="AI169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{"issue":{"subject":"","project_id":79,"tracker_id":40,"status_id":1,"priority_id":2,"assigned_to_id":23,"start_date":"2016-10-07","description":"","custom_fields":[{"id":1,"name":"Subdivision","value":"NW"},{"id":4,"name":"Milepost","value":"0.0787"},{"id":17,"name":"Train ID","value":"808-07"},{"id":16,"name":"Locomotive ID","value":"4026"},{"id":130,"name":"Impact","value":""},{"id":150,"name":"Time of Event (Mountain Time)","value":"07:57:56"},{"id":151,"name":"Denver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668</v>
      </c>
      <c r="B170" s="7">
        <v>4053</v>
      </c>
      <c r="C170" s="24" t="s">
        <v>106</v>
      </c>
      <c r="D170" s="24" t="s">
        <v>660</v>
      </c>
      <c r="E170" s="15">
        <v>42650.321666666663</v>
      </c>
      <c r="F170" s="15">
        <v>42650.327407407407</v>
      </c>
      <c r="G170" s="7">
        <v>1</v>
      </c>
      <c r="H170" s="15" t="s">
        <v>304</v>
      </c>
      <c r="I170" s="15">
        <v>42650.337488425925</v>
      </c>
      <c r="J170" s="7">
        <v>0</v>
      </c>
      <c r="K170" s="117" t="str">
        <f t="shared" si="48"/>
        <v>4053/4054</v>
      </c>
      <c r="L170" s="24" t="str">
        <f>VLOOKUP(A170,'Trips&amp;Operators'!$C$1:$E$10000,3,FALSE)</f>
        <v>STRICKLAND</v>
      </c>
      <c r="M170" s="6">
        <f t="shared" si="49"/>
        <v>1.0081018517666962E-2</v>
      </c>
      <c r="N170" s="7">
        <f t="shared" si="66"/>
        <v>14.516666665440425</v>
      </c>
      <c r="O170" s="7"/>
      <c r="P170" s="7"/>
      <c r="Q170" s="25"/>
      <c r="R170" s="25"/>
      <c r="S170" s="37">
        <f t="shared" si="67"/>
        <v>1</v>
      </c>
      <c r="T170" s="52" t="str">
        <f t="shared" si="50"/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06:43:12-0600',mode:absolute,to:'2016-10-07 09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0" s="54" t="str">
        <f t="shared" si="52"/>
        <v>N</v>
      </c>
      <c r="X170" s="164">
        <f t="shared" si="68"/>
        <v>1</v>
      </c>
      <c r="Y170" s="69">
        <f t="shared" si="53"/>
        <v>0.1032</v>
      </c>
      <c r="Z170" s="69">
        <f t="shared" si="54"/>
        <v>5.8952</v>
      </c>
      <c r="AA170" s="69">
        <f t="shared" si="55"/>
        <v>5.7919999999999998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56"/>
        <v>0809-07</v>
      </c>
      <c r="AE170" s="95" t="str">
        <f t="shared" si="57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70" s="92" t="str">
        <f t="shared" si="58"/>
        <v>"C:\Program Files (x86)\AstroGrep\AstroGrep.exe" /spath="%USERPROFILE%\AppData\Local\Temp\OnboardLogs" /stypes="app*4053*20161007*" /stext=" 14:.+((SYSTEM_STATE.+slice.+state.+changed )|(ment ac)|(system.+state.+changed )|(\[timeout)|(PRM\|1\|D)|(kpr)|(kdp)|(\|lc)|(penalty))" /e /r /s</v>
      </c>
      <c r="AG170" s="1" t="str">
        <f t="shared" si="59"/>
        <v>NW</v>
      </c>
      <c r="AH170" s="96" t="str">
        <f t="shared" si="46"/>
        <v>"%USERPROFILE%\Documents\GitHub\eaglep3\Utilities\RefineRTDCRunTimes.py" --tripid 809-07 --locoid 4053 --swversion DE.1.0.7.0 --startMP 204:1032 --initTime 2016-10-07T07:43:12 --startdatetime 2016-10-07T07:51:28 --delay 1 --endMP 300:58952 --enddatetime 2016-10-07T08:05:59 --enforcementcount 0 &gt;&gt;C:\Users\stu\Documents\GitHub\eaglep3-reporting\EC\2016-10-07-refined-times.txt</v>
      </c>
      <c r="AI170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{"issue":{"subject":"","project_id":79,"tracker_id":40,"status_id":1,"priority_id":2,"assigned_to_id":23,"start_date":"2016-10-07","description":"","custom_fields":[{"id":1,"name":"Subdivision","value":"NW"},{"id":4,"name":"Milepost","value":"5.8952"},{"id":17,"name":"Train ID","value":"809-07"},{"id":16,"name":"Locomotive ID","value":"4053"},{"id":130,"name":"Impact","value":""},{"id":150,"name":"Time of Event (Mountain Time)","value":"08:05:59"},{"id":151,"name":"Denver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669</v>
      </c>
      <c r="B171" s="7">
        <v>4054</v>
      </c>
      <c r="C171" s="24" t="s">
        <v>106</v>
      </c>
      <c r="D171" s="24" t="s">
        <v>670</v>
      </c>
      <c r="E171" s="15">
        <v>42650.338680555556</v>
      </c>
      <c r="F171" s="15">
        <v>42650.340173611112</v>
      </c>
      <c r="G171" s="7">
        <v>1</v>
      </c>
      <c r="H171" s="15" t="s">
        <v>631</v>
      </c>
      <c r="I171" s="15">
        <v>42650.352037037039</v>
      </c>
      <c r="J171" s="7">
        <v>0</v>
      </c>
      <c r="K171" s="117" t="str">
        <f t="shared" si="48"/>
        <v>4053/4054</v>
      </c>
      <c r="L171" s="24" t="str">
        <f>VLOOKUP(A171,'Trips&amp;Operators'!$C$1:$E$10000,3,FALSE)</f>
        <v>STRICKLAND</v>
      </c>
      <c r="M171" s="6">
        <f t="shared" si="49"/>
        <v>1.1863425927003846E-2</v>
      </c>
      <c r="N171" s="7">
        <f t="shared" si="66"/>
        <v>17.083333334885538</v>
      </c>
      <c r="O171" s="7"/>
      <c r="P171" s="7"/>
      <c r="Q171" s="25"/>
      <c r="R171" s="25"/>
      <c r="S171" s="37">
        <f t="shared" si="67"/>
        <v>1</v>
      </c>
      <c r="T171" s="52" t="str">
        <f t="shared" si="50"/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07:07:42-0600',mode:absolute,to:'2016-10-07 09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1" s="54" t="str">
        <f t="shared" si="52"/>
        <v>N</v>
      </c>
      <c r="X171" s="164">
        <f t="shared" si="68"/>
        <v>1</v>
      </c>
      <c r="Y171" s="69">
        <f t="shared" si="53"/>
        <v>5.8634000000000004</v>
      </c>
      <c r="Z171" s="69">
        <f t="shared" si="54"/>
        <v>7.4800000000000005E-2</v>
      </c>
      <c r="AA171" s="69">
        <f t="shared" si="55"/>
        <v>5.7886000000000006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56"/>
        <v>0810-07</v>
      </c>
      <c r="AE171" s="95" t="str">
        <f t="shared" si="57"/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71" s="92" t="str">
        <f t="shared" si="58"/>
        <v>"C:\Program Files (x86)\AstroGrep\AstroGrep.exe" /spath="%USERPROFILE%\AppData\Local\Temp\OnboardLogs" /stypes="app*4054*20161007*" /stext=" 14:.+((SYSTEM_STATE.+slice.+state.+changed )|(ment ac)|(system.+state.+changed )|(\[timeout)|(PRM\|1\|D)|(kpr)|(kdp)|(\|lc)|(penalty))" /e /r /s</v>
      </c>
      <c r="AG171" s="1" t="str">
        <f t="shared" si="59"/>
        <v>NW</v>
      </c>
      <c r="AH171" s="96" t="str">
        <f t="shared" si="46"/>
        <v>"%USERPROFILE%\Documents\GitHub\eaglep3\Utilities\RefineRTDCRunTimes.py" --tripid 810-07 --locoid 4054 --swversion DE.1.0.7.0 --startMP 300:58634 --initTime 2016-10-07T08:07:42 --startdatetime 2016-10-07T08:09:51 --delay 1 --endMP 204:748 --enddatetime 2016-10-07T08:26:56 --enforcementcount 0 &gt;&gt;C:\Users\stu\Documents\GitHub\eaglep3-reporting\EC\2016-10-07-refined-times.txt</v>
      </c>
      <c r="AI171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{"issue":{"subject":"","project_id":79,"tracker_id":40,"status_id":1,"priority_id":2,"assigned_to_id":23,"start_date":"2016-10-07","description":"","custom_fields":[{"id":1,"name":"Subdivision","value":"NW"},{"id":4,"name":"Milepost","value":"0.0748"},{"id":17,"name":"Train ID","value":"810-07"},{"id":16,"name":"Locomotive ID","value":"4054"},{"id":130,"name":"Impact","value":""},{"id":150,"name":"Time of Event (Mountain Time)","value":"08:26:56"},{"id":151,"name":"Denver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671</v>
      </c>
      <c r="B172" s="7">
        <v>4025</v>
      </c>
      <c r="C172" s="24" t="s">
        <v>106</v>
      </c>
      <c r="D172" s="24" t="s">
        <v>672</v>
      </c>
      <c r="E172" s="15">
        <v>42650.345821759256</v>
      </c>
      <c r="F172" s="15">
        <v>42650.348287037035</v>
      </c>
      <c r="G172" s="7">
        <v>1</v>
      </c>
      <c r="H172" s="15" t="s">
        <v>673</v>
      </c>
      <c r="I172" s="15">
        <v>42650.357835648145</v>
      </c>
      <c r="J172" s="7">
        <v>0</v>
      </c>
      <c r="K172" s="117" t="str">
        <f t="shared" si="48"/>
        <v>4025/4026</v>
      </c>
      <c r="L172" s="24" t="str">
        <f>VLOOKUP(A172,'Trips&amp;Operators'!$C$1:$E$10000,3,FALSE)</f>
        <v>BEAM</v>
      </c>
      <c r="M172" s="6">
        <f t="shared" si="49"/>
        <v>9.5486111094942316E-3</v>
      </c>
      <c r="N172" s="7">
        <f t="shared" si="66"/>
        <v>13.749999997671694</v>
      </c>
      <c r="O172" s="7"/>
      <c r="P172" s="7"/>
      <c r="Q172" s="25"/>
      <c r="R172" s="25"/>
      <c r="S172" s="37">
        <f t="shared" si="67"/>
        <v>1</v>
      </c>
      <c r="T172" s="52" t="str">
        <f t="shared" si="50"/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07:17:59-0600',mode:absolute,to:'2016-10-07 09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2" s="54" t="str">
        <f t="shared" si="52"/>
        <v>N</v>
      </c>
      <c r="X172" s="164">
        <f t="shared" si="68"/>
        <v>1</v>
      </c>
      <c r="Y172" s="69">
        <f t="shared" si="53"/>
        <v>0.1055</v>
      </c>
      <c r="Z172" s="69">
        <f t="shared" si="54"/>
        <v>5.8906999999999998</v>
      </c>
      <c r="AA172" s="69">
        <f t="shared" si="55"/>
        <v>5.7851999999999997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56"/>
        <v>0811-07</v>
      </c>
      <c r="AE172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72" s="92" t="str">
        <f t="shared" si="58"/>
        <v>"C:\Program Files (x86)\AstroGrep\AstroGrep.exe" /spath="%USERPROFILE%\AppData\Local\Temp\OnboardLogs" /stypes="app*4025*20161007*" /stext=" 14:.+((SYSTEM_STATE.+slice.+state.+changed )|(ment ac)|(system.+state.+changed )|(\[timeout)|(PRM\|1\|D)|(kpr)|(kdp)|(\|lc)|(penalty))" /e /r /s</v>
      </c>
      <c r="AG172" s="1" t="str">
        <f t="shared" si="59"/>
        <v>NW</v>
      </c>
      <c r="AH172" s="96" t="str">
        <f t="shared" si="46"/>
        <v>"%USERPROFILE%\Documents\GitHub\eaglep3\Utilities\RefineRTDCRunTimes.py" --tripid 811-07 --locoid 4025 --swversion DE.1.0.7.0 --startMP 204:1055 --initTime 2016-10-07T08:17:59 --startdatetime 2016-10-07T08:21:32 --delay 1 --endMP 300:58907 --enddatetime 2016-10-07T08:35:17 --enforcementcount 0 &gt;&gt;C:\Users\stu\Documents\GitHub\eaglep3-reporting\EC\2016-10-07-refined-times.txt</v>
      </c>
      <c r="AI172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{"issue":{"subject":"","project_id":79,"tracker_id":40,"status_id":1,"priority_id":2,"assigned_to_id":23,"start_date":"2016-10-07","description":"","custom_fields":[{"id":1,"name":"Subdivision","value":"NW"},{"id":4,"name":"Milepost","value":"5.8907"},{"id":17,"name":"Train ID","value":"811-07"},{"id":16,"name":"Locomotive ID","value":"4025"},{"id":130,"name":"Impact","value":""},{"id":150,"name":"Time of Event (Mountain Time)","value":"08:35:17"},{"id":151,"name":"Denver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674</v>
      </c>
      <c r="B173" s="7">
        <v>4026</v>
      </c>
      <c r="C173" s="24" t="s">
        <v>106</v>
      </c>
      <c r="D173" s="24" t="s">
        <v>675</v>
      </c>
      <c r="E173" s="15">
        <v>42650.358680555553</v>
      </c>
      <c r="F173" s="15">
        <v>42650.360115740739</v>
      </c>
      <c r="G173" s="7">
        <v>1</v>
      </c>
      <c r="H173" s="15" t="s">
        <v>676</v>
      </c>
      <c r="I173" s="15">
        <v>42650.372106481482</v>
      </c>
      <c r="J173" s="7">
        <v>0</v>
      </c>
      <c r="K173" s="117" t="str">
        <f t="shared" si="48"/>
        <v>4025/4026</v>
      </c>
      <c r="L173" s="24" t="str">
        <f>VLOOKUP(A173,'Trips&amp;Operators'!$C$1:$E$10000,3,FALSE)</f>
        <v>BEAM</v>
      </c>
      <c r="M173" s="6">
        <f t="shared" si="49"/>
        <v>1.1990740742476191E-2</v>
      </c>
      <c r="N173" s="7">
        <f t="shared" si="66"/>
        <v>17.266666669165716</v>
      </c>
      <c r="O173" s="7"/>
      <c r="P173" s="7"/>
      <c r="Q173" s="25"/>
      <c r="R173" s="25"/>
      <c r="S173" s="37">
        <f t="shared" si="67"/>
        <v>1</v>
      </c>
      <c r="T173" s="52" t="str">
        <f t="shared" si="50"/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07:36:30-0600',mode:absolute,to:'2016-10-07 09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3" s="54" t="str">
        <f t="shared" si="52"/>
        <v>N</v>
      </c>
      <c r="X173" s="164">
        <f t="shared" si="68"/>
        <v>1</v>
      </c>
      <c r="Y173" s="69">
        <f t="shared" si="53"/>
        <v>5.8582999999999998</v>
      </c>
      <c r="Z173" s="69">
        <f t="shared" si="54"/>
        <v>6.7000000000000004E-2</v>
      </c>
      <c r="AA173" s="69">
        <f t="shared" si="55"/>
        <v>5.7912999999999997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56"/>
        <v>0812-07</v>
      </c>
      <c r="AE173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73" s="92" t="str">
        <f t="shared" si="58"/>
        <v>"C:\Program Files (x86)\AstroGrep\AstroGrep.exe" /spath="%USERPROFILE%\AppData\Local\Temp\OnboardLogs" /stypes="app*4026*20161007*" /stext=" 14:.+((SYSTEM_STATE.+slice.+state.+changed )|(ment ac)|(system.+state.+changed )|(\[timeout)|(PRM\|1\|D)|(kpr)|(kdp)|(\|lc)|(penalty))" /e /r /s</v>
      </c>
      <c r="AG173" s="1" t="str">
        <f t="shared" si="59"/>
        <v>NW</v>
      </c>
      <c r="AH173" s="96" t="str">
        <f t="shared" si="46"/>
        <v>"%USERPROFILE%\Documents\GitHub\eaglep3\Utilities\RefineRTDCRunTimes.py" --tripid 812-07 --locoid 4026 --swversion DE.1.0.7.0 --startMP 300:58583 --initTime 2016-10-07T08:36:30 --startdatetime 2016-10-07T08:38:34 --delay 1 --endMP 204:670 --enddatetime 2016-10-07T08:55:50 --enforcementcount 0 &gt;&gt;C:\Users\stu\Documents\GitHub\eaglep3-reporting\EC\2016-10-07-refined-times.txt</v>
      </c>
      <c r="AI173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{"issue":{"subject":"","project_id":79,"tracker_id":40,"status_id":1,"priority_id":2,"assigned_to_id":23,"start_date":"2016-10-07","description":"","custom_fields":[{"id":1,"name":"Subdivision","value":"NW"},{"id":4,"name":"Milepost","value":"0.067"},{"id":17,"name":"Train ID","value":"812-07"},{"id":16,"name":"Locomotive ID","value":"4026"},{"id":130,"name":"Impact","value":""},{"id":150,"name":"Time of Event (Mountain Time)","value":"08:55:50"},{"id":151,"name":"Denver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677</v>
      </c>
      <c r="B174" s="7">
        <v>4025</v>
      </c>
      <c r="C174" s="24" t="s">
        <v>106</v>
      </c>
      <c r="D174" s="24" t="s">
        <v>282</v>
      </c>
      <c r="E174" s="15">
        <v>42650.382199074076</v>
      </c>
      <c r="F174" s="15">
        <v>42650.389768518522</v>
      </c>
      <c r="G174" s="7">
        <v>1</v>
      </c>
      <c r="H174" s="15" t="s">
        <v>678</v>
      </c>
      <c r="I174" s="15">
        <v>42650.399537037039</v>
      </c>
      <c r="J174" s="7">
        <v>0</v>
      </c>
      <c r="K174" s="117" t="str">
        <f t="shared" si="48"/>
        <v>4025/4026</v>
      </c>
      <c r="L174" s="24" t="str">
        <f>VLOOKUP(A174,'Trips&amp;Operators'!$C$1:$E$10000,3,FALSE)</f>
        <v>BEAM</v>
      </c>
      <c r="M174" s="6">
        <f t="shared" si="49"/>
        <v>9.7685185173759237E-3</v>
      </c>
      <c r="N174" s="7">
        <f t="shared" si="66"/>
        <v>14.06666666502133</v>
      </c>
      <c r="O174" s="7"/>
      <c r="P174" s="7"/>
      <c r="Q174" s="25"/>
      <c r="R174" s="25"/>
      <c r="S174" s="37">
        <f t="shared" si="67"/>
        <v>1</v>
      </c>
      <c r="T174" s="52" t="str">
        <f t="shared" si="50"/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08:10:22-0600',mode:absolute,to:'2016-10-07 10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4" s="54" t="str">
        <f t="shared" si="52"/>
        <v>N</v>
      </c>
      <c r="X174" s="164">
        <f t="shared" si="68"/>
        <v>1</v>
      </c>
      <c r="Y174" s="69">
        <f t="shared" si="53"/>
        <v>9.7199999999999995E-2</v>
      </c>
      <c r="Z174" s="69">
        <f t="shared" si="54"/>
        <v>5.8925999999999998</v>
      </c>
      <c r="AA174" s="69">
        <f t="shared" si="55"/>
        <v>5.7953999999999999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56"/>
        <v>0813-07</v>
      </c>
      <c r="AE174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74" s="92" t="str">
        <f t="shared" si="58"/>
        <v>"C:\Program Files (x86)\AstroGrep\AstroGrep.exe" /spath="%USERPROFILE%\AppData\Local\Temp\OnboardLogs" /stypes="app*4025*20161007*" /stext=" 15:.+((SYSTEM_STATE.+slice.+state.+changed )|(ment ac)|(system.+state.+changed )|(\[timeout)|(PRM\|1\|D)|(kpr)|(kdp)|(\|lc)|(penalty))" /e /r /s</v>
      </c>
      <c r="AG174" s="1" t="str">
        <f t="shared" si="59"/>
        <v>NW</v>
      </c>
      <c r="AH174" s="96" t="str">
        <f t="shared" si="46"/>
        <v>"%USERPROFILE%\Documents\GitHub\eaglep3\Utilities\RefineRTDCRunTimes.py" --tripid 813-07 --locoid 4025 --swversion DE.1.0.7.0 --startMP 204:972 --initTime 2016-10-07T09:10:22 --startdatetime 2016-10-07T09:21:16 --delay 1 --endMP 300:58926 --enddatetime 2016-10-07T09:35:20 --enforcementcount 0 &gt;&gt;C:\Users\stu\Documents\GitHub\eaglep3-reporting\EC\2016-10-07-refined-times.txt</v>
      </c>
      <c r="AI174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{"issue":{"subject":"","project_id":79,"tracker_id":40,"status_id":1,"priority_id":2,"assigned_to_id":23,"start_date":"2016-10-07","description":"","custom_fields":[{"id":1,"name":"Subdivision","value":"NW"},{"id":4,"name":"Milepost","value":"5.8926"},{"id":17,"name":"Train ID","value":"813-07"},{"id":16,"name":"Locomotive ID","value":"4025"},{"id":130,"name":"Impact","value":""},{"id":150,"name":"Time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679</v>
      </c>
      <c r="B175" s="7">
        <v>4026</v>
      </c>
      <c r="C175" s="24" t="s">
        <v>106</v>
      </c>
      <c r="D175" s="24" t="s">
        <v>680</v>
      </c>
      <c r="E175" s="15">
        <v>42650.400509259256</v>
      </c>
      <c r="F175" s="15">
        <v>42650.40185185185</v>
      </c>
      <c r="G175" s="7">
        <v>1</v>
      </c>
      <c r="H175" s="15" t="s">
        <v>681</v>
      </c>
      <c r="I175" s="15">
        <v>42650.413969907408</v>
      </c>
      <c r="J175" s="7">
        <v>0</v>
      </c>
      <c r="K175" s="117" t="str">
        <f t="shared" si="48"/>
        <v>4025/4026</v>
      </c>
      <c r="L175" s="24" t="str">
        <f>VLOOKUP(A175,'Trips&amp;Operators'!$C$1:$E$10000,3,FALSE)</f>
        <v>BEAM</v>
      </c>
      <c r="M175" s="6">
        <f t="shared" si="49"/>
        <v>1.2118055557948537E-2</v>
      </c>
      <c r="N175" s="7">
        <f t="shared" si="66"/>
        <v>17.450000003445894</v>
      </c>
      <c r="O175" s="7"/>
      <c r="P175" s="7"/>
      <c r="Q175" s="25"/>
      <c r="R175" s="25"/>
      <c r="S175" s="37">
        <f t="shared" si="67"/>
        <v>1</v>
      </c>
      <c r="T175" s="52" t="str">
        <f t="shared" si="50"/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08:36:44-0600',mode:absolute,to:'2016-10-07 10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5" s="54" t="str">
        <f t="shared" si="52"/>
        <v>N</v>
      </c>
      <c r="X175" s="164">
        <f t="shared" si="68"/>
        <v>1</v>
      </c>
      <c r="Y175" s="69">
        <f t="shared" si="53"/>
        <v>5.8601999999999999</v>
      </c>
      <c r="Z175" s="69">
        <f t="shared" si="54"/>
        <v>8.3199999999999996E-2</v>
      </c>
      <c r="AA175" s="69">
        <f t="shared" si="55"/>
        <v>5.7770000000000001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56"/>
        <v>0814-07</v>
      </c>
      <c r="AE175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75" s="92" t="str">
        <f t="shared" si="58"/>
        <v>"C:\Program Files (x86)\AstroGrep\AstroGrep.exe" /spath="%USERPROFILE%\AppData\Local\Temp\OnboardLogs" /stypes="app*4026*20161007*" /stext=" 15:.+((SYSTEM_STATE.+slice.+state.+changed )|(ment ac)|(system.+state.+changed )|(\[timeout)|(PRM\|1\|D)|(kpr)|(kdp)|(\|lc)|(penalty))" /e /r /s</v>
      </c>
      <c r="AG175" s="1" t="str">
        <f t="shared" si="59"/>
        <v>NW</v>
      </c>
      <c r="AH175" s="96" t="str">
        <f t="shared" si="46"/>
        <v>"%USERPROFILE%\Documents\GitHub\eaglep3\Utilities\RefineRTDCRunTimes.py" --tripid 814-07 --locoid 4026 --swversion DE.1.0.7.0 --startMP 300:58602 --initTime 2016-10-07T09:36:44 --startdatetime 2016-10-07T09:38:40 --delay 1 --endMP 204:832 --enddatetime 2016-10-07T09:56:07 --enforcementcount 0 &gt;&gt;C:\Users\stu\Documents\GitHub\eaglep3-reporting\EC\2016-10-07-refined-times.txt</v>
      </c>
      <c r="AI175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{"issue":{"subject":"","project_id":79,"tracker_id":40,"status_id":1,"priority_id":2,"assigned_to_id":23,"start_date":"2016-10-07","description":"","custom_fields":[{"id":1,"name":"Subdivision","value":"NW"},{"id":4,"name":"Milepost","value":"0.0832"},{"id":17,"name":"Train ID","value":"814-07"},{"id":16,"name":"Locomotive ID","value":"4026"},{"id":130,"name":"Impact","value":""},{"id":150,"name":"Time of Event (Mountain Time)","value":"09:56:07"},{"id":151,"name":"Denver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682</v>
      </c>
      <c r="B176" s="7">
        <v>4025</v>
      </c>
      <c r="C176" s="24" t="s">
        <v>106</v>
      </c>
      <c r="D176" s="24" t="s">
        <v>683</v>
      </c>
      <c r="E176" s="15">
        <v>42650.427824074075</v>
      </c>
      <c r="F176" s="15">
        <v>42650.43141203704</v>
      </c>
      <c r="G176" s="7">
        <v>1</v>
      </c>
      <c r="H176" s="15" t="s">
        <v>684</v>
      </c>
      <c r="I176" s="15">
        <v>42650.440775462965</v>
      </c>
      <c r="J176" s="7">
        <v>0</v>
      </c>
      <c r="K176" s="117" t="str">
        <f t="shared" si="48"/>
        <v>4025/4026</v>
      </c>
      <c r="L176" s="24" t="str">
        <f>VLOOKUP(A176,'Trips&amp;Operators'!$C$1:$E$10000,3,FALSE)</f>
        <v>BEAM</v>
      </c>
      <c r="M176" s="6">
        <f t="shared" si="49"/>
        <v>9.3634259246755391E-3</v>
      </c>
      <c r="N176" s="7">
        <f t="shared" si="66"/>
        <v>13.483333331532776</v>
      </c>
      <c r="O176" s="7"/>
      <c r="P176" s="7"/>
      <c r="Q176" s="25"/>
      <c r="R176" s="25"/>
      <c r="S176" s="37">
        <f t="shared" si="67"/>
        <v>1</v>
      </c>
      <c r="T176" s="52" t="str">
        <f t="shared" si="50"/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09:16:04-0600',mode:absolute,to:'2016-10-07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6" s="54" t="str">
        <f t="shared" si="52"/>
        <v>N</v>
      </c>
      <c r="X176" s="164">
        <f t="shared" si="68"/>
        <v>1</v>
      </c>
      <c r="Y176" s="69">
        <f t="shared" si="53"/>
        <v>0.1133</v>
      </c>
      <c r="Z176" s="69">
        <f t="shared" si="54"/>
        <v>5.8998999999999997</v>
      </c>
      <c r="AA176" s="69">
        <f t="shared" si="55"/>
        <v>5.7866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56"/>
        <v>0815-07</v>
      </c>
      <c r="AE176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76" s="92" t="str">
        <f t="shared" si="58"/>
        <v>"C:\Program Files (x86)\AstroGrep\AstroGrep.exe" /spath="%USERPROFILE%\AppData\Local\Temp\OnboardLogs" /stypes="app*4025*20161007*" /stext=" 16:.+((SYSTEM_STATE.+slice.+state.+changed )|(ment ac)|(system.+state.+changed )|(\[timeout)|(PRM\|1\|D)|(kpr)|(kdp)|(\|lc)|(penalty))" /e /r /s</v>
      </c>
      <c r="AG176" s="1" t="str">
        <f t="shared" si="59"/>
        <v>NW</v>
      </c>
      <c r="AH176" s="96" t="str">
        <f t="shared" si="46"/>
        <v>"%USERPROFILE%\Documents\GitHub\eaglep3\Utilities\RefineRTDCRunTimes.py" --tripid 815-07 --locoid 4025 --swversion DE.1.0.7.0 --startMP 204:1133 --initTime 2016-10-07T10:16:04 --startdatetime 2016-10-07T10:21:14 --delay 1 --endMP 300:58999 --enddatetime 2016-10-07T10:34:43 --enforcementcount 0 &gt;&gt;C:\Users\stu\Documents\GitHub\eaglep3-reporting\EC\2016-10-07-refined-times.txt</v>
      </c>
      <c r="AI176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{"issue":{"subject":"","project_id":79,"tracker_id":40,"status_id":1,"priority_id":2,"assigned_to_id":23,"start_date":"2016-10-07","description":"","custom_fields":[{"id":1,"name":"Subdivision","value":"NW"},{"id":4,"name":"Milepost","value":"5.8999"},{"id":17,"name":"Train ID","value":"815-07"},{"id":16,"name":"Locomotive ID","value":"4025"},{"id":130,"name":"Impact","value":""},{"id":150,"name":"Time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685</v>
      </c>
      <c r="B177" s="7">
        <v>4026</v>
      </c>
      <c r="C177" s="24" t="s">
        <v>106</v>
      </c>
      <c r="D177" s="24" t="s">
        <v>686</v>
      </c>
      <c r="E177" s="15">
        <v>42650.442245370374</v>
      </c>
      <c r="F177" s="15">
        <v>42650.443368055552</v>
      </c>
      <c r="G177" s="7">
        <v>1</v>
      </c>
      <c r="H177" s="15" t="s">
        <v>687</v>
      </c>
      <c r="I177" s="15">
        <v>42650.454768518517</v>
      </c>
      <c r="J177" s="7">
        <v>0</v>
      </c>
      <c r="K177" s="117" t="str">
        <f t="shared" si="48"/>
        <v>4025/4026</v>
      </c>
      <c r="L177" s="24" t="str">
        <f>VLOOKUP(A177,'Trips&amp;Operators'!$C$1:$E$10000,3,FALSE)</f>
        <v>BEAM</v>
      </c>
      <c r="M177" s="6">
        <f t="shared" si="49"/>
        <v>1.1400462964957114E-2</v>
      </c>
      <c r="N177" s="7">
        <f t="shared" si="66"/>
        <v>16.416666669538245</v>
      </c>
      <c r="O177" s="7"/>
      <c r="P177" s="7"/>
      <c r="Q177" s="25"/>
      <c r="R177" s="25"/>
      <c r="S177" s="37">
        <f t="shared" si="67"/>
        <v>1</v>
      </c>
      <c r="T177" s="52" t="str">
        <f t="shared" si="50"/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09:36:50-0600',mode:absolute,to:'2016-10-07 11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7" s="54" t="str">
        <f t="shared" si="52"/>
        <v>N</v>
      </c>
      <c r="X177" s="164">
        <f t="shared" si="68"/>
        <v>1</v>
      </c>
      <c r="Y177" s="69">
        <f t="shared" si="53"/>
        <v>5.8678999999999997</v>
      </c>
      <c r="Z177" s="69">
        <f t="shared" si="54"/>
        <v>7.6799999999999993E-2</v>
      </c>
      <c r="AA177" s="69">
        <f t="shared" si="55"/>
        <v>5.7910999999999992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56"/>
        <v>0816-07</v>
      </c>
      <c r="AE177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77" s="92" t="str">
        <f t="shared" si="58"/>
        <v>"C:\Program Files (x86)\AstroGrep\AstroGrep.exe" /spath="%USERPROFILE%\AppData\Local\Temp\OnboardLogs" /stypes="app*4026*20161007*" /stext=" 16:.+((SYSTEM_STATE.+slice.+state.+changed )|(ment ac)|(system.+state.+changed )|(\[timeout)|(PRM\|1\|D)|(kpr)|(kdp)|(\|lc)|(penalty))" /e /r /s</v>
      </c>
      <c r="AG177" s="1" t="str">
        <f t="shared" si="59"/>
        <v>NW</v>
      </c>
      <c r="AH177" s="96" t="str">
        <f t="shared" si="46"/>
        <v>"%USERPROFILE%\Documents\GitHub\eaglep3\Utilities\RefineRTDCRunTimes.py" --tripid 816-07 --locoid 4026 --swversion DE.1.0.7.0 --startMP 300:58679 --initTime 2016-10-07T10:36:50 --startdatetime 2016-10-07T10:38:27 --delay 1 --endMP 204:768 --enddatetime 2016-10-07T10:54:52 --enforcementcount 0 &gt;&gt;C:\Users\stu\Documents\GitHub\eaglep3-reporting\EC\2016-10-07-refined-times.txt</v>
      </c>
      <c r="AI177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{"issue":{"subject":"","project_id":79,"tracker_id":40,"status_id":1,"priority_id":2,"assigned_to_id":23,"start_date":"2016-10-07","description":"","custom_fields":[{"id":1,"name":"Subdivision","value":"NW"},{"id":4,"name":"Milepost","value":"0.0768"},{"id":17,"name":"Train ID","value":"816-07"},{"id":16,"name":"Locomotive ID","value":"4026"},{"id":130,"name":"Impact","value":""},{"id":150,"name":"Time of Event (Mountain Time)","value":"10:54:52"},{"id":151,"name":"Denver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688</v>
      </c>
      <c r="B178" s="7">
        <v>4025</v>
      </c>
      <c r="C178" s="24" t="s">
        <v>106</v>
      </c>
      <c r="D178" s="24" t="s">
        <v>689</v>
      </c>
      <c r="E178" s="15">
        <v>42650.470520833333</v>
      </c>
      <c r="F178" s="15">
        <v>42650.473090277781</v>
      </c>
      <c r="G178" s="7">
        <v>1</v>
      </c>
      <c r="H178" s="15" t="s">
        <v>690</v>
      </c>
      <c r="I178" s="15">
        <v>42650.483124999999</v>
      </c>
      <c r="J178" s="7">
        <v>0</v>
      </c>
      <c r="K178" s="117" t="str">
        <f t="shared" si="48"/>
        <v>4025/4026</v>
      </c>
      <c r="L178" s="24" t="str">
        <f>VLOOKUP(A178,'Trips&amp;Operators'!$C$1:$E$10000,3,FALSE)</f>
        <v>BEAM</v>
      </c>
      <c r="M178" s="6">
        <f t="shared" si="49"/>
        <v>1.003472221782431E-2</v>
      </c>
      <c r="N178" s="7">
        <f t="shared" si="66"/>
        <v>14.449999993667006</v>
      </c>
      <c r="O178" s="7"/>
      <c r="P178" s="7"/>
      <c r="Q178" s="25"/>
      <c r="R178" s="25"/>
      <c r="S178" s="37">
        <f t="shared" si="67"/>
        <v>1</v>
      </c>
      <c r="T178" s="52" t="str">
        <f t="shared" si="50"/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10:17:33-0600',mode:absolute,to:'2016-10-07 12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8" s="54" t="str">
        <f t="shared" si="52"/>
        <v>N</v>
      </c>
      <c r="X178" s="164">
        <f t="shared" si="68"/>
        <v>1</v>
      </c>
      <c r="Y178" s="69">
        <f t="shared" si="53"/>
        <v>0.1062</v>
      </c>
      <c r="Z178" s="69">
        <f t="shared" si="54"/>
        <v>5.8920000000000003</v>
      </c>
      <c r="AA178" s="69">
        <f t="shared" si="55"/>
        <v>5.7858000000000001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56"/>
        <v>0817-07</v>
      </c>
      <c r="AE178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78" s="92" t="str">
        <f t="shared" si="58"/>
        <v>"C:\Program Files (x86)\AstroGrep\AstroGrep.exe" /spath="%USERPROFILE%\AppData\Local\Temp\OnboardLogs" /stypes="app*4025*20161007*" /stext=" 17:.+((SYSTEM_STATE.+slice.+state.+changed )|(ment ac)|(system.+state.+changed )|(\[timeout)|(PRM\|1\|D)|(kpr)|(kdp)|(\|lc)|(penalty))" /e /r /s</v>
      </c>
      <c r="AG178" s="1" t="str">
        <f t="shared" si="59"/>
        <v>NW</v>
      </c>
      <c r="AH178" s="96" t="str">
        <f t="shared" si="46"/>
        <v>"%USERPROFILE%\Documents\GitHub\eaglep3\Utilities\RefineRTDCRunTimes.py" --tripid 817-07 --locoid 4025 --swversion DE.1.0.7.0 --startMP 204:1062 --initTime 2016-10-07T11:17:33 --startdatetime 2016-10-07T11:21:15 --delay 1 --endMP 300:58920 --enddatetime 2016-10-07T11:35:42 --enforcementcount 0 &gt;&gt;C:\Users\stu\Documents\GitHub\eaglep3-reporting\EC\2016-10-07-refined-times.txt</v>
      </c>
      <c r="AI178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ID","value":"817-07"},{"id":16,"name":"Locomotive ID","value":"4025"},{"id":130,"name":"Impact","value":""},{"id":150,"name":"Time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691</v>
      </c>
      <c r="B179" s="7">
        <v>4026</v>
      </c>
      <c r="C179" s="24" t="s">
        <v>106</v>
      </c>
      <c r="D179" s="24" t="s">
        <v>692</v>
      </c>
      <c r="E179" s="15">
        <v>42650.484178240738</v>
      </c>
      <c r="F179" s="15">
        <v>42650.485682870371</v>
      </c>
      <c r="G179" s="7">
        <v>1</v>
      </c>
      <c r="H179" s="15" t="s">
        <v>693</v>
      </c>
      <c r="I179" s="15">
        <v>42650.497453703705</v>
      </c>
      <c r="J179" s="7">
        <v>0</v>
      </c>
      <c r="K179" s="117" t="str">
        <f t="shared" si="48"/>
        <v>4025/4026</v>
      </c>
      <c r="L179" s="24" t="str">
        <f>VLOOKUP(A179,'Trips&amp;Operators'!$C$1:$E$10000,3,FALSE)</f>
        <v>BEAM</v>
      </c>
      <c r="M179" s="6">
        <f t="shared" si="49"/>
        <v>1.1770833334594499E-2</v>
      </c>
      <c r="N179" s="7">
        <f t="shared" si="66"/>
        <v>16.950000001816079</v>
      </c>
      <c r="O179" s="7"/>
      <c r="P179" s="7"/>
      <c r="Q179" s="25"/>
      <c r="R179" s="25"/>
      <c r="S179" s="37">
        <f t="shared" si="67"/>
        <v>1</v>
      </c>
      <c r="T179" s="52" t="str">
        <f t="shared" si="50"/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10:37:13-0600',mode:absolute,to:'2016-10-07 12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79" s="54" t="str">
        <f t="shared" si="52"/>
        <v>N</v>
      </c>
      <c r="X179" s="164">
        <f t="shared" si="68"/>
        <v>1</v>
      </c>
      <c r="Y179" s="69">
        <f t="shared" si="53"/>
        <v>5.8611000000000004</v>
      </c>
      <c r="Z179" s="69">
        <f t="shared" si="54"/>
        <v>7.0099999999999996E-2</v>
      </c>
      <c r="AA179" s="69">
        <f t="shared" si="55"/>
        <v>5.7910000000000004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56"/>
        <v>0818-07</v>
      </c>
      <c r="AE179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79" s="92" t="str">
        <f t="shared" si="58"/>
        <v>"C:\Program Files (x86)\AstroGrep\AstroGrep.exe" /spath="%USERPROFILE%\AppData\Local\Temp\OnboardLogs" /stypes="app*4026*20161007*" /stext=" 17:.+((SYSTEM_STATE.+slice.+state.+changed )|(ment ac)|(system.+state.+changed )|(\[timeout)|(PRM\|1\|D)|(kpr)|(kdp)|(\|lc)|(penalty))" /e /r /s</v>
      </c>
      <c r="AG179" s="1" t="str">
        <f t="shared" si="59"/>
        <v>NW</v>
      </c>
      <c r="AH179" s="96" t="str">
        <f t="shared" si="46"/>
        <v>"%USERPROFILE%\Documents\GitHub\eaglep3\Utilities\RefineRTDCRunTimes.py" --tripid 818-07 --locoid 4026 --swversion DE.1.0.7.0 --startMP 300:58611 --initTime 2016-10-07T11:37:13 --startdatetime 2016-10-07T11:39:23 --delay 1 --endMP 204:701 --enddatetime 2016-10-07T11:56:20 --enforcementcount 0 &gt;&gt;C:\Users\stu\Documents\GitHub\eaglep3-reporting\EC\2016-10-07-refined-times.txt</v>
      </c>
      <c r="AI179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{"issue":{"subject":"","project_id":79,"tracker_id":40,"status_id":1,"priority_id":2,"assigned_to_id":23,"start_date":"2016-10-07","description":"","custom_fields":[{"id":1,"name":"Subdivision","value":"NW"},{"id":4,"name":"Milepost","value":"0.0701"},{"id":17,"name":"Train ID","value":"818-07"},{"id":16,"name":"Locomotive ID","value":"4026"},{"id":130,"name":"Impact","value":""},{"id":150,"name":"Time of Event (Mountain Time)","value":"11:56:20"},{"id":151,"name":"Denver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694</v>
      </c>
      <c r="B180" s="7">
        <v>4025</v>
      </c>
      <c r="C180" s="24" t="s">
        <v>106</v>
      </c>
      <c r="D180" s="24" t="s">
        <v>695</v>
      </c>
      <c r="E180" s="15">
        <v>42650.510347222225</v>
      </c>
      <c r="F180" s="15">
        <v>42650.528958333336</v>
      </c>
      <c r="G180" s="7">
        <v>1</v>
      </c>
      <c r="H180" s="15" t="s">
        <v>355</v>
      </c>
      <c r="I180" s="15">
        <v>42650.5390625</v>
      </c>
      <c r="J180" s="7">
        <v>0</v>
      </c>
      <c r="K180" s="117" t="str">
        <f t="shared" si="48"/>
        <v>4025/4026</v>
      </c>
      <c r="L180" s="24" t="str">
        <f>VLOOKUP(A180,'Trips&amp;Operators'!$C$1:$E$10000,3,FALSE)</f>
        <v>BEAM</v>
      </c>
      <c r="M180" s="6">
        <f t="shared" si="49"/>
        <v>1.0104166663950309E-2</v>
      </c>
      <c r="N180" s="7">
        <f t="shared" si="66"/>
        <v>14.549999996088445</v>
      </c>
      <c r="O180" s="7"/>
      <c r="P180" s="7"/>
      <c r="Q180" s="25"/>
      <c r="R180" s="25"/>
      <c r="S180" s="37">
        <f t="shared" si="67"/>
        <v>1</v>
      </c>
      <c r="T180" s="52" t="str">
        <f t="shared" si="50"/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11:14:54-0600',mode:absolute,to:'2016-10-07 13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0" s="54" t="str">
        <f t="shared" si="52"/>
        <v>N</v>
      </c>
      <c r="X180" s="164">
        <f t="shared" si="68"/>
        <v>1</v>
      </c>
      <c r="Y180" s="69">
        <f t="shared" si="53"/>
        <v>9.9000000000000005E-2</v>
      </c>
      <c r="Z180" s="69">
        <f t="shared" si="54"/>
        <v>5.8945999999999996</v>
      </c>
      <c r="AA180" s="69">
        <f t="shared" si="55"/>
        <v>5.7955999999999994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56"/>
        <v>0819-07</v>
      </c>
      <c r="AE180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80" s="92" t="str">
        <f t="shared" si="58"/>
        <v>"C:\Program Files (x86)\AstroGrep\AstroGrep.exe" /spath="%USERPROFILE%\AppData\Local\Temp\OnboardLogs" /stypes="app*4025*20161007*" /stext=" 18:.+((SYSTEM_STATE.+slice.+state.+changed )|(ment ac)|(system.+state.+changed )|(\[timeout)|(PRM\|1\|D)|(kpr)|(kdp)|(\|lc)|(penalty))" /e /r /s</v>
      </c>
      <c r="AG180" s="1" t="str">
        <f t="shared" si="59"/>
        <v>NW</v>
      </c>
      <c r="AH180" s="96" t="str">
        <f t="shared" si="46"/>
        <v>"%USERPROFILE%\Documents\GitHub\eaglep3\Utilities\RefineRTDCRunTimes.py" --tripid 819-07 --locoid 4025 --swversion DE.1.0.7.0 --startMP 204:990 --initTime 2016-10-07T12:14:54 --startdatetime 2016-10-07T12:41:42 --delay 1 --endMP 300:58946 --enddatetime 2016-10-07T12:56:15 --enforcementcount 0 &gt;&gt;C:\Users\stu\Documents\GitHub\eaglep3-reporting\EC\2016-10-07-refined-times.txt</v>
      </c>
      <c r="AI180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{"issue":{"subject":"","project_id":79,"tracker_id":40,"status_id":1,"priority_id":2,"assigned_to_id":23,"start_date":"2016-10-07","description":"","custom_fields":[{"id":1,"name":"Subdivision","value":"NW"},{"id":4,"name":"Milepost","value":"5.8946"},{"id":17,"name":"Train ID","value":"819-07"},{"id":16,"name":"Locomotive ID","value":"4025"},{"id":130,"name":"Impact","value":""},{"id":150,"name":"Time of Event (Mountain Time)","value":"12:56:15"},{"id":151,"name":"Denver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696</v>
      </c>
      <c r="B181" s="7">
        <v>4026</v>
      </c>
      <c r="C181" s="24" t="s">
        <v>106</v>
      </c>
      <c r="D181" s="24" t="s">
        <v>697</v>
      </c>
      <c r="E181" s="15">
        <v>42650.527650462966</v>
      </c>
      <c r="F181" s="15">
        <v>42650.528958333336</v>
      </c>
      <c r="G181" s="7">
        <v>1</v>
      </c>
      <c r="H181" s="15" t="s">
        <v>320</v>
      </c>
      <c r="I181" s="15">
        <v>42650.5390625</v>
      </c>
      <c r="J181" s="7">
        <v>0</v>
      </c>
      <c r="K181" s="117" t="str">
        <f t="shared" si="48"/>
        <v>4025/4026</v>
      </c>
      <c r="L181" s="24" t="str">
        <f>VLOOKUP(A181,'Trips&amp;Operators'!$C$1:$E$10000,3,FALSE)</f>
        <v>BEAM</v>
      </c>
      <c r="M181" s="6">
        <f t="shared" si="49"/>
        <v>1.0104166663950309E-2</v>
      </c>
      <c r="N181" s="7">
        <f t="shared" si="66"/>
        <v>14.549999996088445</v>
      </c>
      <c r="O181" s="7"/>
      <c r="P181" s="7"/>
      <c r="Q181" s="25"/>
      <c r="R181" s="25"/>
      <c r="S181" s="37">
        <f t="shared" si="67"/>
        <v>1</v>
      </c>
      <c r="T181" s="52" t="str">
        <f t="shared" si="50"/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11:39:49-0600',mode:absolute,to:'2016-10-07 13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1" s="54" t="str">
        <f t="shared" si="52"/>
        <v>N</v>
      </c>
      <c r="X181" s="164">
        <f t="shared" si="68"/>
        <v>1</v>
      </c>
      <c r="Y181" s="69">
        <f t="shared" si="53"/>
        <v>5.8630000000000004</v>
      </c>
      <c r="Z181" s="69">
        <f t="shared" si="54"/>
        <v>7.5399999999999995E-2</v>
      </c>
      <c r="AA181" s="69">
        <f t="shared" si="55"/>
        <v>5.7876000000000003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56"/>
        <v>0820-07</v>
      </c>
      <c r="AE181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81" s="92" t="str">
        <f t="shared" si="58"/>
        <v>"C:\Program Files (x86)\AstroGrep\AstroGrep.exe" /spath="%USERPROFILE%\AppData\Local\Temp\OnboardLogs" /stypes="app*4026*20161007*" /stext=" 18:.+((SYSTEM_STATE.+slice.+state.+changed )|(ment ac)|(system.+state.+changed )|(\[timeout)|(PRM\|1\|D)|(kpr)|(kdp)|(\|lc)|(penalty))" /e /r /s</v>
      </c>
      <c r="AG181" s="1" t="str">
        <f t="shared" si="59"/>
        <v>NW</v>
      </c>
      <c r="AH181" s="96" t="str">
        <f t="shared" si="46"/>
        <v>"%USERPROFILE%\Documents\GitHub\eaglep3\Utilities\RefineRTDCRunTimes.py" --tripid 820-07 --locoid 4026 --swversion DE.1.0.7.0 --startMP 300:58630 --initTime 2016-10-07T12:39:49 --startdatetime 2016-10-07T12:41:42 --delay 1 --endMP 204:754 --enddatetime 2016-10-07T12:56:15 --enforcementcount 0 &gt;&gt;C:\Users\stu\Documents\GitHub\eaglep3-reporting\EC\2016-10-07-refined-times.txt</v>
      </c>
      <c r="AI181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{"issue":{"subject":"","project_id":79,"tracker_id":40,"status_id":1,"priority_id":2,"assigned_to_id":23,"start_date":"2016-10-07","description":"","custom_fields":[{"id":1,"name":"Subdivision","value":"NW"},{"id":4,"name":"Milepost","value":"0.0754"},{"id":17,"name":"Train ID","value":"820-07"},{"id":16,"name":"Locomotive ID","value":"4026"},{"id":130,"name":"Impact","value":""},{"id":150,"name":"Time of Event (Mountain Time)","value":"12:56:15"},{"id":151,"name":"Denver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698</v>
      </c>
      <c r="B182" s="7">
        <v>4025</v>
      </c>
      <c r="C182" s="24" t="s">
        <v>106</v>
      </c>
      <c r="D182" s="24" t="s">
        <v>699</v>
      </c>
      <c r="E182" s="15">
        <v>42650.549351851849</v>
      </c>
      <c r="F182" s="15">
        <v>42650.556550925925</v>
      </c>
      <c r="G182" s="7">
        <v>1</v>
      </c>
      <c r="H182" s="15" t="s">
        <v>690</v>
      </c>
      <c r="I182" s="15">
        <v>42650.570023148146</v>
      </c>
      <c r="J182" s="7">
        <v>0</v>
      </c>
      <c r="K182" s="117" t="str">
        <f t="shared" si="48"/>
        <v>4025/4026</v>
      </c>
      <c r="L182" s="24" t="str">
        <f>VLOOKUP(A182,'Trips&amp;Operators'!$C$1:$E$10000,3,FALSE)</f>
        <v>ARVIDSON</v>
      </c>
      <c r="M182" s="6">
        <f t="shared" si="49"/>
        <v>1.3472222221025731E-2</v>
      </c>
      <c r="N182" s="7">
        <f t="shared" si="66"/>
        <v>19.399999998277053</v>
      </c>
      <c r="O182" s="7"/>
      <c r="P182" s="7"/>
      <c r="Q182" s="25"/>
      <c r="R182" s="25"/>
      <c r="S182" s="37">
        <f t="shared" si="67"/>
        <v>1</v>
      </c>
      <c r="T182" s="52" t="str">
        <f t="shared" si="50"/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12:11:04-0600',mode:absolute,to:'2016-10-07 14:40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2" s="54" t="str">
        <f t="shared" si="52"/>
        <v>N</v>
      </c>
      <c r="X182" s="164">
        <f t="shared" si="68"/>
        <v>1</v>
      </c>
      <c r="Y182" s="69">
        <f t="shared" si="53"/>
        <v>0.10489999999999999</v>
      </c>
      <c r="Z182" s="69">
        <f t="shared" si="54"/>
        <v>5.8920000000000003</v>
      </c>
      <c r="AA182" s="69">
        <f t="shared" si="55"/>
        <v>5.7871000000000006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56"/>
        <v>0821-07</v>
      </c>
      <c r="AE182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82" s="92" t="str">
        <f t="shared" si="58"/>
        <v>"C:\Program Files (x86)\AstroGrep\AstroGrep.exe" /spath="%USERPROFILE%\AppData\Local\Temp\OnboardLogs" /stypes="app*4025*20161007*" /stext=" 19:.+((SYSTEM_STATE.+slice.+state.+changed )|(ment ac)|(system.+state.+changed )|(\[timeout)|(PRM\|1\|D)|(kpr)|(kdp)|(\|lc)|(penalty))" /e /r /s</v>
      </c>
      <c r="AG182" s="1" t="str">
        <f t="shared" si="59"/>
        <v>NW</v>
      </c>
      <c r="AH182" s="96" t="str">
        <f t="shared" si="46"/>
        <v>"%USERPROFILE%\Documents\GitHub\eaglep3\Utilities\RefineRTDCRunTimes.py" --tripid 821-07 --locoid 4025 --swversion DE.1.0.7.0 --startMP 204:1049 --initTime 2016-10-07T13:11:04 --startdatetime 2016-10-07T13:21:26 --delay 1 --endMP 300:58920 --enddatetime 2016-10-07T13:40:50 --enforcementcount 0 &gt;&gt;C:\Users\stu\Documents\GitHub\eaglep3-reporting\EC\2016-10-07-refined-times.txt</v>
      </c>
      <c r="AI182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ID","value":"821-07"},{"id":16,"name":"Locomotive ID","value":"4025"},{"id":130,"name":"Impact","value":""},{"id":150,"name":"Time of Event (Mountain Time)","value":"13:40:50"},{"id":151,"name":"Denver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700</v>
      </c>
      <c r="B183" s="7">
        <v>4026</v>
      </c>
      <c r="C183" s="24" t="s">
        <v>106</v>
      </c>
      <c r="D183" s="24" t="s">
        <v>701</v>
      </c>
      <c r="E183" s="15">
        <v>42650.571053240739</v>
      </c>
      <c r="F183" s="15">
        <v>42650.572696759256</v>
      </c>
      <c r="G183" s="7">
        <v>1</v>
      </c>
      <c r="H183" s="15" t="s">
        <v>702</v>
      </c>
      <c r="I183" s="15">
        <v>42650.582199074073</v>
      </c>
      <c r="J183" s="7">
        <v>0</v>
      </c>
      <c r="K183" s="117" t="str">
        <f t="shared" si="48"/>
        <v>4025/4026</v>
      </c>
      <c r="L183" s="24" t="str">
        <f>VLOOKUP(A183,'Trips&amp;Operators'!$C$1:$E$10000,3,FALSE)</f>
        <v>ARVIDSON</v>
      </c>
      <c r="M183" s="6">
        <f t="shared" si="49"/>
        <v>9.5023148169275373E-3</v>
      </c>
      <c r="N183" s="7">
        <f t="shared" si="66"/>
        <v>13.683333336375654</v>
      </c>
      <c r="O183" s="7"/>
      <c r="P183" s="7"/>
      <c r="Q183" s="25"/>
      <c r="R183" s="25"/>
      <c r="S183" s="37">
        <f t="shared" si="67"/>
        <v>1</v>
      </c>
      <c r="T183" s="52" t="str">
        <f t="shared" si="50"/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12:42:19-0600',mode:absolute,to:'2016-10-07 14:58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3" s="54" t="str">
        <f t="shared" si="52"/>
        <v>N</v>
      </c>
      <c r="X183" s="164">
        <f t="shared" si="68"/>
        <v>1</v>
      </c>
      <c r="Y183" s="69">
        <f t="shared" si="53"/>
        <v>5.8597999999999999</v>
      </c>
      <c r="Z183" s="69">
        <f t="shared" si="54"/>
        <v>7.3300000000000004E-2</v>
      </c>
      <c r="AA183" s="69">
        <f t="shared" si="55"/>
        <v>5.7865000000000002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56"/>
        <v>0822-07</v>
      </c>
      <c r="AE183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83" s="92" t="str">
        <f t="shared" si="58"/>
        <v>"C:\Program Files (x86)\AstroGrep\AstroGrep.exe" /spath="%USERPROFILE%\AppData\Local\Temp\OnboardLogs" /stypes="app*4026*20161007*" /stext=" 19:.+((SYSTEM_STATE.+slice.+state.+changed )|(ment ac)|(system.+state.+changed )|(\[timeout)|(PRM\|1\|D)|(kpr)|(kdp)|(\|lc)|(penalty))" /e /r /s</v>
      </c>
      <c r="AG183" s="1" t="str">
        <f t="shared" si="59"/>
        <v>NW</v>
      </c>
      <c r="AH183" s="96" t="str">
        <f t="shared" si="46"/>
        <v>"%USERPROFILE%\Documents\GitHub\eaglep3\Utilities\RefineRTDCRunTimes.py" --tripid 822-07 --locoid 4026 --swversion DE.1.0.7.0 --startMP 300:58598 --initTime 2016-10-07T13:42:19 --startdatetime 2016-10-07T13:44:41 --delay 1 --endMP 204:733 --enddatetime 2016-10-07T13:58:22 --enforcementcount 0 &gt;&gt;C:\Users\stu\Documents\GitHub\eaglep3-reporting\EC\2016-10-07-refined-times.txt</v>
      </c>
      <c r="AI183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{"issue":{"subject":"","project_id":79,"tracker_id":40,"status_id":1,"priority_id":2,"assigned_to_id":23,"start_date":"2016-10-07","description":"","custom_fields":[{"id":1,"name":"Subdivision","value":"NW"},{"id":4,"name":"Milepost","value":"0.0733"},{"id":17,"name":"Train ID","value":"822-07"},{"id":16,"name":"Locomotive ID","value":"4026"},{"id":130,"name":"Impact","value":""},{"id":150,"name":"Time of Event (Mountain Time)","value":"13:58:22"},{"id":151,"name":"Denver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703</v>
      </c>
      <c r="B184" s="7">
        <v>4025</v>
      </c>
      <c r="C184" s="24" t="s">
        <v>106</v>
      </c>
      <c r="D184" s="24" t="s">
        <v>704</v>
      </c>
      <c r="E184" s="15">
        <v>42650.592766203707</v>
      </c>
      <c r="F184" s="15">
        <v>42650.59820601852</v>
      </c>
      <c r="G184" s="7">
        <v>1</v>
      </c>
      <c r="H184" s="15" t="s">
        <v>705</v>
      </c>
      <c r="I184" s="15">
        <v>42650.608819444446</v>
      </c>
      <c r="J184" s="7">
        <v>0</v>
      </c>
      <c r="K184" s="117" t="str">
        <f t="shared" si="48"/>
        <v>4025/4026</v>
      </c>
      <c r="L184" s="24" t="str">
        <f>VLOOKUP(A184,'Trips&amp;Operators'!$C$1:$E$10000,3,FALSE)</f>
        <v>ARVIDSON</v>
      </c>
      <c r="M184" s="6">
        <f t="shared" si="49"/>
        <v>1.0613425925839692E-2</v>
      </c>
      <c r="N184" s="7">
        <f t="shared" si="66"/>
        <v>15.283333333209157</v>
      </c>
      <c r="O184" s="7"/>
      <c r="P184" s="7"/>
      <c r="Q184" s="25"/>
      <c r="R184" s="25"/>
      <c r="S184" s="37">
        <f t="shared" si="67"/>
        <v>1</v>
      </c>
      <c r="T184" s="52" t="str">
        <f t="shared" si="50"/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13:13:35-0600',mode:absolute,to:'2016-10-07 15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4" s="54" t="str">
        <f t="shared" si="52"/>
        <v>N</v>
      </c>
      <c r="X184" s="164">
        <f t="shared" si="68"/>
        <v>1</v>
      </c>
      <c r="Y184" s="69">
        <f t="shared" si="53"/>
        <v>9.9699999999999997E-2</v>
      </c>
      <c r="Z184" s="69">
        <f t="shared" si="54"/>
        <v>5.8916000000000004</v>
      </c>
      <c r="AA184" s="69">
        <f t="shared" si="55"/>
        <v>5.7919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56"/>
        <v>0823-07</v>
      </c>
      <c r="AE184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84" s="92" t="str">
        <f t="shared" si="58"/>
        <v>"C:\Program Files (x86)\AstroGrep\AstroGrep.exe" /spath="%USERPROFILE%\AppData\Local\Temp\OnboardLogs" /stypes="app*4025*20161007*" /stext=" 20:.+((SYSTEM_STATE.+slice.+state.+changed )|(ment ac)|(system.+state.+changed )|(\[timeout)|(PRM\|1\|D)|(kpr)|(kdp)|(\|lc)|(penalty))" /e /r /s</v>
      </c>
      <c r="AG184" s="1" t="str">
        <f t="shared" si="59"/>
        <v>NW</v>
      </c>
      <c r="AH184" s="96" t="str">
        <f t="shared" si="46"/>
        <v>"%USERPROFILE%\Documents\GitHub\eaglep3\Utilities\RefineRTDCRunTimes.py" --tripid 823-07 --locoid 4025 --swversion DE.1.0.7.0 --startMP 204:997 --initTime 2016-10-07T14:13:35 --startdatetime 2016-10-07T14:21:25 --delay 1 --endMP 300:58916 --enddatetime 2016-10-07T14:36:42 --enforcementcount 0 &gt;&gt;C:\Users\stu\Documents\GitHub\eaglep3-reporting\EC\2016-10-07-refined-times.txt</v>
      </c>
      <c r="AI184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{"issue":{"subject":"","project_id":79,"tracker_id":40,"status_id":1,"priority_id":2,"assigned_to_id":23,"start_date":"2016-10-07","description":"","custom_fields":[{"id":1,"name":"Subdivision","value":"NW"},{"id":4,"name":"Milepost","value":"5.8916"},{"id":17,"name":"Train ID","value":"823-07"},{"id":16,"name":"Locomotive ID","value":"4025"},{"id":130,"name":"Impact","value":""},{"id":150,"name":"Time of Event (Mountain Time)","value":"14:36:42"},{"id":151,"name":"Denver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706</v>
      </c>
      <c r="B185" s="7">
        <v>4026</v>
      </c>
      <c r="C185" s="24" t="s">
        <v>106</v>
      </c>
      <c r="D185" s="24" t="s">
        <v>707</v>
      </c>
      <c r="E185" s="15">
        <v>42650.609837962962</v>
      </c>
      <c r="F185" s="15">
        <v>42650.613125000003</v>
      </c>
      <c r="G185" s="7">
        <v>2</v>
      </c>
      <c r="H185" s="15" t="s">
        <v>301</v>
      </c>
      <c r="I185" s="15">
        <v>42650.624166666668</v>
      </c>
      <c r="J185" s="7">
        <v>0</v>
      </c>
      <c r="K185" s="117" t="str">
        <f t="shared" si="48"/>
        <v>4025/4026</v>
      </c>
      <c r="L185" s="24" t="str">
        <f>VLOOKUP(A185,'Trips&amp;Operators'!$C$1:$E$10000,3,FALSE)</f>
        <v>ARVIDSON</v>
      </c>
      <c r="M185" s="6">
        <f t="shared" si="49"/>
        <v>1.1041666664823424E-2</v>
      </c>
      <c r="N185" s="7">
        <f t="shared" si="66"/>
        <v>15.899999997345731</v>
      </c>
      <c r="O185" s="7"/>
      <c r="P185" s="7"/>
      <c r="Q185" s="25"/>
      <c r="R185" s="25"/>
      <c r="S185" s="37">
        <f t="shared" si="67"/>
        <v>1</v>
      </c>
      <c r="T185" s="52" t="str">
        <f t="shared" si="50"/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13:38:10-0600',mode:absolute,to:'2016-10-07 15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5" s="54" t="str">
        <f t="shared" si="52"/>
        <v>N</v>
      </c>
      <c r="X185" s="164">
        <f t="shared" si="68"/>
        <v>1</v>
      </c>
      <c r="Y185" s="69">
        <f t="shared" si="53"/>
        <v>5.7849000000000004</v>
      </c>
      <c r="Z185" s="69">
        <f t="shared" si="54"/>
        <v>6.8199999999999997E-2</v>
      </c>
      <c r="AA185" s="69">
        <f t="shared" si="55"/>
        <v>5.7167000000000003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56"/>
        <v>0824-07</v>
      </c>
      <c r="AE185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85" s="92" t="str">
        <f t="shared" si="58"/>
        <v>"C:\Program Files (x86)\AstroGrep\AstroGrep.exe" /spath="%USERPROFILE%\AppData\Local\Temp\OnboardLogs" /stypes="app*4026*20161007*" /stext=" 20:.+((SYSTEM_STATE.+slice.+state.+changed )|(ment ac)|(system.+state.+changed )|(\[timeout)|(PRM\|1\|D)|(kpr)|(kdp)|(\|lc)|(penalty))" /e /r /s</v>
      </c>
      <c r="AG185" s="1" t="str">
        <f t="shared" si="59"/>
        <v>NW</v>
      </c>
      <c r="AH185" s="96" t="str">
        <f t="shared" si="46"/>
        <v>"%USERPROFILE%\Documents\GitHub\eaglep3\Utilities\RefineRTDCRunTimes.py" --tripid 824-07 --locoid 4026 --swversion DE.1.0.7.0 --startMP 300:57849 --initTime 2016-10-07T14:38:10 --startdatetime 2016-10-07T14:42:54 --delay 2 --endMP 204:682 --enddatetime 2016-10-07T14:58:48 --enforcementcount 0 &gt;&gt;C:\Users\stu\Documents\GitHub\eaglep3-reporting\EC\2016-10-07-refined-times.txt</v>
      </c>
      <c r="AI185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{"issue":{"subject":"","project_id":79,"tracker_id":40,"status_id":1,"priority_id":2,"assigned_to_id":23,"start_date":"2016-10-07","description":"","custom_fields":[{"id":1,"name":"Subdivision","value":"NW"},{"id":4,"name":"Milepost","value":"0.0682"},{"id":17,"name":"Train ID","value":"824-07"},{"id":16,"name":"Locomotive ID","value":"4026"},{"id":130,"name":"Impact","value":""},{"id":150,"name":"Time of Event (Mountain Time)","value":"14:58:48"},{"id":151,"name":"Denver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708</v>
      </c>
      <c r="B186" s="7">
        <v>4025</v>
      </c>
      <c r="C186" s="24" t="s">
        <v>106</v>
      </c>
      <c r="D186" s="24" t="s">
        <v>709</v>
      </c>
      <c r="E186" s="15">
        <v>42650.6330787037</v>
      </c>
      <c r="F186" s="15">
        <v>42650.639918981484</v>
      </c>
      <c r="G186" s="7">
        <v>1</v>
      </c>
      <c r="H186" s="15" t="s">
        <v>678</v>
      </c>
      <c r="I186" s="15">
        <v>42650.651446759257</v>
      </c>
      <c r="J186" s="7">
        <v>0</v>
      </c>
      <c r="K186" s="117" t="str">
        <f t="shared" si="48"/>
        <v>4025/4026</v>
      </c>
      <c r="L186" s="24" t="str">
        <f>VLOOKUP(A186,'Trips&amp;Operators'!$C$1:$E$10000,3,FALSE)</f>
        <v>ARVIDSON</v>
      </c>
      <c r="M186" s="6">
        <f t="shared" si="49"/>
        <v>1.1527777773153502E-2</v>
      </c>
      <c r="N186" s="7">
        <f t="shared" si="66"/>
        <v>16.599999993341044</v>
      </c>
      <c r="O186" s="7"/>
      <c r="P186" s="7"/>
      <c r="Q186" s="25"/>
      <c r="R186" s="25"/>
      <c r="S186" s="37">
        <f t="shared" si="67"/>
        <v>1</v>
      </c>
      <c r="T186" s="52" t="str">
        <f t="shared" si="50"/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14:11:38-0600',mode:absolute,to:'2016-10-07 16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6" s="54" t="str">
        <f t="shared" si="52"/>
        <v>N</v>
      </c>
      <c r="X186" s="164">
        <f t="shared" si="68"/>
        <v>1</v>
      </c>
      <c r="Y186" s="69">
        <f t="shared" si="53"/>
        <v>9.69E-2</v>
      </c>
      <c r="Z186" s="69">
        <f t="shared" si="54"/>
        <v>5.8925999999999998</v>
      </c>
      <c r="AA186" s="69">
        <f t="shared" si="55"/>
        <v>5.7957000000000001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56"/>
        <v>0825-07</v>
      </c>
      <c r="AE186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86" s="92" t="str">
        <f t="shared" si="58"/>
        <v>"C:\Program Files (x86)\AstroGrep\AstroGrep.exe" /spath="%USERPROFILE%\AppData\Local\Temp\OnboardLogs" /stypes="app*4025*20161007*" /stext=" 21:.+((SYSTEM_STATE.+slice.+state.+changed )|(ment ac)|(system.+state.+changed )|(\[timeout)|(PRM\|1\|D)|(kpr)|(kdp)|(\|lc)|(penalty))" /e /r /s</v>
      </c>
      <c r="AG186" s="1" t="str">
        <f t="shared" si="59"/>
        <v>NW</v>
      </c>
      <c r="AH186" s="96" t="str">
        <f t="shared" si="46"/>
        <v>"%USERPROFILE%\Documents\GitHub\eaglep3\Utilities\RefineRTDCRunTimes.py" --tripid 825-07 --locoid 4025 --swversion DE.1.0.7.0 --startMP 204:969 --initTime 2016-10-07T15:11:38 --startdatetime 2016-10-07T15:21:29 --delay 1 --endMP 300:58926 --enddatetime 2016-10-07T15:38:05 --enforcementcount 0 &gt;&gt;C:\Users\stu\Documents\GitHub\eaglep3-reporting\EC\2016-10-07-refined-times.txt</v>
      </c>
      <c r="AI186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{"issue":{"subject":"","project_id":79,"tracker_id":40,"status_id":1,"priority_id":2,"assigned_to_id":23,"start_date":"2016-10-07","description":"","custom_fields":[{"id":1,"name":"Subdivision","value":"NW"},{"id":4,"name":"Milepost","value":"5.8926"},{"id":17,"name":"Train ID","value":"825-07"},{"id":16,"name":"Locomotive ID","value":"4025"},{"id":130,"name":"Impact","value":""},{"id":150,"name":"Time of Event (Mountain Time)","value":"15:38:05"},{"id":151,"name":"Denver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710</v>
      </c>
      <c r="B187" s="7">
        <v>4026</v>
      </c>
      <c r="C187" s="24" t="s">
        <v>106</v>
      </c>
      <c r="D187" s="24" t="s">
        <v>666</v>
      </c>
      <c r="E187" s="15">
        <v>42650.652731481481</v>
      </c>
      <c r="F187" s="15">
        <v>42650.654409722221</v>
      </c>
      <c r="G187" s="7">
        <v>1</v>
      </c>
      <c r="H187" s="15" t="s">
        <v>711</v>
      </c>
      <c r="I187" s="15">
        <v>42650.664675925924</v>
      </c>
      <c r="J187" s="7">
        <v>0</v>
      </c>
      <c r="K187" s="117" t="str">
        <f t="shared" si="48"/>
        <v>4025/4026</v>
      </c>
      <c r="L187" s="24" t="str">
        <f>VLOOKUP(A187,'Trips&amp;Operators'!$C$1:$E$10000,3,FALSE)</f>
        <v>ARVIDSON</v>
      </c>
      <c r="M187" s="6">
        <f t="shared" si="49"/>
        <v>1.0266203702485655E-2</v>
      </c>
      <c r="N187" s="7">
        <f t="shared" si="66"/>
        <v>14.783333331579342</v>
      </c>
      <c r="O187" s="7"/>
      <c r="P187" s="7"/>
      <c r="Q187" s="25"/>
      <c r="R187" s="25"/>
      <c r="S187" s="37">
        <f t="shared" si="67"/>
        <v>1</v>
      </c>
      <c r="T187" s="52" t="str">
        <f t="shared" si="50"/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14:39:56-0600',mode:absolute,to:'2016-10-07 16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7" s="54" t="str">
        <f t="shared" si="52"/>
        <v>N</v>
      </c>
      <c r="X187" s="164">
        <f t="shared" si="68"/>
        <v>1</v>
      </c>
      <c r="Y187" s="69">
        <f t="shared" si="53"/>
        <v>5.8609</v>
      </c>
      <c r="Z187" s="69">
        <f t="shared" si="54"/>
        <v>6.7299999999999999E-2</v>
      </c>
      <c r="AA187" s="69">
        <f t="shared" si="55"/>
        <v>5.7935999999999996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56"/>
        <v>0826-07</v>
      </c>
      <c r="AE187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87" s="92" t="str">
        <f t="shared" si="58"/>
        <v>"C:\Program Files (x86)\AstroGrep\AstroGrep.exe" /spath="%USERPROFILE%\AppData\Local\Temp\OnboardLogs" /stypes="app*4026*20161007*" /stext=" 21:.+((SYSTEM_STATE.+slice.+state.+changed )|(ment ac)|(system.+state.+changed )|(\[timeout)|(PRM\|1\|D)|(kpr)|(kdp)|(\|lc)|(penalty))" /e /r /s</v>
      </c>
      <c r="AG187" s="1" t="str">
        <f t="shared" si="59"/>
        <v>NW</v>
      </c>
      <c r="AH187" s="96" t="str">
        <f t="shared" si="46"/>
        <v>"%USERPROFILE%\Documents\GitHub\eaglep3\Utilities\RefineRTDCRunTimes.py" --tripid 826-07 --locoid 4026 --swversion DE.1.0.7.0 --startMP 300:58609 --initTime 2016-10-07T15:39:56 --startdatetime 2016-10-07T15:42:21 --delay 1 --endMP 204:673 --enddatetime 2016-10-07T15:57:08 --enforcementcount 0 &gt;&gt;C:\Users\stu\Documents\GitHub\eaglep3-reporting\EC\2016-10-07-refined-times.txt</v>
      </c>
      <c r="AI187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{"issue":{"subject":"","project_id":79,"tracker_id":40,"status_id":1,"priority_id":2,"assigned_to_id":23,"start_date":"2016-10-07","description":"","custom_fields":[{"id":1,"name":"Subdivision","value":"NW"},{"id":4,"name":"Milepost","value":"0.0673"},{"id":17,"name":"Train ID","value":"826-07"},{"id":16,"name":"Locomotive ID","value":"4026"},{"id":130,"name":"Impact","value":""},{"id":150,"name":"Time of Event (Mountain Time)","value":"15:57:08"},{"id":151,"name":"Denver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712</v>
      </c>
      <c r="B188" s="7">
        <v>4053</v>
      </c>
      <c r="C188" s="24" t="s">
        <v>106</v>
      </c>
      <c r="D188" s="24" t="s">
        <v>652</v>
      </c>
      <c r="E188" s="15">
        <v>42650.649629629632</v>
      </c>
      <c r="F188" s="15">
        <v>42650.660682870373</v>
      </c>
      <c r="G188" s="7">
        <v>1</v>
      </c>
      <c r="H188" s="15" t="s">
        <v>690</v>
      </c>
      <c r="I188" s="15">
        <v>42650.670185185183</v>
      </c>
      <c r="J188" s="7">
        <v>0</v>
      </c>
      <c r="K188" s="117" t="str">
        <f t="shared" si="48"/>
        <v>4053/4054</v>
      </c>
      <c r="L188" s="24" t="str">
        <f>VLOOKUP(A188,'Trips&amp;Operators'!$C$1:$E$10000,3,FALSE)</f>
        <v>NEWELL</v>
      </c>
      <c r="M188" s="6">
        <f t="shared" si="49"/>
        <v>9.5023148096515797E-3</v>
      </c>
      <c r="N188" s="7">
        <f t="shared" si="66"/>
        <v>13.683333325898275</v>
      </c>
      <c r="O188" s="7"/>
      <c r="P188" s="7"/>
      <c r="Q188" s="25"/>
      <c r="R188" s="25"/>
      <c r="S188" s="37">
        <f t="shared" si="67"/>
        <v>1</v>
      </c>
      <c r="T188" s="52" t="str">
        <f t="shared" si="50"/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14:35:28-0600',mode:absolute,to:'2016-10-07 17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8" s="54" t="str">
        <f t="shared" si="52"/>
        <v>N</v>
      </c>
      <c r="X188" s="164">
        <f t="shared" si="68"/>
        <v>1</v>
      </c>
      <c r="Y188" s="69">
        <f t="shared" si="53"/>
        <v>9.74E-2</v>
      </c>
      <c r="Z188" s="69">
        <f t="shared" si="54"/>
        <v>5.8920000000000003</v>
      </c>
      <c r="AA188" s="69">
        <f t="shared" si="55"/>
        <v>5.7946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56"/>
        <v>0827-07</v>
      </c>
      <c r="AE188" s="95" t="str">
        <f t="shared" si="57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88" s="92" t="str">
        <f t="shared" si="58"/>
        <v>"C:\Program Files (x86)\AstroGrep\AstroGrep.exe" /spath="%USERPROFILE%\AppData\Local\Temp\OnboardLogs" /stypes="app*4053*20161007*" /stext=" 22:.+((SYSTEM_STATE.+slice.+state.+changed )|(ment ac)|(system.+state.+changed )|(\[timeout)|(PRM\|1\|D)|(kpr)|(kdp)|(\|lc)|(penalty))" /e /r /s</v>
      </c>
      <c r="AG188" s="1" t="str">
        <f t="shared" si="59"/>
        <v>NW</v>
      </c>
      <c r="AH188" s="96" t="str">
        <f t="shared" si="46"/>
        <v>"%USERPROFILE%\Documents\GitHub\eaglep3\Utilities\RefineRTDCRunTimes.py" --tripid 827-07 --locoid 4053 --swversion DE.1.0.7.0 --startMP 204:974 --initTime 2016-10-07T15:35:28 --startdatetime 2016-10-07T15:51:23 --delay 1 --endMP 300:58920 --enddatetime 2016-10-07T16:05:04 --enforcementcount 0 &gt;&gt;C:\Users\stu\Documents\GitHub\eaglep3-reporting\EC\2016-10-07-refined-times.txt</v>
      </c>
      <c r="AI188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ID","value":"827-07"},{"id":16,"name":"Locomotive ID","value":"4053"},{"id":130,"name":"Impact","value":""},{"id":150,"name":"Time of Event (Mountain Time)","value":"16:05:04"},{"id":151,"name":"Denver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713</v>
      </c>
      <c r="B189" s="7">
        <v>4054</v>
      </c>
      <c r="C189" s="24" t="s">
        <v>106</v>
      </c>
      <c r="D189" s="24" t="s">
        <v>666</v>
      </c>
      <c r="E189" s="15">
        <v>42650.671377314815</v>
      </c>
      <c r="F189" s="15">
        <v>42650.672893518517</v>
      </c>
      <c r="G189" s="7">
        <v>1</v>
      </c>
      <c r="H189" s="15" t="s">
        <v>714</v>
      </c>
      <c r="I189" s="15">
        <v>42650.684988425928</v>
      </c>
      <c r="J189" s="7">
        <v>0</v>
      </c>
      <c r="K189" s="117" t="str">
        <f t="shared" si="48"/>
        <v>4053/4054</v>
      </c>
      <c r="L189" s="24" t="str">
        <f>VLOOKUP(A189,'Trips&amp;Operators'!$C$1:$E$10000,3,FALSE)</f>
        <v>NEWELL</v>
      </c>
      <c r="M189" s="6">
        <f t="shared" si="49"/>
        <v>1.209490741166519E-2</v>
      </c>
      <c r="N189" s="7">
        <f t="shared" si="66"/>
        <v>17.416666672797874</v>
      </c>
      <c r="O189" s="7"/>
      <c r="P189" s="7"/>
      <c r="Q189" s="25"/>
      <c r="R189" s="25"/>
      <c r="S189" s="37">
        <f t="shared" si="67"/>
        <v>1</v>
      </c>
      <c r="T189" s="52" t="str">
        <f t="shared" si="50"/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15:06:47-0600',mode:absolute,to:'2016-10-07 17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9" s="54" t="str">
        <f t="shared" si="52"/>
        <v>N</v>
      </c>
      <c r="X189" s="164">
        <f t="shared" si="68"/>
        <v>1</v>
      </c>
      <c r="Y189" s="69">
        <f t="shared" si="53"/>
        <v>5.8609</v>
      </c>
      <c r="Z189" s="69">
        <f t="shared" si="54"/>
        <v>6.4000000000000001E-2</v>
      </c>
      <c r="AA189" s="69">
        <f t="shared" si="55"/>
        <v>5.7968999999999999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56"/>
        <v>0828-07</v>
      </c>
      <c r="AE189" s="95" t="str">
        <f t="shared" si="57"/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89" s="92" t="str">
        <f t="shared" si="58"/>
        <v>"C:\Program Files (x86)\AstroGrep\AstroGrep.exe" /spath="%USERPROFILE%\AppData\Local\Temp\OnboardLogs" /stypes="app*4054*20161007*" /stext=" 22:.+((SYSTEM_STATE.+slice.+state.+changed )|(ment ac)|(system.+state.+changed )|(\[timeout)|(PRM\|1\|D)|(kpr)|(kdp)|(\|lc)|(penalty))" /e /r /s</v>
      </c>
      <c r="AG189" s="1" t="str">
        <f t="shared" si="59"/>
        <v>NW</v>
      </c>
      <c r="AH189" s="96" t="str">
        <f t="shared" si="46"/>
        <v>"%USERPROFILE%\Documents\GitHub\eaglep3\Utilities\RefineRTDCRunTimes.py" --tripid 828-07 --locoid 4054 --swversion DE.1.0.7.0 --startMP 300:58609 --initTime 2016-10-07T16:06:47 --startdatetime 2016-10-07T16:08:58 --delay 1 --endMP 204:640 --enddatetime 2016-10-07T16:26:23 --enforcementcount 0 &gt;&gt;C:\Users\stu\Documents\GitHub\eaglep3-reporting\EC\2016-10-07-refined-times.txt</v>
      </c>
      <c r="AI189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{"issue":{"subject":"","project_id":79,"tracker_id":40,"status_id":1,"priority_id":2,"assigned_to_id":23,"start_date":"2016-10-07","description":"","custom_fields":[{"id":1,"name":"Subdivision","value":"NW"},{"id":4,"name":"Milepost","value":"0.064"},{"id":17,"name":"Train ID","value":"828-07"},{"id":16,"name":"Locomotive ID","value":"4054"},{"id":130,"name":"Impact","value":""},{"id":150,"name":"Time of Event (Mountain Time)","value":"16:26:23"},{"id":151,"name":"Denver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715</v>
      </c>
      <c r="B190" s="7">
        <v>4025</v>
      </c>
      <c r="C190" s="24" t="s">
        <v>106</v>
      </c>
      <c r="D190" s="24" t="s">
        <v>358</v>
      </c>
      <c r="E190" s="15">
        <v>42650.676435185182</v>
      </c>
      <c r="F190" s="15">
        <v>42650.681458333333</v>
      </c>
      <c r="G190" s="7">
        <v>1</v>
      </c>
      <c r="H190" s="15" t="s">
        <v>690</v>
      </c>
      <c r="I190" s="15">
        <v>42650.69090277778</v>
      </c>
      <c r="J190" s="7">
        <v>0</v>
      </c>
      <c r="K190" s="117" t="str">
        <f t="shared" si="48"/>
        <v>4025/4026</v>
      </c>
      <c r="L190" s="24" t="str">
        <f>VLOOKUP(A190,'Trips&amp;Operators'!$C$1:$E$10000,3,FALSE)</f>
        <v>ARVIDSON</v>
      </c>
      <c r="M190" s="6">
        <f t="shared" si="49"/>
        <v>9.4444444475811906E-3</v>
      </c>
      <c r="N190" s="7">
        <f t="shared" si="66"/>
        <v>13.600000004516914</v>
      </c>
      <c r="O190" s="7"/>
      <c r="P190" s="7"/>
      <c r="Q190" s="25"/>
      <c r="R190" s="25"/>
      <c r="S190" s="37">
        <f t="shared" si="67"/>
        <v>1</v>
      </c>
      <c r="T190" s="52" t="str">
        <f t="shared" si="50"/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15:14:04-0600',mode:absolute,to:'2016-10-07 17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0" s="54" t="str">
        <f t="shared" si="52"/>
        <v>N</v>
      </c>
      <c r="X190" s="164">
        <f t="shared" si="68"/>
        <v>1</v>
      </c>
      <c r="Y190" s="69">
        <f t="shared" si="53"/>
        <v>9.5100000000000004E-2</v>
      </c>
      <c r="Z190" s="69">
        <f t="shared" si="54"/>
        <v>5.8920000000000003</v>
      </c>
      <c r="AA190" s="69">
        <f t="shared" si="55"/>
        <v>5.7968999999999999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56"/>
        <v>0829-07</v>
      </c>
      <c r="AE190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90" s="92" t="str">
        <f t="shared" si="58"/>
        <v>"C:\Program Files (x86)\AstroGrep\AstroGrep.exe" /spath="%USERPROFILE%\AppData\Local\Temp\OnboardLogs" /stypes="app*4025*20161007*" /stext=" 22:.+((SYSTEM_STATE.+slice.+state.+changed )|(ment ac)|(system.+state.+changed )|(\[timeout)|(PRM\|1\|D)|(kpr)|(kdp)|(\|lc)|(penalty))" /e /r /s</v>
      </c>
      <c r="AG190" s="1" t="str">
        <f t="shared" si="59"/>
        <v>NW</v>
      </c>
      <c r="AH190" s="96" t="str">
        <f t="shared" si="46"/>
        <v>"%USERPROFILE%\Documents\GitHub\eaglep3\Utilities\RefineRTDCRunTimes.py" --tripid 829-07 --locoid 4025 --swversion DE.1.0.7.0 --startMP 204:951 --initTime 2016-10-07T16:14:04 --startdatetime 2016-10-07T16:21:18 --delay 1 --endMP 300:58920 --enddatetime 2016-10-07T16:34:54 --enforcementcount 0 &gt;&gt;C:\Users\stu\Documents\GitHub\eaglep3-reporting\EC\2016-10-07-refined-times.txt</v>
      </c>
      <c r="AI190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ID","value":"829-07"},{"id":16,"name":"Locomotive ID","value":"4025"},{"id":130,"name":"Impact","value":""},{"id":150,"name":"Time of Event (Mountain Time)","value":"16:34:54"},{"id":151,"name":"Denver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716</v>
      </c>
      <c r="B191" s="7">
        <v>4026</v>
      </c>
      <c r="C191" s="24" t="s">
        <v>106</v>
      </c>
      <c r="D191" s="24" t="s">
        <v>680</v>
      </c>
      <c r="E191" s="15">
        <v>42650.692407407405</v>
      </c>
      <c r="F191" s="15">
        <v>42650.694097222222</v>
      </c>
      <c r="G191" s="7">
        <v>1</v>
      </c>
      <c r="H191" s="15" t="s">
        <v>300</v>
      </c>
      <c r="I191" s="15">
        <v>42650.705868055556</v>
      </c>
      <c r="J191" s="7">
        <v>0</v>
      </c>
      <c r="K191" s="117" t="str">
        <f t="shared" si="48"/>
        <v>4025/4026</v>
      </c>
      <c r="L191" s="24" t="str">
        <f>VLOOKUP(A191,'Trips&amp;Operators'!$C$1:$E$10000,3,FALSE)</f>
        <v>ARVIDSON</v>
      </c>
      <c r="M191" s="6">
        <f t="shared" si="49"/>
        <v>1.1770833334594499E-2</v>
      </c>
      <c r="N191" s="7">
        <f t="shared" si="66"/>
        <v>16.950000001816079</v>
      </c>
      <c r="O191" s="7"/>
      <c r="P191" s="7"/>
      <c r="Q191" s="25"/>
      <c r="R191" s="25"/>
      <c r="S191" s="37">
        <f t="shared" si="67"/>
        <v>1</v>
      </c>
      <c r="T191" s="52" t="str">
        <f t="shared" si="50"/>
        <v>Southbound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15:37:04-0600',mode:absolute,to:'2016-10-07 17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1" s="54" t="str">
        <f t="shared" si="52"/>
        <v>N</v>
      </c>
      <c r="X191" s="164">
        <f t="shared" si="68"/>
        <v>1</v>
      </c>
      <c r="Y191" s="69">
        <f t="shared" si="53"/>
        <v>5.8601999999999999</v>
      </c>
      <c r="Z191" s="69">
        <f t="shared" si="54"/>
        <v>6.9099999999999995E-2</v>
      </c>
      <c r="AA191" s="69">
        <f t="shared" si="55"/>
        <v>5.7911000000000001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56"/>
        <v>0830-07</v>
      </c>
      <c r="AE191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91" s="92" t="str">
        <f t="shared" si="58"/>
        <v>"C:\Program Files (x86)\AstroGrep\AstroGrep.exe" /spath="%USERPROFILE%\AppData\Local\Temp\OnboardLogs" /stypes="app*4026*20161007*" /stext=" 22:.+((SYSTEM_STATE.+slice.+state.+changed )|(ment ac)|(system.+state.+changed )|(\[timeout)|(PRM\|1\|D)|(kpr)|(kdp)|(\|lc)|(penalty))" /e /r /s</v>
      </c>
      <c r="AG191" s="1" t="str">
        <f t="shared" si="59"/>
        <v>NW</v>
      </c>
      <c r="AH191" s="96" t="str">
        <f t="shared" si="46"/>
        <v>"%USERPROFILE%\Documents\GitHub\eaglep3\Utilities\RefineRTDCRunTimes.py" --tripid 830-07 --locoid 4026 --swversion DE.1.0.7.0 --startMP 300:58602 --initTime 2016-10-07T16:37:04 --startdatetime 2016-10-07T16:39:30 --delay 1 --endMP 204:691 --enddatetime 2016-10-07T16:56:27 --enforcementcount 0 &gt;&gt;C:\Users\stu\Documents\GitHub\eaglep3-reporting\EC\2016-10-07-refined-times.txt</v>
      </c>
      <c r="AI191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{"issue":{"subject":"","project_id":79,"tracker_id":40,"status_id":1,"priority_id":2,"assigned_to_id":23,"start_date":"2016-10-07","description":"","custom_fields":[{"id":1,"name":"Subdivision","value":"NW"},{"id":4,"name":"Milepost","value":"0.0691"},{"id":17,"name":"Train ID","value":"830-07"},{"id":16,"name":"Locomotive ID","value":"4026"},{"id":130,"name":"Impact","value":""},{"id":150,"name":"Time of Event (Mountain Time)","value":"16:56:27"},{"id":151,"name":"Denver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717</v>
      </c>
      <c r="B192" s="7">
        <v>4053</v>
      </c>
      <c r="C192" s="24" t="s">
        <v>106</v>
      </c>
      <c r="D192" s="24" t="s">
        <v>718</v>
      </c>
      <c r="E192" s="15">
        <v>42650.687175925923</v>
      </c>
      <c r="F192" s="15">
        <v>42650.702291666668</v>
      </c>
      <c r="G192" s="7">
        <v>2</v>
      </c>
      <c r="H192" s="15" t="s">
        <v>705</v>
      </c>
      <c r="I192" s="15">
        <v>42650.712071759262</v>
      </c>
      <c r="J192" s="7">
        <v>0</v>
      </c>
      <c r="K192" s="117" t="str">
        <f t="shared" si="48"/>
        <v>4053/4054</v>
      </c>
      <c r="L192" s="24" t="str">
        <f>VLOOKUP(A192,'Trips&amp;Operators'!$C$1:$E$10000,3,FALSE)</f>
        <v>NEWELL</v>
      </c>
      <c r="M192" s="6">
        <f t="shared" si="49"/>
        <v>9.7800925941555761E-3</v>
      </c>
      <c r="N192" s="7">
        <f t="shared" si="66"/>
        <v>14.08333333558403</v>
      </c>
      <c r="O192" s="7"/>
      <c r="P192" s="7"/>
      <c r="Q192" s="25"/>
      <c r="R192" s="25"/>
      <c r="S192" s="37">
        <f t="shared" si="67"/>
        <v>1</v>
      </c>
      <c r="T192" s="52" t="str">
        <f t="shared" si="50"/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15:29:32-0600',mode:absolute,to:'2016-10-07 18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2" s="54" t="str">
        <f t="shared" si="52"/>
        <v>N</v>
      </c>
      <c r="X192" s="164">
        <f t="shared" si="68"/>
        <v>1</v>
      </c>
      <c r="Y192" s="69">
        <f t="shared" si="53"/>
        <v>9.3600000000000003E-2</v>
      </c>
      <c r="Z192" s="69">
        <f t="shared" si="54"/>
        <v>5.8916000000000004</v>
      </c>
      <c r="AA192" s="69">
        <f t="shared" si="55"/>
        <v>5.798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56"/>
        <v>0831-07</v>
      </c>
      <c r="AE192" s="95" t="str">
        <f t="shared" si="57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92" s="92" t="str">
        <f t="shared" si="58"/>
        <v>"C:\Program Files (x86)\AstroGrep\AstroGrep.exe" /spath="%USERPROFILE%\AppData\Local\Temp\OnboardLogs" /stypes="app*4053*20161007*" /stext=" 23:.+((SYSTEM_STATE.+slice.+state.+changed )|(ment ac)|(system.+state.+changed )|(\[timeout)|(PRM\|1\|D)|(kpr)|(kdp)|(\|lc)|(penalty))" /e /r /s</v>
      </c>
      <c r="AG192" s="1" t="str">
        <f t="shared" si="59"/>
        <v>NW</v>
      </c>
      <c r="AH192" s="96" t="str">
        <f t="shared" si="46"/>
        <v>"%USERPROFILE%\Documents\GitHub\eaglep3\Utilities\RefineRTDCRunTimes.py" --tripid 831-07 --locoid 4053 --swversion DE.1.0.7.0 --startMP 204:936 --initTime 2016-10-07T16:29:32 --startdatetime 2016-10-07T16:51:18 --delay 2 --endMP 300:58916 --enddatetime 2016-10-07T17:05:23 --enforcementcount 0 &gt;&gt;C:\Users\stu\Documents\GitHub\eaglep3-reporting\EC\2016-10-07-refined-times.txt</v>
      </c>
      <c r="AI192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{"issue":{"subject":"","project_id":79,"tracker_id":40,"status_id":1,"priority_id":2,"assigned_to_id":23,"start_date":"2016-10-07","description":"","custom_fields":[{"id":1,"name":"Subdivision","value":"NW"},{"id":4,"name":"Milepost","value":"5.8916"},{"id":17,"name":"Train ID","value":"831-07"},{"id":16,"name":"Locomotive ID","value":"4053"},{"id":130,"name":"Impact","value":""},{"id":150,"name":"Time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719</v>
      </c>
      <c r="B193" s="7">
        <v>4054</v>
      </c>
      <c r="C193" s="24" t="s">
        <v>106</v>
      </c>
      <c r="D193" s="24" t="s">
        <v>720</v>
      </c>
      <c r="E193" s="15">
        <v>42650.713229166664</v>
      </c>
      <c r="F193" s="15">
        <v>42650.715115740742</v>
      </c>
      <c r="G193" s="7">
        <v>1</v>
      </c>
      <c r="H193" s="15" t="s">
        <v>721</v>
      </c>
      <c r="I193" s="15">
        <v>42650.726527777777</v>
      </c>
      <c r="J193" s="7">
        <v>0</v>
      </c>
      <c r="K193" s="117" t="str">
        <f t="shared" si="48"/>
        <v>4053/4054</v>
      </c>
      <c r="L193" s="24" t="str">
        <f>VLOOKUP(A193,'Trips&amp;Operators'!$C$1:$E$10000,3,FALSE)</f>
        <v>NEWELL</v>
      </c>
      <c r="M193" s="6">
        <f t="shared" si="49"/>
        <v>1.1412037034460809E-2</v>
      </c>
      <c r="N193" s="7">
        <f t="shared" si="66"/>
        <v>16.433333329623565</v>
      </c>
      <c r="O193" s="7"/>
      <c r="P193" s="7"/>
      <c r="Q193" s="25"/>
      <c r="R193" s="25"/>
      <c r="S193" s="37">
        <f t="shared" si="67"/>
        <v>1</v>
      </c>
      <c r="T193" s="52" t="str">
        <f t="shared" si="50"/>
        <v>Southbound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16:07:03-0600',mode:absolute,to:'2016-10-07 18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3" s="54" t="str">
        <f t="shared" si="52"/>
        <v>N</v>
      </c>
      <c r="X193" s="164">
        <f t="shared" si="68"/>
        <v>1</v>
      </c>
      <c r="Y193" s="69">
        <f t="shared" si="53"/>
        <v>5.8592000000000004</v>
      </c>
      <c r="Z193" s="69">
        <f t="shared" si="54"/>
        <v>6.7500000000000004E-2</v>
      </c>
      <c r="AA193" s="69">
        <f t="shared" si="55"/>
        <v>5.7917000000000005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56"/>
        <v>0832-07</v>
      </c>
      <c r="AE193" s="95" t="str">
        <f t="shared" si="57"/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93" s="92" t="str">
        <f t="shared" si="58"/>
        <v>"C:\Program Files (x86)\AstroGrep\AstroGrep.exe" /spath="%USERPROFILE%\AppData\Local\Temp\OnboardLogs" /stypes="app*4054*20161007*" /stext=" 23:.+((SYSTEM_STATE.+slice.+state.+changed )|(ment ac)|(system.+state.+changed )|(\[timeout)|(PRM\|1\|D)|(kpr)|(kdp)|(\|lc)|(penalty))" /e /r /s</v>
      </c>
      <c r="AG193" s="1" t="str">
        <f t="shared" si="59"/>
        <v>NW</v>
      </c>
      <c r="AH193" s="96" t="str">
        <f t="shared" si="46"/>
        <v>"%USERPROFILE%\Documents\GitHub\eaglep3\Utilities\RefineRTDCRunTimes.py" --tripid 832-07 --locoid 4054 --swversion DE.1.0.7.0 --startMP 300:58592 --initTime 2016-10-07T17:07:03 --startdatetime 2016-10-07T17:09:46 --delay 1 --endMP 204:675 --enddatetime 2016-10-07T17:26:12 --enforcementcount 0 &gt;&gt;C:\Users\stu\Documents\GitHub\eaglep3-reporting\EC\2016-10-07-refined-times.txt</v>
      </c>
      <c r="AI193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{"issue":{"subject":"","project_id":79,"tracker_id":40,"status_id":1,"priority_id":2,"assigned_to_id":23,"start_date":"2016-10-07","description":"","custom_fields":[{"id":1,"name":"Subdivision","value":"NW"},{"id":4,"name":"Milepost","value":"0.0675"},{"id":17,"name":"Train ID","value":"832-07"},{"id":16,"name":"Locomotive ID","value":"4054"},{"id":130,"name":"Impact","value":""},{"id":150,"name":"Time of Event (Mountain Time)","value":"17:26:12"},{"id":151,"name":"Denver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722</v>
      </c>
      <c r="B194" s="7">
        <v>4025</v>
      </c>
      <c r="C194" s="24" t="s">
        <v>106</v>
      </c>
      <c r="D194" s="24" t="s">
        <v>353</v>
      </c>
      <c r="E194" s="15">
        <v>42650.713634259257</v>
      </c>
      <c r="F194" s="15">
        <v>42650.72315972222</v>
      </c>
      <c r="G194" s="7">
        <v>1</v>
      </c>
      <c r="H194" s="15" t="s">
        <v>678</v>
      </c>
      <c r="I194" s="15">
        <v>42650.733124999999</v>
      </c>
      <c r="J194" s="7">
        <v>0</v>
      </c>
      <c r="K194" s="117" t="str">
        <f t="shared" si="48"/>
        <v>4025/4026</v>
      </c>
      <c r="L194" s="24" t="str">
        <f>VLOOKUP(A194,'Trips&amp;Operators'!$C$1:$E$10000,3,FALSE)</f>
        <v>ARVIDSON</v>
      </c>
      <c r="M194" s="6">
        <f t="shared" si="49"/>
        <v>9.9652777789742686E-3</v>
      </c>
      <c r="N194" s="7">
        <f t="shared" si="66"/>
        <v>14.350000001722947</v>
      </c>
      <c r="O194" s="7"/>
      <c r="P194" s="7"/>
      <c r="Q194" s="25"/>
      <c r="R194" s="25"/>
      <c r="S194" s="37">
        <f t="shared" si="67"/>
        <v>1</v>
      </c>
      <c r="T194" s="52" t="str">
        <f t="shared" si="50"/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16:07:38-0600',mode:absolute,to:'2016-10-07 18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4" s="54" t="str">
        <f t="shared" si="52"/>
        <v>N</v>
      </c>
      <c r="X194" s="164">
        <f t="shared" si="68"/>
        <v>1</v>
      </c>
      <c r="Y194" s="69">
        <f t="shared" si="53"/>
        <v>9.7900000000000001E-2</v>
      </c>
      <c r="Z194" s="69">
        <f t="shared" si="54"/>
        <v>5.8925999999999998</v>
      </c>
      <c r="AA194" s="69">
        <f t="shared" si="55"/>
        <v>5.7946999999999997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56"/>
        <v>0833-07</v>
      </c>
      <c r="AE194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94" s="92" t="str">
        <f t="shared" si="58"/>
        <v>"C:\Program Files (x86)\AstroGrep\AstroGrep.exe" /spath="%USERPROFILE%\AppData\Local\Temp\OnboardLogs" /stypes="app*4025*20161007*" /stext=" 23:.+((SYSTEM_STATE.+slice.+state.+changed )|(ment ac)|(system.+state.+changed )|(\[timeout)|(PRM\|1\|D)|(kpr)|(kdp)|(\|lc)|(penalty))" /e /r /s</v>
      </c>
      <c r="AG194" s="1" t="str">
        <f t="shared" si="59"/>
        <v>NW</v>
      </c>
      <c r="AH194" s="96" t="str">
        <f t="shared" si="46"/>
        <v>"%USERPROFILE%\Documents\GitHub\eaglep3\Utilities\RefineRTDCRunTimes.py" --tripid 833-07 --locoid 4025 --swversion DE.1.0.7.0 --startMP 204:979 --initTime 2016-10-07T17:07:38 --startdatetime 2016-10-07T17:21:21 --delay 1 --endMP 300:58926 --enddatetime 2016-10-07T17:35:42 --enforcementcount 0 &gt;&gt;C:\Users\stu\Documents\GitHub\eaglep3-reporting\EC\2016-10-07-refined-times.txt</v>
      </c>
      <c r="AI194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{"issue":{"subject":"","project_id":79,"tracker_id":40,"status_id":1,"priority_id":2,"assigned_to_id":23,"start_date":"2016-10-07","description":"","custom_fields":[{"id":1,"name":"Subdivision","value":"NW"},{"id":4,"name":"Milepost","value":"5.8926"},{"id":17,"name":"Train ID","value":"833-07"},{"id":16,"name":"Locomotive ID","value":"4025"},{"id":130,"name":"Impact","value":""},{"id":150,"name":"Time of Event (Mountain Time)","value":"17:35:42"},{"id":151,"name":"Denver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723</v>
      </c>
      <c r="B195" s="7">
        <v>4026</v>
      </c>
      <c r="C195" s="24" t="s">
        <v>106</v>
      </c>
      <c r="D195" s="24" t="s">
        <v>724</v>
      </c>
      <c r="E195" s="15">
        <v>42650.734155092592</v>
      </c>
      <c r="F195" s="15">
        <v>42650.735821759263</v>
      </c>
      <c r="G195" s="7">
        <v>1</v>
      </c>
      <c r="H195" s="15" t="s">
        <v>354</v>
      </c>
      <c r="I195" s="15">
        <v>42650.749050925922</v>
      </c>
      <c r="J195" s="7">
        <v>0</v>
      </c>
      <c r="K195" s="117" t="str">
        <f t="shared" si="48"/>
        <v>4025/4026</v>
      </c>
      <c r="L195" s="24" t="str">
        <f>VLOOKUP(A195,'Trips&amp;Operators'!$C$1:$E$10000,3,FALSE)</f>
        <v>ARVIDSON</v>
      </c>
      <c r="M195" s="6">
        <f t="shared" si="49"/>
        <v>1.3229166659584735E-2</v>
      </c>
      <c r="N195" s="7">
        <f t="shared" si="66"/>
        <v>19.049999989802018</v>
      </c>
      <c r="O195" s="7"/>
      <c r="P195" s="7"/>
      <c r="Q195" s="25"/>
      <c r="R195" s="25"/>
      <c r="S195" s="37">
        <f t="shared" si="67"/>
        <v>1</v>
      </c>
      <c r="T195" s="52" t="str">
        <f t="shared" si="50"/>
        <v>Southbound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16:37:11-0600',mode:absolute,to:'2016-10-07 18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5" s="54" t="str">
        <f t="shared" si="52"/>
        <v>N</v>
      </c>
      <c r="X195" s="164">
        <f t="shared" si="68"/>
        <v>1</v>
      </c>
      <c r="Y195" s="69">
        <f t="shared" si="53"/>
        <v>5.8615000000000004</v>
      </c>
      <c r="Z195" s="69">
        <f t="shared" si="54"/>
        <v>7.2400000000000006E-2</v>
      </c>
      <c r="AA195" s="69">
        <f t="shared" si="55"/>
        <v>5.7891000000000004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56"/>
        <v>0834-07</v>
      </c>
      <c r="AE195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95" s="92" t="str">
        <f t="shared" si="58"/>
        <v>"C:\Program Files (x86)\AstroGrep\AstroGrep.exe" /spath="%USERPROFILE%\AppData\Local\Temp\OnboardLogs" /stypes="app*4026*20161007*" /stext=" 23:.+((SYSTEM_STATE.+slice.+state.+changed )|(ment ac)|(system.+state.+changed )|(\[timeout)|(PRM\|1\|D)|(kpr)|(kdp)|(\|lc)|(penalty))" /e /r /s</v>
      </c>
      <c r="AG195" s="1" t="str">
        <f t="shared" si="59"/>
        <v>NW</v>
      </c>
      <c r="AH195" s="96" t="str">
        <f t="shared" si="46"/>
        <v>"%USERPROFILE%\Documents\GitHub\eaglep3\Utilities\RefineRTDCRunTimes.py" --tripid 834-07 --locoid 4026 --swversion DE.1.0.7.0 --startMP 300:58615 --initTime 2016-10-07T17:37:11 --startdatetime 2016-10-07T17:39:35 --delay 1 --endMP 204:724 --enddatetime 2016-10-07T17:58:38 --enforcementcount 0 &gt;&gt;C:\Users\stu\Documents\GitHub\eaglep3-reporting\EC\2016-10-07-refined-times.txt</v>
      </c>
      <c r="AI195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{"issue":{"subject":"","project_id":79,"tracker_id":40,"status_id":1,"priority_id":2,"assigned_to_id":23,"start_date":"2016-10-07","description":"","custom_fields":[{"id":1,"name":"Subdivision","value":"NW"},{"id":4,"name":"Milepost","value":"0.0724"},{"id":17,"name":"Train ID","value":"834-07"},{"id":16,"name":"Locomotive ID","value":"4026"},{"id":130,"name":"Impact","value":""},{"id":150,"name":"Time of Event (Mountain Time)","value":"17:58:38"},{"id":151,"name":"Denver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725</v>
      </c>
      <c r="B196" s="7">
        <v>4053</v>
      </c>
      <c r="C196" s="24" t="s">
        <v>106</v>
      </c>
      <c r="D196" s="24" t="s">
        <v>350</v>
      </c>
      <c r="E196" s="15">
        <v>42650.728715277779</v>
      </c>
      <c r="F196" s="15">
        <v>42650.743981481479</v>
      </c>
      <c r="G196" s="7">
        <v>1</v>
      </c>
      <c r="H196" s="15" t="s">
        <v>305</v>
      </c>
      <c r="I196" s="15">
        <v>42650.753530092596</v>
      </c>
      <c r="J196" s="7">
        <v>0</v>
      </c>
      <c r="K196" s="117" t="str">
        <f t="shared" si="48"/>
        <v>4053/4054</v>
      </c>
      <c r="L196" s="24" t="str">
        <f>VLOOKUP(A196,'Trips&amp;Operators'!$C$1:$E$10000,3,FALSE)</f>
        <v>NEWELL</v>
      </c>
      <c r="M196" s="6">
        <f t="shared" si="49"/>
        <v>9.5486111167701893E-3</v>
      </c>
      <c r="N196" s="7">
        <f t="shared" si="66"/>
        <v>13.750000008149073</v>
      </c>
      <c r="O196" s="7"/>
      <c r="P196" s="7"/>
      <c r="Q196" s="25"/>
      <c r="R196" s="25"/>
      <c r="S196" s="37">
        <f t="shared" si="67"/>
        <v>1</v>
      </c>
      <c r="T196" s="52" t="str">
        <f t="shared" si="50"/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16:29:21-0600',mode:absolute,to:'2016-10-07 19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6" s="54" t="str">
        <f t="shared" si="52"/>
        <v>N</v>
      </c>
      <c r="X196" s="164">
        <f t="shared" si="68"/>
        <v>1</v>
      </c>
      <c r="Y196" s="69">
        <f t="shared" si="53"/>
        <v>9.6199999999999994E-2</v>
      </c>
      <c r="Z196" s="69">
        <f t="shared" si="54"/>
        <v>5.8940999999999999</v>
      </c>
      <c r="AA196" s="69">
        <f t="shared" si="55"/>
        <v>5.7979000000000003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56"/>
        <v>0835-07</v>
      </c>
      <c r="AE196" s="95" t="str">
        <f t="shared" si="57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196" s="92" t="str">
        <f t="shared" si="58"/>
        <v>"C:\Program Files (x86)\AstroGrep\AstroGrep.exe" /spath="%USERPROFILE%\AppData\Local\Temp\OnboardLogs" /stypes="app*4053*20161008*" /stext=" 00:.+((SYSTEM_STATE.+slice.+state.+changed )|(ment ac)|(system.+state.+changed )|(\[timeout)|(PRM\|1\|D)|(kpr)|(kdp)|(\|lc)|(penalty))" /e /r /s</v>
      </c>
      <c r="AG196" s="1" t="str">
        <f t="shared" si="59"/>
        <v>NW</v>
      </c>
      <c r="AH196" s="96" t="str">
        <f t="shared" si="46"/>
        <v>"%USERPROFILE%\Documents\GitHub\eaglep3\Utilities\RefineRTDCRunTimes.py" --tripid 835-07 --locoid 4053 --swversion DE.1.0.7.0 --startMP 204:962 --initTime 2016-10-07T17:29:21 --startdatetime 2016-10-07T17:51:20 --delay 1 --endMP 300:58941 --enddatetime 2016-10-07T18:05:05 --enforcementcount 0 &gt;&gt;C:\Users\stu\Documents\GitHub\eaglep3-reporting\EC\2016-10-07-refined-times.txt</v>
      </c>
      <c r="AI196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{"issue":{"subject":"","project_id":79,"tracker_id":40,"status_id":1,"priority_id":2,"assigned_to_id":23,"start_date":"2016-10-07","description":"","custom_fields":[{"id":1,"name":"Subdivision","value":"NW"},{"id":4,"name":"Milepost","value":"5.8941"},{"id":17,"name":"Train ID","value":"835-07"},{"id":16,"name":"Locomotive ID","value":"4053"},{"id":130,"name":"Impact","value":""},{"id":150,"name":"Time of Event (Mountain Time)","value":"18:05:05"},{"id":151,"name":"Denver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726</v>
      </c>
      <c r="B197" s="7">
        <v>4054</v>
      </c>
      <c r="C197" s="24" t="s">
        <v>106</v>
      </c>
      <c r="D197" s="24" t="s">
        <v>692</v>
      </c>
      <c r="E197" s="15">
        <v>42650.754988425928</v>
      </c>
      <c r="F197" s="15">
        <v>42650.756793981483</v>
      </c>
      <c r="G197" s="7">
        <v>1</v>
      </c>
      <c r="H197" s="15" t="s">
        <v>727</v>
      </c>
      <c r="I197" s="15">
        <v>42650.768333333333</v>
      </c>
      <c r="J197" s="7">
        <v>0</v>
      </c>
      <c r="K197" s="117" t="str">
        <f t="shared" si="48"/>
        <v>4053/4054</v>
      </c>
      <c r="L197" s="24" t="str">
        <f>VLOOKUP(A197,'Trips&amp;Operators'!$C$1:$E$10000,3,FALSE)</f>
        <v>NEWELL</v>
      </c>
      <c r="M197" s="6">
        <f t="shared" si="49"/>
        <v>1.1539351849933155E-2</v>
      </c>
      <c r="N197" s="7">
        <f t="shared" si="66"/>
        <v>16.616666663903743</v>
      </c>
      <c r="O197" s="7"/>
      <c r="P197" s="7"/>
      <c r="Q197" s="25"/>
      <c r="R197" s="25"/>
      <c r="S197" s="37">
        <f t="shared" si="67"/>
        <v>1</v>
      </c>
      <c r="T197" s="52" t="str">
        <f t="shared" si="50"/>
        <v>Southbound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17:07:11-0600',mode:absolute,to:'2016-10-07 19:26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7" s="54" t="str">
        <f t="shared" si="52"/>
        <v>N</v>
      </c>
      <c r="X197" s="164">
        <f t="shared" si="68"/>
        <v>1</v>
      </c>
      <c r="Y197" s="69">
        <f t="shared" si="53"/>
        <v>5.8611000000000004</v>
      </c>
      <c r="Z197" s="69">
        <f t="shared" si="54"/>
        <v>6.5600000000000006E-2</v>
      </c>
      <c r="AA197" s="69">
        <f t="shared" si="55"/>
        <v>5.7955000000000005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56"/>
        <v>0836-07</v>
      </c>
      <c r="AE197" s="95" t="str">
        <f t="shared" si="57"/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197" s="92" t="str">
        <f t="shared" si="58"/>
        <v>"C:\Program Files (x86)\AstroGrep\AstroGrep.exe" /spath="%USERPROFILE%\AppData\Local\Temp\OnboardLogs" /stypes="app*4054*20161008*" /stext=" 00:.+((SYSTEM_STATE.+slice.+state.+changed )|(ment ac)|(system.+state.+changed )|(\[timeout)|(PRM\|1\|D)|(kpr)|(kdp)|(\|lc)|(penalty))" /e /r /s</v>
      </c>
      <c r="AG197" s="1" t="str">
        <f t="shared" si="59"/>
        <v>NW</v>
      </c>
      <c r="AH197" s="96" t="str">
        <f t="shared" si="46"/>
        <v>"%USERPROFILE%\Documents\GitHub\eaglep3\Utilities\RefineRTDCRunTimes.py" --tripid 836-07 --locoid 4054 --swversion DE.1.0.7.0 --startMP 300:58611 --initTime 2016-10-07T18:07:11 --startdatetime 2016-10-07T18:09:47 --delay 1 --endMP 204:656 --enddatetime 2016-10-07T18:26:24 --enforcementcount 0 &gt;&gt;C:\Users\stu\Documents\GitHub\eaglep3-reporting\EC\2016-10-07-refined-times.txt</v>
      </c>
      <c r="AI197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{"issue":{"subject":"","project_id":79,"tracker_id":40,"status_id":1,"priority_id":2,"assigned_to_id":23,"start_date":"2016-10-07","description":"","custom_fields":[{"id":1,"name":"Subdivision","value":"NW"},{"id":4,"name":"Milepost","value":"0.0656"},{"id":17,"name":"Train ID","value":"836-07"},{"id":16,"name":"Locomotive ID","value":"4054"},{"id":130,"name":"Impact","value":""},{"id":150,"name":"Time of Event (Mountain Time)","value":"18:26:24"},{"id":151,"name":"Denver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728</v>
      </c>
      <c r="B198" s="7">
        <v>4025</v>
      </c>
      <c r="C198" s="24" t="s">
        <v>106</v>
      </c>
      <c r="D198" s="24" t="s">
        <v>302</v>
      </c>
      <c r="E198" s="15">
        <v>42650.761180555557</v>
      </c>
      <c r="F198" s="15">
        <v>42650.764999999999</v>
      </c>
      <c r="G198" s="7">
        <v>1</v>
      </c>
      <c r="H198" s="15" t="s">
        <v>281</v>
      </c>
      <c r="I198" s="15">
        <v>42650.774930555555</v>
      </c>
      <c r="J198" s="7">
        <v>0</v>
      </c>
      <c r="K198" s="117" t="str">
        <f t="shared" si="48"/>
        <v>4025/4026</v>
      </c>
      <c r="L198" s="24" t="str">
        <f>VLOOKUP(A198,'Trips&amp;Operators'!$C$1:$E$10000,3,FALSE)</f>
        <v>ARVIDSON</v>
      </c>
      <c r="M198" s="6">
        <f t="shared" si="49"/>
        <v>9.930555555911269E-3</v>
      </c>
      <c r="N198" s="7">
        <f t="shared" ref="N198:N229" si="69">24*60*SUM($M198:$M198)</f>
        <v>14.300000000512227</v>
      </c>
      <c r="O198" s="7"/>
      <c r="P198" s="7"/>
      <c r="Q198" s="25"/>
      <c r="R198" s="25"/>
      <c r="S198" s="37">
        <f t="shared" ref="S198:S229" si="70">SUM(U198:U198)/IF(AG198="EC",12,1)</f>
        <v>1</v>
      </c>
      <c r="T198" s="52" t="str">
        <f t="shared" si="50"/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17:16:06-0600',mode:absolute,to:'2016-10-07 19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8" s="54" t="str">
        <f t="shared" si="52"/>
        <v>N</v>
      </c>
      <c r="X198" s="164">
        <f t="shared" si="68"/>
        <v>1</v>
      </c>
      <c r="Y198" s="69">
        <f t="shared" si="53"/>
        <v>9.8599999999999993E-2</v>
      </c>
      <c r="Z198" s="69">
        <f t="shared" si="54"/>
        <v>5.8930999999999996</v>
      </c>
      <c r="AA198" s="69">
        <f t="shared" si="55"/>
        <v>5.7944999999999993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56"/>
        <v>0837-07</v>
      </c>
      <c r="AE198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198" s="92" t="str">
        <f t="shared" si="58"/>
        <v>"C:\Program Files (x86)\AstroGrep\AstroGrep.exe" /spath="%USERPROFILE%\AppData\Local\Temp\OnboardLogs" /stypes="app*4025*20161008*" /stext=" 00:.+((SYSTEM_STATE.+slice.+state.+changed )|(ment ac)|(system.+state.+changed )|(\[timeout)|(PRM\|1\|D)|(kpr)|(kdp)|(\|lc)|(penalty))" /e /r /s</v>
      </c>
      <c r="AG198" s="1" t="str">
        <f t="shared" si="59"/>
        <v>NW</v>
      </c>
      <c r="AH198" s="96" t="str">
        <f t="shared" si="46"/>
        <v>"%USERPROFILE%\Documents\GitHub\eaglep3\Utilities\RefineRTDCRunTimes.py" --tripid 837-07 --locoid 4025 --swversion DE.1.0.7.0 --startMP 204:986 --initTime 2016-10-07T18:16:06 --startdatetime 2016-10-07T18:21:36 --delay 1 --endMP 300:58931 --enddatetime 2016-10-07T18:35:54 --enforcementcount 0 &gt;&gt;C:\Users\stu\Documents\GitHub\eaglep3-reporting\EC\2016-10-07-refined-times.txt</v>
      </c>
      <c r="AI198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{"issue":{"subject":"","project_id":79,"tracker_id":40,"status_id":1,"priority_id":2,"assigned_to_id":23,"start_date":"2016-10-07","description":"","custom_fields":[{"id":1,"name":"Subdivision","value":"NW"},{"id":4,"name":"Milepost","value":"5.8931"},{"id":17,"name":"Train ID","value":"837-07"},{"id":16,"name":"Locomotive ID","value":"4025"},{"id":130,"name":"Impact","value":""},{"id":150,"name":"Time of Event (Mountain Time)","value":"18:35:54"},{"id":151,"name":"Denver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729</v>
      </c>
      <c r="B199" s="7">
        <v>4026</v>
      </c>
      <c r="C199" s="24" t="s">
        <v>106</v>
      </c>
      <c r="D199" s="24" t="s">
        <v>730</v>
      </c>
      <c r="E199" s="15">
        <v>42650.776145833333</v>
      </c>
      <c r="F199" s="15">
        <v>42650.777627314812</v>
      </c>
      <c r="G199" s="7">
        <v>1</v>
      </c>
      <c r="H199" s="15" t="s">
        <v>731</v>
      </c>
      <c r="I199" s="15">
        <v>42650.79</v>
      </c>
      <c r="J199" s="7">
        <v>0</v>
      </c>
      <c r="K199" s="117" t="str">
        <f t="shared" si="48"/>
        <v>4025/4026</v>
      </c>
      <c r="L199" s="24" t="str">
        <f>VLOOKUP(A199,'Trips&amp;Operators'!$C$1:$E$10000,3,FALSE)</f>
        <v>ARVIDSON</v>
      </c>
      <c r="M199" s="6">
        <f t="shared" si="49"/>
        <v>1.2372685188893229E-2</v>
      </c>
      <c r="N199" s="7">
        <f t="shared" si="69"/>
        <v>17.816666672006249</v>
      </c>
      <c r="O199" s="7"/>
      <c r="P199" s="7"/>
      <c r="Q199" s="25"/>
      <c r="R199" s="25"/>
      <c r="S199" s="37">
        <f t="shared" si="70"/>
        <v>1</v>
      </c>
      <c r="T199" s="52" t="str">
        <f t="shared" si="50"/>
        <v>Southbound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17:37:39-0600',mode:absolute,to:'2016-10-07 19:57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9" s="54" t="str">
        <f t="shared" si="52"/>
        <v>N</v>
      </c>
      <c r="X199" s="164">
        <f t="shared" si="68"/>
        <v>1</v>
      </c>
      <c r="Y199" s="69">
        <f t="shared" si="53"/>
        <v>5.8619000000000003</v>
      </c>
      <c r="Z199" s="69">
        <f t="shared" si="54"/>
        <v>7.0499999999999993E-2</v>
      </c>
      <c r="AA199" s="69">
        <f t="shared" si="55"/>
        <v>5.7914000000000003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56"/>
        <v>0838-07</v>
      </c>
      <c r="AE199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199" s="92" t="str">
        <f t="shared" si="58"/>
        <v>"C:\Program Files (x86)\AstroGrep\AstroGrep.exe" /spath="%USERPROFILE%\AppData\Local\Temp\OnboardLogs" /stypes="app*4026*20161008*" /stext=" 00:.+((SYSTEM_STATE.+slice.+state.+changed )|(ment ac)|(system.+state.+changed )|(\[timeout)|(PRM\|1\|D)|(kpr)|(kdp)|(\|lc)|(penalty))" /e /r /s</v>
      </c>
      <c r="AG199" s="1" t="str">
        <f t="shared" si="59"/>
        <v>NW</v>
      </c>
      <c r="AH199" s="96" t="str">
        <f t="shared" si="46"/>
        <v>"%USERPROFILE%\Documents\GitHub\eaglep3\Utilities\RefineRTDCRunTimes.py" --tripid 838-07 --locoid 4026 --swversion DE.1.0.7.0 --startMP 300:58619 --initTime 2016-10-07T18:37:39 --startdatetime 2016-10-07T18:39:47 --delay 1 --endMP 204:705 --enddatetime 2016-10-07T18:57:36 --enforcementcount 0 &gt;&gt;C:\Users\stu\Documents\GitHub\eaglep3-reporting\EC\2016-10-07-refined-times.txt</v>
      </c>
      <c r="AI199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{"issue":{"subject":"","project_id":79,"tracker_id":40,"status_id":1,"priority_id":2,"assigned_to_id":23,"start_date":"2016-10-07","description":"","custom_fields":[{"id":1,"name":"Subdivision","value":"NW"},{"id":4,"name":"Milepost","value":"0.0705"},{"id":17,"name":"Train ID","value":"838-07"},{"id":16,"name":"Locomotive ID","value":"4026"},{"id":130,"name":"Impact","value":""},{"id":150,"name":"Time of Event (Mountain Time)","value":"18:57:36"},{"id":151,"name":"Denver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732</v>
      </c>
      <c r="B200" s="7">
        <v>4053</v>
      </c>
      <c r="C200" s="24" t="s">
        <v>106</v>
      </c>
      <c r="D200" s="24" t="s">
        <v>733</v>
      </c>
      <c r="E200" s="15">
        <v>42650.771504629629</v>
      </c>
      <c r="F200" s="15">
        <v>42650.785578703704</v>
      </c>
      <c r="G200" s="7">
        <v>1</v>
      </c>
      <c r="H200" s="15" t="s">
        <v>734</v>
      </c>
      <c r="I200" s="15">
        <v>42650.794872685183</v>
      </c>
      <c r="J200" s="7">
        <v>0</v>
      </c>
      <c r="K200" s="117" t="str">
        <f t="shared" si="48"/>
        <v>4053/4054</v>
      </c>
      <c r="L200" s="24" t="str">
        <f>VLOOKUP(A200,'Trips&amp;Operators'!$C$1:$E$10000,3,FALSE)</f>
        <v>NEWELL</v>
      </c>
      <c r="M200" s="6">
        <f t="shared" si="49"/>
        <v>9.29398147854954E-3</v>
      </c>
      <c r="N200" s="7">
        <f t="shared" si="69"/>
        <v>13.383333329111338</v>
      </c>
      <c r="O200" s="7"/>
      <c r="P200" s="7"/>
      <c r="Q200" s="25"/>
      <c r="R200" s="25"/>
      <c r="S200" s="37">
        <f t="shared" si="70"/>
        <v>1</v>
      </c>
      <c r="T200" s="52" t="str">
        <f t="shared" si="50"/>
        <v>NorthBound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17:30:58-0600',mode:absolute,to:'2016-10-07 20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4" t="str">
        <f t="shared" si="52"/>
        <v>N</v>
      </c>
      <c r="X200" s="164">
        <f t="shared" si="68"/>
        <v>1</v>
      </c>
      <c r="Y200" s="69">
        <f t="shared" si="53"/>
        <v>9.5699999999999993E-2</v>
      </c>
      <c r="Z200" s="69">
        <f t="shared" si="54"/>
        <v>5.8912000000000004</v>
      </c>
      <c r="AA200" s="69">
        <f t="shared" si="55"/>
        <v>5.7955000000000005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56"/>
        <v>0839-07</v>
      </c>
      <c r="AE200" s="95" t="str">
        <f t="shared" si="57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200" s="92" t="str">
        <f t="shared" si="58"/>
        <v>"C:\Program Files (x86)\AstroGrep\AstroGrep.exe" /spath="%USERPROFILE%\AppData\Local\Temp\OnboardLogs" /stypes="app*4053*20161008*" /stext=" 01:.+((SYSTEM_STATE.+slice.+state.+changed )|(ment ac)|(system.+state.+changed )|(\[timeout)|(PRM\|1\|D)|(kpr)|(kdp)|(\|lc)|(penalty))" /e /r /s</v>
      </c>
      <c r="AG200" s="1" t="str">
        <f t="shared" si="59"/>
        <v>NW</v>
      </c>
      <c r="AH200" s="96" t="str">
        <f t="shared" si="46"/>
        <v>"%USERPROFILE%\Documents\GitHub\eaglep3\Utilities\RefineRTDCRunTimes.py" --tripid 839-07 --locoid 4053 --swversion DE.1.0.7.0 --startMP 204:957 --initTime 2016-10-07T18:30:58 --startdatetime 2016-10-07T18:51:14 --delay 1 --endMP 300:58912 --enddatetime 2016-10-07T19:04:37 --enforcementcount 0 &gt;&gt;C:\Users\stu\Documents\GitHub\eaglep3-reporting\EC\2016-10-07-refined-times.txt</v>
      </c>
      <c r="AI200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{"issue":{"subject":"","project_id":79,"tracker_id":40,"status_id":1,"priority_id":2,"assigned_to_id":23,"start_date":"2016-10-07","description":"","custom_fields":[{"id":1,"name":"Subdivision","value":"NW"},{"id":4,"name":"Milepost","value":"5.8912"},{"id":17,"name":"Train ID","value":"839-07"},{"id":16,"name":"Locomotive ID","value":"4053"},{"id":130,"name":"Impact","value":""},{"id":150,"name":"Time of Event (Mountain Time)","value":"19:04:37"},{"id":151,"name":"Denver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735</v>
      </c>
      <c r="B201" s="7">
        <v>4026</v>
      </c>
      <c r="C201" s="24" t="s">
        <v>106</v>
      </c>
      <c r="D201" s="24" t="s">
        <v>352</v>
      </c>
      <c r="E201" s="15">
        <v>42650.818310185183</v>
      </c>
      <c r="F201" s="15">
        <v>42650.820636574077</v>
      </c>
      <c r="G201" s="7">
        <v>1</v>
      </c>
      <c r="H201" s="15" t="s">
        <v>272</v>
      </c>
      <c r="I201" s="15">
        <v>42650.83079861111</v>
      </c>
      <c r="J201" s="7">
        <v>0</v>
      </c>
      <c r="K201" s="117" t="str">
        <f t="shared" si="48"/>
        <v>4025/4026</v>
      </c>
      <c r="L201" s="24" t="str">
        <f>VLOOKUP(A201,'Trips&amp;Operators'!$C$1:$E$10000,3,FALSE)</f>
        <v>ARVIDSON</v>
      </c>
      <c r="M201" s="6">
        <f t="shared" si="49"/>
        <v>1.0162037033296656E-2</v>
      </c>
      <c r="N201" s="7">
        <f t="shared" si="69"/>
        <v>14.633333327947184</v>
      </c>
      <c r="O201" s="7"/>
      <c r="P201" s="7"/>
      <c r="Q201" s="25"/>
      <c r="R201" s="25"/>
      <c r="S201" s="37">
        <f t="shared" si="70"/>
        <v>1</v>
      </c>
      <c r="T201" s="52" t="str">
        <f t="shared" si="50"/>
        <v>Southbound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18:38:22-0600',mode:absolute,to:'2016-10-07 20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1" s="54" t="str">
        <f t="shared" si="52"/>
        <v>N</v>
      </c>
      <c r="X201" s="164">
        <f t="shared" ref="X201:X232" si="71">VALUE(LEFT(AD201,4))-VALUE(LEFT(AD200,4))</f>
        <v>1</v>
      </c>
      <c r="Y201" s="69">
        <f t="shared" si="53"/>
        <v>5.8604000000000003</v>
      </c>
      <c r="Z201" s="69">
        <f t="shared" si="54"/>
        <v>7.1199999999999999E-2</v>
      </c>
      <c r="AA201" s="69">
        <f t="shared" si="55"/>
        <v>5.7892000000000001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56"/>
        <v>0840-07</v>
      </c>
      <c r="AE201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01" s="92" t="str">
        <f t="shared" si="58"/>
        <v>"C:\Program Files (x86)\AstroGrep\AstroGrep.exe" /spath="%USERPROFILE%\AppData\Local\Temp\OnboardLogs" /stypes="app*4026*20161008*" /stext=" 01:.+((SYSTEM_STATE.+slice.+state.+changed )|(ment ac)|(system.+state.+changed )|(\[timeout)|(PRM\|1\|D)|(kpr)|(kdp)|(\|lc)|(penalty))" /e /r /s</v>
      </c>
      <c r="AG201" s="1" t="str">
        <f t="shared" si="59"/>
        <v>NW</v>
      </c>
      <c r="AH201" s="96" t="str">
        <f t="shared" si="46"/>
        <v>"%USERPROFILE%\Documents\GitHub\eaglep3\Utilities\RefineRTDCRunTimes.py" --tripid 840-07 --locoid 4026 --swversion DE.1.0.7.0 --startMP 300:58604 --initTime 2016-10-07T19:38:22 --startdatetime 2016-10-07T19:41:43 --delay 1 --endMP 204:712 --enddatetime 2016-10-07T19:56:21 --enforcementcount 0 &gt;&gt;C:\Users\stu\Documents\GitHub\eaglep3-reporting\EC\2016-10-07-refined-times.txt</v>
      </c>
      <c r="AI201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{"issue":{"subject":"","project_id":79,"tracker_id":40,"status_id":1,"priority_id":2,"assigned_to_id":23,"start_date":"2016-10-07","description":"","custom_fields":[{"id":1,"name":"Subdivision","value":"NW"},{"id":4,"name":"Milepost","value":"0.0712"},{"id":17,"name":"Train ID","value":"840-07"},{"id":16,"name":"Locomotive ID","value":"4026"},{"id":130,"name":"Impact","value":""},{"id":150,"name":"Time of Event (Mountain Time)","value":"19:56:21"},{"id":151,"name":"Denver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736</v>
      </c>
      <c r="B202" s="7">
        <v>4025</v>
      </c>
      <c r="C202" s="24" t="s">
        <v>106</v>
      </c>
      <c r="D202" s="24" t="s">
        <v>348</v>
      </c>
      <c r="E202" s="15">
        <v>42650.80097222222</v>
      </c>
      <c r="F202" s="15">
        <v>42650.806585648148</v>
      </c>
      <c r="G202" s="7">
        <v>1</v>
      </c>
      <c r="H202" s="15" t="s">
        <v>690</v>
      </c>
      <c r="I202" s="15">
        <v>42650.816770833335</v>
      </c>
      <c r="J202" s="7">
        <v>0</v>
      </c>
      <c r="K202" s="117" t="str">
        <f t="shared" si="48"/>
        <v>4025/4026</v>
      </c>
      <c r="L202" s="24" t="str">
        <f>VLOOKUP(A202,'Trips&amp;Operators'!$C$1:$E$10000,3,FALSE)</f>
        <v>ARVIDSON</v>
      </c>
      <c r="M202" s="6">
        <f t="shared" si="49"/>
        <v>1.0185185186855961E-2</v>
      </c>
      <c r="N202" s="7">
        <f t="shared" si="69"/>
        <v>14.666666669072583</v>
      </c>
      <c r="O202" s="7"/>
      <c r="P202" s="7"/>
      <c r="Q202" s="25"/>
      <c r="R202" s="25"/>
      <c r="S202" s="37">
        <f t="shared" si="70"/>
        <v>1</v>
      </c>
      <c r="T202" s="52" t="str">
        <f t="shared" si="50"/>
        <v>NorthBound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18:13:24-0600',mode:absolute,to:'2016-10-07 20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2" s="54" t="str">
        <f t="shared" si="52"/>
        <v>N</v>
      </c>
      <c r="X202" s="164">
        <f t="shared" si="71"/>
        <v>1</v>
      </c>
      <c r="Y202" s="69">
        <f t="shared" si="53"/>
        <v>0.1023</v>
      </c>
      <c r="Z202" s="69">
        <f t="shared" si="54"/>
        <v>5.8920000000000003</v>
      </c>
      <c r="AA202" s="69">
        <f t="shared" si="55"/>
        <v>5.7897000000000007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56"/>
        <v>0841-07</v>
      </c>
      <c r="AE202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202" s="92" t="str">
        <f t="shared" si="58"/>
        <v>"C:\Program Files (x86)\AstroGrep\AstroGrep.exe" /spath="%USERPROFILE%\AppData\Local\Temp\OnboardLogs" /stypes="app*4025*20161008*" /stext=" 01:.+((SYSTEM_STATE.+slice.+state.+changed )|(ment ac)|(system.+state.+changed )|(\[timeout)|(PRM\|1\|D)|(kpr)|(kdp)|(\|lc)|(penalty))" /e /r /s</v>
      </c>
      <c r="AG202" s="1" t="str">
        <f t="shared" si="59"/>
        <v>NW</v>
      </c>
      <c r="AH202" s="96" t="str">
        <f t="shared" si="46"/>
        <v>"%USERPROFILE%\Documents\GitHub\eaglep3\Utilities\RefineRTDCRunTimes.py" --tripid 841-07 --locoid 4025 --swversion DE.1.0.7.0 --startMP 204:1023 --initTime 2016-10-07T19:13:24 --startdatetime 2016-10-07T19:21:29 --delay 1 --endMP 300:58920 --enddatetime 2016-10-07T19:36:09 --enforcementcount 0 &gt;&gt;C:\Users\stu\Documents\GitHub\eaglep3-reporting\EC\2016-10-07-refined-times.txt</v>
      </c>
      <c r="AI202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{"issue":{"subject":"","project_id":79,"tracker_id":40,"status_id":1,"priority_id":2,"assigned_to_id":23,"start_date":"2016-10-07","description":"","custom_fields":[{"id":1,"name":"Subdivision","value":"NW"},{"id":4,"name":"Milepost","value":"5.892"},{"id":17,"name":"Train ID","value":"841-07"},{"id":16,"name":"Locomotive ID","value":"4025"},{"id":130,"name":"Impact","value":""},{"id":150,"name":"Time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737</v>
      </c>
      <c r="B203" s="7">
        <v>4026</v>
      </c>
      <c r="C203" s="24" t="s">
        <v>106</v>
      </c>
      <c r="D203" s="24" t="s">
        <v>738</v>
      </c>
      <c r="E203" s="15">
        <v>42650.860023148147</v>
      </c>
      <c r="F203" s="15">
        <v>42650.861585648148</v>
      </c>
      <c r="G203" s="7">
        <v>1</v>
      </c>
      <c r="H203" s="15" t="s">
        <v>359</v>
      </c>
      <c r="I203" s="15">
        <v>42650.871990740743</v>
      </c>
      <c r="J203" s="7">
        <v>0</v>
      </c>
      <c r="K203" s="117" t="str">
        <f t="shared" si="48"/>
        <v>4025/4026</v>
      </c>
      <c r="L203" s="24" t="str">
        <f>VLOOKUP(A203,'Trips&amp;Operators'!$C$1:$E$10000,3,FALSE)</f>
        <v>ARVIDSON</v>
      </c>
      <c r="M203" s="6">
        <f t="shared" si="49"/>
        <v>1.0405092594737653E-2</v>
      </c>
      <c r="N203" s="7">
        <f t="shared" si="69"/>
        <v>14.98333333642222</v>
      </c>
      <c r="O203" s="7"/>
      <c r="P203" s="7"/>
      <c r="Q203" s="25"/>
      <c r="R203" s="25"/>
      <c r="S203" s="37">
        <f t="shared" si="70"/>
        <v>1</v>
      </c>
      <c r="T203" s="52" t="str">
        <f t="shared" si="50"/>
        <v>Southbound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19:38:26-0600',mode:absolute,to:'2016-10-07 21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3" s="54" t="str">
        <f t="shared" si="52"/>
        <v>N</v>
      </c>
      <c r="X203" s="164">
        <f t="shared" si="71"/>
        <v>1</v>
      </c>
      <c r="Y203" s="69">
        <f t="shared" si="53"/>
        <v>5.8586999999999998</v>
      </c>
      <c r="Z203" s="69">
        <f t="shared" si="54"/>
        <v>7.3800000000000004E-2</v>
      </c>
      <c r="AA203" s="69">
        <f t="shared" si="55"/>
        <v>5.7848999999999995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56"/>
        <v>0842-07</v>
      </c>
      <c r="AE203" s="95" t="str">
        <f t="shared" si="57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03" s="92" t="str">
        <f t="shared" si="58"/>
        <v>"C:\Program Files (x86)\AstroGrep\AstroGrep.exe" /spath="%USERPROFILE%\AppData\Local\Temp\OnboardLogs" /stypes="app*4026*20161008*" /stext=" 02:.+((SYSTEM_STATE.+slice.+state.+changed )|(ment ac)|(system.+state.+changed )|(\[timeout)|(PRM\|1\|D)|(kpr)|(kdp)|(\|lc)|(penalty))" /e /r /s</v>
      </c>
      <c r="AG203" s="1" t="str">
        <f t="shared" si="59"/>
        <v>NW</v>
      </c>
      <c r="AH203" s="96" t="str">
        <f t="shared" si="46"/>
        <v>"%USERPROFILE%\Documents\GitHub\eaglep3\Utilities\RefineRTDCRunTimes.py" --tripid 842-07 --locoid 4026 --swversion DE.1.0.7.0 --startMP 300:58587 --initTime 2016-10-07T20:38:26 --startdatetime 2016-10-07T20:40:41 --delay 1 --endMP 204:738 --enddatetime 2016-10-07T20:55:40 --enforcementcount 0 &gt;&gt;C:\Users\stu\Documents\GitHub\eaglep3-reporting\EC\2016-10-07-refined-times.txt</v>
      </c>
      <c r="AI203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{"issue":{"subject":"","project_id":79,"tracker_id":40,"status_id":1,"priority_id":2,"assigned_to_id":23,"start_date":"2016-10-07","description":"","custom_fields":[{"id":1,"name":"Subdivision","value":"NW"},{"id":4,"name":"Milepost","value":"0.0738"},{"id":17,"name":"Train ID","value":"842-07"},{"id":16,"name":"Locomotive ID","value":"4026"},{"id":130,"name":"Impact","value":""},{"id":150,"name":"Time of Event (Mountain Time)","value":"20:55:40"},{"id":151,"name":"Denver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739</v>
      </c>
      <c r="B204" s="7">
        <v>4025</v>
      </c>
      <c r="C204" s="24" t="s">
        <v>106</v>
      </c>
      <c r="D204" s="24" t="s">
        <v>357</v>
      </c>
      <c r="E204" s="15">
        <v>42650.843622685185</v>
      </c>
      <c r="F204" s="15">
        <v>42650.848217592589</v>
      </c>
      <c r="G204" s="7">
        <v>1</v>
      </c>
      <c r="H204" s="15" t="s">
        <v>360</v>
      </c>
      <c r="I204" s="15">
        <v>42650.858576388891</v>
      </c>
      <c r="J204" s="7">
        <v>0</v>
      </c>
      <c r="K204" s="117" t="str">
        <f t="shared" si="48"/>
        <v>4025/4026</v>
      </c>
      <c r="L204" s="24" t="str">
        <f>VLOOKUP(A204,'Trips&amp;Operators'!$C$1:$E$10000,3,FALSE)</f>
        <v>ARVIDSON</v>
      </c>
      <c r="M204" s="6">
        <f t="shared" si="49"/>
        <v>1.0358796302170958E-2</v>
      </c>
      <c r="N204" s="7">
        <f t="shared" si="69"/>
        <v>14.91666667512618</v>
      </c>
      <c r="O204" s="7"/>
      <c r="P204" s="7"/>
      <c r="Q204" s="25"/>
      <c r="R204" s="25"/>
      <c r="S204" s="37">
        <f t="shared" si="70"/>
        <v>1</v>
      </c>
      <c r="T204" s="52" t="str">
        <f t="shared" si="50"/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51"/>
        <v>https://search-rtdc-monitor-bjffxe2xuh6vdkpspy63sjmuny.us-east-1.es.amazonaws.com/_plugin/kibana/#/discover/Steve-Slow-Train-Analysis-(2080s-and-2083s)?_g=(refreshInterval:(display:Off,section:0,value:0),time:(from:'2016-10-07 19:14:49-0600',mode:absolute,to:'2016-10-07 21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4" s="54" t="str">
        <f t="shared" si="52"/>
        <v>N</v>
      </c>
      <c r="X204" s="164">
        <f t="shared" si="71"/>
        <v>1</v>
      </c>
      <c r="Y204" s="69">
        <f t="shared" si="53"/>
        <v>9.9900000000000003E-2</v>
      </c>
      <c r="Z204" s="69">
        <f t="shared" si="54"/>
        <v>5.8914</v>
      </c>
      <c r="AA204" s="69">
        <f t="shared" si="55"/>
        <v>5.7915000000000001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56"/>
        <v>0843-07</v>
      </c>
      <c r="AE204" s="95" t="str">
        <f t="shared" si="57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204" s="92" t="str">
        <f t="shared" si="58"/>
        <v>"C:\Program Files (x86)\AstroGrep\AstroGrep.exe" /spath="%USERPROFILE%\AppData\Local\Temp\OnboardLogs" /stypes="app*4025*20161008*" /stext=" 02:.+((SYSTEM_STATE.+slice.+state.+changed )|(ment ac)|(system.+state.+changed )|(\[timeout)|(PRM\|1\|D)|(kpr)|(kdp)|(\|lc)|(penalty))" /e /r /s</v>
      </c>
      <c r="AG204" s="1" t="str">
        <f t="shared" si="59"/>
        <v>NW</v>
      </c>
      <c r="AH204" s="96" t="str">
        <f t="shared" si="46"/>
        <v>"%USERPROFILE%\Documents\GitHub\eaglep3\Utilities\RefineRTDCRunTimes.py" --tripid 843-07 --locoid 4025 --swversion DE.1.0.7.0 --startMP 204:999 --initTime 2016-10-07T20:14:49 --startdatetime 2016-10-07T20:21:26 --delay 1 --endMP 300:58914 --enddatetime 2016-10-07T20:36:21 --enforcementcount 0 &gt;&gt;C:\Users\stu\Documents\GitHub\eaglep3-reporting\EC\2016-10-07-refined-times.txt</v>
      </c>
      <c r="AI204" s="130" t="str">
        <f t="shared" si="47"/>
        <v>echo {"issue":{"subject":"","project_id":79,"tracker_id":40,"status_id":1,"priority_id":2,"assigned_to_id":23,"start_date":"2016-10-07","description":"","custom_fields":[{"id":1,"name":"Subdivision","value":"NW"},{"id":4,"name":"Milepost","value":"5.8914"},{"id":17,"name":"Train ID","value":"843-07"},{"id":16,"name":"Locomotive ID","value":"4025"},{"id":130,"name":"Impact","value":""},{"id":150,"name":"Time of Event (Mountain Time)","value":"20:36:21"},{"id":151,"name":"Denver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740</v>
      </c>
      <c r="B205" s="7">
        <v>4026</v>
      </c>
      <c r="C205" s="24" t="s">
        <v>106</v>
      </c>
      <c r="D205" s="24" t="s">
        <v>741</v>
      </c>
      <c r="E205" s="15">
        <v>42650.900659722225</v>
      </c>
      <c r="F205" s="15">
        <v>42650.902187500003</v>
      </c>
      <c r="G205" s="7">
        <v>1</v>
      </c>
      <c r="H205" s="15" t="s">
        <v>356</v>
      </c>
      <c r="I205" s="15">
        <v>42650.913368055553</v>
      </c>
      <c r="J205" s="7">
        <v>0</v>
      </c>
      <c r="K205" s="117" t="str">
        <f t="shared" ref="K205:K244" si="72">IF(ISEVEN(B205),(B205-1)&amp;"/"&amp;B205,B205&amp;"/"&amp;(B205+1))</f>
        <v>4025/4026</v>
      </c>
      <c r="L205" s="24" t="str">
        <f>VLOOKUP(A205,'Trips&amp;Operators'!$C$1:$E$10000,3,FALSE)</f>
        <v>NEWELL</v>
      </c>
      <c r="M205" s="6">
        <f t="shared" ref="M205:M244" si="73">I205-F205</f>
        <v>1.1180555549799465E-2</v>
      </c>
      <c r="N205" s="7">
        <f t="shared" si="69"/>
        <v>16.099999991711229</v>
      </c>
      <c r="O205" s="7"/>
      <c r="P205" s="7"/>
      <c r="Q205" s="25"/>
      <c r="R205" s="25"/>
      <c r="S205" s="37">
        <f t="shared" si="70"/>
        <v>1</v>
      </c>
      <c r="T205" s="52" t="str">
        <f t="shared" ref="T205:T244" si="74">IF(ISEVEN(LEFT(AD205,4)),"Southbound","NorthBound")</f>
        <v>Southbound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ref="V205:V244" si="75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https://search-rtdc-monitor-bjffxe2xuh6vdkpspy63sjmuny.us-east-1.es.amazonaws.com/_plugin/kibana/#/discover/Steve-Slow-Train-Analysis-(2080s-and-2083s)?_g=(refreshInterval:(display:Off,section:0,value:0),time:(from:'2016-10-07 20:36:57-0600',mode:absolute,to:'2016-10-07 22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5" s="54" t="str">
        <f t="shared" ref="W205:W244" si="76">IF(AA205&lt;IF(AG205="EC",23,5.65),"Y","N")</f>
        <v>N</v>
      </c>
      <c r="X205" s="164">
        <f t="shared" si="71"/>
        <v>1</v>
      </c>
      <c r="Y205" s="69">
        <f t="shared" ref="Y205:Y244" si="77">RIGHT(D205,LEN(D205)-4)/10000</f>
        <v>5.8608000000000002</v>
      </c>
      <c r="Z205" s="69">
        <f t="shared" ref="Z205:Z244" si="78">RIGHT(H205,LEN(H205)-4)/10000</f>
        <v>6.6799999999999998E-2</v>
      </c>
      <c r="AA205" s="69">
        <f t="shared" ref="AA205:AA244" si="79">ABS(Z205-Y205)</f>
        <v>5.7940000000000005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44" si="80">IF(LEN(A205)=6,"0"&amp;A205,A205)</f>
        <v>0844-07</v>
      </c>
      <c r="AE205" s="95" t="str">
        <f t="shared" ref="AE205:AE244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05" s="92" t="str">
        <f t="shared" ref="AF205:AF244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/stypes="app*4026*20161008*" /stext=" 03:.+((SYSTEM_STATE.+slice.+state.+changed )|(ment ac)|(system.+state.+changed )|(\[timeout)|(PRM\|1\|D)|(kpr)|(kdp)|(\|lc)|(penalty))" /e /r /s</v>
      </c>
      <c r="AG205" s="1" t="str">
        <f t="shared" ref="AG205:AG244" si="83">IFERROR(IF(VALUE(LEFT(AD205,2))&lt;=2,"EC",IF(OR(VALUE(LEFT(AD205,2))=8,VALUE(LEFT(AD205,2))=18),"NW","Other")),"Other")</f>
        <v>NW</v>
      </c>
      <c r="AH205" s="96" t="str">
        <f t="shared" ref="AH205:AH244" si="8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844-07 --locoid 4026 --swversion DE.1.0.7.0 --startMP 300:58608 --initTime 2016-10-07T21:36:57 --startdatetime 2016-10-07T21:39:09 --delay 1 --endMP 204:668 --enddatetime 2016-10-07T21:55:15 --enforcementcount 0 &gt;&gt;C:\Users\stu\Documents\GitHub\eaglep3-reporting\EC\2016-10-07-refined-times.txt</v>
      </c>
      <c r="AI205" s="130" t="str">
        <f t="shared" ref="AI205:AI244" si="8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{"issue":{"subject":"","project_id":79,"tracker_id":40,"status_id":1,"priority_id":2,"assigned_to_id":23,"start_date":"2016-10-07","description":"","custom_fields":[{"id":1,"name":"Subdivision","value":"NW"},{"id":4,"name":"Milepost","value":"0.0668"},{"id":17,"name":"Train ID","value":"844-07"},{"id":16,"name":"Locomotive ID","value":"4026"},{"id":130,"name":"Impact","value":""},{"id":150,"name":"Time of Event (Mountain Time)","value":"21:55:15"},{"id":151,"name":"Denver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742</v>
      </c>
      <c r="B206" s="7">
        <v>4025</v>
      </c>
      <c r="C206" s="24" t="s">
        <v>106</v>
      </c>
      <c r="D206" s="24" t="s">
        <v>743</v>
      </c>
      <c r="E206" s="15">
        <v>42650.877881944441</v>
      </c>
      <c r="F206" s="15">
        <v>42650.890023148146</v>
      </c>
      <c r="G206" s="7">
        <v>1</v>
      </c>
      <c r="H206" s="15" t="s">
        <v>705</v>
      </c>
      <c r="I206" s="15">
        <v>42650.899467592593</v>
      </c>
      <c r="J206" s="7">
        <v>0</v>
      </c>
      <c r="K206" s="117" t="str">
        <f t="shared" si="72"/>
        <v>4025/4026</v>
      </c>
      <c r="L206" s="24" t="str">
        <f>VLOOKUP(A206,'Trips&amp;Operators'!$C$1:$E$10000,3,FALSE)</f>
        <v>NEWELL</v>
      </c>
      <c r="M206" s="6">
        <f t="shared" si="73"/>
        <v>9.4444444475811906E-3</v>
      </c>
      <c r="N206" s="7">
        <f t="shared" si="69"/>
        <v>13.600000004516914</v>
      </c>
      <c r="O206" s="7"/>
      <c r="P206" s="7"/>
      <c r="Q206" s="25"/>
      <c r="R206" s="25"/>
      <c r="S206" s="37">
        <f t="shared" si="70"/>
        <v>1</v>
      </c>
      <c r="T206" s="52" t="str">
        <f t="shared" si="74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20:04:09-0600',mode:absolute,to:'2016-10-07 22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6" s="54" t="str">
        <f t="shared" si="76"/>
        <v>N</v>
      </c>
      <c r="X206" s="164">
        <f t="shared" si="71"/>
        <v>1</v>
      </c>
      <c r="Y206" s="69">
        <f t="shared" si="77"/>
        <v>0.10340000000000001</v>
      </c>
      <c r="Z206" s="69">
        <f t="shared" si="78"/>
        <v>5.8916000000000004</v>
      </c>
      <c r="AA206" s="69">
        <f t="shared" si="79"/>
        <v>5.7882000000000007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80"/>
        <v>0845-07</v>
      </c>
      <c r="AE206" s="95" t="str">
        <f t="shared" si="81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206" s="92" t="str">
        <f t="shared" si="82"/>
        <v>"C:\Program Files (x86)\AstroGrep\AstroGrep.exe" /spath="%USERPROFILE%\AppData\Local\Temp\OnboardLogs" /stypes="app*4025*20161008*" /stext=" 03:.+((SYSTEM_STATE.+slice.+state.+changed )|(ment ac)|(system.+state.+changed )|(\[timeout)|(PRM\|1\|D)|(kpr)|(kdp)|(\|lc)|(penalty))" /e /r /s</v>
      </c>
      <c r="AG206" s="1" t="str">
        <f t="shared" si="83"/>
        <v>NW</v>
      </c>
      <c r="AH206" s="96" t="str">
        <f t="shared" si="84"/>
        <v>"%USERPROFILE%\Documents\GitHub\eaglep3\Utilities\RefineRTDCRunTimes.py" --tripid 845-07 --locoid 4025 --swversion DE.1.0.7.0 --startMP 204:1034 --initTime 2016-10-07T21:04:09 --startdatetime 2016-10-07T21:21:38 --delay 1 --endMP 300:58916 --enddatetime 2016-10-07T21:35:14 --enforcementcount 0 &gt;&gt;C:\Users\stu\Documents\GitHub\eaglep3-reporting\EC\2016-10-07-refined-times.txt</v>
      </c>
      <c r="AI206" s="130" t="str">
        <f t="shared" si="85"/>
        <v>echo {"issue":{"subject":"","project_id":79,"tracker_id":40,"status_id":1,"priority_id":2,"assigned_to_id":23,"start_date":"2016-10-07","description":"","custom_fields":[{"id":1,"name":"Subdivision","value":"NW"},{"id":4,"name":"Milepost","value":"5.8916"},{"id":17,"name":"Train ID","value":"845-07"},{"id":16,"name":"Locomotive ID","value":"4025"},{"id":130,"name":"Impact","value":""},{"id":150,"name":"Time of Event (Mountain Time)","value":"21:35:14"},{"id":151,"name":"Denver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744</v>
      </c>
      <c r="B207" s="7">
        <v>4025</v>
      </c>
      <c r="C207" s="24" t="s">
        <v>106</v>
      </c>
      <c r="D207" s="24" t="s">
        <v>745</v>
      </c>
      <c r="E207" s="15">
        <v>42650.921909722223</v>
      </c>
      <c r="F207" s="15">
        <v>42650.931527777779</v>
      </c>
      <c r="G207" s="7">
        <v>1</v>
      </c>
      <c r="H207" s="15" t="s">
        <v>673</v>
      </c>
      <c r="I207" s="15">
        <v>42650.941388888888</v>
      </c>
      <c r="J207" s="7">
        <v>0</v>
      </c>
      <c r="K207" s="117" t="str">
        <f t="shared" si="72"/>
        <v>4025/4026</v>
      </c>
      <c r="L207" s="24" t="str">
        <f>VLOOKUP(A207,'Trips&amp;Operators'!$C$1:$E$10000,3,FALSE)</f>
        <v>NEWELL</v>
      </c>
      <c r="M207" s="6">
        <f t="shared" si="73"/>
        <v>9.8611111097852699E-3</v>
      </c>
      <c r="N207" s="7">
        <f t="shared" si="69"/>
        <v>14.199999998090789</v>
      </c>
      <c r="O207" s="7"/>
      <c r="P207" s="7"/>
      <c r="Q207" s="25"/>
      <c r="R207" s="25"/>
      <c r="S207" s="37">
        <f t="shared" si="70"/>
        <v>1</v>
      </c>
      <c r="T207" s="52" t="str">
        <f t="shared" si="74"/>
        <v>NorthBound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21:07:33-0600',mode:absolute,to:'2016-10-07 23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7" s="54" t="str">
        <f t="shared" si="76"/>
        <v>N</v>
      </c>
      <c r="X207" s="164">
        <f t="shared" si="71"/>
        <v>2</v>
      </c>
      <c r="Y207" s="69">
        <f t="shared" si="77"/>
        <v>9.4100000000000003E-2</v>
      </c>
      <c r="Z207" s="69">
        <f t="shared" si="78"/>
        <v>5.8906999999999998</v>
      </c>
      <c r="AA207" s="69">
        <f t="shared" si="79"/>
        <v>5.7965999999999998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80"/>
        <v>0847-07</v>
      </c>
      <c r="AE207" s="95" t="str">
        <f t="shared" si="81"/>
        <v>aws s3 cp s3://rtdc.mdm.uploadarchive.raw/RTDC4025/ "%USERPROFILE%\AppData\Local\Temp\OnboardLogs"\RTDC4025\2016-10-07 --exclude "*" --recursive --include "*20161007*" &amp; "%USERPROFILE%\Documents\GitHub\mrs-test-scripts\Headless Mode &amp; Sideloading\WalkAndUnGZ.bat" "%USERPROFILE%\AppData\Local\Temp\OnboardLogs"\RTDC4025\2016-10-07 &amp; aws s3 cp s3://rtdc.mdm.uploadarchive.raw/RTDC4025/ "%USERPROFILE%\AppData\Local\Temp\OnboardLogs"\RTDC4025\2016-10-08 --exclude "*" --recursive --include "*20161008*" &amp; "%USERPROFILE%\Documents\GitHub\mrs-test-scripts\Headless Mode &amp; Sideloading\WalkAndUnGZ.bat" "%USERPROFILE%\AppData\Local\Temp\OnboardLogs"\RTDC4025\2016-10-08</v>
      </c>
      <c r="AF207" s="92" t="str">
        <f t="shared" si="82"/>
        <v>"C:\Program Files (x86)\AstroGrep\AstroGrep.exe" /spath="%USERPROFILE%\AppData\Local\Temp\OnboardLogs" /stypes="app*4025*20161008*" /stext=" 04:.+((SYSTEM_STATE.+slice.+state.+changed )|(ment ac)|(system.+state.+changed )|(\[timeout)|(PRM\|1\|D)|(kpr)|(kdp)|(\|lc)|(penalty))" /e /r /s</v>
      </c>
      <c r="AG207" s="1" t="str">
        <f t="shared" si="83"/>
        <v>NW</v>
      </c>
      <c r="AH207" s="96" t="str">
        <f t="shared" si="84"/>
        <v>"%USERPROFILE%\Documents\GitHub\eaglep3\Utilities\RefineRTDCRunTimes.py" --tripid 847-07 --locoid 4025 --swversion DE.1.0.7.0 --startMP 204:941 --initTime 2016-10-07T22:07:33 --startdatetime 2016-10-07T22:21:24 --delay 1 --endMP 300:58907 --enddatetime 2016-10-07T22:35:36 --enforcementcount 0 &gt;&gt;C:\Users\stu\Documents\GitHub\eaglep3-reporting\EC\2016-10-07-refined-times.txt</v>
      </c>
      <c r="AI207" s="130" t="str">
        <f t="shared" si="85"/>
        <v>echo {"issue":{"subject":"","project_id":79,"tracker_id":40,"status_id":1,"priority_id":2,"assigned_to_id":23,"start_date":"2016-10-07","description":"","custom_fields":[{"id":1,"name":"Subdivision","value":"NW"},{"id":4,"name":"Milepost","value":"5.8907"},{"id":17,"name":"Train ID","value":"847-07"},{"id":16,"name":"Locomotive ID","value":"4025"},{"id":130,"name":"Impact","value":""},{"id":150,"name":"Time of Event (Mountain Time)","value":"22:35:36"},{"id":151,"name":"Denver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587</v>
      </c>
      <c r="B208" s="7">
        <v>4017</v>
      </c>
      <c r="C208" s="24" t="s">
        <v>106</v>
      </c>
      <c r="D208" s="24" t="s">
        <v>588</v>
      </c>
      <c r="E208" s="15">
        <v>42650.142835648148</v>
      </c>
      <c r="F208" s="15">
        <v>42650.144259259258</v>
      </c>
      <c r="G208" s="7">
        <v>1</v>
      </c>
      <c r="H208" s="15" t="s">
        <v>126</v>
      </c>
      <c r="I208" s="15">
        <v>42650.152592592596</v>
      </c>
      <c r="J208" s="7">
        <v>0</v>
      </c>
      <c r="K208" s="117" t="str">
        <f t="shared" si="72"/>
        <v>4017/4018</v>
      </c>
      <c r="L208" s="24" t="str">
        <f>VLOOKUP(A208,'Trips&amp;Operators'!$C$1:$E$10000,3,FALSE)</f>
        <v>DAVIS</v>
      </c>
      <c r="M208" s="6">
        <f t="shared" si="73"/>
        <v>8.3333333386690356E-3</v>
      </c>
      <c r="N208" s="7">
        <f t="shared" si="69"/>
        <v>12.000000007683411</v>
      </c>
      <c r="O208" s="7"/>
      <c r="P208" s="7"/>
      <c r="Q208" s="25"/>
      <c r="R208" s="25"/>
      <c r="S208" s="37">
        <f t="shared" si="70"/>
        <v>1</v>
      </c>
      <c r="T208" s="52" t="str">
        <f t="shared" si="74"/>
        <v>Southbound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02:25:41-0600',mode:absolute,to:'2016-10-07 04:39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8" s="54" t="str">
        <f t="shared" si="76"/>
        <v>Y</v>
      </c>
      <c r="X208" s="164">
        <f t="shared" si="71"/>
        <v>-543</v>
      </c>
      <c r="Y208" s="69">
        <f t="shared" si="77"/>
        <v>2.3426999999999998</v>
      </c>
      <c r="Z208" s="69">
        <f t="shared" si="78"/>
        <v>1.54E-2</v>
      </c>
      <c r="AA208" s="69">
        <f t="shared" si="79"/>
        <v>2.3272999999999997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80"/>
        <v>0304-07</v>
      </c>
      <c r="AE208" s="95" t="str">
        <f t="shared" si="81"/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AF208" s="92" t="str">
        <f t="shared" si="82"/>
        <v>"C:\Program Files (x86)\AstroGrep\AstroGrep.exe" /spath="%USERPROFILE%\AppData\Local\Temp\OnboardLogs" /stypes="app*4017*20161007*" /stext=" 09:.+((SYSTEM_STATE.+slice.+state.+changed )|(ment ac)|(system.+state.+changed )|(\[timeout)|(PRM\|1\|D)|(kpr)|(kdp)|(\|lc)|(penalty))" /e /r /s</v>
      </c>
      <c r="AG208" s="1" t="str">
        <f t="shared" si="83"/>
        <v>Other</v>
      </c>
      <c r="AH208" s="96" t="str">
        <f t="shared" si="84"/>
        <v>"%USERPROFILE%\Documents\GitHub\eaglep3\Utilities\RefineRTDCRunTimes.py" --tripid 304-07 --locoid 4017 --swversion DE.1.0.7.0 --startMP 300:23427 --initTime 2016-10-07T03:25:41 --startdatetime 2016-10-07T03:27:44 --delay 1 --endMP 204:154 --enddatetime 2016-10-07T03:39:44 --enforcementcount 0 &gt;&gt;C:\Users\stu\Documents\GitHub\eaglep3-reporting\EC\2016-10-07-refined-times.txt</v>
      </c>
      <c r="AI208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{"issue":{"subject":"","project_id":79,"tracker_id":40,"status_id":1,"priority_id":2,"assigned_to_id":23,"start_date":"2016-10-07","description":"","custom_fields":[{"id":1,"name":"Subdivision","value":"Other"},{"id":4,"name":"Milepost","value":"0.0154"},{"id":17,"name":"Train ID","value":"304-07"},{"id":16,"name":"Locomotive ID","value":"4017"},{"id":130,"name":"Impact","value":""},{"id":150,"name":"Time of Event (Mountain Time)","value":"03:39:44"},{"id":151,"name":"Denver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589</v>
      </c>
      <c r="B209" s="7">
        <v>4038</v>
      </c>
      <c r="C209" s="24" t="s">
        <v>106</v>
      </c>
      <c r="D209" s="24" t="s">
        <v>590</v>
      </c>
      <c r="E209" s="15">
        <v>42650.798738425925</v>
      </c>
      <c r="F209" s="15">
        <v>25568.708333333332</v>
      </c>
      <c r="G209" s="7">
        <v>1</v>
      </c>
      <c r="H209" s="15" t="s">
        <v>298</v>
      </c>
      <c r="I209" s="15">
        <v>25568.708333333332</v>
      </c>
      <c r="J209" s="7">
        <v>0</v>
      </c>
      <c r="K209" s="117" t="str">
        <f t="shared" si="72"/>
        <v>4037/4038</v>
      </c>
      <c r="L209" s="24" t="str">
        <f>VLOOKUP(A209,'Trips&amp;Operators'!$C$1:$E$10000,3,FALSE)</f>
        <v>SHOOK</v>
      </c>
      <c r="M209" s="6">
        <f t="shared" si="73"/>
        <v>0</v>
      </c>
      <c r="N209" s="7">
        <f t="shared" si="69"/>
        <v>0</v>
      </c>
      <c r="O209" s="7"/>
      <c r="P209" s="7"/>
      <c r="Q209" s="25"/>
      <c r="R209" s="25"/>
      <c r="S209" s="37">
        <f t="shared" si="70"/>
        <v>1</v>
      </c>
      <c r="T209" s="52" t="str">
        <f t="shared" si="74"/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18:10:11-0600',mode:absolute,to:'1969-12-31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9" s="54" t="str">
        <f t="shared" si="76"/>
        <v>Y</v>
      </c>
      <c r="X209" s="164">
        <f t="shared" si="71"/>
        <v>1</v>
      </c>
      <c r="Y209" s="69">
        <f t="shared" si="77"/>
        <v>0.1192</v>
      </c>
      <c r="Z209" s="69">
        <f t="shared" si="78"/>
        <v>2.3311999999999999</v>
      </c>
      <c r="AA209" s="69">
        <f t="shared" si="79"/>
        <v>2.2119999999999997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80"/>
        <v>0305-07</v>
      </c>
      <c r="AE209" s="95" t="str">
        <f t="shared" si="81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9" s="92" t="str">
        <f t="shared" si="82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09" s="1" t="str">
        <f t="shared" si="83"/>
        <v>Other</v>
      </c>
      <c r="AH209" s="96" t="str">
        <f t="shared" si="84"/>
        <v>"%USERPROFILE%\Documents\GitHub\eaglep3\Utilities\RefineRTDCRunTimes.py" --tripid 305-07 --locoid 4038 --swversion DE.1.0.7.0 --startMP 204:1192 --initTime 2016-10-07T19:10:11 --startdatetime 1969-12-31T17:00:00 --delay 1 --endMP 300:23312 --enddatetime 1969-12-31T17:00:00 --enforcementcount 0 &gt;&gt;C:\Users\stu\Documents\GitHub\eaglep3-reporting\EC\2016-10-07-refined-times.txt</v>
      </c>
      <c r="AI209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ID","value":"305-07"},{"id":16,"name":"Locomotive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591</v>
      </c>
      <c r="B210" s="7">
        <v>4013</v>
      </c>
      <c r="C210" s="24" t="s">
        <v>106</v>
      </c>
      <c r="D210" s="24" t="s">
        <v>592</v>
      </c>
      <c r="E210" s="15">
        <v>42650.164872685185</v>
      </c>
      <c r="F210" s="15">
        <v>42650.16605324074</v>
      </c>
      <c r="G210" s="7">
        <v>1</v>
      </c>
      <c r="H210" s="15" t="s">
        <v>593</v>
      </c>
      <c r="I210" s="15">
        <v>42650.167696759258</v>
      </c>
      <c r="J210" s="7">
        <v>0</v>
      </c>
      <c r="K210" s="117" t="str">
        <f t="shared" si="72"/>
        <v>4013/4014</v>
      </c>
      <c r="L210" s="24" t="str">
        <f>VLOOKUP(A210,'Trips&amp;Operators'!$C$1:$E$10000,3,FALSE)</f>
        <v>MALAVE</v>
      </c>
      <c r="M210" s="6">
        <f t="shared" si="73"/>
        <v>1.6435185170848854E-3</v>
      </c>
      <c r="N210" s="7">
        <f t="shared" si="69"/>
        <v>2.366666664602235</v>
      </c>
      <c r="O210" s="7"/>
      <c r="P210" s="7"/>
      <c r="Q210" s="25"/>
      <c r="R210" s="25"/>
      <c r="S210" s="37">
        <f t="shared" si="70"/>
        <v>0</v>
      </c>
      <c r="T210" s="52" t="str">
        <f t="shared" si="74"/>
        <v>Southbound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02:57:25-0600',mode:absolute,to:'2016-10-07 05:01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0" s="54" t="str">
        <f t="shared" si="76"/>
        <v>Y</v>
      </c>
      <c r="X210" s="164">
        <f t="shared" si="71"/>
        <v>1</v>
      </c>
      <c r="Y210" s="69">
        <f t="shared" si="77"/>
        <v>2.3639999999999999</v>
      </c>
      <c r="Z210" s="69">
        <f t="shared" si="78"/>
        <v>1.9386000000000001</v>
      </c>
      <c r="AA210" s="69">
        <f t="shared" si="79"/>
        <v>0.42539999999999978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80"/>
        <v>0306-07</v>
      </c>
      <c r="AE210" s="95" t="str">
        <f t="shared" si="81"/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AF210" s="92" t="str">
        <f t="shared" si="82"/>
        <v>"C:\Program Files (x86)\AstroGrep\AstroGrep.exe" /spath="%USERPROFILE%\AppData\Local\Temp\OnboardLogs" /stypes="app*4013*20161007*" /stext=" 10:.+((SYSTEM_STATE.+slice.+state.+changed )|(ment ac)|(system.+state.+changed )|(\[timeout)|(PRM\|1\|D)|(kpr)|(kdp)|(\|lc)|(penalty))" /e /r /s</v>
      </c>
      <c r="AG210" s="1" t="str">
        <f t="shared" si="83"/>
        <v>Other</v>
      </c>
      <c r="AH210" s="96" t="str">
        <f t="shared" si="84"/>
        <v>"%USERPROFILE%\Documents\GitHub\eaglep3\Utilities\RefineRTDCRunTimes.py" --tripid 306-07 --locoid 4013 --swversion DE.1.0.7.0 --startMP 300:23640 --initTime 2016-10-07T03:57:25 --startdatetime 2016-10-07T03:59:07 --delay 1 --endMP 300:19386 --enddatetime 2016-10-07T04:01:29 --enforcementcount 0 &gt;&gt;C:\Users\stu\Documents\GitHub\eaglep3-reporting\EC\2016-10-07-refined-times.txt</v>
      </c>
      <c r="AI210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{"issue":{"subject":"","project_id":79,"tracker_id":40,"status_id":1,"priority_id":2,"assigned_to_id":23,"start_date":"2016-10-07","description":"","custom_fields":[{"id":1,"name":"Subdivision","value":"Other"},{"id":4,"name":"Milepost","value":"1.9386"},{"id":17,"name":"Train ID","value":"306-07"},{"id":16,"name":"Locomotive ID","value":"4013"},{"id":130,"name":"Impact","value":""},{"id":150,"name":"Time of Event (Mountain Time)","value":"04:01:29"},{"id":151,"name":"Denver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594</v>
      </c>
      <c r="B211" s="7">
        <v>4002</v>
      </c>
      <c r="C211" s="24" t="s">
        <v>106</v>
      </c>
      <c r="D211" s="24" t="s">
        <v>230</v>
      </c>
      <c r="E211" s="15">
        <v>42650.824143518519</v>
      </c>
      <c r="F211" s="15">
        <v>25568.708333333332</v>
      </c>
      <c r="G211" s="7">
        <v>1</v>
      </c>
      <c r="H211" s="15" t="s">
        <v>595</v>
      </c>
      <c r="I211" s="15">
        <v>25568.708333333332</v>
      </c>
      <c r="J211" s="7">
        <v>0</v>
      </c>
      <c r="K211" s="117" t="str">
        <f t="shared" si="72"/>
        <v>4001/4002</v>
      </c>
      <c r="L211" s="24" t="str">
        <f>VLOOKUP(A211,'Trips&amp;Operators'!$C$1:$E$10000,3,FALSE)</f>
        <v>STORY</v>
      </c>
      <c r="M211" s="6">
        <f t="shared" si="73"/>
        <v>0</v>
      </c>
      <c r="N211" s="7">
        <f t="shared" si="69"/>
        <v>0</v>
      </c>
      <c r="O211" s="7"/>
      <c r="P211" s="7"/>
      <c r="Q211" s="25"/>
      <c r="R211" s="25"/>
      <c r="S211" s="37">
        <f t="shared" si="70"/>
        <v>1</v>
      </c>
      <c r="T211" s="52" t="str">
        <f t="shared" si="74"/>
        <v>NorthBound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18:46:46-0600',mode:absolute,to:'1969-12-31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1" s="54" t="str">
        <f t="shared" si="76"/>
        <v>Y</v>
      </c>
      <c r="X211" s="164">
        <f t="shared" si="71"/>
        <v>1</v>
      </c>
      <c r="Y211" s="69">
        <f t="shared" si="77"/>
        <v>4.7699999999999999E-2</v>
      </c>
      <c r="Z211" s="69">
        <f t="shared" si="78"/>
        <v>2.3300999999999998</v>
      </c>
      <c r="AA211" s="69">
        <f t="shared" si="79"/>
        <v>2.2824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80"/>
        <v>0307-07</v>
      </c>
      <c r="AE211" s="95" t="str">
        <f t="shared" si="81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1" s="92" t="str">
        <f t="shared" si="82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1" s="1" t="str">
        <f t="shared" si="83"/>
        <v>Other</v>
      </c>
      <c r="AH211" s="96" t="str">
        <f t="shared" si="84"/>
        <v>"%USERPROFILE%\Documents\GitHub\eaglep3\Utilities\RefineRTDCRunTimes.py" --tripid 307-07 --locoid 4002 --swversion DE.1.0.7.0 --startMP 204:477 --initTime 2016-10-07T19:46:46 --startdatetime 1969-12-31T17:00:00 --delay 1 --endMP 300:23301 --enddatetime 1969-12-31T17:00:00 --enforcementcount 0 &gt;&gt;C:\Users\stu\Documents\GitHub\eaglep3-reporting\EC\2016-10-07-refined-times.txt</v>
      </c>
      <c r="AI211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ID","value":"307-07"},{"id":16,"name":"Locomotive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596</v>
      </c>
      <c r="B212" s="7">
        <v>4019</v>
      </c>
      <c r="C212" s="24" t="s">
        <v>106</v>
      </c>
      <c r="D212" s="24" t="s">
        <v>597</v>
      </c>
      <c r="E212" s="15">
        <v>42650.170543981483</v>
      </c>
      <c r="F212" s="15">
        <v>42650.171840277777</v>
      </c>
      <c r="G212" s="7">
        <v>1</v>
      </c>
      <c r="H212" s="15" t="s">
        <v>191</v>
      </c>
      <c r="I212" s="15">
        <v>42650.178622685184</v>
      </c>
      <c r="J212" s="7">
        <v>0</v>
      </c>
      <c r="K212" s="117" t="str">
        <f t="shared" si="72"/>
        <v>4019/4020</v>
      </c>
      <c r="L212" s="24" t="str">
        <f>VLOOKUP(A212,'Trips&amp;Operators'!$C$1:$E$10000,3,FALSE)</f>
        <v>BRANNON</v>
      </c>
      <c r="M212" s="6">
        <f t="shared" si="73"/>
        <v>6.7824074067175388E-3</v>
      </c>
      <c r="N212" s="7">
        <f t="shared" si="69"/>
        <v>9.7666666656732559</v>
      </c>
      <c r="O212" s="7"/>
      <c r="P212" s="7"/>
      <c r="Q212" s="25"/>
      <c r="R212" s="25"/>
      <c r="S212" s="37">
        <f t="shared" si="70"/>
        <v>1</v>
      </c>
      <c r="T212" s="52" t="str">
        <f t="shared" si="74"/>
        <v>Southbound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03:05:35-0600',mode:absolute,to:'2016-10-07 05:17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2" s="54" t="str">
        <f t="shared" si="76"/>
        <v>Y</v>
      </c>
      <c r="X212" s="164">
        <f t="shared" si="71"/>
        <v>1</v>
      </c>
      <c r="Y212" s="69">
        <f t="shared" si="77"/>
        <v>2.2143999999999999</v>
      </c>
      <c r="Z212" s="69">
        <f t="shared" si="78"/>
        <v>1.47E-2</v>
      </c>
      <c r="AA212" s="69">
        <f t="shared" si="79"/>
        <v>2.1997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80"/>
        <v>0308-07</v>
      </c>
      <c r="AE212" s="95" t="str">
        <f t="shared" si="81"/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AF212" s="92" t="str">
        <f t="shared" si="82"/>
        <v>"C:\Program Files (x86)\AstroGrep\AstroGrep.exe" /spath="%USERPROFILE%\AppData\Local\Temp\OnboardLogs" /stypes="app*4019*20161007*" /stext=" 10:.+((SYSTEM_STATE.+slice.+state.+changed )|(ment ac)|(system.+state.+changed )|(\[timeout)|(PRM\|1\|D)|(kpr)|(kdp)|(\|lc)|(penalty))" /e /r /s</v>
      </c>
      <c r="AG212" s="1" t="str">
        <f t="shared" si="83"/>
        <v>Other</v>
      </c>
      <c r="AH212" s="96" t="str">
        <f t="shared" si="84"/>
        <v>"%USERPROFILE%\Documents\GitHub\eaglep3\Utilities\RefineRTDCRunTimes.py" --tripid 308-07 --locoid 4019 --swversion DE.1.0.7.0 --startMP 300:22144 --initTime 2016-10-07T04:05:35 --startdatetime 2016-10-07T04:07:27 --delay 1 --endMP 204:147 --enddatetime 2016-10-07T04:17:13 --enforcementcount 0 &gt;&gt;C:\Users\stu\Documents\GitHub\eaglep3-reporting\EC\2016-10-07-refined-times.txt</v>
      </c>
      <c r="AI212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{"issue":{"subject":"","project_id":79,"tracker_id":40,"status_id":1,"priority_id":2,"assigned_to_id":23,"start_date":"2016-10-07","description":"","custom_fields":[{"id":1,"name":"Subdivision","value":"Other"},{"id":4,"name":"Milepost","value":"0.0147"},{"id":17,"name":"Train ID","value":"308-07"},{"id":16,"name":"Locomotive ID","value":"4019"},{"id":130,"name":"Impact","value":""},{"id":150,"name":"Time of Event (Mountain Time)","value":"04:17:13"},{"id":151,"name":"Denver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598</v>
      </c>
      <c r="B213" s="7">
        <v>4003</v>
      </c>
      <c r="C213" s="24" t="s">
        <v>106</v>
      </c>
      <c r="D213" s="24" t="s">
        <v>299</v>
      </c>
      <c r="E213" s="15">
        <v>42651.048101851855</v>
      </c>
      <c r="F213" s="15">
        <v>25568.708333333332</v>
      </c>
      <c r="G213" s="7">
        <v>2</v>
      </c>
      <c r="H213" s="15" t="s">
        <v>599</v>
      </c>
      <c r="I213" s="15">
        <v>25568.708333333332</v>
      </c>
      <c r="J213" s="7">
        <v>0</v>
      </c>
      <c r="K213" s="117" t="str">
        <f t="shared" si="72"/>
        <v>4003/4004</v>
      </c>
      <c r="L213" s="24" t="str">
        <f>VLOOKUP(A213,'Trips&amp;Operators'!$C$1:$E$10000,3,FALSE)</f>
        <v>YOUNG</v>
      </c>
      <c r="M213" s="6">
        <f t="shared" si="73"/>
        <v>0</v>
      </c>
      <c r="N213" s="7">
        <f t="shared" si="69"/>
        <v>0</v>
      </c>
      <c r="O213" s="7"/>
      <c r="P213" s="7"/>
      <c r="Q213" s="25"/>
      <c r="R213" s="25"/>
      <c r="S213" s="37">
        <f t="shared" si="70"/>
        <v>1</v>
      </c>
      <c r="T213" s="52" t="str">
        <f t="shared" si="74"/>
        <v>NorthBound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https://search-rtdc-monitor-bjffxe2xuh6vdkpspy63sjmuny.us-east-1.es.amazonaws.com/_plugin/kibana/#/discover/Steve-Slow-Train-Analysis-(2080s-and-2083s)?_g=(refreshInterval:(display:Off,section:0,value:0),time:(from:'2016-10-08 00:09:16-0600',mode:absolute,to:'1969-12-31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3" s="54" t="str">
        <f t="shared" si="76"/>
        <v>Y</v>
      </c>
      <c r="X213" s="164">
        <f t="shared" si="71"/>
        <v>1</v>
      </c>
      <c r="Y213" s="69">
        <f t="shared" si="77"/>
        <v>4.7300000000000002E-2</v>
      </c>
      <c r="Z213" s="69">
        <f t="shared" si="78"/>
        <v>2.3290999999999999</v>
      </c>
      <c r="AA213" s="69">
        <f t="shared" si="79"/>
        <v>2.2818000000000001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80"/>
        <v>0309-07</v>
      </c>
      <c r="AE213" s="95" t="str">
        <f t="shared" si="8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3" s="92" t="str">
        <f t="shared" si="82"/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13" s="1" t="str">
        <f t="shared" si="83"/>
        <v>Other</v>
      </c>
      <c r="AH213" s="96" t="str">
        <f t="shared" si="84"/>
        <v>"%USERPROFILE%\Documents\GitHub\eaglep3\Utilities\RefineRTDCRunTimes.py" --tripid 309-07 --locoid 4003 --swversion DE.1.0.7.0 --startMP 204:473 --initTime 2016-10-08T01:09:16 --startdatetime 1969-12-31T17:00:00 --delay 2 --endMP 300:23291 --enddatetime 1969-12-31T17:00:00 --enforcementcount 0 &gt;&gt;C:\Users\stu\Documents\GitHub\eaglep3-reporting\EC\2016-10-07-refined-times.txt</v>
      </c>
      <c r="AI213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ID","value":"309-07"},{"id":16,"name":"Locomotive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600</v>
      </c>
      <c r="B214" s="7">
        <v>4008</v>
      </c>
      <c r="C214" s="24" t="s">
        <v>106</v>
      </c>
      <c r="D214" s="24" t="s">
        <v>601</v>
      </c>
      <c r="E214" s="15">
        <v>42650.183344907404</v>
      </c>
      <c r="F214" s="15">
        <v>42650.185127314813</v>
      </c>
      <c r="G214" s="7">
        <v>1</v>
      </c>
      <c r="H214" s="15" t="s">
        <v>602</v>
      </c>
      <c r="I214" s="15">
        <v>42650.191724537035</v>
      </c>
      <c r="J214" s="7">
        <v>0</v>
      </c>
      <c r="K214" s="117" t="str">
        <f t="shared" si="72"/>
        <v>4007/4008</v>
      </c>
      <c r="L214" s="24" t="str">
        <f>VLOOKUP(A214,'Trips&amp;Operators'!$C$1:$E$10000,3,FALSE)</f>
        <v>GEBRETEKLE</v>
      </c>
      <c r="M214" s="6">
        <f t="shared" si="73"/>
        <v>6.5972222218988463E-3</v>
      </c>
      <c r="N214" s="7">
        <f t="shared" si="69"/>
        <v>9.4999999995343387</v>
      </c>
      <c r="O214" s="7"/>
      <c r="P214" s="7"/>
      <c r="Q214" s="25"/>
      <c r="R214" s="25"/>
      <c r="S214" s="37">
        <f t="shared" si="70"/>
        <v>1</v>
      </c>
      <c r="T214" s="52" t="str">
        <f t="shared" si="74"/>
        <v>Southbound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03:24:01-0600',mode:absolute,to:'2016-10-07 05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4" s="54" t="str">
        <f t="shared" si="76"/>
        <v>Y</v>
      </c>
      <c r="X214" s="164">
        <f t="shared" si="71"/>
        <v>1</v>
      </c>
      <c r="Y214" s="69">
        <f t="shared" si="77"/>
        <v>2.3262</v>
      </c>
      <c r="Z214" s="69">
        <f t="shared" si="78"/>
        <v>1.83E-2</v>
      </c>
      <c r="AA214" s="69">
        <f t="shared" si="79"/>
        <v>2.3079000000000001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80"/>
        <v>0310-07</v>
      </c>
      <c r="AE214" s="95" t="str">
        <f t="shared" si="81"/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AF214" s="92" t="str">
        <f t="shared" si="82"/>
        <v>"C:\Program Files (x86)\AstroGrep\AstroGrep.exe" /spath="%USERPROFILE%\AppData\Local\Temp\OnboardLogs" /stypes="app*4008*20161007*" /stext=" 10:.+((SYSTEM_STATE.+slice.+state.+changed )|(ment ac)|(system.+state.+changed )|(\[timeout)|(PRM\|1\|D)|(kpr)|(kdp)|(\|lc)|(penalty))" /e /r /s</v>
      </c>
      <c r="AG214" s="1" t="str">
        <f t="shared" si="83"/>
        <v>Other</v>
      </c>
      <c r="AH214" s="96" t="str">
        <f t="shared" si="84"/>
        <v>"%USERPROFILE%\Documents\GitHub\eaglep3\Utilities\RefineRTDCRunTimes.py" --tripid 310-07 --locoid 4008 --swversion DE.1.0.7.0 --startMP 300:23262 --initTime 2016-10-07T04:24:01 --startdatetime 2016-10-07T04:26:35 --delay 1 --endMP 204:183 --enddatetime 2016-10-07T04:36:05 --enforcementcount 0 &gt;&gt;C:\Users\stu\Documents\GitHub\eaglep3-reporting\EC\2016-10-07-refined-times.txt</v>
      </c>
      <c r="AI214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{"issue":{"subject":"","project_id":79,"tracker_id":40,"status_id":1,"priority_id":2,"assigned_to_id":23,"start_date":"2016-10-07","description":"","custom_fields":[{"id":1,"name":"Subdivision","value":"Other"},{"id":4,"name":"Milepost","value":"0.0183"},{"id":17,"name":"Train ID","value":"310-07"},{"id":16,"name":"Locomotive ID","value":"4008"},{"id":130,"name":"Impact","value":""},{"id":150,"name":"Time of Event (Mountain Time)","value":"04:36:05"},{"id":151,"name":"Denver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603</v>
      </c>
      <c r="B215" s="7">
        <v>4046</v>
      </c>
      <c r="C215" s="24" t="s">
        <v>106</v>
      </c>
      <c r="D215" s="24" t="s">
        <v>259</v>
      </c>
      <c r="E215" s="15">
        <v>42651.069641203707</v>
      </c>
      <c r="F215" s="15">
        <v>42651.072222222225</v>
      </c>
      <c r="G215" s="7">
        <v>3</v>
      </c>
      <c r="H215" s="15" t="s">
        <v>604</v>
      </c>
      <c r="I215" s="15">
        <v>42651.078159722223</v>
      </c>
      <c r="J215" s="7">
        <v>0</v>
      </c>
      <c r="K215" s="117" t="str">
        <f t="shared" si="72"/>
        <v>4045/4046</v>
      </c>
      <c r="L215" s="24" t="str">
        <f>VLOOKUP(A215,'Trips&amp;Operators'!$C$1:$E$10000,3,FALSE)</f>
        <v>CHANDLER</v>
      </c>
      <c r="M215" s="6">
        <f t="shared" si="73"/>
        <v>5.9374999982537702E-3</v>
      </c>
      <c r="N215" s="7">
        <f t="shared" si="69"/>
        <v>8.549999997485429</v>
      </c>
      <c r="O215" s="7"/>
      <c r="P215" s="7"/>
      <c r="Q215" s="25"/>
      <c r="R215" s="25"/>
      <c r="S215" s="37">
        <f t="shared" si="70"/>
        <v>1</v>
      </c>
      <c r="T215" s="52" t="str">
        <f t="shared" si="74"/>
        <v>NorthBound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https://search-rtdc-monitor-bjffxe2xuh6vdkpspy63sjmuny.us-east-1.es.amazonaws.com/_plugin/kibana/#/discover/Steve-Slow-Train-Analysis-(2080s-and-2083s)?_g=(refreshInterval:(display:Off,section:0,value:0),time:(from:'2016-10-08 00:40:17-0600',mode:absolute,to:'2016-10-08 02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5" s="54" t="str">
        <f t="shared" si="76"/>
        <v>Y</v>
      </c>
      <c r="X215" s="164">
        <f t="shared" si="71"/>
        <v>1</v>
      </c>
      <c r="Y215" s="69">
        <f t="shared" si="77"/>
        <v>4.8000000000000001E-2</v>
      </c>
      <c r="Z215" s="69">
        <f t="shared" si="78"/>
        <v>2.2854000000000001</v>
      </c>
      <c r="AA215" s="69">
        <f t="shared" si="79"/>
        <v>2.2374000000000001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80"/>
        <v>0311-07</v>
      </c>
      <c r="AE215" s="95" t="str">
        <f t="shared" si="81"/>
        <v>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 &amp; aws s3 cp s3://rtdc.mdm.uploadarchive.raw/RTDC4046/ "%USERPROFILE%\AppData\Local\Temp\OnboardLogs"\RTDC4046\2016-10-09 --exclude "*" --recursive --include "*20161009*" &amp; "%USERPROFILE%\Documents\GitHub\mrs-test-scripts\Headless Mode &amp; Sideloading\WalkAndUnGZ.bat" "%USERPROFILE%\AppData\Local\Temp\OnboardLogs"\RTDC4046\2016-10-09</v>
      </c>
      <c r="AF215" s="92" t="str">
        <f t="shared" si="82"/>
        <v>"C:\Program Files (x86)\AstroGrep\AstroGrep.exe" /spath="%USERPROFILE%\AppData\Local\Temp\OnboardLogs" /stypes="app*4046*20161008*" /stext=" 07:.+((SYSTEM_STATE.+slice.+state.+changed )|(ment ac)|(system.+state.+changed )|(\[timeout)|(PRM\|1\|D)|(kpr)|(kdp)|(\|lc)|(penalty))" /e /r /s</v>
      </c>
      <c r="AG215" s="1" t="str">
        <f t="shared" si="83"/>
        <v>Other</v>
      </c>
      <c r="AH215" s="96" t="str">
        <f t="shared" si="84"/>
        <v>"%USERPROFILE%\Documents\GitHub\eaglep3\Utilities\RefineRTDCRunTimes.py" --tripid 311-07 --locoid 4046 --swversion DE.1.0.7.0 --startMP 204:480 --initTime 2016-10-08T01:40:17 --startdatetime 2016-10-08T01:44:00 --delay 3 --endMP 300:22854 --enddatetime 2016-10-08T01:52:33 --enforcementcount 0 &gt;&gt;C:\Users\stu\Documents\GitHub\eaglep3-reporting\EC\2016-10-07-refined-times.txt</v>
      </c>
      <c r="AI215" s="130" t="str">
        <f t="shared" si="85"/>
        <v>echo {"issue":{"subject":"","project_id":79,"tracker_id":40,"status_id":1,"priority_id":2,"assigned_to_id":23,"start_date":"2016-10-08","description":"","custom_fields":[{"id":1,"name":"Subdivision","value":"Other"},{"id":4,"name":"Milepost","value":"2.2854"},{"id":17,"name":"Train ID","value":"311-07"},{"id":16,"name":"Locomotive ID","value":"4046"},{"id":130,"name":"Impact","value":""},{"id":150,"name":"Time of Event (Mountain Time)","value":"01:52:33"},{"id":151,"name":"Denver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605</v>
      </c>
      <c r="B216" s="7">
        <v>4020</v>
      </c>
      <c r="C216" s="24" t="s">
        <v>106</v>
      </c>
      <c r="D216" s="24" t="s">
        <v>197</v>
      </c>
      <c r="E216" s="15">
        <v>42651.090150462966</v>
      </c>
      <c r="F216" s="15">
        <v>42651.092638888891</v>
      </c>
      <c r="G216" s="7">
        <v>1</v>
      </c>
      <c r="H216" s="15" t="s">
        <v>606</v>
      </c>
      <c r="I216" s="15">
        <v>42651.098553240743</v>
      </c>
      <c r="J216" s="7">
        <v>0</v>
      </c>
      <c r="K216" s="117" t="str">
        <f t="shared" si="72"/>
        <v>4019/4020</v>
      </c>
      <c r="L216" s="24" t="str">
        <f>VLOOKUP(A216,'Trips&amp;Operators'!$C$1:$E$10000,3,FALSE)</f>
        <v>STURGEON</v>
      </c>
      <c r="M216" s="6">
        <f t="shared" si="73"/>
        <v>5.914351851970423E-3</v>
      </c>
      <c r="N216" s="7">
        <f t="shared" si="69"/>
        <v>8.5166666668374091</v>
      </c>
      <c r="O216" s="7"/>
      <c r="P216" s="7"/>
      <c r="Q216" s="25"/>
      <c r="R216" s="25"/>
      <c r="S216" s="37">
        <f t="shared" si="70"/>
        <v>1</v>
      </c>
      <c r="T216" s="52" t="str">
        <f t="shared" si="74"/>
        <v>NorthBound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https://search-rtdc-monitor-bjffxe2xuh6vdkpspy63sjmuny.us-east-1.es.amazonaws.com/_plugin/kibana/#/discover/Steve-Slow-Train-Analysis-(2080s-and-2083s)?_g=(refreshInterval:(display:Off,section:0,value:0),time:(from:'2016-10-08 01:09:49-0600',mode:absolute,to:'2016-10-08 03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6" s="54" t="str">
        <f t="shared" si="76"/>
        <v>Y</v>
      </c>
      <c r="X216" s="164">
        <f t="shared" si="71"/>
        <v>2</v>
      </c>
      <c r="Y216" s="69">
        <f t="shared" si="77"/>
        <v>4.6600000000000003E-2</v>
      </c>
      <c r="Z216" s="69">
        <f t="shared" si="78"/>
        <v>2.3304</v>
      </c>
      <c r="AA216" s="69">
        <f t="shared" si="79"/>
        <v>2.2837999999999998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80"/>
        <v>0313-07</v>
      </c>
      <c r="AE216" s="95" t="str">
        <f t="shared" si="81"/>
        <v>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 &amp; 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</v>
      </c>
      <c r="AF216" s="92" t="str">
        <f t="shared" si="82"/>
        <v>"C:\Program Files (x86)\AstroGrep\AstroGrep.exe" /spath="%USERPROFILE%\AppData\Local\Temp\OnboardLogs" /stypes="app*4020*20161008*" /stext=" 08:.+((SYSTEM_STATE.+slice.+state.+changed )|(ment ac)|(system.+state.+changed )|(\[timeout)|(PRM\|1\|D)|(kpr)|(kdp)|(\|lc)|(penalty))" /e /r /s</v>
      </c>
      <c r="AG216" s="1" t="str">
        <f t="shared" si="83"/>
        <v>Other</v>
      </c>
      <c r="AH216" s="96" t="str">
        <f t="shared" si="84"/>
        <v>"%USERPROFILE%\Documents\GitHub\eaglep3\Utilities\RefineRTDCRunTimes.py" --tripid 313-07 --locoid 4020 --swversion DE.1.0.7.0 --startMP 204:466 --initTime 2016-10-08T02:09:49 --startdatetime 2016-10-08T02:13:24 --delay 1 --endMP 300:23304 --enddatetime 2016-10-08T02:21:55 --enforcementcount 0 &gt;&gt;C:\Users\stu\Documents\GitHub\eaglep3-reporting\EC\2016-10-07-refined-times.txt</v>
      </c>
      <c r="AI216" s="130" t="str">
        <f t="shared" si="85"/>
        <v>echo {"issue":{"subject":"","project_id":79,"tracker_id":40,"status_id":1,"priority_id":2,"assigned_to_id":23,"start_date":"2016-10-08","description":"","custom_fields":[{"id":1,"name":"Subdivision","value":"Other"},{"id":4,"name":"Milepost","value":"2.3304"},{"id":17,"name":"Train ID","value":"313-07"},{"id":16,"name":"Locomotive ID","value":"4020"},{"id":130,"name":"Impact","value":""},{"id":150,"name":"Time of Event (Mountain Time)","value":"02:21:55"},{"id":151,"name":"Denver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318</v>
      </c>
      <c r="B217" s="7">
        <v>4009</v>
      </c>
      <c r="C217" s="24" t="s">
        <v>106</v>
      </c>
      <c r="D217" s="24" t="s">
        <v>340</v>
      </c>
      <c r="E217" s="15">
        <v>42650.089965277781</v>
      </c>
      <c r="F217" s="15">
        <v>42650.091736111113</v>
      </c>
      <c r="G217" s="7">
        <v>1</v>
      </c>
      <c r="H217" s="15" t="s">
        <v>341</v>
      </c>
      <c r="I217" s="15">
        <v>42650.097662037035</v>
      </c>
      <c r="J217" s="7">
        <v>0</v>
      </c>
      <c r="K217" s="117" t="str">
        <f t="shared" si="72"/>
        <v>4009/4010</v>
      </c>
      <c r="L217" s="24" t="str">
        <f>VLOOKUP(A217,'Trips&amp;Operators'!$C$1:$E$10000,3,FALSE)</f>
        <v>STURGEON</v>
      </c>
      <c r="M217" s="6">
        <f t="shared" si="73"/>
        <v>5.9259259214741178E-3</v>
      </c>
      <c r="N217" s="7">
        <f t="shared" si="69"/>
        <v>8.5333333269227296</v>
      </c>
      <c r="O217" s="7"/>
      <c r="P217" s="7"/>
      <c r="Q217" s="25"/>
      <c r="R217" s="25"/>
      <c r="S217" s="37">
        <f t="shared" si="70"/>
        <v>1</v>
      </c>
      <c r="T217" s="52" t="str">
        <f t="shared" si="74"/>
        <v>NorthBound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01:09:33-0600',mode:absolute,to:'2016-10-07 03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7" s="54" t="str">
        <f t="shared" si="76"/>
        <v>Y</v>
      </c>
      <c r="X217" s="164">
        <f t="shared" si="71"/>
        <v>2</v>
      </c>
      <c r="Y217" s="69">
        <f t="shared" si="77"/>
        <v>4.9099999999999998E-2</v>
      </c>
      <c r="Z217" s="69">
        <f t="shared" si="78"/>
        <v>2.3308</v>
      </c>
      <c r="AA217" s="69">
        <f t="shared" si="79"/>
        <v>2.2816999999999998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80"/>
        <v>0315-06</v>
      </c>
      <c r="AE217" s="95" t="str">
        <f t="shared" si="81"/>
        <v>aws s3 cp s3://rtdc.mdm.uploadarchive.raw/RTDC4009/ "%USERPROFILE%\AppData\Local\Temp\OnboardLogs"\RTDC4009\2016-10-07 --exclude "*" --recursive --include "*20161007*" &amp; "%USERPROFILE%\Documents\GitHub\mrs-test-scripts\Headless Mode &amp; Sideloading\WalkAndUnGZ.bat" "%USERPROFILE%\AppData\Local\Temp\OnboardLogs"\RTDC4009\2016-10-07 &amp; aws s3 cp s3://rtdc.mdm.uploadarchive.raw/RTDC4009/ "%USERPROFILE%\AppData\Local\Temp\OnboardLogs"\RTDC4009\2016-10-08 --exclude "*" --recursive --include "*20161008*" &amp; "%USERPROFILE%\Documents\GitHub\mrs-test-scripts\Headless Mode &amp; Sideloading\WalkAndUnGZ.bat" "%USERPROFILE%\AppData\Local\Temp\OnboardLogs"\RTDC4009\2016-10-08</v>
      </c>
      <c r="AF217" s="92" t="str">
        <f t="shared" si="82"/>
        <v>"C:\Program Files (x86)\AstroGrep\AstroGrep.exe" /spath="%USERPROFILE%\AppData\Local\Temp\OnboardLogs" /stypes="app*4009*20161007*" /stext=" 08:.+((SYSTEM_STATE.+slice.+state.+changed )|(ment ac)|(system.+state.+changed )|(\[timeout)|(PRM\|1\|D)|(kpr)|(kdp)|(\|lc)|(penalty))" /e /r /s</v>
      </c>
      <c r="AG217" s="1" t="str">
        <f t="shared" si="83"/>
        <v>Other</v>
      </c>
      <c r="AH217" s="96" t="str">
        <f t="shared" si="84"/>
        <v>"%USERPROFILE%\Documents\GitHub\eaglep3\Utilities\RefineRTDCRunTimes.py" --tripid 315-06 --locoid 4009 --swversion DE.1.0.7.0 --startMP 204:491 --initTime 2016-10-07T02:09:33 --startdatetime 2016-10-07T02:12:06 --delay 1 --endMP 300:23308 --enddatetime 2016-10-07T02:20:38 --enforcementcount 0 &gt;&gt;C:\Users\stu\Documents\GitHub\eaglep3-reporting\EC\2016-10-07-refined-times.txt</v>
      </c>
      <c r="AI217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{"issue":{"subject":"","project_id":79,"tracker_id":40,"status_id":1,"priority_id":2,"assigned_to_id":23,"start_date":"2016-10-07","description":"","custom_fields":[{"id":1,"name":"Subdivision","value":"Other"},{"id":4,"name":"Milepost","value":"2.3308"},{"id":17,"name":"Train ID","value":"315-06"},{"id":16,"name":"Locomotive ID","value":"4009"},{"id":130,"name":"Impact","value":""},{"id":150,"name":"Time of Event (Mountain Time)","value":"02:20:38"},{"id":151,"name":"Denver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607</v>
      </c>
      <c r="B218" s="7">
        <v>4007</v>
      </c>
      <c r="C218" s="24" t="s">
        <v>106</v>
      </c>
      <c r="D218" s="24" t="s">
        <v>199</v>
      </c>
      <c r="E218" s="15">
        <v>42651.110324074078</v>
      </c>
      <c r="F218" s="15">
        <v>25568.708333333332</v>
      </c>
      <c r="G218" s="7">
        <v>1</v>
      </c>
      <c r="H218" s="15" t="s">
        <v>606</v>
      </c>
      <c r="I218" s="15">
        <v>25568.708333333332</v>
      </c>
      <c r="J218" s="7">
        <v>0</v>
      </c>
      <c r="K218" s="117" t="str">
        <f t="shared" si="72"/>
        <v>4007/4008</v>
      </c>
      <c r="L218" s="24" t="str">
        <f>VLOOKUP(A218,'Trips&amp;Operators'!$C$1:$E$10000,3,FALSE)</f>
        <v>LEVIN</v>
      </c>
      <c r="M218" s="6">
        <f t="shared" si="73"/>
        <v>0</v>
      </c>
      <c r="N218" s="7">
        <f t="shared" si="69"/>
        <v>0</v>
      </c>
      <c r="O218" s="7"/>
      <c r="P218" s="7"/>
      <c r="Q218" s="25"/>
      <c r="R218" s="25"/>
      <c r="S218" s="37">
        <f t="shared" si="70"/>
        <v>1</v>
      </c>
      <c r="T218" s="52" t="str">
        <f t="shared" si="74"/>
        <v>NorthBound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https://search-rtdc-monitor-bjffxe2xuh6vdkpspy63sjmuny.us-east-1.es.amazonaws.com/_plugin/kibana/#/discover/Steve-Slow-Train-Analysis-(2080s-and-2083s)?_g=(refreshInterval:(display:Off,section:0,value:0),time:(from:'2016-10-08 01:38:52-0600',mode:absolute,to:'1969-12-31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8" s="54" t="str">
        <f t="shared" si="76"/>
        <v>Y</v>
      </c>
      <c r="X218" s="164">
        <f t="shared" si="71"/>
        <v>0</v>
      </c>
      <c r="Y218" s="69">
        <f t="shared" si="77"/>
        <v>4.5499999999999999E-2</v>
      </c>
      <c r="Z218" s="69">
        <f t="shared" si="78"/>
        <v>2.3304</v>
      </c>
      <c r="AA218" s="69">
        <f t="shared" si="79"/>
        <v>2.2848999999999999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80"/>
        <v>0315-07</v>
      </c>
      <c r="AE218" s="95" t="str">
        <f t="shared" si="81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8" s="92" t="str">
        <f t="shared" si="82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8" s="1" t="str">
        <f t="shared" si="83"/>
        <v>Other</v>
      </c>
      <c r="AH218" s="96" t="str">
        <f t="shared" si="84"/>
        <v>"%USERPROFILE%\Documents\GitHub\eaglep3\Utilities\RefineRTDCRunTimes.py" --tripid 315-07 --locoid 4007 --swversion DE.1.0.7.0 --startMP 204:455 --initTime 2016-10-08T02:38:52 --startdatetime 1969-12-31T17:00:00 --delay 1 --endMP 300:23304 --enddatetime 1969-12-31T17:00:00 --enforcementcount 0 &gt;&gt;C:\Users\stu\Documents\GitHub\eaglep3-reporting\EC\2016-10-07-refined-times.txt</v>
      </c>
      <c r="AI218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ID","value":"315-07"},{"id":16,"name":"Locomotive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746</v>
      </c>
      <c r="B219" s="7">
        <v>4053</v>
      </c>
      <c r="C219" s="24" t="s">
        <v>106</v>
      </c>
      <c r="D219" s="24" t="s">
        <v>747</v>
      </c>
      <c r="E219" s="15">
        <v>42650.200300925928</v>
      </c>
      <c r="F219" s="15">
        <v>42650.201793981483</v>
      </c>
      <c r="G219" s="7">
        <v>1</v>
      </c>
      <c r="H219" s="15" t="s">
        <v>351</v>
      </c>
      <c r="I219" s="15">
        <v>42650.207083333335</v>
      </c>
      <c r="J219" s="7">
        <v>0</v>
      </c>
      <c r="K219" s="117" t="str">
        <f t="shared" si="72"/>
        <v>4053/4054</v>
      </c>
      <c r="L219" s="24" t="str">
        <f>VLOOKUP(A219,'Trips&amp;Operators'!$C$1:$E$10000,3,FALSE)</f>
        <v>STRICKLAND</v>
      </c>
      <c r="M219" s="6">
        <f t="shared" si="73"/>
        <v>5.2893518513883464E-3</v>
      </c>
      <c r="N219" s="7">
        <f t="shared" si="69"/>
        <v>7.6166666659992188</v>
      </c>
      <c r="O219" s="7"/>
      <c r="P219" s="7"/>
      <c r="Q219" s="25"/>
      <c r="R219" s="25"/>
      <c r="S219" s="37">
        <f t="shared" si="70"/>
        <v>0</v>
      </c>
      <c r="T219" s="52" t="str">
        <f t="shared" si="74"/>
        <v>NorthBound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03:48:26-0600',mode:absolute,to:'2016-10-07 05:58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9" s="54" t="str">
        <f t="shared" si="76"/>
        <v>Y</v>
      </c>
      <c r="X219" s="164">
        <f t="shared" si="71"/>
        <v>586</v>
      </c>
      <c r="Y219" s="69">
        <f t="shared" si="77"/>
        <v>3.04</v>
      </c>
      <c r="Z219" s="69">
        <f t="shared" si="78"/>
        <v>5.8963000000000001</v>
      </c>
      <c r="AA219" s="69">
        <f t="shared" si="79"/>
        <v>2.8563000000000001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80"/>
        <v>0901-07</v>
      </c>
      <c r="AE219" s="95" t="str">
        <f t="shared" si="81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219" s="92" t="str">
        <f t="shared" si="82"/>
        <v>"C:\Program Files (x86)\AstroGrep\AstroGrep.exe" /spath="%USERPROFILE%\AppData\Local\Temp\OnboardLogs" /stypes="app*4053*20161007*" /stext=" 10:.+((SYSTEM_STATE.+slice.+state.+changed )|(ment ac)|(system.+state.+changed )|(\[timeout)|(PRM\|1\|D)|(kpr)|(kdp)|(\|lc)|(penalty))" /e /r /s</v>
      </c>
      <c r="AG219" s="1" t="str">
        <f t="shared" si="83"/>
        <v>Other</v>
      </c>
      <c r="AH219" s="96" t="str">
        <f t="shared" si="84"/>
        <v>"%USERPROFILE%\Documents\GitHub\eaglep3\Utilities\RefineRTDCRunTimes.py" --tripid 901-07 --locoid 4053 --swversion DE.1.0.7.0 --startMP 300:30400 --initTime 2016-10-07T04:48:26 --startdatetime 2016-10-07T04:50:35 --delay 1 --endMP 300:58963 --enddatetime 2016-10-07T04:58:12 --enforcementcount 0 &gt;&gt;C:\Users\stu\Documents\GitHub\eaglep3-reporting\EC\2016-10-07-refined-times.txt</v>
      </c>
      <c r="AI219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{"issue":{"subject":"","project_id":79,"tracker_id":40,"status_id":1,"priority_id":2,"assigned_to_id":23,"start_date":"2016-10-07","description":"","custom_fields":[{"id":1,"name":"Subdivision","value":"Other"},{"id":4,"name":"Milepost","value":"5.8963"},{"id":17,"name":"Train ID","value":"901-07"},{"id":16,"name":"Locomotive ID","value":"4053"},{"id":130,"name":"Impact","value":""},{"id":150,"name":"Time of Event (Mountain Time)","value":"04:58:12"},{"id":151,"name":"Denver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748</v>
      </c>
      <c r="B220" s="7">
        <v>4026</v>
      </c>
      <c r="C220" s="24" t="s">
        <v>106</v>
      </c>
      <c r="D220" s="24" t="s">
        <v>749</v>
      </c>
      <c r="E220" s="15">
        <v>42650.252118055556</v>
      </c>
      <c r="F220" s="15">
        <v>42650.253055555557</v>
      </c>
      <c r="G220" s="7">
        <v>0</v>
      </c>
      <c r="H220" s="15" t="s">
        <v>188</v>
      </c>
      <c r="I220" s="15">
        <v>42650.259131944447</v>
      </c>
      <c r="J220" s="7">
        <v>0</v>
      </c>
      <c r="K220" s="117" t="str">
        <f t="shared" si="72"/>
        <v>4025/4026</v>
      </c>
      <c r="L220" s="24" t="str">
        <f>VLOOKUP(A220,'Trips&amp;Operators'!$C$1:$E$10000,3,FALSE)</f>
        <v>BEAM</v>
      </c>
      <c r="M220" s="6">
        <f t="shared" si="73"/>
        <v>6.0763888905057684E-3</v>
      </c>
      <c r="N220" s="7">
        <f t="shared" si="69"/>
        <v>8.7500000023283064</v>
      </c>
      <c r="O220" s="7"/>
      <c r="P220" s="7"/>
      <c r="Q220" s="25"/>
      <c r="R220" s="25"/>
      <c r="S220" s="37">
        <f t="shared" si="70"/>
        <v>1</v>
      </c>
      <c r="T220" s="52" t="str">
        <f t="shared" si="74"/>
        <v>Southbound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05:03:03-0600',mode:absolute,to:'2016-10-07 07:13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0" s="54" t="str">
        <f t="shared" si="76"/>
        <v>Y</v>
      </c>
      <c r="X220" s="164">
        <f t="shared" si="71"/>
        <v>1</v>
      </c>
      <c r="Y220" s="69">
        <f t="shared" si="77"/>
        <v>2.2216999999999998</v>
      </c>
      <c r="Z220" s="69">
        <f t="shared" si="78"/>
        <v>1.49E-2</v>
      </c>
      <c r="AA220" s="69">
        <f t="shared" si="79"/>
        <v>2.2067999999999999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80"/>
        <v>0902-07</v>
      </c>
      <c r="AE220" s="95" t="str">
        <f t="shared" si="81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20" s="92" t="str">
        <f t="shared" si="82"/>
        <v>"C:\Program Files (x86)\AstroGrep\AstroGrep.exe" /spath="%USERPROFILE%\AppData\Local\Temp\OnboardLogs" /stypes="app*4026*20161007*" /stext=" 12:.+((SYSTEM_STATE.+slice.+state.+changed )|(ment ac)|(system.+state.+changed )|(\[timeout)|(PRM\|1\|D)|(kpr)|(kdp)|(\|lc)|(penalty))" /e /r /s</v>
      </c>
      <c r="AG220" s="1" t="str">
        <f t="shared" si="83"/>
        <v>Other</v>
      </c>
      <c r="AH220" s="96" t="str">
        <f t="shared" si="84"/>
        <v>"%USERPROFILE%\Documents\GitHub\eaglep3\Utilities\RefineRTDCRunTimes.py" --tripid 902-07 --locoid 4026 --swversion DE.1.0.7.0 --startMP 300:22217 --initTime 2016-10-07T06:03:03 --startdatetime 2016-10-07T06:04:24 --delay 0 --endMP 204:149 --enddatetime 2016-10-07T06:13:09 --enforcementcount 0 &gt;&gt;C:\Users\stu\Documents\GitHub\eaglep3-reporting\EC\2016-10-07-refined-times.txt</v>
      </c>
      <c r="AI220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{"issue":{"subject":"","project_id":79,"tracker_id":40,"status_id":1,"priority_id":2,"assigned_to_id":23,"start_date":"2016-10-07","description":"","custom_fields":[{"id":1,"name":"Subdivision","value":"Other"},{"id":4,"name":"Milepost","value":"0.0149"},{"id":17,"name":"Train ID","value":"902-07"},{"id":16,"name":"Locomotive ID","value":"4026"},{"id":130,"name":"Impact","value":""},{"id":150,"name":"Time of Event (Mountain Time)","value":"06:13:09"},{"id":151,"name":"Denver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750</v>
      </c>
      <c r="B221" s="7">
        <v>4053</v>
      </c>
      <c r="C221" s="24" t="s">
        <v>106</v>
      </c>
      <c r="D221" s="24" t="s">
        <v>751</v>
      </c>
      <c r="E221" s="15">
        <v>42650.353796296295</v>
      </c>
      <c r="F221" s="15">
        <v>42650.355347222219</v>
      </c>
      <c r="G221" s="7">
        <v>1</v>
      </c>
      <c r="H221" s="15" t="s">
        <v>362</v>
      </c>
      <c r="I221" s="15">
        <v>42650.361261574071</v>
      </c>
      <c r="J221" s="7">
        <v>0</v>
      </c>
      <c r="K221" s="117" t="str">
        <f t="shared" si="72"/>
        <v>4053/4054</v>
      </c>
      <c r="L221" s="24" t="str">
        <f>VLOOKUP(A221,'Trips&amp;Operators'!$C$1:$E$10000,3,FALSE)</f>
        <v>STRICKLAND</v>
      </c>
      <c r="M221" s="6">
        <f t="shared" si="73"/>
        <v>5.914351851970423E-3</v>
      </c>
      <c r="N221" s="7">
        <f t="shared" si="69"/>
        <v>8.5166666668374091</v>
      </c>
      <c r="O221" s="7"/>
      <c r="P221" s="7"/>
      <c r="Q221" s="25"/>
      <c r="R221" s="25"/>
      <c r="S221" s="37">
        <f t="shared" si="70"/>
        <v>1</v>
      </c>
      <c r="T221" s="52" t="str">
        <f t="shared" si="74"/>
        <v>NorthBound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07:29:28-0600',mode:absolute,to:'2016-10-07 09:40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1" s="54" t="str">
        <f t="shared" si="76"/>
        <v>Y</v>
      </c>
      <c r="X221" s="164">
        <f t="shared" si="71"/>
        <v>1</v>
      </c>
      <c r="Y221" s="69">
        <f t="shared" si="77"/>
        <v>0.10390000000000001</v>
      </c>
      <c r="Z221" s="69">
        <f t="shared" si="78"/>
        <v>2.4262999999999999</v>
      </c>
      <c r="AA221" s="69">
        <f t="shared" si="79"/>
        <v>2.3224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80"/>
        <v>0903-07</v>
      </c>
      <c r="AE221" s="95" t="str">
        <f t="shared" si="81"/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AF221" s="92" t="str">
        <f t="shared" si="82"/>
        <v>"C:\Program Files (x86)\AstroGrep\AstroGrep.exe" /spath="%USERPROFILE%\AppData\Local\Temp\OnboardLogs" /stypes="app*4053*20161007*" /stext=" 14:.+((SYSTEM_STATE.+slice.+state.+changed )|(ment ac)|(system.+state.+changed )|(\[timeout)|(PRM\|1\|D)|(kpr)|(kdp)|(\|lc)|(penalty))" /e /r /s</v>
      </c>
      <c r="AG221" s="1" t="str">
        <f t="shared" si="83"/>
        <v>Other</v>
      </c>
      <c r="AH221" s="96" t="str">
        <f t="shared" si="84"/>
        <v>"%USERPROFILE%\Documents\GitHub\eaglep3\Utilities\RefineRTDCRunTimes.py" --tripid 903-07 --locoid 4053 --swversion DE.1.0.7.0 --startMP 204:1039 --initTime 2016-10-07T08:29:28 --startdatetime 2016-10-07T08:31:42 --delay 1 --endMP 300:24263 --enddatetime 2016-10-07T08:40:13 --enforcementcount 0 &gt;&gt;C:\Users\stu\Documents\GitHub\eaglep3-reporting\EC\2016-10-07-refined-times.txt</v>
      </c>
      <c r="AI221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{"issue":{"subject":"","project_id":79,"tracker_id":40,"status_id":1,"priority_id":2,"assigned_to_id":23,"start_date":"2016-10-07","description":"","custom_fields":[{"id":1,"name":"Subdivision","value":"Other"},{"id":4,"name":"Milepost","value":"2.4263"},{"id":17,"name":"Train ID","value":"903-07"},{"id":16,"name":"Locomotive ID","value":"4053"},{"id":130,"name":"Impact","value":""},{"id":150,"name":"Time of Event (Mountain Time)","value":"08:40:13"},{"id":151,"name":"Denver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752</v>
      </c>
      <c r="B222" s="7">
        <v>4054</v>
      </c>
      <c r="C222" s="24" t="s">
        <v>106</v>
      </c>
      <c r="D222" s="24" t="s">
        <v>753</v>
      </c>
      <c r="E222" s="15">
        <v>42650.639826388891</v>
      </c>
      <c r="F222" s="15">
        <v>42650.641840277778</v>
      </c>
      <c r="G222" s="7">
        <v>2</v>
      </c>
      <c r="H222" s="15" t="s">
        <v>676</v>
      </c>
      <c r="I222" s="15">
        <v>42650.647997685184</v>
      </c>
      <c r="J222" s="7">
        <v>0</v>
      </c>
      <c r="K222" s="117" t="str">
        <f t="shared" si="72"/>
        <v>4053/4054</v>
      </c>
      <c r="L222" s="24" t="str">
        <f>VLOOKUP(A222,'Trips&amp;Operators'!$C$1:$E$10000,3,FALSE)</f>
        <v>NEWELL</v>
      </c>
      <c r="M222" s="6">
        <f t="shared" si="73"/>
        <v>6.1574074061354622E-3</v>
      </c>
      <c r="N222" s="7">
        <f t="shared" si="69"/>
        <v>8.8666666648350656</v>
      </c>
      <c r="O222" s="7"/>
      <c r="P222" s="7"/>
      <c r="Q222" s="25"/>
      <c r="R222" s="25"/>
      <c r="S222" s="37">
        <f t="shared" si="70"/>
        <v>1</v>
      </c>
      <c r="T222" s="52" t="str">
        <f t="shared" si="74"/>
        <v>Southbound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14:21:21-0600',mode:absolute,to:'2016-10-07 16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2" s="54" t="str">
        <f t="shared" si="76"/>
        <v>Y</v>
      </c>
      <c r="X222" s="164">
        <f t="shared" si="71"/>
        <v>1</v>
      </c>
      <c r="Y222" s="69">
        <f t="shared" si="77"/>
        <v>2.3552</v>
      </c>
      <c r="Z222" s="69">
        <f t="shared" si="78"/>
        <v>6.7000000000000004E-2</v>
      </c>
      <c r="AA222" s="69">
        <f t="shared" si="79"/>
        <v>2.2881999999999998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80"/>
        <v>0904-07</v>
      </c>
      <c r="AE222" s="95" t="str">
        <f t="shared" si="81"/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AF222" s="92" t="str">
        <f t="shared" si="82"/>
        <v>"C:\Program Files (x86)\AstroGrep\AstroGrep.exe" /spath="%USERPROFILE%\AppData\Local\Temp\OnboardLogs" /stypes="app*4054*20161007*" /stext=" 21:.+((SYSTEM_STATE.+slice.+state.+changed )|(ment ac)|(system.+state.+changed )|(\[timeout)|(PRM\|1\|D)|(kpr)|(kdp)|(\|lc)|(penalty))" /e /r /s</v>
      </c>
      <c r="AG222" s="1" t="str">
        <f t="shared" si="83"/>
        <v>Other</v>
      </c>
      <c r="AH222" s="96" t="str">
        <f t="shared" si="84"/>
        <v>"%USERPROFILE%\Documents\GitHub\eaglep3\Utilities\RefineRTDCRunTimes.py" --tripid 904-07 --locoid 4054 --swversion DE.1.0.7.0 --startMP 300:23552 --initTime 2016-10-07T15:21:21 --startdatetime 2016-10-07T15:24:15 --delay 2 --endMP 204:670 --enddatetime 2016-10-07T15:33:07 --enforcementcount 0 &gt;&gt;C:\Users\stu\Documents\GitHub\eaglep3-reporting\EC\2016-10-07-refined-times.txt</v>
      </c>
      <c r="AI222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{"issue":{"subject":"","project_id":79,"tracker_id":40,"status_id":1,"priority_id":2,"assigned_to_id":23,"start_date":"2016-10-07","description":"","custom_fields":[{"id":1,"name":"Subdivision","value":"Other"},{"id":4,"name":"Milepost","value":"0.067"},{"id":17,"name":"Train ID","value":"904-07"},{"id":16,"name":"Locomotive ID","value":"4054"},{"id":130,"name":"Impact","value":""},{"id":150,"name":"Time of Event (Mountain Time)","value":"15:33:07"},{"id":151,"name":"Denver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754</v>
      </c>
      <c r="B223" s="7">
        <v>4054</v>
      </c>
      <c r="C223" s="24" t="s">
        <v>106</v>
      </c>
      <c r="D223" s="24" t="s">
        <v>701</v>
      </c>
      <c r="E223" s="15">
        <v>42650.796099537038</v>
      </c>
      <c r="F223" s="15">
        <v>25568.708333333332</v>
      </c>
      <c r="G223" s="7">
        <v>1</v>
      </c>
      <c r="H223" s="15" t="s">
        <v>755</v>
      </c>
      <c r="I223" s="15">
        <v>25568.708333333332</v>
      </c>
      <c r="J223" s="7">
        <v>0</v>
      </c>
      <c r="K223" s="117" t="str">
        <f t="shared" si="72"/>
        <v>4053/4054</v>
      </c>
      <c r="L223" s="24" t="str">
        <f>VLOOKUP(A223,'Trips&amp;Operators'!$C$1:$E$10000,3,FALSE)</f>
        <v>NEWELL</v>
      </c>
      <c r="M223" s="6">
        <f t="shared" si="73"/>
        <v>0</v>
      </c>
      <c r="N223" s="7">
        <f t="shared" si="69"/>
        <v>0</v>
      </c>
      <c r="O223" s="7"/>
      <c r="P223" s="7"/>
      <c r="Q223" s="25"/>
      <c r="R223" s="25"/>
      <c r="S223" s="37">
        <f t="shared" si="70"/>
        <v>0</v>
      </c>
      <c r="T223" s="52" t="str">
        <f t="shared" si="74"/>
        <v>Southbound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18:06:23-0600',mode:absolute,to:'1969-12-31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3" s="54" t="str">
        <f t="shared" si="76"/>
        <v>Y</v>
      </c>
      <c r="X223" s="164">
        <f t="shared" si="71"/>
        <v>2</v>
      </c>
      <c r="Y223" s="69">
        <f t="shared" si="77"/>
        <v>5.8597999999999999</v>
      </c>
      <c r="Z223" s="69">
        <f t="shared" si="78"/>
        <v>2.8776000000000002</v>
      </c>
      <c r="AA223" s="69">
        <f t="shared" si="79"/>
        <v>2.9821999999999997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80"/>
        <v>0906-07</v>
      </c>
      <c r="AE223" s="95" t="str">
        <f t="shared" si="81"/>
        <v>aws s3 cp s3://rtdc.mdm.uploadarchive.raw/RTDC4054/ "%USERPROFILE%\AppData\Local\Temp\OnboardLogs"\RTDC4054\1969-12-31 --exclude "*" --recursive --include "*19691231*" &amp; "%USERPROFILE%\Documents\GitHub\mrs-test-scripts\Headless Mode &amp; Sideloading\WalkAndUnGZ.bat" "%USERPROFILE%\AppData\Local\Temp\OnboardLogs"\RTDC4054\1969-12-31 &amp; aws s3 cp s3://rtdc.mdm.uploadarchive.raw/RTDC4054/ "%USERPROFILE%\AppData\Local\Temp\OnboardLogs"\RTDC4054\1970-01-01 --exclude "*" --recursive --include "*19700101*" &amp; "%USERPROFILE%\Documents\GitHub\mrs-test-scripts\Headless Mode &amp; Sideloading\WalkAndUnGZ.bat" "%USERPROFILE%\AppData\Local\Temp\OnboardLogs"\RTDC4054\1970-01-01</v>
      </c>
      <c r="AF223" s="92" t="str">
        <f t="shared" si="82"/>
        <v>"C:\Program Files (x86)\AstroGrep\AstroGrep.exe" /spath="%USERPROFILE%\AppData\Local\Temp\OnboardLogs" /stypes="app*4054*19691231*" /stext=" 23:.+((SYSTEM_STATE.+slice.+state.+changed )|(ment ac)|(system.+state.+changed )|(\[timeout)|(PRM\|1\|D)|(kpr)|(kdp)|(\|lc)|(penalty))" /e /r /s</v>
      </c>
      <c r="AG223" s="1" t="str">
        <f t="shared" si="83"/>
        <v>Other</v>
      </c>
      <c r="AH223" s="96" t="str">
        <f t="shared" si="84"/>
        <v>"%USERPROFILE%\Documents\GitHub\eaglep3\Utilities\RefineRTDCRunTimes.py" --tripid 906-07 --locoid 4054 --swversion DE.1.0.7.0 --startMP 300:58598 --initTime 2016-10-07T19:06:23 --startdatetime 1969-12-31T17:00:00 --delay 1 --endMP 300:28776 --enddatetime 1969-12-31T17:00:00 --enforcementcount 0 &gt;&gt;C:\Users\stu\Documents\GitHub\eaglep3-reporting\EC\2016-10-07-refined-times.txt</v>
      </c>
      <c r="AI223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{"issue":{"subject":"","project_id":79,"tracker_id":40,"status_id":1,"priority_id":2,"assigned_to_id":23,"start_date":"1969-12-31","description":"","custom_fields":[{"id":1,"name":"Subdivision","value":"Other"},{"id":4,"name":"Milepost","value":"2.8776"},{"id":17,"name":"Train ID","value":"906-07"},{"id":16,"name":"Locomotive ID","value":"4054"},{"id":130,"name":"Impact","value":""},{"id":150,"name":"Time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756</v>
      </c>
      <c r="B224" s="7">
        <v>4026</v>
      </c>
      <c r="C224" s="24" t="s">
        <v>106</v>
      </c>
      <c r="D224" s="24" t="s">
        <v>757</v>
      </c>
      <c r="E224" s="15">
        <v>42650.942789351851</v>
      </c>
      <c r="F224" s="15">
        <v>42650.944085648145</v>
      </c>
      <c r="G224" s="7">
        <v>1</v>
      </c>
      <c r="H224" s="15" t="s">
        <v>758</v>
      </c>
      <c r="I224" s="15">
        <v>42650.949224537035</v>
      </c>
      <c r="J224" s="7">
        <v>0</v>
      </c>
      <c r="K224" s="117" t="str">
        <f t="shared" si="72"/>
        <v>4025/4026</v>
      </c>
      <c r="L224" s="24" t="str">
        <f>VLOOKUP(A224,'Trips&amp;Operators'!$C$1:$E$10000,3,FALSE)</f>
        <v>NEWELL</v>
      </c>
      <c r="M224" s="6">
        <f t="shared" si="73"/>
        <v>5.1388888896326534E-3</v>
      </c>
      <c r="N224" s="7">
        <f t="shared" si="69"/>
        <v>7.400000001071021</v>
      </c>
      <c r="O224" s="7"/>
      <c r="P224" s="7"/>
      <c r="Q224" s="25"/>
      <c r="R224" s="25"/>
      <c r="S224" s="37">
        <f t="shared" si="70"/>
        <v>0</v>
      </c>
      <c r="T224" s="52" t="str">
        <f t="shared" si="74"/>
        <v>Southbound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21:37:37-0600',mode:absolute,to:'2016-10-07 23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4" s="54" t="str">
        <f t="shared" si="76"/>
        <v>Y</v>
      </c>
      <c r="X224" s="164">
        <f t="shared" si="71"/>
        <v>2</v>
      </c>
      <c r="Y224" s="69">
        <f t="shared" si="77"/>
        <v>5.8596000000000004</v>
      </c>
      <c r="Z224" s="69">
        <f t="shared" si="78"/>
        <v>2.1732999999999998</v>
      </c>
      <c r="AA224" s="69">
        <f t="shared" si="79"/>
        <v>3.6863000000000006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80"/>
        <v>0908-07</v>
      </c>
      <c r="AE224" s="95" t="str">
        <f t="shared" si="81"/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AF224" s="92" t="str">
        <f t="shared" si="82"/>
        <v>"C:\Program Files (x86)\AstroGrep\AstroGrep.exe" /spath="%USERPROFILE%\AppData\Local\Temp\OnboardLogs" /stypes="app*4026*20161008*" /stext=" 04:.+((SYSTEM_STATE.+slice.+state.+changed )|(ment ac)|(system.+state.+changed )|(\[timeout)|(PRM\|1\|D)|(kpr)|(kdp)|(\|lc)|(penalty))" /e /r /s</v>
      </c>
      <c r="AG224" s="1" t="str">
        <f t="shared" si="83"/>
        <v>Other</v>
      </c>
      <c r="AH224" s="96" t="str">
        <f t="shared" si="84"/>
        <v>"%USERPROFILE%\Documents\GitHub\eaglep3\Utilities\RefineRTDCRunTimes.py" --tripid 908-07 --locoid 4026 --swversion DE.1.0.7.0 --startMP 300:58596 --initTime 2016-10-07T22:37:37 --startdatetime 2016-10-07T22:39:29 --delay 1 --endMP 300:21733 --enddatetime 2016-10-07T22:46:53 --enforcementcount 0 &gt;&gt;C:\Users\stu\Documents\GitHub\eaglep3-reporting\EC\2016-10-07-refined-times.txt</v>
      </c>
      <c r="AI224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{"issue":{"subject":"","project_id":79,"tracker_id":40,"status_id":1,"priority_id":2,"assigned_to_id":23,"start_date":"2016-10-07","description":"","custom_fields":[{"id":1,"name":"Subdivision","value":"Other"},{"id":4,"name":"Milepost","value":"2.1733"},{"id":17,"name":"Train ID","value":"908-07"},{"id":16,"name":"Locomotive ID","value":"4026"},{"id":130,"name":"Impact","value":""},{"id":150,"name":"Time of Event (Mountain Time)","value":"22:46:53"},{"id":151,"name":"Denver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608</v>
      </c>
      <c r="B225" s="7">
        <v>4021</v>
      </c>
      <c r="C225" s="24" t="s">
        <v>106</v>
      </c>
      <c r="D225" s="24" t="s">
        <v>609</v>
      </c>
      <c r="E225" s="15">
        <v>42650.429201388892</v>
      </c>
      <c r="F225" s="15">
        <v>42650.433564814812</v>
      </c>
      <c r="G225" s="7">
        <v>5</v>
      </c>
      <c r="H225" s="15" t="s">
        <v>610</v>
      </c>
      <c r="I225" s="15">
        <v>42650.434571759259</v>
      </c>
      <c r="J225" s="7">
        <v>0</v>
      </c>
      <c r="K225" s="117" t="str">
        <f t="shared" si="72"/>
        <v>4021/4022</v>
      </c>
      <c r="L225" s="24" t="str">
        <f>VLOOKUP(A225,'Trips&amp;Operators'!$C$1:$E$10000,3,FALSE)</f>
        <v>STEWART</v>
      </c>
      <c r="M225" s="6">
        <f t="shared" si="73"/>
        <v>1.006944446999114E-3</v>
      </c>
      <c r="N225" s="7">
        <f t="shared" si="69"/>
        <v>1.4500000036787242</v>
      </c>
      <c r="O225" s="7"/>
      <c r="P225" s="7"/>
      <c r="Q225" s="25"/>
      <c r="R225" s="25"/>
      <c r="S225" s="37">
        <f t="shared" si="70"/>
        <v>0</v>
      </c>
      <c r="T225" s="52" t="e">
        <f t="shared" si="74"/>
        <v>#VALUE!</v>
      </c>
      <c r="U225" s="15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09:18:03-0600',mode:absolute,to:'2016-10-07 11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5" s="54" t="str">
        <f t="shared" si="76"/>
        <v>Y</v>
      </c>
      <c r="X225" s="164" t="e">
        <f t="shared" si="71"/>
        <v>#VALUE!</v>
      </c>
      <c r="Y225" s="69">
        <f t="shared" si="77"/>
        <v>2.3841000000000001</v>
      </c>
      <c r="Z225" s="69">
        <f t="shared" si="78"/>
        <v>2.0104000000000002</v>
      </c>
      <c r="AA225" s="69">
        <f t="shared" si="79"/>
        <v>0.37369999999999992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80"/>
        <v>50-07</v>
      </c>
      <c r="AE225" s="95" t="str">
        <f t="shared" si="81"/>
        <v>aws s3 cp s3://rtdc.mdm.uploadarchive.raw/RTDC4021/ "%USERPROFILE%\AppData\Local\Temp\OnboardLogs"\RTDC4021\2016-10-07 --exclude "*" --recursive --include "*20161007*" &amp; "%USERPROFILE%\Documents\GitHub\mrs-test-scripts\Headless Mode &amp; Sideloading\WalkAndUnGZ.bat" "%USERPROFILE%\AppData\Local\Temp\OnboardLogs"\RTDC4021\2016-10-07 &amp; aws s3 cp s3://rtdc.mdm.uploadarchive.raw/RTDC4021/ "%USERPROFILE%\AppData\Local\Temp\OnboardLogs"\RTDC4021\2016-10-08 --exclude "*" --recursive --include "*20161008*" &amp; "%USERPROFILE%\Documents\GitHub\mrs-test-scripts\Headless Mode &amp; Sideloading\WalkAndUnGZ.bat" "%USERPROFILE%\AppData\Local\Temp\OnboardLogs"\RTDC4021\2016-10-08</v>
      </c>
      <c r="AF225" s="92" t="str">
        <f t="shared" si="82"/>
        <v>"C:\Program Files (x86)\AstroGrep\AstroGrep.exe" /spath="%USERPROFILE%\AppData\Local\Temp\OnboardLogs" /stypes="app*4021*20161007*" /stext=" 16:.+((SYSTEM_STATE.+slice.+state.+changed )|(ment ac)|(system.+state.+changed )|(\[timeout)|(PRM\|1\|D)|(kpr)|(kdp)|(\|lc)|(penalty))" /e /r /s</v>
      </c>
      <c r="AG225" s="1" t="str">
        <f t="shared" si="83"/>
        <v>Other</v>
      </c>
      <c r="AH225" s="96" t="str">
        <f t="shared" si="84"/>
        <v>"%USERPROFILE%\Documents\GitHub\eaglep3\Utilities\RefineRTDCRunTimes.py" --tripid 50-07 --locoid 4021 --swversion DE.1.0.7.0 --startMP 300:23841 --initTime 2016-10-07T10:18:03 --startdatetime 2016-10-07T10:24:20 --delay 5 --endMP 300:20104 --enddatetime 2016-10-07T10:25:47 --enforcementcount 0 &gt;&gt;C:\Users\stu\Documents\GitHub\eaglep3-reporting\EC\2016-10-07-refined-times.txt</v>
      </c>
      <c r="AI225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{"issue":{"subject":"","project_id":79,"tracker_id":40,"status_id":1,"priority_id":2,"assigned_to_id":23,"start_date":"2016-10-07","description":"","custom_fields":[{"id":1,"name":"Subdivision","value":"Other"},{"id":4,"name":"Milepost","value":"2.0104"},{"id":17,"name":"Train ID","value":"50-07"},{"id":16,"name":"Locomotive ID","value":"4021"},{"id":130,"name":"Impact","value":""},{"id":150,"name":"Time of Event (Mountain Time)","value":"10:25:47"},{"id":151,"name":"Denver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611</v>
      </c>
      <c r="B226" s="7">
        <v>4006</v>
      </c>
      <c r="C226" s="24" t="s">
        <v>106</v>
      </c>
      <c r="D226" s="24" t="s">
        <v>612</v>
      </c>
      <c r="E226" s="15">
        <v>42650.491111111114</v>
      </c>
      <c r="F226" s="15">
        <v>25568.708333333332</v>
      </c>
      <c r="G226" s="7">
        <v>1</v>
      </c>
      <c r="H226" s="15" t="s">
        <v>613</v>
      </c>
      <c r="I226" s="15">
        <v>25568.708333333332</v>
      </c>
      <c r="J226" s="7">
        <v>0</v>
      </c>
      <c r="K226" s="117" t="str">
        <f t="shared" si="72"/>
        <v>4005/4006</v>
      </c>
      <c r="L226" s="24" t="str">
        <f>VLOOKUP(A226,'Trips&amp;Operators'!$C$1:$E$10000,3,FALSE)</f>
        <v>GEBRETEKLE</v>
      </c>
      <c r="M226" s="6">
        <f t="shared" si="73"/>
        <v>0</v>
      </c>
      <c r="N226" s="7">
        <f t="shared" si="69"/>
        <v>0</v>
      </c>
      <c r="O226" s="7"/>
      <c r="P226" s="7"/>
      <c r="Q226" s="25"/>
      <c r="R226" s="25"/>
      <c r="S226" s="37">
        <f t="shared" si="70"/>
        <v>0</v>
      </c>
      <c r="T226" s="52" t="e">
        <f t="shared" si="74"/>
        <v>#VALUE!</v>
      </c>
      <c r="U226" s="15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10:47:12-0600',mode:absolute,to:'1969-12-31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26" s="54" t="str">
        <f t="shared" si="76"/>
        <v>Y</v>
      </c>
      <c r="X226" s="164" t="e">
        <f t="shared" si="71"/>
        <v>#VALUE!</v>
      </c>
      <c r="Y226" s="69">
        <f t="shared" si="77"/>
        <v>0.11509999999999999</v>
      </c>
      <c r="Z226" s="69">
        <f t="shared" si="78"/>
        <v>2.4247999999999998</v>
      </c>
      <c r="AA226" s="69">
        <f t="shared" si="79"/>
        <v>2.3096999999999999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80"/>
        <v>51-07</v>
      </c>
      <c r="AE226" s="95" t="str">
        <f t="shared" si="81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26" s="92" t="str">
        <f t="shared" si="82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26" s="1" t="str">
        <f t="shared" si="83"/>
        <v>Other</v>
      </c>
      <c r="AH226" s="96" t="str">
        <f t="shared" si="84"/>
        <v>"%USERPROFILE%\Documents\GitHub\eaglep3\Utilities\RefineRTDCRunTimes.py" --tripid 51-07 --locoid 4006 --swversion DE.1.0.7.0 --startMP 204:1151 --initTime 2016-10-07T11:47:12 --startdatetime 1969-12-31T17:00:00 --delay 1 --endMP 300:24248 --enddatetime 1969-12-31T17:00:00 --enforcementcount 0 &gt;&gt;C:\Users\stu\Documents\GitHub\eaglep3-reporting\EC\2016-10-07-refined-times.txt</v>
      </c>
      <c r="AI226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{"issue":{"subject":"","project_id":79,"tracker_id":40,"status_id":1,"priority_id":2,"assigned_to_id":23,"start_date":"1969-12-31","description":"","custom_fields":[{"id":1,"name":"Subdivision","value":"Other"},{"id":4,"name":"Milepost","value":"2.4248"},{"id":17,"name":"Train ID","value":"51-07"},{"id":16,"name":"Locomotive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614</v>
      </c>
      <c r="B227" s="7">
        <v>4005</v>
      </c>
      <c r="C227" s="24" t="s">
        <v>106</v>
      </c>
      <c r="D227" s="24" t="s">
        <v>615</v>
      </c>
      <c r="E227" s="15">
        <v>42650.738159722219</v>
      </c>
      <c r="F227" s="15">
        <v>42650.73951388889</v>
      </c>
      <c r="G227" s="7">
        <v>1</v>
      </c>
      <c r="H227" s="15" t="s">
        <v>616</v>
      </c>
      <c r="I227" s="15">
        <v>42650.746678240743</v>
      </c>
      <c r="J227" s="7">
        <v>0</v>
      </c>
      <c r="K227" s="117" t="str">
        <f t="shared" si="72"/>
        <v>4005/4006</v>
      </c>
      <c r="L227" s="24" t="str">
        <f>VLOOKUP(A227,'Trips&amp;Operators'!$C$1:$E$10000,3,FALSE)</f>
        <v>CHANDLER</v>
      </c>
      <c r="M227" s="6">
        <f t="shared" si="73"/>
        <v>7.1643518531345762E-3</v>
      </c>
      <c r="N227" s="7">
        <f t="shared" si="69"/>
        <v>10.31666666851379</v>
      </c>
      <c r="O227" s="7"/>
      <c r="P227" s="7"/>
      <c r="Q227" s="25"/>
      <c r="R227" s="25"/>
      <c r="S227" s="37">
        <f t="shared" si="70"/>
        <v>0</v>
      </c>
      <c r="T227" s="52" t="e">
        <f t="shared" si="74"/>
        <v>#VALUE!</v>
      </c>
      <c r="U227" s="15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16:42:57-0600',mode:absolute,to:'2016-10-07 18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27" s="54" t="str">
        <f t="shared" si="76"/>
        <v>Y</v>
      </c>
      <c r="X227" s="164" t="e">
        <f t="shared" si="71"/>
        <v>#VALUE!</v>
      </c>
      <c r="Y227" s="69">
        <f t="shared" si="77"/>
        <v>2.3456999999999999</v>
      </c>
      <c r="Z227" s="69">
        <f t="shared" si="78"/>
        <v>8.8000000000000005E-3</v>
      </c>
      <c r="AA227" s="69">
        <f t="shared" si="79"/>
        <v>2.3369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 t="shared" si="80"/>
        <v>52-07</v>
      </c>
      <c r="AE227" s="95" t="str">
        <f t="shared" si="81"/>
        <v>aws s3 cp s3://rtdc.mdm.uploadarchive.raw/RTDC4005/ "%USERPROFILE%\AppData\Local\Temp\OnboardLogs"\RTDC4005\2016-10-07 --exclude "*" --recursive --include "*20161007*" &amp; "%USERPROFILE%\Documents\GitHub\mrs-test-scripts\Headless Mode &amp; Sideloading\WalkAndUnGZ.bat" "%USERPROFILE%\AppData\Local\Temp\OnboardLogs"\RTDC4005\2016-10-07 &amp; aws s3 cp s3://rtdc.mdm.uploadarchive.raw/RTDC4005/ "%USERPROFILE%\AppData\Local\Temp\OnboardLogs"\RTDC4005\2016-10-08 --exclude "*" --recursive --include "*20161008*" &amp; "%USERPROFILE%\Documents\GitHub\mrs-test-scripts\Headless Mode &amp; Sideloading\WalkAndUnGZ.bat" "%USERPROFILE%\AppData\Local\Temp\OnboardLogs"\RTDC4005\2016-10-08</v>
      </c>
      <c r="AF227" s="92" t="str">
        <f t="shared" si="82"/>
        <v>"C:\Program Files (x86)\AstroGrep\AstroGrep.exe" /spath="%USERPROFILE%\AppData\Local\Temp\OnboardLogs" /stypes="app*4005*20161007*" /stext=" 23:.+((SYSTEM_STATE.+slice.+state.+changed )|(ment ac)|(system.+state.+changed )|(\[timeout)|(PRM\|1\|D)|(kpr)|(kdp)|(\|lc)|(penalty))" /e /r /s</v>
      </c>
      <c r="AG227" s="1" t="str">
        <f t="shared" si="83"/>
        <v>Other</v>
      </c>
      <c r="AH227" s="96" t="str">
        <f t="shared" si="84"/>
        <v>"%USERPROFILE%\Documents\GitHub\eaglep3\Utilities\RefineRTDCRunTimes.py" --tripid 52-07 --locoid 4005 --swversion DE.1.0.7.0 --startMP 300:23457 --initTime 2016-10-07T17:42:57 --startdatetime 2016-10-07T17:44:54 --delay 1 --endMP 204:88 --enddatetime 2016-10-07T17:55:13 --enforcementcount 0 &gt;&gt;C:\Users\stu\Documents\GitHub\eaglep3-reporting\EC\2016-10-07-refined-times.txt</v>
      </c>
      <c r="AI227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{"issue":{"subject":"","project_id":79,"tracker_id":40,"status_id":1,"priority_id":2,"assigned_to_id":23,"start_date":"2016-10-07","description":"","custom_fields":[{"id":1,"name":"Subdivision","value":"Other"},{"id":4,"name":"Milepost","value":"0.0088"},{"id":17,"name":"Train ID","value":"52-07"},{"id":16,"name":"Locomotive ID","value":"4005"},{"id":130,"name":"Impact","value":""},{"id":150,"name":"Time of Event (Mountain Time)","value":"17:55:13"},{"id":151,"name":"Denver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314</v>
      </c>
      <c r="B228" s="7">
        <v>4051</v>
      </c>
      <c r="C228" s="24" t="s">
        <v>280</v>
      </c>
      <c r="D228" s="24" t="s">
        <v>617</v>
      </c>
      <c r="E228" s="15">
        <v>42650.123993055553</v>
      </c>
      <c r="F228" s="15">
        <v>42650.152731481481</v>
      </c>
      <c r="G228" s="7">
        <v>0</v>
      </c>
      <c r="H228" s="15" t="s">
        <v>618</v>
      </c>
      <c r="I228" s="15">
        <v>42650.170787037037</v>
      </c>
      <c r="J228" s="7">
        <v>0</v>
      </c>
      <c r="K228" s="117" t="str">
        <f t="shared" si="72"/>
        <v>4051/4052</v>
      </c>
      <c r="L228" s="24" t="b">
        <f>VLOOKUP(A228,'Trips&amp;Operators'!$C$1:$E$10000,3,FALSE)</f>
        <v>1</v>
      </c>
      <c r="M228" s="6">
        <f t="shared" si="73"/>
        <v>1.8055555556202307E-2</v>
      </c>
      <c r="N228" s="7">
        <f t="shared" si="69"/>
        <v>26.000000000931323</v>
      </c>
      <c r="O228" s="7"/>
      <c r="P228" s="7"/>
      <c r="Q228" s="25"/>
      <c r="R228" s="25"/>
      <c r="S228" s="37">
        <f t="shared" si="70"/>
        <v>0</v>
      </c>
      <c r="T228" s="52" t="e">
        <f t="shared" si="74"/>
        <v>#VALUE!</v>
      </c>
      <c r="U228" s="159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01:58:33-0600',mode:absolute,to:'2016-10-07 05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8" s="54" t="str">
        <f t="shared" si="76"/>
        <v>N</v>
      </c>
      <c r="X228" s="164" t="e">
        <f t="shared" si="71"/>
        <v>#VALUE!</v>
      </c>
      <c r="Y228" s="69">
        <f t="shared" si="77"/>
        <v>1.0578000000000001</v>
      </c>
      <c r="Z228" s="69">
        <f t="shared" si="78"/>
        <v>12.8195</v>
      </c>
      <c r="AA228" s="69">
        <f t="shared" si="79"/>
        <v>11.761699999999999</v>
      </c>
      <c r="AB228" s="66" t="e">
        <f>VLOOKUP(A228,Enforcements!$C$7:$K$21,8,0)</f>
        <v>#N/A</v>
      </c>
      <c r="AC228" s="62" t="e">
        <f>VLOOKUP(A228,Enforcements!$C$7:$E$21,3,0)</f>
        <v>#N/A</v>
      </c>
      <c r="AD228" s="63" t="str">
        <f t="shared" si="80"/>
        <v>56-06</v>
      </c>
      <c r="AE228" s="95" t="str">
        <f t="shared" si="81"/>
        <v>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 &amp; 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</v>
      </c>
      <c r="AF228" s="92" t="str">
        <f t="shared" si="82"/>
        <v>"C:\Program Files (x86)\AstroGrep\AstroGrep.exe" /spath="%USERPROFILE%\AppData\Local\Temp\OnboardLogs" /stypes="app*4051*20161007*" /stext=" 10:.+((SYSTEM_STATE.+slice.+state.+changed )|(ment ac)|(system.+state.+changed )|(\[timeout)|(PRM\|1\|D)|(kpr)|(kdp)|(\|lc)|(penalty))" /e /r /s</v>
      </c>
      <c r="AG228" s="1" t="str">
        <f t="shared" si="83"/>
        <v>Other</v>
      </c>
      <c r="AH228" s="96" t="str">
        <f t="shared" si="84"/>
        <v>"%USERPROFILE%\Documents\GitHub\eaglep3\Utilities\RefineRTDCRunTimes.py" --tripid 56-06 --locoid 4051 --swversion DE.1.0.8.0 --startMP 204:10578 --initTime 2016-10-07T02:58:33 --startdatetime 2016-10-07T03:39:56 --delay 0 --endMP 204:128195 --enddatetime 2016-10-07T04:05:56 --enforcementcount 0 &gt;&gt;C:\Users\stu\Documents\GitHub\eaglep3-reporting\EC\2016-10-07-refined-times.txt</v>
      </c>
      <c r="AI228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{"issue":{"subject":"","project_id":79,"tracker_id":40,"status_id":1,"priority_id":2,"assigned_to_id":23,"start_date":"2016-10-07","description":"","custom_fields":[{"id":1,"name":"Subdivision","value":"Other"},{"id":4,"name":"Milepost","value":"12.8195"},{"id":17,"name":"Train ID","value":"56-06"},{"id":16,"name":"Locomotive ID","value":"4051"},{"id":130,"name":"Impact","value":""},{"id":150,"name":"Time of Event (Mountain Time)","value":"04:05:56"},{"id":151,"name":"Denver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314</v>
      </c>
      <c r="B229" s="7">
        <v>4051</v>
      </c>
      <c r="C229" s="24" t="s">
        <v>280</v>
      </c>
      <c r="D229" s="24" t="s">
        <v>343</v>
      </c>
      <c r="E229" s="15">
        <v>42650.082465277781</v>
      </c>
      <c r="F229" s="15">
        <v>42650.104803240742</v>
      </c>
      <c r="G229" s="7">
        <v>1</v>
      </c>
      <c r="H229" s="15" t="s">
        <v>344</v>
      </c>
      <c r="I229" s="15">
        <v>42650.122824074075</v>
      </c>
      <c r="J229" s="7">
        <v>0</v>
      </c>
      <c r="K229" s="117" t="str">
        <f t="shared" si="72"/>
        <v>4051/4052</v>
      </c>
      <c r="L229" s="24" t="b">
        <f>VLOOKUP(A229,'Trips&amp;Operators'!$C$1:$E$10000,3,FALSE)</f>
        <v>1</v>
      </c>
      <c r="M229" s="6">
        <f t="shared" si="73"/>
        <v>1.8020833333139308E-2</v>
      </c>
      <c r="N229" s="7">
        <f t="shared" si="69"/>
        <v>25.949999999720603</v>
      </c>
      <c r="O229" s="7"/>
      <c r="P229" s="7"/>
      <c r="Q229" s="25"/>
      <c r="R229" s="25"/>
      <c r="S229" s="37">
        <f t="shared" si="70"/>
        <v>0</v>
      </c>
      <c r="T229" s="52" t="e">
        <f t="shared" si="74"/>
        <v>#VALUE!</v>
      </c>
      <c r="U229" s="159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00:58:45-0600',mode:absolute,to:'2016-10-07 03:56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9" s="54" t="str">
        <f t="shared" si="76"/>
        <v>N</v>
      </c>
      <c r="X229" s="164" t="e">
        <f t="shared" si="71"/>
        <v>#VALUE!</v>
      </c>
      <c r="Y229" s="69">
        <f t="shared" si="77"/>
        <v>1.0603</v>
      </c>
      <c r="Z229" s="69">
        <f t="shared" si="78"/>
        <v>12.8134</v>
      </c>
      <c r="AA229" s="69">
        <f t="shared" si="79"/>
        <v>11.7531</v>
      </c>
      <c r="AB229" s="66" t="e">
        <f>VLOOKUP(A229,Enforcements!$C$7:$K$21,8,0)</f>
        <v>#N/A</v>
      </c>
      <c r="AC229" s="62" t="e">
        <f>VLOOKUP(A229,Enforcements!$C$7:$E$21,3,0)</f>
        <v>#N/A</v>
      </c>
      <c r="AD229" s="63" t="str">
        <f t="shared" si="80"/>
        <v>56-06</v>
      </c>
      <c r="AE229" s="95" t="str">
        <f t="shared" si="81"/>
        <v>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 &amp; 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</v>
      </c>
      <c r="AF229" s="92" t="str">
        <f t="shared" si="82"/>
        <v>"C:\Program Files (x86)\AstroGrep\AstroGrep.exe" /spath="%USERPROFILE%\AppData\Local\Temp\OnboardLogs" /stypes="app*4051*20161007*" /stext=" 08:.+((SYSTEM_STATE.+slice.+state.+changed )|(ment ac)|(system.+state.+changed )|(\[timeout)|(PRM\|1\|D)|(kpr)|(kdp)|(\|lc)|(penalty))" /e /r /s</v>
      </c>
      <c r="AG229" s="1" t="str">
        <f t="shared" si="83"/>
        <v>Other</v>
      </c>
      <c r="AH229" s="96" t="str">
        <f t="shared" si="84"/>
        <v>"%USERPROFILE%\Documents\GitHub\eaglep3\Utilities\RefineRTDCRunTimes.py" --tripid 56-06 --locoid 4051 --swversion DE.1.0.8.0 --startMP 204:10603 --initTime 2016-10-07T01:58:45 --startdatetime 2016-10-07T02:30:55 --delay 1 --endMP 204:128134 --enddatetime 2016-10-07T02:56:52 --enforcementcount 0 &gt;&gt;C:\Users\stu\Documents\GitHub\eaglep3-reporting\EC\2016-10-07-refined-times.txt</v>
      </c>
      <c r="AI229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{"issue":{"subject":"","project_id":79,"tracker_id":40,"status_id":1,"priority_id":2,"assigned_to_id":23,"start_date":"2016-10-07","description":"","custom_fields":[{"id":1,"name":"Subdivision","value":"Other"},{"id":4,"name":"Milepost","value":"12.8134"},{"id":17,"name":"Train ID","value":"56-06"},{"id":16,"name":"Locomotive ID","value":"4051"},{"id":130,"name":"Impact","value":""},{"id":150,"name":"Time of Event (Mountain Time)","value":"02:56:52"},{"id":151,"name":"Denver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314</v>
      </c>
      <c r="B230" s="7">
        <v>4052</v>
      </c>
      <c r="C230" s="24" t="s">
        <v>280</v>
      </c>
      <c r="D230" s="24" t="s">
        <v>345</v>
      </c>
      <c r="E230" s="15">
        <v>42650.10324074074</v>
      </c>
      <c r="F230" s="15">
        <v>42650.125636574077</v>
      </c>
      <c r="G230" s="7">
        <v>1</v>
      </c>
      <c r="H230" s="15" t="s">
        <v>346</v>
      </c>
      <c r="I230" s="15">
        <v>42650.140428240738</v>
      </c>
      <c r="J230" s="7">
        <v>0</v>
      </c>
      <c r="K230" s="117" t="str">
        <f t="shared" si="72"/>
        <v>4051/4052</v>
      </c>
      <c r="L230" s="24" t="b">
        <f>VLOOKUP(A230,'Trips&amp;Operators'!$C$1:$E$10000,3,FALSE)</f>
        <v>1</v>
      </c>
      <c r="M230" s="6">
        <f t="shared" si="73"/>
        <v>1.4791666661039926E-2</v>
      </c>
      <c r="N230" s="7">
        <f t="shared" ref="N230:N244" si="86">24*60*SUM($M230:$M230)</f>
        <v>21.299999991897494</v>
      </c>
      <c r="O230" s="7"/>
      <c r="P230" s="7"/>
      <c r="Q230" s="25"/>
      <c r="R230" s="25"/>
      <c r="S230" s="37">
        <f t="shared" ref="S230:S244" si="87">SUM(U230:U230)/IF(AG230="EC",12,1)</f>
        <v>0</v>
      </c>
      <c r="T230" s="52" t="e">
        <f t="shared" si="74"/>
        <v>#VALUE!</v>
      </c>
      <c r="U230" s="159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01:28:40-0600',mode:absolute,to:'2016-10-07 04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0" s="54" t="str">
        <f t="shared" si="76"/>
        <v>N</v>
      </c>
      <c r="X230" s="164" t="e">
        <f t="shared" si="71"/>
        <v>#VALUE!</v>
      </c>
      <c r="Y230" s="69">
        <f t="shared" si="77"/>
        <v>12.7875</v>
      </c>
      <c r="Z230" s="69">
        <f t="shared" si="78"/>
        <v>1.0343</v>
      </c>
      <c r="AA230" s="69">
        <f t="shared" si="79"/>
        <v>11.7532</v>
      </c>
      <c r="AB230" s="66" t="e">
        <f>VLOOKUP(A230,Enforcements!$C$7:$K$21,8,0)</f>
        <v>#N/A</v>
      </c>
      <c r="AC230" s="62" t="e">
        <f>VLOOKUP(A230,Enforcements!$C$7:$E$21,3,0)</f>
        <v>#N/A</v>
      </c>
      <c r="AD230" s="63" t="str">
        <f t="shared" si="80"/>
        <v>56-06</v>
      </c>
      <c r="AE230" s="95" t="str">
        <f t="shared" si="81"/>
        <v>aws s3 cp s3://rtdc.mdm.uploadarchive.raw/RTDC4052/ "%USERPROFILE%\AppData\Local\Temp\OnboardLogs"\RTDC4052\2016-10-07 --exclude "*" --recursive --include "*20161007*" &amp; "%USERPROFILE%\Documents\GitHub\mrs-test-scripts\Headless Mode &amp; Sideloading\WalkAndUnGZ.bat" "%USERPROFILE%\AppData\Local\Temp\OnboardLogs"\RTDC4052\2016-10-07 &amp; 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</v>
      </c>
      <c r="AF230" s="92" t="str">
        <f t="shared" si="82"/>
        <v>"C:\Program Files (x86)\AstroGrep\AstroGrep.exe" /spath="%USERPROFILE%\AppData\Local\Temp\OnboardLogs" /stypes="app*4052*20161007*" /stext=" 09:.+((SYSTEM_STATE.+slice.+state.+changed )|(ment ac)|(system.+state.+changed )|(\[timeout)|(PRM\|1\|D)|(kpr)|(kdp)|(\|lc)|(penalty))" /e /r /s</v>
      </c>
      <c r="AG230" s="1" t="str">
        <f t="shared" si="83"/>
        <v>Other</v>
      </c>
      <c r="AH230" s="96" t="str">
        <f t="shared" si="84"/>
        <v>"%USERPROFILE%\Documents\GitHub\eaglep3\Utilities\RefineRTDCRunTimes.py" --tripid 56-06 --locoid 4052 --swversion DE.1.0.8.0 --startMP 204:127875 --initTime 2016-10-07T02:28:40 --startdatetime 2016-10-07T03:00:55 --delay 1 --endMP 204:10343 --enddatetime 2016-10-07T03:22:13 --enforcementcount 0 &gt;&gt;C:\Users\stu\Documents\GitHub\eaglep3-reporting\EC\2016-10-07-refined-times.txt</v>
      </c>
      <c r="AI230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{"issue":{"subject":"","project_id":79,"tracker_id":40,"status_id":1,"priority_id":2,"assigned_to_id":23,"start_date":"2016-10-07","description":"","custom_fields":[{"id":1,"name":"Subdivision","value":"Other"},{"id":4,"name":"Milepost","value":"1.0343"},{"id":17,"name":"Train ID","value":"56-06"},{"id":16,"name":"Locomotive ID","value":"4052"},{"id":130,"name":"Impact","value":""},{"id":150,"name":"Time of Event (Mountain Time)","value":"03:22:13"},{"id":151,"name":"Denver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 t="s">
        <v>314</v>
      </c>
      <c r="B231" s="7">
        <v>4052</v>
      </c>
      <c r="C231" s="24" t="s">
        <v>280</v>
      </c>
      <c r="D231" s="24" t="s">
        <v>619</v>
      </c>
      <c r="E231" s="15">
        <v>42650.151493055557</v>
      </c>
      <c r="F231" s="15">
        <v>25568.708333333332</v>
      </c>
      <c r="G231" s="7">
        <v>1</v>
      </c>
      <c r="H231" s="15" t="s">
        <v>620</v>
      </c>
      <c r="I231" s="15">
        <v>25568.708333333332</v>
      </c>
      <c r="J231" s="7">
        <v>0</v>
      </c>
      <c r="K231" s="117" t="str">
        <f t="shared" si="72"/>
        <v>4051/4052</v>
      </c>
      <c r="L231" s="24" t="b">
        <f>VLOOKUP(A231,'Trips&amp;Operators'!$C$1:$E$10000,3,FALSE)</f>
        <v>1</v>
      </c>
      <c r="M231" s="6">
        <f t="shared" si="73"/>
        <v>0</v>
      </c>
      <c r="N231" s="7">
        <f t="shared" si="86"/>
        <v>0</v>
      </c>
      <c r="O231" s="7"/>
      <c r="P231" s="7"/>
      <c r="Q231" s="25"/>
      <c r="R231" s="25"/>
      <c r="S231" s="37">
        <f t="shared" si="87"/>
        <v>0</v>
      </c>
      <c r="T231" s="52" t="e">
        <f t="shared" si="74"/>
        <v>#VALUE!</v>
      </c>
      <c r="U231" s="159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02:38:09-0600',mode:absolute,to:'1969-12-31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1" s="54" t="str">
        <f t="shared" si="76"/>
        <v>N</v>
      </c>
      <c r="X231" s="164" t="e">
        <f t="shared" si="71"/>
        <v>#VALUE!</v>
      </c>
      <c r="Y231" s="69">
        <f t="shared" si="77"/>
        <v>12.793900000000001</v>
      </c>
      <c r="Z231" s="69">
        <f t="shared" si="78"/>
        <v>6.6500000000000004E-2</v>
      </c>
      <c r="AA231" s="69">
        <f t="shared" si="79"/>
        <v>12.727400000000001</v>
      </c>
      <c r="AB231" s="66" t="e">
        <f>VLOOKUP(A231,Enforcements!$C$7:$K$21,8,0)</f>
        <v>#N/A</v>
      </c>
      <c r="AC231" s="62" t="e">
        <f>VLOOKUP(A231,Enforcements!$C$7:$E$21,3,0)</f>
        <v>#N/A</v>
      </c>
      <c r="AD231" s="63" t="str">
        <f t="shared" si="80"/>
        <v>56-06</v>
      </c>
      <c r="AE231" s="95" t="str">
        <f t="shared" si="81"/>
        <v>aws s3 cp s3://rtdc.mdm.uploadarchive.raw/RTDC4052/ "%USERPROFILE%\AppData\Local\Temp\OnboardLogs"\RTDC4052\1969-12-31 --exclude "*" --recursive --include "*19691231*" &amp; "%USERPROFILE%\Documents\GitHub\mrs-test-scripts\Headless Mode &amp; Sideloading\WalkAndUnGZ.bat" "%USERPROFILE%\AppData\Local\Temp\OnboardLogs"\RTDC4052\1969-12-31 &amp; aws s3 cp s3://rtdc.mdm.uploadarchive.raw/RTDC4052/ "%USERPROFILE%\AppData\Local\Temp\OnboardLogs"\RTDC4052\1970-01-01 --exclude "*" --recursive --include "*19700101*" &amp; "%USERPROFILE%\Documents\GitHub\mrs-test-scripts\Headless Mode &amp; Sideloading\WalkAndUnGZ.bat" "%USERPROFILE%\AppData\Local\Temp\OnboardLogs"\RTDC4052\1970-01-01</v>
      </c>
      <c r="AF231" s="92" t="str">
        <f t="shared" si="82"/>
        <v>"C:\Program Files (x86)\AstroGrep\AstroGrep.exe" /spath="%USERPROFILE%\AppData\Local\Temp\OnboardLogs" /stypes="app*4052*19691231*" /stext=" 23:.+((SYSTEM_STATE.+slice.+state.+changed )|(ment ac)|(system.+state.+changed )|(\[timeout)|(PRM\|1\|D)|(kpr)|(kdp)|(\|lc)|(penalty))" /e /r /s</v>
      </c>
      <c r="AG231" s="1" t="str">
        <f t="shared" si="83"/>
        <v>Other</v>
      </c>
      <c r="AH231" s="96" t="str">
        <f t="shared" si="84"/>
        <v>"%USERPROFILE%\Documents\GitHub\eaglep3\Utilities\RefineRTDCRunTimes.py" --tripid 56-06 --locoid 4052 --swversion DE.1.0.8.0 --startMP 204:127939 --initTime 2016-10-07T03:38:09 --startdatetime 1969-12-31T17:00:00 --delay 1 --endMP 204:665 --enddatetime 1969-12-31T17:00:00 --enforcementcount 0 &gt;&gt;C:\Users\stu\Documents\GitHub\eaglep3-reporting\EC\2016-10-07-refined-times.txt</v>
      </c>
      <c r="AI231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{"issue":{"subject":"","project_id":79,"tracker_id":40,"status_id":1,"priority_id":2,"assigned_to_id":23,"start_date":"1969-12-31","description":"","custom_fields":[{"id":1,"name":"Subdivision","value":"Other"},{"id":4,"name":"Milepost","value":"0.0665"},{"id":17,"name":"Train ID","value":"56-06"},{"id":16,"name":"Locomotive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5"/>
      <c r="AK231" s="55"/>
      <c r="AL231" s="55"/>
    </row>
    <row r="232" spans="1:38" x14ac:dyDescent="0.25">
      <c r="A232" s="39" t="s">
        <v>621</v>
      </c>
      <c r="B232" s="7">
        <v>4032</v>
      </c>
      <c r="C232" s="24" t="s">
        <v>106</v>
      </c>
      <c r="D232" s="24" t="s">
        <v>622</v>
      </c>
      <c r="E232" s="15">
        <v>42650.644618055558</v>
      </c>
      <c r="F232" s="15">
        <v>42650.645856481482</v>
      </c>
      <c r="G232" s="7">
        <v>1</v>
      </c>
      <c r="H232" s="15" t="s">
        <v>333</v>
      </c>
      <c r="I232" s="15">
        <v>42650.652581018519</v>
      </c>
      <c r="J232" s="7">
        <v>0</v>
      </c>
      <c r="K232" s="117" t="str">
        <f t="shared" si="72"/>
        <v>4031/4032</v>
      </c>
      <c r="L232" s="24" t="str">
        <f>VLOOKUP(A232,'Trips&amp;Operators'!$C$1:$E$10000,3,FALSE)</f>
        <v>HAITHCOX</v>
      </c>
      <c r="M232" s="6">
        <f t="shared" si="73"/>
        <v>6.7245370373711921E-3</v>
      </c>
      <c r="N232" s="7">
        <f t="shared" si="86"/>
        <v>9.6833333338145167</v>
      </c>
      <c r="O232" s="7"/>
      <c r="P232" s="7"/>
      <c r="Q232" s="25"/>
      <c r="R232" s="25"/>
      <c r="S232" s="37">
        <f t="shared" si="87"/>
        <v>0</v>
      </c>
      <c r="T232" s="52" t="e">
        <f t="shared" si="74"/>
        <v>#VALUE!</v>
      </c>
      <c r="U232" s="159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14:28:15-0600',mode:absolute,to:'2016-10-07 16:39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2" s="54" t="str">
        <f t="shared" si="76"/>
        <v>Y</v>
      </c>
      <c r="X232" s="164" t="e">
        <f t="shared" si="71"/>
        <v>#VALUE!</v>
      </c>
      <c r="Y232" s="69">
        <f t="shared" si="77"/>
        <v>2.2202000000000002</v>
      </c>
      <c r="Z232" s="69">
        <f t="shared" si="78"/>
        <v>1.3899999999999999E-2</v>
      </c>
      <c r="AA232" s="69">
        <f t="shared" si="79"/>
        <v>2.2063000000000001</v>
      </c>
      <c r="AB232" s="66" t="e">
        <f>VLOOKUP(A232,Enforcements!$C$7:$K$21,8,0)</f>
        <v>#N/A</v>
      </c>
      <c r="AC232" s="62" t="e">
        <f>VLOOKUP(A232,Enforcements!$C$7:$E$21,3,0)</f>
        <v>#N/A</v>
      </c>
      <c r="AD232" s="63" t="str">
        <f t="shared" si="80"/>
        <v>56-07</v>
      </c>
      <c r="AE232" s="95" t="str">
        <f t="shared" si="81"/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AF232" s="92" t="str">
        <f t="shared" si="82"/>
        <v>"C:\Program Files (x86)\AstroGrep\AstroGrep.exe" /spath="%USERPROFILE%\AppData\Local\Temp\OnboardLogs" /stypes="app*4032*20161007*" /stext=" 21:.+((SYSTEM_STATE.+slice.+state.+changed )|(ment ac)|(system.+state.+changed )|(\[timeout)|(PRM\|1\|D)|(kpr)|(kdp)|(\|lc)|(penalty))" /e /r /s</v>
      </c>
      <c r="AG232" s="1" t="str">
        <f t="shared" si="83"/>
        <v>Other</v>
      </c>
      <c r="AH232" s="96" t="str">
        <f t="shared" si="84"/>
        <v>"%USERPROFILE%\Documents\GitHub\eaglep3\Utilities\RefineRTDCRunTimes.py" --tripid 56-07 --locoid 4032 --swversion DE.1.0.7.0 --startMP 300:22202 --initTime 2016-10-07T15:28:15 --startdatetime 2016-10-07T15:30:02 --delay 1 --endMP 204:139 --enddatetime 2016-10-07T15:39:43 --enforcementcount 0 &gt;&gt;C:\Users\stu\Documents\GitHub\eaglep3-reporting\EC\2016-10-07-refined-times.txt</v>
      </c>
      <c r="AI232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{"issue":{"subject":"","project_id":79,"tracker_id":40,"status_id":1,"priority_id":2,"assigned_to_id":23,"start_date":"2016-10-07","description":"","custom_fields":[{"id":1,"name":"Subdivision","value":"Other"},{"id":4,"name":"Milepost","value":"0.0139"},{"id":17,"name":"Train ID","value":"56-07"},{"id":16,"name":"Locomotive ID","value":"4032"},{"id":130,"name":"Impact","value":""},{"id":150,"name":"Time of Event (Mountain Time)","value":"15:39:43"},{"id":151,"name":"Denver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5"/>
      <c r="AK232" s="55"/>
      <c r="AL232" s="55"/>
    </row>
    <row r="233" spans="1:38" x14ac:dyDescent="0.25">
      <c r="A233" s="39" t="s">
        <v>623</v>
      </c>
      <c r="B233" s="7">
        <v>4051</v>
      </c>
      <c r="C233" s="24" t="s">
        <v>280</v>
      </c>
      <c r="D233" s="24" t="s">
        <v>624</v>
      </c>
      <c r="E233" s="15">
        <v>42651.089583333334</v>
      </c>
      <c r="F233" s="15">
        <v>42651.139884259261</v>
      </c>
      <c r="G233" s="7">
        <v>1</v>
      </c>
      <c r="H233" s="15" t="s">
        <v>625</v>
      </c>
      <c r="I233" s="15">
        <v>42651.160486111112</v>
      </c>
      <c r="J233" s="7">
        <v>0</v>
      </c>
      <c r="K233" s="117" t="str">
        <f t="shared" si="72"/>
        <v>4051/4052</v>
      </c>
      <c r="L233" s="24" t="b">
        <f>VLOOKUP(A233,'Trips&amp;Operators'!$C$1:$E$10000,3,FALSE)</f>
        <v>1</v>
      </c>
      <c r="M233" s="6">
        <f t="shared" si="73"/>
        <v>2.0601851851097308E-2</v>
      </c>
      <c r="N233" s="7">
        <f t="shared" si="86"/>
        <v>29.666666665580124</v>
      </c>
      <c r="O233" s="7"/>
      <c r="P233" s="7"/>
      <c r="Q233" s="25"/>
      <c r="R233" s="25"/>
      <c r="S233" s="37">
        <f t="shared" si="87"/>
        <v>0</v>
      </c>
      <c r="T233" s="52" t="e">
        <f t="shared" si="74"/>
        <v>#VALUE!</v>
      </c>
      <c r="U233" s="159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https://search-rtdc-monitor-bjffxe2xuh6vdkpspy63sjmuny.us-east-1.es.amazonaws.com/_plugin/kibana/#/discover/Steve-Slow-Train-Analysis-(2080s-and-2083s)?_g=(refreshInterval:(display:Off,section:0,value:0),time:(from:'2016-10-08 01:09:00-0600',mode:absolute,to:'2016-10-08 04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3" s="54" t="str">
        <f t="shared" si="76"/>
        <v>N</v>
      </c>
      <c r="X233" s="164" t="e">
        <f t="shared" ref="X233:X244" si="88">VALUE(LEFT(AD233,4))-VALUE(LEFT(AD232,4))</f>
        <v>#VALUE!</v>
      </c>
      <c r="Y233" s="69">
        <f t="shared" si="77"/>
        <v>1.0608</v>
      </c>
      <c r="Z233" s="69">
        <f t="shared" si="78"/>
        <v>12.8028</v>
      </c>
      <c r="AA233" s="69">
        <f t="shared" si="79"/>
        <v>11.741999999999999</v>
      </c>
      <c r="AB233" s="66" t="e">
        <f>VLOOKUP(A233,Enforcements!$C$7:$K$21,8,0)</f>
        <v>#N/A</v>
      </c>
      <c r="AC233" s="62" t="e">
        <f>VLOOKUP(A233,Enforcements!$C$7:$E$21,3,0)</f>
        <v>#N/A</v>
      </c>
      <c r="AD233" s="63" t="str">
        <f t="shared" si="80"/>
        <v>56-08</v>
      </c>
      <c r="AE233" s="95" t="str">
        <f t="shared" si="81"/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33" s="92" t="str">
        <f t="shared" si="82"/>
        <v>"C:\Program Files (x86)\AstroGrep\AstroGrep.exe" /spath="%USERPROFILE%\AppData\Local\Temp\OnboardLogs" /stypes="app*4051*20161008*" /stext=" 09:.+((SYSTEM_STATE.+slice.+state.+changed )|(ment ac)|(system.+state.+changed )|(\[timeout)|(PRM\|1\|D)|(kpr)|(kdp)|(\|lc)|(penalty))" /e /r /s</v>
      </c>
      <c r="AG233" s="1" t="str">
        <f t="shared" si="83"/>
        <v>Other</v>
      </c>
      <c r="AH233" s="96" t="str">
        <f t="shared" si="84"/>
        <v>"%USERPROFILE%\Documents\GitHub\eaglep3\Utilities\RefineRTDCRunTimes.py" --tripid 56-08 --locoid 4051 --swversion DE.1.0.8.0 --startMP 204:10608 --initTime 2016-10-08T02:09:00 --startdatetime 2016-10-08T03:21:26 --delay 1 --endMP 204:128028 --enddatetime 2016-10-08T03:51:06 --enforcementcount 0 &gt;&gt;C:\Users\stu\Documents\GitHub\eaglep3-reporting\EC\2016-10-07-refined-times.txt</v>
      </c>
      <c r="AI233" s="130" t="str">
        <f t="shared" si="85"/>
        <v>echo {"issue":{"subject":"","project_id":79,"tracker_id":40,"status_id":1,"priority_id":2,"assigned_to_id":23,"start_date":"2016-10-08","description":"","custom_fields":[{"id":1,"name":"Subdivision","value":"Other"},{"id":4,"name":"Milepost","value":"12.8028"},{"id":17,"name":"Train ID","value":"56-08"},{"id":16,"name":"Locomotive ID","value":"4051"},{"id":130,"name":"Impact","value":""},{"id":150,"name":"Time of Event (Mountain Time)","value":"03:51:06"},{"id":151,"name":"Denver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5"/>
      <c r="AK233" s="55"/>
      <c r="AL233" s="55"/>
    </row>
    <row r="234" spans="1:38" x14ac:dyDescent="0.25">
      <c r="A234" s="39" t="s">
        <v>626</v>
      </c>
      <c r="B234" s="7">
        <v>4031</v>
      </c>
      <c r="C234" s="24" t="s">
        <v>106</v>
      </c>
      <c r="D234" s="24" t="s">
        <v>342</v>
      </c>
      <c r="E234" s="15">
        <v>42650.763298611113</v>
      </c>
      <c r="F234" s="15">
        <v>25568.708333333332</v>
      </c>
      <c r="G234" s="7">
        <v>2</v>
      </c>
      <c r="H234" s="15" t="s">
        <v>347</v>
      </c>
      <c r="I234" s="15">
        <v>25568.708333333332</v>
      </c>
      <c r="J234" s="7">
        <v>0</v>
      </c>
      <c r="K234" s="117" t="str">
        <f t="shared" si="72"/>
        <v>4031/4032</v>
      </c>
      <c r="L234" s="24" t="str">
        <f>VLOOKUP(A234,'Trips&amp;Operators'!$C$1:$E$10000,3,FALSE)</f>
        <v>HAITHCOX</v>
      </c>
      <c r="M234" s="6">
        <f t="shared" si="73"/>
        <v>0</v>
      </c>
      <c r="N234" s="7">
        <f t="shared" si="86"/>
        <v>0</v>
      </c>
      <c r="O234" s="7"/>
      <c r="P234" s="7"/>
      <c r="Q234" s="25"/>
      <c r="R234" s="25"/>
      <c r="S234" s="37">
        <f t="shared" si="87"/>
        <v>0</v>
      </c>
      <c r="T234" s="52" t="e">
        <f t="shared" si="74"/>
        <v>#VALUE!</v>
      </c>
      <c r="U234" s="159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17:19:09-0600',mode:absolute,to:'1969-12-31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4" s="54" t="str">
        <f t="shared" si="76"/>
        <v>Y</v>
      </c>
      <c r="X234" s="164" t="e">
        <f t="shared" si="88"/>
        <v>#VALUE!</v>
      </c>
      <c r="Y234" s="69">
        <f t="shared" si="77"/>
        <v>0.1225</v>
      </c>
      <c r="Z234" s="69">
        <f t="shared" si="78"/>
        <v>2.3346</v>
      </c>
      <c r="AA234" s="69">
        <f t="shared" si="79"/>
        <v>2.2121</v>
      </c>
      <c r="AB234" s="66" t="e">
        <f>VLOOKUP(A234,Enforcements!$C$7:$K$21,8,0)</f>
        <v>#N/A</v>
      </c>
      <c r="AC234" s="62" t="e">
        <f>VLOOKUP(A234,Enforcements!$C$7:$E$21,3,0)</f>
        <v>#N/A</v>
      </c>
      <c r="AD234" s="63" t="str">
        <f t="shared" si="80"/>
        <v>57-07</v>
      </c>
      <c r="AE234" s="95" t="str">
        <f t="shared" si="81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4" s="92" t="str">
        <f t="shared" si="82"/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234" s="1" t="str">
        <f t="shared" si="83"/>
        <v>Other</v>
      </c>
      <c r="AH234" s="96" t="str">
        <f t="shared" si="84"/>
        <v>"%USERPROFILE%\Documents\GitHub\eaglep3\Utilities\RefineRTDCRunTimes.py" --tripid 57-07 --locoid 4031 --swversion DE.1.0.7.0 --startMP 204:1225 --initTime 2016-10-07T18:19:09 --startdatetime 1969-12-31T17:00:00 --delay 2 --endMP 300:23346 --enddatetime 1969-12-31T17:00:00 --enforcementcount 0 &gt;&gt;C:\Users\stu\Documents\GitHub\eaglep3-reporting\EC\2016-10-07-refined-times.txt</v>
      </c>
      <c r="AI234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ID","value":"57-07"},{"id":16,"name":"Locomotive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5"/>
      <c r="AK234" s="55"/>
      <c r="AL234" s="55"/>
    </row>
    <row r="235" spans="1:38" x14ac:dyDescent="0.25">
      <c r="A235" s="39" t="s">
        <v>626</v>
      </c>
      <c r="B235" s="7">
        <v>4031</v>
      </c>
      <c r="C235" s="24" t="s">
        <v>106</v>
      </c>
      <c r="D235" s="24" t="s">
        <v>347</v>
      </c>
      <c r="E235" s="15">
        <v>42650.763298611113</v>
      </c>
      <c r="F235" s="15">
        <v>25568.708333333332</v>
      </c>
      <c r="G235" s="7">
        <v>16</v>
      </c>
      <c r="H235" s="15" t="s">
        <v>347</v>
      </c>
      <c r="I235" s="15">
        <v>25568.708333333332</v>
      </c>
      <c r="J235" s="7">
        <v>0</v>
      </c>
      <c r="K235" s="117" t="str">
        <f t="shared" si="72"/>
        <v>4031/4032</v>
      </c>
      <c r="L235" s="24" t="str">
        <f>VLOOKUP(A235,'Trips&amp;Operators'!$C$1:$E$10000,3,FALSE)</f>
        <v>HAITHCOX</v>
      </c>
      <c r="M235" s="6">
        <f t="shared" si="73"/>
        <v>0</v>
      </c>
      <c r="N235" s="7">
        <f t="shared" si="86"/>
        <v>0</v>
      </c>
      <c r="O235" s="7"/>
      <c r="P235" s="7"/>
      <c r="Q235" s="25"/>
      <c r="R235" s="25"/>
      <c r="S235" s="37">
        <f t="shared" si="87"/>
        <v>0</v>
      </c>
      <c r="T235" s="52" t="e">
        <f t="shared" si="74"/>
        <v>#VALUE!</v>
      </c>
      <c r="U235" s="159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17:19:09-0600',mode:absolute,to:'1969-12-31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5" s="54" t="str">
        <f t="shared" si="76"/>
        <v>Y</v>
      </c>
      <c r="X235" s="164" t="e">
        <f t="shared" si="88"/>
        <v>#VALUE!</v>
      </c>
      <c r="Y235" s="69">
        <f t="shared" si="77"/>
        <v>2.3346</v>
      </c>
      <c r="Z235" s="69">
        <f t="shared" si="78"/>
        <v>2.3346</v>
      </c>
      <c r="AA235" s="69">
        <f t="shared" si="79"/>
        <v>0</v>
      </c>
      <c r="AB235" s="66" t="e">
        <f>VLOOKUP(A235,Enforcements!$C$7:$K$21,8,0)</f>
        <v>#N/A</v>
      </c>
      <c r="AC235" s="62" t="e">
        <f>VLOOKUP(A235,Enforcements!$C$7:$E$21,3,0)</f>
        <v>#N/A</v>
      </c>
      <c r="AD235" s="63" t="str">
        <f t="shared" si="80"/>
        <v>57-07</v>
      </c>
      <c r="AE235" s="95" t="str">
        <f t="shared" si="81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5" s="92" t="str">
        <f t="shared" si="82"/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235" s="1" t="str">
        <f t="shared" si="83"/>
        <v>Other</v>
      </c>
      <c r="AH235" s="96" t="str">
        <f t="shared" si="84"/>
        <v>"%USERPROFILE%\Documents\GitHub\eaglep3\Utilities\RefineRTDCRunTimes.py" --tripid 57-07 --locoid 4031 --swversion DE.1.0.7.0 --startMP 300:23346 --initTime 2016-10-07T18:19:09 --startdatetime 1969-12-31T17:00:00 --delay 16 --endMP 300:23346 --enddatetime 1969-12-31T17:00:00 --enforcementcount 0 &gt;&gt;C:\Users\stu\Documents\GitHub\eaglep3-reporting\EC\2016-10-07-refined-times.txt</v>
      </c>
      <c r="AI235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ID","value":"57-07"},{"id":16,"name":"Locomotive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5"/>
      <c r="AK235" s="55"/>
      <c r="AL235" s="55"/>
    </row>
    <row r="236" spans="1:38" x14ac:dyDescent="0.25">
      <c r="A236" s="39" t="s">
        <v>627</v>
      </c>
      <c r="B236" s="7">
        <v>4032</v>
      </c>
      <c r="C236" s="24" t="s">
        <v>106</v>
      </c>
      <c r="D236" s="24" t="s">
        <v>628</v>
      </c>
      <c r="E236" s="15">
        <v>42650.802766203706</v>
      </c>
      <c r="F236" s="15">
        <v>42650.811678240738</v>
      </c>
      <c r="G236" s="7">
        <v>12</v>
      </c>
      <c r="H236" s="15" t="s">
        <v>629</v>
      </c>
      <c r="I236" s="15">
        <v>42650.818344907406</v>
      </c>
      <c r="J236" s="7">
        <v>0</v>
      </c>
      <c r="K236" s="117" t="str">
        <f t="shared" si="72"/>
        <v>4031/4032</v>
      </c>
      <c r="L236" s="24" t="str">
        <f>VLOOKUP(A236,'Trips&amp;Operators'!$C$1:$E$10000,3,FALSE)</f>
        <v>MATTHEWS</v>
      </c>
      <c r="M236" s="6">
        <f t="shared" si="73"/>
        <v>6.6666666680248454E-3</v>
      </c>
      <c r="N236" s="7">
        <f t="shared" si="86"/>
        <v>9.6000000019557774</v>
      </c>
      <c r="O236" s="7"/>
      <c r="P236" s="7"/>
      <c r="Q236" s="25"/>
      <c r="R236" s="25"/>
      <c r="S236" s="37">
        <f t="shared" si="87"/>
        <v>0</v>
      </c>
      <c r="T236" s="52" t="e">
        <f t="shared" si="74"/>
        <v>#VALUE!</v>
      </c>
      <c r="U236" s="159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18:15:59-0600',mode:absolute,to:'2016-10-07 20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6" s="54" t="str">
        <f t="shared" si="76"/>
        <v>Y</v>
      </c>
      <c r="X236" s="164" t="e">
        <f t="shared" si="88"/>
        <v>#VALUE!</v>
      </c>
      <c r="Y236" s="69">
        <f t="shared" si="77"/>
        <v>2.3210000000000002</v>
      </c>
      <c r="Z236" s="69">
        <f t="shared" si="78"/>
        <v>0.20849999999999999</v>
      </c>
      <c r="AA236" s="69">
        <f t="shared" si="79"/>
        <v>2.1125000000000003</v>
      </c>
      <c r="AB236" s="66" t="e">
        <f>VLOOKUP(A236,Enforcements!$C$7:$K$21,8,0)</f>
        <v>#N/A</v>
      </c>
      <c r="AC236" s="62" t="e">
        <f>VLOOKUP(A236,Enforcements!$C$7:$E$21,3,0)</f>
        <v>#N/A</v>
      </c>
      <c r="AD236" s="63" t="str">
        <f t="shared" si="80"/>
        <v>58-07</v>
      </c>
      <c r="AE236" s="95" t="str">
        <f t="shared" si="81"/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AF236" s="92" t="str">
        <f t="shared" si="82"/>
        <v>"C:\Program Files (x86)\AstroGrep\AstroGrep.exe" /spath="%USERPROFILE%\AppData\Local\Temp\OnboardLogs" /stypes="app*4032*20161008*" /stext=" 01:.+((SYSTEM_STATE.+slice.+state.+changed )|(ment ac)|(system.+state.+changed )|(\[timeout)|(PRM\|1\|D)|(kpr)|(kdp)|(\|lc)|(penalty))" /e /r /s</v>
      </c>
      <c r="AG236" s="1" t="str">
        <f t="shared" si="83"/>
        <v>Other</v>
      </c>
      <c r="AH236" s="96" t="str">
        <f t="shared" si="84"/>
        <v>"%USERPROFILE%\Documents\GitHub\eaglep3\Utilities\RefineRTDCRunTimes.py" --tripid 58-07 --locoid 4032 --swversion DE.1.0.7.0 --startMP 300:23210 --initTime 2016-10-07T19:15:59 --startdatetime 2016-10-07T19:28:49 --delay 12 --endMP 204:2085 --enddatetime 2016-10-07T19:38:25 --enforcementcount 0 &gt;&gt;C:\Users\stu\Documents\GitHub\eaglep3-reporting\EC\2016-10-07-refined-times.txt</v>
      </c>
      <c r="AI236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{"issue":{"subject":"","project_id":79,"tracker_id":40,"status_id":1,"priority_id":2,"assigned_to_id":23,"start_date":"2016-10-07","description":"","custom_fields":[{"id":1,"name":"Subdivision","value":"Other"},{"id":4,"name":"Milepost","value":"0.2085"},{"id":17,"name":"Train ID","value":"58-07"},{"id":16,"name":"Locomotive ID","value":"4032"},{"id":130,"name":"Impact","value":""},{"id":150,"name":"Time of Event (Mountain Time)","value":"19:38:25"},{"id":151,"name":"Denver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5"/>
      <c r="AK236" s="55"/>
      <c r="AL236" s="55"/>
    </row>
    <row r="237" spans="1:38" x14ac:dyDescent="0.25">
      <c r="A237" s="39" t="s">
        <v>630</v>
      </c>
      <c r="B237" s="7">
        <v>4051</v>
      </c>
      <c r="C237" s="24" t="s">
        <v>280</v>
      </c>
      <c r="D237" s="24" t="s">
        <v>631</v>
      </c>
      <c r="E237" s="15">
        <v>42651.015150462961</v>
      </c>
      <c r="F237" s="15">
        <v>42651.027118055557</v>
      </c>
      <c r="G237" s="7">
        <v>1</v>
      </c>
      <c r="H237" s="15" t="s">
        <v>632</v>
      </c>
      <c r="I237" s="15">
        <v>42651.043599537035</v>
      </c>
      <c r="J237" s="7">
        <v>0</v>
      </c>
      <c r="K237" s="117" t="str">
        <f t="shared" si="72"/>
        <v>4051/4052</v>
      </c>
      <c r="L237" s="24" t="b">
        <f>VLOOKUP(A237,'Trips&amp;Operators'!$C$1:$E$10000,3,FALSE)</f>
        <v>1</v>
      </c>
      <c r="M237" s="6">
        <f t="shared" si="73"/>
        <v>1.6481481477967463E-2</v>
      </c>
      <c r="N237" s="7">
        <f t="shared" si="86"/>
        <v>23.733333328273147</v>
      </c>
      <c r="O237" s="7"/>
      <c r="P237" s="7"/>
      <c r="Q237" s="25"/>
      <c r="R237" s="25"/>
      <c r="S237" s="37">
        <f t="shared" si="87"/>
        <v>0</v>
      </c>
      <c r="T237" s="52" t="e">
        <f t="shared" si="74"/>
        <v>#VALUE!</v>
      </c>
      <c r="U237" s="159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23:21:49-0600',mode:absolute,to:'2016-10-08 02:02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7" s="54" t="str">
        <f t="shared" si="76"/>
        <v>N</v>
      </c>
      <c r="X237" s="164" t="e">
        <f t="shared" si="88"/>
        <v>#VALUE!</v>
      </c>
      <c r="Y237" s="69">
        <f t="shared" si="77"/>
        <v>7.4800000000000005E-2</v>
      </c>
      <c r="Z237" s="69">
        <f t="shared" si="78"/>
        <v>12.879799999999999</v>
      </c>
      <c r="AA237" s="69">
        <f t="shared" si="79"/>
        <v>12.805</v>
      </c>
      <c r="AB237" s="66" t="e">
        <f>VLOOKUP(A237,Enforcements!$C$7:$K$21,8,0)</f>
        <v>#N/A</v>
      </c>
      <c r="AC237" s="62" t="e">
        <f>VLOOKUP(A237,Enforcements!$C$7:$E$21,3,0)</f>
        <v>#N/A</v>
      </c>
      <c r="AD237" s="63" t="str">
        <f t="shared" si="80"/>
        <v>60-07</v>
      </c>
      <c r="AE237" s="95" t="str">
        <f t="shared" si="81"/>
        <v>aws s3 cp s3://rtdc.mdm.uploadarchive.raw/RTDC4051/ "%USERPROFILE%\AppData\Local\Temp\OnboardLogs"\RTDC4051\2016-10-08 --exclude "*" --recursive --include "*20161008*" &amp; "%USERPROFILE%\Documents\GitHub\mrs-test-scripts\Headless Mode &amp; Sideloading\WalkAndUnGZ.bat" "%USERPROFILE%\AppData\Local\Temp\OnboardLogs"\RTDC4051\2016-10-08 &amp; aws s3 cp s3://rtdc.mdm.uploadarchive.raw/RTDC4051/ "%USERPROFILE%\AppData\Local\Temp\OnboardLogs"\RTDC4051\2016-10-09 --exclude "*" --recursive --include "*20161009*" &amp; "%USERPROFILE%\Documents\GitHub\mrs-test-scripts\Headless Mode &amp; Sideloading\WalkAndUnGZ.bat" "%USERPROFILE%\AppData\Local\Temp\OnboardLogs"\RTDC4051\2016-10-09</v>
      </c>
      <c r="AF237" s="92" t="str">
        <f t="shared" si="82"/>
        <v>"C:\Program Files (x86)\AstroGrep\AstroGrep.exe" /spath="%USERPROFILE%\AppData\Local\Temp\OnboardLogs" /stypes="app*4051*20161008*" /stext=" 07:.+((SYSTEM_STATE.+slice.+state.+changed )|(ment ac)|(system.+state.+changed )|(\[timeout)|(PRM\|1\|D)|(kpr)|(kdp)|(\|lc)|(penalty))" /e /r /s</v>
      </c>
      <c r="AG237" s="1" t="str">
        <f t="shared" si="83"/>
        <v>Other</v>
      </c>
      <c r="AH237" s="96" t="str">
        <f t="shared" si="84"/>
        <v>"%USERPROFILE%\Documents\GitHub\eaglep3\Utilities\RefineRTDCRunTimes.py" --tripid 60-07 --locoid 4051 --swversion DE.1.0.8.0 --startMP 204:748 --initTime 2016-10-08T00:21:49 --startdatetime 2016-10-08T00:39:03 --delay 1 --endMP 204:128798 --enddatetime 2016-10-08T01:02:47 --enforcementcount 0 &gt;&gt;C:\Users\stu\Documents\GitHub\eaglep3-reporting\EC\2016-10-07-refined-times.txt</v>
      </c>
      <c r="AI237" s="130" t="str">
        <f t="shared" si="85"/>
        <v>echo {"issue":{"subject":"","project_id":79,"tracker_id":40,"status_id":1,"priority_id":2,"assigned_to_id":23,"start_date":"2016-10-08","description":"","custom_fields":[{"id":1,"name":"Subdivision","value":"Other"},{"id":4,"name":"Milepost","value":"12.8798"},{"id":17,"name":"Train ID","value":"60-07"},{"id":16,"name":"Locomotive ID","value":"4051"},{"id":130,"name":"Impact","value":""},{"id":150,"name":"Time of Event (Mountain Time)","value":"01:02:47"},{"id":151,"name":"Denver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5"/>
      <c r="AK237" s="55"/>
      <c r="AL237" s="55"/>
    </row>
    <row r="238" spans="1:38" x14ac:dyDescent="0.25">
      <c r="A238" s="39" t="s">
        <v>633</v>
      </c>
      <c r="B238" s="7">
        <v>4052</v>
      </c>
      <c r="C238" s="24" t="s">
        <v>280</v>
      </c>
      <c r="D238" s="24" t="s">
        <v>634</v>
      </c>
      <c r="E238" s="15">
        <v>42651.05636574074</v>
      </c>
      <c r="F238" s="15">
        <v>42651.09103009259</v>
      </c>
      <c r="G238" s="7">
        <v>1</v>
      </c>
      <c r="H238" s="15" t="s">
        <v>635</v>
      </c>
      <c r="I238" s="15">
        <v>42651.119629629633</v>
      </c>
      <c r="J238" s="7">
        <v>0</v>
      </c>
      <c r="K238" s="117" t="str">
        <f t="shared" si="72"/>
        <v>4051/4052</v>
      </c>
      <c r="L238" s="24" t="b">
        <f>VLOOKUP(A238,'Trips&amp;Operators'!$C$1:$E$10000,3,FALSE)</f>
        <v>1</v>
      </c>
      <c r="M238" s="6">
        <f t="shared" si="73"/>
        <v>2.8599537043191958E-2</v>
      </c>
      <c r="N238" s="7">
        <f t="shared" si="86"/>
        <v>41.18333334219642</v>
      </c>
      <c r="O238" s="7"/>
      <c r="P238" s="7"/>
      <c r="Q238" s="25"/>
      <c r="R238" s="25"/>
      <c r="S238" s="37">
        <f t="shared" si="87"/>
        <v>0</v>
      </c>
      <c r="T238" s="52" t="e">
        <f t="shared" si="74"/>
        <v>#VALUE!</v>
      </c>
      <c r="U238" s="159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https://search-rtdc-monitor-bjffxe2xuh6vdkpspy63sjmuny.us-east-1.es.amazonaws.com/_plugin/kibana/#/discover/Steve-Slow-Train-Analysis-(2080s-and-2083s)?_g=(refreshInterval:(display:Off,section:0,value:0),time:(from:'2016-10-08 00:21:10-0600',mode:absolute,to:'2016-10-08 03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8" s="54" t="str">
        <f t="shared" si="76"/>
        <v>N</v>
      </c>
      <c r="X238" s="164" t="e">
        <f t="shared" si="88"/>
        <v>#VALUE!</v>
      </c>
      <c r="Y238" s="69">
        <f t="shared" si="77"/>
        <v>12.7773</v>
      </c>
      <c r="Z238" s="69">
        <f t="shared" si="78"/>
        <v>1.0367</v>
      </c>
      <c r="AA238" s="69">
        <f t="shared" si="79"/>
        <v>11.740600000000001</v>
      </c>
      <c r="AB238" s="66" t="e">
        <f>VLOOKUP(A238,Enforcements!$C$7:$K$21,8,0)</f>
        <v>#N/A</v>
      </c>
      <c r="AC238" s="62" t="e">
        <f>VLOOKUP(A238,Enforcements!$C$7:$E$21,3,0)</f>
        <v>#N/A</v>
      </c>
      <c r="AD238" s="63" t="str">
        <f t="shared" si="80"/>
        <v>62-07</v>
      </c>
      <c r="AE238" s="95" t="str">
        <f t="shared" si="81"/>
        <v>aws s3 cp s3://rtdc.mdm.uploadarchive.raw/RTDC4052/ "%USERPROFILE%\AppData\Local\Temp\OnboardLogs"\RTDC4052\2016-10-08 --exclude "*" --recursive --include "*20161008*" &amp; "%USERPROFILE%\Documents\GitHub\mrs-test-scripts\Headless Mode &amp; Sideloading\WalkAndUnGZ.bat" "%USERPROFILE%\AppData\Local\Temp\OnboardLogs"\RTDC4052\2016-10-08 &amp; aws s3 cp s3://rtdc.mdm.uploadarchive.raw/RTDC4052/ "%USERPROFILE%\AppData\Local\Temp\OnboardLogs"\RTDC4052\2016-10-09 --exclude "*" --recursive --include "*20161009*" &amp; "%USERPROFILE%\Documents\GitHub\mrs-test-scripts\Headless Mode &amp; Sideloading\WalkAndUnGZ.bat" "%USERPROFILE%\AppData\Local\Temp\OnboardLogs"\RTDC4052\2016-10-09</v>
      </c>
      <c r="AF238" s="92" t="str">
        <f t="shared" si="82"/>
        <v>"C:\Program Files (x86)\AstroGrep\AstroGrep.exe" /spath="%USERPROFILE%\AppData\Local\Temp\OnboardLogs" /stypes="app*4052*20161008*" /stext=" 08:.+((SYSTEM_STATE.+slice.+state.+changed )|(ment ac)|(system.+state.+changed )|(\[timeout)|(PRM\|1\|D)|(kpr)|(kdp)|(\|lc)|(penalty))" /e /r /s</v>
      </c>
      <c r="AG238" s="1" t="str">
        <f t="shared" si="83"/>
        <v>Other</v>
      </c>
      <c r="AH238" s="96" t="str">
        <f t="shared" si="84"/>
        <v>"%USERPROFILE%\Documents\GitHub\eaglep3\Utilities\RefineRTDCRunTimes.py" --tripid 62-07 --locoid 4052 --swversion DE.1.0.8.0 --startMP 204:127773 --initTime 2016-10-08T01:21:10 --startdatetime 2016-10-08T02:11:05 --delay 1 --endMP 204:10367 --enddatetime 2016-10-08T02:52:16 --enforcementcount 0 &gt;&gt;C:\Users\stu\Documents\GitHub\eaglep3-reporting\EC\2016-10-07-refined-times.txt</v>
      </c>
      <c r="AI238" s="130" t="str">
        <f t="shared" si="85"/>
        <v>echo {"issue":{"subject":"","project_id":79,"tracker_id":40,"status_id":1,"priority_id":2,"assigned_to_id":23,"start_date":"2016-10-08","description":"","custom_fields":[{"id":1,"name":"Subdivision","value":"Other"},{"id":4,"name":"Milepost","value":"1.0367"},{"id":17,"name":"Train ID","value":"62-07"},{"id":16,"name":"Locomotive ID","value":"4052"},{"id":130,"name":"Impact","value":""},{"id":150,"name":"Time of Event (Mountain Time)","value":"02:52:16"},{"id":151,"name":"Denver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5"/>
      <c r="AK238" s="55"/>
      <c r="AL238" s="55"/>
    </row>
    <row r="239" spans="1:38" x14ac:dyDescent="0.25">
      <c r="A239" s="39" t="s">
        <v>636</v>
      </c>
      <c r="B239" s="7">
        <v>4014</v>
      </c>
      <c r="C239" s="24" t="s">
        <v>106</v>
      </c>
      <c r="D239" s="24" t="s">
        <v>637</v>
      </c>
      <c r="E239" s="15">
        <v>42650.759004629632</v>
      </c>
      <c r="F239" s="15">
        <v>25568.708333333332</v>
      </c>
      <c r="G239" s="7">
        <v>1</v>
      </c>
      <c r="H239" s="15" t="s">
        <v>339</v>
      </c>
      <c r="I239" s="15">
        <v>25568.708333333332</v>
      </c>
      <c r="J239" s="7">
        <v>0</v>
      </c>
      <c r="K239" s="117" t="str">
        <f t="shared" si="72"/>
        <v>4013/4014</v>
      </c>
      <c r="L239" s="24" t="str">
        <f>VLOOKUP(A239,'Trips&amp;Operators'!$C$1:$E$10000,3,FALSE)</f>
        <v>SWANSON</v>
      </c>
      <c r="M239" s="6">
        <f t="shared" si="73"/>
        <v>0</v>
      </c>
      <c r="N239" s="7">
        <f t="shared" si="86"/>
        <v>0</v>
      </c>
      <c r="O239" s="7"/>
      <c r="P239" s="7"/>
      <c r="Q239" s="25"/>
      <c r="R239" s="25"/>
      <c r="S239" s="37">
        <f t="shared" si="87"/>
        <v>0</v>
      </c>
      <c r="T239" s="52" t="e">
        <f t="shared" si="74"/>
        <v>#VALUE!</v>
      </c>
      <c r="U239" s="159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17:12:58-0600',mode:absolute,to:'1969-12-31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9" s="54" t="str">
        <f t="shared" si="76"/>
        <v>Y</v>
      </c>
      <c r="X239" s="164" t="e">
        <f t="shared" si="88"/>
        <v>#VALUE!</v>
      </c>
      <c r="Y239" s="69">
        <f t="shared" si="77"/>
        <v>0.1273</v>
      </c>
      <c r="Z239" s="69">
        <f t="shared" si="78"/>
        <v>2.3302</v>
      </c>
      <c r="AA239" s="69">
        <f t="shared" si="79"/>
        <v>2.2029000000000001</v>
      </c>
      <c r="AB239" s="66" t="e">
        <f>VLOOKUP(A239,Enforcements!$C$7:$K$21,8,0)</f>
        <v>#N/A</v>
      </c>
      <c r="AC239" s="62" t="e">
        <f>VLOOKUP(A239,Enforcements!$C$7:$E$21,3,0)</f>
        <v>#N/A</v>
      </c>
      <c r="AD239" s="63" t="str">
        <f t="shared" si="80"/>
        <v>63-07</v>
      </c>
      <c r="AE239" s="95" t="str">
        <f t="shared" si="81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39" s="92" t="str">
        <f t="shared" si="82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39" s="1" t="str">
        <f t="shared" si="83"/>
        <v>Other</v>
      </c>
      <c r="AH239" s="96" t="str">
        <f t="shared" si="84"/>
        <v>"%USERPROFILE%\Documents\GitHub\eaglep3\Utilities\RefineRTDCRunTimes.py" --tripid 63-07 --locoid 4014 --swversion DE.1.0.7.0 --startMP 204:1273 --initTime 2016-10-07T18:12:58 --startdatetime 1969-12-31T17:00:00 --delay 1 --endMP 300:23302 --enddatetime 1969-12-31T17:00:00 --enforcementcount 0 &gt;&gt;C:\Users\stu\Documents\GitHub\eaglep3-reporting\EC\2016-10-07-refined-times.txt</v>
      </c>
      <c r="AI239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ID","value":"63-07"},{"id":16,"name":"Locomotive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5"/>
      <c r="AK239" s="55"/>
      <c r="AL239" s="55"/>
    </row>
    <row r="240" spans="1:38" x14ac:dyDescent="0.25">
      <c r="A240" s="39" t="s">
        <v>638</v>
      </c>
      <c r="B240" s="7">
        <v>4031</v>
      </c>
      <c r="C240" s="24" t="s">
        <v>106</v>
      </c>
      <c r="D240" s="24" t="s">
        <v>582</v>
      </c>
      <c r="E240" s="15">
        <v>42650.655706018515</v>
      </c>
      <c r="F240" s="15">
        <v>42650.660520833335</v>
      </c>
      <c r="G240" s="7">
        <v>1</v>
      </c>
      <c r="H240" s="15" t="s">
        <v>275</v>
      </c>
      <c r="I240" s="15">
        <v>42650.699293981481</v>
      </c>
      <c r="J240" s="7">
        <v>0</v>
      </c>
      <c r="K240" s="117" t="str">
        <f t="shared" si="72"/>
        <v>4031/4032</v>
      </c>
      <c r="L240" s="24" t="str">
        <f>VLOOKUP(A240,'Trips&amp;Operators'!$C$1:$E$10000,3,FALSE)</f>
        <v>HAITHCOX</v>
      </c>
      <c r="M240" s="6">
        <f t="shared" si="73"/>
        <v>3.8773148145992309E-2</v>
      </c>
      <c r="N240" s="7">
        <f t="shared" si="86"/>
        <v>55.833333330228925</v>
      </c>
      <c r="O240" s="7"/>
      <c r="P240" s="7"/>
      <c r="Q240" s="25"/>
      <c r="R240" s="25"/>
      <c r="S240" s="37">
        <f t="shared" si="87"/>
        <v>0</v>
      </c>
      <c r="T240" s="52" t="e">
        <f t="shared" si="74"/>
        <v>#VALUE!</v>
      </c>
      <c r="U240" s="159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14:44:13-0600',mode:absolute,to:'2016-10-07 17:46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40" s="54" t="str">
        <f t="shared" si="76"/>
        <v>N</v>
      </c>
      <c r="X240" s="164" t="e">
        <f t="shared" si="88"/>
        <v>#VALUE!</v>
      </c>
      <c r="Y240" s="69">
        <f t="shared" si="77"/>
        <v>4.9299999999999997E-2</v>
      </c>
      <c r="Z240" s="69">
        <f t="shared" si="78"/>
        <v>23.3325</v>
      </c>
      <c r="AA240" s="69">
        <f t="shared" si="79"/>
        <v>23.283200000000001</v>
      </c>
      <c r="AB240" s="66" t="e">
        <f>VLOOKUP(A240,Enforcements!$C$7:$K$21,8,0)</f>
        <v>#N/A</v>
      </c>
      <c r="AC240" s="62" t="e">
        <f>VLOOKUP(A240,Enforcements!$C$7:$E$21,3,0)</f>
        <v>#N/A</v>
      </c>
      <c r="AD240" s="63" t="str">
        <f t="shared" si="80"/>
        <v>65-07</v>
      </c>
      <c r="AE240" s="95" t="str">
        <f t="shared" si="81"/>
        <v>aws s3 cp s3://rtdc.mdm.uploadarchive.raw/RTDC4031/ "%USERPROFILE%\AppData\Local\Temp\OnboardLogs"\RTDC4031\2016-10-07 --exclude "*" --recursive --include "*20161007*" &amp; "%USERPROFILE%\Documents\GitHub\mrs-test-scripts\Headless Mode &amp; Sideloading\WalkAndUnGZ.bat" "%USERPROFILE%\AppData\Local\Temp\OnboardLogs"\RTDC4031\2016-10-07 &amp; aws s3 cp s3://rtdc.mdm.uploadarchive.raw/RTDC4031/ "%USERPROFILE%\AppData\Local\Temp\OnboardLogs"\RTDC4031\2016-10-08 --exclude "*" --recursive --include "*20161008*" &amp; "%USERPROFILE%\Documents\GitHub\mrs-test-scripts\Headless Mode &amp; Sideloading\WalkAndUnGZ.bat" "%USERPROFILE%\AppData\Local\Temp\OnboardLogs"\RTDC4031\2016-10-08</v>
      </c>
      <c r="AF240" s="92" t="str">
        <f t="shared" si="82"/>
        <v>"C:\Program Files (x86)\AstroGrep\AstroGrep.exe" /spath="%USERPROFILE%\AppData\Local\Temp\OnboardLogs" /stypes="app*4031*20161007*" /stext=" 22:.+((SYSTEM_STATE.+slice.+state.+changed )|(ment ac)|(system.+state.+changed )|(\[timeout)|(PRM\|1\|D)|(kpr)|(kdp)|(\|lc)|(penalty))" /e /r /s</v>
      </c>
      <c r="AG240" s="1" t="str">
        <f t="shared" si="83"/>
        <v>Other</v>
      </c>
      <c r="AH240" s="96" t="str">
        <f t="shared" si="84"/>
        <v>"%USERPROFILE%\Documents\GitHub\eaglep3\Utilities\RefineRTDCRunTimes.py" --tripid 65-07 --locoid 4031 --swversion DE.1.0.7.0 --startMP 204:493 --initTime 2016-10-07T15:44:13 --startdatetime 2016-10-07T15:51:09 --delay 1 --endMP 204:233325 --enddatetime 2016-10-07T16:46:59 --enforcementcount 0 &gt;&gt;C:\Users\stu\Documents\GitHub\eaglep3-reporting\EC\2016-10-07-refined-times.txt</v>
      </c>
      <c r="AI240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{"issue":{"subject":"","project_id":79,"tracker_id":40,"status_id":1,"priority_id":2,"assigned_to_id":23,"start_date":"2016-10-07","description":"","custom_fields":[{"id":1,"name":"Subdivision","value":"Other"},{"id":4,"name":"Milepost","value":"23.3325"},{"id":17,"name":"Train ID","value":"65-07"},{"id":16,"name":"Locomotive ID","value":"4031"},{"id":130,"name":"Impact","value":""},{"id":150,"name":"Time of Event (Mountain Time)","value":"16:46:59"},{"id":151,"name":"Denver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5"/>
      <c r="AK240" s="55"/>
      <c r="AL240" s="55"/>
    </row>
    <row r="241" spans="1:38" x14ac:dyDescent="0.25">
      <c r="A241" s="39" t="s">
        <v>639</v>
      </c>
      <c r="B241" s="7">
        <v>4032</v>
      </c>
      <c r="C241" s="24" t="s">
        <v>106</v>
      </c>
      <c r="D241" s="24" t="s">
        <v>433</v>
      </c>
      <c r="E241" s="15">
        <v>42650.702905092592</v>
      </c>
      <c r="F241" s="15">
        <v>42650.718124999999</v>
      </c>
      <c r="G241" s="7">
        <v>1</v>
      </c>
      <c r="H241" s="15" t="s">
        <v>640</v>
      </c>
      <c r="I241" s="15">
        <v>42650.762442129628</v>
      </c>
      <c r="J241" s="7">
        <v>0</v>
      </c>
      <c r="K241" s="117" t="str">
        <f t="shared" si="72"/>
        <v>4031/4032</v>
      </c>
      <c r="L241" s="24" t="str">
        <f>VLOOKUP(A241,'Trips&amp;Operators'!$C$1:$E$10000,3,FALSE)</f>
        <v>HAITHCOX</v>
      </c>
      <c r="M241" s="6">
        <f t="shared" si="73"/>
        <v>4.4317129628325347E-2</v>
      </c>
      <c r="N241" s="7">
        <f t="shared" si="86"/>
        <v>63.816666664788499</v>
      </c>
      <c r="O241" s="7"/>
      <c r="P241" s="7"/>
      <c r="Q241" s="25"/>
      <c r="R241" s="25"/>
      <c r="S241" s="37">
        <f t="shared" si="87"/>
        <v>0</v>
      </c>
      <c r="T241" s="52" t="e">
        <f t="shared" si="74"/>
        <v>#VALUE!</v>
      </c>
      <c r="U241" s="159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15:52:11-0600',mode:absolute,to:'2016-10-07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41" s="54" t="str">
        <f t="shared" si="76"/>
        <v>N</v>
      </c>
      <c r="X241" s="164" t="e">
        <f t="shared" si="88"/>
        <v>#VALUE!</v>
      </c>
      <c r="Y241" s="69">
        <f t="shared" si="77"/>
        <v>23.3017</v>
      </c>
      <c r="Z241" s="69">
        <f t="shared" si="78"/>
        <v>9.0999999999999998E-2</v>
      </c>
      <c r="AA241" s="69">
        <f t="shared" si="79"/>
        <v>23.210699999999999</v>
      </c>
      <c r="AB241" s="66" t="e">
        <f>VLOOKUP(A241,Enforcements!$C$7:$K$21,8,0)</f>
        <v>#N/A</v>
      </c>
      <c r="AC241" s="62" t="e">
        <f>VLOOKUP(A241,Enforcements!$C$7:$E$21,3,0)</f>
        <v>#N/A</v>
      </c>
      <c r="AD241" s="63" t="str">
        <f t="shared" si="80"/>
        <v>66-07</v>
      </c>
      <c r="AE241" s="95" t="str">
        <f t="shared" si="81"/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AF241" s="92" t="str">
        <f t="shared" si="82"/>
        <v>"C:\Program Files (x86)\AstroGrep\AstroGrep.exe" /spath="%USERPROFILE%\AppData\Local\Temp\OnboardLogs" /stypes="app*4032*20161008*" /stext=" 00:.+((SYSTEM_STATE.+slice.+state.+changed )|(ment ac)|(system.+state.+changed )|(\[timeout)|(PRM\|1\|D)|(kpr)|(kdp)|(\|lc)|(penalty))" /e /r /s</v>
      </c>
      <c r="AG241" s="1" t="str">
        <f t="shared" si="83"/>
        <v>Other</v>
      </c>
      <c r="AH241" s="96" t="str">
        <f t="shared" si="84"/>
        <v>"%USERPROFILE%\Documents\GitHub\eaglep3\Utilities\RefineRTDCRunTimes.py" --tripid 66-07 --locoid 4032 --swversion DE.1.0.7.0 --startMP 204:233017 --initTime 2016-10-07T16:52:11 --startdatetime 2016-10-07T17:14:06 --delay 1 --endMP 204:910 --enddatetime 2016-10-07T18:17:55 --enforcementcount 0 &gt;&gt;C:\Users\stu\Documents\GitHub\eaglep3-reporting\EC\2016-10-07-refined-times.txt</v>
      </c>
      <c r="AI241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{"issue":{"subject":"","project_id":79,"tracker_id":40,"status_id":1,"priority_id":2,"assigned_to_id":23,"start_date":"2016-10-07","description":"","custom_fields":[{"id":1,"name":"Subdivision","value":"Other"},{"id":4,"name":"Milepost","value":"0.091"},{"id":17,"name":"Train ID","value":"66-07"},{"id":16,"name":"Locomotive ID","value":"4032"},{"id":130,"name":"Impact","value":""},{"id":150,"name":"Time of Event (Mountain Time)","value":"18:17:55"},{"id":151,"name":"Denver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5"/>
      <c r="AK241" s="55"/>
      <c r="AL241" s="55"/>
    </row>
    <row r="242" spans="1:38" x14ac:dyDescent="0.25">
      <c r="A242" s="39" t="s">
        <v>641</v>
      </c>
      <c r="B242" s="7">
        <v>4042</v>
      </c>
      <c r="C242" s="24" t="s">
        <v>106</v>
      </c>
      <c r="D242" s="24" t="s">
        <v>642</v>
      </c>
      <c r="E242" s="15">
        <v>42650.792268518519</v>
      </c>
      <c r="F242" s="15">
        <v>25568.708333333332</v>
      </c>
      <c r="G242" s="7">
        <v>2</v>
      </c>
      <c r="H242" s="15" t="s">
        <v>595</v>
      </c>
      <c r="I242" s="15">
        <v>25568.708333333332</v>
      </c>
      <c r="J242" s="7">
        <v>0</v>
      </c>
      <c r="K242" s="117" t="str">
        <f t="shared" si="72"/>
        <v>4041/4042</v>
      </c>
      <c r="L242" s="24" t="str">
        <f>VLOOKUP(A242,'Trips&amp;Operators'!$C$1:$E$10000,3,FALSE)</f>
        <v>MOSES</v>
      </c>
      <c r="M242" s="6">
        <f t="shared" si="73"/>
        <v>0</v>
      </c>
      <c r="N242" s="7">
        <f t="shared" si="86"/>
        <v>0</v>
      </c>
      <c r="O242" s="7"/>
      <c r="P242" s="7"/>
      <c r="Q242" s="25"/>
      <c r="R242" s="25"/>
      <c r="S242" s="37">
        <f t="shared" si="87"/>
        <v>0</v>
      </c>
      <c r="T242" s="52" t="e">
        <f t="shared" si="74"/>
        <v>#VALUE!</v>
      </c>
      <c r="U242" s="159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18:00:52-0600',mode:absolute,to:'1969-12-31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42" s="54" t="str">
        <f t="shared" si="76"/>
        <v>Y</v>
      </c>
      <c r="X242" s="164" t="e">
        <f t="shared" si="88"/>
        <v>#VALUE!</v>
      </c>
      <c r="Y242" s="69">
        <f t="shared" si="77"/>
        <v>0.126</v>
      </c>
      <c r="Z242" s="69">
        <f t="shared" si="78"/>
        <v>2.3300999999999998</v>
      </c>
      <c r="AA242" s="69">
        <f t="shared" si="79"/>
        <v>2.2040999999999999</v>
      </c>
      <c r="AB242" s="66" t="e">
        <f>VLOOKUP(A242,Enforcements!$C$7:$K$21,8,0)</f>
        <v>#N/A</v>
      </c>
      <c r="AC242" s="62" t="e">
        <f>VLOOKUP(A242,Enforcements!$C$7:$E$21,3,0)</f>
        <v>#N/A</v>
      </c>
      <c r="AD242" s="63" t="str">
        <f t="shared" si="80"/>
        <v>67-07</v>
      </c>
      <c r="AE242" s="95" t="str">
        <f t="shared" si="8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42" s="92" t="str">
        <f t="shared" si="82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42" s="1" t="str">
        <f t="shared" si="83"/>
        <v>Other</v>
      </c>
      <c r="AH242" s="96" t="str">
        <f t="shared" si="84"/>
        <v>"%USERPROFILE%\Documents\GitHub\eaglep3\Utilities\RefineRTDCRunTimes.py" --tripid 67-07 --locoid 4042 --swversion DE.1.0.7.0 --startMP 204:1260 --initTime 2016-10-07T19:00:52 --startdatetime 1969-12-31T17:00:00 --delay 2 --endMP 300:23301 --enddatetime 1969-12-31T17:00:00 --enforcementcount 0 &gt;&gt;C:\Users\stu\Documents\GitHub\eaglep3-reporting\EC\2016-10-07-refined-times.txt</v>
      </c>
      <c r="AI242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ID","value":"67-07"},{"id":16,"name":"Locomotive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5"/>
      <c r="AK242" s="55"/>
      <c r="AL242" s="55"/>
    </row>
    <row r="243" spans="1:38" x14ac:dyDescent="0.25">
      <c r="A243" s="39" t="s">
        <v>643</v>
      </c>
      <c r="B243" s="7">
        <v>4013</v>
      </c>
      <c r="C243" s="24" t="s">
        <v>106</v>
      </c>
      <c r="D243" s="24" t="s">
        <v>644</v>
      </c>
      <c r="E243" s="15">
        <v>42650.671932870369</v>
      </c>
      <c r="F243" s="15">
        <v>42650.67359953704</v>
      </c>
      <c r="G243" s="7">
        <v>1</v>
      </c>
      <c r="H243" s="15" t="s">
        <v>209</v>
      </c>
      <c r="I243" s="15">
        <v>42650.675081018519</v>
      </c>
      <c r="J243" s="7">
        <v>0</v>
      </c>
      <c r="K243" s="117" t="str">
        <f t="shared" si="72"/>
        <v>4013/4014</v>
      </c>
      <c r="L243" s="24" t="str">
        <f>VLOOKUP(A243,'Trips&amp;Operators'!$C$1:$E$10000,3,FALSE)</f>
        <v>SWANSON</v>
      </c>
      <c r="M243" s="6">
        <f t="shared" si="73"/>
        <v>1.48148147854954E-3</v>
      </c>
      <c r="N243" s="7">
        <f t="shared" si="86"/>
        <v>2.1333333291113377</v>
      </c>
      <c r="O243" s="7"/>
      <c r="P243" s="7"/>
      <c r="Q243" s="25"/>
      <c r="R243" s="25"/>
      <c r="S243" s="37">
        <f t="shared" si="87"/>
        <v>0</v>
      </c>
      <c r="T243" s="52" t="e">
        <f t="shared" si="74"/>
        <v>#VALUE!</v>
      </c>
      <c r="U243" s="159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15:07:35-0600',mode:absolute,to:'2016-10-07 17:12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43" s="54" t="str">
        <f t="shared" si="76"/>
        <v>Y</v>
      </c>
      <c r="X243" s="164" t="e">
        <f t="shared" si="88"/>
        <v>#VALUE!</v>
      </c>
      <c r="Y243" s="69">
        <f t="shared" si="77"/>
        <v>0.31680000000000003</v>
      </c>
      <c r="Z243" s="69">
        <f t="shared" si="78"/>
        <v>1.4500000000000001E-2</v>
      </c>
      <c r="AA243" s="69">
        <f t="shared" si="79"/>
        <v>0.30230000000000001</v>
      </c>
      <c r="AB243" s="66" t="e">
        <f>VLOOKUP(A243,Enforcements!$C$7:$K$21,8,0)</f>
        <v>#N/A</v>
      </c>
      <c r="AC243" s="62" t="e">
        <f>VLOOKUP(A243,Enforcements!$C$7:$E$21,3,0)</f>
        <v>#N/A</v>
      </c>
      <c r="AD243" s="63" t="str">
        <f t="shared" si="80"/>
        <v>70-07</v>
      </c>
      <c r="AE243" s="95" t="str">
        <f t="shared" si="81"/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AF243" s="92" t="str">
        <f t="shared" si="82"/>
        <v>"C:\Program Files (x86)\AstroGrep\AstroGrep.exe" /spath="%USERPROFILE%\AppData\Local\Temp\OnboardLogs" /stypes="app*4013*20161007*" /stext=" 22:.+((SYSTEM_STATE.+slice.+state.+changed )|(ment ac)|(system.+state.+changed )|(\[timeout)|(PRM\|1\|D)|(kpr)|(kdp)|(\|lc)|(penalty))" /e /r /s</v>
      </c>
      <c r="AG243" s="1" t="str">
        <f t="shared" si="83"/>
        <v>Other</v>
      </c>
      <c r="AH243" s="96" t="str">
        <f t="shared" si="84"/>
        <v>"%USERPROFILE%\Documents\GitHub\eaglep3\Utilities\RefineRTDCRunTimes.py" --tripid 70-07 --locoid 4013 --swversion DE.1.0.7.0 --startMP 204:3168 --initTime 2016-10-07T16:07:35 --startdatetime 2016-10-07T16:09:59 --delay 1 --endMP 204:145 --enddatetime 2016-10-07T16:12:07 --enforcementcount 0 &gt;&gt;C:\Users\stu\Documents\GitHub\eaglep3-reporting\EC\2016-10-07-refined-times.txt</v>
      </c>
      <c r="AI243" s="130" t="str">
        <f t="shared" si="85"/>
        <v>echo {"issue":{"subject":"","project_id":79,"tracker_id":40,"status_id":1,"priority_id":2,"assigned_to_id":23,"start_date":"2016-10-07","description":"","custom_fields":[{"id":1,"name":"Subdivision","value":"Other"},{"id":4,"name":"Milepost","value":"0.0145"},{"id":17,"name":"Train ID","value":"70-07"},{"id":16,"name":"Locomotive ID","value":"4013"},{"id":130,"name":"Impact","value":""},{"id":150,"name":"Time of Event (Mountain Time)","value":"16:12:07"},{"id":151,"name":"Denver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5"/>
      <c r="AK243" s="55"/>
      <c r="AL243" s="55"/>
    </row>
    <row r="244" spans="1:38" x14ac:dyDescent="0.25">
      <c r="A244" s="39" t="s">
        <v>645</v>
      </c>
      <c r="B244" s="7">
        <v>4022</v>
      </c>
      <c r="C244" s="24" t="s">
        <v>106</v>
      </c>
      <c r="D244" s="24" t="s">
        <v>646</v>
      </c>
      <c r="E244" s="15">
        <v>42650.870289351849</v>
      </c>
      <c r="F244" s="15">
        <v>25568.708333333332</v>
      </c>
      <c r="G244" s="7">
        <v>1</v>
      </c>
      <c r="H244" s="15" t="s">
        <v>647</v>
      </c>
      <c r="I244" s="15">
        <v>25568.708333333332</v>
      </c>
      <c r="J244" s="7">
        <v>0</v>
      </c>
      <c r="K244" s="117" t="str">
        <f t="shared" si="72"/>
        <v>4021/4022</v>
      </c>
      <c r="L244" s="24" t="str">
        <f>VLOOKUP(A244,'Trips&amp;Operators'!$C$1:$E$10000,3,FALSE)</f>
        <v>PUGH</v>
      </c>
      <c r="M244" s="6">
        <f t="shared" si="73"/>
        <v>0</v>
      </c>
      <c r="N244" s="7">
        <f t="shared" si="86"/>
        <v>0</v>
      </c>
      <c r="O244" s="7"/>
      <c r="P244" s="7"/>
      <c r="Q244" s="25"/>
      <c r="R244" s="25"/>
      <c r="S244" s="37">
        <f t="shared" si="87"/>
        <v>0</v>
      </c>
      <c r="T244" s="52" t="e">
        <f t="shared" si="74"/>
        <v>#VALUE!</v>
      </c>
      <c r="U244" s="159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02" t="str">
        <f t="shared" si="75"/>
        <v>https://search-rtdc-monitor-bjffxe2xuh6vdkpspy63sjmuny.us-east-1.es.amazonaws.com/_plugin/kibana/#/discover/Steve-Slow-Train-Analysis-(2080s-and-2083s)?_g=(refreshInterval:(display:Off,section:0,value:0),time:(from:'2016-10-07 19:53:13-0600',mode:absolute,to:'1969-12-31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44" s="54" t="str">
        <f t="shared" si="76"/>
        <v>Y</v>
      </c>
      <c r="X244" s="164" t="e">
        <f t="shared" si="88"/>
        <v>#VALUE!</v>
      </c>
      <c r="Y244" s="69">
        <f t="shared" si="77"/>
        <v>6.88E-2</v>
      </c>
      <c r="Z244" s="69">
        <f t="shared" si="78"/>
        <v>2.4228999999999998</v>
      </c>
      <c r="AA244" s="69">
        <f t="shared" si="79"/>
        <v>2.3540999999999999</v>
      </c>
      <c r="AB244" s="66" t="e">
        <f>VLOOKUP(A244,Enforcements!$C$7:$K$21,8,0)</f>
        <v>#N/A</v>
      </c>
      <c r="AC244" s="62" t="e">
        <f>VLOOKUP(A244,Enforcements!$C$7:$E$21,3,0)</f>
        <v>#N/A</v>
      </c>
      <c r="AD244" s="63" t="str">
        <f t="shared" si="80"/>
        <v>71-07</v>
      </c>
      <c r="AE244" s="95" t="str">
        <f t="shared" si="8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44" s="92" t="str">
        <f t="shared" si="82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44" s="1" t="str">
        <f t="shared" si="83"/>
        <v>Other</v>
      </c>
      <c r="AH244" s="96" t="str">
        <f t="shared" si="84"/>
        <v>"%USERPROFILE%\Documents\GitHub\eaglep3\Utilities\RefineRTDCRunTimes.py" --tripid 71-07 --locoid 4022 --swversion DE.1.0.7.0 --startMP 204:688 --initTime 2016-10-07T20:53:13 --startdatetime 1969-12-31T17:00:00 --delay 1 --endMP 300:24229 --enddatetime 1969-12-31T17:00:00 --enforcementcount 0 &gt;&gt;C:\Users\stu\Documents\GitHub\eaglep3-reporting\EC\2016-10-07-refined-times.txt</v>
      </c>
      <c r="AI244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{"issue":{"subject":"","project_id":79,"tracker_id":40,"status_id":1,"priority_id":2,"assigned_to_id":23,"start_date":"1969-12-31","description":"","custom_fields":[{"id":1,"name":"Subdivision","value":"Other"},{"id":4,"name":"Milepost","value":"2.4229"},{"id":17,"name":"Train ID","value":"71-07"},{"id":16,"name":"Locomotive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7"/>
      <c r="L245" s="24"/>
      <c r="M245" s="6"/>
      <c r="N245" s="7"/>
      <c r="O245" s="7"/>
      <c r="P245" s="7"/>
      <c r="Q245" s="25"/>
      <c r="R245" s="25"/>
      <c r="S245" s="37"/>
      <c r="T245" s="52"/>
      <c r="U245" s="159"/>
      <c r="V245" s="102"/>
      <c r="W245" s="54"/>
      <c r="X245" s="164"/>
      <c r="Y245" s="69"/>
      <c r="Z245" s="69"/>
      <c r="AA245" s="69"/>
      <c r="AB245" s="66"/>
      <c r="AC245" s="62"/>
      <c r="AD245" s="63"/>
      <c r="AE245" s="95"/>
      <c r="AF245" s="92"/>
      <c r="AG245" s="1"/>
      <c r="AI245" s="130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7"/>
      <c r="L246" s="24"/>
      <c r="M246" s="6"/>
      <c r="N246" s="7"/>
      <c r="O246" s="7"/>
      <c r="P246" s="7"/>
      <c r="Q246" s="25"/>
      <c r="R246" s="25"/>
      <c r="S246" s="37"/>
      <c r="T246" s="52"/>
      <c r="U246" s="159"/>
      <c r="V246" s="102"/>
      <c r="W246" s="54"/>
      <c r="X246" s="164"/>
      <c r="Y246" s="69"/>
      <c r="Z246" s="69"/>
      <c r="AA246" s="69"/>
      <c r="AB246" s="66"/>
      <c r="AC246" s="62"/>
      <c r="AD246" s="63"/>
      <c r="AE246" s="95"/>
      <c r="AF246" s="92"/>
      <c r="AG246" s="1"/>
      <c r="AI246" s="130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7"/>
      <c r="L247" s="24"/>
      <c r="M247" s="6"/>
      <c r="N247" s="7"/>
      <c r="O247" s="7"/>
      <c r="P247" s="7"/>
      <c r="Q247" s="25"/>
      <c r="R247" s="25"/>
      <c r="S247" s="37"/>
      <c r="T247" s="52"/>
      <c r="U247" s="159"/>
      <c r="V247" s="102"/>
      <c r="W247" s="54"/>
      <c r="X247" s="164"/>
      <c r="Y247" s="69"/>
      <c r="Z247" s="69"/>
      <c r="AA247" s="69"/>
      <c r="AB247" s="66"/>
      <c r="AC247" s="62"/>
      <c r="AD247" s="63"/>
      <c r="AE247" s="95"/>
      <c r="AF247" s="92"/>
      <c r="AG247" s="1"/>
      <c r="AI247" s="130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7"/>
      <c r="L248" s="24"/>
      <c r="M248" s="6"/>
      <c r="N248" s="7"/>
      <c r="O248" s="7"/>
      <c r="P248" s="7"/>
      <c r="Q248" s="25"/>
      <c r="R248" s="25"/>
      <c r="S248" s="37"/>
      <c r="T248" s="52"/>
      <c r="U248" s="159"/>
      <c r="V248" s="102"/>
      <c r="W248" s="54"/>
      <c r="X248" s="164"/>
      <c r="Y248" s="69"/>
      <c r="Z248" s="69"/>
      <c r="AA248" s="69"/>
      <c r="AB248" s="66"/>
      <c r="AC248" s="62"/>
      <c r="AD248" s="63"/>
      <c r="AE248" s="95"/>
      <c r="AF248" s="92"/>
      <c r="AG248" s="1"/>
      <c r="AI248" s="130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7"/>
      <c r="L249" s="24"/>
      <c r="M249" s="6"/>
      <c r="N249" s="7"/>
      <c r="O249" s="7"/>
      <c r="P249" s="7"/>
      <c r="Q249" s="25"/>
      <c r="R249" s="25"/>
      <c r="S249" s="37"/>
      <c r="T249" s="52"/>
      <c r="U249" s="159"/>
      <c r="V249" s="102"/>
      <c r="W249" s="54"/>
      <c r="X249" s="164"/>
      <c r="Y249" s="69"/>
      <c r="Z249" s="69"/>
      <c r="AA249" s="69"/>
      <c r="AB249" s="66"/>
      <c r="AC249" s="62"/>
      <c r="AD249" s="63"/>
      <c r="AE249" s="95"/>
      <c r="AF249" s="92"/>
      <c r="AG249" s="1"/>
      <c r="AI249" s="130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7"/>
      <c r="L250" s="24"/>
      <c r="M250" s="6"/>
      <c r="N250" s="7"/>
      <c r="O250" s="7"/>
      <c r="P250" s="7"/>
      <c r="Q250" s="25"/>
      <c r="R250" s="25"/>
      <c r="S250" s="37"/>
      <c r="T250" s="52"/>
      <c r="U250" s="159"/>
      <c r="V250" s="102"/>
      <c r="W250" s="54"/>
      <c r="X250" s="164"/>
      <c r="Y250" s="69"/>
      <c r="Z250" s="69"/>
      <c r="AA250" s="69"/>
      <c r="AB250" s="66"/>
      <c r="AC250" s="62"/>
      <c r="AD250" s="63"/>
      <c r="AE250" s="95"/>
      <c r="AF250" s="92"/>
      <c r="AG250" s="1"/>
      <c r="AI250" s="130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7"/>
      <c r="L251" s="24"/>
      <c r="M251" s="6"/>
      <c r="N251" s="7"/>
      <c r="O251" s="7"/>
      <c r="P251" s="7"/>
      <c r="Q251" s="25"/>
      <c r="R251" s="25"/>
      <c r="S251" s="37"/>
      <c r="T251" s="52"/>
      <c r="U251" s="159"/>
      <c r="V251" s="102"/>
      <c r="W251" s="54"/>
      <c r="X251" s="164"/>
      <c r="Y251" s="69"/>
      <c r="Z251" s="69"/>
      <c r="AA251" s="69"/>
      <c r="AB251" s="66"/>
      <c r="AC251" s="62"/>
      <c r="AD251" s="63"/>
      <c r="AE251" s="95"/>
      <c r="AF251" s="92"/>
      <c r="AG251" s="1"/>
      <c r="AI251" s="130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7"/>
      <c r="L252" s="24"/>
      <c r="M252" s="6"/>
      <c r="N252" s="7"/>
      <c r="O252" s="7"/>
      <c r="P252" s="7"/>
      <c r="Q252" s="25"/>
      <c r="R252" s="25"/>
      <c r="S252" s="37"/>
      <c r="T252" s="52"/>
      <c r="U252" s="159"/>
      <c r="V252" s="102"/>
      <c r="W252" s="54"/>
      <c r="X252" s="164"/>
      <c r="Y252" s="69"/>
      <c r="Z252" s="69"/>
      <c r="AA252" s="69"/>
      <c r="AB252" s="66"/>
      <c r="AC252" s="62"/>
      <c r="AD252" s="63"/>
      <c r="AE252" s="95"/>
      <c r="AF252" s="92"/>
      <c r="AG252" s="1"/>
      <c r="AI252" s="130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7"/>
      <c r="L253" s="24"/>
      <c r="M253" s="6"/>
      <c r="N253" s="7"/>
      <c r="O253" s="7"/>
      <c r="P253" s="7"/>
      <c r="Q253" s="25"/>
      <c r="R253" s="25"/>
      <c r="S253" s="37"/>
      <c r="T253" s="52"/>
      <c r="U253" s="159"/>
      <c r="V253" s="102"/>
      <c r="W253" s="54"/>
      <c r="X253" s="164"/>
      <c r="Y253" s="69"/>
      <c r="Z253" s="69"/>
      <c r="AA253" s="69"/>
      <c r="AB253" s="66"/>
      <c r="AC253" s="62"/>
      <c r="AD253" s="63"/>
      <c r="AE253" s="95"/>
      <c r="AF253" s="92"/>
      <c r="AG253" s="1"/>
      <c r="AI253" s="130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7"/>
      <c r="L254" s="24"/>
      <c r="M254" s="6"/>
      <c r="N254" s="7"/>
      <c r="O254" s="7"/>
      <c r="P254" s="7"/>
      <c r="Q254" s="25"/>
      <c r="R254" s="25"/>
      <c r="S254" s="37"/>
      <c r="T254" s="52"/>
      <c r="U254" s="159"/>
      <c r="V254" s="102"/>
      <c r="W254" s="54"/>
      <c r="X254" s="164"/>
      <c r="Y254" s="69"/>
      <c r="Z254" s="69"/>
      <c r="AA254" s="69"/>
      <c r="AB254" s="66"/>
      <c r="AC254" s="62"/>
      <c r="AD254" s="63"/>
      <c r="AE254" s="95"/>
      <c r="AF254" s="92"/>
      <c r="AG254" s="1"/>
      <c r="AI254" s="130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7"/>
      <c r="L255" s="24"/>
      <c r="M255" s="6"/>
      <c r="N255" s="7"/>
      <c r="O255" s="7"/>
      <c r="P255" s="7"/>
      <c r="Q255" s="25"/>
      <c r="R255" s="25"/>
      <c r="S255" s="37"/>
      <c r="T255" s="52"/>
      <c r="U255" s="159"/>
      <c r="V255" s="102"/>
      <c r="W255" s="54"/>
      <c r="X255" s="164"/>
      <c r="Y255" s="69"/>
      <c r="Z255" s="69"/>
      <c r="AA255" s="69"/>
      <c r="AB255" s="66"/>
      <c r="AC255" s="62"/>
      <c r="AD255" s="63"/>
      <c r="AE255" s="95"/>
      <c r="AF255" s="92"/>
      <c r="AG255" s="1"/>
      <c r="AI255" s="130"/>
      <c r="AJ255" s="55"/>
      <c r="AK255" s="55"/>
      <c r="AL255" s="55"/>
    </row>
  </sheetData>
  <autoFilter ref="A12:AG25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55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Values'!$C$2:$C$20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F14" sqref="F14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COUNTIF($O$7:$O$369,"=Y")</f>
        <v>1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COUNTA($O$7:$O$369)-O2</f>
        <v>33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85" t="str">
        <f>"Eagle P3 Braking Events - "&amp;TEXT(Variables!$A$2,"YYYY-mm-dd")</f>
        <v>Eagle P3 Braking Events - 2016-10-07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171</v>
      </c>
      <c r="J6" s="132" t="s">
        <v>30</v>
      </c>
      <c r="K6" s="133" t="s">
        <v>29</v>
      </c>
      <c r="L6" s="145" t="s">
        <v>28</v>
      </c>
      <c r="M6" s="133" t="s">
        <v>172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157</v>
      </c>
      <c r="Z6" s="141" t="s">
        <v>158</v>
      </c>
      <c r="AA6" s="141" t="s">
        <v>131</v>
      </c>
      <c r="AB6" s="141" t="s">
        <v>159</v>
      </c>
      <c r="AC6" s="174" t="s">
        <v>208</v>
      </c>
    </row>
    <row r="7" spans="1:29" s="1" customFormat="1" x14ac:dyDescent="0.25">
      <c r="A7" s="38">
        <v>42650.869513888887</v>
      </c>
      <c r="B7" s="33" t="s">
        <v>247</v>
      </c>
      <c r="C7" s="33" t="s">
        <v>562</v>
      </c>
      <c r="D7" s="33" t="s">
        <v>221</v>
      </c>
      <c r="E7" s="33" t="s">
        <v>163</v>
      </c>
      <c r="F7" s="49">
        <v>0</v>
      </c>
      <c r="G7" s="49">
        <v>73</v>
      </c>
      <c r="H7" s="49">
        <v>63261</v>
      </c>
      <c r="I7" s="49">
        <v>61308</v>
      </c>
      <c r="J7" s="33" t="s">
        <v>162</v>
      </c>
      <c r="K7" s="49">
        <v>63309</v>
      </c>
      <c r="L7" s="146" t="s">
        <v>53</v>
      </c>
      <c r="M7" s="149">
        <f t="shared" ref="M7:M40" si="0">CONVERT((I7-K7)/10000,"mi","ft")*IF(L7="Increasing Mileposts (1)",-1,1)</f>
        <v>-1056.528</v>
      </c>
      <c r="N7" s="88" t="str">
        <f>VLOOKUP(C7,'Trips&amp;Operators'!$C$1:$E$99999,3,FALSE)</f>
        <v>YOUNG</v>
      </c>
      <c r="O7" s="170" t="s">
        <v>86</v>
      </c>
      <c r="P7" s="10" t="s">
        <v>283</v>
      </c>
      <c r="Q7" s="33"/>
      <c r="R7" s="104" t="str">
        <f>VLOOKUP(C7,'Train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7" s="107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https://search-rtdc-monitor-bjffxe2xuh6vdkpspy63sjmuny.us-east-1.es.amazonaws.com/_plugin/kibana/#/discover/Steve-Slow-Train-Analysis-(2080s-and-2083s)?_g=(refreshInterval:(display:Off,section:0,value:0),time:(from:'2016-10-07 19:15:28-0600',mode:absolute,to:'2016-10-07 22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7" s="109" t="str">
        <f t="shared" ref="T7:T4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/stypes="*4004*201610080*" /stext=" 02:.+((SYSTEM_STATE.+slice.+state.+changed )|(ment ac)|(system.+state.+changed )|(\[timeout)|(PRM\|1\|D)|(kpr)|(kdp)|(\|lc)|(penalty))" /e /r /s</v>
      </c>
      <c r="U7" s="9" t="str">
        <f t="shared" ref="U7:U40" si="2">MID(B7,13,4)</f>
        <v>4004</v>
      </c>
      <c r="V7" s="38">
        <f t="shared" ref="V7:V40" si="3">A7+6/24</f>
        <v>42651.119513888887</v>
      </c>
      <c r="W7" s="52" t="str">
        <f t="shared" ref="W7:W40" si="4">IF(VALUE(LEFT(IF(LEN(C7)=6,"0"&amp;C7,C7),2))&lt;=2,"EC",IF(OR(VALUE(LEFT(IF(LEN(C7)=6,"0"&amp;C7,C7),2))=8,VALUE(LEFT(IF(LEN(C7)=6,"0"&amp;C7,C7),2))=18),"NW","Other"))</f>
        <v>EC</v>
      </c>
      <c r="X7" s="52" t="str">
        <f t="shared" ref="X7:X40" si="5">IF(AND(E7="TRACK WARRANT AUTHORITY",G7&lt;10),"OMIT","KEEP")</f>
        <v>KEEP</v>
      </c>
      <c r="Y7" s="130" t="str">
        <f t="shared" ref="Y7:Y4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arrival","project_id":79,"tracker_id":40,"status_id":1,"priority_id":2,"assigned_to_id":23,"start_date":"2016-10-07","description":"","custom_fields":[{"id":1,"name":"Subdivision","value":"EC"},{"id":4,"name":"Milepost","value":"6.3309"},{"id":17,"name":"Train ID","value":"224-07"},{"id":16,"name":"Locomotive ID","value":"4004"},{"id":130,"name":"Impact","value":""},{"id":150,"name":"Time of Event (Mountain Time)","value":"20:52:06"},{"id":151,"name":"Denver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4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"%USERPROFILE%\AppData\Local\Temp\OnboardLogs"\RTDC4004\*4004*201610080* | grep -SE "((Enforcement Ac)|(PRM))" -</v>
      </c>
    </row>
    <row r="8" spans="1:29" s="1" customFormat="1" x14ac:dyDescent="0.25">
      <c r="A8" s="38">
        <v>42650.427384259259</v>
      </c>
      <c r="B8" s="33" t="s">
        <v>247</v>
      </c>
      <c r="C8" s="33" t="s">
        <v>435</v>
      </c>
      <c r="D8" s="33" t="s">
        <v>221</v>
      </c>
      <c r="E8" s="33" t="s">
        <v>163</v>
      </c>
      <c r="F8" s="49">
        <v>0</v>
      </c>
      <c r="G8" s="49">
        <v>412</v>
      </c>
      <c r="H8" s="49">
        <v>103772</v>
      </c>
      <c r="I8" s="49">
        <v>102639</v>
      </c>
      <c r="J8" s="33" t="s">
        <v>162</v>
      </c>
      <c r="K8" s="49">
        <v>103800</v>
      </c>
      <c r="L8" s="146" t="s">
        <v>53</v>
      </c>
      <c r="M8" s="149">
        <f t="shared" si="0"/>
        <v>-613.00800000000004</v>
      </c>
      <c r="N8" s="88" t="str">
        <f>VLOOKUP(C8,'Trips&amp;Operators'!$C$1:$E$99999,3,FALSE)</f>
        <v>ROCHA</v>
      </c>
      <c r="O8" s="170" t="s">
        <v>86</v>
      </c>
      <c r="P8" s="10" t="s">
        <v>283</v>
      </c>
      <c r="Q8" s="33"/>
      <c r="R8" s="104" t="str">
        <f>VLOOKUP(C8,'Train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8" s="107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https://search-rtdc-monitor-bjffxe2xuh6vdkpspy63sjmuny.us-east-1.es.amazonaws.com/_plugin/kibana/#/discover/Steve-Slow-Train-Analysis-(2080s-and-2083s)?_g=(refreshInterval:(display:Off,section:0,value:0),time:(from:'2016-10-07 08:49:28-0600',mode:absolute,to:'2016-10-07 11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8" s="109" t="str">
        <f t="shared" si="1"/>
        <v>"C:\Program Files (x86)\AstroGrep\AstroGrep.exe" /spath="%USERPROFILE%\AppData\Local\Temp\OnboardLogs" /stypes="*4004*201610071*" /stext=" 16:.+((SYSTEM_STATE.+slice.+state.+changed )|(ment ac)|(system.+state.+changed )|(\[timeout)|(PRM\|1\|D)|(kpr)|(kdp)|(\|lc)|(penalty))" /e /r /s</v>
      </c>
      <c r="U8" s="9" t="str">
        <f t="shared" si="2"/>
        <v>4004</v>
      </c>
      <c r="V8" s="38">
        <f t="shared" si="3"/>
        <v>42650.677384259259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arrival","project_id":79,"tracker_id":40,"status_id":1,"priority_id":2,"assigned_to_id":23,"start_date":"2016-10-07","description":"","custom_fields":[{"id":1,"name":"Subdivision","value":"EC"},{"id":4,"name":"Milepost","value":"10.38"},{"id":17,"name":"Train ID","value":"144-07"},{"id":16,"name":"Locomotive ID","value":"4004"},{"id":130,"name":"Impact","value":""},{"id":150,"name":"Time of Event (Mountain Time)","value":"10:15:26"},{"id":151,"name":"Denver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"%USERPROFILE%\AppData\Local\Temp\OnboardLogs"\RTDC4004\*4004*201610071* | grep -SE "((Enforcement Ac)|(PRM))" -</v>
      </c>
    </row>
    <row r="9" spans="1:29" s="1" customFormat="1" x14ac:dyDescent="0.25">
      <c r="A9" s="38">
        <v>42650.282430555555</v>
      </c>
      <c r="B9" s="33" t="s">
        <v>247</v>
      </c>
      <c r="C9" s="33" t="s">
        <v>391</v>
      </c>
      <c r="D9" s="33" t="s">
        <v>105</v>
      </c>
      <c r="E9" s="33" t="s">
        <v>163</v>
      </c>
      <c r="F9" s="49">
        <v>0</v>
      </c>
      <c r="G9" s="49">
        <v>371</v>
      </c>
      <c r="H9" s="49">
        <v>109100</v>
      </c>
      <c r="I9" s="49">
        <v>108560</v>
      </c>
      <c r="J9" s="33" t="s">
        <v>162</v>
      </c>
      <c r="K9" s="49">
        <v>109135</v>
      </c>
      <c r="L9" s="146" t="s">
        <v>53</v>
      </c>
      <c r="M9" s="149">
        <f t="shared" si="0"/>
        <v>-303.60000000000002</v>
      </c>
      <c r="N9" s="88" t="str">
        <f>VLOOKUP(C9,'Trips&amp;Operators'!$C$1:$E$99999,3,FALSE)</f>
        <v>ROCHA</v>
      </c>
      <c r="O9" s="170" t="s">
        <v>86</v>
      </c>
      <c r="P9" s="10" t="s">
        <v>283</v>
      </c>
      <c r="Q9" s="33"/>
      <c r="R9" s="104" t="str">
        <f>VLOOKUP(C9,'Train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9" s="107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https://search-rtdc-monitor-bjffxe2xuh6vdkpspy63sjmuny.us-east-1.es.amazonaws.com/_plugin/kibana/#/discover/Steve-Slow-Train-Analysis-(2080s-and-2083s)?_g=(refreshInterval:(display:Off,section:0,value:0),time:(from:'2016-10-07 05:24:25-0600',mode:absolute,to:'2016-10-07 08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9" s="109" t="str">
        <f t="shared" si="1"/>
        <v>"C:\Program Files (x86)\AstroGrep\AstroGrep.exe" /spath="%USERPROFILE%\AppData\Local\Temp\OnboardLogs" /stypes="*4004*201610071*" /stext=" 12:.+((SYSTEM_STATE.+slice.+state.+changed )|(ment ac)|(system.+state.+changed )|(\[timeout)|(PRM\|1\|D)|(kpr)|(kdp)|(\|lc)|(penalty))" /e /r /s</v>
      </c>
      <c r="U9" s="9" t="str">
        <f t="shared" si="2"/>
        <v>4004</v>
      </c>
      <c r="V9" s="38">
        <f t="shared" si="3"/>
        <v>42650.532430555555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arrival","project_id":79,"tracker_id":40,"status_id":1,"priority_id":2,"assigned_to_id":23,"start_date":"2016-10-07","description":"","custom_fields":[{"id":1,"name":"Subdivision","value":"EC"},{"id":4,"name":"Milepost","value":"10.9135"},{"id":17,"name":"Train ID","value":"116-07"},{"id":16,"name":"Locomotive ID","value":"4004"},{"id":130,"name":"Impact","value":""},{"id":150,"name":"Time of Event (Mountain Time)","value":"06:46:42"},{"id":151,"name":"Denver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"%USERPROFILE%\AppData\Local\Temp\OnboardLogs"\RTDC4004\*4004*201610071* | grep -SE "((Enforcement Ac)|(PRM))" -</v>
      </c>
    </row>
    <row r="10" spans="1:29" s="1" customFormat="1" x14ac:dyDescent="0.25">
      <c r="A10" s="38">
        <v>42650.657060185185</v>
      </c>
      <c r="B10" s="33" t="s">
        <v>219</v>
      </c>
      <c r="C10" s="33" t="s">
        <v>505</v>
      </c>
      <c r="D10" s="33" t="s">
        <v>221</v>
      </c>
      <c r="E10" s="33" t="s">
        <v>163</v>
      </c>
      <c r="F10" s="49">
        <v>0</v>
      </c>
      <c r="G10" s="49">
        <v>126</v>
      </c>
      <c r="H10" s="49">
        <v>109075</v>
      </c>
      <c r="I10" s="49">
        <v>108940</v>
      </c>
      <c r="J10" s="33" t="s">
        <v>162</v>
      </c>
      <c r="K10" s="49">
        <v>109135</v>
      </c>
      <c r="L10" s="146" t="s">
        <v>53</v>
      </c>
      <c r="M10" s="149">
        <f t="shared" si="0"/>
        <v>-102.96</v>
      </c>
      <c r="N10" s="88" t="str">
        <f>VLOOKUP(C10,'Trips&amp;Operators'!$C$1:$E$99999,3,FALSE)</f>
        <v>STEWART</v>
      </c>
      <c r="O10" s="170" t="s">
        <v>86</v>
      </c>
      <c r="P10" s="10" t="s">
        <v>283</v>
      </c>
      <c r="Q10" s="33"/>
      <c r="R10" s="104" t="str">
        <f>VLOOKUP(C10,'Train Runs'!$A$13:$AE$10008,31,0)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S10" s="107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https://search-rtdc-monitor-bjffxe2xuh6vdkpspy63sjmuny.us-east-1.es.amazonaws.com/_plugin/kibana/#/discover/Steve-Slow-Train-Analysis-(2080s-and-2083s)?_g=(refreshInterval:(display:Off,section:0,value:0),time:(from:'2016-10-07 14:20:26-0600',mode:absolute,to:'2016-10-07 17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0" s="109" t="str">
        <f t="shared" si="1"/>
        <v>"C:\Program Files (x86)\AstroGrep\AstroGrep.exe" /spath="%USERPROFILE%\AppData\Local\Temp\OnboardLogs" /stypes="*4017*201610072*" /stext=" 21:.+((SYSTEM_STATE.+slice.+state.+changed )|(ment ac)|(system.+state.+changed )|(\[timeout)|(PRM\|1\|D)|(kpr)|(kdp)|(\|lc)|(penalty))" /e /r /s</v>
      </c>
      <c r="U10" s="9" t="str">
        <f t="shared" si="2"/>
        <v>4017</v>
      </c>
      <c r="V10" s="38">
        <f t="shared" si="3"/>
        <v>42650.907060185185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arrival","project_id":79,"tracker_id":40,"status_id":1,"priority_id":2,"assigned_to_id":23,"start_date":"2016-10-07","description":"","custom_fields":[{"id":1,"name":"Subdivision","value":"EC"},{"id":4,"name":"Milepost","value":"10.9135"},{"id":17,"name":"Train ID","value":"188-07"},{"id":16,"name":"Locomotive ID","value":"4017"},{"id":130,"name":"Impact","value":""},{"id":150,"name":"Time of Event (Mountain Time)","value":"15:46:10"},{"id":151,"name":"Denver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"%USERPROFILE%\AppData\Local\Temp\OnboardLogs"\RTDC4017\*4017*201610072* | grep -SE "((Enforcement Ac)|(PRM))" -</v>
      </c>
    </row>
    <row r="11" spans="1:29" s="1" customFormat="1" x14ac:dyDescent="0.25">
      <c r="A11" s="38">
        <v>42650.656446759262</v>
      </c>
      <c r="B11" s="33" t="s">
        <v>219</v>
      </c>
      <c r="C11" s="33" t="s">
        <v>505</v>
      </c>
      <c r="D11" s="33" t="s">
        <v>49</v>
      </c>
      <c r="E11" s="33" t="s">
        <v>163</v>
      </c>
      <c r="F11" s="49">
        <v>370</v>
      </c>
      <c r="G11" s="49">
        <v>443</v>
      </c>
      <c r="H11" s="49">
        <v>110584</v>
      </c>
      <c r="I11" s="49">
        <v>109133</v>
      </c>
      <c r="J11" s="33" t="s">
        <v>162</v>
      </c>
      <c r="K11" s="49">
        <v>109135</v>
      </c>
      <c r="L11" s="146" t="s">
        <v>53</v>
      </c>
      <c r="M11" s="149">
        <f t="shared" si="0"/>
        <v>-1.056</v>
      </c>
      <c r="N11" s="88" t="str">
        <f>VLOOKUP(C11,'Trips&amp;Operators'!$C$1:$E$99999,3,FALSE)</f>
        <v>STEWART</v>
      </c>
      <c r="O11" s="170" t="s">
        <v>86</v>
      </c>
      <c r="P11" s="10" t="s">
        <v>283</v>
      </c>
      <c r="Q11" s="33"/>
      <c r="R11" s="104" t="str">
        <f>VLOOKUP(C11,'Train Runs'!$A$13:$AE$10008,31,0)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S11" s="107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https://search-rtdc-monitor-bjffxe2xuh6vdkpspy63sjmuny.us-east-1.es.amazonaws.com/_plugin/kibana/#/discover/Steve-Slow-Train-Analysis-(2080s-and-2083s)?_g=(refreshInterval:(display:Off,section:0,value:0),time:(from:'2016-10-07 14:20:26-0600',mode:absolute,to:'2016-10-07 17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1" s="109" t="str">
        <f t="shared" si="1"/>
        <v>"C:\Program Files (x86)\AstroGrep\AstroGrep.exe" /spath="%USERPROFILE%\AppData\Local\Temp\OnboardLogs" /stypes="*4017*201610072*" /stext=" 21:.+((SYSTEM_STATE.+slice.+state.+changed )|(ment ac)|(system.+state.+changed )|(\[timeout)|(PRM\|1\|D)|(kpr)|(kdp)|(\|lc)|(penalty))" /e /r /s</v>
      </c>
      <c r="U11" s="9" t="str">
        <f t="shared" si="2"/>
        <v>4017</v>
      </c>
      <c r="V11" s="38">
        <f t="shared" si="3"/>
        <v>42650.906446759262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arrival","project_id":79,"tracker_id":40,"status_id":1,"priority_id":2,"assigned_to_id":23,"start_date":"2016-10-07","description":"","custom_fields":[{"id":1,"name":"Subdivision","value":"EC"},{"id":4,"name":"Milepost","value":"10.9135"},{"id":17,"name":"Train ID","value":"188-07"},{"id":16,"name":"Locomotive ID","value":"4017"},{"id":130,"name":"Impact","value":""},{"id":150,"name":"Time of Event (Mountain Time)","value":"15:45:17"},{"id":151,"name":"Denver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"%USERPROFILE%\AppData\Local\Temp\OnboardLogs"\RTDC4017\*4017*201610072* | grep -SE "((Enforcement Ac)|(PRM))" -</v>
      </c>
    </row>
    <row r="12" spans="1:29" s="1" customFormat="1" x14ac:dyDescent="0.25">
      <c r="A12" s="38">
        <v>42650.551620370374</v>
      </c>
      <c r="B12" s="33" t="s">
        <v>267</v>
      </c>
      <c r="C12" s="33" t="s">
        <v>466</v>
      </c>
      <c r="D12" s="33" t="s">
        <v>49</v>
      </c>
      <c r="E12" s="33" t="s">
        <v>56</v>
      </c>
      <c r="F12" s="49">
        <v>300</v>
      </c>
      <c r="G12" s="49">
        <v>416</v>
      </c>
      <c r="H12" s="49">
        <v>23446</v>
      </c>
      <c r="I12" s="49">
        <v>22067</v>
      </c>
      <c r="J12" s="33" t="s">
        <v>57</v>
      </c>
      <c r="K12" s="49">
        <v>21848</v>
      </c>
      <c r="L12" s="146" t="s">
        <v>53</v>
      </c>
      <c r="M12" s="149">
        <f t="shared" si="0"/>
        <v>115.63200000000001</v>
      </c>
      <c r="N12" s="88" t="str">
        <f>VLOOKUP(C12,'Trips&amp;Operators'!$C$1:$E$99999,3,FALSE)</f>
        <v>MOSES</v>
      </c>
      <c r="O12" s="170" t="s">
        <v>86</v>
      </c>
      <c r="P12" s="10"/>
      <c r="Q12" s="33"/>
      <c r="R12" s="104" t="str">
        <f>VLOOKUP(C12,'Train Runs'!$A$13:$AE$10008,31,0)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S12" s="107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https://search-rtdc-monitor-bjffxe2xuh6vdkpspy63sjmuny.us-east-1.es.amazonaws.com/_plugin/kibana/#/discover/Steve-Slow-Train-Analysis-(2080s-and-2083s)?_g=(refreshInterval:(display:Off,section:0,value:0),time:(from:'2016-10-07 11:35:18-0600',mode:absolute,to:'2016-10-07 14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2" s="109" t="str">
        <f t="shared" si="1"/>
        <v>"C:\Program Files (x86)\AstroGrep\AstroGrep.exe" /spath="%USERPROFILE%\AppData\Local\Temp\OnboardLogs" /stypes="*4008*201610071*" /stext=" 19:.+((SYSTEM_STATE.+slice.+state.+changed )|(ment ac)|(system.+state.+changed )|(\[timeout)|(PRM\|1\|D)|(kpr)|(kdp)|(\|lc)|(penalty))" /e /r /s</v>
      </c>
      <c r="U12" s="9" t="str">
        <f t="shared" si="2"/>
        <v>4008</v>
      </c>
      <c r="V12" s="38">
        <f t="shared" si="3"/>
        <v>42650.801620370374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{"issue":{"subject":"","project_id":79,"tracker_id":40,"status_id":1,"priority_id":2,"assigned_to_id":23,"start_date":"2016-10-07","description":"","custom_fields":[{"id":1,"name":"Subdivision","value":"EC"},{"id":4,"name":"Milepost","value":"2.1848"},{"id":17,"name":"Train ID","value":"166-07"},{"id":16,"name":"Locomotive ID","value":"4008"},{"id":130,"name":"Impact","value":""},{"id":150,"name":"Time of Event (Mountain Time)","value":"13:14:20"},{"id":151,"name":"Denver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"%USERPROFILE%\AppData\Local\Temp\OnboardLogs"\RTDC4008\*4008*201610071* | grep -SE "((Enforcement Ac)|(PRM))" -</v>
      </c>
    </row>
    <row r="13" spans="1:29" s="1" customFormat="1" x14ac:dyDescent="0.25">
      <c r="A13" s="38">
        <v>42650.710555555554</v>
      </c>
      <c r="B13" s="33" t="s">
        <v>169</v>
      </c>
      <c r="C13" s="33" t="s">
        <v>518</v>
      </c>
      <c r="D13" s="33" t="s">
        <v>49</v>
      </c>
      <c r="E13" s="33" t="s">
        <v>56</v>
      </c>
      <c r="F13" s="49">
        <v>300</v>
      </c>
      <c r="G13" s="49">
        <v>483</v>
      </c>
      <c r="H13" s="49">
        <v>24733</v>
      </c>
      <c r="I13" s="49">
        <v>23373</v>
      </c>
      <c r="J13" s="33" t="s">
        <v>57</v>
      </c>
      <c r="K13" s="49">
        <v>21848</v>
      </c>
      <c r="L13" s="146" t="s">
        <v>53</v>
      </c>
      <c r="M13" s="149">
        <f t="shared" si="0"/>
        <v>805.2</v>
      </c>
      <c r="N13" s="88" t="str">
        <f>VLOOKUP(C13,'Trips&amp;Operators'!$C$1:$E$99999,3,FALSE)</f>
        <v>HILLS</v>
      </c>
      <c r="O13" s="170" t="s">
        <v>86</v>
      </c>
      <c r="P13" s="10"/>
      <c r="Q13" s="33"/>
      <c r="R13" s="104" t="str">
        <f>VLOOKUP(C13,'Train Runs'!$A$13:$AE$10008,31,0)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S13" s="107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https://search-rtdc-monitor-bjffxe2xuh6vdkpspy63sjmuny.us-east-1.es.amazonaws.com/_plugin/kibana/#/discover/Steve-Slow-Train-Analysis-(2080s-and-2083s)?_g=(refreshInterval:(display:Off,section:0,value:0),time:(from:'2016-10-07 15:15:27-0600',mode:absolute,to:'2016-10-07 18:10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3" s="109" t="str">
        <f t="shared" si="1"/>
        <v>"C:\Program Files (x86)\AstroGrep\AstroGrep.exe" /spath="%USERPROFILE%\AppData\Local\Temp\OnboardLogs" /stypes="*4041*201610072*" /stext=" 23:.+((SYSTEM_STATE.+slice.+state.+changed )|(ment ac)|(system.+state.+changed )|(\[timeout)|(PRM\|1\|D)|(kpr)|(kdp)|(\|lc)|(penalty))" /e /r /s</v>
      </c>
      <c r="U13" s="9" t="str">
        <f t="shared" si="2"/>
        <v>4041</v>
      </c>
      <c r="V13" s="38">
        <f t="shared" si="3"/>
        <v>42650.960555555554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{"issue":{"subject":"","project_id":79,"tracker_id":40,"status_id":1,"priority_id":2,"assigned_to_id":23,"start_date":"2016-10-07","description":"","custom_fields":[{"id":1,"name":"Subdivision","value":"EC"},{"id":4,"name":"Milepost","value":"2.1848"},{"id":17,"name":"Train ID","value":"196-07"},{"id":16,"name":"Locomotive ID","value":"4041"},{"id":130,"name":"Impact","value":""},{"id":150,"name":"Time of Event (Mountain Time)","value":"17:03:12"},{"id":151,"name":"Denver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"%USERPROFILE%\AppData\Local\Temp\OnboardLogs"\RTDC4041\*4041*201610072* | grep -SE "((Enforcement Ac)|(PRM))" -</v>
      </c>
    </row>
    <row r="14" spans="1:29" s="1" customFormat="1" x14ac:dyDescent="0.25">
      <c r="A14" s="38">
        <v>42650.740486111114</v>
      </c>
      <c r="B14" s="33" t="s">
        <v>309</v>
      </c>
      <c r="C14" s="33" t="s">
        <v>529</v>
      </c>
      <c r="D14" s="33" t="s">
        <v>49</v>
      </c>
      <c r="E14" s="33" t="s">
        <v>56</v>
      </c>
      <c r="F14" s="49">
        <v>450</v>
      </c>
      <c r="G14" s="49">
        <v>501</v>
      </c>
      <c r="H14" s="49">
        <v>104659</v>
      </c>
      <c r="I14" s="49">
        <v>103005</v>
      </c>
      <c r="J14" s="33" t="s">
        <v>57</v>
      </c>
      <c r="K14" s="49">
        <v>104646</v>
      </c>
      <c r="L14" s="146" t="s">
        <v>53</v>
      </c>
      <c r="M14" s="149">
        <f t="shared" si="0"/>
        <v>-866.44799999999998</v>
      </c>
      <c r="N14" s="88" t="str">
        <f>VLOOKUP(C14,'Trips&amp;Operators'!$C$1:$E$99999,3,FALSE)</f>
        <v>CLARK</v>
      </c>
      <c r="O14" s="170" t="s">
        <v>86</v>
      </c>
      <c r="P14" s="10"/>
      <c r="Q14" s="33"/>
      <c r="R14" s="104" t="str">
        <f>VLOOKUP(C14,'Train Runs'!$A$13:$AE$10008,31,0)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S14" s="107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https://search-rtdc-monitor-bjffxe2xuh6vdkpspy63sjmuny.us-east-1.es.amazonaws.com/_plugin/kibana/#/discover/Steve-Slow-Train-Analysis-(2080s-and-2083s)?_g=(refreshInterval:(display:Off,section:0,value:0),time:(from:'2016-10-07 16:20:12-0600',mode:absolute,to:'2016-10-07 19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4" s="109" t="str">
        <f t="shared" si="1"/>
        <v>"C:\Program Files (x86)\AstroGrep\AstroGrep.exe" /spath="%USERPROFILE%\AppData\Local\Temp\OnboardLogs" /stypes="*4045*201610072*" /stext=" 23:.+((SYSTEM_STATE.+slice.+state.+changed )|(ment ac)|(system.+state.+changed )|(\[timeout)|(PRM\|1\|D)|(kpr)|(kdp)|(\|lc)|(penalty))" /e /r /s</v>
      </c>
      <c r="U14" s="9" t="str">
        <f t="shared" si="2"/>
        <v>4045</v>
      </c>
      <c r="V14" s="38">
        <f t="shared" si="3"/>
        <v>42650.990486111114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{"issue":{"subject":"","project_id":79,"tracker_id":40,"status_id":1,"priority_id":2,"assigned_to_id":23,"start_date":"2016-10-07","description":"","custom_fields":[{"id":1,"name":"Subdivision","value":"EC"},{"id":4,"name":"Milepost","value":"10.4646"},{"id":17,"name":"Train ID","value":"204-07"},{"id":16,"name":"Locomotive ID","value":"4045"},{"id":130,"name":"Impact","value":""},{"id":150,"name":"Time of Event (Mountain Time)","value":"17:46:18"},{"id":151,"name":"Denver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"%USERPROFILE%\AppData\Local\Temp\OnboardLogs"\RTDC4045\*4045*201610072* | grep -SE "((Enforcement Ac)|(PRM))" -</v>
      </c>
    </row>
    <row r="15" spans="1:29" s="1" customFormat="1" x14ac:dyDescent="0.25">
      <c r="A15" s="38">
        <v>42650.33834490741</v>
      </c>
      <c r="B15" s="33" t="s">
        <v>307</v>
      </c>
      <c r="C15" s="33" t="s">
        <v>419</v>
      </c>
      <c r="D15" s="33" t="s">
        <v>49</v>
      </c>
      <c r="E15" s="33" t="s">
        <v>56</v>
      </c>
      <c r="F15" s="49">
        <v>400</v>
      </c>
      <c r="G15" s="49">
        <v>499</v>
      </c>
      <c r="H15" s="49">
        <v>116026</v>
      </c>
      <c r="I15" s="49">
        <v>117456</v>
      </c>
      <c r="J15" s="33" t="s">
        <v>57</v>
      </c>
      <c r="K15" s="49">
        <v>116838</v>
      </c>
      <c r="L15" s="146" t="s">
        <v>52</v>
      </c>
      <c r="M15" s="149">
        <f t="shared" si="0"/>
        <v>-326.30399999999997</v>
      </c>
      <c r="N15" s="88" t="str">
        <f>VLOOKUP(C15,'Trips&amp;Operators'!$C$1:$E$99999,3,FALSE)</f>
        <v>MALAVE</v>
      </c>
      <c r="O15" s="170" t="s">
        <v>86</v>
      </c>
      <c r="P15" s="10"/>
      <c r="Q15" s="33"/>
      <c r="R15" s="104" t="str">
        <f>VLOOKUP(C15,'Train Runs'!$A$13:$AE$10008,31,0)</f>
        <v>aws s3 cp s3://rtdc.mdm.uploadarchive.raw/RTDC4046/ "%USERPROFILE%\AppData\Local\Temp\OnboardLogs"\RTDC4046\2016-10-07 --exclude "*" --recursive --include "*20161007*" &amp; "%USERPROFILE%\Documents\GitHub\mrs-test-scripts\Headless Mode &amp; Sideloading\WalkAndUnGZ.bat" "%USERPROFILE%\AppData\Local\Temp\OnboardLogs"\RTDC4046\2016-10-07 &amp; aws s3 cp s3://rtdc.mdm.uploadarchive.raw/RTDC4046/ "%USERPROFILE%\AppData\Local\Temp\OnboardLogs"\RTDC4046\2016-10-08 --exclude "*" --recursive --include "*20161008*" &amp; "%USERPROFILE%\Documents\GitHub\mrs-test-scripts\Headless Mode &amp; Sideloading\WalkAndUnGZ.bat" "%USERPROFILE%\AppData\Local\Temp\OnboardLogs"\RTDC4046\2016-10-08</v>
      </c>
      <c r="S15" s="107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https://search-rtdc-monitor-bjffxe2xuh6vdkpspy63sjmuny.us-east-1.es.amazonaws.com/_plugin/kibana/#/discover/Steve-Slow-Train-Analysis-(2080s-and-2083s)?_g=(refreshInterval:(display:Off,section:0,value:0),time:(from:'2016-10-07 06:43:58-0600',mode:absolute,to:'2016-10-07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9" t="str">
        <f t="shared" si="1"/>
        <v>"C:\Program Files (x86)\AstroGrep\AstroGrep.exe" /spath="%USERPROFILE%\AppData\Local\Temp\OnboardLogs" /stypes="*4046*201610071*" /stext=" 14:.+((SYSTEM_STATE.+slice.+state.+changed )|(ment ac)|(system.+state.+changed )|(\[timeout)|(PRM\|1\|D)|(kpr)|(kdp)|(\|lc)|(penalty))" /e /r /s</v>
      </c>
      <c r="U15" s="9" t="str">
        <f t="shared" si="2"/>
        <v>4046</v>
      </c>
      <c r="V15" s="38">
        <f t="shared" si="3"/>
        <v>42650.58834490741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{"issue":{"subject":"","project_id":79,"tracker_id":40,"status_id":1,"priority_id":2,"assigned_to_id":23,"start_date":"2016-10-07","description":"","custom_fields":[{"id":1,"name":"Subdivision","value":"EC"},{"id":4,"name":"Milepost","value":"11.6838"},{"id":17,"name":"Train ID","value":"133-07"},{"id":16,"name":"Locomotive ID","value":"4046"},{"id":130,"name":"Impact","value":""},{"id":150,"name":"Time of Event (Mountain Time)","value":"08:07:13"},{"id":151,"name":"Denver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"%USERPROFILE%\AppData\Local\Temp\OnboardLogs"\RTDC4046\*4046*201610071* | grep -SE "((Enforcement Ac)|(PRM))" -</v>
      </c>
    </row>
    <row r="16" spans="1:29" s="1" customFormat="1" x14ac:dyDescent="0.25">
      <c r="A16" s="38">
        <v>42650.371134259258</v>
      </c>
      <c r="B16" s="33" t="s">
        <v>309</v>
      </c>
      <c r="C16" s="33" t="s">
        <v>421</v>
      </c>
      <c r="D16" s="33" t="s">
        <v>49</v>
      </c>
      <c r="E16" s="33" t="s">
        <v>54</v>
      </c>
      <c r="F16" s="49">
        <v>0</v>
      </c>
      <c r="G16" s="49">
        <v>486</v>
      </c>
      <c r="H16" s="49">
        <v>129890</v>
      </c>
      <c r="I16" s="49">
        <v>128393</v>
      </c>
      <c r="J16" s="33" t="s">
        <v>55</v>
      </c>
      <c r="K16" s="49">
        <v>127587</v>
      </c>
      <c r="L16" s="146" t="s">
        <v>53</v>
      </c>
      <c r="M16" s="149">
        <f t="shared" si="0"/>
        <v>425.56799999999998</v>
      </c>
      <c r="N16" s="88" t="str">
        <f>VLOOKUP(C16,'Trips&amp;Operators'!$C$1:$E$99999,3,FALSE)</f>
        <v>MALAVE</v>
      </c>
      <c r="O16" s="170" t="s">
        <v>86</v>
      </c>
      <c r="P16" s="10" t="s">
        <v>266</v>
      </c>
      <c r="Q16" s="33"/>
      <c r="R16" s="104" t="str">
        <f>VLOOKUP(C16,'Train Runs'!$A$13:$AE$10008,31,0)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S16" s="107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https://search-rtdc-monitor-bjffxe2xuh6vdkpspy63sjmuny.us-east-1.es.amazonaws.com/_plugin/kibana/#/discover/Steve-Slow-Train-Analysis-(2080s-and-2083s)?_g=(refreshInterval:(display:Off,section:0,value:0),time:(from:'2016-10-07 07:38:06-0600',mode:absolute,to:'2016-10-07 10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6" s="109" t="str">
        <f t="shared" si="1"/>
        <v>"C:\Program Files (x86)\AstroGrep\AstroGrep.exe" /spath="%USERPROFILE%\AppData\Local\Temp\OnboardLogs" /stypes="*4045*201610071*" /stext=" 14:.+((SYSTEM_STATE.+slice.+state.+changed )|(ment ac)|(system.+state.+changed )|(\[timeout)|(PRM\|1\|D)|(kpr)|(kdp)|(\|lc)|(penalty))" /e /r /s</v>
      </c>
      <c r="U16" s="9" t="str">
        <f t="shared" si="2"/>
        <v>4045</v>
      </c>
      <c r="V16" s="38">
        <f t="shared" si="3"/>
        <v>42650.621134259258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{"issue":{"subject":"40th 4S STOP, cleared afterward","project_id":79,"tracker_id":40,"status_id":1,"priority_id":2,"assigned_to_id":23,"start_date":"2016-10-07","description":"","custom_fields":[{"id":1,"name":"Subdivision","value":"EC"},{"id":4,"name":"Milepost","value":"12.7587"},{"id":17,"name":"Train ID","value":"134-07"},{"id":16,"name":"Locomotive ID","value":"4045"},{"id":130,"name":"Impact","value":""},{"id":150,"name":"Time of Event (Mountain Time)","value":"08:54:26"},{"id":151,"name":"Denver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"%USERPROFILE%\AppData\Local\Temp\OnboardLogs"\RTDC4045\*4045*201610071* | grep -SE "((Enforcement Ac)|(PRM))" -</v>
      </c>
    </row>
    <row r="17" spans="1:29" s="1" customFormat="1" x14ac:dyDescent="0.25">
      <c r="A17" s="38">
        <v>42650.371828703705</v>
      </c>
      <c r="B17" s="33" t="s">
        <v>309</v>
      </c>
      <c r="C17" s="33" t="s">
        <v>421</v>
      </c>
      <c r="D17" s="33" t="s">
        <v>49</v>
      </c>
      <c r="E17" s="33" t="s">
        <v>54</v>
      </c>
      <c r="F17" s="49">
        <v>0</v>
      </c>
      <c r="G17" s="49">
        <v>486</v>
      </c>
      <c r="H17" s="49">
        <v>129890</v>
      </c>
      <c r="I17" s="49">
        <v>128367</v>
      </c>
      <c r="J17" s="33" t="s">
        <v>55</v>
      </c>
      <c r="K17" s="49">
        <v>127587</v>
      </c>
      <c r="L17" s="146" t="s">
        <v>53</v>
      </c>
      <c r="M17" s="149">
        <f t="shared" si="0"/>
        <v>411.84</v>
      </c>
      <c r="N17" s="88" t="str">
        <f>VLOOKUP(C17,'Trips&amp;Operators'!$C$1:$E$99999,3,FALSE)</f>
        <v>MALAVE</v>
      </c>
      <c r="O17" s="170" t="s">
        <v>86</v>
      </c>
      <c r="P17" s="10" t="s">
        <v>266</v>
      </c>
      <c r="Q17" s="33"/>
      <c r="R17" s="104" t="str">
        <f>VLOOKUP(C17,'Train Runs'!$A$13:$AE$10008,31,0)</f>
        <v>aws s3 cp s3://rtdc.mdm.uploadarchive.raw/RTDC4045/ "%USERPROFILE%\AppData\Local\Temp\OnboardLogs"\RTDC4045\2016-10-07 --exclude "*" --recursive --include "*20161007*" &amp; "%USERPROFILE%\Documents\GitHub\mrs-test-scripts\Headless Mode &amp; Sideloading\WalkAndUnGZ.bat" "%USERPROFILE%\AppData\Local\Temp\OnboardLogs"\RTDC4045\2016-10-07 &amp; aws s3 cp s3://rtdc.mdm.uploadarchive.raw/RTDC4045/ "%USERPROFILE%\AppData\Local\Temp\OnboardLogs"\RTDC4045\2016-10-08 --exclude "*" --recursive --include "*20161008*" &amp; "%USERPROFILE%\Documents\GitHub\mrs-test-scripts\Headless Mode &amp; Sideloading\WalkAndUnGZ.bat" "%USERPROFILE%\AppData\Local\Temp\OnboardLogs"\RTDC4045\2016-10-08</v>
      </c>
      <c r="S17" s="107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https://search-rtdc-monitor-bjffxe2xuh6vdkpspy63sjmuny.us-east-1.es.amazonaws.com/_plugin/kibana/#/discover/Steve-Slow-Train-Analysis-(2080s-and-2083s)?_g=(refreshInterval:(display:Off,section:0,value:0),time:(from:'2016-10-07 07:38:06-0600',mode:absolute,to:'2016-10-07 10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7" s="109" t="str">
        <f t="shared" si="1"/>
        <v>"C:\Program Files (x86)\AstroGrep\AstroGrep.exe" /spath="%USERPROFILE%\AppData\Local\Temp\OnboardLogs" /stypes="*4045*201610071*" /stext=" 14:.+((SYSTEM_STATE.+slice.+state.+changed )|(ment ac)|(system.+state.+changed )|(\[timeout)|(PRM\|1\|D)|(kpr)|(kdp)|(\|lc)|(penalty))" /e /r /s</v>
      </c>
      <c r="U17" s="9" t="str">
        <f t="shared" si="2"/>
        <v>4045</v>
      </c>
      <c r="V17" s="38">
        <f t="shared" si="3"/>
        <v>42650.621828703705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{"issue":{"subject":"40th 4S STOP, cleared afterward","project_id":79,"tracker_id":40,"status_id":1,"priority_id":2,"assigned_to_id":23,"start_date":"2016-10-07","description":"","custom_fields":[{"id":1,"name":"Subdivision","value":"EC"},{"id":4,"name":"Milepost","value":"12.7587"},{"id":17,"name":"Train ID","value":"134-07"},{"id":16,"name":"Locomotive ID","value":"4045"},{"id":130,"name":"Impact","value":""},{"id":150,"name":"Time of Event (Mountain Time)","value":"08:55:26"},{"id":151,"name":"Denver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"%USERPROFILE%\AppData\Local\Temp\OnboardLogs"\RTDC4045\*4045*201610071* | grep -SE "((Enforcement Ac)|(PRM))" -</v>
      </c>
    </row>
    <row r="18" spans="1:29" s="1" customFormat="1" x14ac:dyDescent="0.25">
      <c r="A18" s="38">
        <v>42650.615439814814</v>
      </c>
      <c r="B18" s="33" t="s">
        <v>169</v>
      </c>
      <c r="C18" s="33" t="s">
        <v>494</v>
      </c>
      <c r="D18" s="33" t="s">
        <v>49</v>
      </c>
      <c r="E18" s="33" t="s">
        <v>54</v>
      </c>
      <c r="F18" s="49">
        <v>0</v>
      </c>
      <c r="G18" s="49">
        <v>356</v>
      </c>
      <c r="H18" s="49">
        <v>193490</v>
      </c>
      <c r="I18" s="49">
        <v>192723</v>
      </c>
      <c r="J18" s="33" t="s">
        <v>55</v>
      </c>
      <c r="K18" s="49">
        <v>191723</v>
      </c>
      <c r="L18" s="146" t="s">
        <v>53</v>
      </c>
      <c r="M18" s="149">
        <f t="shared" si="0"/>
        <v>528</v>
      </c>
      <c r="N18" s="88" t="str">
        <f>VLOOKUP(C18,'Trips&amp;Operators'!$C$1:$E$99999,3,FALSE)</f>
        <v>HILLS</v>
      </c>
      <c r="O18" s="170" t="s">
        <v>86</v>
      </c>
      <c r="P18" s="10" t="s">
        <v>783</v>
      </c>
      <c r="Q18" s="33"/>
      <c r="R18" s="104" t="str">
        <f>VLOOKUP(C18,'Train Runs'!$A$13:$AE$10008,31,0)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S18" s="107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https://search-rtdc-monitor-bjffxe2xuh6vdkpspy63sjmuny.us-east-1.es.amazonaws.com/_plugin/kibana/#/discover/Steve-Slow-Train-Analysis-(2080s-and-2083s)?_g=(refreshInterval:(display:Off,section:0,value:0),time:(from:'2016-10-07 13:24:13-0600',mode:absolute,to:'2016-10-07 16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8" s="109" t="str">
        <f t="shared" si="1"/>
        <v>"C:\Program Files (x86)\AstroGrep\AstroGrep.exe" /spath="%USERPROFILE%\AppData\Local\Temp\OnboardLogs" /stypes="*4041*201610072*" /stext=" 20:.+((SYSTEM_STATE.+slice.+state.+changed )|(ment ac)|(system.+state.+changed )|(\[timeout)|(PRM\|1\|D)|(kpr)|(kdp)|(\|lc)|(penalty))" /e /r /s</v>
      </c>
      <c r="U18" s="9" t="str">
        <f t="shared" si="2"/>
        <v>4041</v>
      </c>
      <c r="V18" s="38">
        <f t="shared" si="3"/>
        <v>42650.865439814814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{"issue":{"subject":"Pena 4S STOP, cleared afterward","project_id":79,"tracker_id":40,"status_id":1,"priority_id":2,"assigned_to_id":23,"start_date":"2016-10-07","description":"","custom_fields":[{"id":1,"name":"Subdivision","value":"EC"},{"id":4,"name":"Milepost","value":"19.1723"},{"id":17,"name":"Train ID","value":"182-07"},{"id":16,"name":"Locomotive ID","value":"4041"},{"id":130,"name":"Impact","value":""},{"id":150,"name":"Time of Event (Mountain Time)","value":"14:46:14"},{"id":151,"name":"Denver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"%USERPROFILE%\AppData\Local\Temp\OnboardLogs"\RTDC4041\*4041*201610072* | grep -SE "((Enforcement Ac)|(PRM))" -</v>
      </c>
    </row>
    <row r="19" spans="1:29" s="1" customFormat="1" x14ac:dyDescent="0.25">
      <c r="A19" s="38">
        <v>42650.34747685185</v>
      </c>
      <c r="B19" s="33" t="s">
        <v>169</v>
      </c>
      <c r="C19" s="33" t="s">
        <v>408</v>
      </c>
      <c r="D19" s="33" t="s">
        <v>49</v>
      </c>
      <c r="E19" s="33" t="s">
        <v>50</v>
      </c>
      <c r="F19" s="49">
        <v>0</v>
      </c>
      <c r="G19" s="49">
        <v>43</v>
      </c>
      <c r="H19" s="49">
        <v>170</v>
      </c>
      <c r="I19" s="49">
        <v>130</v>
      </c>
      <c r="J19" s="33" t="s">
        <v>51</v>
      </c>
      <c r="K19" s="49">
        <v>1</v>
      </c>
      <c r="L19" s="146" t="s">
        <v>53</v>
      </c>
      <c r="M19" s="149">
        <f t="shared" si="0"/>
        <v>68.111999999999995</v>
      </c>
      <c r="N19" s="88" t="str">
        <f>VLOOKUP(C19,'Trips&amp;Operators'!$C$1:$E$99999,3,FALSE)</f>
        <v>SPECTOR</v>
      </c>
      <c r="O19" s="170" t="s">
        <v>86</v>
      </c>
      <c r="P19" s="10"/>
      <c r="Q19" s="33"/>
      <c r="R19" s="104" t="str">
        <f>VLOOKUP(C19,'Train Runs'!$A$13:$AE$10008,31,0)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S19" s="107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https://search-rtdc-monitor-bjffxe2xuh6vdkpspy63sjmuny.us-east-1.es.amazonaws.com/_plugin/kibana/#/discover/Steve-Slow-Train-Analysis-(2080s-and-2083s)?_g=(refreshInterval:(display:Off,section:0,value:0),time:(from:'2016-10-07 06:32:04-0600',mode:absolute,to:'2016-10-07 09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9" s="109" t="str">
        <f t="shared" si="1"/>
        <v>"C:\Program Files (x86)\AstroGrep\AstroGrep.exe" /spath="%USERPROFILE%\AppData\Local\Temp\OnboardLogs" /stypes="*4041*201610071*" /stext=" 14:.+((SYSTEM_STATE.+slice.+state.+changed )|(ment ac)|(system.+state.+changed )|(\[timeout)|(PRM\|1\|D)|(kpr)|(kdp)|(\|lc)|(penalty))" /e /r /s</v>
      </c>
      <c r="U19" s="9" t="str">
        <f t="shared" si="2"/>
        <v>4041</v>
      </c>
      <c r="V19" s="38">
        <f t="shared" si="3"/>
        <v>42650.59747685185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ID","value":"126-07"},{"id":16,"name":"Locomotive ID","value":"4041"},{"id":130,"name":"Impact","value":""},{"id":150,"name":"Time of Event (Mountain Time)","value":"08:20:22"},{"id":151,"name":"Denver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"%USERPROFILE%\AppData\Local\Temp\OnboardLogs"\RTDC4041\*4041*201610071* | grep -SE "((Enforcement Ac)|(PRM))" -</v>
      </c>
    </row>
    <row r="20" spans="1:29" x14ac:dyDescent="0.25">
      <c r="A20" s="38">
        <v>42650.357905092591</v>
      </c>
      <c r="B20" s="33" t="s">
        <v>759</v>
      </c>
      <c r="C20" s="33" t="s">
        <v>410</v>
      </c>
      <c r="D20" s="33" t="s">
        <v>49</v>
      </c>
      <c r="E20" s="33" t="s">
        <v>50</v>
      </c>
      <c r="F20" s="49">
        <v>0</v>
      </c>
      <c r="G20" s="49">
        <v>36</v>
      </c>
      <c r="H20" s="49">
        <v>125</v>
      </c>
      <c r="I20" s="49">
        <v>116</v>
      </c>
      <c r="J20" s="33" t="s">
        <v>51</v>
      </c>
      <c r="K20" s="49">
        <v>1</v>
      </c>
      <c r="L20" s="146" t="s">
        <v>53</v>
      </c>
      <c r="M20" s="149">
        <f t="shared" si="0"/>
        <v>60.72</v>
      </c>
      <c r="N20" s="88" t="str">
        <f>VLOOKUP(C20,'Trips&amp;Operators'!$C$1:$E$99999,3,FALSE)</f>
        <v>MAELZER</v>
      </c>
      <c r="O20" s="170" t="s">
        <v>86</v>
      </c>
      <c r="P20" s="10"/>
      <c r="Q20" s="33"/>
      <c r="R20" s="104" t="str">
        <f>VLOOKUP(C20,'Train Runs'!$A$13:$AE$10008,31,0)</f>
        <v>aws s3 cp s3://rtdc.mdm.uploadarchive.raw/RTDC4037/ "%USERPROFILE%\AppData\Local\Temp\OnboardLogs"\RTDC4037\2016-10-07 --exclude "*" --recursive --include "*20161007*" &amp; "%USERPROFILE%\Documents\GitHub\mrs-test-scripts\Headless Mode &amp; Sideloading\WalkAndUnGZ.bat" "%USERPROFILE%\AppData\Local\Temp\OnboardLogs"\RTDC4037\2016-10-07 &amp; aws s3 cp s3://rtdc.mdm.uploadarchive.raw/RTDC4037/ "%USERPROFILE%\AppData\Local\Temp\OnboardLogs"\RTDC4037\2016-10-08 --exclude "*" --recursive --include "*20161008*" &amp; "%USERPROFILE%\Documents\GitHub\mrs-test-scripts\Headless Mode &amp; Sideloading\WalkAndUnGZ.bat" "%USERPROFILE%\AppData\Local\Temp\OnboardLogs"\RTDC4037\2016-10-08</v>
      </c>
      <c r="S20" s="107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https://search-rtdc-monitor-bjffxe2xuh6vdkpspy63sjmuny.us-east-1.es.amazonaws.com/_plugin/kibana/#/discover/Steve-Slow-Train-Analysis-(2080s-and-2083s)?_g=(refreshInterval:(display:Off,section:0,value:0),time:(from:'2016-10-07 06:44:50-0600',mode:absolute,to:'2016-10-07 09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0" s="109" t="str">
        <f t="shared" si="1"/>
        <v>"C:\Program Files (x86)\AstroGrep\AstroGrep.exe" /spath="%USERPROFILE%\AppData\Local\Temp\OnboardLogs" /stypes="*4037*201610071*" /stext=" 14:.+((SYSTEM_STATE.+slice.+state.+changed )|(ment ac)|(system.+state.+changed )|(\[timeout)|(PRM\|1\|D)|(kpr)|(kdp)|(\|lc)|(penalty))" /e /r /s</v>
      </c>
      <c r="U20" s="9" t="str">
        <f t="shared" si="2"/>
        <v>4037</v>
      </c>
      <c r="V20" s="38">
        <f t="shared" si="3"/>
        <v>42650.607905092591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ID","value":"128-07"},{"id":16,"name":"Locomotive ID","value":"4037"},{"id":130,"name":"Impact","value":""},{"id":150,"name":"Time of Event (Mountain Time)","value":"08:35:23"},{"id":151,"name":"Denver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"%USERPROFILE%\AppData\Local\Temp\OnboardLogs"\RTDC4037\*4037*201610071* | grep -SE "((Enforcement Ac)|(PRM))" -</v>
      </c>
    </row>
    <row r="21" spans="1:29" s="1" customFormat="1" x14ac:dyDescent="0.25">
      <c r="A21" s="38">
        <v>42650.367592592593</v>
      </c>
      <c r="B21" s="33" t="s">
        <v>247</v>
      </c>
      <c r="C21" s="33" t="s">
        <v>413</v>
      </c>
      <c r="D21" s="33" t="s">
        <v>49</v>
      </c>
      <c r="E21" s="33" t="s">
        <v>50</v>
      </c>
      <c r="F21" s="49">
        <v>0</v>
      </c>
      <c r="G21" s="49">
        <v>39</v>
      </c>
      <c r="H21" s="49">
        <v>132</v>
      </c>
      <c r="I21" s="49">
        <v>114</v>
      </c>
      <c r="J21" s="33" t="s">
        <v>51</v>
      </c>
      <c r="K21" s="49">
        <v>1</v>
      </c>
      <c r="L21" s="146" t="s">
        <v>53</v>
      </c>
      <c r="M21" s="149">
        <f t="shared" si="0"/>
        <v>59.664000000000001</v>
      </c>
      <c r="N21" s="88" t="str">
        <f>VLOOKUP(C21,'Trips&amp;Operators'!$C$1:$E$99999,3,FALSE)</f>
        <v>ROCHA</v>
      </c>
      <c r="O21" s="170" t="s">
        <v>86</v>
      </c>
      <c r="P21" s="10"/>
      <c r="Q21" s="33"/>
      <c r="R21" s="104" t="str">
        <f>VLOOKUP(C21,'Train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21" s="107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https://search-rtdc-monitor-bjffxe2xuh6vdkpspy63sjmuny.us-east-1.es.amazonaws.com/_plugin/kibana/#/discover/Steve-Slow-Train-Analysis-(2080s-and-2083s)?_g=(refreshInterval:(display:Off,section:0,value:0),time:(from:'2016-10-07 07:07:32-0600',mode:absolute,to:'2016-10-07 09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1" s="109" t="str">
        <f t="shared" si="1"/>
        <v>"C:\Program Files (x86)\AstroGrep\AstroGrep.exe" /spath="%USERPROFILE%\AppData\Local\Temp\OnboardLogs" /stypes="*4004*201610071*" /stext=" 14:.+((SYSTEM_STATE.+slice.+state.+changed )|(ment ac)|(system.+state.+changed )|(\[timeout)|(PRM\|1\|D)|(kpr)|(kdp)|(\|lc)|(penalty))" /e /r /s</v>
      </c>
      <c r="U21" s="9" t="str">
        <f t="shared" si="2"/>
        <v>4004</v>
      </c>
      <c r="V21" s="38">
        <f t="shared" si="3"/>
        <v>42650.617592592593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ID","value":"130-07"},{"id":16,"name":"Locomotive ID","value":"4004"},{"id":130,"name":"Impact","value":""},{"id":150,"name":"Time of Event (Mountain Time)","value":"08:49:20"},{"id":151,"name":"Denver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"%USERPROFILE%\AppData\Local\Temp\OnboardLogs"\RTDC4004\*4004*201610071* | grep -SE "((Enforcement Ac)|(PRM))" -</v>
      </c>
    </row>
    <row r="22" spans="1:29" x14ac:dyDescent="0.25">
      <c r="A22" s="38">
        <v>42650.483124999999</v>
      </c>
      <c r="B22" s="33" t="s">
        <v>267</v>
      </c>
      <c r="C22" s="33" t="s">
        <v>444</v>
      </c>
      <c r="D22" s="33" t="s">
        <v>49</v>
      </c>
      <c r="E22" s="33" t="s">
        <v>50</v>
      </c>
      <c r="F22" s="49">
        <v>0</v>
      </c>
      <c r="G22" s="49">
        <v>51</v>
      </c>
      <c r="H22" s="49">
        <v>211</v>
      </c>
      <c r="I22" s="49">
        <v>152</v>
      </c>
      <c r="J22" s="33" t="s">
        <v>51</v>
      </c>
      <c r="K22" s="49">
        <v>1</v>
      </c>
      <c r="L22" s="146" t="s">
        <v>53</v>
      </c>
      <c r="M22" s="149">
        <f t="shared" si="0"/>
        <v>79.727999999999994</v>
      </c>
      <c r="N22" s="88" t="str">
        <f>VLOOKUP(C22,'Trips&amp;Operators'!$C$1:$E$99999,3,FALSE)</f>
        <v>GEBRETEKLE</v>
      </c>
      <c r="O22" s="170" t="s">
        <v>86</v>
      </c>
      <c r="P22" s="10"/>
      <c r="Q22" s="33"/>
      <c r="R22" s="104" t="str">
        <f>VLOOKUP(C22,'Train Runs'!$A$13:$AE$10008,31,0)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S22" s="107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https://search-rtdc-monitor-bjffxe2xuh6vdkpspy63sjmuny.us-east-1.es.amazonaws.com/_plugin/kibana/#/discover/Steve-Slow-Train-Analysis-(2080s-and-2083s)?_g=(refreshInterval:(display:Off,section:0,value:0),time:(from:'2016-10-07 09:48:06-0600',mode:absolute,to:'2016-10-07 12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2" s="109" t="str">
        <f t="shared" si="1"/>
        <v>"C:\Program Files (x86)\AstroGrep\AstroGrep.exe" /spath="%USERPROFILE%\AppData\Local\Temp\OnboardLogs" /stypes="*4008*201610071*" /stext=" 17:.+((SYSTEM_STATE.+slice.+state.+changed )|(ment ac)|(system.+state.+changed )|(\[timeout)|(PRM\|1\|D)|(kpr)|(kdp)|(\|lc)|(penalty))" /e /r /s</v>
      </c>
      <c r="U22" s="9" t="str">
        <f t="shared" si="2"/>
        <v>4008</v>
      </c>
      <c r="V22" s="38">
        <f t="shared" si="3"/>
        <v>42650.733124999999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ID","value":"152-07"},{"id":16,"name":"Locomotive ID","value":"4008"},{"id":130,"name":"Impact","value":""},{"id":150,"name":"Time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"%USERPROFILE%\AppData\Local\Temp\OnboardLogs"\RTDC4008\*4008*201610071* | grep -SE "((Enforcement Ac)|(PRM))" -</v>
      </c>
    </row>
    <row r="23" spans="1:29" x14ac:dyDescent="0.25">
      <c r="A23" s="38">
        <v>42650.525300925925</v>
      </c>
      <c r="B23" s="33" t="s">
        <v>219</v>
      </c>
      <c r="C23" s="33" t="s">
        <v>456</v>
      </c>
      <c r="D23" s="33" t="s">
        <v>49</v>
      </c>
      <c r="E23" s="33" t="s">
        <v>50</v>
      </c>
      <c r="F23" s="49">
        <v>0</v>
      </c>
      <c r="G23" s="49">
        <v>144</v>
      </c>
      <c r="H23" s="49">
        <v>673</v>
      </c>
      <c r="I23" s="49">
        <v>533</v>
      </c>
      <c r="J23" s="33" t="s">
        <v>51</v>
      </c>
      <c r="K23" s="49">
        <v>1</v>
      </c>
      <c r="L23" s="146" t="s">
        <v>53</v>
      </c>
      <c r="M23" s="149">
        <f t="shared" si="0"/>
        <v>280.89600000000002</v>
      </c>
      <c r="N23" s="88" t="str">
        <f>VLOOKUP(C23,'Trips&amp;Operators'!$C$1:$E$99999,3,FALSE)</f>
        <v>STEWART</v>
      </c>
      <c r="O23" s="170" t="s">
        <v>86</v>
      </c>
      <c r="P23" s="10"/>
      <c r="Q23" s="33"/>
      <c r="R23" s="104" t="str">
        <f>VLOOKUP(C23,'Train Runs'!$A$13:$AE$10008,31,0)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S23" s="107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https://search-rtdc-monitor-bjffxe2xuh6vdkpspy63sjmuny.us-east-1.es.amazonaws.com/_plugin/kibana/#/discover/Steve-Slow-Train-Analysis-(2080s-and-2083s)?_g=(refreshInterval:(display:Off,section:0,value:0),time:(from:'2016-10-07 10:51:15-0600',mode:absolute,to:'2016-10-07 13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3" s="109" t="str">
        <f t="shared" si="1"/>
        <v>"C:\Program Files (x86)\AstroGrep\AstroGrep.exe" /spath="%USERPROFILE%\AppData\Local\Temp\OnboardLogs" /stypes="*4017*201610071*" /stext=" 18:.+((SYSTEM_STATE.+slice.+state.+changed )|(ment ac)|(system.+state.+changed )|(\[timeout)|(PRM\|1\|D)|(kpr)|(kdp)|(\|lc)|(penalty))" /e /r /s</v>
      </c>
      <c r="U23" s="9" t="str">
        <f t="shared" si="2"/>
        <v>4017</v>
      </c>
      <c r="V23" s="38">
        <f t="shared" si="3"/>
        <v>42650.775300925925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ID","value":"160-07"},{"id":16,"name":"Locomotive ID","value":"4017"},{"id":130,"name":"Impact","value":""},{"id":150,"name":"Time of Event (Mountain Time)","value":"12:36:26"},{"id":151,"name":"Denver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"%USERPROFILE%\AppData\Local\Temp\OnboardLogs"\RTDC4017\*4017*201610071* | grep -SE "((Enforcement Ac)|(PRM))" -</v>
      </c>
    </row>
    <row r="24" spans="1:29" x14ac:dyDescent="0.25">
      <c r="A24" s="38">
        <v>42650.525879629633</v>
      </c>
      <c r="B24" s="33" t="s">
        <v>219</v>
      </c>
      <c r="C24" s="33" t="s">
        <v>456</v>
      </c>
      <c r="D24" s="33" t="s">
        <v>49</v>
      </c>
      <c r="E24" s="33" t="s">
        <v>50</v>
      </c>
      <c r="F24" s="49">
        <v>0</v>
      </c>
      <c r="G24" s="49">
        <v>68</v>
      </c>
      <c r="H24" s="49">
        <v>263</v>
      </c>
      <c r="I24" s="49">
        <v>205</v>
      </c>
      <c r="J24" s="33" t="s">
        <v>51</v>
      </c>
      <c r="K24" s="49">
        <v>1</v>
      </c>
      <c r="L24" s="146" t="s">
        <v>53</v>
      </c>
      <c r="M24" s="149">
        <f t="shared" si="0"/>
        <v>107.712</v>
      </c>
      <c r="N24" s="88" t="str">
        <f>VLOOKUP(C24,'Trips&amp;Operators'!$C$1:$E$99999,3,FALSE)</f>
        <v>STEWART</v>
      </c>
      <c r="O24" s="170" t="s">
        <v>86</v>
      </c>
      <c r="P24" s="10"/>
      <c r="Q24" s="33"/>
      <c r="R24" s="104" t="str">
        <f>VLOOKUP(C24,'Train Runs'!$A$13:$AE$10008,31,0)</f>
        <v>aws s3 cp s3://rtdc.mdm.uploadarchive.raw/RTDC4017/ "%USERPROFILE%\AppData\Local\Temp\OnboardLogs"\RTDC4017\2016-10-07 --exclude "*" --recursive --include "*20161007*" &amp; "%USERPROFILE%\Documents\GitHub\mrs-test-scripts\Headless Mode &amp; Sideloading\WalkAndUnGZ.bat" "%USERPROFILE%\AppData\Local\Temp\OnboardLogs"\RTDC4017\2016-10-07 &amp; aws s3 cp s3://rtdc.mdm.uploadarchive.raw/RTDC4017/ "%USERPROFILE%\AppData\Local\Temp\OnboardLogs"\RTDC4017\2016-10-08 --exclude "*" --recursive --include "*20161008*" &amp; "%USERPROFILE%\Documents\GitHub\mrs-test-scripts\Headless Mode &amp; Sideloading\WalkAndUnGZ.bat" "%USERPROFILE%\AppData\Local\Temp\OnboardLogs"\RTDC4017\2016-10-08</v>
      </c>
      <c r="S24" s="107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https://search-rtdc-monitor-bjffxe2xuh6vdkpspy63sjmuny.us-east-1.es.amazonaws.com/_plugin/kibana/#/discover/Steve-Slow-Train-Analysis-(2080s-and-2083s)?_g=(refreshInterval:(display:Off,section:0,value:0),time:(from:'2016-10-07 10:51:15-0600',mode:absolute,to:'2016-10-07 13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4" s="109" t="str">
        <f t="shared" si="1"/>
        <v>"C:\Program Files (x86)\AstroGrep\AstroGrep.exe" /spath="%USERPROFILE%\AppData\Local\Temp\OnboardLogs" /stypes="*4017*201610071*" /stext=" 18:.+((SYSTEM_STATE.+slice.+state.+changed )|(ment ac)|(system.+state.+changed )|(\[timeout)|(PRM\|1\|D)|(kpr)|(kdp)|(\|lc)|(penalty))" /e /r /s</v>
      </c>
      <c r="U24" s="9" t="str">
        <f t="shared" si="2"/>
        <v>4017</v>
      </c>
      <c r="V24" s="38">
        <f t="shared" si="3"/>
        <v>42650.775879629633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ID","value":"160-07"},{"id":16,"name":"Locomotive ID","value":"4017"},{"id":130,"name":"Impact","value":""},{"id":150,"name":"Time of Event (Mountain Time)","value":"12:37:16"},{"id":151,"name":"Denver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"%USERPROFILE%\AppData\Local\Temp\OnboardLogs"\RTDC4017\*4017*201610071* | grep -SE "((Enforcement Ac)|(PRM))" -</v>
      </c>
    </row>
    <row r="25" spans="1:29" ht="15" customHeight="1" x14ac:dyDescent="0.25">
      <c r="A25" s="38">
        <v>42650.587013888886</v>
      </c>
      <c r="B25" s="33" t="s">
        <v>247</v>
      </c>
      <c r="C25" s="33" t="s">
        <v>476</v>
      </c>
      <c r="D25" s="33" t="s">
        <v>49</v>
      </c>
      <c r="E25" s="33" t="s">
        <v>50</v>
      </c>
      <c r="F25" s="49">
        <v>0</v>
      </c>
      <c r="G25" s="49">
        <v>69</v>
      </c>
      <c r="H25" s="49">
        <v>247</v>
      </c>
      <c r="I25" s="49">
        <v>165</v>
      </c>
      <c r="J25" s="33" t="s">
        <v>51</v>
      </c>
      <c r="K25" s="49">
        <v>1</v>
      </c>
      <c r="L25" s="146" t="s">
        <v>53</v>
      </c>
      <c r="M25" s="149">
        <f t="shared" si="0"/>
        <v>86.592000000000013</v>
      </c>
      <c r="N25" s="88" t="str">
        <f>VLOOKUP(C25,'Trips&amp;Operators'!$C$1:$E$99999,3,FALSE)</f>
        <v>STORY</v>
      </c>
      <c r="O25" s="170" t="s">
        <v>86</v>
      </c>
      <c r="P25" s="10"/>
      <c r="Q25" s="33"/>
      <c r="R25" s="104" t="str">
        <f>VLOOKUP(C25,'Train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25" s="107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https://search-rtdc-monitor-bjffxe2xuh6vdkpspy63sjmuny.us-east-1.es.amazonaws.com/_plugin/kibana/#/discover/Steve-Slow-Train-Analysis-(2080s-and-2083s)?_g=(refreshInterval:(display:Off,section:0,value:0),time:(from:'2016-10-07 12:22:21-0600',mode:absolute,to:'2016-10-07 15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5" s="109" t="str">
        <f t="shared" si="1"/>
        <v>"C:\Program Files (x86)\AstroGrep\AstroGrep.exe" /spath="%USERPROFILE%\AppData\Local\Temp\OnboardLogs" /stypes="*4004*201610072*" /stext=" 20:.+((SYSTEM_STATE.+slice.+state.+changed )|(ment ac)|(system.+state.+changed )|(\[timeout)|(PRM\|1\|D)|(kpr)|(kdp)|(\|lc)|(penalty))" /e /r /s</v>
      </c>
      <c r="U25" s="9" t="str">
        <f t="shared" si="2"/>
        <v>4004</v>
      </c>
      <c r="V25" s="38">
        <f t="shared" si="3"/>
        <v>42650.837013888886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ID","value":"172-07"},{"id":16,"name":"Locomotive ID","value":"4004"},{"id":130,"name":"Impact","value":""},{"id":150,"name":"Time of Event (Mountain Time)","value":"14:05:18"},{"id":151,"name":"Denver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"%USERPROFILE%\AppData\Local\Temp\OnboardLogs"\RTDC4004\*4004*201610072* | grep -SE "((Enforcement Ac)|(PRM))" -</v>
      </c>
    </row>
    <row r="26" spans="1:29" x14ac:dyDescent="0.25">
      <c r="A26" s="38">
        <v>42650.692719907405</v>
      </c>
      <c r="B26" s="33" t="s">
        <v>761</v>
      </c>
      <c r="C26" s="33" t="s">
        <v>511</v>
      </c>
      <c r="D26" s="33" t="s">
        <v>49</v>
      </c>
      <c r="E26" s="33" t="s">
        <v>50</v>
      </c>
      <c r="F26" s="49">
        <v>0</v>
      </c>
      <c r="G26" s="49">
        <v>50</v>
      </c>
      <c r="H26" s="49">
        <v>161</v>
      </c>
      <c r="I26" s="49">
        <v>127</v>
      </c>
      <c r="J26" s="33" t="s">
        <v>51</v>
      </c>
      <c r="K26" s="49">
        <v>1</v>
      </c>
      <c r="L26" s="146" t="s">
        <v>53</v>
      </c>
      <c r="M26" s="149">
        <f t="shared" si="0"/>
        <v>66.528000000000006</v>
      </c>
      <c r="N26" s="88" t="str">
        <f>VLOOKUP(C26,'Trips&amp;Operators'!$C$1:$E$99999,3,FALSE)</f>
        <v>BONDS</v>
      </c>
      <c r="O26" s="170" t="s">
        <v>86</v>
      </c>
      <c r="P26" s="10"/>
      <c r="Q26" s="33"/>
      <c r="R26" s="104" t="str">
        <f>VLOOKUP(C26,'Train Runs'!$A$13:$AE$10008,31,0)</f>
        <v>aws s3 cp s3://rtdc.mdm.uploadarchive.raw/RTDC4019/ "%USERPROFILE%\AppData\Local\Temp\OnboardLogs"\RTDC4019\2016-10-07 --exclude "*" --recursive --include "*20161007*" &amp; "%USERPROFILE%\Documents\GitHub\mrs-test-scripts\Headless Mode &amp; Sideloading\WalkAndUnGZ.bat" "%USERPROFILE%\AppData\Local\Temp\OnboardLogs"\RTDC4019\2016-10-07 &amp; aws s3 cp s3://rtdc.mdm.uploadarchive.raw/RTDC4019/ "%USERPROFILE%\AppData\Local\Temp\OnboardLogs"\RTDC4019\2016-10-08 --exclude "*" --recursive --include "*20161008*" &amp; "%USERPROFILE%\Documents\GitHub\mrs-test-scripts\Headless Mode &amp; Sideloading\WalkAndUnGZ.bat" "%USERPROFILE%\AppData\Local\Temp\OnboardLogs"\RTDC4019\2016-10-08</v>
      </c>
      <c r="S26" s="107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https://search-rtdc-monitor-bjffxe2xuh6vdkpspy63sjmuny.us-east-1.es.amazonaws.com/_plugin/kibana/#/discover/Steve-Slow-Train-Analysis-(2080s-and-2083s)?_g=(refreshInterval:(display:Off,section:0,value:0),time:(from:'2016-10-07 14:41:34-0600',mode:absolute,to:'2016-10-07 17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6" s="109" t="str">
        <f t="shared" si="1"/>
        <v>"C:\Program Files (x86)\AstroGrep\AstroGrep.exe" /spath="%USERPROFILE%\AppData\Local\Temp\OnboardLogs" /stypes="*4019*201610072*" /stext=" 22:.+((SYSTEM_STATE.+slice.+state.+changed )|(ment ac)|(system.+state.+changed )|(\[timeout)|(PRM\|1\|D)|(kpr)|(kdp)|(\|lc)|(penalty))" /e /r /s</v>
      </c>
      <c r="U26" s="9" t="str">
        <f t="shared" si="2"/>
        <v>4019</v>
      </c>
      <c r="V26" s="38">
        <f t="shared" si="3"/>
        <v>42650.942719907405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ID","value":"192-07"},{"id":16,"name":"Locomotive ID","value":"4019"},{"id":130,"name":"Impact","value":""},{"id":150,"name":"Time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"%USERPROFILE%\AppData\Local\Temp\OnboardLogs"\RTDC4019\*4019*201610072* | grep -SE "((Enforcement Ac)|(PRM))" -</v>
      </c>
    </row>
    <row r="27" spans="1:29" x14ac:dyDescent="0.25">
      <c r="A27" s="38">
        <v>42650.775717592594</v>
      </c>
      <c r="B27" s="33" t="s">
        <v>267</v>
      </c>
      <c r="C27" s="33" t="s">
        <v>534</v>
      </c>
      <c r="D27" s="33" t="s">
        <v>49</v>
      </c>
      <c r="E27" s="33" t="s">
        <v>50</v>
      </c>
      <c r="F27" s="49">
        <v>0</v>
      </c>
      <c r="G27" s="49">
        <v>54</v>
      </c>
      <c r="H27" s="49">
        <v>191</v>
      </c>
      <c r="I27" s="49">
        <v>138</v>
      </c>
      <c r="J27" s="33" t="s">
        <v>51</v>
      </c>
      <c r="K27" s="49">
        <v>1</v>
      </c>
      <c r="L27" s="146" t="s">
        <v>53</v>
      </c>
      <c r="M27" s="149">
        <f t="shared" si="0"/>
        <v>72.335999999999999</v>
      </c>
      <c r="N27" s="88" t="str">
        <f>VLOOKUP(C27,'Trips&amp;Operators'!$C$1:$E$99999,3,FALSE)</f>
        <v>MOSES</v>
      </c>
      <c r="O27" s="170" t="s">
        <v>86</v>
      </c>
      <c r="P27" s="10"/>
      <c r="Q27" s="33"/>
      <c r="R27" s="104" t="str">
        <f>VLOOKUP(C27,'Train Runs'!$A$13:$AE$10008,31,0)</f>
        <v>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 &amp; aws s3 cp s3://rtdc.mdm.uploadarchive.raw/RTDC4008/ "%USERPROFILE%\AppData\Local\Temp\OnboardLogs"\RTDC4008\2016-10-08 --exclude "*" --recursive --include "*20161008*" &amp; "%USERPROFILE%\Documents\GitHub\mrs-test-scripts\Headless Mode &amp; Sideloading\WalkAndUnGZ.bat" "%USERPROFILE%\AppData\Local\Temp\OnboardLogs"\RTDC4008\2016-10-08</v>
      </c>
      <c r="S27" s="107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https://search-rtdc-monitor-bjffxe2xuh6vdkpspy63sjmuny.us-east-1.es.amazonaws.com/_plugin/kibana/#/discover/Steve-Slow-Train-Analysis-(2080s-and-2083s)?_g=(refreshInterval:(display:Off,section:0,value:0),time:(from:'2016-10-07 16:48:59-0600',mode:absolute,to:'2016-10-07 19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7" s="109" t="str">
        <f t="shared" si="1"/>
        <v>"C:\Program Files (x86)\AstroGrep\AstroGrep.exe" /spath="%USERPROFILE%\AppData\Local\Temp\OnboardLogs" /stypes="*4008*201610080*" /stext=" 00:.+((SYSTEM_STATE.+slice.+state.+changed )|(ment ac)|(system.+state.+changed )|(\[timeout)|(PRM\|1\|D)|(kpr)|(kdp)|(\|lc)|(penalty))" /e /r /s</v>
      </c>
      <c r="U27" s="9" t="str">
        <f t="shared" si="2"/>
        <v>4008</v>
      </c>
      <c r="V27" s="38">
        <f t="shared" si="3"/>
        <v>42651.025717592594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ID","value":"208-07"},{"id":16,"name":"Locomotive ID","value":"4008"},{"id":130,"name":"Impact","value":""},{"id":150,"name":"Time of Event (Mountain Time)","value":"18:37:02"},{"id":151,"name":"Denver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"%USERPROFILE%\AppData\Local\Temp\OnboardLogs"\RTDC4008\*4008*201610080* | grep -SE "((Enforcement Ac)|(PRM))" -</v>
      </c>
    </row>
    <row r="28" spans="1:29" x14ac:dyDescent="0.25">
      <c r="A28" s="38">
        <v>42650.879571759258</v>
      </c>
      <c r="B28" s="33" t="s">
        <v>247</v>
      </c>
      <c r="C28" s="33" t="s">
        <v>562</v>
      </c>
      <c r="D28" s="33" t="s">
        <v>49</v>
      </c>
      <c r="E28" s="33" t="s">
        <v>50</v>
      </c>
      <c r="F28" s="49">
        <v>0</v>
      </c>
      <c r="G28" s="49">
        <v>49</v>
      </c>
      <c r="H28" s="49">
        <v>176</v>
      </c>
      <c r="I28" s="49">
        <v>136</v>
      </c>
      <c r="J28" s="33" t="s">
        <v>51</v>
      </c>
      <c r="K28" s="49">
        <v>1</v>
      </c>
      <c r="L28" s="146" t="s">
        <v>53</v>
      </c>
      <c r="M28" s="149">
        <f t="shared" si="0"/>
        <v>71.28</v>
      </c>
      <c r="N28" s="88" t="str">
        <f>VLOOKUP(C28,'Trips&amp;Operators'!$C$1:$E$99999,3,FALSE)</f>
        <v>YOUNG</v>
      </c>
      <c r="O28" s="170" t="s">
        <v>86</v>
      </c>
      <c r="P28" s="10"/>
      <c r="Q28" s="33"/>
      <c r="R28" s="104" t="str">
        <f>VLOOKUP(C28,'Train Runs'!$A$13:$AE$10008,31,0)</f>
        <v>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 &amp; aws s3 cp s3://rtdc.mdm.uploadarchive.raw/RTDC4004/ "%USERPROFILE%\AppData\Local\Temp\OnboardLogs"\RTDC4004\2016-10-08 --exclude "*" --recursive --include "*20161008*" &amp; "%USERPROFILE%\Documents\GitHub\mrs-test-scripts\Headless Mode &amp; Sideloading\WalkAndUnGZ.bat" "%USERPROFILE%\AppData\Local\Temp\OnboardLogs"\RTDC4004\2016-10-08</v>
      </c>
      <c r="S28" s="107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https://search-rtdc-monitor-bjffxe2xuh6vdkpspy63sjmuny.us-east-1.es.amazonaws.com/_plugin/kibana/#/discover/Steve-Slow-Train-Analysis-(2080s-and-2083s)?_g=(refreshInterval:(display:Off,section:0,value:0),time:(from:'2016-10-07 19:15:28-0600',mode:absolute,to:'2016-10-07 22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8" s="109" t="str">
        <f t="shared" si="1"/>
        <v>"C:\Program Files (x86)\AstroGrep\AstroGrep.exe" /spath="%USERPROFILE%\AppData\Local\Temp\OnboardLogs" /stypes="*4004*201610080*" /stext=" 03:.+((SYSTEM_STATE.+slice.+state.+changed )|(ment ac)|(system.+state.+changed )|(\[timeout)|(PRM\|1\|D)|(kpr)|(kdp)|(\|lc)|(penalty))" /e /r /s</v>
      </c>
      <c r="U28" s="9" t="str">
        <f t="shared" si="2"/>
        <v>4004</v>
      </c>
      <c r="V28" s="38">
        <f t="shared" si="3"/>
        <v>42651.129571759258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{"issue":{"subject":"","project_id":79,"tracker_id":40,"status_id":1,"priority_id":2,"assigned_to_id":23,"start_date":"2016-10-07","description":"","custom_fields":[{"id":1,"name":"Subdivision","value":"EC"},{"id":4,"name":"Milepost","value":"0.0001"},{"id":17,"name":"Train ID","value":"224-07"},{"id":16,"name":"Locomotive ID","value":"4004"},{"id":130,"name":"Impact","value":""},{"id":150,"name":"Time of Event (Mountain Time)","value":"21:06:35"},{"id":151,"name":"Denver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"%USERPROFILE%\AppData\Local\Temp\OnboardLogs"\RTDC4004\*4004*201610080* | grep -SE "((Enforcement Ac)|(PRM))" -</v>
      </c>
    </row>
    <row r="29" spans="1:29" x14ac:dyDescent="0.25">
      <c r="A29" s="38">
        <v>42650.744537037041</v>
      </c>
      <c r="B29" s="33" t="s">
        <v>762</v>
      </c>
      <c r="C29" s="33" t="s">
        <v>525</v>
      </c>
      <c r="D29" s="33" t="s">
        <v>49</v>
      </c>
      <c r="E29" s="33" t="s">
        <v>50</v>
      </c>
      <c r="F29" s="49">
        <v>0</v>
      </c>
      <c r="G29" s="49">
        <v>33</v>
      </c>
      <c r="H29" s="49">
        <v>937</v>
      </c>
      <c r="I29" s="49">
        <v>916</v>
      </c>
      <c r="J29" s="33" t="s">
        <v>51</v>
      </c>
      <c r="K29" s="49">
        <v>839</v>
      </c>
      <c r="L29" s="146" t="s">
        <v>53</v>
      </c>
      <c r="M29" s="149">
        <f t="shared" si="0"/>
        <v>40.655999999999999</v>
      </c>
      <c r="N29" s="88" t="str">
        <f>VLOOKUP(C29,'Trips&amp;Operators'!$C$1:$E$99999,3,FALSE)</f>
        <v>SWANSON</v>
      </c>
      <c r="O29" s="170" t="s">
        <v>86</v>
      </c>
      <c r="P29" s="10"/>
      <c r="Q29" s="33"/>
      <c r="R29" s="104" t="str">
        <f>VLOOKUP(C29,'Train Runs'!$A$13:$AE$10008,31,0)</f>
        <v>aws s3 cp s3://rtdc.mdm.uploadarchive.raw/RTDC4013/ "%USERPROFILE%\AppData\Local\Temp\OnboardLogs"\RTDC4013\2016-10-07 --exclude "*" --recursive --include "*20161007*" &amp; "%USERPROFILE%\Documents\GitHub\mrs-test-scripts\Headless Mode &amp; Sideloading\WalkAndUnGZ.bat" "%USERPROFILE%\AppData\Local\Temp\OnboardLogs"\RTDC4013\2016-10-07 &amp; aws s3 cp s3://rtdc.mdm.uploadarchive.raw/RTDC4013/ "%USERPROFILE%\AppData\Local\Temp\OnboardLogs"\RTDC4013\2016-10-08 --exclude "*" --recursive --include "*20161008*" &amp; "%USERPROFILE%\Documents\GitHub\mrs-test-scripts\Headless Mode &amp; Sideloading\WalkAndUnGZ.bat" "%USERPROFILE%\AppData\Local\Temp\OnboardLogs"\RTDC4013\2016-10-08</v>
      </c>
      <c r="S29" s="107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https://search-rtdc-monitor-bjffxe2xuh6vdkpspy63sjmuny.us-east-1.es.amazonaws.com/_plugin/kibana/#/discover/Steve-Slow-Train-Analysis-(2080s-and-2083s)?_g=(refreshInterval:(display:Off,section:0,value:0),time:(from:'2016-10-07 16:03:30-0600',mode:absolute,to:'2016-10-07 18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9" s="109" t="str">
        <f t="shared" si="1"/>
        <v>"C:\Program Files (x86)\AstroGrep\AstroGrep.exe" /spath="%USERPROFILE%\AppData\Local\Temp\OnboardLogs" /stypes="*4013*201610072*" /stext=" 23:.+((SYSTEM_STATE.+slice.+state.+changed )|(ment ac)|(system.+state.+changed )|(\[timeout)|(PRM\|1\|D)|(kpr)|(kdp)|(\|lc)|(penalty))" /e /r /s</v>
      </c>
      <c r="U29" s="9" t="str">
        <f t="shared" si="2"/>
        <v>4013</v>
      </c>
      <c r="V29" s="38">
        <f t="shared" si="3"/>
        <v>42650.994537037041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{"issue":{"subject":"","project_id":79,"tracker_id":40,"status_id":1,"priority_id":2,"assigned_to_id":23,"start_date":"2016-10-07","description":"","custom_fields":[{"id":1,"name":"Subdivision","value":"EC"},{"id":4,"name":"Milepost","value":"0.0839"},{"id":17,"name":"Train ID","value":"202-07"},{"id":16,"name":"Locomotive ID","value":"4013"},{"id":130,"name":"Impact","value":""},{"id":150,"name":"Time of Event (Mountain Time)","value":"17:52:08"},{"id":151,"name":"Denver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"%USERPROFILE%\AppData\Local\Temp\OnboardLogs"\RTDC4013\*4013*201610072* | grep -SE "((Enforcement Ac)|(PRM))" -</v>
      </c>
    </row>
    <row r="30" spans="1:29" x14ac:dyDescent="0.25">
      <c r="A30" s="38">
        <v>42650.784513888888</v>
      </c>
      <c r="B30" s="33" t="s">
        <v>169</v>
      </c>
      <c r="C30" s="33" t="s">
        <v>538</v>
      </c>
      <c r="D30" s="33" t="s">
        <v>49</v>
      </c>
      <c r="E30" s="33" t="s">
        <v>50</v>
      </c>
      <c r="F30" s="49">
        <v>0</v>
      </c>
      <c r="G30" s="49">
        <v>109</v>
      </c>
      <c r="H30" s="49">
        <v>1498</v>
      </c>
      <c r="I30" s="49">
        <v>1415</v>
      </c>
      <c r="J30" s="33" t="s">
        <v>51</v>
      </c>
      <c r="K30" s="49">
        <v>839</v>
      </c>
      <c r="L30" s="146" t="s">
        <v>53</v>
      </c>
      <c r="M30" s="149">
        <f t="shared" si="0"/>
        <v>304.12799999999999</v>
      </c>
      <c r="N30" s="88" t="str">
        <f>VLOOKUP(C30,'Trips&amp;Operators'!$C$1:$E$99999,3,FALSE)</f>
        <v>HILLS</v>
      </c>
      <c r="O30" s="170" t="s">
        <v>86</v>
      </c>
      <c r="P30" s="10"/>
      <c r="Q30" s="33"/>
      <c r="R30" s="104" t="str">
        <f>VLOOKUP(C30,'Train Runs'!$A$13:$AE$10008,31,0)</f>
        <v>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 &amp; aws s3 cp s3://rtdc.mdm.uploadarchive.raw/RTDC4041/ "%USERPROFILE%\AppData\Local\Temp\OnboardLogs"\RTDC4041\2016-10-08 --exclude "*" --recursive --include "*20161008*" &amp; "%USERPROFILE%\Documents\GitHub\mrs-test-scripts\Headless Mode &amp; Sideloading\WalkAndUnGZ.bat" "%USERPROFILE%\AppData\Local\Temp\OnboardLogs"\RTDC4041\2016-10-08</v>
      </c>
      <c r="S30" s="107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https://search-rtdc-monitor-bjffxe2xuh6vdkpspy63sjmuny.us-east-1.es.amazonaws.com/_plugin/kibana/#/discover/Steve-Slow-Train-Analysis-(2080s-and-2083s)?_g=(refreshInterval:(display:Off,section:0,value:0),time:(from:'2016-10-07 16:58:00-0600',mode:absolute,to:'2016-10-07 19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0" s="109" t="str">
        <f t="shared" si="1"/>
        <v>"C:\Program Files (x86)\AstroGrep\AstroGrep.exe" /spath="%USERPROFILE%\AppData\Local\Temp\OnboardLogs" /stypes="*4041*201610080*" /stext=" 00:.+((SYSTEM_STATE.+slice.+state.+changed )|(ment ac)|(system.+state.+changed )|(\[timeout)|(PRM\|1\|D)|(kpr)|(kdp)|(\|lc)|(penalty))" /e /r /s</v>
      </c>
      <c r="U30" s="9" t="str">
        <f t="shared" si="2"/>
        <v>4041</v>
      </c>
      <c r="V30" s="38">
        <f t="shared" si="3"/>
        <v>42651.034513888888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{"issue":{"subject":"","project_id":79,"tracker_id":40,"status_id":1,"priority_id":2,"assigned_to_id":23,"start_date":"2016-10-07","description":"","custom_fields":[{"id":1,"name":"Subdivision","value":"EC"},{"id":4,"name":"Milepost","value":"0.0839"},{"id":17,"name":"Train ID","value":"210-07"},{"id":16,"name":"Locomotive ID","value":"4041"},{"id":130,"name":"Impact","value":""},{"id":150,"name":"Time of Event (Mountain Time)","value":"18:49:42"},{"id":151,"name":"Denver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"%USERPROFILE%\AppData\Local\Temp\OnboardLogs"\RTDC4041\*4041*201610080* | grep -SE "((Enforcement Ac)|(PRM))" -</v>
      </c>
    </row>
    <row r="31" spans="1:29" ht="15" customHeight="1" x14ac:dyDescent="0.25">
      <c r="A31" s="38">
        <v>42650.359259259261</v>
      </c>
      <c r="B31" s="33" t="s">
        <v>760</v>
      </c>
      <c r="C31" s="33" t="s">
        <v>423</v>
      </c>
      <c r="D31" s="33" t="s">
        <v>49</v>
      </c>
      <c r="E31" s="33" t="s">
        <v>50</v>
      </c>
      <c r="F31" s="49">
        <v>0</v>
      </c>
      <c r="G31" s="49">
        <v>74</v>
      </c>
      <c r="H31" s="49">
        <v>233230</v>
      </c>
      <c r="I31" s="49">
        <v>233297</v>
      </c>
      <c r="J31" s="33" t="s">
        <v>51</v>
      </c>
      <c r="K31" s="49">
        <v>233491</v>
      </c>
      <c r="L31" s="146" t="s">
        <v>52</v>
      </c>
      <c r="M31" s="149">
        <f t="shared" si="0"/>
        <v>102.432</v>
      </c>
      <c r="N31" s="88" t="str">
        <f>VLOOKUP(C31,'Trips&amp;Operators'!$C$1:$E$99999,3,FALSE)</f>
        <v>BRANNON</v>
      </c>
      <c r="O31" s="170" t="s">
        <v>86</v>
      </c>
      <c r="P31" s="10"/>
      <c r="Q31" s="33"/>
      <c r="R31" s="104" t="str">
        <f>VLOOKUP(C31,'Train Runs'!$A$13:$AE$10008,31,0)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S31" s="107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https://search-rtdc-monitor-bjffxe2xuh6vdkpspy63sjmuny.us-east-1.es.amazonaws.com/_plugin/kibana/#/discover/Steve-Slow-Train-Analysis-(2080s-and-2083s)?_g=(refreshInterval:(display:Off,section:0,value:0),time:(from:'2016-10-07 06:52:42-0600',mode:absolute,to:'2016-10-07 09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1" s="109" t="str">
        <f t="shared" si="1"/>
        <v>"C:\Program Files (x86)\AstroGrep\AstroGrep.exe" /spath="%USERPROFILE%\AppData\Local\Temp\OnboardLogs" /stypes="*4020*201610071*" /stext=" 14:.+((SYSTEM_STATE.+slice.+state.+changed )|(ment ac)|(system.+state.+changed )|(\[timeout)|(PRM\|1\|D)|(kpr)|(kdp)|(\|lc)|(penalty))" /e /r /s</v>
      </c>
      <c r="U31" s="9" t="str">
        <f t="shared" si="2"/>
        <v>4020</v>
      </c>
      <c r="V31" s="38">
        <f t="shared" si="3"/>
        <v>42650.609259259261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{"issue":{"subject":"","project_id":79,"tracker_id":40,"status_id":1,"priority_id":2,"assigned_to_id":23,"start_date":"2016-10-07","description":"","custom_fields":[{"id":1,"name":"Subdivision","value":"EC"},{"id":4,"name":"Milepost","value":"23.3491"},{"id":17,"name":"Train ID","value":"135-07"},{"id":16,"name":"Locomotive ID","value":"4020"},{"id":130,"name":"Impact","value":""},{"id":150,"name":"Time of Event (Mountain Time)","value":"08:37:20"},{"id":151,"name":"Denver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"%USERPROFILE%\AppData\Local\Temp\OnboardLogs"\RTDC4020\*4020*201610071* | grep -SE "((Enforcement Ac)|(PRM))" -</v>
      </c>
    </row>
    <row r="32" spans="1:29" x14ac:dyDescent="0.25">
      <c r="A32" s="38">
        <v>42650.798877314817</v>
      </c>
      <c r="B32" s="33" t="s">
        <v>760</v>
      </c>
      <c r="C32" s="33" t="s">
        <v>555</v>
      </c>
      <c r="D32" s="33" t="s">
        <v>49</v>
      </c>
      <c r="E32" s="33" t="s">
        <v>50</v>
      </c>
      <c r="F32" s="49">
        <v>0</v>
      </c>
      <c r="G32" s="49">
        <v>118</v>
      </c>
      <c r="H32" s="49">
        <v>233019</v>
      </c>
      <c r="I32" s="49">
        <v>233163</v>
      </c>
      <c r="J32" s="33" t="s">
        <v>51</v>
      </c>
      <c r="K32" s="49">
        <v>233491</v>
      </c>
      <c r="L32" s="146" t="s">
        <v>52</v>
      </c>
      <c r="M32" s="149">
        <f t="shared" si="0"/>
        <v>173.18400000000003</v>
      </c>
      <c r="N32" s="88" t="str">
        <f>VLOOKUP(C32,'Trips&amp;Operators'!$C$1:$E$99999,3,FALSE)</f>
        <v>STURGEON</v>
      </c>
      <c r="O32" s="170" t="s">
        <v>86</v>
      </c>
      <c r="P32" s="10"/>
      <c r="Q32" s="33"/>
      <c r="R32" s="104" t="str">
        <f>VLOOKUP(C32,'Train Runs'!$A$13:$AE$10008,31,0)</f>
        <v>aws s3 cp s3://rtdc.mdm.uploadarchive.raw/RTDC4020/ "%USERPROFILE%\AppData\Local\Temp\OnboardLogs"\RTDC4020\2016-10-07 --exclude "*" --recursive --include "*20161007*" &amp; "%USERPROFILE%\Documents\GitHub\mrs-test-scripts\Headless Mode &amp; Sideloading\WalkAndUnGZ.bat" "%USERPROFILE%\AppData\Local\Temp\OnboardLogs"\RTDC4020\2016-10-07 &amp; aws s3 cp s3://rtdc.mdm.uploadarchive.raw/RTDC4020/ "%USERPROFILE%\AppData\Local\Temp\OnboardLogs"\RTDC4020\2016-10-08 --exclude "*" --recursive --include "*20161008*" &amp; "%USERPROFILE%\Documents\GitHub\mrs-test-scripts\Headless Mode &amp; Sideloading\WalkAndUnGZ.bat" "%USERPROFILE%\AppData\Local\Temp\OnboardLogs"\RTDC4020\2016-10-08</v>
      </c>
      <c r="S32" s="107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https://search-rtdc-monitor-bjffxe2xuh6vdkpspy63sjmuny.us-east-1.es.amazonaws.com/_plugin/kibana/#/discover/Steve-Slow-Train-Analysis-(2080s-and-2083s)?_g=(refreshInterval:(display:Off,section:0,value:0),time:(from:'2016-10-07 17:29:18-0600',mode:absolute,to:'2016-10-07 20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32" s="109" t="str">
        <f t="shared" si="1"/>
        <v>"C:\Program Files (x86)\AstroGrep\AstroGrep.exe" /spath="%USERPROFILE%\AppData\Local\Temp\OnboardLogs" /stypes="*4020*201610080*" /stext=" 01:.+((SYSTEM_STATE.+slice.+state.+changed )|(ment ac)|(system.+state.+changed )|(\[timeout)|(PRM\|1\|D)|(kpr)|(kdp)|(\|lc)|(penalty))" /e /r /s</v>
      </c>
      <c r="U32" s="9" t="str">
        <f t="shared" si="2"/>
        <v>4020</v>
      </c>
      <c r="V32" s="38">
        <f t="shared" si="3"/>
        <v>42651.048877314817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{"issue":{"subject":"","project_id":79,"tracker_id":40,"status_id":1,"priority_id":2,"assigned_to_id":23,"start_date":"2016-10-07","description":"","custom_fields":[{"id":1,"name":"Subdivision","value":"EC"},{"id":4,"name":"Milepost","value":"23.3491"},{"id":17,"name":"Train ID","value":"219-07"},{"id":16,"name":"Locomotive ID","value":"4020"},{"id":130,"name":"Impact","value":""},{"id":150,"name":"Time of Event (Mountain Time)","value":"19:10:23"},{"id":151,"name":"Denver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"%USERPROFILE%\AppData\Local\Temp\OnboardLogs"\RTDC4020\*4020*201610080* | grep -SE "((Enforcement Ac)|(PRM))" -</v>
      </c>
    </row>
    <row r="33" spans="1:29" ht="15" customHeight="1" x14ac:dyDescent="0.25">
      <c r="A33" s="38">
        <v>42650.24863425926</v>
      </c>
      <c r="B33" s="33" t="s">
        <v>240</v>
      </c>
      <c r="C33" s="33" t="s">
        <v>651</v>
      </c>
      <c r="D33" s="33" t="s">
        <v>49</v>
      </c>
      <c r="E33" s="33" t="s">
        <v>56</v>
      </c>
      <c r="F33" s="49">
        <v>300</v>
      </c>
      <c r="G33" s="49">
        <v>354</v>
      </c>
      <c r="H33" s="49">
        <v>20218</v>
      </c>
      <c r="I33" s="49">
        <v>21236</v>
      </c>
      <c r="J33" s="33" t="s">
        <v>57</v>
      </c>
      <c r="K33" s="49">
        <v>21299</v>
      </c>
      <c r="L33" s="146" t="s">
        <v>52</v>
      </c>
      <c r="M33" s="149">
        <f t="shared" si="0"/>
        <v>33.264000000000003</v>
      </c>
      <c r="N33" s="88" t="str">
        <f>VLOOKUP(C33,'Trips&amp;Operators'!$C$1:$E$99999,3,FALSE)</f>
        <v>STRICKLAND</v>
      </c>
      <c r="O33" s="170" t="s">
        <v>86</v>
      </c>
      <c r="P33" s="10"/>
      <c r="Q33" s="33"/>
      <c r="R33" s="104" t="str">
        <f>VLOOKUP(C33,'Train Runs'!$A$13:$AE$10008,31,0)</f>
        <v>aws s3 cp s3://rtdc.mdm.uploadarchive.raw/RTDC4053/ "%USERPROFILE%\AppData\Local\Temp\OnboardLogs"\RTDC4053\2016-10-07 --exclude "*" --recursive --include "*20161007*" &amp; "%USERPROFILE%\Documents\GitHub\mrs-test-scripts\Headless Mode &amp; Sideloading\WalkAndUnGZ.bat" "%USERPROFILE%\AppData\Local\Temp\OnboardLogs"\RTDC4053\2016-10-07 &amp; aws s3 cp s3://rtdc.mdm.uploadarchive.raw/RTDC4053/ "%USERPROFILE%\AppData\Local\Temp\OnboardLogs"\RTDC4053\2016-10-08 --exclude "*" --recursive --include "*20161008*" &amp; "%USERPROFILE%\Documents\GitHub\mrs-test-scripts\Headless Mode &amp; Sideloading\WalkAndUnGZ.bat" "%USERPROFILE%\AppData\Local\Temp\OnboardLogs"\RTDC4053\2016-10-08</v>
      </c>
      <c r="S33" s="107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https://search-rtdc-monitor-bjffxe2xuh6vdkpspy63sjmuny.us-east-1.es.amazonaws.com/_plugin/kibana/#/discover/Steve-Slow-Train-Analysis-(2080s-and-2083s)?_g=(refreshInterval:(display:Off,section:0,value:0),time:(from:'2016-10-07 04:39:23-0600',mode:absolute,to:'2016-10-07 07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3" s="109" t="str">
        <f t="shared" si="1"/>
        <v>"C:\Program Files (x86)\AstroGrep\AstroGrep.exe" /spath="%USERPROFILE%\AppData\Local\Temp\OnboardLogs" /stypes="*4053*201610071*" /stext=" 11:.+((SYSTEM_STATE.+slice.+state.+changed )|(ment ac)|(system.+state.+changed )|(\[timeout)|(PRM\|1\|D)|(kpr)|(kdp)|(\|lc)|(penalty))" /e /r /s</v>
      </c>
      <c r="U33" s="9" t="str">
        <f t="shared" si="2"/>
        <v>4053</v>
      </c>
      <c r="V33" s="38">
        <f t="shared" si="3"/>
        <v>42650.49863425926</v>
      </c>
      <c r="W33" s="52" t="str">
        <f t="shared" si="4"/>
        <v>NW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{"issue":{"subject":"","project_id":79,"tracker_id":40,"status_id":1,"priority_id":2,"assigned_to_id":23,"start_date":"2016-10-07","description":"","custom_fields":[{"id":1,"name":"Subdivision","value":"NW"},{"id":4,"name":"Milepost","value":"2.1299"},{"id":17,"name":"Train ID","value":"801-07"},{"id":16,"name":"Locomotive ID","value":"4053"},{"id":130,"name":"Impact","value":""},{"id":150,"name":"Time of Event (Mountain Time)","value":"05:58:02"},{"id":151,"name":"Denver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"%USERPROFILE%\AppData\Local\Temp\OnboardLogs"\RTDC4053\*4053*201610071* | grep -SE "((Enforcement Ac)|(PRM))" -</v>
      </c>
    </row>
    <row r="34" spans="1:29" x14ac:dyDescent="0.25">
      <c r="A34" s="38">
        <v>42650.283622685187</v>
      </c>
      <c r="B34" s="33" t="s">
        <v>166</v>
      </c>
      <c r="C34" s="33" t="s">
        <v>655</v>
      </c>
      <c r="D34" s="33" t="s">
        <v>105</v>
      </c>
      <c r="E34" s="33" t="s">
        <v>54</v>
      </c>
      <c r="F34" s="49">
        <v>0</v>
      </c>
      <c r="G34" s="49">
        <v>408</v>
      </c>
      <c r="H34" s="49">
        <v>27247</v>
      </c>
      <c r="I34" s="49">
        <v>26338</v>
      </c>
      <c r="J34" s="33" t="s">
        <v>55</v>
      </c>
      <c r="K34" s="49">
        <v>27253</v>
      </c>
      <c r="L34" s="146" t="s">
        <v>53</v>
      </c>
      <c r="M34" s="149">
        <f t="shared" si="0"/>
        <v>-483.12</v>
      </c>
      <c r="N34" s="88" t="str">
        <f>VLOOKUP(C34,'Trips&amp;Operators'!$C$1:$E$99999,3,FALSE)</f>
        <v>BEAM</v>
      </c>
      <c r="O34" s="170" t="s">
        <v>319</v>
      </c>
      <c r="P34" s="10" t="s">
        <v>780</v>
      </c>
      <c r="Q34" s="33"/>
      <c r="R34" s="104" t="str">
        <f>VLOOKUP(C34,'Train Runs'!$A$13:$AE$10008,31,0)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S34" s="107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https://search-rtdc-monitor-bjffxe2xuh6vdkpspy63sjmuny.us-east-1.es.amazonaws.com/_plugin/kibana/#/discover/Steve-Slow-Train-Analysis-(2080s-and-2083s)?_g=(refreshInterval:(display:Off,section:0,value:0),time:(from:'2016-10-07 05:51:16-0600',mode:absolute,to:'2016-10-07 07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4" s="109" t="str">
        <f t="shared" si="1"/>
        <v>"C:\Program Files (x86)\AstroGrep\AstroGrep.exe" /spath="%USERPROFILE%\AppData\Local\Temp\OnboardLogs" /stypes="*4026*201610071*" /stext=" 12:.+((SYSTEM_STATE.+slice.+state.+changed )|(ment ac)|(system.+state.+changed )|(\[timeout)|(PRM\|1\|D)|(kpr)|(kdp)|(\|lc)|(penalty))" /e /r /s</v>
      </c>
      <c r="U34" s="9" t="str">
        <f t="shared" si="2"/>
        <v>4026</v>
      </c>
      <c r="V34" s="38">
        <f t="shared" si="3"/>
        <v>42650.533622685187</v>
      </c>
      <c r="W34" s="52" t="str">
        <f t="shared" si="4"/>
        <v>NW</v>
      </c>
      <c r="X34" s="52" t="str">
        <f t="shared" si="5"/>
        <v>KEEP</v>
      </c>
      <c r="Y34" s="130" t="str">
        <f t="shared" si="6"/>
        <v>echo {"issue":{"subject":"Premature downgrade at CRMFP 2S","project_id":79,"tracker_id":40,"status_id":1,"priority_id":2,"assigned_to_id":23,"start_date":"2016-10-07","description":"","custom_fields":[{"id":1,"name":"Subdivision","value":"NW"},{"id":4,"name":"Milepost","value":"2.7253"},{"id":17,"name":"Train ID","value":"804-07"},{"id":16,"name":"Locomotive ID","value":"4026"},{"id":130,"name":"Impact","value":""},{"id":150,"name":"Time of Event (Mountain Time)","value":"06:48:25"},{"id":151,"name":"Denver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"%USERPROFILE%\AppData\Local\Temp\OnboardLogs"\RTDC4026\*4026*201610071* | grep -SE "((Enforcement Ac)|(PRM))" -</v>
      </c>
    </row>
    <row r="35" spans="1:29" x14ac:dyDescent="0.25">
      <c r="A35" s="38">
        <v>42650.372094907405</v>
      </c>
      <c r="B35" s="33" t="s">
        <v>166</v>
      </c>
      <c r="C35" s="33" t="s">
        <v>674</v>
      </c>
      <c r="D35" s="33" t="s">
        <v>49</v>
      </c>
      <c r="E35" s="33" t="s">
        <v>50</v>
      </c>
      <c r="F35" s="49">
        <v>0</v>
      </c>
      <c r="G35" s="49">
        <v>78</v>
      </c>
      <c r="H35" s="49">
        <v>853</v>
      </c>
      <c r="I35" s="49">
        <v>640</v>
      </c>
      <c r="J35" s="33" t="s">
        <v>51</v>
      </c>
      <c r="K35" s="49">
        <v>575</v>
      </c>
      <c r="L35" s="146" t="s">
        <v>53</v>
      </c>
      <c r="M35" s="149">
        <f t="shared" si="0"/>
        <v>34.32</v>
      </c>
      <c r="N35" s="88" t="str">
        <f>VLOOKUP(C35,'Trips&amp;Operators'!$C$1:$E$99999,3,FALSE)</f>
        <v>BEAM</v>
      </c>
      <c r="O35" s="170" t="s">
        <v>86</v>
      </c>
      <c r="P35" s="10"/>
      <c r="Q35" s="33"/>
      <c r="R35" s="104" t="str">
        <f>VLOOKUP(C35,'Train Runs'!$A$13:$AE$10008,31,0)</f>
        <v>aws s3 cp s3://rtdc.mdm.uploadarchive.raw/RTDC4026/ "%USERPROFILE%\AppData\Local\Temp\OnboardLogs"\RTDC4026\2016-10-07 --exclude "*" --recursive --include "*20161007*" &amp; "%USERPROFILE%\Documents\GitHub\mrs-test-scripts\Headless Mode &amp; Sideloading\WalkAndUnGZ.bat" "%USERPROFILE%\AppData\Local\Temp\OnboardLogs"\RTDC4026\2016-10-07 &amp; aws s3 cp s3://rtdc.mdm.uploadarchive.raw/RTDC4026/ "%USERPROFILE%\AppData\Local\Temp\OnboardLogs"\RTDC4026\2016-10-08 --exclude "*" --recursive --include "*20161008*" &amp; "%USERPROFILE%\Documents\GitHub\mrs-test-scripts\Headless Mode &amp; Sideloading\WalkAndUnGZ.bat" "%USERPROFILE%\AppData\Local\Temp\OnboardLogs"\RTDC4026\2016-10-08</v>
      </c>
      <c r="S35" s="107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https://search-rtdc-monitor-bjffxe2xuh6vdkpspy63sjmuny.us-east-1.es.amazonaws.com/_plugin/kibana/#/discover/Steve-Slow-Train-Analysis-(2080s-and-2083s)?_g=(refreshInterval:(display:Off,section:0,value:0),time:(from:'2016-10-07 07:36:30-0600',mode:absolute,to:'2016-10-07 09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5" s="109" t="str">
        <f t="shared" si="1"/>
        <v>"C:\Program Files (x86)\AstroGrep\AstroGrep.exe" /spath="%USERPROFILE%\AppData\Local\Temp\OnboardLogs" /stypes="*4026*201610071*" /stext=" 14:.+((SYSTEM_STATE.+slice.+state.+changed )|(ment ac)|(system.+state.+changed )|(\[timeout)|(PRM\|1\|D)|(kpr)|(kdp)|(\|lc)|(penalty))" /e /r /s</v>
      </c>
      <c r="U35" s="9" t="str">
        <f t="shared" si="2"/>
        <v>4026</v>
      </c>
      <c r="V35" s="38">
        <f t="shared" si="3"/>
        <v>42650.622094907405</v>
      </c>
      <c r="W35" s="52" t="str">
        <f t="shared" si="4"/>
        <v>NW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{"issue":{"subject":"","project_id":79,"tracker_id":40,"status_id":1,"priority_id":2,"assigned_to_id":23,"start_date":"2016-10-07","description":"","custom_fields":[{"id":1,"name":"Subdivision","value":"NW"},{"id":4,"name":"Milepost","value":"0.0575"},{"id":17,"name":"Train ID","value":"812-07"},{"id":16,"name":"Locomotive ID","value":"4026"},{"id":130,"name":"Impact","value":""},{"id":150,"name":"Time of Event (Mountain Time)","value":"08:55:49"},{"id":151,"name":"Denver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"%USERPROFILE%\AppData\Local\Temp\OnboardLogs"\RTDC4026\*4026*201610071* | grep -SE "((Enforcement Ac)|(PRM))" -</v>
      </c>
    </row>
    <row r="36" spans="1:29" x14ac:dyDescent="0.25">
      <c r="A36" s="38">
        <v>42650.647986111115</v>
      </c>
      <c r="B36" s="33" t="s">
        <v>308</v>
      </c>
      <c r="C36" s="33" t="s">
        <v>752</v>
      </c>
      <c r="D36" s="33" t="s">
        <v>49</v>
      </c>
      <c r="E36" s="33" t="s">
        <v>50</v>
      </c>
      <c r="F36" s="49">
        <v>0</v>
      </c>
      <c r="G36" s="49">
        <v>37</v>
      </c>
      <c r="H36" s="49">
        <v>692</v>
      </c>
      <c r="I36" s="49">
        <v>652</v>
      </c>
      <c r="J36" s="33" t="s">
        <v>51</v>
      </c>
      <c r="K36" s="49">
        <v>575</v>
      </c>
      <c r="L36" s="146" t="s">
        <v>53</v>
      </c>
      <c r="M36" s="149">
        <f t="shared" si="0"/>
        <v>40.655999999999999</v>
      </c>
      <c r="N36" s="88" t="str">
        <f>VLOOKUP(C36,'Trips&amp;Operators'!$C$1:$E$99999,3,FALSE)</f>
        <v>NEWELL</v>
      </c>
      <c r="O36" s="170" t="s">
        <v>86</v>
      </c>
      <c r="P36" s="10"/>
      <c r="Q36" s="33"/>
      <c r="R36" s="104" t="str">
        <f>VLOOKUP(C36,'Train Runs'!$A$13:$AE$10008,31,0)</f>
        <v>aws s3 cp s3://rtdc.mdm.uploadarchive.raw/RTDC4054/ "%USERPROFILE%\AppData\Local\Temp\OnboardLogs"\RTDC4054\2016-10-07 --exclude "*" --recursive --include "*20161007*" &amp; "%USERPROFILE%\Documents\GitHub\mrs-test-scripts\Headless Mode &amp; Sideloading\WalkAndUnGZ.bat" "%USERPROFILE%\AppData\Local\Temp\OnboardLogs"\RTDC4054\2016-10-07 &amp; aws s3 cp s3://rtdc.mdm.uploadarchive.raw/RTDC4054/ "%USERPROFILE%\AppData\Local\Temp\OnboardLogs"\RTDC4054\2016-10-08 --exclude "*" --recursive --include "*20161008*" &amp; "%USERPROFILE%\Documents\GitHub\mrs-test-scripts\Headless Mode &amp; Sideloading\WalkAndUnGZ.bat" "%USERPROFILE%\AppData\Local\Temp\OnboardLogs"\RTDC4054\2016-10-08</v>
      </c>
      <c r="S36" s="107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https://search-rtdc-monitor-bjffxe2xuh6vdkpspy63sjmuny.us-east-1.es.amazonaws.com/_plugin/kibana/#/discover/Steve-Slow-Train-Analysis-(2080s-and-2083s)?_g=(refreshInterval:(display:Off,section:0,value:0),time:(from:'2016-10-07 14:21:21-0600',mode:absolute,to:'2016-10-07 16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6" s="109" t="str">
        <f t="shared" si="1"/>
        <v>"C:\Program Files (x86)\AstroGrep\AstroGrep.exe" /spath="%USERPROFILE%\AppData\Local\Temp\OnboardLogs" /stypes="*4054*201610072*" /stext=" 21:.+((SYSTEM_STATE.+slice.+state.+changed )|(ment ac)|(system.+state.+changed )|(\[timeout)|(PRM\|1\|D)|(kpr)|(kdp)|(\|lc)|(penalty))" /e /r /s</v>
      </c>
      <c r="U36" s="9" t="str">
        <f t="shared" si="2"/>
        <v>4054</v>
      </c>
      <c r="V36" s="38">
        <f t="shared" si="3"/>
        <v>42650.897986111115</v>
      </c>
      <c r="W36" s="52" t="str">
        <f t="shared" si="4"/>
        <v>Other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{"issue":{"subject":"","project_id":79,"tracker_id":40,"status_id":1,"priority_id":2,"assigned_to_id":23,"start_date":"2016-10-07","description":"","custom_fields":[{"id":1,"name":"Subdivision","value":"Other"},{"id":4,"name":"Milepost","value":"0.0575"},{"id":17,"name":"Train ID","value":"904-07"},{"id":16,"name":"Locomotive ID","value":"4054"},{"id":130,"name":"Impact","value":""},{"id":150,"name":"Time of Event (Mountain Time)","value":"15:33:06"},{"id":151,"name":"Denver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"%USERPROFILE%\AppData\Local\Temp\OnboardLogs"\RTDC4054\*4054*201610072* | grep -SE "((Enforcement Ac)|(PRM))" -</v>
      </c>
    </row>
    <row r="37" spans="1:29" ht="15" customHeight="1" x14ac:dyDescent="0.25">
      <c r="A37" s="38">
        <v>42650.761770833335</v>
      </c>
      <c r="B37" s="33" t="s">
        <v>238</v>
      </c>
      <c r="C37" s="33" t="s">
        <v>639</v>
      </c>
      <c r="D37" s="33" t="s">
        <v>49</v>
      </c>
      <c r="E37" s="33" t="s">
        <v>50</v>
      </c>
      <c r="F37" s="49">
        <v>0</v>
      </c>
      <c r="G37" s="49">
        <v>56</v>
      </c>
      <c r="H37" s="49">
        <v>1034</v>
      </c>
      <c r="I37" s="49">
        <v>982</v>
      </c>
      <c r="J37" s="33" t="s">
        <v>51</v>
      </c>
      <c r="K37" s="49">
        <v>826</v>
      </c>
      <c r="L37" s="146" t="s">
        <v>53</v>
      </c>
      <c r="M37" s="149">
        <f t="shared" si="0"/>
        <v>82.367999999999995</v>
      </c>
      <c r="N37" s="88" t="str">
        <f>VLOOKUP(C37,'Trips&amp;Operators'!$C$1:$E$99999,3,FALSE)</f>
        <v>HAITHCOX</v>
      </c>
      <c r="O37" s="170" t="s">
        <v>86</v>
      </c>
      <c r="P37" s="10"/>
      <c r="Q37" s="33"/>
      <c r="R37" s="104" t="str">
        <f>VLOOKUP(C37,'Train Runs'!$A$13:$AE$10008,31,0)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S37" s="107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https://search-rtdc-monitor-bjffxe2xuh6vdkpspy63sjmuny.us-east-1.es.amazonaws.com/_plugin/kibana/#/discover/Steve-Slow-Train-Analysis-(2080s-and-2083s)?_g=(refreshInterval:(display:Off,section:0,value:0),time:(from:'2016-10-07 15:52:11-0600',mode:absolute,to:'2016-10-07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7" s="109" t="str">
        <f t="shared" si="1"/>
        <v>"C:\Program Files (x86)\AstroGrep\AstroGrep.exe" /spath="%USERPROFILE%\AppData\Local\Temp\OnboardLogs" /stypes="*4032*201610080*" /stext=" 00:.+((SYSTEM_STATE.+slice.+state.+changed )|(ment ac)|(system.+state.+changed )|(\[timeout)|(PRM\|1\|D)|(kpr)|(kdp)|(\|lc)|(penalty))" /e /r /s</v>
      </c>
      <c r="U37" s="9" t="str">
        <f t="shared" si="2"/>
        <v>4032</v>
      </c>
      <c r="V37" s="38">
        <f t="shared" si="3"/>
        <v>42651.011770833335</v>
      </c>
      <c r="W37" s="52" t="str">
        <f t="shared" si="4"/>
        <v>Other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{"issue":{"subject":"","project_id":79,"tracker_id":40,"status_id":1,"priority_id":2,"assigned_to_id":23,"start_date":"2016-10-07","description":"","custom_fields":[{"id":1,"name":"Subdivision","value":"Other"},{"id":4,"name":"Milepost","value":"0.0826"},{"id":17,"name":"Train ID","value":"66-07"},{"id":16,"name":"Locomotive ID","value":"4032"},{"id":130,"name":"Impact","value":""},{"id":150,"name":"Time of Event (Mountain Time)","value":"18:16:57"},{"id":151,"name":"Denver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"%USERPROFILE%\AppData\Local\Temp\OnboardLogs"\RTDC4032\*4032*201610080* | grep -SE "((Enforcement Ac)|(PRM))" -</v>
      </c>
    </row>
    <row r="38" spans="1:29" x14ac:dyDescent="0.25">
      <c r="A38" s="38">
        <v>42650.762106481481</v>
      </c>
      <c r="B38" s="33" t="s">
        <v>238</v>
      </c>
      <c r="C38" s="33" t="s">
        <v>639</v>
      </c>
      <c r="D38" s="33" t="s">
        <v>49</v>
      </c>
      <c r="E38" s="33" t="s">
        <v>50</v>
      </c>
      <c r="F38" s="49">
        <v>0</v>
      </c>
      <c r="G38" s="49">
        <v>40</v>
      </c>
      <c r="H38" s="49">
        <v>962</v>
      </c>
      <c r="I38" s="49">
        <v>910</v>
      </c>
      <c r="J38" s="33" t="s">
        <v>51</v>
      </c>
      <c r="K38" s="49">
        <v>826</v>
      </c>
      <c r="L38" s="146" t="s">
        <v>53</v>
      </c>
      <c r="M38" s="149">
        <f t="shared" si="0"/>
        <v>44.351999999999997</v>
      </c>
      <c r="N38" s="88" t="str">
        <f>VLOOKUP(C38,'Trips&amp;Operators'!$C$1:$E$99999,3,FALSE)</f>
        <v>HAITHCOX</v>
      </c>
      <c r="O38" s="170" t="s">
        <v>86</v>
      </c>
      <c r="P38" s="10"/>
      <c r="Q38" s="33"/>
      <c r="R38" s="104" t="str">
        <f>VLOOKUP(C38,'Train Runs'!$A$13:$AE$10008,31,0)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S38" s="107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https://search-rtdc-monitor-bjffxe2xuh6vdkpspy63sjmuny.us-east-1.es.amazonaws.com/_plugin/kibana/#/discover/Steve-Slow-Train-Analysis-(2080s-and-2083s)?_g=(refreshInterval:(display:Off,section:0,value:0),time:(from:'2016-10-07 15:52:11-0600',mode:absolute,to:'2016-10-07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8" s="109" t="str">
        <f t="shared" si="1"/>
        <v>"C:\Program Files (x86)\AstroGrep\AstroGrep.exe" /spath="%USERPROFILE%\AppData\Local\Temp\OnboardLogs" /stypes="*4032*201610080*" /stext=" 00:.+((SYSTEM_STATE.+slice.+state.+changed )|(ment ac)|(system.+state.+changed )|(\[timeout)|(PRM\|1\|D)|(kpr)|(kdp)|(\|lc)|(penalty))" /e /r /s</v>
      </c>
      <c r="U38" s="9" t="str">
        <f t="shared" si="2"/>
        <v>4032</v>
      </c>
      <c r="V38" s="38">
        <f t="shared" si="3"/>
        <v>42651.012106481481</v>
      </c>
      <c r="W38" s="52" t="str">
        <f t="shared" si="4"/>
        <v>Other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{"issue":{"subject":"","project_id":79,"tracker_id":40,"status_id":1,"priority_id":2,"assigned_to_id":23,"start_date":"2016-10-07","description":"","custom_fields":[{"id":1,"name":"Subdivision","value":"Other"},{"id":4,"name":"Milepost","value":"0.0826"},{"id":17,"name":"Train ID","value":"66-07"},{"id":16,"name":"Locomotive ID","value":"4032"},{"id":130,"name":"Impact","value":""},{"id":150,"name":"Time of Event (Mountain Time)","value":"18:17:26"},{"id":151,"name":"Denver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"%USERPROFILE%\AppData\Local\Temp\OnboardLogs"\RTDC4032\*4032*201610080* | grep -SE "((Enforcement Ac)|(PRM))" -</v>
      </c>
    </row>
    <row r="39" spans="1:29" x14ac:dyDescent="0.25">
      <c r="A39" s="38">
        <v>42650.762430555558</v>
      </c>
      <c r="B39" s="33" t="s">
        <v>238</v>
      </c>
      <c r="C39" s="33" t="s">
        <v>639</v>
      </c>
      <c r="D39" s="33" t="s">
        <v>49</v>
      </c>
      <c r="E39" s="33" t="s">
        <v>50</v>
      </c>
      <c r="F39" s="49">
        <v>0</v>
      </c>
      <c r="G39" s="49">
        <v>18</v>
      </c>
      <c r="H39" s="49">
        <v>904</v>
      </c>
      <c r="I39" s="49">
        <v>878</v>
      </c>
      <c r="J39" s="33" t="s">
        <v>51</v>
      </c>
      <c r="K39" s="49">
        <v>826</v>
      </c>
      <c r="L39" s="146" t="s">
        <v>53</v>
      </c>
      <c r="M39" s="149">
        <f t="shared" si="0"/>
        <v>27.456</v>
      </c>
      <c r="N39" s="88" t="str">
        <f>VLOOKUP(C39,'Trips&amp;Operators'!$C$1:$E$99999,3,FALSE)</f>
        <v>HAITHCOX</v>
      </c>
      <c r="O39" s="170" t="s">
        <v>86</v>
      </c>
      <c r="P39" s="10"/>
      <c r="Q39" s="33"/>
      <c r="R39" s="104" t="str">
        <f>VLOOKUP(C39,'Train Runs'!$A$13:$AE$10008,31,0)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S39" s="107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https://search-rtdc-monitor-bjffxe2xuh6vdkpspy63sjmuny.us-east-1.es.amazonaws.com/_plugin/kibana/#/discover/Steve-Slow-Train-Analysis-(2080s-and-2083s)?_g=(refreshInterval:(display:Off,section:0,value:0),time:(from:'2016-10-07 15:52:11-0600',mode:absolute,to:'2016-10-07 19:17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9" t="str">
        <f t="shared" si="1"/>
        <v>"C:\Program Files (x86)\AstroGrep\AstroGrep.exe" /spath="%USERPROFILE%\AppData\Local\Temp\OnboardLogs" /stypes="*4032*201610080*" /stext=" 00:.+((SYSTEM_STATE.+slice.+state.+changed )|(ment ac)|(system.+state.+changed )|(\[timeout)|(PRM\|1\|D)|(kpr)|(kdp)|(\|lc)|(penalty))" /e /r /s</v>
      </c>
      <c r="U39" s="9" t="str">
        <f t="shared" si="2"/>
        <v>4032</v>
      </c>
      <c r="V39" s="38">
        <f t="shared" si="3"/>
        <v>42651.012430555558</v>
      </c>
      <c r="W39" s="52" t="str">
        <f t="shared" si="4"/>
        <v>Other</v>
      </c>
      <c r="X39" s="52" t="str">
        <f t="shared" si="5"/>
        <v>KEEP</v>
      </c>
      <c r="Y39" s="130" t="str">
        <f t="shared" si="6"/>
        <v>echo {"issue":{"subject":"","project_id":79,"tracker_id":40,"status_id":1,"priority_id":2,"assigned_to_id":23,"start_date":"2016-10-07","description":"","custom_fields":[{"id":1,"name":"Subdivision","value":"Other"},{"id":4,"name":"Milepost","value":"0.0826"},{"id":17,"name":"Train ID","value":"66-07"},{"id":16,"name":"Locomotive ID","value":"4032"},{"id":130,"name":"Impact","value":""},{"id":150,"name":"Time of Event (Mountain Time)","value":"18:17:54"},{"id":151,"name":"Denver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si="7"/>
        <v>grep -hSE -A100 "Enforcement Action" "%USERPROFILE%\AppData\Local\Temp\OnboardLogs"\RTDC4032\*4032*201610080* | grep -SE "((Enforcement Ac)|(PRM))" -</v>
      </c>
    </row>
    <row r="40" spans="1:29" x14ac:dyDescent="0.25">
      <c r="A40" s="38">
        <v>42650.818333333336</v>
      </c>
      <c r="B40" s="33" t="s">
        <v>238</v>
      </c>
      <c r="C40" s="33" t="s">
        <v>627</v>
      </c>
      <c r="D40" s="33" t="s">
        <v>49</v>
      </c>
      <c r="E40" s="33" t="s">
        <v>50</v>
      </c>
      <c r="F40" s="49">
        <v>0</v>
      </c>
      <c r="G40" s="49">
        <v>10</v>
      </c>
      <c r="H40" s="49">
        <v>843</v>
      </c>
      <c r="I40" s="49">
        <v>0</v>
      </c>
      <c r="J40" s="33" t="s">
        <v>51</v>
      </c>
      <c r="K40" s="49">
        <v>839</v>
      </c>
      <c r="L40" s="146" t="s">
        <v>53</v>
      </c>
      <c r="M40" s="149">
        <f t="shared" si="0"/>
        <v>-442.99200000000002</v>
      </c>
      <c r="N40" s="88" t="str">
        <f>VLOOKUP(C40,'Trips&amp;Operators'!$C$1:$E$99999,3,FALSE)</f>
        <v>MATTHEWS</v>
      </c>
      <c r="O40" s="170" t="s">
        <v>86</v>
      </c>
      <c r="P40" s="10"/>
      <c r="Q40" s="33"/>
      <c r="R40" s="104" t="str">
        <f>VLOOKUP(C40,'Train Runs'!$A$13:$AE$10008,31,0)</f>
        <v>aws s3 cp s3://rtdc.mdm.uploadarchive.raw/RTDC4032/ "%USERPROFILE%\AppData\Local\Temp\OnboardLogs"\RTDC4032\2016-10-07 --exclude "*" --recursive --include "*20161007*" &amp; "%USERPROFILE%\Documents\GitHub\mrs-test-scripts\Headless Mode &amp; Sideloading\WalkAndUnGZ.bat" "%USERPROFILE%\AppData\Local\Temp\OnboardLogs"\RTDC4032\2016-10-07 &amp; aws s3 cp s3://rtdc.mdm.uploadarchive.raw/RTDC4032/ "%USERPROFILE%\AppData\Local\Temp\OnboardLogs"\RTDC4032\2016-10-08 --exclude "*" --recursive --include "*20161008*" &amp; "%USERPROFILE%\Documents\GitHub\mrs-test-scripts\Headless Mode &amp; Sideloading\WalkAndUnGZ.bat" "%USERPROFILE%\AppData\Local\Temp\OnboardLogs"\RTDC4032\2016-10-08</v>
      </c>
      <c r="S40" s="107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https://search-rtdc-monitor-bjffxe2xuh6vdkpspy63sjmuny.us-east-1.es.amazonaws.com/_plugin/kibana/#/discover/Steve-Slow-Train-Analysis-(2080s-and-2083s)?_g=(refreshInterval:(display:Off,section:0,value:0),time:(from:'2016-10-07 18:15:59-0600',mode:absolute,to:'2016-10-07 20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0" s="109" t="str">
        <f t="shared" si="1"/>
        <v>"C:\Program Files (x86)\AstroGrep\AstroGrep.exe" /spath="%USERPROFILE%\AppData\Local\Temp\OnboardLogs" /stypes="*4032*201610080*" /stext=" 01:.+((SYSTEM_STATE.+slice.+state.+changed )|(ment ac)|(system.+state.+changed )|(\[timeout)|(PRM\|1\|D)|(kpr)|(kdp)|(\|lc)|(penalty))" /e /r /s</v>
      </c>
      <c r="U40" s="9" t="str">
        <f t="shared" si="2"/>
        <v>4032</v>
      </c>
      <c r="V40" s="38">
        <f t="shared" si="3"/>
        <v>42651.068333333336</v>
      </c>
      <c r="W40" s="52" t="str">
        <f t="shared" si="4"/>
        <v>Other</v>
      </c>
      <c r="X40" s="52" t="str">
        <f t="shared" si="5"/>
        <v>KEEP</v>
      </c>
      <c r="Y40" s="130" t="str">
        <f t="shared" si="6"/>
        <v>echo {"issue":{"subject":"","project_id":79,"tracker_id":40,"status_id":1,"priority_id":2,"assigned_to_id":23,"start_date":"2016-10-07","description":"","custom_fields":[{"id":1,"name":"Subdivision","value":"Other"},{"id":4,"name":"Milepost","value":"0.0839"},{"id":17,"name":"Train ID","value":"58-07"},{"id":16,"name":"Locomotive ID","value":"4032"},{"id":130,"name":"Impact","value":""},{"id":150,"name":"Time of Event (Mountain Time)","value":"19:38:24"},{"id":151,"name":"Denver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7"/>
        <v>grep -hSE -A100 "Enforcement Action" "%USERPROFILE%\AppData\Local\Temp\OnboardLogs"\RTDC4032\*4032*201610080* | grep -SE "((Enforcement Ac)|(PRM))" -</v>
      </c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46"/>
      <c r="M41" s="149"/>
      <c r="N41" s="88"/>
      <c r="O41" s="170"/>
      <c r="P41" s="10"/>
      <c r="Q41" s="33"/>
      <c r="R41" s="104"/>
      <c r="S41" s="107"/>
      <c r="T41" s="109"/>
      <c r="U41" s="9"/>
      <c r="V41" s="38"/>
      <c r="W41" s="52"/>
      <c r="X41" s="52"/>
      <c r="Y41" s="130"/>
      <c r="Z41" s="55"/>
      <c r="AA41" s="55"/>
      <c r="AB41" s="23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46"/>
      <c r="M42" s="149"/>
      <c r="N42" s="88"/>
      <c r="O42" s="170"/>
      <c r="P42" s="10"/>
      <c r="Q42" s="33"/>
      <c r="R42" s="104"/>
      <c r="S42" s="107"/>
      <c r="T42" s="109"/>
      <c r="U42" s="9"/>
      <c r="V42" s="38"/>
      <c r="W42" s="52"/>
      <c r="X42" s="52"/>
      <c r="Y42" s="130"/>
      <c r="Z42" s="55"/>
      <c r="AA42" s="55"/>
      <c r="AB42" s="23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46"/>
      <c r="M43" s="149"/>
      <c r="N43" s="88"/>
      <c r="O43" s="170"/>
      <c r="P43" s="10"/>
      <c r="Q43" s="33"/>
      <c r="R43" s="104"/>
      <c r="S43" s="107"/>
      <c r="T43" s="109"/>
      <c r="U43" s="9"/>
      <c r="V43" s="38"/>
      <c r="W43" s="52"/>
      <c r="X43" s="52"/>
      <c r="Y43" s="130"/>
      <c r="Z43" s="55"/>
      <c r="AA43" s="55"/>
      <c r="AB43" s="23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6"/>
      <c r="M44" s="149"/>
      <c r="N44" s="88"/>
      <c r="O44" s="170"/>
      <c r="P44" s="10"/>
      <c r="Q44" s="33"/>
      <c r="R44" s="104"/>
      <c r="S44" s="107"/>
      <c r="T44" s="109"/>
      <c r="U44" s="9"/>
      <c r="V44" s="38"/>
      <c r="W44" s="52"/>
      <c r="X44" s="52"/>
      <c r="Y44" s="130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6"/>
      <c r="M45" s="149"/>
      <c r="N45" s="88"/>
      <c r="O45" s="170"/>
      <c r="P45" s="10"/>
      <c r="Q45" s="33"/>
      <c r="R45" s="104"/>
      <c r="S45" s="107"/>
      <c r="T45" s="109"/>
      <c r="U45" s="9"/>
      <c r="V45" s="38"/>
      <c r="W45" s="52"/>
      <c r="X45" s="52"/>
      <c r="Y45" s="130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6"/>
      <c r="M46" s="149"/>
      <c r="N46" s="88"/>
      <c r="O46" s="170"/>
      <c r="P46" s="10"/>
      <c r="Q46" s="33"/>
      <c r="R46" s="104"/>
      <c r="S46" s="107"/>
      <c r="T46" s="109"/>
      <c r="U46" s="9"/>
      <c r="V46" s="38"/>
      <c r="W46" s="52"/>
      <c r="X46" s="52"/>
      <c r="Y46" s="130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6"/>
      <c r="M47" s="149"/>
      <c r="N47" s="88"/>
      <c r="O47" s="170"/>
      <c r="P47" s="10"/>
      <c r="Q47" s="33"/>
      <c r="R47" s="104"/>
      <c r="S47" s="107"/>
      <c r="T47" s="109"/>
      <c r="U47" s="9"/>
      <c r="V47" s="38"/>
      <c r="W47" s="52"/>
      <c r="X47" s="52"/>
      <c r="Y47" s="130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6"/>
      <c r="M48" s="149"/>
      <c r="N48" s="88"/>
      <c r="O48" s="170"/>
      <c r="P48" s="10"/>
      <c r="Q48" s="33"/>
      <c r="R48" s="104"/>
      <c r="S48" s="107"/>
      <c r="T48" s="109"/>
      <c r="U48" s="9"/>
      <c r="V48" s="38"/>
      <c r="W48" s="52"/>
      <c r="X48" s="52"/>
      <c r="Y48" s="130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6"/>
      <c r="M49" s="149"/>
      <c r="N49" s="88"/>
      <c r="O49" s="170"/>
      <c r="P49" s="10"/>
      <c r="Q49" s="33"/>
      <c r="R49" s="104"/>
      <c r="S49" s="107"/>
      <c r="T49" s="109"/>
      <c r="U49" s="9"/>
      <c r="V49" s="38"/>
      <c r="W49" s="52"/>
      <c r="X49" s="52"/>
      <c r="Y49" s="130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6"/>
      <c r="M50" s="149"/>
      <c r="N50" s="88"/>
      <c r="O50" s="170"/>
      <c r="P50" s="10"/>
      <c r="Q50" s="33"/>
      <c r="R50" s="104"/>
      <c r="S50" s="107"/>
      <c r="T50" s="109"/>
      <c r="U50" s="9"/>
      <c r="V50" s="38"/>
      <c r="W50" s="52"/>
      <c r="X50" s="52"/>
      <c r="Y50" s="130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6"/>
      <c r="M51" s="149"/>
      <c r="N51" s="88"/>
      <c r="O51" s="170"/>
      <c r="P51" s="10"/>
      <c r="Q51" s="33"/>
      <c r="R51" s="104"/>
      <c r="S51" s="107"/>
      <c r="T51" s="109"/>
      <c r="U51" s="9"/>
      <c r="V51" s="38"/>
      <c r="W51" s="52"/>
      <c r="X51" s="52"/>
      <c r="Y51" s="130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6"/>
      <c r="M52" s="149"/>
      <c r="N52" s="88"/>
      <c r="O52" s="170"/>
      <c r="P52" s="10"/>
      <c r="Q52" s="33"/>
      <c r="R52" s="104"/>
      <c r="S52" s="107"/>
      <c r="T52" s="109"/>
      <c r="U52" s="9"/>
      <c r="V52" s="38"/>
      <c r="W52" s="52"/>
      <c r="X52" s="52"/>
      <c r="Y52" s="130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6"/>
      <c r="M53" s="149"/>
      <c r="N53" s="88"/>
      <c r="O53" s="170"/>
      <c r="P53" s="10"/>
      <c r="Q53" s="33"/>
      <c r="R53" s="104"/>
      <c r="S53" s="107"/>
      <c r="T53" s="109"/>
      <c r="U53" s="9"/>
      <c r="V53" s="38"/>
      <c r="W53" s="52"/>
      <c r="X53" s="52"/>
      <c r="Y53" s="130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6"/>
      <c r="M54" s="149"/>
      <c r="N54" s="88"/>
      <c r="O54" s="170"/>
      <c r="P54" s="10"/>
      <c r="Q54" s="33"/>
      <c r="R54" s="104"/>
      <c r="S54" s="107"/>
      <c r="T54" s="109"/>
      <c r="U54" s="9"/>
      <c r="V54" s="38"/>
      <c r="W54" s="52"/>
      <c r="X54" s="52"/>
      <c r="Y54" s="130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6"/>
      <c r="M55" s="149"/>
      <c r="N55" s="88"/>
      <c r="O55" s="170"/>
      <c r="P55" s="10"/>
      <c r="Q55" s="33"/>
      <c r="R55" s="104"/>
      <c r="S55" s="107"/>
      <c r="T55" s="109"/>
      <c r="U55" s="9"/>
      <c r="V55" s="38"/>
      <c r="W55" s="52"/>
      <c r="X55" s="52"/>
      <c r="Y55" s="130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6"/>
      <c r="M56" s="149"/>
      <c r="N56" s="88"/>
      <c r="O56" s="170"/>
      <c r="P56" s="10"/>
      <c r="Q56" s="33"/>
      <c r="R56" s="104"/>
      <c r="S56" s="107"/>
      <c r="T56" s="109"/>
      <c r="U56" s="9"/>
      <c r="V56" s="38"/>
      <c r="W56" s="52"/>
      <c r="X56" s="52"/>
      <c r="Y56" s="130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6"/>
      <c r="M57" s="149"/>
      <c r="N57" s="88"/>
      <c r="O57" s="170"/>
      <c r="P57" s="10"/>
      <c r="Q57" s="33"/>
      <c r="R57" s="104"/>
      <c r="S57" s="107"/>
      <c r="T57" s="109"/>
      <c r="U57" s="9"/>
      <c r="V57" s="38"/>
      <c r="W57" s="52"/>
      <c r="X57" s="52"/>
      <c r="Y57" s="130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6"/>
      <c r="M58" s="149"/>
      <c r="N58" s="88"/>
      <c r="O58" s="170"/>
      <c r="P58" s="10"/>
      <c r="Q58" s="33"/>
      <c r="R58" s="104"/>
      <c r="S58" s="107"/>
      <c r="T58" s="109"/>
      <c r="U58" s="9"/>
      <c r="V58" s="38"/>
      <c r="W58" s="52"/>
      <c r="X58" s="52"/>
      <c r="Y58" s="130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6"/>
      <c r="M59" s="149"/>
      <c r="N59" s="88"/>
      <c r="O59" s="170"/>
      <c r="P59" s="10"/>
      <c r="Q59" s="33"/>
      <c r="R59" s="104"/>
      <c r="S59" s="107"/>
      <c r="T59" s="109"/>
      <c r="U59" s="9"/>
      <c r="V59" s="38"/>
      <c r="W59" s="52"/>
      <c r="X59" s="52"/>
      <c r="Y59" s="130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6"/>
      <c r="M60" s="149"/>
      <c r="N60" s="88"/>
      <c r="O60" s="170"/>
      <c r="P60" s="10"/>
      <c r="Q60" s="33"/>
      <c r="R60" s="104"/>
      <c r="S60" s="107"/>
      <c r="T60" s="109"/>
      <c r="U60" s="9"/>
      <c r="V60" s="38"/>
      <c r="W60" s="52"/>
      <c r="X60" s="52"/>
      <c r="Y60" s="130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6"/>
      <c r="M61" s="149"/>
      <c r="N61" s="88"/>
      <c r="O61" s="170"/>
      <c r="P61" s="10"/>
      <c r="Q61" s="33"/>
      <c r="R61" s="104"/>
      <c r="S61" s="107"/>
      <c r="T61" s="109"/>
      <c r="U61" s="9"/>
      <c r="V61" s="38"/>
      <c r="W61" s="52"/>
      <c r="X61" s="52"/>
      <c r="Y61" s="130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6"/>
      <c r="M62" s="149"/>
      <c r="N62" s="88"/>
      <c r="O62" s="170"/>
      <c r="P62" s="10"/>
      <c r="Q62" s="33"/>
      <c r="R62" s="104"/>
      <c r="S62" s="107"/>
      <c r="T62" s="109"/>
      <c r="U62" s="9"/>
      <c r="V62" s="38"/>
      <c r="W62" s="52"/>
      <c r="X62" s="52"/>
      <c r="Y62" s="130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66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A3" sqref="A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6" t="str">
        <f>"Trips that did not appear in PTC Data "&amp;TEXT(Variables!$A$2,"YYYY-mm-dd")</f>
        <v>Trips that did not appear in PTC Data 2016-10-07</v>
      </c>
      <c r="C1" s="186"/>
      <c r="D1" s="186"/>
      <c r="E1" s="186"/>
      <c r="F1" s="186"/>
    </row>
    <row r="2" spans="1:11" s="26" customFormat="1" ht="45" x14ac:dyDescent="0.25">
      <c r="A2" s="166" t="s">
        <v>164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-07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-07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-07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-07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-07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-07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-07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-07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-07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-07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-07</v>
      </c>
      <c r="C13" s="179"/>
      <c r="D13" s="179"/>
      <c r="E13" s="180"/>
      <c r="F13" s="181" t="e">
        <f>VLOOKUP(B13,'Trips&amp;Operators'!$C$2:$E$10000,3,FALSE)</f>
        <v>#N/A</v>
      </c>
      <c r="G13" s="181" t="e">
        <f>VLOOKUP(B13,'Trips&amp;Operators'!$C$1:$F$10000,4,FALSE)</f>
        <v>#N/A</v>
      </c>
      <c r="H13" s="182" t="e">
        <f>VLOOKUP(B13,'Trips&amp;Operators'!$C$1:$H$10000,5,FALSE)</f>
        <v>#N/A</v>
      </c>
      <c r="I13" s="183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3" s="23"/>
      <c r="K13" s="23"/>
    </row>
    <row r="14" spans="1:11" s="23" customFormat="1" x14ac:dyDescent="0.25">
      <c r="A14" s="184"/>
      <c r="B14" s="2" t="str">
        <f>A14&amp;"-"&amp;IF(DAY(Variables!$A$2)&lt;10,0,"")&amp;DAY(Variables!$A$2)</f>
        <v>-07</v>
      </c>
      <c r="C14" s="179"/>
      <c r="D14" s="179"/>
      <c r="E14" s="180"/>
      <c r="F14" s="181" t="e">
        <f>VLOOKUP(B14,'Trips&amp;Operators'!$C$2:$E$10000,3,FALSE)</f>
        <v>#N/A</v>
      </c>
      <c r="G14" s="181" t="e">
        <f>VLOOKUP(B14,'Trips&amp;Operators'!$C$1:$F$10000,4,FALSE)</f>
        <v>#N/A</v>
      </c>
      <c r="H14" s="182" t="e">
        <f>VLOOKUP(B14,'Trips&amp;Operators'!$C$1:$H$10000,5,FALSE)</f>
        <v>#N/A</v>
      </c>
      <c r="I14" s="183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15" spans="1:11" x14ac:dyDescent="0.25">
      <c r="A15" s="184"/>
      <c r="B15" s="2" t="str">
        <f>A15&amp;"-"&amp;IF(DAY(Variables!$A$2)&lt;10,0,"")&amp;DAY(Variables!$A$2)</f>
        <v>-07</v>
      </c>
      <c r="C15" s="115"/>
      <c r="D15" s="115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5" s="23"/>
      <c r="K15" s="23"/>
    </row>
    <row r="16" spans="1:11" x14ac:dyDescent="0.25">
      <c r="A16" s="184"/>
      <c r="B16" s="2" t="str">
        <f>A16&amp;"-"&amp;IF(DAY(Variables!$A$2)&lt;10,0,"")&amp;DAY(Variables!$A$2)</f>
        <v>-07</v>
      </c>
      <c r="C16" s="115"/>
      <c r="D16" s="115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-07</v>
      </c>
      <c r="C17" s="115"/>
      <c r="D17" s="115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-07</v>
      </c>
      <c r="C18" s="115"/>
      <c r="D18" s="115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-07</v>
      </c>
      <c r="C19" s="115"/>
      <c r="D19" s="115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-07</v>
      </c>
      <c r="C20" s="115"/>
      <c r="D20" s="115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-07</v>
      </c>
      <c r="C21" s="115"/>
      <c r="D21" s="115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-07</v>
      </c>
      <c r="C22" s="115"/>
      <c r="D22" s="115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3" spans="2:11" x14ac:dyDescent="0.25">
      <c r="B23" s="2" t="str">
        <f>A23&amp;"-"&amp;IF(DAY(Variables!$A$2)&lt;10,0,"")&amp;DAY(Variables!$A$2)</f>
        <v>-07</v>
      </c>
      <c r="C23" s="115"/>
      <c r="D23" s="115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4" spans="2:11" x14ac:dyDescent="0.25">
      <c r="B24" s="2" t="str">
        <f>A24&amp;"-"&amp;IF(DAY(Variables!$A$2)&lt;10,0,"")&amp;DAY(Variables!$A$2)</f>
        <v>-07</v>
      </c>
      <c r="C24" s="115"/>
      <c r="D24" s="115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5" spans="2:11" x14ac:dyDescent="0.25">
      <c r="B25" s="2" t="str">
        <f>A25&amp;"-"&amp;IF(DAY(Variables!$A$2)&lt;10,0,"")&amp;DAY(Variables!$A$2)</f>
        <v>-07</v>
      </c>
      <c r="C25" s="115"/>
      <c r="D25" s="115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6" spans="2:11" x14ac:dyDescent="0.25">
      <c r="B26" s="2" t="str">
        <f>A26&amp;"-"&amp;IF(DAY(Variables!$A$2)&lt;10,0,"")&amp;DAY(Variables!$A$2)</f>
        <v>-07</v>
      </c>
      <c r="C26" s="115"/>
      <c r="D26" s="115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7" spans="2:11" x14ac:dyDescent="0.25">
      <c r="B27" s="2" t="str">
        <f>A27&amp;"-"&amp;IF(DAY(Variables!$A$2)&lt;10,0,"")&amp;DAY(Variables!$A$2)</f>
        <v>-07</v>
      </c>
      <c r="C27" s="115"/>
      <c r="D27" s="115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  <row r="28" spans="2:11" x14ac:dyDescent="0.25">
      <c r="B28" s="2" t="str">
        <f>A28&amp;"-"&amp;IF(DAY(Variables!$A$2)&lt;10,0,"")&amp;DAY(Variables!$A$2)</f>
        <v>-07</v>
      </c>
      <c r="C28" s="115"/>
      <c r="D28" s="115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6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212</v>
      </c>
      <c r="B1" s="23" t="s">
        <v>213</v>
      </c>
      <c r="C1" s="23" t="s">
        <v>0</v>
      </c>
      <c r="D1" s="23" t="s">
        <v>214</v>
      </c>
      <c r="E1" s="23" t="s">
        <v>215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42650.042928240742</v>
      </c>
      <c r="B2" s="23" t="s">
        <v>167</v>
      </c>
      <c r="C2" s="23" t="s">
        <v>314</v>
      </c>
      <c r="D2" s="23">
        <v>630000</v>
      </c>
      <c r="E2" s="23" t="b">
        <v>1</v>
      </c>
      <c r="F2" s="23" t="str">
        <f t="shared" ref="F2:F65" si="0">B2</f>
        <v>rtdc.l.rtdc.4051:itc</v>
      </c>
      <c r="G2" s="8">
        <f t="shared" ref="G2:G65" si="1">A2</f>
        <v>42650.042928240742</v>
      </c>
    </row>
    <row r="3" spans="1:7" x14ac:dyDescent="0.25">
      <c r="A3" s="8">
        <v>42650.052835648145</v>
      </c>
      <c r="B3" s="23" t="s">
        <v>237</v>
      </c>
      <c r="C3" s="23" t="s">
        <v>316</v>
      </c>
      <c r="D3" s="23">
        <v>1480000</v>
      </c>
      <c r="E3" s="23" t="s">
        <v>226</v>
      </c>
      <c r="F3" s="23" t="str">
        <f t="shared" si="0"/>
        <v>rtdc.l.rtdc.4010:itc</v>
      </c>
      <c r="G3" s="8">
        <f t="shared" si="1"/>
        <v>42650.052835648145</v>
      </c>
    </row>
    <row r="4" spans="1:7" x14ac:dyDescent="0.25">
      <c r="A4" s="8">
        <v>42650.053078703706</v>
      </c>
      <c r="B4" s="23" t="s">
        <v>268</v>
      </c>
      <c r="C4" s="23" t="s">
        <v>317</v>
      </c>
      <c r="D4" s="23">
        <v>1300000</v>
      </c>
      <c r="E4" s="23" t="s">
        <v>121</v>
      </c>
      <c r="F4" s="23" t="str">
        <f t="shared" si="0"/>
        <v>rtdc.l.rtdc.4044:itc</v>
      </c>
      <c r="G4" s="8">
        <f t="shared" si="1"/>
        <v>42650.053078703706</v>
      </c>
    </row>
    <row r="5" spans="1:7" x14ac:dyDescent="0.25">
      <c r="A5" s="8">
        <v>42650.060115740744</v>
      </c>
      <c r="B5" s="23" t="s">
        <v>168</v>
      </c>
      <c r="C5" s="23" t="s">
        <v>314</v>
      </c>
      <c r="D5" s="23">
        <v>630000</v>
      </c>
      <c r="E5" s="23" t="b">
        <v>1</v>
      </c>
      <c r="F5" s="23" t="str">
        <f t="shared" si="0"/>
        <v>rtdc.l.rtdc.4052:itc</v>
      </c>
      <c r="G5" s="8">
        <f t="shared" si="1"/>
        <v>42650.060115740744</v>
      </c>
    </row>
    <row r="6" spans="1:7" x14ac:dyDescent="0.25">
      <c r="A6" s="8">
        <v>42650.078599537039</v>
      </c>
      <c r="B6" s="23" t="s">
        <v>167</v>
      </c>
      <c r="C6" s="23" t="s">
        <v>314</v>
      </c>
      <c r="D6" s="23">
        <v>630000</v>
      </c>
      <c r="E6" s="23" t="b">
        <v>1</v>
      </c>
      <c r="F6" s="23" t="str">
        <f t="shared" si="0"/>
        <v>rtdc.l.rtdc.4051:itc</v>
      </c>
      <c r="G6" s="8">
        <f t="shared" si="1"/>
        <v>42650.078599537039</v>
      </c>
    </row>
    <row r="7" spans="1:7" x14ac:dyDescent="0.25">
      <c r="A7" s="8">
        <v>42650.080208333333</v>
      </c>
      <c r="B7" s="23" t="s">
        <v>167</v>
      </c>
      <c r="C7" s="23" t="s">
        <v>314</v>
      </c>
      <c r="D7" s="23">
        <v>630000</v>
      </c>
      <c r="E7" s="23" t="b">
        <v>1</v>
      </c>
      <c r="F7" s="23" t="str">
        <f t="shared" si="0"/>
        <v>rtdc.l.rtdc.4051:itc</v>
      </c>
      <c r="G7" s="8">
        <f t="shared" si="1"/>
        <v>42650.080208333333</v>
      </c>
    </row>
    <row r="8" spans="1:7" x14ac:dyDescent="0.25">
      <c r="A8" s="8">
        <v>42650.08153935185</v>
      </c>
      <c r="B8" s="23" t="s">
        <v>167</v>
      </c>
      <c r="C8" s="23" t="s">
        <v>314</v>
      </c>
      <c r="D8" s="23">
        <v>630000</v>
      </c>
      <c r="E8" s="23" t="b">
        <v>1</v>
      </c>
      <c r="F8" s="23" t="str">
        <f t="shared" si="0"/>
        <v>rtdc.l.rtdc.4051:itc</v>
      </c>
      <c r="G8" s="8">
        <f t="shared" si="1"/>
        <v>42650.08153935185</v>
      </c>
    </row>
    <row r="9" spans="1:7" ht="15.75" thickBot="1" x14ac:dyDescent="0.3">
      <c r="A9" s="27">
        <v>42650.082824074074</v>
      </c>
      <c r="B9" s="23" t="s">
        <v>167</v>
      </c>
      <c r="C9" s="23" t="s">
        <v>314</v>
      </c>
      <c r="D9" s="23">
        <v>630000</v>
      </c>
      <c r="E9" s="23" t="b">
        <v>1</v>
      </c>
      <c r="F9" s="23" t="str">
        <f t="shared" si="0"/>
        <v>rtdc.l.rtdc.4051:itc</v>
      </c>
      <c r="G9" s="8">
        <f t="shared" si="1"/>
        <v>42650.082824074074</v>
      </c>
    </row>
    <row r="10" spans="1:7" x14ac:dyDescent="0.25">
      <c r="A10" s="8">
        <v>42650.090624999997</v>
      </c>
      <c r="B10" s="23" t="s">
        <v>241</v>
      </c>
      <c r="C10" s="23" t="s">
        <v>318</v>
      </c>
      <c r="D10" s="23">
        <v>1480000</v>
      </c>
      <c r="E10" s="23" t="s">
        <v>226</v>
      </c>
      <c r="F10" s="23" t="str">
        <f t="shared" si="0"/>
        <v>rtdc.l.rtdc.4009:itc</v>
      </c>
      <c r="G10" s="8">
        <f t="shared" si="1"/>
        <v>42650.090624999997</v>
      </c>
    </row>
    <row r="11" spans="1:7" x14ac:dyDescent="0.25">
      <c r="A11" s="8">
        <v>42650.101805555554</v>
      </c>
      <c r="B11" s="23" t="s">
        <v>168</v>
      </c>
      <c r="C11" s="23" t="s">
        <v>314</v>
      </c>
      <c r="D11" s="23">
        <v>630000</v>
      </c>
      <c r="E11" s="23" t="b">
        <v>1</v>
      </c>
      <c r="F11" s="23" t="str">
        <f t="shared" si="0"/>
        <v>rtdc.l.rtdc.4052:itc</v>
      </c>
      <c r="G11" s="8">
        <f t="shared" si="1"/>
        <v>42650.101805555554</v>
      </c>
    </row>
    <row r="12" spans="1:7" x14ac:dyDescent="0.25">
      <c r="A12" s="8">
        <v>42650.102453703701</v>
      </c>
      <c r="B12" s="23" t="s">
        <v>168</v>
      </c>
      <c r="C12" s="23" t="s">
        <v>314</v>
      </c>
      <c r="D12" s="23">
        <v>630000</v>
      </c>
      <c r="E12" s="23" t="b">
        <v>1</v>
      </c>
      <c r="F12" s="23" t="str">
        <f t="shared" si="0"/>
        <v>rtdc.l.rtdc.4052:itc</v>
      </c>
      <c r="G12" s="8">
        <f t="shared" si="1"/>
        <v>42650.102453703701</v>
      </c>
    </row>
    <row r="13" spans="1:7" x14ac:dyDescent="0.25">
      <c r="A13" s="8">
        <v>42650.103645833333</v>
      </c>
      <c r="B13" s="23" t="s">
        <v>168</v>
      </c>
      <c r="C13" s="23" t="s">
        <v>314</v>
      </c>
      <c r="D13" s="23">
        <v>630000</v>
      </c>
      <c r="E13" s="23" t="b">
        <v>1</v>
      </c>
      <c r="F13" s="23" t="str">
        <f t="shared" si="0"/>
        <v>rtdc.l.rtdc.4052:itc</v>
      </c>
      <c r="G13" s="8">
        <f t="shared" si="1"/>
        <v>42650.103645833333</v>
      </c>
    </row>
    <row r="14" spans="1:7" x14ac:dyDescent="0.25">
      <c r="A14" s="8">
        <v>42650.124108796299</v>
      </c>
      <c r="B14" s="23" t="s">
        <v>167</v>
      </c>
      <c r="C14" s="23" t="s">
        <v>314</v>
      </c>
      <c r="D14" s="23">
        <v>630000</v>
      </c>
      <c r="E14" s="23" t="b">
        <v>1</v>
      </c>
      <c r="F14" s="23" t="str">
        <f t="shared" si="0"/>
        <v>rtdc.l.rtdc.4051:itc</v>
      </c>
      <c r="G14" s="8">
        <f t="shared" si="1"/>
        <v>42650.124108796299</v>
      </c>
    </row>
    <row r="15" spans="1:7" x14ac:dyDescent="0.25">
      <c r="A15" s="8">
        <v>42650.133356481485</v>
      </c>
      <c r="B15" s="23" t="s">
        <v>170</v>
      </c>
      <c r="C15" s="23" t="s">
        <v>365</v>
      </c>
      <c r="D15" s="23">
        <v>2010000</v>
      </c>
      <c r="E15" s="23" t="s">
        <v>284</v>
      </c>
      <c r="F15" s="23" t="str">
        <f t="shared" si="0"/>
        <v>rtdc.l.rtdc.4042:itc</v>
      </c>
      <c r="G15" s="8">
        <f t="shared" si="1"/>
        <v>42650.133356481485</v>
      </c>
    </row>
    <row r="16" spans="1:7" x14ac:dyDescent="0.25">
      <c r="A16" s="8">
        <v>42650.143506944441</v>
      </c>
      <c r="B16" s="23" t="s">
        <v>219</v>
      </c>
      <c r="C16" s="23" t="s">
        <v>587</v>
      </c>
      <c r="D16" s="23">
        <v>1990000</v>
      </c>
      <c r="E16" s="23" t="s">
        <v>763</v>
      </c>
      <c r="F16" s="23" t="str">
        <f t="shared" si="0"/>
        <v>rtdc.l.rtdc.4017:itc</v>
      </c>
      <c r="G16" s="8">
        <f t="shared" si="1"/>
        <v>42650.143506944441</v>
      </c>
    </row>
    <row r="17" spans="1:7" x14ac:dyDescent="0.25">
      <c r="A17" s="8">
        <v>42650.151863425926</v>
      </c>
      <c r="B17" s="23" t="s">
        <v>168</v>
      </c>
      <c r="C17" s="23" t="s">
        <v>314</v>
      </c>
      <c r="D17" s="23">
        <v>630000</v>
      </c>
      <c r="E17" s="23" t="b">
        <v>1</v>
      </c>
      <c r="F17" s="23" t="str">
        <f t="shared" si="0"/>
        <v>rtdc.l.rtdc.4052:itc</v>
      </c>
      <c r="G17" s="8">
        <f t="shared" si="1"/>
        <v>42650.151863425926</v>
      </c>
    </row>
    <row r="18" spans="1:7" x14ac:dyDescent="0.25">
      <c r="A18" s="8">
        <v>42650.15488425926</v>
      </c>
      <c r="B18" s="23" t="s">
        <v>246</v>
      </c>
      <c r="C18" s="23" t="s">
        <v>369</v>
      </c>
      <c r="D18" s="23">
        <v>1990000</v>
      </c>
      <c r="E18" s="23" t="s">
        <v>763</v>
      </c>
      <c r="F18" s="23" t="str">
        <f t="shared" si="0"/>
        <v>rtdc.l.rtdc.4003:itc</v>
      </c>
      <c r="G18" s="8">
        <f t="shared" si="1"/>
        <v>42650.15488425926</v>
      </c>
    </row>
    <row r="19" spans="1:7" x14ac:dyDescent="0.25">
      <c r="A19" s="8">
        <v>42650.165324074071</v>
      </c>
      <c r="B19" s="23" t="s">
        <v>762</v>
      </c>
      <c r="C19" s="23" t="s">
        <v>591</v>
      </c>
      <c r="D19" s="23">
        <v>1310000</v>
      </c>
      <c r="E19" s="23" t="s">
        <v>764</v>
      </c>
      <c r="F19" s="23" t="str">
        <f t="shared" si="0"/>
        <v>rtdc.l.rtdc.4013:itc</v>
      </c>
      <c r="G19" s="8">
        <f t="shared" si="1"/>
        <v>42650.165324074071</v>
      </c>
    </row>
    <row r="20" spans="1:7" x14ac:dyDescent="0.25">
      <c r="A20" s="8">
        <v>42650.169131944444</v>
      </c>
      <c r="B20" s="23" t="s">
        <v>759</v>
      </c>
      <c r="C20" s="23" t="s">
        <v>367</v>
      </c>
      <c r="D20" s="23">
        <v>2010000</v>
      </c>
      <c r="E20" s="23" t="s">
        <v>284</v>
      </c>
      <c r="F20" s="23" t="str">
        <f t="shared" si="0"/>
        <v>rtdc.l.rtdc.4037:itc</v>
      </c>
      <c r="G20" s="8">
        <f t="shared" si="1"/>
        <v>42650.169131944444</v>
      </c>
    </row>
    <row r="21" spans="1:7" x14ac:dyDescent="0.25">
      <c r="A21" s="8">
        <v>42650.171099537038</v>
      </c>
      <c r="B21" s="23" t="s">
        <v>761</v>
      </c>
      <c r="C21" s="23" t="s">
        <v>596</v>
      </c>
      <c r="D21" s="23">
        <v>1190000</v>
      </c>
      <c r="E21" s="23" t="s">
        <v>262</v>
      </c>
      <c r="F21" s="23" t="str">
        <f t="shared" si="0"/>
        <v>rtdc.l.rtdc.4019:itc</v>
      </c>
      <c r="G21" s="8">
        <f t="shared" si="1"/>
        <v>42650.171099537038</v>
      </c>
    </row>
    <row r="22" spans="1:7" x14ac:dyDescent="0.25">
      <c r="A22" s="29">
        <v>42650.173738425925</v>
      </c>
      <c r="B22" s="23" t="s">
        <v>167</v>
      </c>
      <c r="C22" s="23" t="s">
        <v>314</v>
      </c>
      <c r="D22" s="23">
        <v>630000</v>
      </c>
      <c r="E22" s="23" t="b">
        <v>1</v>
      </c>
      <c r="F22" s="23" t="str">
        <f t="shared" si="0"/>
        <v>rtdc.l.rtdc.4051:itc</v>
      </c>
      <c r="G22" s="8">
        <f t="shared" si="1"/>
        <v>42650.173738425925</v>
      </c>
    </row>
    <row r="23" spans="1:7" x14ac:dyDescent="0.25">
      <c r="A23" s="8">
        <v>42650.178877314815</v>
      </c>
      <c r="B23" s="23" t="s">
        <v>307</v>
      </c>
      <c r="C23" s="23" t="s">
        <v>373</v>
      </c>
      <c r="D23" s="23">
        <v>1310000</v>
      </c>
      <c r="E23" s="23" t="s">
        <v>764</v>
      </c>
      <c r="F23" s="23" t="str">
        <f t="shared" si="0"/>
        <v>rtdc.l.rtdc.4046:itc</v>
      </c>
      <c r="G23" s="8">
        <f t="shared" si="1"/>
        <v>42650.178877314815</v>
      </c>
    </row>
    <row r="24" spans="1:7" x14ac:dyDescent="0.25">
      <c r="A24" s="8">
        <v>42650.180925925924</v>
      </c>
      <c r="B24" s="23" t="s">
        <v>760</v>
      </c>
      <c r="C24" s="23" t="s">
        <v>378</v>
      </c>
      <c r="D24" s="23">
        <v>1190000</v>
      </c>
      <c r="E24" s="23" t="s">
        <v>262</v>
      </c>
      <c r="F24" s="23" t="str">
        <f t="shared" si="0"/>
        <v>rtdc.l.rtdc.4020:itc</v>
      </c>
      <c r="G24" s="8">
        <f t="shared" si="1"/>
        <v>42650.180925925924</v>
      </c>
    </row>
    <row r="25" spans="1:7" x14ac:dyDescent="0.25">
      <c r="A25" s="8">
        <v>42650.184074074074</v>
      </c>
      <c r="B25" s="23" t="s">
        <v>267</v>
      </c>
      <c r="C25" s="23" t="s">
        <v>600</v>
      </c>
      <c r="D25" s="23">
        <v>1100000</v>
      </c>
      <c r="E25" s="23" t="s">
        <v>269</v>
      </c>
      <c r="F25" s="23" t="str">
        <f t="shared" si="0"/>
        <v>rtdc.l.rtdc.4008:itc</v>
      </c>
      <c r="G25" s="8">
        <f t="shared" si="1"/>
        <v>42650.184074074074</v>
      </c>
    </row>
    <row r="26" spans="1:7" x14ac:dyDescent="0.25">
      <c r="A26" s="8">
        <v>42650.190891203703</v>
      </c>
      <c r="B26" s="23" t="s">
        <v>219</v>
      </c>
      <c r="C26" s="23" t="s">
        <v>371</v>
      </c>
      <c r="D26" s="23">
        <v>1990000</v>
      </c>
      <c r="E26" s="23" t="s">
        <v>763</v>
      </c>
      <c r="F26" s="23" t="str">
        <f t="shared" si="0"/>
        <v>rtdc.l.rtdc.4017:itc</v>
      </c>
      <c r="G26" s="8">
        <f t="shared" si="1"/>
        <v>42650.190891203703</v>
      </c>
    </row>
    <row r="27" spans="1:7" x14ac:dyDescent="0.25">
      <c r="A27" s="8">
        <v>42650.195011574076</v>
      </c>
      <c r="B27" s="23" t="s">
        <v>270</v>
      </c>
      <c r="C27" s="23" t="s">
        <v>380</v>
      </c>
      <c r="D27" s="23">
        <v>1100000</v>
      </c>
      <c r="E27" s="23" t="s">
        <v>269</v>
      </c>
      <c r="F27" s="23" t="str">
        <f t="shared" si="0"/>
        <v>rtdc.l.rtdc.4007:itc</v>
      </c>
      <c r="G27" s="8">
        <f t="shared" si="1"/>
        <v>42650.195011574076</v>
      </c>
    </row>
    <row r="28" spans="1:7" x14ac:dyDescent="0.25">
      <c r="A28" s="8">
        <v>42650.201053240744</v>
      </c>
      <c r="B28" s="23" t="s">
        <v>240</v>
      </c>
      <c r="C28" s="23" t="s">
        <v>746</v>
      </c>
      <c r="D28" s="23">
        <v>1760000</v>
      </c>
      <c r="E28" s="23" t="s">
        <v>285</v>
      </c>
      <c r="F28" s="23" t="str">
        <f t="shared" si="0"/>
        <v>rtdc.l.rtdc.4053:itc</v>
      </c>
      <c r="G28" s="8">
        <f t="shared" si="1"/>
        <v>42650.201053240744</v>
      </c>
    </row>
    <row r="29" spans="1:7" x14ac:dyDescent="0.25">
      <c r="A29" s="8">
        <v>42650.207800925928</v>
      </c>
      <c r="B29" s="23" t="s">
        <v>170</v>
      </c>
      <c r="C29" s="23" t="s">
        <v>384</v>
      </c>
      <c r="D29" s="23">
        <v>1090000</v>
      </c>
      <c r="E29" s="23" t="s">
        <v>765</v>
      </c>
      <c r="F29" s="23" t="str">
        <f t="shared" si="0"/>
        <v>rtdc.l.rtdc.4042:itc</v>
      </c>
      <c r="G29" s="8">
        <f t="shared" si="1"/>
        <v>42650.207800925928</v>
      </c>
    </row>
    <row r="30" spans="1:7" x14ac:dyDescent="0.25">
      <c r="A30" s="8">
        <v>42650.209016203706</v>
      </c>
      <c r="B30" s="23" t="s">
        <v>308</v>
      </c>
      <c r="C30" s="23" t="s">
        <v>648</v>
      </c>
      <c r="D30" s="23">
        <v>1760000</v>
      </c>
      <c r="E30" s="23" t="s">
        <v>285</v>
      </c>
      <c r="F30" s="23" t="str">
        <f t="shared" si="0"/>
        <v>rtdc.l.rtdc.4054:itc</v>
      </c>
      <c r="G30" s="8">
        <f t="shared" si="1"/>
        <v>42650.209016203706</v>
      </c>
    </row>
    <row r="31" spans="1:7" x14ac:dyDescent="0.25">
      <c r="A31" s="8">
        <v>42650.21056712963</v>
      </c>
      <c r="B31" s="23" t="s">
        <v>766</v>
      </c>
      <c r="C31" s="23" t="s">
        <v>387</v>
      </c>
      <c r="D31" s="23">
        <v>2010000</v>
      </c>
      <c r="E31" s="23" t="s">
        <v>284</v>
      </c>
      <c r="F31" s="23" t="str">
        <f t="shared" si="0"/>
        <v>rtdc.l.rtdc.4038:itc</v>
      </c>
      <c r="G31" s="8">
        <f t="shared" si="1"/>
        <v>42650.21056712963</v>
      </c>
    </row>
    <row r="32" spans="1:7" x14ac:dyDescent="0.25">
      <c r="A32" s="8">
        <v>42650.212476851855</v>
      </c>
      <c r="B32" s="23" t="s">
        <v>766</v>
      </c>
      <c r="C32" s="23" t="s">
        <v>387</v>
      </c>
      <c r="D32" s="23">
        <v>2010000</v>
      </c>
      <c r="E32" s="23" t="s">
        <v>284</v>
      </c>
      <c r="F32" s="23" t="str">
        <f t="shared" si="0"/>
        <v>rtdc.l.rtdc.4038:itc</v>
      </c>
      <c r="G32" s="8">
        <f t="shared" si="1"/>
        <v>42650.212476851855</v>
      </c>
    </row>
    <row r="33" spans="1:7" x14ac:dyDescent="0.25">
      <c r="A33" s="8">
        <v>42650.213020833333</v>
      </c>
      <c r="B33" s="23" t="s">
        <v>762</v>
      </c>
      <c r="C33" s="23" t="s">
        <v>375</v>
      </c>
      <c r="D33" s="23">
        <v>1310000</v>
      </c>
      <c r="E33" s="23" t="s">
        <v>764</v>
      </c>
      <c r="F33" s="23" t="str">
        <f t="shared" si="0"/>
        <v>rtdc.l.rtdc.4013:itc</v>
      </c>
      <c r="G33" s="8">
        <f t="shared" si="1"/>
        <v>42650.213020833333</v>
      </c>
    </row>
    <row r="34" spans="1:7" x14ac:dyDescent="0.25">
      <c r="A34" s="8">
        <v>42650.213402777779</v>
      </c>
      <c r="B34" s="23" t="s">
        <v>270</v>
      </c>
      <c r="C34" s="23" t="s">
        <v>380</v>
      </c>
      <c r="D34" s="23">
        <v>1100000</v>
      </c>
      <c r="E34" s="23" t="s">
        <v>269</v>
      </c>
      <c r="F34" s="23" t="str">
        <f t="shared" si="0"/>
        <v>rtdc.l.rtdc.4007:itc</v>
      </c>
      <c r="G34" s="8">
        <f t="shared" si="1"/>
        <v>42650.213402777779</v>
      </c>
    </row>
    <row r="35" spans="1:7" x14ac:dyDescent="0.25">
      <c r="A35" s="8">
        <v>42650.222928240742</v>
      </c>
      <c r="B35" s="23" t="s">
        <v>761</v>
      </c>
      <c r="C35" s="23" t="s">
        <v>379</v>
      </c>
      <c r="D35" s="23">
        <v>1190000</v>
      </c>
      <c r="E35" s="23" t="s">
        <v>262</v>
      </c>
      <c r="F35" s="23" t="str">
        <f t="shared" si="0"/>
        <v>rtdc.l.rtdc.4019:itc</v>
      </c>
      <c r="G35" s="8">
        <f t="shared" si="1"/>
        <v>42650.222928240742</v>
      </c>
    </row>
    <row r="36" spans="1:7" x14ac:dyDescent="0.25">
      <c r="A36" s="8">
        <v>42650.231863425928</v>
      </c>
      <c r="B36" s="23" t="s">
        <v>246</v>
      </c>
      <c r="C36" s="23" t="s">
        <v>390</v>
      </c>
      <c r="D36" s="23">
        <v>900000</v>
      </c>
      <c r="E36" s="23" t="s">
        <v>286</v>
      </c>
      <c r="F36" s="23" t="str">
        <f t="shared" si="0"/>
        <v>rtdc.l.rtdc.4003:itc</v>
      </c>
      <c r="G36" s="8">
        <f t="shared" si="1"/>
        <v>42650.231863425928</v>
      </c>
    </row>
    <row r="37" spans="1:7" x14ac:dyDescent="0.25">
      <c r="A37" s="8">
        <v>42650.233159722222</v>
      </c>
      <c r="B37" s="23" t="s">
        <v>267</v>
      </c>
      <c r="C37" s="23" t="s">
        <v>383</v>
      </c>
      <c r="D37" s="23">
        <v>1100000</v>
      </c>
      <c r="E37" s="23" t="s">
        <v>269</v>
      </c>
      <c r="F37" s="23" t="str">
        <f t="shared" si="0"/>
        <v>rtdc.l.rtdc.4008:itc</v>
      </c>
      <c r="G37" s="8">
        <f t="shared" si="1"/>
        <v>42650.233159722222</v>
      </c>
    </row>
    <row r="38" spans="1:7" x14ac:dyDescent="0.25">
      <c r="A38" s="8">
        <v>42650.233541666668</v>
      </c>
      <c r="B38" s="23" t="s">
        <v>220</v>
      </c>
      <c r="C38" s="23" t="s">
        <v>392</v>
      </c>
      <c r="D38" s="23">
        <v>1990000</v>
      </c>
      <c r="E38" s="23" t="s">
        <v>763</v>
      </c>
      <c r="F38" s="23" t="str">
        <f t="shared" si="0"/>
        <v>rtdc.l.rtdc.4018:itc</v>
      </c>
      <c r="G38" s="8">
        <f t="shared" si="1"/>
        <v>42650.233541666668</v>
      </c>
    </row>
    <row r="39" spans="1:7" x14ac:dyDescent="0.25">
      <c r="A39" s="8">
        <v>42650.236157407409</v>
      </c>
      <c r="B39" s="23" t="s">
        <v>220</v>
      </c>
      <c r="C39" s="23" t="s">
        <v>392</v>
      </c>
      <c r="D39" s="23">
        <v>1990000</v>
      </c>
      <c r="E39" s="23" t="s">
        <v>763</v>
      </c>
      <c r="F39" s="23" t="str">
        <f t="shared" si="0"/>
        <v>rtdc.l.rtdc.4018:itc</v>
      </c>
      <c r="G39" s="8">
        <f t="shared" si="1"/>
        <v>42650.236157407409</v>
      </c>
    </row>
    <row r="40" spans="1:7" x14ac:dyDescent="0.25">
      <c r="A40" s="8">
        <v>42650.236388888887</v>
      </c>
      <c r="B40" s="28" t="s">
        <v>240</v>
      </c>
      <c r="C40" s="23" t="s">
        <v>651</v>
      </c>
      <c r="D40" s="23">
        <v>1760000</v>
      </c>
      <c r="E40" s="23" t="s">
        <v>285</v>
      </c>
      <c r="F40" s="23" t="str">
        <f t="shared" si="0"/>
        <v>rtdc.l.rtdc.4053:itc</v>
      </c>
      <c r="G40" s="8">
        <f t="shared" si="1"/>
        <v>42650.236388888887</v>
      </c>
    </row>
    <row r="41" spans="1:7" x14ac:dyDescent="0.25">
      <c r="A41" s="8">
        <v>42650.237083333333</v>
      </c>
      <c r="B41" s="23" t="s">
        <v>220</v>
      </c>
      <c r="C41" s="23" t="s">
        <v>392</v>
      </c>
      <c r="D41" s="23">
        <v>1990000</v>
      </c>
      <c r="E41" s="23" t="s">
        <v>763</v>
      </c>
      <c r="F41" s="23" t="str">
        <f t="shared" si="0"/>
        <v>rtdc.l.rtdc.4018:itc</v>
      </c>
      <c r="G41" s="8">
        <f t="shared" si="1"/>
        <v>42650.237083333333</v>
      </c>
    </row>
    <row r="42" spans="1:7" x14ac:dyDescent="0.25">
      <c r="A42" s="8">
        <v>42650.245081018518</v>
      </c>
      <c r="B42" s="23" t="s">
        <v>169</v>
      </c>
      <c r="C42" s="23" t="s">
        <v>386</v>
      </c>
      <c r="D42" s="23">
        <v>1090000</v>
      </c>
      <c r="E42" s="23" t="s">
        <v>765</v>
      </c>
      <c r="F42" s="23" t="str">
        <f t="shared" si="0"/>
        <v>rtdc.l.rtdc.4041:itc</v>
      </c>
      <c r="G42" s="8">
        <f t="shared" si="1"/>
        <v>42650.245081018518</v>
      </c>
    </row>
    <row r="43" spans="1:7" x14ac:dyDescent="0.25">
      <c r="A43" s="8">
        <v>42650.247499999998</v>
      </c>
      <c r="B43" s="23" t="s">
        <v>166</v>
      </c>
      <c r="C43" s="23" t="s">
        <v>748</v>
      </c>
      <c r="D43" s="23">
        <v>1340000</v>
      </c>
      <c r="E43" s="23" t="s">
        <v>767</v>
      </c>
      <c r="F43" s="23" t="str">
        <f t="shared" si="0"/>
        <v>rtdc.l.rtdc.4026:itc</v>
      </c>
      <c r="G43" s="8">
        <f t="shared" si="1"/>
        <v>42650.247499999998</v>
      </c>
    </row>
    <row r="44" spans="1:7" x14ac:dyDescent="0.25">
      <c r="A44" s="8">
        <v>42650.250798611109</v>
      </c>
      <c r="B44" s="23" t="s">
        <v>307</v>
      </c>
      <c r="C44" s="23" t="s">
        <v>395</v>
      </c>
      <c r="D44" s="23">
        <v>1310000</v>
      </c>
      <c r="E44" s="23" t="s">
        <v>764</v>
      </c>
      <c r="F44" s="23" t="str">
        <f t="shared" si="0"/>
        <v>rtdc.l.rtdc.4046:itc</v>
      </c>
      <c r="G44" s="8">
        <f t="shared" si="1"/>
        <v>42650.250798611109</v>
      </c>
    </row>
    <row r="45" spans="1:7" x14ac:dyDescent="0.25">
      <c r="A45" s="8">
        <v>42650.252303240741</v>
      </c>
      <c r="B45" s="23" t="s">
        <v>166</v>
      </c>
      <c r="C45" s="23" t="s">
        <v>748</v>
      </c>
      <c r="D45" s="23">
        <v>1340000</v>
      </c>
      <c r="E45" s="23" t="s">
        <v>767</v>
      </c>
      <c r="F45" s="23" t="str">
        <f t="shared" si="0"/>
        <v>rtdc.l.rtdc.4026:itc</v>
      </c>
      <c r="G45" s="8">
        <f t="shared" si="1"/>
        <v>42650.252303240741</v>
      </c>
    </row>
    <row r="46" spans="1:7" x14ac:dyDescent="0.25">
      <c r="A46" s="8">
        <v>42650.255370370367</v>
      </c>
      <c r="B46" s="23" t="s">
        <v>759</v>
      </c>
      <c r="C46" s="23" t="s">
        <v>388</v>
      </c>
      <c r="D46" s="23">
        <v>2010000</v>
      </c>
      <c r="E46" s="23" t="s">
        <v>284</v>
      </c>
      <c r="F46" s="23" t="str">
        <f t="shared" si="0"/>
        <v>rtdc.l.rtdc.4037:itc</v>
      </c>
      <c r="G46" s="8">
        <f t="shared" si="1"/>
        <v>42650.255370370367</v>
      </c>
    </row>
    <row r="47" spans="1:7" x14ac:dyDescent="0.25">
      <c r="A47" s="8">
        <v>42650.256516203706</v>
      </c>
      <c r="B47" s="23" t="s">
        <v>308</v>
      </c>
      <c r="C47" s="23" t="s">
        <v>653</v>
      </c>
      <c r="D47" s="23">
        <v>1760000</v>
      </c>
      <c r="E47" s="23" t="s">
        <v>285</v>
      </c>
      <c r="F47" s="23" t="str">
        <f t="shared" si="0"/>
        <v>rtdc.l.rtdc.4054:itc</v>
      </c>
      <c r="G47" s="8">
        <f t="shared" si="1"/>
        <v>42650.256516203706</v>
      </c>
    </row>
    <row r="48" spans="1:7" x14ac:dyDescent="0.25">
      <c r="A48" s="8">
        <v>42650.258622685185</v>
      </c>
      <c r="B48" s="23" t="s">
        <v>760</v>
      </c>
      <c r="C48" s="23" t="s">
        <v>399</v>
      </c>
      <c r="D48" s="23">
        <v>1190000</v>
      </c>
      <c r="E48" s="23" t="s">
        <v>262</v>
      </c>
      <c r="F48" s="23" t="str">
        <f t="shared" si="0"/>
        <v>rtdc.l.rtdc.4020:itc</v>
      </c>
      <c r="G48" s="8">
        <f t="shared" si="1"/>
        <v>42650.258622685185</v>
      </c>
    </row>
    <row r="49" spans="1:7" x14ac:dyDescent="0.25">
      <c r="A49" s="8">
        <v>42650.267372685186</v>
      </c>
      <c r="B49" s="23" t="s">
        <v>247</v>
      </c>
      <c r="C49" s="23" t="s">
        <v>391</v>
      </c>
      <c r="D49" s="23">
        <v>900000</v>
      </c>
      <c r="E49" s="23" t="s">
        <v>286</v>
      </c>
      <c r="F49" s="23" t="str">
        <f t="shared" si="0"/>
        <v>rtdc.l.rtdc.4004:itc</v>
      </c>
      <c r="G49" s="8">
        <f t="shared" si="1"/>
        <v>42650.267372685186</v>
      </c>
    </row>
    <row r="50" spans="1:7" x14ac:dyDescent="0.25">
      <c r="A50" s="8">
        <v>42650.26934027778</v>
      </c>
      <c r="B50" s="23" t="s">
        <v>270</v>
      </c>
      <c r="C50" s="23" t="s">
        <v>403</v>
      </c>
      <c r="D50" s="23">
        <v>1100000</v>
      </c>
      <c r="E50" s="23" t="s">
        <v>269</v>
      </c>
      <c r="F50" s="23" t="str">
        <f t="shared" si="0"/>
        <v>rtdc.l.rtdc.4007:itc</v>
      </c>
      <c r="G50" s="8">
        <f t="shared" si="1"/>
        <v>42650.26934027778</v>
      </c>
    </row>
    <row r="51" spans="1:7" x14ac:dyDescent="0.25">
      <c r="A51" s="8">
        <v>42650.275520833333</v>
      </c>
      <c r="B51" s="23" t="s">
        <v>219</v>
      </c>
      <c r="C51" s="23" t="s">
        <v>393</v>
      </c>
      <c r="D51" s="23">
        <v>1990000</v>
      </c>
      <c r="E51" s="23" t="s">
        <v>763</v>
      </c>
      <c r="F51" s="23" t="str">
        <f t="shared" si="0"/>
        <v>rtdc.l.rtdc.4017:itc</v>
      </c>
      <c r="G51" s="8">
        <f t="shared" si="1"/>
        <v>42650.275520833333</v>
      </c>
    </row>
    <row r="52" spans="1:7" x14ac:dyDescent="0.25">
      <c r="A52" s="8">
        <v>42650.276712962965</v>
      </c>
      <c r="B52" s="23" t="s">
        <v>166</v>
      </c>
      <c r="C52" s="23" t="s">
        <v>655</v>
      </c>
      <c r="D52" s="23">
        <v>1340000</v>
      </c>
      <c r="E52" s="23" t="s">
        <v>767</v>
      </c>
      <c r="F52" s="23" t="str">
        <f t="shared" si="0"/>
        <v>rtdc.l.rtdc.4026:itc</v>
      </c>
      <c r="G52" s="8">
        <f t="shared" si="1"/>
        <v>42650.276712962965</v>
      </c>
    </row>
    <row r="53" spans="1:7" x14ac:dyDescent="0.25">
      <c r="A53" s="8">
        <v>42650.277280092596</v>
      </c>
      <c r="B53" s="23" t="s">
        <v>240</v>
      </c>
      <c r="C53" s="23" t="s">
        <v>659</v>
      </c>
      <c r="D53" s="23">
        <v>1760000</v>
      </c>
      <c r="E53" s="23" t="s">
        <v>285</v>
      </c>
      <c r="F53" s="23" t="str">
        <f t="shared" si="0"/>
        <v>rtdc.l.rtdc.4053:itc</v>
      </c>
      <c r="G53" s="8">
        <f t="shared" si="1"/>
        <v>42650.277280092596</v>
      </c>
    </row>
    <row r="54" spans="1:7" x14ac:dyDescent="0.25">
      <c r="A54" s="8">
        <v>42650.279594907406</v>
      </c>
      <c r="B54" s="23" t="s">
        <v>170</v>
      </c>
      <c r="C54" s="23" t="s">
        <v>407</v>
      </c>
      <c r="D54" s="23">
        <v>1090000</v>
      </c>
      <c r="E54" s="23" t="s">
        <v>765</v>
      </c>
      <c r="F54" s="23" t="str">
        <f t="shared" si="0"/>
        <v>rtdc.l.rtdc.4042:itc</v>
      </c>
      <c r="G54" s="8">
        <f t="shared" si="1"/>
        <v>42650.279594907406</v>
      </c>
    </row>
    <row r="55" spans="1:7" x14ac:dyDescent="0.25">
      <c r="A55" s="8">
        <v>42650.28460648148</v>
      </c>
      <c r="B55" s="23" t="s">
        <v>309</v>
      </c>
      <c r="C55" s="23" t="s">
        <v>397</v>
      </c>
      <c r="D55" s="23">
        <v>1310000</v>
      </c>
      <c r="E55" s="23" t="s">
        <v>764</v>
      </c>
      <c r="F55" s="23" t="str">
        <f t="shared" si="0"/>
        <v>rtdc.l.rtdc.4045:itc</v>
      </c>
      <c r="G55" s="8">
        <f t="shared" si="1"/>
        <v>42650.28460648148</v>
      </c>
    </row>
    <row r="56" spans="1:7" x14ac:dyDescent="0.25">
      <c r="A56" s="8">
        <v>42650.285775462966</v>
      </c>
      <c r="B56" s="23" t="s">
        <v>166</v>
      </c>
      <c r="C56" s="23" t="s">
        <v>655</v>
      </c>
      <c r="D56" s="23">
        <v>1340000</v>
      </c>
      <c r="E56" s="23" t="s">
        <v>767</v>
      </c>
      <c r="F56" s="23" t="str">
        <f t="shared" si="0"/>
        <v>rtdc.l.rtdc.4026:itc</v>
      </c>
      <c r="G56" s="8">
        <f t="shared" si="1"/>
        <v>42650.285775462966</v>
      </c>
    </row>
    <row r="57" spans="1:7" x14ac:dyDescent="0.25">
      <c r="A57" s="8">
        <v>42650.288229166668</v>
      </c>
      <c r="B57" s="23" t="s">
        <v>766</v>
      </c>
      <c r="C57" s="23" t="s">
        <v>409</v>
      </c>
      <c r="D57" s="23">
        <v>2010000</v>
      </c>
      <c r="E57" s="23" t="s">
        <v>284</v>
      </c>
      <c r="F57" s="23" t="str">
        <f t="shared" si="0"/>
        <v>rtdc.l.rtdc.4038:itc</v>
      </c>
      <c r="G57" s="8">
        <f t="shared" si="1"/>
        <v>42650.288229166668</v>
      </c>
    </row>
    <row r="58" spans="1:7" x14ac:dyDescent="0.25">
      <c r="A58" s="8">
        <v>42650.294583333336</v>
      </c>
      <c r="B58" s="23" t="s">
        <v>761</v>
      </c>
      <c r="C58" s="23" t="s">
        <v>401</v>
      </c>
      <c r="D58" s="23">
        <v>1190000</v>
      </c>
      <c r="E58" s="23" t="s">
        <v>262</v>
      </c>
      <c r="F58" s="23" t="str">
        <f t="shared" si="0"/>
        <v>rtdc.l.rtdc.4019:itc</v>
      </c>
      <c r="G58" s="8">
        <f t="shared" si="1"/>
        <v>42650.294583333336</v>
      </c>
    </row>
    <row r="59" spans="1:7" x14ac:dyDescent="0.25">
      <c r="A59" s="8">
        <v>42650.297361111108</v>
      </c>
      <c r="B59" s="23" t="s">
        <v>308</v>
      </c>
      <c r="C59" s="23" t="s">
        <v>662</v>
      </c>
      <c r="D59" s="23">
        <v>1760000</v>
      </c>
      <c r="E59" s="23" t="s">
        <v>285</v>
      </c>
      <c r="F59" s="23" t="str">
        <f t="shared" si="0"/>
        <v>rtdc.l.rtdc.4054:itc</v>
      </c>
      <c r="G59" s="8">
        <f t="shared" si="1"/>
        <v>42650.297361111108</v>
      </c>
    </row>
    <row r="60" spans="1:7" x14ac:dyDescent="0.25">
      <c r="A60" s="8">
        <v>42650.301180555558</v>
      </c>
      <c r="B60" s="23" t="s">
        <v>246</v>
      </c>
      <c r="C60" s="23" t="s">
        <v>412</v>
      </c>
      <c r="D60" s="23">
        <v>900000</v>
      </c>
      <c r="E60" s="23" t="s">
        <v>286</v>
      </c>
      <c r="F60" s="23" t="str">
        <f t="shared" si="0"/>
        <v>rtdc.l.rtdc.4003:itc</v>
      </c>
      <c r="G60" s="8">
        <f t="shared" si="1"/>
        <v>42650.301180555558</v>
      </c>
    </row>
    <row r="61" spans="1:7" x14ac:dyDescent="0.25">
      <c r="A61" s="8">
        <v>42650.304039351853</v>
      </c>
      <c r="B61" s="23" t="s">
        <v>165</v>
      </c>
      <c r="C61" s="23" t="s">
        <v>664</v>
      </c>
      <c r="D61" s="23">
        <v>1340000</v>
      </c>
      <c r="E61" s="23" t="s">
        <v>767</v>
      </c>
      <c r="F61" s="23" t="str">
        <f t="shared" si="0"/>
        <v>rtdc.l.rtdc.4025:itc</v>
      </c>
      <c r="G61" s="8">
        <f t="shared" si="1"/>
        <v>42650.304039351853</v>
      </c>
    </row>
    <row r="62" spans="1:7" x14ac:dyDescent="0.25">
      <c r="A62" s="8">
        <v>42650.305775462963</v>
      </c>
      <c r="B62" s="23" t="s">
        <v>267</v>
      </c>
      <c r="C62" s="23" t="s">
        <v>405</v>
      </c>
      <c r="D62" s="23">
        <v>1100000</v>
      </c>
      <c r="E62" s="23" t="s">
        <v>269</v>
      </c>
      <c r="F62" s="23" t="str">
        <f t="shared" si="0"/>
        <v>rtdc.l.rtdc.4008:itc</v>
      </c>
      <c r="G62" s="8">
        <f t="shared" si="1"/>
        <v>42650.305775462963</v>
      </c>
    </row>
    <row r="63" spans="1:7" x14ac:dyDescent="0.25">
      <c r="A63" s="8">
        <v>42650.308912037035</v>
      </c>
      <c r="B63" s="23" t="s">
        <v>220</v>
      </c>
      <c r="C63" s="23" t="s">
        <v>414</v>
      </c>
      <c r="D63" s="23">
        <v>1990000</v>
      </c>
      <c r="E63" s="23" t="s">
        <v>763</v>
      </c>
      <c r="F63" s="23" t="str">
        <f t="shared" si="0"/>
        <v>rtdc.l.rtdc.4018:itc</v>
      </c>
      <c r="G63" s="8">
        <f t="shared" si="1"/>
        <v>42650.308912037035</v>
      </c>
    </row>
    <row r="64" spans="1:7" x14ac:dyDescent="0.25">
      <c r="A64" s="29">
        <v>42650.314432870371</v>
      </c>
      <c r="B64" s="23" t="s">
        <v>169</v>
      </c>
      <c r="C64" s="23" t="s">
        <v>408</v>
      </c>
      <c r="D64" s="23">
        <v>1090000</v>
      </c>
      <c r="E64" s="23" t="s">
        <v>765</v>
      </c>
      <c r="F64" s="23" t="str">
        <f t="shared" si="0"/>
        <v>rtdc.l.rtdc.4041:itc</v>
      </c>
      <c r="G64" s="8">
        <f t="shared" si="1"/>
        <v>42650.314432870371</v>
      </c>
    </row>
    <row r="65" spans="1:7" x14ac:dyDescent="0.25">
      <c r="A65" s="8">
        <v>42650.318252314813</v>
      </c>
      <c r="B65" s="23" t="s">
        <v>166</v>
      </c>
      <c r="C65" s="23" t="s">
        <v>665</v>
      </c>
      <c r="D65" s="23">
        <v>1340000</v>
      </c>
      <c r="E65" s="23" t="s">
        <v>767</v>
      </c>
      <c r="F65" s="23" t="str">
        <f t="shared" si="0"/>
        <v>rtdc.l.rtdc.4026:itc</v>
      </c>
      <c r="G65" s="8">
        <f t="shared" si="1"/>
        <v>42650.318252314813</v>
      </c>
    </row>
    <row r="66" spans="1:7" x14ac:dyDescent="0.25">
      <c r="A66" s="8">
        <v>42650.322256944448</v>
      </c>
      <c r="B66" s="23" t="s">
        <v>240</v>
      </c>
      <c r="C66" s="23" t="s">
        <v>668</v>
      </c>
      <c r="D66" s="23">
        <v>1760000</v>
      </c>
      <c r="E66" s="23" t="s">
        <v>285</v>
      </c>
      <c r="F66" s="23" t="str">
        <f t="shared" ref="F66:F129" si="2">B66</f>
        <v>rtdc.l.rtdc.4053:itc</v>
      </c>
      <c r="G66" s="8">
        <f t="shared" ref="G66:G129" si="3">A66</f>
        <v>42650.322256944448</v>
      </c>
    </row>
    <row r="67" spans="1:7" x14ac:dyDescent="0.25">
      <c r="A67" s="8">
        <v>42650.322476851848</v>
      </c>
      <c r="B67" s="23" t="s">
        <v>307</v>
      </c>
      <c r="C67" s="23" t="s">
        <v>419</v>
      </c>
      <c r="D67" s="23">
        <v>1310000</v>
      </c>
      <c r="E67" s="23" t="s">
        <v>764</v>
      </c>
      <c r="F67" s="23" t="str">
        <f t="shared" si="2"/>
        <v>rtdc.l.rtdc.4046:itc</v>
      </c>
      <c r="G67" s="8">
        <f t="shared" si="3"/>
        <v>42650.322476851848</v>
      </c>
    </row>
    <row r="68" spans="1:7" x14ac:dyDescent="0.25">
      <c r="A68" s="8">
        <v>42650.323159722226</v>
      </c>
      <c r="B68" s="23" t="s">
        <v>759</v>
      </c>
      <c r="C68" s="23" t="s">
        <v>410</v>
      </c>
      <c r="D68" s="23">
        <v>2010000</v>
      </c>
      <c r="E68" s="23" t="s">
        <v>284</v>
      </c>
      <c r="F68" s="23" t="str">
        <f t="shared" si="2"/>
        <v>rtdc.l.rtdc.4037:itc</v>
      </c>
      <c r="G68" s="8">
        <f t="shared" si="3"/>
        <v>42650.323159722226</v>
      </c>
    </row>
    <row r="69" spans="1:7" x14ac:dyDescent="0.25">
      <c r="A69" s="8">
        <v>42650.328923611109</v>
      </c>
      <c r="B69" s="23" t="s">
        <v>760</v>
      </c>
      <c r="C69" s="23" t="s">
        <v>423</v>
      </c>
      <c r="D69" s="23">
        <v>1190000</v>
      </c>
      <c r="E69" s="23" t="s">
        <v>262</v>
      </c>
      <c r="F69" s="23" t="str">
        <f t="shared" si="2"/>
        <v>rtdc.l.rtdc.4020:itc</v>
      </c>
      <c r="G69" s="8">
        <f t="shared" si="3"/>
        <v>42650.328923611109</v>
      </c>
    </row>
    <row r="70" spans="1:7" x14ac:dyDescent="0.25">
      <c r="A70" s="8">
        <v>42650.33902777778</v>
      </c>
      <c r="B70" s="23" t="s">
        <v>247</v>
      </c>
      <c r="C70" s="23" t="s">
        <v>413</v>
      </c>
      <c r="D70" s="23">
        <v>900000</v>
      </c>
      <c r="E70" s="23" t="s">
        <v>286</v>
      </c>
      <c r="F70" s="23" t="str">
        <f t="shared" si="2"/>
        <v>rtdc.l.rtdc.4004:itc</v>
      </c>
      <c r="G70" s="8">
        <f t="shared" si="3"/>
        <v>42650.33902777778</v>
      </c>
    </row>
    <row r="71" spans="1:7" x14ac:dyDescent="0.25">
      <c r="A71" s="8">
        <v>42650.339236111111</v>
      </c>
      <c r="B71" s="23" t="s">
        <v>308</v>
      </c>
      <c r="C71" s="23" t="s">
        <v>669</v>
      </c>
      <c r="D71" s="23">
        <v>1760000</v>
      </c>
      <c r="E71" s="23" t="s">
        <v>285</v>
      </c>
      <c r="F71" s="23" t="str">
        <f t="shared" si="2"/>
        <v>rtdc.l.rtdc.4054:itc</v>
      </c>
      <c r="G71" s="8">
        <f t="shared" si="3"/>
        <v>42650.339236111111</v>
      </c>
    </row>
    <row r="72" spans="1:7" x14ac:dyDescent="0.25">
      <c r="A72" s="8">
        <v>42650.339328703703</v>
      </c>
      <c r="B72" s="23" t="s">
        <v>270</v>
      </c>
      <c r="C72" s="23" t="s">
        <v>425</v>
      </c>
      <c r="D72" s="23">
        <v>1100000</v>
      </c>
      <c r="E72" s="23" t="s">
        <v>269</v>
      </c>
      <c r="F72" s="23" t="str">
        <f t="shared" si="2"/>
        <v>rtdc.l.rtdc.4007:itc</v>
      </c>
      <c r="G72" s="8">
        <f t="shared" si="3"/>
        <v>42650.339328703703</v>
      </c>
    </row>
    <row r="73" spans="1:7" x14ac:dyDescent="0.25">
      <c r="A73" s="8">
        <v>42650.346192129633</v>
      </c>
      <c r="B73" s="23" t="s">
        <v>165</v>
      </c>
      <c r="C73" s="23" t="s">
        <v>671</v>
      </c>
      <c r="D73" s="23">
        <v>1340000</v>
      </c>
      <c r="E73" s="23" t="s">
        <v>767</v>
      </c>
      <c r="F73" s="23" t="str">
        <f t="shared" si="2"/>
        <v>rtdc.l.rtdc.4025:itc</v>
      </c>
      <c r="G73" s="8">
        <f t="shared" si="3"/>
        <v>42650.346192129633</v>
      </c>
    </row>
    <row r="74" spans="1:7" x14ac:dyDescent="0.25">
      <c r="A74" s="8">
        <v>42650.34820601852</v>
      </c>
      <c r="B74" s="23" t="s">
        <v>219</v>
      </c>
      <c r="C74" s="23" t="s">
        <v>417</v>
      </c>
      <c r="D74" s="23">
        <v>1990000</v>
      </c>
      <c r="E74" s="23" t="s">
        <v>763</v>
      </c>
      <c r="F74" s="23" t="str">
        <f t="shared" si="2"/>
        <v>rtdc.l.rtdc.4017:itc</v>
      </c>
      <c r="G74" s="8">
        <f t="shared" si="3"/>
        <v>42650.34820601852</v>
      </c>
    </row>
    <row r="75" spans="1:7" x14ac:dyDescent="0.25">
      <c r="A75" s="8">
        <v>42650.349988425929</v>
      </c>
      <c r="B75" s="23" t="s">
        <v>170</v>
      </c>
      <c r="C75" s="23" t="s">
        <v>427</v>
      </c>
      <c r="D75" s="23">
        <v>1090000</v>
      </c>
      <c r="E75" s="23" t="s">
        <v>765</v>
      </c>
      <c r="F75" s="23" t="str">
        <f t="shared" si="2"/>
        <v>rtdc.l.rtdc.4042:itc</v>
      </c>
      <c r="G75" s="8">
        <f t="shared" si="3"/>
        <v>42650.349988425929</v>
      </c>
    </row>
    <row r="76" spans="1:7" x14ac:dyDescent="0.25">
      <c r="A76" s="8">
        <v>42650.354247685187</v>
      </c>
      <c r="B76" s="23" t="s">
        <v>240</v>
      </c>
      <c r="C76" s="23" t="s">
        <v>750</v>
      </c>
      <c r="D76" s="23">
        <v>1760000</v>
      </c>
      <c r="E76" s="23" t="s">
        <v>285</v>
      </c>
      <c r="F76" s="23" t="str">
        <f t="shared" si="2"/>
        <v>rtdc.l.rtdc.4053:itc</v>
      </c>
      <c r="G76" s="8">
        <f t="shared" si="3"/>
        <v>42650.354247685187</v>
      </c>
    </row>
    <row r="77" spans="1:7" x14ac:dyDescent="0.25">
      <c r="A77" s="8">
        <v>42650.359131944446</v>
      </c>
      <c r="B77" s="23" t="s">
        <v>166</v>
      </c>
      <c r="C77" s="23" t="s">
        <v>674</v>
      </c>
      <c r="D77" s="23">
        <v>1340000</v>
      </c>
      <c r="E77" s="23" t="s">
        <v>767</v>
      </c>
      <c r="F77" s="23" t="str">
        <f t="shared" si="2"/>
        <v>rtdc.l.rtdc.4026:itc</v>
      </c>
      <c r="G77" s="8">
        <f t="shared" si="3"/>
        <v>42650.359131944446</v>
      </c>
    </row>
    <row r="78" spans="1:7" x14ac:dyDescent="0.25">
      <c r="A78" s="8">
        <v>42650.360069444447</v>
      </c>
      <c r="B78" s="23" t="s">
        <v>309</v>
      </c>
      <c r="C78" s="23" t="s">
        <v>421</v>
      </c>
      <c r="D78" s="23">
        <v>1310000</v>
      </c>
      <c r="E78" s="23" t="s">
        <v>764</v>
      </c>
      <c r="F78" s="23" t="str">
        <f t="shared" si="2"/>
        <v>rtdc.l.rtdc.4045:itc</v>
      </c>
      <c r="G78" s="8">
        <f t="shared" si="3"/>
        <v>42650.360069444447</v>
      </c>
    </row>
    <row r="79" spans="1:7" x14ac:dyDescent="0.25">
      <c r="A79" s="8">
        <v>42650.360486111109</v>
      </c>
      <c r="B79" s="23" t="s">
        <v>766</v>
      </c>
      <c r="C79" s="23" t="s">
        <v>431</v>
      </c>
      <c r="D79" s="23">
        <v>2010000</v>
      </c>
      <c r="E79" s="23" t="s">
        <v>284</v>
      </c>
      <c r="F79" s="23" t="str">
        <f t="shared" si="2"/>
        <v>rtdc.l.rtdc.4038:itc</v>
      </c>
      <c r="G79" s="8">
        <f t="shared" si="3"/>
        <v>42650.360486111109</v>
      </c>
    </row>
    <row r="80" spans="1:7" x14ac:dyDescent="0.25">
      <c r="A80" s="8">
        <v>42650.367824074077</v>
      </c>
      <c r="B80" s="23" t="s">
        <v>761</v>
      </c>
      <c r="C80" s="23" t="s">
        <v>424</v>
      </c>
      <c r="D80" s="23">
        <v>1190000</v>
      </c>
      <c r="E80" s="23" t="s">
        <v>262</v>
      </c>
      <c r="F80" s="23" t="str">
        <f t="shared" si="2"/>
        <v>rtdc.l.rtdc.4019:itc</v>
      </c>
      <c r="G80" s="8">
        <f t="shared" si="3"/>
        <v>42650.367824074077</v>
      </c>
    </row>
    <row r="81" spans="1:7" x14ac:dyDescent="0.25">
      <c r="A81" s="8">
        <v>42650.371493055558</v>
      </c>
      <c r="B81" s="23" t="s">
        <v>246</v>
      </c>
      <c r="C81" s="23" t="s">
        <v>434</v>
      </c>
      <c r="D81" s="23">
        <v>900000</v>
      </c>
      <c r="E81" s="23" t="s">
        <v>286</v>
      </c>
      <c r="F81" s="23" t="str">
        <f t="shared" si="2"/>
        <v>rtdc.l.rtdc.4003:itc</v>
      </c>
      <c r="G81" s="8">
        <f t="shared" si="3"/>
        <v>42650.371493055558</v>
      </c>
    </row>
    <row r="82" spans="1:7" x14ac:dyDescent="0.25">
      <c r="A82" s="8">
        <v>42650.38082175926</v>
      </c>
      <c r="B82" s="23" t="s">
        <v>220</v>
      </c>
      <c r="C82" s="23" t="s">
        <v>436</v>
      </c>
      <c r="D82" s="23">
        <v>1990000</v>
      </c>
      <c r="E82" s="23" t="s">
        <v>763</v>
      </c>
      <c r="F82" s="23" t="str">
        <f t="shared" si="2"/>
        <v>rtdc.l.rtdc.4018:itc</v>
      </c>
      <c r="G82" s="8">
        <f t="shared" si="3"/>
        <v>42650.38082175926</v>
      </c>
    </row>
    <row r="83" spans="1:7" x14ac:dyDescent="0.25">
      <c r="A83" s="8">
        <v>42650.380879629629</v>
      </c>
      <c r="B83" s="23" t="s">
        <v>267</v>
      </c>
      <c r="C83" s="23" t="s">
        <v>426</v>
      </c>
      <c r="D83" s="23">
        <v>1100000</v>
      </c>
      <c r="E83" s="23" t="s">
        <v>269</v>
      </c>
      <c r="F83" s="23" t="str">
        <f t="shared" si="2"/>
        <v>rtdc.l.rtdc.4008:itc</v>
      </c>
      <c r="G83" s="8">
        <f t="shared" si="3"/>
        <v>42650.380879629629</v>
      </c>
    </row>
    <row r="84" spans="1:7" x14ac:dyDescent="0.25">
      <c r="A84" s="8">
        <v>42650.382650462961</v>
      </c>
      <c r="B84" s="23" t="s">
        <v>165</v>
      </c>
      <c r="C84" s="23" t="s">
        <v>677</v>
      </c>
      <c r="D84" s="23">
        <v>1340000</v>
      </c>
      <c r="E84" s="23" t="s">
        <v>767</v>
      </c>
      <c r="F84" s="23" t="str">
        <f t="shared" si="2"/>
        <v>rtdc.l.rtdc.4025:itc</v>
      </c>
      <c r="G84" s="8">
        <f t="shared" si="3"/>
        <v>42650.382650462961</v>
      </c>
    </row>
    <row r="85" spans="1:7" x14ac:dyDescent="0.25">
      <c r="A85" s="8">
        <v>42650.388611111113</v>
      </c>
      <c r="B85" s="23" t="s">
        <v>169</v>
      </c>
      <c r="C85" s="23" t="s">
        <v>429</v>
      </c>
      <c r="D85" s="23">
        <v>1090000</v>
      </c>
      <c r="E85" s="23" t="s">
        <v>765</v>
      </c>
      <c r="F85" s="23" t="str">
        <f t="shared" si="2"/>
        <v>rtdc.l.rtdc.4041:itc</v>
      </c>
      <c r="G85" s="8">
        <f t="shared" si="3"/>
        <v>42650.388611111113</v>
      </c>
    </row>
    <row r="86" spans="1:7" x14ac:dyDescent="0.25">
      <c r="A86" s="8">
        <v>42650.394884259258</v>
      </c>
      <c r="B86" s="23" t="s">
        <v>307</v>
      </c>
      <c r="C86" s="23" t="s">
        <v>439</v>
      </c>
      <c r="D86" s="23">
        <v>1310000</v>
      </c>
      <c r="E86" s="23" t="s">
        <v>764</v>
      </c>
      <c r="F86" s="23" t="str">
        <f t="shared" si="2"/>
        <v>rtdc.l.rtdc.4046:itc</v>
      </c>
      <c r="G86" s="8">
        <f t="shared" si="3"/>
        <v>42650.394884259258</v>
      </c>
    </row>
    <row r="87" spans="1:7" x14ac:dyDescent="0.25">
      <c r="A87" s="8">
        <v>42650.397569444445</v>
      </c>
      <c r="B87" s="23" t="s">
        <v>759</v>
      </c>
      <c r="C87" s="23" t="s">
        <v>432</v>
      </c>
      <c r="D87" s="23">
        <v>2010000</v>
      </c>
      <c r="E87" s="23" t="s">
        <v>284</v>
      </c>
      <c r="F87" s="23" t="str">
        <f t="shared" si="2"/>
        <v>rtdc.l.rtdc.4037:itc</v>
      </c>
      <c r="G87" s="8">
        <f t="shared" si="3"/>
        <v>42650.397569444445</v>
      </c>
    </row>
    <row r="88" spans="1:7" x14ac:dyDescent="0.25">
      <c r="A88" s="8">
        <v>42650.40084490741</v>
      </c>
      <c r="B88" s="23" t="s">
        <v>166</v>
      </c>
      <c r="C88" s="23" t="s">
        <v>679</v>
      </c>
      <c r="D88" s="23">
        <v>1340000</v>
      </c>
      <c r="E88" s="23" t="s">
        <v>767</v>
      </c>
      <c r="F88" s="23" t="str">
        <f t="shared" si="2"/>
        <v>rtdc.l.rtdc.4026:itc</v>
      </c>
      <c r="G88" s="8">
        <f t="shared" si="3"/>
        <v>42650.40084490741</v>
      </c>
    </row>
    <row r="89" spans="1:7" x14ac:dyDescent="0.25">
      <c r="A89" s="8">
        <v>42650.401712962965</v>
      </c>
      <c r="B89" s="23" t="s">
        <v>760</v>
      </c>
      <c r="C89" s="23" t="s">
        <v>441</v>
      </c>
      <c r="D89" s="23">
        <v>1190000</v>
      </c>
      <c r="E89" s="23" t="s">
        <v>262</v>
      </c>
      <c r="F89" s="23" t="str">
        <f t="shared" si="2"/>
        <v>rtdc.l.rtdc.4020:itc</v>
      </c>
      <c r="G89" s="8">
        <f t="shared" si="3"/>
        <v>42650.401712962965</v>
      </c>
    </row>
    <row r="90" spans="1:7" x14ac:dyDescent="0.25">
      <c r="A90" s="8">
        <v>42650.40996527778</v>
      </c>
      <c r="B90" s="23" t="s">
        <v>247</v>
      </c>
      <c r="C90" s="23" t="s">
        <v>435</v>
      </c>
      <c r="D90" s="23">
        <v>900000</v>
      </c>
      <c r="E90" s="23" t="s">
        <v>286</v>
      </c>
      <c r="F90" s="23" t="str">
        <f t="shared" si="2"/>
        <v>rtdc.l.rtdc.4004:itc</v>
      </c>
      <c r="G90" s="8">
        <f t="shared" si="3"/>
        <v>42650.40996527778</v>
      </c>
    </row>
    <row r="91" spans="1:7" x14ac:dyDescent="0.25">
      <c r="A91" s="8">
        <v>42650.414421296293</v>
      </c>
      <c r="B91" s="23" t="s">
        <v>270</v>
      </c>
      <c r="C91" s="23" t="s">
        <v>443</v>
      </c>
      <c r="D91" s="23">
        <v>1100000</v>
      </c>
      <c r="E91" s="23" t="s">
        <v>269</v>
      </c>
      <c r="F91" s="23" t="str">
        <f t="shared" si="2"/>
        <v>rtdc.l.rtdc.4007:itc</v>
      </c>
      <c r="G91" s="8">
        <f t="shared" si="3"/>
        <v>42650.414421296293</v>
      </c>
    </row>
    <row r="92" spans="1:7" x14ac:dyDescent="0.25">
      <c r="A92" s="8">
        <v>42650.421041666668</v>
      </c>
      <c r="B92" s="23" t="s">
        <v>219</v>
      </c>
      <c r="C92" s="23" t="s">
        <v>437</v>
      </c>
      <c r="D92" s="23">
        <v>1990000</v>
      </c>
      <c r="E92" s="23" t="s">
        <v>763</v>
      </c>
      <c r="F92" s="23" t="str">
        <f t="shared" si="2"/>
        <v>rtdc.l.rtdc.4017:itc</v>
      </c>
      <c r="G92" s="8">
        <f t="shared" si="3"/>
        <v>42650.421041666668</v>
      </c>
    </row>
    <row r="93" spans="1:7" x14ac:dyDescent="0.25">
      <c r="A93" s="8">
        <v>42650.423796296294</v>
      </c>
      <c r="B93" s="23" t="s">
        <v>170</v>
      </c>
      <c r="C93" s="23" t="s">
        <v>446</v>
      </c>
      <c r="D93" s="23">
        <v>1090000</v>
      </c>
      <c r="E93" s="23" t="s">
        <v>765</v>
      </c>
      <c r="F93" s="23" t="str">
        <f t="shared" si="2"/>
        <v>rtdc.l.rtdc.4042:itc</v>
      </c>
      <c r="G93" s="8">
        <f t="shared" si="3"/>
        <v>42650.423796296294</v>
      </c>
    </row>
    <row r="94" spans="1:7" x14ac:dyDescent="0.25">
      <c r="A94" s="8">
        <v>42650.428194444445</v>
      </c>
      <c r="B94" s="23" t="s">
        <v>165</v>
      </c>
      <c r="C94" s="23" t="s">
        <v>682</v>
      </c>
      <c r="D94" s="23">
        <v>1340000</v>
      </c>
      <c r="E94" s="23" t="s">
        <v>767</v>
      </c>
      <c r="F94" s="23" t="str">
        <f t="shared" si="2"/>
        <v>rtdc.l.rtdc.4025:itc</v>
      </c>
      <c r="G94" s="8">
        <f t="shared" si="3"/>
        <v>42650.428194444445</v>
      </c>
    </row>
    <row r="95" spans="1:7" x14ac:dyDescent="0.25">
      <c r="A95" s="8">
        <v>42650.429918981485</v>
      </c>
      <c r="B95" s="23" t="s">
        <v>263</v>
      </c>
      <c r="C95" s="23" t="s">
        <v>608</v>
      </c>
      <c r="D95" s="23">
        <v>880000</v>
      </c>
      <c r="E95" s="23" t="s">
        <v>768</v>
      </c>
      <c r="F95" s="23" t="str">
        <f t="shared" si="2"/>
        <v>rtdc.l.rtdc.4021:itc</v>
      </c>
      <c r="G95" s="8">
        <f t="shared" si="3"/>
        <v>42650.429918981485</v>
      </c>
    </row>
    <row r="96" spans="1:7" x14ac:dyDescent="0.25">
      <c r="A96" s="8">
        <v>42650.432453703703</v>
      </c>
      <c r="B96" s="23" t="s">
        <v>263</v>
      </c>
      <c r="C96" s="23" t="s">
        <v>608</v>
      </c>
      <c r="D96" s="23">
        <v>880000</v>
      </c>
      <c r="E96" s="23" t="s">
        <v>768</v>
      </c>
      <c r="F96" s="23" t="str">
        <f t="shared" si="2"/>
        <v>rtdc.l.rtdc.4021:itc</v>
      </c>
      <c r="G96" s="8">
        <f t="shared" si="3"/>
        <v>42650.432453703703</v>
      </c>
    </row>
    <row r="97" spans="1:7" x14ac:dyDescent="0.25">
      <c r="A97" s="8">
        <v>42650.433391203704</v>
      </c>
      <c r="B97" s="23" t="s">
        <v>309</v>
      </c>
      <c r="C97" s="23" t="s">
        <v>440</v>
      </c>
      <c r="D97" s="23">
        <v>1310000</v>
      </c>
      <c r="E97" s="23" t="s">
        <v>764</v>
      </c>
      <c r="F97" s="23" t="str">
        <f t="shared" si="2"/>
        <v>rtdc.l.rtdc.4045:itc</v>
      </c>
      <c r="G97" s="8">
        <f t="shared" si="3"/>
        <v>42650.433391203704</v>
      </c>
    </row>
    <row r="98" spans="1:7" x14ac:dyDescent="0.25">
      <c r="A98" s="8">
        <v>42650.434027777781</v>
      </c>
      <c r="B98" s="23" t="s">
        <v>766</v>
      </c>
      <c r="C98" s="23" t="s">
        <v>449</v>
      </c>
      <c r="D98" s="23">
        <v>1760000</v>
      </c>
      <c r="E98" s="23" t="s">
        <v>285</v>
      </c>
      <c r="F98" s="23" t="str">
        <f t="shared" si="2"/>
        <v>rtdc.l.rtdc.4038:itc</v>
      </c>
      <c r="G98" s="8">
        <f t="shared" si="3"/>
        <v>42650.434027777781</v>
      </c>
    </row>
    <row r="99" spans="1:7" x14ac:dyDescent="0.25">
      <c r="A99" s="8">
        <v>42650.434791666667</v>
      </c>
      <c r="B99" s="23" t="s">
        <v>761</v>
      </c>
      <c r="C99" s="23" t="s">
        <v>442</v>
      </c>
      <c r="D99" s="23">
        <v>1190000</v>
      </c>
      <c r="E99" s="23" t="s">
        <v>262</v>
      </c>
      <c r="F99" s="23" t="str">
        <f t="shared" si="2"/>
        <v>rtdc.l.rtdc.4019:itc</v>
      </c>
      <c r="G99" s="8">
        <f t="shared" si="3"/>
        <v>42650.434791666667</v>
      </c>
    </row>
    <row r="100" spans="1:7" x14ac:dyDescent="0.25">
      <c r="A100" s="8">
        <v>42650.44259259259</v>
      </c>
      <c r="B100" s="23" t="s">
        <v>166</v>
      </c>
      <c r="C100" s="23" t="s">
        <v>685</v>
      </c>
      <c r="D100" s="23">
        <v>1340000</v>
      </c>
      <c r="E100" s="23" t="s">
        <v>767</v>
      </c>
      <c r="F100" s="23" t="str">
        <f t="shared" si="2"/>
        <v>rtdc.l.rtdc.4026:itc</v>
      </c>
      <c r="G100" s="8">
        <f t="shared" si="3"/>
        <v>42650.44259259259</v>
      </c>
    </row>
    <row r="101" spans="1:7" x14ac:dyDescent="0.25">
      <c r="A101" s="8">
        <v>42650.444571759261</v>
      </c>
      <c r="B101" s="23" t="s">
        <v>246</v>
      </c>
      <c r="C101" s="23" t="s">
        <v>451</v>
      </c>
      <c r="D101" s="23">
        <v>900000</v>
      </c>
      <c r="E101" s="23" t="s">
        <v>286</v>
      </c>
      <c r="F101" s="23" t="str">
        <f t="shared" si="2"/>
        <v>rtdc.l.rtdc.4003:itc</v>
      </c>
      <c r="G101" s="8">
        <f t="shared" si="3"/>
        <v>42650.444571759261</v>
      </c>
    </row>
    <row r="102" spans="1:7" x14ac:dyDescent="0.25">
      <c r="A102" s="8">
        <v>42650.450590277775</v>
      </c>
      <c r="B102" s="23" t="s">
        <v>267</v>
      </c>
      <c r="C102" s="23" t="s">
        <v>444</v>
      </c>
      <c r="D102" s="23">
        <v>1100000</v>
      </c>
      <c r="E102" s="23" t="s">
        <v>269</v>
      </c>
      <c r="F102" s="23" t="str">
        <f t="shared" si="2"/>
        <v>rtdc.l.rtdc.4008:itc</v>
      </c>
      <c r="G102" s="8">
        <f t="shared" si="3"/>
        <v>42650.450590277775</v>
      </c>
    </row>
    <row r="103" spans="1:7" x14ac:dyDescent="0.25">
      <c r="A103" s="8">
        <v>42650.455358796295</v>
      </c>
      <c r="B103" s="23" t="s">
        <v>220</v>
      </c>
      <c r="C103" s="23" t="s">
        <v>455</v>
      </c>
      <c r="D103" s="23">
        <v>880000</v>
      </c>
      <c r="E103" s="23" t="s">
        <v>768</v>
      </c>
      <c r="F103" s="23" t="str">
        <f t="shared" si="2"/>
        <v>rtdc.l.rtdc.4018:itc</v>
      </c>
      <c r="G103" s="8">
        <f t="shared" si="3"/>
        <v>42650.455358796295</v>
      </c>
    </row>
    <row r="104" spans="1:7" x14ac:dyDescent="0.25">
      <c r="A104" s="8">
        <v>42650.459606481483</v>
      </c>
      <c r="B104" s="23" t="s">
        <v>169</v>
      </c>
      <c r="C104" s="23" t="s">
        <v>448</v>
      </c>
      <c r="D104" s="23">
        <v>1090000</v>
      </c>
      <c r="E104" s="23" t="s">
        <v>765</v>
      </c>
      <c r="F104" s="23" t="str">
        <f t="shared" si="2"/>
        <v>rtdc.l.rtdc.4041:itc</v>
      </c>
      <c r="G104" s="8">
        <f t="shared" si="3"/>
        <v>42650.459606481483</v>
      </c>
    </row>
    <row r="105" spans="1:7" x14ac:dyDescent="0.25">
      <c r="A105" s="8">
        <v>42650.464444444442</v>
      </c>
      <c r="B105" s="23" t="s">
        <v>307</v>
      </c>
      <c r="C105" s="23" t="s">
        <v>458</v>
      </c>
      <c r="D105" s="23">
        <v>930000</v>
      </c>
      <c r="E105" s="23" t="s">
        <v>769</v>
      </c>
      <c r="F105" s="23" t="str">
        <f t="shared" si="2"/>
        <v>rtdc.l.rtdc.4046:itc</v>
      </c>
      <c r="G105" s="8">
        <f t="shared" si="3"/>
        <v>42650.464444444442</v>
      </c>
    </row>
    <row r="106" spans="1:7" x14ac:dyDescent="0.25">
      <c r="A106" s="8">
        <v>42650.471238425926</v>
      </c>
      <c r="B106" s="23" t="s">
        <v>165</v>
      </c>
      <c r="C106" s="23" t="s">
        <v>688</v>
      </c>
      <c r="D106" s="23">
        <v>1340000</v>
      </c>
      <c r="E106" s="23" t="s">
        <v>767</v>
      </c>
      <c r="F106" s="23" t="str">
        <f t="shared" si="2"/>
        <v>rtdc.l.rtdc.4025:itc</v>
      </c>
      <c r="G106" s="8">
        <f t="shared" si="3"/>
        <v>42650.471238425926</v>
      </c>
    </row>
    <row r="107" spans="1:7" x14ac:dyDescent="0.25">
      <c r="A107" s="8">
        <v>42650.471342592595</v>
      </c>
      <c r="B107" s="23" t="s">
        <v>759</v>
      </c>
      <c r="C107" s="23" t="s">
        <v>450</v>
      </c>
      <c r="D107" s="23">
        <v>1760000</v>
      </c>
      <c r="E107" s="23" t="s">
        <v>285</v>
      </c>
      <c r="F107" s="23" t="str">
        <f t="shared" si="2"/>
        <v>rtdc.l.rtdc.4037:itc</v>
      </c>
      <c r="G107" s="8">
        <f t="shared" si="3"/>
        <v>42650.471342592595</v>
      </c>
    </row>
    <row r="108" spans="1:7" x14ac:dyDescent="0.25">
      <c r="A108" s="8">
        <v>42650.475393518522</v>
      </c>
      <c r="B108" s="23" t="s">
        <v>760</v>
      </c>
      <c r="C108" s="23" t="s">
        <v>460</v>
      </c>
      <c r="D108" s="23">
        <v>940000</v>
      </c>
      <c r="E108" s="23" t="s">
        <v>265</v>
      </c>
      <c r="F108" s="23" t="str">
        <f t="shared" si="2"/>
        <v>rtdc.l.rtdc.4020:itc</v>
      </c>
      <c r="G108" s="8">
        <f t="shared" si="3"/>
        <v>42650.475393518522</v>
      </c>
    </row>
    <row r="109" spans="1:7" x14ac:dyDescent="0.25">
      <c r="A109" s="8">
        <v>42650.477812500001</v>
      </c>
      <c r="B109" s="23" t="s">
        <v>247</v>
      </c>
      <c r="C109" s="23" t="s">
        <v>453</v>
      </c>
      <c r="D109" s="23">
        <v>900000</v>
      </c>
      <c r="E109" s="23" t="s">
        <v>286</v>
      </c>
      <c r="F109" s="23" t="str">
        <f t="shared" si="2"/>
        <v>rtdc.l.rtdc.4004:itc</v>
      </c>
      <c r="G109" s="8">
        <f t="shared" si="3"/>
        <v>42650.477812500001</v>
      </c>
    </row>
    <row r="110" spans="1:7" x14ac:dyDescent="0.25">
      <c r="A110" s="8">
        <v>42650.484479166669</v>
      </c>
      <c r="B110" s="23" t="s">
        <v>166</v>
      </c>
      <c r="C110" s="23" t="s">
        <v>691</v>
      </c>
      <c r="D110" s="23">
        <v>1340000</v>
      </c>
      <c r="E110" s="23" t="s">
        <v>767</v>
      </c>
      <c r="F110" s="23" t="str">
        <f t="shared" si="2"/>
        <v>rtdc.l.rtdc.4026:itc</v>
      </c>
      <c r="G110" s="8">
        <f t="shared" si="3"/>
        <v>42650.484479166669</v>
      </c>
    </row>
    <row r="111" spans="1:7" x14ac:dyDescent="0.25">
      <c r="A111" s="8">
        <v>42650.486180555556</v>
      </c>
      <c r="B111" s="23" t="s">
        <v>270</v>
      </c>
      <c r="C111" s="23" t="s">
        <v>463</v>
      </c>
      <c r="D111" s="23">
        <v>2040000</v>
      </c>
      <c r="E111" s="23" t="s">
        <v>287</v>
      </c>
      <c r="F111" s="23" t="str">
        <f t="shared" si="2"/>
        <v>rtdc.l.rtdc.4007:itc</v>
      </c>
      <c r="G111" s="8">
        <f t="shared" si="3"/>
        <v>42650.486180555556</v>
      </c>
    </row>
    <row r="112" spans="1:7" x14ac:dyDescent="0.25">
      <c r="A112" s="8">
        <v>42650.491759259261</v>
      </c>
      <c r="B112" s="23" t="s">
        <v>224</v>
      </c>
      <c r="C112" s="23" t="s">
        <v>611</v>
      </c>
      <c r="D112" s="23">
        <v>1100000</v>
      </c>
      <c r="E112" s="23" t="s">
        <v>269</v>
      </c>
      <c r="F112" s="23" t="str">
        <f t="shared" si="2"/>
        <v>rtdc.l.rtdc.4006:itc</v>
      </c>
      <c r="G112" s="8">
        <f t="shared" si="3"/>
        <v>42650.491759259261</v>
      </c>
    </row>
    <row r="113" spans="1:7" x14ac:dyDescent="0.25">
      <c r="A113" s="8">
        <v>42650.494803240741</v>
      </c>
      <c r="B113" s="23" t="s">
        <v>219</v>
      </c>
      <c r="C113" s="23" t="s">
        <v>456</v>
      </c>
      <c r="D113" s="23">
        <v>880000</v>
      </c>
      <c r="E113" s="23" t="s">
        <v>768</v>
      </c>
      <c r="F113" s="23" t="str">
        <f t="shared" si="2"/>
        <v>rtdc.l.rtdc.4017:itc</v>
      </c>
      <c r="G113" s="8">
        <f t="shared" si="3"/>
        <v>42650.494803240741</v>
      </c>
    </row>
    <row r="114" spans="1:7" x14ac:dyDescent="0.25">
      <c r="A114" s="8">
        <v>42650.497199074074</v>
      </c>
      <c r="B114" s="23" t="s">
        <v>170</v>
      </c>
      <c r="C114" s="23" t="s">
        <v>467</v>
      </c>
      <c r="D114" s="23">
        <v>2220000</v>
      </c>
      <c r="E114" s="23" t="s">
        <v>288</v>
      </c>
      <c r="F114" s="23" t="str">
        <f t="shared" si="2"/>
        <v>rtdc.l.rtdc.4042:itc</v>
      </c>
      <c r="G114" s="8">
        <f t="shared" si="3"/>
        <v>42650.497199074074</v>
      </c>
    </row>
    <row r="115" spans="1:7" x14ac:dyDescent="0.25">
      <c r="A115" s="8">
        <v>42650.502013888887</v>
      </c>
      <c r="B115" s="23" t="s">
        <v>309</v>
      </c>
      <c r="C115" s="23" t="s">
        <v>459</v>
      </c>
      <c r="D115" s="23">
        <v>930000</v>
      </c>
      <c r="E115" s="23" t="s">
        <v>769</v>
      </c>
      <c r="F115" s="23" t="str">
        <f t="shared" si="2"/>
        <v>rtdc.l.rtdc.4045:itc</v>
      </c>
      <c r="G115" s="8">
        <f t="shared" si="3"/>
        <v>42650.502013888887</v>
      </c>
    </row>
    <row r="116" spans="1:7" x14ac:dyDescent="0.25">
      <c r="A116" s="8">
        <v>42650.507743055554</v>
      </c>
      <c r="B116" s="23" t="s">
        <v>766</v>
      </c>
      <c r="C116" s="23" t="s">
        <v>470</v>
      </c>
      <c r="D116" s="23">
        <v>2020000</v>
      </c>
      <c r="E116" s="23" t="s">
        <v>310</v>
      </c>
      <c r="F116" s="23" t="str">
        <f t="shared" si="2"/>
        <v>rtdc.l.rtdc.4038:itc</v>
      </c>
      <c r="G116" s="8">
        <f t="shared" si="3"/>
        <v>42650.507743055554</v>
      </c>
    </row>
    <row r="117" spans="1:7" x14ac:dyDescent="0.25">
      <c r="A117" s="8">
        <v>42650.509189814817</v>
      </c>
      <c r="B117" s="23" t="s">
        <v>761</v>
      </c>
      <c r="C117" s="23" t="s">
        <v>461</v>
      </c>
      <c r="D117" s="23">
        <v>940000</v>
      </c>
      <c r="E117" s="23" t="s">
        <v>265</v>
      </c>
      <c r="F117" s="23" t="str">
        <f t="shared" si="2"/>
        <v>rtdc.l.rtdc.4019:itc</v>
      </c>
      <c r="G117" s="8">
        <f t="shared" si="3"/>
        <v>42650.509189814817</v>
      </c>
    </row>
    <row r="118" spans="1:7" x14ac:dyDescent="0.25">
      <c r="A118" s="8">
        <v>42650.510706018518</v>
      </c>
      <c r="B118" s="23" t="s">
        <v>165</v>
      </c>
      <c r="C118" s="23" t="s">
        <v>694</v>
      </c>
      <c r="D118" s="23">
        <v>1340000</v>
      </c>
      <c r="E118" s="23" t="s">
        <v>767</v>
      </c>
      <c r="F118" s="23" t="str">
        <f t="shared" si="2"/>
        <v>rtdc.l.rtdc.4025:itc</v>
      </c>
      <c r="G118" s="8">
        <f t="shared" si="3"/>
        <v>42650.510706018518</v>
      </c>
    </row>
    <row r="119" spans="1:7" x14ac:dyDescent="0.25">
      <c r="A119" s="8">
        <v>42650.517777777779</v>
      </c>
      <c r="B119" s="23" t="s">
        <v>246</v>
      </c>
      <c r="C119" s="23" t="s">
        <v>474</v>
      </c>
      <c r="D119" s="23">
        <v>1740000</v>
      </c>
      <c r="E119" s="23" t="s">
        <v>271</v>
      </c>
      <c r="F119" s="23" t="str">
        <f t="shared" si="2"/>
        <v>rtdc.l.rtdc.4003:itc</v>
      </c>
      <c r="G119" s="8">
        <f t="shared" si="3"/>
        <v>42650.517777777779</v>
      </c>
    </row>
    <row r="120" spans="1:7" x14ac:dyDescent="0.25">
      <c r="A120" s="8">
        <v>42650.525405092594</v>
      </c>
      <c r="B120" s="23" t="s">
        <v>267</v>
      </c>
      <c r="C120" s="23" t="s">
        <v>466</v>
      </c>
      <c r="D120" s="23">
        <v>2040000</v>
      </c>
      <c r="E120" s="23" t="s">
        <v>287</v>
      </c>
      <c r="F120" s="23" t="str">
        <f t="shared" si="2"/>
        <v>rtdc.l.rtdc.4008:itc</v>
      </c>
      <c r="G120" s="8">
        <f t="shared" si="3"/>
        <v>42650.525405092594</v>
      </c>
    </row>
    <row r="121" spans="1:7" x14ac:dyDescent="0.25">
      <c r="A121" s="8">
        <v>42650.527094907404</v>
      </c>
      <c r="B121" s="23" t="s">
        <v>166</v>
      </c>
      <c r="C121" s="23" t="s">
        <v>694</v>
      </c>
      <c r="D121" s="23">
        <v>1340000</v>
      </c>
      <c r="E121" s="23" t="s">
        <v>767</v>
      </c>
      <c r="F121" s="23" t="str">
        <f t="shared" si="2"/>
        <v>rtdc.l.rtdc.4026:itc</v>
      </c>
      <c r="G121" s="8">
        <f t="shared" si="3"/>
        <v>42650.527094907404</v>
      </c>
    </row>
    <row r="122" spans="1:7" x14ac:dyDescent="0.25">
      <c r="A122" s="8">
        <v>42650.527824074074</v>
      </c>
      <c r="B122" s="28" t="s">
        <v>169</v>
      </c>
      <c r="C122" s="23" t="s">
        <v>468</v>
      </c>
      <c r="D122" s="23">
        <v>2220000</v>
      </c>
      <c r="E122" s="23" t="s">
        <v>288</v>
      </c>
      <c r="F122" s="23" t="str">
        <f t="shared" si="2"/>
        <v>rtdc.l.rtdc.4041:itc</v>
      </c>
      <c r="G122" s="8">
        <f t="shared" si="3"/>
        <v>42650.527824074074</v>
      </c>
    </row>
    <row r="123" spans="1:7" x14ac:dyDescent="0.25">
      <c r="A123" s="8">
        <v>42650.528020833335</v>
      </c>
      <c r="B123" s="23" t="s">
        <v>166</v>
      </c>
      <c r="C123" s="23" t="s">
        <v>696</v>
      </c>
      <c r="D123" s="23">
        <v>1340000</v>
      </c>
      <c r="E123" s="23" t="s">
        <v>767</v>
      </c>
      <c r="F123" s="23" t="str">
        <f t="shared" si="2"/>
        <v>rtdc.l.rtdc.4026:itc</v>
      </c>
      <c r="G123" s="8">
        <f t="shared" si="3"/>
        <v>42650.528020833335</v>
      </c>
    </row>
    <row r="124" spans="1:7" x14ac:dyDescent="0.25">
      <c r="A124" s="8">
        <v>42650.528749999998</v>
      </c>
      <c r="B124" s="23" t="s">
        <v>220</v>
      </c>
      <c r="C124" s="23" t="s">
        <v>479</v>
      </c>
      <c r="D124" s="23">
        <v>880000</v>
      </c>
      <c r="E124" s="23" t="s">
        <v>768</v>
      </c>
      <c r="F124" s="23" t="str">
        <f t="shared" si="2"/>
        <v>rtdc.l.rtdc.4018:itc</v>
      </c>
      <c r="G124" s="8">
        <f t="shared" si="3"/>
        <v>42650.528749999998</v>
      </c>
    </row>
    <row r="125" spans="1:7" x14ac:dyDescent="0.25">
      <c r="A125" s="8">
        <v>42650.538564814815</v>
      </c>
      <c r="B125" s="23" t="s">
        <v>307</v>
      </c>
      <c r="C125" s="23" t="s">
        <v>482</v>
      </c>
      <c r="D125" s="23">
        <v>930000</v>
      </c>
      <c r="E125" s="23" t="s">
        <v>769</v>
      </c>
      <c r="F125" s="23" t="str">
        <f t="shared" si="2"/>
        <v>rtdc.l.rtdc.4046:itc</v>
      </c>
      <c r="G125" s="8">
        <f t="shared" si="3"/>
        <v>42650.538564814815</v>
      </c>
    </row>
    <row r="126" spans="1:7" x14ac:dyDescent="0.25">
      <c r="A126" s="8">
        <v>42650.543715277781</v>
      </c>
      <c r="B126" s="23" t="s">
        <v>759</v>
      </c>
      <c r="C126" s="23" t="s">
        <v>472</v>
      </c>
      <c r="D126" s="23">
        <v>2020000</v>
      </c>
      <c r="E126" s="23" t="s">
        <v>310</v>
      </c>
      <c r="F126" s="23" t="str">
        <f t="shared" si="2"/>
        <v>rtdc.l.rtdc.4037:itc</v>
      </c>
      <c r="G126" s="8">
        <f t="shared" si="3"/>
        <v>42650.543715277781</v>
      </c>
    </row>
    <row r="127" spans="1:7" x14ac:dyDescent="0.25">
      <c r="A127" s="8">
        <v>42650.546574074076</v>
      </c>
      <c r="B127" s="23" t="s">
        <v>760</v>
      </c>
      <c r="C127" s="23" t="s">
        <v>485</v>
      </c>
      <c r="D127" s="23">
        <v>940000</v>
      </c>
      <c r="E127" s="23" t="s">
        <v>265</v>
      </c>
      <c r="F127" s="23" t="str">
        <f t="shared" si="2"/>
        <v>rtdc.l.rtdc.4020:itc</v>
      </c>
      <c r="G127" s="8">
        <f t="shared" si="3"/>
        <v>42650.546574074076</v>
      </c>
    </row>
    <row r="128" spans="1:7" x14ac:dyDescent="0.25">
      <c r="A128" s="8">
        <v>42650.550046296295</v>
      </c>
      <c r="B128" s="23" t="s">
        <v>165</v>
      </c>
      <c r="C128" s="23" t="s">
        <v>698</v>
      </c>
      <c r="D128" s="23">
        <v>2260000</v>
      </c>
      <c r="E128" s="23" t="s">
        <v>770</v>
      </c>
      <c r="F128" s="23" t="str">
        <f t="shared" si="2"/>
        <v>rtdc.l.rtdc.4025:itc</v>
      </c>
      <c r="G128" s="8">
        <f t="shared" si="3"/>
        <v>42650.550046296295</v>
      </c>
    </row>
    <row r="129" spans="1:7" x14ac:dyDescent="0.25">
      <c r="A129" s="8">
        <v>42650.557951388888</v>
      </c>
      <c r="B129" s="23" t="s">
        <v>247</v>
      </c>
      <c r="C129" s="23" t="s">
        <v>476</v>
      </c>
      <c r="D129" s="23">
        <v>1740000</v>
      </c>
      <c r="E129" s="23" t="s">
        <v>271</v>
      </c>
      <c r="F129" s="23" t="str">
        <f t="shared" si="2"/>
        <v>rtdc.l.rtdc.4004:itc</v>
      </c>
      <c r="G129" s="8">
        <f t="shared" si="3"/>
        <v>42650.557951388888</v>
      </c>
    </row>
    <row r="130" spans="1:7" x14ac:dyDescent="0.25">
      <c r="A130" s="8">
        <v>42650.558703703704</v>
      </c>
      <c r="B130" s="23" t="s">
        <v>270</v>
      </c>
      <c r="C130" s="23" t="s">
        <v>488</v>
      </c>
      <c r="D130" s="23">
        <v>2040000</v>
      </c>
      <c r="E130" s="23" t="s">
        <v>287</v>
      </c>
      <c r="F130" s="23" t="str">
        <f t="shared" ref="F130:F193" si="4">B130</f>
        <v>rtdc.l.rtdc.4007:itc</v>
      </c>
      <c r="G130" s="8">
        <f t="shared" ref="G130:G193" si="5">A130</f>
        <v>42650.558703703704</v>
      </c>
    </row>
    <row r="131" spans="1:7" x14ac:dyDescent="0.25">
      <c r="A131" s="8">
        <v>42650.566736111112</v>
      </c>
      <c r="B131" s="23" t="s">
        <v>219</v>
      </c>
      <c r="C131" s="23" t="s">
        <v>481</v>
      </c>
      <c r="D131" s="23">
        <v>880000</v>
      </c>
      <c r="E131" s="23" t="s">
        <v>768</v>
      </c>
      <c r="F131" s="23" t="str">
        <f t="shared" si="4"/>
        <v>rtdc.l.rtdc.4017:itc</v>
      </c>
      <c r="G131" s="8">
        <f t="shared" si="5"/>
        <v>42650.566736111112</v>
      </c>
    </row>
    <row r="132" spans="1:7" x14ac:dyDescent="0.25">
      <c r="A132" s="8">
        <v>42650.568043981482</v>
      </c>
      <c r="B132" s="23" t="s">
        <v>170</v>
      </c>
      <c r="C132" s="23" t="s">
        <v>492</v>
      </c>
      <c r="D132" s="23">
        <v>2220000</v>
      </c>
      <c r="E132" s="23" t="s">
        <v>288</v>
      </c>
      <c r="F132" s="23" t="str">
        <f t="shared" si="4"/>
        <v>rtdc.l.rtdc.4042:itc</v>
      </c>
      <c r="G132" s="8">
        <f t="shared" si="5"/>
        <v>42650.568043981482</v>
      </c>
    </row>
    <row r="133" spans="1:7" x14ac:dyDescent="0.25">
      <c r="A133" s="8">
        <v>42650.571631944447</v>
      </c>
      <c r="B133" s="23" t="s">
        <v>166</v>
      </c>
      <c r="C133" s="23" t="s">
        <v>700</v>
      </c>
      <c r="D133" s="23">
        <v>2260000</v>
      </c>
      <c r="E133" s="23" t="s">
        <v>770</v>
      </c>
      <c r="F133" s="23" t="str">
        <f t="shared" si="4"/>
        <v>rtdc.l.rtdc.4026:itc</v>
      </c>
      <c r="G133" s="8">
        <f t="shared" si="5"/>
        <v>42650.571631944447</v>
      </c>
    </row>
    <row r="134" spans="1:7" x14ac:dyDescent="0.25">
      <c r="A134" s="8">
        <v>42650.576296296298</v>
      </c>
      <c r="B134" s="23" t="s">
        <v>309</v>
      </c>
      <c r="C134" s="23" t="s">
        <v>483</v>
      </c>
      <c r="D134" s="23">
        <v>930000</v>
      </c>
      <c r="E134" s="23" t="s">
        <v>769</v>
      </c>
      <c r="F134" s="23" t="str">
        <f t="shared" si="4"/>
        <v>rtdc.l.rtdc.4045:itc</v>
      </c>
      <c r="G134" s="8">
        <f t="shared" si="5"/>
        <v>42650.576296296298</v>
      </c>
    </row>
    <row r="135" spans="1:7" x14ac:dyDescent="0.25">
      <c r="A135" s="8">
        <v>42650.5784375</v>
      </c>
      <c r="B135" s="23" t="s">
        <v>766</v>
      </c>
      <c r="C135" s="23" t="s">
        <v>495</v>
      </c>
      <c r="D135" s="23">
        <v>2020000</v>
      </c>
      <c r="E135" s="23" t="s">
        <v>310</v>
      </c>
      <c r="F135" s="23" t="str">
        <f t="shared" si="4"/>
        <v>rtdc.l.rtdc.4038:itc</v>
      </c>
      <c r="G135" s="8">
        <f t="shared" si="5"/>
        <v>42650.5784375</v>
      </c>
    </row>
    <row r="136" spans="1:7" x14ac:dyDescent="0.25">
      <c r="A136" s="8">
        <v>42650.582939814813</v>
      </c>
      <c r="B136" s="23" t="s">
        <v>761</v>
      </c>
      <c r="C136" s="23" t="s">
        <v>487</v>
      </c>
      <c r="D136" s="23">
        <v>940000</v>
      </c>
      <c r="E136" s="23" t="s">
        <v>265</v>
      </c>
      <c r="F136" s="23" t="str">
        <f t="shared" si="4"/>
        <v>rtdc.l.rtdc.4019:itc</v>
      </c>
      <c r="G136" s="8">
        <f t="shared" si="5"/>
        <v>42650.582939814813</v>
      </c>
    </row>
    <row r="137" spans="1:7" x14ac:dyDescent="0.25">
      <c r="A137" s="8">
        <v>42650.59034722222</v>
      </c>
      <c r="B137" s="23" t="s">
        <v>246</v>
      </c>
      <c r="C137" s="23" t="s">
        <v>499</v>
      </c>
      <c r="D137" s="23">
        <v>1740000</v>
      </c>
      <c r="E137" s="23" t="s">
        <v>271</v>
      </c>
      <c r="F137" s="23" t="str">
        <f t="shared" si="4"/>
        <v>rtdc.l.rtdc.4003:itc</v>
      </c>
      <c r="G137" s="8">
        <f t="shared" si="5"/>
        <v>42650.59034722222</v>
      </c>
    </row>
    <row r="138" spans="1:7" x14ac:dyDescent="0.25">
      <c r="A138" s="8">
        <v>42650.593275462961</v>
      </c>
      <c r="B138" s="23" t="s">
        <v>165</v>
      </c>
      <c r="C138" s="23" t="s">
        <v>703</v>
      </c>
      <c r="D138" s="23">
        <v>2260000</v>
      </c>
      <c r="E138" s="23" t="s">
        <v>770</v>
      </c>
      <c r="F138" s="23" t="str">
        <f t="shared" si="4"/>
        <v>rtdc.l.rtdc.4025:itc</v>
      </c>
      <c r="G138" s="8">
        <f t="shared" si="5"/>
        <v>42650.593275462961</v>
      </c>
    </row>
    <row r="139" spans="1:7" x14ac:dyDescent="0.25">
      <c r="A139" s="8">
        <v>42650.598321759258</v>
      </c>
      <c r="B139" s="23" t="s">
        <v>267</v>
      </c>
      <c r="C139" s="23" t="s">
        <v>490</v>
      </c>
      <c r="D139" s="23">
        <v>2040000</v>
      </c>
      <c r="E139" s="23" t="s">
        <v>287</v>
      </c>
      <c r="F139" s="23" t="str">
        <f t="shared" si="4"/>
        <v>rtdc.l.rtdc.4008:itc</v>
      </c>
      <c r="G139" s="8">
        <f t="shared" si="5"/>
        <v>42650.598321759258</v>
      </c>
    </row>
    <row r="140" spans="1:7" x14ac:dyDescent="0.25">
      <c r="A140" s="8">
        <v>42650.600555555553</v>
      </c>
      <c r="B140" s="23" t="s">
        <v>169</v>
      </c>
      <c r="C140" s="23" t="s">
        <v>494</v>
      </c>
      <c r="D140" s="23">
        <v>2220000</v>
      </c>
      <c r="E140" s="23" t="s">
        <v>288</v>
      </c>
      <c r="F140" s="23" t="str">
        <f t="shared" si="4"/>
        <v>rtdc.l.rtdc.4041:itc</v>
      </c>
      <c r="G140" s="8">
        <f t="shared" si="5"/>
        <v>42650.600555555553</v>
      </c>
    </row>
    <row r="141" spans="1:7" x14ac:dyDescent="0.25">
      <c r="A141" s="8">
        <v>42650.601793981485</v>
      </c>
      <c r="B141" s="23" t="s">
        <v>220</v>
      </c>
      <c r="C141" s="23" t="s">
        <v>504</v>
      </c>
      <c r="D141" s="23">
        <v>880000</v>
      </c>
      <c r="E141" s="23" t="s">
        <v>768</v>
      </c>
      <c r="F141" s="23" t="str">
        <f t="shared" si="4"/>
        <v>rtdc.l.rtdc.4018:itc</v>
      </c>
      <c r="G141" s="8">
        <f t="shared" si="5"/>
        <v>42650.601793981485</v>
      </c>
    </row>
    <row r="142" spans="1:7" x14ac:dyDescent="0.25">
      <c r="A142" s="8">
        <v>42650.610243055555</v>
      </c>
      <c r="B142" s="23" t="s">
        <v>166</v>
      </c>
      <c r="C142" s="23" t="s">
        <v>706</v>
      </c>
      <c r="D142" s="23">
        <v>2260000</v>
      </c>
      <c r="E142" s="23" t="s">
        <v>770</v>
      </c>
      <c r="F142" s="23" t="str">
        <f t="shared" si="4"/>
        <v>rtdc.l.rtdc.4026:itc</v>
      </c>
      <c r="G142" s="8">
        <f t="shared" si="5"/>
        <v>42650.610243055555</v>
      </c>
    </row>
    <row r="143" spans="1:7" x14ac:dyDescent="0.25">
      <c r="A143" s="8">
        <v>42650.610451388886</v>
      </c>
      <c r="B143" s="23" t="s">
        <v>307</v>
      </c>
      <c r="C143" s="23" t="s">
        <v>507</v>
      </c>
      <c r="D143" s="23">
        <v>930000</v>
      </c>
      <c r="E143" s="23" t="s">
        <v>769</v>
      </c>
      <c r="F143" s="23" t="str">
        <f t="shared" si="4"/>
        <v>rtdc.l.rtdc.4046:itc</v>
      </c>
      <c r="G143" s="8">
        <f t="shared" si="5"/>
        <v>42650.610451388886</v>
      </c>
    </row>
    <row r="144" spans="1:7" x14ac:dyDescent="0.25">
      <c r="A144" s="8">
        <v>42650.618287037039</v>
      </c>
      <c r="B144" s="23" t="s">
        <v>759</v>
      </c>
      <c r="C144" s="23" t="s">
        <v>497</v>
      </c>
      <c r="D144" s="23">
        <v>2020000</v>
      </c>
      <c r="E144" s="23" t="s">
        <v>310</v>
      </c>
      <c r="F144" s="23" t="str">
        <f t="shared" si="4"/>
        <v>rtdc.l.rtdc.4037:itc</v>
      </c>
      <c r="G144" s="8">
        <f t="shared" si="5"/>
        <v>42650.618287037039</v>
      </c>
    </row>
    <row r="145" spans="1:7" x14ac:dyDescent="0.25">
      <c r="A145" s="8">
        <v>42650.619560185187</v>
      </c>
      <c r="B145" s="23" t="s">
        <v>760</v>
      </c>
      <c r="C145" s="23" t="s">
        <v>509</v>
      </c>
      <c r="D145" s="23">
        <v>940000</v>
      </c>
      <c r="E145" s="23" t="s">
        <v>265</v>
      </c>
      <c r="F145" s="23" t="str">
        <f t="shared" si="4"/>
        <v>rtdc.l.rtdc.4020:itc</v>
      </c>
      <c r="G145" s="8">
        <f t="shared" si="5"/>
        <v>42650.619560185187</v>
      </c>
    </row>
    <row r="146" spans="1:7" x14ac:dyDescent="0.25">
      <c r="A146" s="8">
        <v>42650.630358796298</v>
      </c>
      <c r="B146" s="23" t="s">
        <v>247</v>
      </c>
      <c r="C146" s="23" t="s">
        <v>502</v>
      </c>
      <c r="D146" s="23">
        <v>1740000</v>
      </c>
      <c r="E146" s="23" t="s">
        <v>271</v>
      </c>
      <c r="F146" s="23" t="str">
        <f t="shared" si="4"/>
        <v>rtdc.l.rtdc.4004:itc</v>
      </c>
      <c r="G146" s="8">
        <f t="shared" si="5"/>
        <v>42650.630358796298</v>
      </c>
    </row>
    <row r="147" spans="1:7" x14ac:dyDescent="0.25">
      <c r="A147" s="8">
        <v>42650.631585648145</v>
      </c>
      <c r="B147" s="23" t="s">
        <v>270</v>
      </c>
      <c r="C147" s="23" t="s">
        <v>513</v>
      </c>
      <c r="D147" s="23">
        <v>2040000</v>
      </c>
      <c r="E147" s="23" t="s">
        <v>287</v>
      </c>
      <c r="F147" s="23" t="str">
        <f t="shared" si="4"/>
        <v>rtdc.l.rtdc.4007:itc</v>
      </c>
      <c r="G147" s="8">
        <f t="shared" si="5"/>
        <v>42650.631585648145</v>
      </c>
    </row>
    <row r="148" spans="1:7" x14ac:dyDescent="0.25">
      <c r="A148" s="8">
        <v>42650.633750000001</v>
      </c>
      <c r="B148" s="23" t="s">
        <v>165</v>
      </c>
      <c r="C148" s="23" t="s">
        <v>708</v>
      </c>
      <c r="D148" s="23">
        <v>2260000</v>
      </c>
      <c r="E148" s="23" t="s">
        <v>770</v>
      </c>
      <c r="F148" s="23" t="str">
        <f t="shared" si="4"/>
        <v>rtdc.l.rtdc.4025:itc</v>
      </c>
      <c r="G148" s="8">
        <f t="shared" si="5"/>
        <v>42650.633750000001</v>
      </c>
    </row>
    <row r="149" spans="1:7" x14ac:dyDescent="0.25">
      <c r="A149" s="8">
        <v>42650.639074074075</v>
      </c>
      <c r="B149" s="23" t="s">
        <v>308</v>
      </c>
      <c r="C149" s="23" t="s">
        <v>752</v>
      </c>
      <c r="D149" s="23">
        <v>1810000</v>
      </c>
      <c r="E149" s="23" t="s">
        <v>312</v>
      </c>
      <c r="F149" s="23" t="str">
        <f t="shared" si="4"/>
        <v>rtdc.l.rtdc.4054:itc</v>
      </c>
      <c r="G149" s="8">
        <f t="shared" si="5"/>
        <v>42650.639074074075</v>
      </c>
    </row>
    <row r="150" spans="1:7" x14ac:dyDescent="0.25">
      <c r="A150" s="8">
        <v>42650.639872685184</v>
      </c>
      <c r="B150" s="23" t="s">
        <v>219</v>
      </c>
      <c r="C150" s="23" t="s">
        <v>505</v>
      </c>
      <c r="D150" s="23">
        <v>880000</v>
      </c>
      <c r="E150" s="23" t="s">
        <v>768</v>
      </c>
      <c r="F150" s="23" t="str">
        <f t="shared" si="4"/>
        <v>rtdc.l.rtdc.4017:itc</v>
      </c>
      <c r="G150" s="8">
        <f t="shared" si="5"/>
        <v>42650.639872685184</v>
      </c>
    </row>
    <row r="151" spans="1:7" x14ac:dyDescent="0.25">
      <c r="A151" s="8">
        <v>42650.640185185184</v>
      </c>
      <c r="B151" s="23" t="s">
        <v>308</v>
      </c>
      <c r="C151" s="23" t="s">
        <v>752</v>
      </c>
      <c r="D151" s="23">
        <v>1810000</v>
      </c>
      <c r="E151" s="23" t="s">
        <v>312</v>
      </c>
      <c r="F151" s="23" t="str">
        <f t="shared" si="4"/>
        <v>rtdc.l.rtdc.4054:itc</v>
      </c>
      <c r="G151" s="8">
        <f t="shared" si="5"/>
        <v>42650.640185185184</v>
      </c>
    </row>
    <row r="152" spans="1:7" x14ac:dyDescent="0.25">
      <c r="A152" s="8">
        <v>42650.641863425924</v>
      </c>
      <c r="B152" s="23" t="s">
        <v>170</v>
      </c>
      <c r="C152" s="23" t="s">
        <v>516</v>
      </c>
      <c r="D152" s="23">
        <v>2220000</v>
      </c>
      <c r="E152" s="23" t="s">
        <v>288</v>
      </c>
      <c r="F152" s="23" t="str">
        <f t="shared" si="4"/>
        <v>rtdc.l.rtdc.4042:itc</v>
      </c>
      <c r="G152" s="8">
        <f t="shared" si="5"/>
        <v>42650.641863425924</v>
      </c>
    </row>
    <row r="153" spans="1:7" x14ac:dyDescent="0.25">
      <c r="A153" s="8">
        <v>42650.645069444443</v>
      </c>
      <c r="B153" s="23" t="s">
        <v>238</v>
      </c>
      <c r="C153" s="23" t="s">
        <v>621</v>
      </c>
      <c r="D153" s="23">
        <v>2090000</v>
      </c>
      <c r="E153" s="23" t="s">
        <v>771</v>
      </c>
      <c r="F153" s="23" t="str">
        <f t="shared" si="4"/>
        <v>rtdc.l.rtdc.4032:itc</v>
      </c>
      <c r="G153" s="8">
        <f t="shared" si="5"/>
        <v>42650.645069444443</v>
      </c>
    </row>
    <row r="154" spans="1:7" x14ac:dyDescent="0.25">
      <c r="A154" s="8">
        <v>42650.648414351854</v>
      </c>
      <c r="B154" s="23" t="s">
        <v>309</v>
      </c>
      <c r="C154" s="23" t="s">
        <v>508</v>
      </c>
      <c r="D154" s="23">
        <v>930000</v>
      </c>
      <c r="E154" s="23" t="s">
        <v>769</v>
      </c>
      <c r="F154" s="23" t="str">
        <f t="shared" si="4"/>
        <v>rtdc.l.rtdc.4045:itc</v>
      </c>
      <c r="G154" s="8">
        <f t="shared" si="5"/>
        <v>42650.648414351854</v>
      </c>
    </row>
    <row r="155" spans="1:7" x14ac:dyDescent="0.25">
      <c r="A155" s="8">
        <v>42650.650289351855</v>
      </c>
      <c r="B155" s="23" t="s">
        <v>240</v>
      </c>
      <c r="C155" s="23" t="s">
        <v>712</v>
      </c>
      <c r="D155" s="23">
        <v>1810000</v>
      </c>
      <c r="E155" s="23" t="s">
        <v>312</v>
      </c>
      <c r="F155" s="23" t="str">
        <f t="shared" si="4"/>
        <v>rtdc.l.rtdc.4053:itc</v>
      </c>
      <c r="G155" s="8">
        <f t="shared" si="5"/>
        <v>42650.650289351855</v>
      </c>
    </row>
    <row r="156" spans="1:7" x14ac:dyDescent="0.25">
      <c r="A156" s="8">
        <v>42650.652754629627</v>
      </c>
      <c r="B156" s="23" t="s">
        <v>766</v>
      </c>
      <c r="C156" s="23" t="s">
        <v>519</v>
      </c>
      <c r="D156" s="23">
        <v>2020000</v>
      </c>
      <c r="E156" s="23" t="s">
        <v>310</v>
      </c>
      <c r="F156" s="23" t="str">
        <f t="shared" si="4"/>
        <v>rtdc.l.rtdc.4038:itc</v>
      </c>
      <c r="G156" s="8">
        <f t="shared" si="5"/>
        <v>42650.652754629627</v>
      </c>
    </row>
    <row r="157" spans="1:7" x14ac:dyDescent="0.25">
      <c r="A157" s="8">
        <v>42650.65320601852</v>
      </c>
      <c r="B157" s="23" t="s">
        <v>166</v>
      </c>
      <c r="C157" s="23" t="s">
        <v>710</v>
      </c>
      <c r="D157" s="23">
        <v>2260000</v>
      </c>
      <c r="E157" s="23" t="s">
        <v>770</v>
      </c>
      <c r="F157" s="23" t="str">
        <f t="shared" si="4"/>
        <v>rtdc.l.rtdc.4026:itc</v>
      </c>
      <c r="G157" s="8">
        <f t="shared" si="5"/>
        <v>42650.65320601852</v>
      </c>
    </row>
    <row r="158" spans="1:7" x14ac:dyDescent="0.25">
      <c r="A158" s="8">
        <v>42650.654386574075</v>
      </c>
      <c r="B158" s="23" t="s">
        <v>761</v>
      </c>
      <c r="C158" s="23" t="s">
        <v>511</v>
      </c>
      <c r="D158" s="23">
        <v>940000</v>
      </c>
      <c r="E158" s="23" t="s">
        <v>265</v>
      </c>
      <c r="F158" s="23" t="str">
        <f t="shared" si="4"/>
        <v>rtdc.l.rtdc.4019:itc</v>
      </c>
      <c r="G158" s="8">
        <f t="shared" si="5"/>
        <v>42650.654386574075</v>
      </c>
    </row>
    <row r="159" spans="1:7" x14ac:dyDescent="0.25">
      <c r="A159" s="8">
        <v>42650.656157407408</v>
      </c>
      <c r="B159" s="23" t="s">
        <v>239</v>
      </c>
      <c r="C159" s="23" t="s">
        <v>638</v>
      </c>
      <c r="D159" s="23">
        <v>2090000</v>
      </c>
      <c r="E159" s="23" t="s">
        <v>771</v>
      </c>
      <c r="F159" s="23" t="str">
        <f t="shared" si="4"/>
        <v>rtdc.l.rtdc.4031:itc</v>
      </c>
      <c r="G159" s="8">
        <f t="shared" si="5"/>
        <v>42650.656157407408</v>
      </c>
    </row>
    <row r="160" spans="1:7" x14ac:dyDescent="0.25">
      <c r="A160" s="8">
        <v>42650.66337962963</v>
      </c>
      <c r="B160" s="23" t="s">
        <v>246</v>
      </c>
      <c r="C160" s="23" t="s">
        <v>522</v>
      </c>
      <c r="D160" s="23">
        <v>1740000</v>
      </c>
      <c r="E160" s="23" t="s">
        <v>271</v>
      </c>
      <c r="F160" s="23" t="str">
        <f t="shared" si="4"/>
        <v>rtdc.l.rtdc.4003:itc</v>
      </c>
      <c r="G160" s="8">
        <f t="shared" si="5"/>
        <v>42650.66337962963</v>
      </c>
    </row>
    <row r="161" spans="1:7" x14ac:dyDescent="0.25">
      <c r="A161" s="8">
        <v>42650.668634259258</v>
      </c>
      <c r="B161" s="23" t="s">
        <v>772</v>
      </c>
      <c r="C161" s="23" t="s">
        <v>643</v>
      </c>
      <c r="D161" s="23">
        <v>2150000</v>
      </c>
      <c r="E161" s="23" t="s">
        <v>773</v>
      </c>
      <c r="F161" s="23" t="str">
        <f t="shared" si="4"/>
        <v>rtdc.l.rtdc.4014:itc</v>
      </c>
      <c r="G161" s="8">
        <f t="shared" si="5"/>
        <v>42650.668634259258</v>
      </c>
    </row>
    <row r="162" spans="1:7" x14ac:dyDescent="0.25">
      <c r="A162" s="8">
        <v>42650.669305555559</v>
      </c>
      <c r="B162" s="23" t="s">
        <v>772</v>
      </c>
      <c r="C162" s="23" t="s">
        <v>643</v>
      </c>
      <c r="D162" s="23">
        <v>2150000</v>
      </c>
      <c r="E162" s="23" t="s">
        <v>773</v>
      </c>
      <c r="F162" s="23" t="str">
        <f t="shared" si="4"/>
        <v>rtdc.l.rtdc.4014:itc</v>
      </c>
      <c r="G162" s="8">
        <f t="shared" si="5"/>
        <v>42650.669305555559</v>
      </c>
    </row>
    <row r="163" spans="1:7" x14ac:dyDescent="0.25">
      <c r="A163" s="8">
        <v>42650.671215277776</v>
      </c>
      <c r="B163" s="23" t="s">
        <v>267</v>
      </c>
      <c r="C163" s="23" t="s">
        <v>515</v>
      </c>
      <c r="D163" s="23">
        <v>2040000</v>
      </c>
      <c r="E163" s="23" t="s">
        <v>287</v>
      </c>
      <c r="F163" s="23" t="str">
        <f t="shared" si="4"/>
        <v>rtdc.l.rtdc.4008:itc</v>
      </c>
      <c r="G163" s="8">
        <f t="shared" si="5"/>
        <v>42650.671215277776</v>
      </c>
    </row>
    <row r="164" spans="1:7" x14ac:dyDescent="0.25">
      <c r="A164" s="8">
        <v>42650.671689814815</v>
      </c>
      <c r="B164" s="23" t="s">
        <v>308</v>
      </c>
      <c r="C164" s="23" t="s">
        <v>713</v>
      </c>
      <c r="D164" s="23">
        <v>1810000</v>
      </c>
      <c r="E164" s="23" t="s">
        <v>312</v>
      </c>
      <c r="F164" s="23" t="str">
        <f t="shared" si="4"/>
        <v>rtdc.l.rtdc.4054:itc</v>
      </c>
      <c r="G164" s="8">
        <f t="shared" si="5"/>
        <v>42650.671689814815</v>
      </c>
    </row>
    <row r="165" spans="1:7" x14ac:dyDescent="0.25">
      <c r="A165" s="8">
        <v>42650.672488425924</v>
      </c>
      <c r="B165" s="23" t="s">
        <v>762</v>
      </c>
      <c r="C165" s="23" t="s">
        <v>643</v>
      </c>
      <c r="D165" s="23">
        <v>2150000</v>
      </c>
      <c r="E165" s="23" t="s">
        <v>773</v>
      </c>
      <c r="F165" s="23" t="str">
        <f t="shared" si="4"/>
        <v>rtdc.l.rtdc.4013:itc</v>
      </c>
      <c r="G165" s="8">
        <f t="shared" si="5"/>
        <v>42650.672488425924</v>
      </c>
    </row>
    <row r="166" spans="1:7" x14ac:dyDescent="0.25">
      <c r="A166" s="8">
        <v>42650.676863425928</v>
      </c>
      <c r="B166" s="23" t="s">
        <v>165</v>
      </c>
      <c r="C166" s="23" t="s">
        <v>715</v>
      </c>
      <c r="D166" s="23">
        <v>2260000</v>
      </c>
      <c r="E166" s="23" t="s">
        <v>770</v>
      </c>
      <c r="F166" s="23" t="str">
        <f t="shared" si="4"/>
        <v>rtdc.l.rtdc.4025:itc</v>
      </c>
      <c r="G166" s="8">
        <f t="shared" si="5"/>
        <v>42650.676863425928</v>
      </c>
    </row>
    <row r="167" spans="1:7" x14ac:dyDescent="0.25">
      <c r="A167" s="8">
        <v>42650.676874999997</v>
      </c>
      <c r="B167" s="23" t="s">
        <v>772</v>
      </c>
      <c r="C167" s="23" t="s">
        <v>524</v>
      </c>
      <c r="D167" s="23">
        <v>2150000</v>
      </c>
      <c r="E167" s="23" t="s">
        <v>773</v>
      </c>
      <c r="F167" s="23" t="str">
        <f t="shared" si="4"/>
        <v>rtdc.l.rtdc.4014:itc</v>
      </c>
      <c r="G167" s="8">
        <f t="shared" si="5"/>
        <v>42650.676874999997</v>
      </c>
    </row>
    <row r="168" spans="1:7" x14ac:dyDescent="0.25">
      <c r="A168" s="8">
        <v>42650.677905092591</v>
      </c>
      <c r="B168" s="23" t="s">
        <v>169</v>
      </c>
      <c r="C168" s="23" t="s">
        <v>518</v>
      </c>
      <c r="D168" s="23">
        <v>2220000</v>
      </c>
      <c r="E168" s="23" t="s">
        <v>288</v>
      </c>
      <c r="F168" s="23" t="str">
        <f t="shared" si="4"/>
        <v>rtdc.l.rtdc.4041:itc</v>
      </c>
      <c r="G168" s="8">
        <f t="shared" si="5"/>
        <v>42650.677905092591</v>
      </c>
    </row>
    <row r="169" spans="1:7" x14ac:dyDescent="0.25">
      <c r="A169" s="8">
        <v>42650.685115740744</v>
      </c>
      <c r="B169" s="23" t="s">
        <v>307</v>
      </c>
      <c r="C169" s="23" t="s">
        <v>527</v>
      </c>
      <c r="D169" s="23">
        <v>930000</v>
      </c>
      <c r="E169" s="23" t="s">
        <v>769</v>
      </c>
      <c r="F169" s="23" t="str">
        <f t="shared" si="4"/>
        <v>rtdc.l.rtdc.4046:itc</v>
      </c>
      <c r="G169" s="8">
        <f t="shared" si="5"/>
        <v>42650.685115740744</v>
      </c>
    </row>
    <row r="170" spans="1:7" x14ac:dyDescent="0.25">
      <c r="A170" s="8">
        <v>42650.68787037037</v>
      </c>
      <c r="B170" s="23" t="s">
        <v>240</v>
      </c>
      <c r="C170" s="23" t="s">
        <v>717</v>
      </c>
      <c r="D170" s="23">
        <v>1810000</v>
      </c>
      <c r="E170" s="23" t="s">
        <v>312</v>
      </c>
      <c r="F170" s="23" t="str">
        <f t="shared" si="4"/>
        <v>rtdc.l.rtdc.4053:itc</v>
      </c>
      <c r="G170" s="8">
        <f t="shared" si="5"/>
        <v>42650.68787037037</v>
      </c>
    </row>
    <row r="171" spans="1:7" x14ac:dyDescent="0.25">
      <c r="A171" s="8">
        <v>42650.690393518518</v>
      </c>
      <c r="B171" s="23" t="s">
        <v>759</v>
      </c>
      <c r="C171" s="23" t="s">
        <v>520</v>
      </c>
      <c r="D171" s="23">
        <v>2020000</v>
      </c>
      <c r="E171" s="23" t="s">
        <v>310</v>
      </c>
      <c r="F171" s="23" t="str">
        <f t="shared" si="4"/>
        <v>rtdc.l.rtdc.4037:itc</v>
      </c>
      <c r="G171" s="8">
        <f t="shared" si="5"/>
        <v>42650.690393518518</v>
      </c>
    </row>
    <row r="172" spans="1:7" x14ac:dyDescent="0.25">
      <c r="A172" s="8">
        <v>42650.692893518521</v>
      </c>
      <c r="B172" s="23" t="s">
        <v>166</v>
      </c>
      <c r="C172" s="23" t="s">
        <v>716</v>
      </c>
      <c r="D172" s="23">
        <v>2260000</v>
      </c>
      <c r="E172" s="23" t="s">
        <v>770</v>
      </c>
      <c r="F172" s="23" t="str">
        <f t="shared" si="4"/>
        <v>rtdc.l.rtdc.4026:itc</v>
      </c>
      <c r="G172" s="8">
        <f t="shared" si="5"/>
        <v>42650.692893518521</v>
      </c>
    </row>
    <row r="173" spans="1:7" x14ac:dyDescent="0.25">
      <c r="A173" s="8">
        <v>42650.694988425923</v>
      </c>
      <c r="B173" s="23" t="s">
        <v>760</v>
      </c>
      <c r="C173" s="23" t="s">
        <v>530</v>
      </c>
      <c r="D173" s="23">
        <v>940000</v>
      </c>
      <c r="E173" s="23" t="s">
        <v>265</v>
      </c>
      <c r="F173" s="23" t="str">
        <f t="shared" si="4"/>
        <v>rtdc.l.rtdc.4020:itc</v>
      </c>
      <c r="G173" s="8">
        <f t="shared" si="5"/>
        <v>42650.694988425923</v>
      </c>
    </row>
    <row r="174" spans="1:7" x14ac:dyDescent="0.25">
      <c r="A174" s="8">
        <v>42650.702615740738</v>
      </c>
      <c r="B174" s="23" t="s">
        <v>247</v>
      </c>
      <c r="C174" s="23" t="s">
        <v>523</v>
      </c>
      <c r="D174" s="23">
        <v>1740000</v>
      </c>
      <c r="E174" s="23" t="s">
        <v>271</v>
      </c>
      <c r="F174" s="23" t="str">
        <f t="shared" si="4"/>
        <v>rtdc.l.rtdc.4004:itc</v>
      </c>
      <c r="G174" s="8">
        <f t="shared" si="5"/>
        <v>42650.702615740738</v>
      </c>
    </row>
    <row r="175" spans="1:7" x14ac:dyDescent="0.25">
      <c r="A175" s="8">
        <v>42650.703263888892</v>
      </c>
      <c r="B175" s="23" t="s">
        <v>238</v>
      </c>
      <c r="C175" s="23" t="s">
        <v>639</v>
      </c>
      <c r="D175" s="23">
        <v>2090000</v>
      </c>
      <c r="E175" s="23" t="s">
        <v>771</v>
      </c>
      <c r="F175" s="23" t="str">
        <f t="shared" si="4"/>
        <v>rtdc.l.rtdc.4032:itc</v>
      </c>
      <c r="G175" s="8">
        <f t="shared" si="5"/>
        <v>42650.703263888892</v>
      </c>
    </row>
    <row r="176" spans="1:7" x14ac:dyDescent="0.25">
      <c r="A176" s="8">
        <v>42650.705891203703</v>
      </c>
      <c r="B176" s="23" t="s">
        <v>270</v>
      </c>
      <c r="C176" s="23" t="s">
        <v>533</v>
      </c>
      <c r="D176" s="23">
        <v>2040000</v>
      </c>
      <c r="E176" s="23" t="s">
        <v>287</v>
      </c>
      <c r="F176" s="23" t="str">
        <f t="shared" si="4"/>
        <v>rtdc.l.rtdc.4007:itc</v>
      </c>
      <c r="G176" s="8">
        <f t="shared" si="5"/>
        <v>42650.705891203703</v>
      </c>
    </row>
    <row r="177" spans="1:7" x14ac:dyDescent="0.25">
      <c r="A177" s="8">
        <v>42650.7112037037</v>
      </c>
      <c r="B177" s="23" t="s">
        <v>762</v>
      </c>
      <c r="C177" s="23" t="s">
        <v>525</v>
      </c>
      <c r="D177" s="23">
        <v>2150000</v>
      </c>
      <c r="E177" s="23" t="s">
        <v>773</v>
      </c>
      <c r="F177" s="23" t="str">
        <f t="shared" si="4"/>
        <v>rtdc.l.rtdc.4013:itc</v>
      </c>
      <c r="G177" s="8">
        <f t="shared" si="5"/>
        <v>42650.7112037037</v>
      </c>
    </row>
    <row r="178" spans="1:7" x14ac:dyDescent="0.25">
      <c r="A178" s="8">
        <v>42650.713703703703</v>
      </c>
      <c r="B178" s="23" t="s">
        <v>308</v>
      </c>
      <c r="C178" s="23" t="s">
        <v>719</v>
      </c>
      <c r="D178" s="23">
        <v>1810000</v>
      </c>
      <c r="E178" s="23" t="s">
        <v>312</v>
      </c>
      <c r="F178" s="23" t="str">
        <f t="shared" si="4"/>
        <v>rtdc.l.rtdc.4054:itc</v>
      </c>
      <c r="G178" s="8">
        <f t="shared" si="5"/>
        <v>42650.713703703703</v>
      </c>
    </row>
    <row r="179" spans="1:7" x14ac:dyDescent="0.25">
      <c r="A179" s="8">
        <v>42650.714166666665</v>
      </c>
      <c r="B179" s="23" t="s">
        <v>165</v>
      </c>
      <c r="C179" s="23" t="s">
        <v>722</v>
      </c>
      <c r="D179" s="23">
        <v>2260000</v>
      </c>
      <c r="E179" s="23" t="s">
        <v>770</v>
      </c>
      <c r="F179" s="23" t="str">
        <f t="shared" si="4"/>
        <v>rtdc.l.rtdc.4025:itc</v>
      </c>
      <c r="G179" s="8">
        <f t="shared" si="5"/>
        <v>42650.714166666665</v>
      </c>
    </row>
    <row r="180" spans="1:7" x14ac:dyDescent="0.25">
      <c r="A180" s="8">
        <v>42650.717870370368</v>
      </c>
      <c r="B180" s="23" t="s">
        <v>170</v>
      </c>
      <c r="C180" s="23" t="s">
        <v>536</v>
      </c>
      <c r="D180" s="23">
        <v>2220000</v>
      </c>
      <c r="E180" s="23" t="s">
        <v>288</v>
      </c>
      <c r="F180" s="23" t="str">
        <f t="shared" si="4"/>
        <v>rtdc.l.rtdc.4042:itc</v>
      </c>
      <c r="G180" s="8">
        <f t="shared" si="5"/>
        <v>42650.717870370368</v>
      </c>
    </row>
    <row r="181" spans="1:7" x14ac:dyDescent="0.25">
      <c r="A181" s="8">
        <v>42650.722754629627</v>
      </c>
      <c r="B181" s="23" t="s">
        <v>309</v>
      </c>
      <c r="C181" s="23" t="s">
        <v>529</v>
      </c>
      <c r="D181" s="23">
        <v>930000</v>
      </c>
      <c r="E181" s="23" t="s">
        <v>769</v>
      </c>
      <c r="F181" s="23" t="str">
        <f t="shared" si="4"/>
        <v>rtdc.l.rtdc.4045:itc</v>
      </c>
      <c r="G181" s="8">
        <f t="shared" si="5"/>
        <v>42650.722754629627</v>
      </c>
    </row>
    <row r="182" spans="1:7" x14ac:dyDescent="0.25">
      <c r="A182" s="8">
        <v>42650.72587962963</v>
      </c>
      <c r="B182" s="23" t="s">
        <v>766</v>
      </c>
      <c r="C182" s="23" t="s">
        <v>541</v>
      </c>
      <c r="D182" s="23">
        <v>2020000</v>
      </c>
      <c r="E182" s="23" t="s">
        <v>310</v>
      </c>
      <c r="F182" s="23" t="str">
        <f t="shared" si="4"/>
        <v>rtdc.l.rtdc.4038:itc</v>
      </c>
      <c r="G182" s="8">
        <f t="shared" si="5"/>
        <v>42650.72587962963</v>
      </c>
    </row>
    <row r="183" spans="1:7" x14ac:dyDescent="0.25">
      <c r="A183" s="8">
        <v>42650.726215277777</v>
      </c>
      <c r="B183" s="23" t="s">
        <v>761</v>
      </c>
      <c r="C183" s="23" t="s">
        <v>532</v>
      </c>
      <c r="D183" s="23">
        <v>940000</v>
      </c>
      <c r="E183" s="23" t="s">
        <v>265</v>
      </c>
      <c r="F183" s="23" t="str">
        <f t="shared" si="4"/>
        <v>rtdc.l.rtdc.4019:itc</v>
      </c>
      <c r="G183" s="8">
        <f t="shared" si="5"/>
        <v>42650.726215277777</v>
      </c>
    </row>
    <row r="184" spans="1:7" x14ac:dyDescent="0.25">
      <c r="A184" s="8">
        <v>42650.729363425926</v>
      </c>
      <c r="B184" s="23" t="s">
        <v>240</v>
      </c>
      <c r="C184" s="23" t="s">
        <v>725</v>
      </c>
      <c r="D184" s="23">
        <v>1810000</v>
      </c>
      <c r="E184" s="23" t="s">
        <v>312</v>
      </c>
      <c r="F184" s="23" t="str">
        <f t="shared" si="4"/>
        <v>rtdc.l.rtdc.4053:itc</v>
      </c>
      <c r="G184" s="8">
        <f t="shared" si="5"/>
        <v>42650.729363425926</v>
      </c>
    </row>
    <row r="185" spans="1:7" x14ac:dyDescent="0.25">
      <c r="A185" s="8">
        <v>42650.734525462962</v>
      </c>
      <c r="B185" s="23" t="s">
        <v>166</v>
      </c>
      <c r="C185" s="23" t="s">
        <v>723</v>
      </c>
      <c r="D185" s="23">
        <v>2260000</v>
      </c>
      <c r="E185" s="23" t="s">
        <v>770</v>
      </c>
      <c r="F185" s="23" t="str">
        <f t="shared" si="4"/>
        <v>rtdc.l.rtdc.4026:itc</v>
      </c>
      <c r="G185" s="8">
        <f t="shared" si="5"/>
        <v>42650.734525462962</v>
      </c>
    </row>
    <row r="186" spans="1:7" x14ac:dyDescent="0.25">
      <c r="A186" s="8">
        <v>42650.738900462966</v>
      </c>
      <c r="B186" s="23" t="s">
        <v>311</v>
      </c>
      <c r="C186" s="23" t="s">
        <v>614</v>
      </c>
      <c r="D186" s="23">
        <v>1800000</v>
      </c>
      <c r="E186" s="23" t="s">
        <v>774</v>
      </c>
      <c r="F186" s="23" t="str">
        <f t="shared" si="4"/>
        <v>rtdc.l.rtdc.4005:itc</v>
      </c>
      <c r="G186" s="8">
        <f t="shared" si="5"/>
        <v>42650.738900462966</v>
      </c>
    </row>
    <row r="187" spans="1:7" x14ac:dyDescent="0.25">
      <c r="A187" s="8">
        <v>42650.739606481482</v>
      </c>
      <c r="B187" s="23" t="s">
        <v>246</v>
      </c>
      <c r="C187" s="23" t="s">
        <v>546</v>
      </c>
      <c r="D187" s="23">
        <v>140000</v>
      </c>
      <c r="E187" s="23" t="s">
        <v>289</v>
      </c>
      <c r="F187" s="23" t="str">
        <f t="shared" si="4"/>
        <v>rtdc.l.rtdc.4003:itc</v>
      </c>
      <c r="G187" s="8">
        <f t="shared" si="5"/>
        <v>42650.739606481482</v>
      </c>
    </row>
    <row r="188" spans="1:7" x14ac:dyDescent="0.25">
      <c r="A188" s="8">
        <v>42650.743043981478</v>
      </c>
      <c r="B188" s="23" t="s">
        <v>267</v>
      </c>
      <c r="C188" s="23" t="s">
        <v>534</v>
      </c>
      <c r="D188" s="23">
        <v>2040000</v>
      </c>
      <c r="E188" s="23" t="s">
        <v>287</v>
      </c>
      <c r="F188" s="23" t="str">
        <f t="shared" si="4"/>
        <v>rtdc.l.rtdc.4008:itc</v>
      </c>
      <c r="G188" s="8">
        <f t="shared" si="5"/>
        <v>42650.743043981478</v>
      </c>
    </row>
    <row r="189" spans="1:7" x14ac:dyDescent="0.25">
      <c r="A189" s="8">
        <v>42650.748229166667</v>
      </c>
      <c r="B189" s="23" t="s">
        <v>261</v>
      </c>
      <c r="C189" s="23" t="s">
        <v>548</v>
      </c>
      <c r="D189" s="23">
        <v>1740000</v>
      </c>
      <c r="E189" s="23" t="s">
        <v>271</v>
      </c>
      <c r="F189" s="23" t="str">
        <f t="shared" si="4"/>
        <v>rtdc.l.rtdc.4002:itc</v>
      </c>
      <c r="G189" s="8">
        <f t="shared" si="5"/>
        <v>42650.748229166667</v>
      </c>
    </row>
    <row r="190" spans="1:7" x14ac:dyDescent="0.25">
      <c r="A190" s="8">
        <v>42650.749467592592</v>
      </c>
      <c r="B190" s="23" t="s">
        <v>169</v>
      </c>
      <c r="C190" s="23" t="s">
        <v>538</v>
      </c>
      <c r="D190" s="23">
        <v>2220000</v>
      </c>
      <c r="E190" s="23" t="s">
        <v>288</v>
      </c>
      <c r="F190" s="23" t="str">
        <f t="shared" si="4"/>
        <v>rtdc.l.rtdc.4041:itc</v>
      </c>
      <c r="G190" s="8">
        <f t="shared" si="5"/>
        <v>42650.749467592592</v>
      </c>
    </row>
    <row r="191" spans="1:7" x14ac:dyDescent="0.25">
      <c r="A191" s="8">
        <v>42650.755543981482</v>
      </c>
      <c r="B191" s="23" t="s">
        <v>308</v>
      </c>
      <c r="C191" s="23" t="s">
        <v>726</v>
      </c>
      <c r="D191" s="23">
        <v>1810000</v>
      </c>
      <c r="E191" s="23" t="s">
        <v>312</v>
      </c>
      <c r="F191" s="23" t="str">
        <f t="shared" si="4"/>
        <v>rtdc.l.rtdc.4054:itc</v>
      </c>
      <c r="G191" s="8">
        <f t="shared" si="5"/>
        <v>42650.755543981482</v>
      </c>
    </row>
    <row r="192" spans="1:7" x14ac:dyDescent="0.25">
      <c r="A192" s="8">
        <v>42650.759375000001</v>
      </c>
      <c r="B192" s="23" t="s">
        <v>772</v>
      </c>
      <c r="C192" s="23" t="s">
        <v>636</v>
      </c>
      <c r="D192" s="23">
        <v>2150000</v>
      </c>
      <c r="E192" s="23" t="s">
        <v>773</v>
      </c>
      <c r="F192" s="23" t="str">
        <f t="shared" si="4"/>
        <v>rtdc.l.rtdc.4014:itc</v>
      </c>
      <c r="G192" s="8">
        <f t="shared" si="5"/>
        <v>42650.759375000001</v>
      </c>
    </row>
    <row r="193" spans="1:7" x14ac:dyDescent="0.25">
      <c r="A193" s="8">
        <v>42650.761678240742</v>
      </c>
      <c r="B193" s="23" t="s">
        <v>165</v>
      </c>
      <c r="C193" s="23" t="s">
        <v>728</v>
      </c>
      <c r="D193" s="23">
        <v>2260000</v>
      </c>
      <c r="E193" s="23" t="s">
        <v>770</v>
      </c>
      <c r="F193" s="23" t="str">
        <f t="shared" si="4"/>
        <v>rtdc.l.rtdc.4025:itc</v>
      </c>
      <c r="G193" s="8">
        <f t="shared" si="5"/>
        <v>42650.761678240742</v>
      </c>
    </row>
    <row r="194" spans="1:7" x14ac:dyDescent="0.25">
      <c r="A194" s="8">
        <v>42650.762453703705</v>
      </c>
      <c r="B194" s="23" t="s">
        <v>307</v>
      </c>
      <c r="C194" s="23" t="s">
        <v>552</v>
      </c>
      <c r="D194" s="23">
        <v>1800000</v>
      </c>
      <c r="E194" s="23" t="s">
        <v>774</v>
      </c>
      <c r="F194" s="23" t="str">
        <f t="shared" ref="F194:F235" si="6">B194</f>
        <v>rtdc.l.rtdc.4046:itc</v>
      </c>
      <c r="G194" s="8">
        <f t="shared" ref="G194:G235" si="7">A194</f>
        <v>42650.762453703705</v>
      </c>
    </row>
    <row r="195" spans="1:7" x14ac:dyDescent="0.25">
      <c r="A195" s="8">
        <v>42650.762881944444</v>
      </c>
      <c r="B195" s="23" t="s">
        <v>759</v>
      </c>
      <c r="C195" s="23" t="s">
        <v>543</v>
      </c>
      <c r="D195" s="23">
        <v>2020000</v>
      </c>
      <c r="E195" s="23" t="s">
        <v>310</v>
      </c>
      <c r="F195" s="23" t="str">
        <f t="shared" si="6"/>
        <v>rtdc.l.rtdc.4037:itc</v>
      </c>
      <c r="G195" s="8">
        <f t="shared" si="7"/>
        <v>42650.762881944444</v>
      </c>
    </row>
    <row r="196" spans="1:7" x14ac:dyDescent="0.25">
      <c r="A196" s="8">
        <v>42650.764004629629</v>
      </c>
      <c r="B196" s="23" t="s">
        <v>239</v>
      </c>
      <c r="C196" s="23" t="s">
        <v>626</v>
      </c>
      <c r="D196" s="23">
        <v>2090000</v>
      </c>
      <c r="E196" s="23" t="s">
        <v>771</v>
      </c>
      <c r="F196" s="23" t="str">
        <f t="shared" si="6"/>
        <v>rtdc.l.rtdc.4031:itc</v>
      </c>
      <c r="G196" s="8">
        <f t="shared" si="7"/>
        <v>42650.764004629629</v>
      </c>
    </row>
    <row r="197" spans="1:7" x14ac:dyDescent="0.25">
      <c r="A197" s="8">
        <v>42650.767511574071</v>
      </c>
      <c r="B197" s="23" t="s">
        <v>263</v>
      </c>
      <c r="C197" s="23" t="s">
        <v>775</v>
      </c>
      <c r="D197" s="23">
        <v>1300000</v>
      </c>
      <c r="E197" s="23" t="s">
        <v>121</v>
      </c>
      <c r="F197" s="23" t="str">
        <f t="shared" si="6"/>
        <v>rtdc.l.rtdc.4021:itc</v>
      </c>
      <c r="G197" s="8">
        <f t="shared" si="7"/>
        <v>42650.767511574071</v>
      </c>
    </row>
    <row r="198" spans="1:7" x14ac:dyDescent="0.25">
      <c r="A198" s="8">
        <v>42650.770277777781</v>
      </c>
      <c r="B198" s="23" t="s">
        <v>263</v>
      </c>
      <c r="C198" s="23" t="s">
        <v>775</v>
      </c>
      <c r="D198" s="23">
        <v>1300000</v>
      </c>
      <c r="E198" s="23" t="s">
        <v>121</v>
      </c>
      <c r="F198" s="23" t="str">
        <f t="shared" si="6"/>
        <v>rtdc.l.rtdc.4021:itc</v>
      </c>
      <c r="G198" s="8">
        <f t="shared" si="7"/>
        <v>42650.770277777781</v>
      </c>
    </row>
    <row r="199" spans="1:7" x14ac:dyDescent="0.25">
      <c r="A199" s="8">
        <v>42650.771585648145</v>
      </c>
      <c r="B199" s="23" t="s">
        <v>760</v>
      </c>
      <c r="C199" s="23" t="s">
        <v>555</v>
      </c>
      <c r="D199" s="23">
        <v>1480000</v>
      </c>
      <c r="E199" s="23" t="s">
        <v>226</v>
      </c>
      <c r="F199" s="23" t="str">
        <f t="shared" si="6"/>
        <v>rtdc.l.rtdc.4020:itc</v>
      </c>
      <c r="G199" s="8">
        <f t="shared" si="7"/>
        <v>42650.771585648145</v>
      </c>
    </row>
    <row r="200" spans="1:7" x14ac:dyDescent="0.25">
      <c r="A200" s="8">
        <v>42650.771956018521</v>
      </c>
      <c r="B200" s="23" t="s">
        <v>240</v>
      </c>
      <c r="C200" s="23" t="s">
        <v>732</v>
      </c>
      <c r="D200" s="23">
        <v>1810000</v>
      </c>
      <c r="E200" s="23" t="s">
        <v>312</v>
      </c>
      <c r="F200" s="23" t="str">
        <f t="shared" si="6"/>
        <v>rtdc.l.rtdc.4053:itc</v>
      </c>
      <c r="G200" s="8">
        <f t="shared" si="7"/>
        <v>42650.771956018521</v>
      </c>
    </row>
    <row r="201" spans="1:7" x14ac:dyDescent="0.25">
      <c r="A201" s="8">
        <v>42650.776516203703</v>
      </c>
      <c r="B201" s="23" t="s">
        <v>166</v>
      </c>
      <c r="C201" s="23" t="s">
        <v>729</v>
      </c>
      <c r="D201" s="23">
        <v>2260000</v>
      </c>
      <c r="E201" s="23" t="s">
        <v>770</v>
      </c>
      <c r="F201" s="23" t="str">
        <f t="shared" si="6"/>
        <v>rtdc.l.rtdc.4026:itc</v>
      </c>
      <c r="G201" s="8">
        <f t="shared" si="7"/>
        <v>42650.776516203703</v>
      </c>
    </row>
    <row r="202" spans="1:7" x14ac:dyDescent="0.25">
      <c r="A202" s="29">
        <v>42650.777824074074</v>
      </c>
      <c r="B202" s="23" t="s">
        <v>247</v>
      </c>
      <c r="C202" s="23" t="s">
        <v>547</v>
      </c>
      <c r="D202" s="23">
        <v>140000</v>
      </c>
      <c r="E202" s="23" t="s">
        <v>289</v>
      </c>
      <c r="F202" s="23" t="str">
        <f t="shared" si="6"/>
        <v>rtdc.l.rtdc.4004:itc</v>
      </c>
      <c r="G202" s="8">
        <f t="shared" si="7"/>
        <v>42650.777824074074</v>
      </c>
    </row>
    <row r="203" spans="1:7" x14ac:dyDescent="0.25">
      <c r="A203" s="8">
        <v>42650.785150462965</v>
      </c>
      <c r="B203" s="23" t="s">
        <v>270</v>
      </c>
      <c r="C203" s="23" t="s">
        <v>559</v>
      </c>
      <c r="D203" s="23">
        <v>1300000</v>
      </c>
      <c r="E203" s="23" t="s">
        <v>121</v>
      </c>
      <c r="F203" s="23" t="str">
        <f t="shared" si="6"/>
        <v>rtdc.l.rtdc.4007:itc</v>
      </c>
      <c r="G203" s="8">
        <f t="shared" si="7"/>
        <v>42650.785150462965</v>
      </c>
    </row>
    <row r="204" spans="1:7" x14ac:dyDescent="0.25">
      <c r="A204" s="8">
        <v>42650.78634259259</v>
      </c>
      <c r="B204" s="23" t="s">
        <v>270</v>
      </c>
      <c r="C204" s="23" t="s">
        <v>559</v>
      </c>
      <c r="D204" s="23">
        <v>1300000</v>
      </c>
      <c r="E204" s="23" t="s">
        <v>121</v>
      </c>
      <c r="F204" s="23" t="str">
        <f t="shared" si="6"/>
        <v>rtdc.l.rtdc.4007:itc</v>
      </c>
      <c r="G204" s="8">
        <f t="shared" si="7"/>
        <v>42650.78634259259</v>
      </c>
    </row>
    <row r="205" spans="1:7" x14ac:dyDescent="0.25">
      <c r="A205" s="8">
        <v>42650.786354166667</v>
      </c>
      <c r="B205" s="23" t="s">
        <v>260</v>
      </c>
      <c r="C205" s="23" t="s">
        <v>550</v>
      </c>
      <c r="D205" s="23">
        <v>1740000</v>
      </c>
      <c r="E205" s="23" t="s">
        <v>271</v>
      </c>
      <c r="F205" s="23" t="str">
        <f t="shared" si="6"/>
        <v>rtdc.l.rtdc.4001:itc</v>
      </c>
      <c r="G205" s="8">
        <f t="shared" si="7"/>
        <v>42650.786354166667</v>
      </c>
    </row>
    <row r="206" spans="1:7" x14ac:dyDescent="0.25">
      <c r="A206" s="8">
        <v>42650.788148148145</v>
      </c>
      <c r="B206" s="23" t="s">
        <v>260</v>
      </c>
      <c r="C206" s="23" t="s">
        <v>550</v>
      </c>
      <c r="D206" s="23">
        <v>1740000</v>
      </c>
      <c r="E206" s="23" t="s">
        <v>271</v>
      </c>
      <c r="F206" s="23" t="str">
        <f t="shared" si="6"/>
        <v>rtdc.l.rtdc.4001:itc</v>
      </c>
      <c r="G206" s="8">
        <f t="shared" si="7"/>
        <v>42650.788148148145</v>
      </c>
    </row>
    <row r="207" spans="1:7" x14ac:dyDescent="0.25">
      <c r="A207" s="8">
        <v>42650.793356481481</v>
      </c>
      <c r="B207" s="23" t="s">
        <v>170</v>
      </c>
      <c r="C207" s="23" t="s">
        <v>641</v>
      </c>
      <c r="D207" s="23">
        <v>2040000</v>
      </c>
      <c r="E207" s="23" t="s">
        <v>287</v>
      </c>
      <c r="F207" s="23" t="str">
        <f t="shared" si="6"/>
        <v>rtdc.l.rtdc.4042:itc</v>
      </c>
      <c r="G207" s="8">
        <f t="shared" si="7"/>
        <v>42650.793356481481</v>
      </c>
    </row>
    <row r="208" spans="1:7" x14ac:dyDescent="0.25">
      <c r="A208" s="8">
        <v>42650.796446759261</v>
      </c>
      <c r="B208" s="23" t="s">
        <v>308</v>
      </c>
      <c r="C208" s="23" t="s">
        <v>754</v>
      </c>
      <c r="D208" s="23">
        <v>1810000</v>
      </c>
      <c r="E208" s="23" t="s">
        <v>312</v>
      </c>
      <c r="F208" s="23" t="str">
        <f t="shared" si="6"/>
        <v>rtdc.l.rtdc.4054:itc</v>
      </c>
      <c r="G208" s="8">
        <f t="shared" si="7"/>
        <v>42650.796446759261</v>
      </c>
    </row>
    <row r="209" spans="1:7" x14ac:dyDescent="0.25">
      <c r="A209" s="8">
        <v>42650.798622685186</v>
      </c>
      <c r="B209" s="23" t="s">
        <v>309</v>
      </c>
      <c r="C209" s="23" t="s">
        <v>554</v>
      </c>
      <c r="D209" s="23">
        <v>1800000</v>
      </c>
      <c r="E209" s="23" t="s">
        <v>774</v>
      </c>
      <c r="F209" s="23" t="str">
        <f t="shared" si="6"/>
        <v>rtdc.l.rtdc.4045:itc</v>
      </c>
      <c r="G209" s="8">
        <f t="shared" si="7"/>
        <v>42650.798622685186</v>
      </c>
    </row>
    <row r="210" spans="1:7" x14ac:dyDescent="0.25">
      <c r="A210" s="8">
        <v>42650.799074074072</v>
      </c>
      <c r="B210" s="23" t="s">
        <v>766</v>
      </c>
      <c r="C210" s="23" t="s">
        <v>589</v>
      </c>
      <c r="D210" s="23">
        <v>2020000</v>
      </c>
      <c r="E210" s="23" t="s">
        <v>310</v>
      </c>
      <c r="F210" s="23" t="str">
        <f t="shared" si="6"/>
        <v>rtdc.l.rtdc.4038:itc</v>
      </c>
      <c r="G210" s="8">
        <f t="shared" si="7"/>
        <v>42650.799074074072</v>
      </c>
    </row>
    <row r="211" spans="1:7" x14ac:dyDescent="0.25">
      <c r="A211" s="8">
        <v>42650.80164351852</v>
      </c>
      <c r="B211" s="23" t="s">
        <v>165</v>
      </c>
      <c r="C211" s="23" t="s">
        <v>736</v>
      </c>
      <c r="D211" s="23">
        <v>2260000</v>
      </c>
      <c r="E211" s="23" t="s">
        <v>770</v>
      </c>
      <c r="F211" s="23" t="str">
        <f t="shared" si="6"/>
        <v>rtdc.l.rtdc.4025:itc</v>
      </c>
      <c r="G211" s="8">
        <f t="shared" si="7"/>
        <v>42650.80164351852</v>
      </c>
    </row>
    <row r="212" spans="1:7" x14ac:dyDescent="0.25">
      <c r="A212" s="8">
        <v>42650.803518518522</v>
      </c>
      <c r="B212" s="23" t="s">
        <v>238</v>
      </c>
      <c r="C212" s="23" t="s">
        <v>627</v>
      </c>
      <c r="D212" s="23">
        <v>150000</v>
      </c>
      <c r="E212" s="23" t="s">
        <v>776</v>
      </c>
      <c r="F212" s="23" t="str">
        <f t="shared" si="6"/>
        <v>rtdc.l.rtdc.4032:itc</v>
      </c>
      <c r="G212" s="8">
        <f t="shared" si="7"/>
        <v>42650.803518518522</v>
      </c>
    </row>
    <row r="213" spans="1:7" x14ac:dyDescent="0.25">
      <c r="A213" s="8">
        <v>42650.803518518522</v>
      </c>
      <c r="B213" s="23" t="s">
        <v>761</v>
      </c>
      <c r="C213" s="23" t="s">
        <v>557</v>
      </c>
      <c r="D213" s="23">
        <v>1480000</v>
      </c>
      <c r="E213" s="23" t="s">
        <v>226</v>
      </c>
      <c r="F213" s="23" t="str">
        <f t="shared" si="6"/>
        <v>rtdc.l.rtdc.4019:itc</v>
      </c>
      <c r="G213" s="8">
        <f t="shared" si="7"/>
        <v>42650.803518518522</v>
      </c>
    </row>
    <row r="214" spans="1:7" x14ac:dyDescent="0.25">
      <c r="A214" s="8">
        <v>42650.811111111114</v>
      </c>
      <c r="B214" s="23" t="s">
        <v>246</v>
      </c>
      <c r="C214" s="23" t="s">
        <v>561</v>
      </c>
      <c r="D214" s="23">
        <v>140000</v>
      </c>
      <c r="E214" s="23" t="s">
        <v>289</v>
      </c>
      <c r="F214" s="23" t="str">
        <f t="shared" si="6"/>
        <v>rtdc.l.rtdc.4003:itc</v>
      </c>
      <c r="G214" s="8">
        <f t="shared" si="7"/>
        <v>42650.811111111114</v>
      </c>
    </row>
    <row r="215" spans="1:7" x14ac:dyDescent="0.25">
      <c r="A215" s="8">
        <v>42650.818842592591</v>
      </c>
      <c r="B215" s="23" t="s">
        <v>166</v>
      </c>
      <c r="C215" s="23" t="s">
        <v>735</v>
      </c>
      <c r="D215" s="23">
        <v>2260000</v>
      </c>
      <c r="E215" s="23" t="s">
        <v>770</v>
      </c>
      <c r="F215" s="23" t="str">
        <f t="shared" si="6"/>
        <v>rtdc.l.rtdc.4026:itc</v>
      </c>
      <c r="G215" s="8">
        <f t="shared" si="7"/>
        <v>42650.818842592591</v>
      </c>
    </row>
    <row r="216" spans="1:7" x14ac:dyDescent="0.25">
      <c r="A216" s="8">
        <v>42650.824479166666</v>
      </c>
      <c r="B216" s="23" t="s">
        <v>261</v>
      </c>
      <c r="C216" s="23" t="s">
        <v>594</v>
      </c>
      <c r="D216" s="23">
        <v>1740000</v>
      </c>
      <c r="E216" s="23" t="s">
        <v>271</v>
      </c>
      <c r="F216" s="23" t="str">
        <f t="shared" si="6"/>
        <v>rtdc.l.rtdc.4002:itc</v>
      </c>
      <c r="G216" s="8">
        <f t="shared" si="7"/>
        <v>42650.824479166666</v>
      </c>
    </row>
    <row r="217" spans="1:7" x14ac:dyDescent="0.25">
      <c r="A217" s="8">
        <v>42650.827233796299</v>
      </c>
      <c r="B217" s="23" t="s">
        <v>267</v>
      </c>
      <c r="C217" s="23" t="s">
        <v>560</v>
      </c>
      <c r="D217" s="23">
        <v>1300000</v>
      </c>
      <c r="E217" s="23" t="s">
        <v>121</v>
      </c>
      <c r="F217" s="23" t="str">
        <f t="shared" si="6"/>
        <v>rtdc.l.rtdc.4008:itc</v>
      </c>
      <c r="G217" s="8">
        <f t="shared" si="7"/>
        <v>42650.827233796299</v>
      </c>
    </row>
    <row r="218" spans="1:7" x14ac:dyDescent="0.25">
      <c r="A218" s="8">
        <v>42650.831863425927</v>
      </c>
      <c r="B218" s="23" t="s">
        <v>307</v>
      </c>
      <c r="C218" s="23" t="s">
        <v>563</v>
      </c>
      <c r="D218" s="23">
        <v>1800000</v>
      </c>
      <c r="E218" s="23" t="s">
        <v>774</v>
      </c>
      <c r="F218" s="23" t="str">
        <f t="shared" si="6"/>
        <v>rtdc.l.rtdc.4046:itc</v>
      </c>
      <c r="G218" s="8">
        <f t="shared" si="7"/>
        <v>42650.831863425927</v>
      </c>
    </row>
    <row r="219" spans="1:7" x14ac:dyDescent="0.25">
      <c r="A219" s="8">
        <v>42650.844050925924</v>
      </c>
      <c r="B219" s="23" t="s">
        <v>165</v>
      </c>
      <c r="C219" s="23" t="s">
        <v>739</v>
      </c>
      <c r="D219" s="23">
        <v>2260000</v>
      </c>
      <c r="E219" s="23" t="s">
        <v>770</v>
      </c>
      <c r="F219" s="23" t="str">
        <f t="shared" si="6"/>
        <v>rtdc.l.rtdc.4025:itc</v>
      </c>
      <c r="G219" s="8">
        <f t="shared" si="7"/>
        <v>42650.844050925924</v>
      </c>
    </row>
    <row r="220" spans="1:7" x14ac:dyDescent="0.25">
      <c r="A220" s="8">
        <v>42650.844629629632</v>
      </c>
      <c r="B220" s="23" t="s">
        <v>247</v>
      </c>
      <c r="C220" s="23" t="s">
        <v>562</v>
      </c>
      <c r="D220" s="23">
        <v>140000</v>
      </c>
      <c r="E220" s="23" t="s">
        <v>289</v>
      </c>
      <c r="F220" s="23" t="str">
        <f t="shared" si="6"/>
        <v>rtdc.l.rtdc.4004:itc</v>
      </c>
      <c r="G220" s="8">
        <f t="shared" si="7"/>
        <v>42650.844629629632</v>
      </c>
    </row>
    <row r="221" spans="1:7" x14ac:dyDescent="0.25">
      <c r="A221" s="8">
        <v>42650.849074074074</v>
      </c>
      <c r="B221" s="23" t="s">
        <v>760</v>
      </c>
      <c r="C221" s="23" t="s">
        <v>565</v>
      </c>
      <c r="D221" s="23">
        <v>1480000</v>
      </c>
      <c r="E221" s="23" t="s">
        <v>226</v>
      </c>
      <c r="F221" s="23" t="str">
        <f t="shared" si="6"/>
        <v>rtdc.l.rtdc.4020:itc</v>
      </c>
      <c r="G221" s="8">
        <f t="shared" si="7"/>
        <v>42650.849074074074</v>
      </c>
    </row>
    <row r="222" spans="1:7" x14ac:dyDescent="0.25">
      <c r="A222" s="8">
        <v>42650.860381944447</v>
      </c>
      <c r="B222" s="23" t="s">
        <v>166</v>
      </c>
      <c r="C222" s="23" t="s">
        <v>737</v>
      </c>
      <c r="D222" s="23">
        <v>2260000</v>
      </c>
      <c r="E222" s="23" t="s">
        <v>770</v>
      </c>
      <c r="F222" s="23" t="str">
        <f t="shared" si="6"/>
        <v>rtdc.l.rtdc.4026:itc</v>
      </c>
      <c r="G222" s="8">
        <f t="shared" si="7"/>
        <v>42650.860381944447</v>
      </c>
    </row>
    <row r="223" spans="1:7" x14ac:dyDescent="0.25">
      <c r="A223" s="8">
        <v>42650.870752314811</v>
      </c>
      <c r="B223" s="23" t="s">
        <v>264</v>
      </c>
      <c r="C223" s="23" t="s">
        <v>645</v>
      </c>
      <c r="D223" s="23">
        <v>120000</v>
      </c>
      <c r="E223" s="23" t="s">
        <v>313</v>
      </c>
      <c r="F223" s="23" t="str">
        <f t="shared" si="6"/>
        <v>rtdc.l.rtdc.4022:itc</v>
      </c>
      <c r="G223" s="8">
        <f t="shared" si="7"/>
        <v>42650.870752314811</v>
      </c>
    </row>
    <row r="224" spans="1:7" x14ac:dyDescent="0.25">
      <c r="A224" s="8">
        <v>42650.871666666666</v>
      </c>
      <c r="B224" t="s">
        <v>309</v>
      </c>
      <c r="C224" t="s">
        <v>564</v>
      </c>
      <c r="D224">
        <v>1800000</v>
      </c>
      <c r="E224" t="s">
        <v>774</v>
      </c>
      <c r="F224" s="23" t="str">
        <f t="shared" si="6"/>
        <v>rtdc.l.rtdc.4045:itc</v>
      </c>
      <c r="G224" s="8">
        <f t="shared" si="7"/>
        <v>42650.871666666666</v>
      </c>
    </row>
    <row r="225" spans="1:7" x14ac:dyDescent="0.25">
      <c r="A225" s="8">
        <v>42650.87190972222</v>
      </c>
      <c r="B225" t="s">
        <v>270</v>
      </c>
      <c r="C225" t="s">
        <v>567</v>
      </c>
      <c r="D225">
        <v>1300000</v>
      </c>
      <c r="E225" t="s">
        <v>121</v>
      </c>
      <c r="F225" s="23" t="str">
        <f t="shared" si="6"/>
        <v>rtdc.l.rtdc.4007:itc</v>
      </c>
      <c r="G225" s="8">
        <f t="shared" si="7"/>
        <v>42650.87190972222</v>
      </c>
    </row>
    <row r="226" spans="1:7" x14ac:dyDescent="0.25">
      <c r="A226" s="8">
        <v>42650.87877314815</v>
      </c>
      <c r="B226" t="s">
        <v>165</v>
      </c>
      <c r="C226" t="s">
        <v>742</v>
      </c>
      <c r="D226">
        <v>1810000</v>
      </c>
      <c r="E226" t="s">
        <v>312</v>
      </c>
      <c r="F226" s="23" t="str">
        <f t="shared" si="6"/>
        <v>rtdc.l.rtdc.4025:itc</v>
      </c>
      <c r="G226" s="8">
        <f t="shared" si="7"/>
        <v>42650.87877314815</v>
      </c>
    </row>
    <row r="227" spans="1:7" x14ac:dyDescent="0.25">
      <c r="A227" s="8">
        <v>42650.883194444446</v>
      </c>
      <c r="B227" t="s">
        <v>246</v>
      </c>
      <c r="C227" t="s">
        <v>569</v>
      </c>
      <c r="D227">
        <v>140000</v>
      </c>
      <c r="E227" t="s">
        <v>289</v>
      </c>
      <c r="F227" s="23" t="str">
        <f t="shared" si="6"/>
        <v>rtdc.l.rtdc.4003:itc</v>
      </c>
      <c r="G227" s="8">
        <f t="shared" si="7"/>
        <v>42650.883194444446</v>
      </c>
    </row>
    <row r="228" spans="1:7" x14ac:dyDescent="0.25">
      <c r="A228" s="8">
        <v>42650.887511574074</v>
      </c>
      <c r="B228" t="s">
        <v>761</v>
      </c>
      <c r="C228" t="s">
        <v>566</v>
      </c>
      <c r="D228">
        <v>1480000</v>
      </c>
      <c r="E228" t="s">
        <v>226</v>
      </c>
      <c r="F228" s="23" t="str">
        <f t="shared" si="6"/>
        <v>rtdc.l.rtdc.4019:itc</v>
      </c>
      <c r="G228" s="8">
        <f t="shared" si="7"/>
        <v>42650.887511574074</v>
      </c>
    </row>
    <row r="229" spans="1:7" x14ac:dyDescent="0.25">
      <c r="A229" s="8">
        <v>42650.901354166665</v>
      </c>
      <c r="B229" t="s">
        <v>166</v>
      </c>
      <c r="C229" t="s">
        <v>740</v>
      </c>
      <c r="D229">
        <v>1810000</v>
      </c>
      <c r="E229" t="s">
        <v>312</v>
      </c>
      <c r="F229" s="23" t="str">
        <f t="shared" si="6"/>
        <v>rtdc.l.rtdc.4026:itc</v>
      </c>
      <c r="G229" s="8">
        <f t="shared" si="7"/>
        <v>42650.901354166665</v>
      </c>
    </row>
    <row r="230" spans="1:7" x14ac:dyDescent="0.25">
      <c r="A230" s="8">
        <v>42650.911006944443</v>
      </c>
      <c r="B230" t="s">
        <v>267</v>
      </c>
      <c r="C230" t="s">
        <v>568</v>
      </c>
      <c r="D230">
        <v>1300000</v>
      </c>
      <c r="E230" t="s">
        <v>121</v>
      </c>
      <c r="F230" s="23" t="str">
        <f t="shared" si="6"/>
        <v>rtdc.l.rtdc.4008:itc</v>
      </c>
      <c r="G230" s="8">
        <f t="shared" si="7"/>
        <v>42650.911006944443</v>
      </c>
    </row>
    <row r="231" spans="1:7" x14ac:dyDescent="0.25">
      <c r="A231" s="8">
        <v>42650.915023148147</v>
      </c>
      <c r="B231" t="s">
        <v>307</v>
      </c>
      <c r="C231" t="s">
        <v>571</v>
      </c>
      <c r="D231">
        <v>1800000</v>
      </c>
      <c r="E231" t="s">
        <v>774</v>
      </c>
      <c r="F231" s="23" t="str">
        <f t="shared" si="6"/>
        <v>rtdc.l.rtdc.4046:itc</v>
      </c>
      <c r="G231" s="8">
        <f t="shared" si="7"/>
        <v>42650.915023148147</v>
      </c>
    </row>
    <row r="232" spans="1:7" x14ac:dyDescent="0.25">
      <c r="A232" s="8">
        <v>42650.922291666669</v>
      </c>
      <c r="B232" t="s">
        <v>165</v>
      </c>
      <c r="C232" t="s">
        <v>744</v>
      </c>
      <c r="D232">
        <v>1810000</v>
      </c>
      <c r="E232" t="s">
        <v>312</v>
      </c>
      <c r="F232" s="23" t="str">
        <f t="shared" si="6"/>
        <v>rtdc.l.rtdc.4025:itc</v>
      </c>
      <c r="G232" s="8">
        <f t="shared" si="7"/>
        <v>42650.922291666669</v>
      </c>
    </row>
    <row r="233" spans="1:7" x14ac:dyDescent="0.25">
      <c r="A233" s="8">
        <v>42650.928576388891</v>
      </c>
      <c r="B233" t="s">
        <v>247</v>
      </c>
      <c r="C233" t="s">
        <v>570</v>
      </c>
      <c r="D233">
        <v>140000</v>
      </c>
      <c r="E233" t="s">
        <v>289</v>
      </c>
      <c r="F233" s="23" t="str">
        <f t="shared" si="6"/>
        <v>rtdc.l.rtdc.4004:itc</v>
      </c>
      <c r="G233" s="8">
        <f t="shared" si="7"/>
        <v>42650.928576388891</v>
      </c>
    </row>
    <row r="234" spans="1:7" x14ac:dyDescent="0.25">
      <c r="A234" s="8">
        <v>42650.929872685185</v>
      </c>
      <c r="B234" t="s">
        <v>247</v>
      </c>
      <c r="C234" t="s">
        <v>570</v>
      </c>
      <c r="D234">
        <v>140000</v>
      </c>
      <c r="E234" t="s">
        <v>289</v>
      </c>
      <c r="F234" s="23" t="str">
        <f t="shared" si="6"/>
        <v>rtdc.l.rtdc.4004:itc</v>
      </c>
      <c r="G234" s="8">
        <f t="shared" si="7"/>
        <v>42650.929872685185</v>
      </c>
    </row>
    <row r="235" spans="1:7" x14ac:dyDescent="0.25">
      <c r="A235" s="8">
        <v>42650.93341435185</v>
      </c>
      <c r="B235" t="s">
        <v>760</v>
      </c>
      <c r="C235" t="s">
        <v>573</v>
      </c>
      <c r="D235">
        <v>1480000</v>
      </c>
      <c r="E235" t="s">
        <v>226</v>
      </c>
      <c r="F235" s="23" t="str">
        <f t="shared" si="6"/>
        <v>rtdc.l.rtdc.4020:itc</v>
      </c>
      <c r="G235" s="8">
        <f t="shared" si="7"/>
        <v>42650.93341435185</v>
      </c>
    </row>
    <row r="236" spans="1:7" x14ac:dyDescent="0.25">
      <c r="A236" s="8">
        <v>42650.943171296298</v>
      </c>
      <c r="B236" t="s">
        <v>166</v>
      </c>
      <c r="C236" t="s">
        <v>756</v>
      </c>
      <c r="D236">
        <v>1810000</v>
      </c>
      <c r="E236" t="s">
        <v>312</v>
      </c>
      <c r="F236" s="23" t="str">
        <f t="shared" ref="F236:F265" si="8">B236</f>
        <v>rtdc.l.rtdc.4026:itc</v>
      </c>
      <c r="G236" s="8">
        <f t="shared" ref="G236:G265" si="9">A236</f>
        <v>42650.943171296298</v>
      </c>
    </row>
    <row r="237" spans="1:7" x14ac:dyDescent="0.25">
      <c r="A237" s="8">
        <v>42650.954467592594</v>
      </c>
      <c r="B237" t="s">
        <v>270</v>
      </c>
      <c r="C237" t="s">
        <v>575</v>
      </c>
      <c r="D237">
        <v>1300000</v>
      </c>
      <c r="E237" t="s">
        <v>121</v>
      </c>
      <c r="F237" s="23" t="str">
        <f t="shared" si="8"/>
        <v>rtdc.l.rtdc.4007:itc</v>
      </c>
      <c r="G237" s="8">
        <f t="shared" si="9"/>
        <v>42650.954467592594</v>
      </c>
    </row>
    <row r="238" spans="1:7" x14ac:dyDescent="0.25">
      <c r="A238" s="8">
        <v>42650.955381944441</v>
      </c>
      <c r="B238" t="s">
        <v>309</v>
      </c>
      <c r="C238" t="s">
        <v>572</v>
      </c>
      <c r="D238">
        <v>1800000</v>
      </c>
      <c r="E238" t="s">
        <v>774</v>
      </c>
      <c r="F238" s="23" t="str">
        <f t="shared" si="8"/>
        <v>rtdc.l.rtdc.4045:itc</v>
      </c>
      <c r="G238" s="8">
        <f t="shared" si="9"/>
        <v>42650.955381944441</v>
      </c>
    </row>
    <row r="239" spans="1:7" x14ac:dyDescent="0.25">
      <c r="A239" s="8">
        <v>42650.969409722224</v>
      </c>
      <c r="B239" t="s">
        <v>761</v>
      </c>
      <c r="C239" t="s">
        <v>574</v>
      </c>
      <c r="D239">
        <v>1480000</v>
      </c>
      <c r="E239" t="s">
        <v>226</v>
      </c>
      <c r="F239" s="23" t="str">
        <f t="shared" si="8"/>
        <v>rtdc.l.rtdc.4019:itc</v>
      </c>
      <c r="G239" s="8">
        <f t="shared" si="9"/>
        <v>42650.969409722224</v>
      </c>
    </row>
    <row r="240" spans="1:7" x14ac:dyDescent="0.25">
      <c r="A240" s="8">
        <v>42650.971296296295</v>
      </c>
      <c r="B240" t="s">
        <v>246</v>
      </c>
      <c r="C240" t="s">
        <v>577</v>
      </c>
      <c r="D240">
        <v>140000</v>
      </c>
      <c r="E240" t="s">
        <v>289</v>
      </c>
      <c r="F240" s="23" t="str">
        <f t="shared" si="8"/>
        <v>rtdc.l.rtdc.4003:itc</v>
      </c>
      <c r="G240" s="8">
        <f t="shared" si="9"/>
        <v>42650.971296296295</v>
      </c>
    </row>
    <row r="241" spans="1:7" x14ac:dyDescent="0.25">
      <c r="A241" s="8">
        <v>42650.995717592596</v>
      </c>
      <c r="B241" t="s">
        <v>267</v>
      </c>
      <c r="C241" t="s">
        <v>576</v>
      </c>
      <c r="D241">
        <v>1300000</v>
      </c>
      <c r="E241" t="s">
        <v>121</v>
      </c>
      <c r="F241" s="23" t="str">
        <f t="shared" si="8"/>
        <v>rtdc.l.rtdc.4008:itc</v>
      </c>
      <c r="G241" s="8">
        <f t="shared" si="9"/>
        <v>42650.995717592596</v>
      </c>
    </row>
    <row r="242" spans="1:7" x14ac:dyDescent="0.25">
      <c r="A242" s="8">
        <v>42650.995729166665</v>
      </c>
      <c r="B242" t="s">
        <v>307</v>
      </c>
      <c r="C242" t="s">
        <v>579</v>
      </c>
      <c r="D242">
        <v>1800000</v>
      </c>
      <c r="E242" t="s">
        <v>774</v>
      </c>
      <c r="F242" s="23" t="str">
        <f t="shared" si="8"/>
        <v>rtdc.l.rtdc.4046:itc</v>
      </c>
      <c r="G242" s="8">
        <f t="shared" si="9"/>
        <v>42650.995729166665</v>
      </c>
    </row>
    <row r="243" spans="1:7" x14ac:dyDescent="0.25">
      <c r="A243" s="8">
        <v>42651.008877314816</v>
      </c>
      <c r="B243" t="s">
        <v>167</v>
      </c>
      <c r="C243" t="s">
        <v>633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42651.008877314816</v>
      </c>
    </row>
    <row r="244" spans="1:7" x14ac:dyDescent="0.25">
      <c r="A244" s="8">
        <v>42651.011863425927</v>
      </c>
      <c r="B244" t="s">
        <v>247</v>
      </c>
      <c r="C244" t="s">
        <v>578</v>
      </c>
      <c r="D244">
        <v>140000</v>
      </c>
      <c r="E244" t="s">
        <v>289</v>
      </c>
      <c r="F244" s="23" t="str">
        <f t="shared" si="8"/>
        <v>rtdc.l.rtdc.4004:itc</v>
      </c>
      <c r="G244" s="8">
        <f t="shared" si="9"/>
        <v>42651.011863425927</v>
      </c>
    </row>
    <row r="245" spans="1:7" x14ac:dyDescent="0.25">
      <c r="A245" s="8">
        <v>42651.013275462959</v>
      </c>
      <c r="B245" t="s">
        <v>167</v>
      </c>
      <c r="C245" t="s">
        <v>633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42651.013275462959</v>
      </c>
    </row>
    <row r="246" spans="1:7" x14ac:dyDescent="0.25">
      <c r="A246" s="8">
        <v>42651.014050925929</v>
      </c>
      <c r="B246" t="s">
        <v>760</v>
      </c>
      <c r="C246" t="s">
        <v>581</v>
      </c>
      <c r="D246">
        <v>1480000</v>
      </c>
      <c r="E246" t="s">
        <v>226</v>
      </c>
      <c r="F246" s="23" t="str">
        <f t="shared" si="8"/>
        <v>rtdc.l.rtdc.4020:itc</v>
      </c>
      <c r="G246" s="8">
        <f t="shared" si="9"/>
        <v>42651.014050925929</v>
      </c>
    </row>
    <row r="247" spans="1:7" x14ac:dyDescent="0.25">
      <c r="A247" s="8">
        <v>42651.015648148146</v>
      </c>
      <c r="B247" t="s">
        <v>167</v>
      </c>
      <c r="C247" t="s">
        <v>630</v>
      </c>
      <c r="D247">
        <v>630000</v>
      </c>
      <c r="E247" t="b">
        <v>1</v>
      </c>
      <c r="F247" s="23" t="str">
        <f t="shared" si="8"/>
        <v>rtdc.l.rtdc.4051:itc</v>
      </c>
      <c r="G247" s="8">
        <f t="shared" si="9"/>
        <v>42651.015648148146</v>
      </c>
    </row>
    <row r="248" spans="1:7" x14ac:dyDescent="0.25">
      <c r="A248" s="8">
        <v>42651.036354166667</v>
      </c>
      <c r="B248" t="s">
        <v>309</v>
      </c>
      <c r="C248" t="s">
        <v>580</v>
      </c>
      <c r="D248">
        <v>1800000</v>
      </c>
      <c r="E248" t="s">
        <v>774</v>
      </c>
      <c r="F248" s="23" t="str">
        <f t="shared" si="8"/>
        <v>rtdc.l.rtdc.4045:itc</v>
      </c>
      <c r="G248" s="8">
        <f t="shared" si="9"/>
        <v>42651.036354166667</v>
      </c>
    </row>
    <row r="249" spans="1:7" x14ac:dyDescent="0.25">
      <c r="A249" s="8">
        <v>42651.038113425922</v>
      </c>
      <c r="B249" t="s">
        <v>270</v>
      </c>
      <c r="C249" t="s">
        <v>585</v>
      </c>
      <c r="D249">
        <v>1300000</v>
      </c>
      <c r="E249" t="s">
        <v>121</v>
      </c>
      <c r="F249" s="23" t="str">
        <f t="shared" si="8"/>
        <v>rtdc.l.rtdc.4007:itc</v>
      </c>
      <c r="G249" s="8">
        <f t="shared" si="9"/>
        <v>42651.038113425922</v>
      </c>
    </row>
    <row r="250" spans="1:7" x14ac:dyDescent="0.25">
      <c r="A250" s="8">
        <v>42651.048807870371</v>
      </c>
      <c r="B250" t="s">
        <v>246</v>
      </c>
      <c r="C250" t="s">
        <v>598</v>
      </c>
      <c r="D250">
        <v>140000</v>
      </c>
      <c r="E250" t="s">
        <v>289</v>
      </c>
      <c r="F250" s="23" t="str">
        <f t="shared" si="8"/>
        <v>rtdc.l.rtdc.4003:itc</v>
      </c>
      <c r="G250" s="8">
        <f t="shared" si="9"/>
        <v>42651.048807870371</v>
      </c>
    </row>
    <row r="251" spans="1:7" x14ac:dyDescent="0.25">
      <c r="A251" s="8">
        <v>42651.051481481481</v>
      </c>
      <c r="B251" t="s">
        <v>761</v>
      </c>
      <c r="C251" t="s">
        <v>583</v>
      </c>
      <c r="D251">
        <v>1480000</v>
      </c>
      <c r="E251" t="s">
        <v>226</v>
      </c>
      <c r="F251" s="23" t="str">
        <f t="shared" si="8"/>
        <v>rtdc.l.rtdc.4019:itc</v>
      </c>
      <c r="G251" s="8">
        <f t="shared" si="9"/>
        <v>42651.051481481481</v>
      </c>
    </row>
    <row r="252" spans="1:7" x14ac:dyDescent="0.25">
      <c r="A252" s="8">
        <v>42651.057025462964</v>
      </c>
      <c r="B252" t="s">
        <v>168</v>
      </c>
      <c r="C252" t="s">
        <v>633</v>
      </c>
      <c r="D252">
        <v>630000</v>
      </c>
      <c r="E252" t="b">
        <v>1</v>
      </c>
      <c r="F252" s="23" t="str">
        <f t="shared" si="8"/>
        <v>rtdc.l.rtdc.4052:itc</v>
      </c>
      <c r="G252" s="8">
        <f t="shared" si="9"/>
        <v>42651.057025462964</v>
      </c>
    </row>
    <row r="253" spans="1:7" x14ac:dyDescent="0.25">
      <c r="A253" s="8">
        <v>42651.069953703707</v>
      </c>
      <c r="B253" t="s">
        <v>307</v>
      </c>
      <c r="C253" t="s">
        <v>603</v>
      </c>
      <c r="D253">
        <v>1800000</v>
      </c>
      <c r="E253" t="s">
        <v>774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267</v>
      </c>
      <c r="C254" t="s">
        <v>586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633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633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623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760</v>
      </c>
      <c r="C258" t="s">
        <v>605</v>
      </c>
      <c r="D258">
        <v>1480000</v>
      </c>
      <c r="E258" t="s">
        <v>226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270</v>
      </c>
      <c r="C259" t="s">
        <v>607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270</v>
      </c>
      <c r="C261" t="s">
        <v>315</v>
      </c>
      <c r="D261">
        <v>1180000</v>
      </c>
      <c r="E261" t="s">
        <v>222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314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237</v>
      </c>
      <c r="C263" t="s">
        <v>316</v>
      </c>
      <c r="D263">
        <v>1480000</v>
      </c>
      <c r="E263" t="s">
        <v>226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268</v>
      </c>
      <c r="C264" t="s">
        <v>317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314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314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314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314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314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241</v>
      </c>
      <c r="C270" t="s">
        <v>318</v>
      </c>
      <c r="D270">
        <v>1480000</v>
      </c>
      <c r="E270" t="s">
        <v>226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314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314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314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16" sqref="I16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180</v>
      </c>
      <c r="B1" s="151" t="s">
        <v>183</v>
      </c>
      <c r="C1" s="151" t="s">
        <v>176</v>
      </c>
      <c r="D1" s="151" t="s">
        <v>201</v>
      </c>
      <c r="E1" s="151" t="s">
        <v>177</v>
      </c>
      <c r="F1" s="151" t="s">
        <v>175</v>
      </c>
      <c r="G1" s="151" t="s">
        <v>173</v>
      </c>
      <c r="H1" s="151" t="s">
        <v>186</v>
      </c>
      <c r="I1" s="151" t="s">
        <v>187</v>
      </c>
      <c r="J1" s="151" t="s">
        <v>181</v>
      </c>
      <c r="K1" s="151" t="s">
        <v>179</v>
      </c>
      <c r="L1" s="151" t="s">
        <v>174</v>
      </c>
      <c r="M1" s="151" t="s">
        <v>184</v>
      </c>
      <c r="N1" s="151" t="s">
        <v>178</v>
      </c>
      <c r="O1" s="151" t="s">
        <v>185</v>
      </c>
      <c r="P1" s="151" t="s">
        <v>182</v>
      </c>
      <c r="Q1" s="151"/>
    </row>
    <row r="2" spans="1:17" x14ac:dyDescent="0.25">
      <c r="A2" s="150">
        <v>40.04</v>
      </c>
      <c r="B2" s="150">
        <v>0.06</v>
      </c>
      <c r="C2" s="150">
        <v>34.770000000000003</v>
      </c>
      <c r="D2" s="165">
        <v>42650</v>
      </c>
      <c r="E2" s="150">
        <v>0.81</v>
      </c>
      <c r="F2" s="150" t="s">
        <v>363</v>
      </c>
      <c r="G2" s="150">
        <v>321.14999999999998</v>
      </c>
      <c r="H2" s="150">
        <v>0</v>
      </c>
      <c r="I2" s="150">
        <v>0</v>
      </c>
      <c r="J2" s="150">
        <v>1025.32</v>
      </c>
      <c r="K2" s="150" t="s">
        <v>218</v>
      </c>
      <c r="L2" s="150">
        <v>40.04</v>
      </c>
      <c r="M2" s="150">
        <v>1475820000</v>
      </c>
      <c r="N2" s="150">
        <v>8.26</v>
      </c>
      <c r="O2" s="150">
        <v>200</v>
      </c>
      <c r="P2" s="150">
        <v>2.25</v>
      </c>
    </row>
    <row r="3" spans="1:17" x14ac:dyDescent="0.25">
      <c r="A3" s="150">
        <v>38.47</v>
      </c>
      <c r="B3" s="150">
        <v>0.04</v>
      </c>
      <c r="C3" s="150">
        <v>33.31</v>
      </c>
      <c r="D3" s="165">
        <v>42650.041666666664</v>
      </c>
      <c r="E3" s="150">
        <v>0.81</v>
      </c>
      <c r="F3" s="150" t="s">
        <v>363</v>
      </c>
      <c r="G3" s="150">
        <v>319.99</v>
      </c>
      <c r="H3" s="150">
        <v>0</v>
      </c>
      <c r="I3" s="150">
        <v>0</v>
      </c>
      <c r="J3" s="150">
        <v>1025.4000000000001</v>
      </c>
      <c r="K3" s="150" t="s">
        <v>218</v>
      </c>
      <c r="L3" s="150">
        <v>38.47</v>
      </c>
      <c r="M3" s="150">
        <v>1475823600</v>
      </c>
      <c r="N3" s="150">
        <v>8.4700000000000006</v>
      </c>
      <c r="O3" s="150">
        <v>197</v>
      </c>
      <c r="P3" s="150">
        <v>2.4900000000000002</v>
      </c>
    </row>
    <row r="4" spans="1:17" x14ac:dyDescent="0.25">
      <c r="A4" s="150">
        <v>37.130000000000003</v>
      </c>
      <c r="B4" s="150">
        <v>0.01</v>
      </c>
      <c r="C4" s="150">
        <v>31.94</v>
      </c>
      <c r="D4" s="165">
        <v>42650.083333333336</v>
      </c>
      <c r="E4" s="150">
        <v>0.81</v>
      </c>
      <c r="F4" s="150" t="s">
        <v>363</v>
      </c>
      <c r="G4" s="150">
        <v>318.83</v>
      </c>
      <c r="H4" s="150">
        <v>0</v>
      </c>
      <c r="I4" s="150">
        <v>0</v>
      </c>
      <c r="J4" s="150">
        <v>1025.46</v>
      </c>
      <c r="K4" s="150" t="s">
        <v>218</v>
      </c>
      <c r="L4" s="150">
        <v>37.130000000000003</v>
      </c>
      <c r="M4" s="150">
        <v>1475827200</v>
      </c>
      <c r="N4" s="150">
        <v>8.52</v>
      </c>
      <c r="O4" s="150">
        <v>213</v>
      </c>
      <c r="P4" s="150">
        <v>2.66</v>
      </c>
    </row>
    <row r="5" spans="1:17" x14ac:dyDescent="0.25">
      <c r="A5" s="150">
        <v>36.1</v>
      </c>
      <c r="B5" s="150">
        <v>0.01</v>
      </c>
      <c r="C5" s="150">
        <v>30.7</v>
      </c>
      <c r="D5" s="165">
        <v>42650.125</v>
      </c>
      <c r="E5" s="150">
        <v>0.81</v>
      </c>
      <c r="F5" s="150" t="s">
        <v>363</v>
      </c>
      <c r="G5" s="150">
        <v>317.66000000000003</v>
      </c>
      <c r="H5" s="150">
        <v>0</v>
      </c>
      <c r="I5" s="150">
        <v>0</v>
      </c>
      <c r="J5" s="150">
        <v>1025.51</v>
      </c>
      <c r="K5" s="150" t="s">
        <v>218</v>
      </c>
      <c r="L5" s="150">
        <v>36.1</v>
      </c>
      <c r="M5" s="150">
        <v>1475830800</v>
      </c>
      <c r="N5" s="150">
        <v>8.16</v>
      </c>
      <c r="O5" s="150">
        <v>204</v>
      </c>
      <c r="P5" s="150">
        <v>2.6</v>
      </c>
    </row>
    <row r="6" spans="1:17" x14ac:dyDescent="0.25">
      <c r="A6" s="150">
        <v>35.44</v>
      </c>
      <c r="B6" s="150">
        <v>0</v>
      </c>
      <c r="C6" s="150">
        <v>29.52</v>
      </c>
      <c r="D6" s="165">
        <v>42650.166666666664</v>
      </c>
      <c r="E6" s="150">
        <v>0.79</v>
      </c>
      <c r="F6" s="150" t="s">
        <v>363</v>
      </c>
      <c r="G6" s="150">
        <v>316.76</v>
      </c>
      <c r="H6" s="150">
        <v>0</v>
      </c>
      <c r="I6" s="150">
        <v>0</v>
      </c>
      <c r="J6" s="150">
        <v>1026.05</v>
      </c>
      <c r="K6" s="150" t="s">
        <v>218</v>
      </c>
      <c r="L6" s="150">
        <v>35.44</v>
      </c>
      <c r="M6" s="150">
        <v>1475834400</v>
      </c>
      <c r="N6" s="150">
        <v>8.1300000000000008</v>
      </c>
      <c r="O6" s="150">
        <v>212</v>
      </c>
      <c r="P6" s="150">
        <v>2.81</v>
      </c>
    </row>
    <row r="7" spans="1:17" x14ac:dyDescent="0.25">
      <c r="A7" s="150">
        <v>32.35</v>
      </c>
      <c r="B7" s="150">
        <v>0.01</v>
      </c>
      <c r="C7" s="150">
        <v>27.65</v>
      </c>
      <c r="D7" s="165">
        <v>42650.208333333336</v>
      </c>
      <c r="E7" s="150">
        <v>0.74</v>
      </c>
      <c r="F7" s="150" t="s">
        <v>363</v>
      </c>
      <c r="G7" s="150">
        <v>315.98</v>
      </c>
      <c r="H7" s="150">
        <v>0</v>
      </c>
      <c r="I7" s="150">
        <v>0</v>
      </c>
      <c r="J7" s="150">
        <v>1026.7</v>
      </c>
      <c r="K7" s="150" t="s">
        <v>218</v>
      </c>
      <c r="L7" s="150">
        <v>34.979999999999997</v>
      </c>
      <c r="M7" s="150">
        <v>1475838000</v>
      </c>
      <c r="N7" s="150">
        <v>8.67</v>
      </c>
      <c r="O7" s="150">
        <v>215</v>
      </c>
      <c r="P7" s="150">
        <v>3.26</v>
      </c>
    </row>
    <row r="8" spans="1:17" x14ac:dyDescent="0.25">
      <c r="A8" s="150">
        <v>31.82</v>
      </c>
      <c r="B8" s="150">
        <v>0.01</v>
      </c>
      <c r="C8" s="150">
        <v>25.95</v>
      </c>
      <c r="D8" s="165">
        <v>42650.25</v>
      </c>
      <c r="E8" s="150">
        <v>0.71</v>
      </c>
      <c r="F8" s="150" t="s">
        <v>363</v>
      </c>
      <c r="G8" s="150">
        <v>315.27</v>
      </c>
      <c r="H8" s="150">
        <v>0</v>
      </c>
      <c r="I8" s="150">
        <v>0</v>
      </c>
      <c r="J8" s="150">
        <v>1026.96</v>
      </c>
      <c r="K8" s="150" t="s">
        <v>218</v>
      </c>
      <c r="L8" s="150">
        <v>34.42</v>
      </c>
      <c r="M8" s="150">
        <v>1475841600</v>
      </c>
      <c r="N8" s="150">
        <v>7.76</v>
      </c>
      <c r="O8" s="150">
        <v>231</v>
      </c>
      <c r="P8" s="150">
        <v>3.17</v>
      </c>
    </row>
    <row r="9" spans="1:17" x14ac:dyDescent="0.25">
      <c r="A9" s="150">
        <v>33.35</v>
      </c>
      <c r="B9" s="150">
        <v>0.01</v>
      </c>
      <c r="C9" s="150">
        <v>25.63</v>
      </c>
      <c r="D9" s="165">
        <v>42650.291666666664</v>
      </c>
      <c r="E9" s="150">
        <v>0.66</v>
      </c>
      <c r="F9" s="150" t="s">
        <v>363</v>
      </c>
      <c r="G9" s="150">
        <v>314.73</v>
      </c>
      <c r="H9" s="150">
        <v>0</v>
      </c>
      <c r="I9" s="150">
        <v>0</v>
      </c>
      <c r="J9" s="150">
        <v>1026.51</v>
      </c>
      <c r="K9" s="150" t="s">
        <v>218</v>
      </c>
      <c r="L9" s="150">
        <v>35.79</v>
      </c>
      <c r="M9" s="150">
        <v>1475845200</v>
      </c>
      <c r="N9" s="150">
        <v>7.06</v>
      </c>
      <c r="O9" s="150">
        <v>237</v>
      </c>
      <c r="P9" s="150">
        <v>3.2</v>
      </c>
    </row>
    <row r="10" spans="1:17" x14ac:dyDescent="0.25">
      <c r="A10" s="150">
        <v>39.54</v>
      </c>
      <c r="B10" s="150">
        <v>0.01</v>
      </c>
      <c r="C10" s="150">
        <v>26.98</v>
      </c>
      <c r="D10" s="165">
        <v>42650.333333333336</v>
      </c>
      <c r="E10" s="150">
        <v>0.6</v>
      </c>
      <c r="F10" s="150" t="s">
        <v>777</v>
      </c>
      <c r="G10" s="150">
        <v>314.25</v>
      </c>
      <c r="H10" s="150">
        <v>0</v>
      </c>
      <c r="I10" s="150">
        <v>0</v>
      </c>
      <c r="J10" s="150">
        <v>1025.6199999999999</v>
      </c>
      <c r="K10" s="150" t="s">
        <v>218</v>
      </c>
      <c r="L10" s="150">
        <v>39.54</v>
      </c>
      <c r="M10" s="150">
        <v>1475848800</v>
      </c>
      <c r="N10" s="150">
        <v>6.64</v>
      </c>
      <c r="O10" s="150">
        <v>232</v>
      </c>
      <c r="P10" s="150">
        <v>2.48</v>
      </c>
    </row>
    <row r="11" spans="1:17" x14ac:dyDescent="0.25">
      <c r="A11" s="150">
        <v>44.34</v>
      </c>
      <c r="B11" s="150">
        <v>0.01</v>
      </c>
      <c r="C11" s="150">
        <v>27.44</v>
      </c>
      <c r="D11" s="165">
        <v>42650.375</v>
      </c>
      <c r="E11" s="150">
        <v>0.51</v>
      </c>
      <c r="F11" s="150" t="s">
        <v>777</v>
      </c>
      <c r="G11" s="150">
        <v>313.45999999999998</v>
      </c>
      <c r="H11" s="150">
        <v>0</v>
      </c>
      <c r="I11" s="150">
        <v>0</v>
      </c>
      <c r="J11" s="150">
        <v>1024.6500000000001</v>
      </c>
      <c r="K11" s="150" t="s">
        <v>218</v>
      </c>
      <c r="L11" s="150">
        <v>44.34</v>
      </c>
      <c r="M11" s="150">
        <v>1475852400</v>
      </c>
      <c r="N11" s="150">
        <v>6.48</v>
      </c>
      <c r="O11" s="150">
        <v>214</v>
      </c>
      <c r="P11" s="150">
        <v>2.2400000000000002</v>
      </c>
    </row>
    <row r="12" spans="1:17" x14ac:dyDescent="0.25">
      <c r="A12" s="150">
        <v>50.28</v>
      </c>
      <c r="B12" s="150">
        <v>0.01</v>
      </c>
      <c r="C12" s="150">
        <v>27.67</v>
      </c>
      <c r="D12" s="165">
        <v>42650.416666666664</v>
      </c>
      <c r="E12" s="150">
        <v>0.41</v>
      </c>
      <c r="F12" s="150" t="s">
        <v>777</v>
      </c>
      <c r="G12" s="150">
        <v>312.08</v>
      </c>
      <c r="H12" s="150">
        <v>0</v>
      </c>
      <c r="I12" s="150">
        <v>0</v>
      </c>
      <c r="J12" s="150">
        <v>1023.82</v>
      </c>
      <c r="K12" s="150" t="s">
        <v>218</v>
      </c>
      <c r="L12" s="150">
        <v>50.28</v>
      </c>
      <c r="M12" s="150">
        <v>1475856000</v>
      </c>
      <c r="N12" s="150">
        <v>6.47</v>
      </c>
      <c r="O12" s="150">
        <v>182</v>
      </c>
      <c r="P12" s="150">
        <v>2.27</v>
      </c>
    </row>
    <row r="13" spans="1:17" x14ac:dyDescent="0.25">
      <c r="A13" s="150">
        <v>55.44</v>
      </c>
      <c r="B13" s="150">
        <v>0.01</v>
      </c>
      <c r="C13" s="150">
        <v>26.57</v>
      </c>
      <c r="D13" s="165">
        <v>42650.458333333336</v>
      </c>
      <c r="E13" s="150">
        <v>0.33</v>
      </c>
      <c r="F13" s="150" t="s">
        <v>777</v>
      </c>
      <c r="G13" s="150">
        <v>310.39</v>
      </c>
      <c r="H13" s="150">
        <v>0</v>
      </c>
      <c r="I13" s="150">
        <v>0</v>
      </c>
      <c r="J13" s="150">
        <v>1023.03</v>
      </c>
      <c r="K13" s="150" t="s">
        <v>218</v>
      </c>
      <c r="L13" s="150">
        <v>55.44</v>
      </c>
      <c r="M13" s="150">
        <v>1475859600</v>
      </c>
      <c r="N13" s="150">
        <v>6.62</v>
      </c>
      <c r="O13" s="150">
        <v>143</v>
      </c>
      <c r="P13" s="150">
        <v>3.05</v>
      </c>
    </row>
    <row r="14" spans="1:17" x14ac:dyDescent="0.25">
      <c r="A14" s="150">
        <v>59.14</v>
      </c>
      <c r="B14" s="150">
        <v>0.01</v>
      </c>
      <c r="C14" s="150">
        <v>24.42</v>
      </c>
      <c r="D14" s="165">
        <v>42650.5</v>
      </c>
      <c r="E14" s="150">
        <v>0.26</v>
      </c>
      <c r="F14" s="150" t="s">
        <v>777</v>
      </c>
      <c r="G14" s="150">
        <v>308.77</v>
      </c>
      <c r="H14" s="150">
        <v>0</v>
      </c>
      <c r="I14" s="150">
        <v>0</v>
      </c>
      <c r="J14" s="150">
        <v>1022.15</v>
      </c>
      <c r="K14" s="150" t="s">
        <v>218</v>
      </c>
      <c r="L14" s="150">
        <v>59.14</v>
      </c>
      <c r="M14" s="150">
        <v>1475863200</v>
      </c>
      <c r="N14" s="150">
        <v>6.66</v>
      </c>
      <c r="O14" s="150">
        <v>126</v>
      </c>
      <c r="P14" s="150">
        <v>3.19</v>
      </c>
    </row>
    <row r="15" spans="1:17" x14ac:dyDescent="0.25">
      <c r="A15" s="150">
        <v>62.08</v>
      </c>
      <c r="B15" s="150">
        <v>0.01</v>
      </c>
      <c r="C15" s="150">
        <v>22.59</v>
      </c>
      <c r="D15" s="165">
        <v>42650.541666666664</v>
      </c>
      <c r="E15" s="150">
        <v>0.22</v>
      </c>
      <c r="F15" s="150" t="s">
        <v>777</v>
      </c>
      <c r="G15" s="150">
        <v>307.56</v>
      </c>
      <c r="H15" s="150">
        <v>0</v>
      </c>
      <c r="I15" s="150">
        <v>0</v>
      </c>
      <c r="J15" s="150">
        <v>1021.06</v>
      </c>
      <c r="K15" s="150" t="s">
        <v>218</v>
      </c>
      <c r="L15" s="150">
        <v>62.08</v>
      </c>
      <c r="M15" s="150">
        <v>1475866800</v>
      </c>
      <c r="N15" s="150">
        <v>6.74</v>
      </c>
      <c r="O15" s="150">
        <v>117</v>
      </c>
      <c r="P15" s="150">
        <v>4.04</v>
      </c>
    </row>
    <row r="16" spans="1:17" x14ac:dyDescent="0.25">
      <c r="A16" s="150">
        <v>64.150000000000006</v>
      </c>
      <c r="B16" s="150">
        <v>0.02</v>
      </c>
      <c r="C16" s="150">
        <v>21.3</v>
      </c>
      <c r="D16" s="165">
        <v>42650.583333333336</v>
      </c>
      <c r="E16" s="150">
        <v>0.19</v>
      </c>
      <c r="F16" s="150" t="s">
        <v>777</v>
      </c>
      <c r="G16" s="150">
        <v>306.43</v>
      </c>
      <c r="H16" s="150">
        <v>0</v>
      </c>
      <c r="I16" s="150">
        <v>0</v>
      </c>
      <c r="J16" s="150">
        <v>1019.9</v>
      </c>
      <c r="K16" s="150" t="s">
        <v>218</v>
      </c>
      <c r="L16" s="150">
        <v>64.150000000000006</v>
      </c>
      <c r="M16" s="150">
        <v>1475870400</v>
      </c>
      <c r="N16" s="150">
        <v>6.81</v>
      </c>
      <c r="O16" s="150">
        <v>107</v>
      </c>
      <c r="P16" s="150">
        <v>3.13</v>
      </c>
    </row>
    <row r="17" spans="1:16" x14ac:dyDescent="0.25">
      <c r="A17" s="150">
        <v>65.599999999999994</v>
      </c>
      <c r="B17" s="150">
        <v>0.02</v>
      </c>
      <c r="C17" s="150">
        <v>20.94</v>
      </c>
      <c r="D17" s="165">
        <v>42650.625</v>
      </c>
      <c r="E17" s="150">
        <v>0.18</v>
      </c>
      <c r="F17" s="150" t="s">
        <v>777</v>
      </c>
      <c r="G17" s="150">
        <v>304.81</v>
      </c>
      <c r="H17" s="150">
        <v>0</v>
      </c>
      <c r="I17" s="150">
        <v>0</v>
      </c>
      <c r="J17" s="150">
        <v>1018.97</v>
      </c>
      <c r="K17" s="150" t="s">
        <v>218</v>
      </c>
      <c r="L17" s="150">
        <v>65.599999999999994</v>
      </c>
      <c r="M17" s="150">
        <v>1475874000</v>
      </c>
      <c r="N17" s="150">
        <v>6.86</v>
      </c>
      <c r="O17" s="150">
        <v>95</v>
      </c>
      <c r="P17" s="150">
        <v>2.87</v>
      </c>
    </row>
    <row r="18" spans="1:16" x14ac:dyDescent="0.25">
      <c r="A18" s="150">
        <v>65.5</v>
      </c>
      <c r="B18" s="150">
        <v>0.02</v>
      </c>
      <c r="C18" s="150">
        <v>21.95</v>
      </c>
      <c r="D18" s="165">
        <v>42650.666666666664</v>
      </c>
      <c r="E18" s="150">
        <v>0.19</v>
      </c>
      <c r="F18" s="150" t="s">
        <v>777</v>
      </c>
      <c r="G18" s="150">
        <v>302.06</v>
      </c>
      <c r="H18" s="150">
        <v>0</v>
      </c>
      <c r="I18" s="150">
        <v>0</v>
      </c>
      <c r="J18" s="150">
        <v>1018.41</v>
      </c>
      <c r="K18" s="150" t="s">
        <v>218</v>
      </c>
      <c r="L18" s="150">
        <v>65.5</v>
      </c>
      <c r="M18" s="150">
        <v>1475877600</v>
      </c>
      <c r="N18" s="150">
        <v>6.96</v>
      </c>
      <c r="O18" s="150">
        <v>80</v>
      </c>
      <c r="P18" s="150">
        <v>3.05</v>
      </c>
    </row>
    <row r="19" spans="1:16" x14ac:dyDescent="0.25">
      <c r="A19" s="150">
        <v>64.75</v>
      </c>
      <c r="B19" s="150">
        <v>0.01</v>
      </c>
      <c r="C19" s="150">
        <v>23.46</v>
      </c>
      <c r="D19" s="165">
        <v>42650.708333333336</v>
      </c>
      <c r="E19" s="150">
        <v>0.21</v>
      </c>
      <c r="F19" s="150" t="s">
        <v>777</v>
      </c>
      <c r="G19" s="150">
        <v>298.82</v>
      </c>
      <c r="H19" s="150">
        <v>0</v>
      </c>
      <c r="I19" s="150">
        <v>0</v>
      </c>
      <c r="J19" s="150">
        <v>1018.14</v>
      </c>
      <c r="K19" s="150" t="s">
        <v>218</v>
      </c>
      <c r="L19" s="150">
        <v>64.75</v>
      </c>
      <c r="M19" s="150">
        <v>1475881200</v>
      </c>
      <c r="N19" s="150">
        <v>8.8000000000000007</v>
      </c>
      <c r="O19" s="150">
        <v>83</v>
      </c>
      <c r="P19" s="150">
        <v>3.31</v>
      </c>
    </row>
    <row r="20" spans="1:16" x14ac:dyDescent="0.25">
      <c r="A20" s="150">
        <v>61.23</v>
      </c>
      <c r="B20" s="150">
        <v>0.01</v>
      </c>
      <c r="C20" s="150">
        <v>24.23</v>
      </c>
      <c r="D20" s="165">
        <v>42650.75</v>
      </c>
      <c r="E20" s="150">
        <v>0.24</v>
      </c>
      <c r="F20" s="150" t="s">
        <v>777</v>
      </c>
      <c r="G20" s="150">
        <v>296.43</v>
      </c>
      <c r="H20" s="150">
        <v>0</v>
      </c>
      <c r="I20" s="150">
        <v>0</v>
      </c>
      <c r="J20" s="150">
        <v>1018.19</v>
      </c>
      <c r="K20" s="150" t="s">
        <v>218</v>
      </c>
      <c r="L20" s="150">
        <v>61.23</v>
      </c>
      <c r="M20" s="150">
        <v>1475884800</v>
      </c>
      <c r="N20" s="150">
        <v>8.94</v>
      </c>
      <c r="O20" s="150">
        <v>87</v>
      </c>
      <c r="P20" s="150">
        <v>3.46</v>
      </c>
    </row>
    <row r="21" spans="1:16" x14ac:dyDescent="0.25">
      <c r="A21" s="150">
        <v>56.32</v>
      </c>
      <c r="B21" s="150">
        <v>0.01</v>
      </c>
      <c r="C21" s="150">
        <v>25.62</v>
      </c>
      <c r="D21" s="165">
        <v>42650.791666666664</v>
      </c>
      <c r="E21" s="150">
        <v>0.3</v>
      </c>
      <c r="F21" s="150" t="s">
        <v>363</v>
      </c>
      <c r="G21" s="150">
        <v>295.76</v>
      </c>
      <c r="H21" s="150">
        <v>0</v>
      </c>
      <c r="I21" s="150">
        <v>0</v>
      </c>
      <c r="J21" s="150">
        <v>1018.6</v>
      </c>
      <c r="K21" s="150" t="s">
        <v>218</v>
      </c>
      <c r="L21" s="150">
        <v>56.32</v>
      </c>
      <c r="M21" s="150">
        <v>1475888400</v>
      </c>
      <c r="N21" s="150">
        <v>9.1300000000000008</v>
      </c>
      <c r="O21" s="150">
        <v>108</v>
      </c>
      <c r="P21" s="150">
        <v>1.97</v>
      </c>
    </row>
    <row r="22" spans="1:16" x14ac:dyDescent="0.25">
      <c r="A22" s="150">
        <v>52.73</v>
      </c>
      <c r="B22" s="150">
        <v>0</v>
      </c>
      <c r="C22" s="150">
        <v>28.17</v>
      </c>
      <c r="D22" s="165">
        <v>42650.833333333336</v>
      </c>
      <c r="E22" s="150">
        <v>0.39</v>
      </c>
      <c r="F22" s="150" t="s">
        <v>363</v>
      </c>
      <c r="G22" s="150">
        <v>295.94</v>
      </c>
      <c r="H22" s="150">
        <v>0</v>
      </c>
      <c r="I22" s="150">
        <v>0</v>
      </c>
      <c r="J22" s="150">
        <v>1019.5</v>
      </c>
      <c r="K22" s="150" t="s">
        <v>218</v>
      </c>
      <c r="L22" s="150">
        <v>52.73</v>
      </c>
      <c r="M22" s="150">
        <v>1475892000</v>
      </c>
      <c r="N22" s="150">
        <v>9.36</v>
      </c>
      <c r="O22" s="150">
        <v>174</v>
      </c>
      <c r="P22" s="150">
        <v>1.31</v>
      </c>
    </row>
    <row r="23" spans="1:16" x14ac:dyDescent="0.25">
      <c r="A23" s="150">
        <v>49.52</v>
      </c>
      <c r="B23" s="150">
        <v>0</v>
      </c>
      <c r="C23" s="150">
        <v>27.9</v>
      </c>
      <c r="D23" s="165">
        <v>42650.875</v>
      </c>
      <c r="E23" s="150">
        <v>0.43</v>
      </c>
      <c r="F23" s="150" t="s">
        <v>363</v>
      </c>
      <c r="G23" s="150">
        <v>295.64</v>
      </c>
      <c r="H23" s="150">
        <v>0</v>
      </c>
      <c r="I23" s="150">
        <v>0</v>
      </c>
      <c r="J23" s="150">
        <v>1020.36</v>
      </c>
      <c r="K23" s="150" t="s">
        <v>218</v>
      </c>
      <c r="L23" s="150">
        <v>49.52</v>
      </c>
      <c r="M23" s="150">
        <v>1475895600</v>
      </c>
      <c r="N23" s="150">
        <v>9.59</v>
      </c>
      <c r="O23" s="150">
        <v>213</v>
      </c>
      <c r="P23" s="150">
        <v>1.62</v>
      </c>
    </row>
    <row r="24" spans="1:16" x14ac:dyDescent="0.25">
      <c r="A24" s="150">
        <v>47.11</v>
      </c>
      <c r="B24" s="150">
        <v>0</v>
      </c>
      <c r="C24" s="150">
        <v>26.89</v>
      </c>
      <c r="D24" s="165">
        <v>42650.916666666664</v>
      </c>
      <c r="E24" s="150">
        <v>0.45</v>
      </c>
      <c r="F24" s="150" t="s">
        <v>363</v>
      </c>
      <c r="G24" s="150">
        <v>294.20999999999998</v>
      </c>
      <c r="H24" s="150">
        <v>0</v>
      </c>
      <c r="I24" s="150">
        <v>0</v>
      </c>
      <c r="J24" s="150">
        <v>1020.89</v>
      </c>
      <c r="K24" s="150" t="s">
        <v>218</v>
      </c>
      <c r="L24" s="150">
        <v>47.11</v>
      </c>
      <c r="M24" s="150">
        <v>1475899200</v>
      </c>
      <c r="N24" s="150">
        <v>9.59</v>
      </c>
      <c r="O24" s="150">
        <v>224</v>
      </c>
      <c r="P24" s="150">
        <v>2.08</v>
      </c>
    </row>
    <row r="25" spans="1:16" x14ac:dyDescent="0.25">
      <c r="A25" s="150">
        <v>43.52</v>
      </c>
      <c r="B25" s="150">
        <v>0</v>
      </c>
      <c r="C25" s="150">
        <v>26.39</v>
      </c>
      <c r="D25" s="165">
        <v>42650.958333333336</v>
      </c>
      <c r="E25" s="150">
        <v>0.48</v>
      </c>
      <c r="F25" s="150" t="s">
        <v>363</v>
      </c>
      <c r="G25" s="150">
        <v>292.29000000000002</v>
      </c>
      <c r="H25" s="150">
        <v>0</v>
      </c>
      <c r="I25" s="150">
        <v>0</v>
      </c>
      <c r="J25" s="150">
        <v>1021.26</v>
      </c>
      <c r="K25" s="150" t="s">
        <v>218</v>
      </c>
      <c r="L25" s="150">
        <v>45.06</v>
      </c>
      <c r="M25" s="150">
        <v>1475902800</v>
      </c>
      <c r="N25" s="150">
        <v>9.52</v>
      </c>
      <c r="O25" s="150">
        <v>220</v>
      </c>
      <c r="P25" s="150">
        <v>3.58</v>
      </c>
    </row>
    <row r="26" spans="1:16" x14ac:dyDescent="0.25">
      <c r="A26" s="150">
        <v>42.26</v>
      </c>
      <c r="B26" s="150">
        <v>0</v>
      </c>
      <c r="C26" s="150">
        <v>26.22</v>
      </c>
      <c r="D26" s="165">
        <v>42651</v>
      </c>
      <c r="E26" s="150">
        <v>0.5</v>
      </c>
      <c r="F26" s="150" t="s">
        <v>363</v>
      </c>
      <c r="G26" s="150">
        <v>290.52999999999997</v>
      </c>
      <c r="H26" s="150">
        <v>0</v>
      </c>
      <c r="I26" s="150">
        <v>0</v>
      </c>
      <c r="J26" s="150">
        <v>1021.65</v>
      </c>
      <c r="K26" s="150" t="s">
        <v>218</v>
      </c>
      <c r="L26" s="150">
        <v>43.86</v>
      </c>
      <c r="M26" s="150">
        <v>1475906400</v>
      </c>
      <c r="N26" s="150">
        <v>9.58</v>
      </c>
      <c r="O26" s="150">
        <v>230</v>
      </c>
      <c r="P26" s="150">
        <v>3.46</v>
      </c>
    </row>
    <row r="27" spans="1:16" x14ac:dyDescent="0.25">
      <c r="A27" s="150">
        <v>40.54</v>
      </c>
      <c r="B27" s="150">
        <v>0</v>
      </c>
      <c r="C27" s="150">
        <v>25.3</v>
      </c>
      <c r="D27" s="165">
        <v>42651.041666666664</v>
      </c>
      <c r="E27" s="150">
        <v>0.5</v>
      </c>
      <c r="F27" s="150" t="s">
        <v>363</v>
      </c>
      <c r="G27" s="150">
        <v>289.29000000000002</v>
      </c>
      <c r="H27" s="150">
        <v>0</v>
      </c>
      <c r="I27" s="150">
        <v>0</v>
      </c>
      <c r="J27" s="150">
        <v>1022.16</v>
      </c>
      <c r="K27" s="150" t="s">
        <v>218</v>
      </c>
      <c r="L27" s="150">
        <v>42.75</v>
      </c>
      <c r="M27" s="150">
        <v>1475910000</v>
      </c>
      <c r="N27" s="150">
        <v>9.61</v>
      </c>
      <c r="O27" s="150">
        <v>222</v>
      </c>
      <c r="P27" s="150">
        <v>3.95</v>
      </c>
    </row>
    <row r="28" spans="1:16" x14ac:dyDescent="0.25">
      <c r="A28" s="150">
        <v>40.6</v>
      </c>
      <c r="B28" s="150">
        <v>0.01</v>
      </c>
      <c r="C28" s="150">
        <v>25.21</v>
      </c>
      <c r="D28" s="165">
        <v>42651.083333333336</v>
      </c>
      <c r="E28" s="150">
        <v>0.5</v>
      </c>
      <c r="F28" s="150" t="s">
        <v>363</v>
      </c>
      <c r="G28" s="150">
        <v>288.05</v>
      </c>
      <c r="H28" s="150">
        <v>0</v>
      </c>
      <c r="I28" s="150">
        <v>0</v>
      </c>
      <c r="J28" s="150">
        <v>1022.63</v>
      </c>
      <c r="K28" s="150" t="s">
        <v>218</v>
      </c>
      <c r="L28" s="150">
        <v>42.29</v>
      </c>
      <c r="M28" s="150">
        <v>1475913600</v>
      </c>
      <c r="N28" s="150">
        <v>9.6</v>
      </c>
      <c r="O28" s="150">
        <v>222</v>
      </c>
      <c r="P28" s="150">
        <v>3.34</v>
      </c>
    </row>
    <row r="29" spans="1:16" x14ac:dyDescent="0.25">
      <c r="A29" s="150">
        <v>41.87</v>
      </c>
      <c r="B29" s="150">
        <v>0.14000000000000001</v>
      </c>
      <c r="C29" s="150">
        <v>24.83</v>
      </c>
      <c r="D29" s="165">
        <v>42651.125</v>
      </c>
      <c r="E29" s="150">
        <v>0.5</v>
      </c>
      <c r="F29" s="150" t="s">
        <v>363</v>
      </c>
      <c r="G29" s="150">
        <v>286.81</v>
      </c>
      <c r="H29" s="150">
        <v>0</v>
      </c>
      <c r="I29" s="150">
        <v>0</v>
      </c>
      <c r="J29" s="150">
        <v>1023.08</v>
      </c>
      <c r="K29" s="150" t="s">
        <v>218</v>
      </c>
      <c r="L29" s="150">
        <v>41.87</v>
      </c>
      <c r="M29" s="150">
        <v>1475917200</v>
      </c>
      <c r="N29" s="150">
        <v>9.1300000000000008</v>
      </c>
      <c r="O29" s="150">
        <v>217</v>
      </c>
      <c r="P29" s="150">
        <v>2.94</v>
      </c>
    </row>
    <row r="31" spans="1:16" x14ac:dyDescent="0.25">
      <c r="A31" s="150" t="s">
        <v>778</v>
      </c>
    </row>
    <row r="33" spans="1:1" x14ac:dyDescent="0.25">
      <c r="A33" s="150" t="s">
        <v>779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42650</v>
      </c>
      <c r="B2" s="4"/>
      <c r="C2" s="177">
        <v>50</v>
      </c>
      <c r="D2" s="178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225</v>
      </c>
    </row>
    <row r="21" spans="10:13" x14ac:dyDescent="0.25">
      <c r="J21" s="23" t="s">
        <v>97</v>
      </c>
      <c r="K21" s="23" t="s">
        <v>98</v>
      </c>
      <c r="M21" s="70" t="s">
        <v>231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C:\Users\stu\Documents\GitHub\eaglep3-reporting\EC\2016-10-07-refined-times.txt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131</v>
      </c>
      <c r="B1" s="123" t="s">
        <v>132</v>
      </c>
      <c r="C1" s="124" t="s">
        <v>133</v>
      </c>
      <c r="H1" t="s">
        <v>127</v>
      </c>
      <c r="I1" s="125" t="s">
        <v>129</v>
      </c>
      <c r="J1"/>
    </row>
    <row r="2" spans="1:11" x14ac:dyDescent="0.25">
      <c r="A2" s="124" t="s">
        <v>134</v>
      </c>
      <c r="B2" s="124" t="s">
        <v>135</v>
      </c>
      <c r="C2" s="124" t="s">
        <v>136</v>
      </c>
      <c r="H2" t="s">
        <v>128</v>
      </c>
      <c r="I2" s="110" t="s">
        <v>130</v>
      </c>
      <c r="J2"/>
    </row>
    <row r="3" spans="1:11" x14ac:dyDescent="0.25">
      <c r="A3" s="124" t="s">
        <v>137</v>
      </c>
      <c r="B3" s="124" t="s">
        <v>138</v>
      </c>
      <c r="C3" s="124" t="s">
        <v>139</v>
      </c>
      <c r="H3" t="s">
        <v>153</v>
      </c>
      <c r="I3" s="110">
        <v>1</v>
      </c>
      <c r="J3"/>
      <c r="K3" s="70"/>
    </row>
    <row r="4" spans="1:11" x14ac:dyDescent="0.25">
      <c r="A4" s="124" t="s">
        <v>140</v>
      </c>
      <c r="C4" s="124" t="s">
        <v>141</v>
      </c>
      <c r="H4" t="s">
        <v>154</v>
      </c>
      <c r="I4" s="110">
        <v>2</v>
      </c>
      <c r="J4"/>
      <c r="K4" s="70"/>
    </row>
    <row r="5" spans="1:11" x14ac:dyDescent="0.25">
      <c r="A5" s="124" t="s">
        <v>142</v>
      </c>
      <c r="C5" s="124" t="s">
        <v>143</v>
      </c>
      <c r="H5" t="s">
        <v>155</v>
      </c>
      <c r="I5" s="110">
        <v>23</v>
      </c>
      <c r="J5"/>
      <c r="K5" s="70"/>
    </row>
    <row r="6" spans="1:11" x14ac:dyDescent="0.25">
      <c r="A6" s="124" t="s">
        <v>144</v>
      </c>
      <c r="C6" s="124" t="s">
        <v>145</v>
      </c>
      <c r="H6" s="127" t="s">
        <v>156</v>
      </c>
      <c r="I6" s="128" t="s">
        <v>135</v>
      </c>
    </row>
    <row r="7" spans="1:11" x14ac:dyDescent="0.25">
      <c r="A7" s="124" t="s">
        <v>146</v>
      </c>
      <c r="C7" s="124" t="s">
        <v>147</v>
      </c>
    </row>
    <row r="8" spans="1:11" x14ac:dyDescent="0.25">
      <c r="C8" s="124" t="s">
        <v>148</v>
      </c>
    </row>
    <row r="9" spans="1:11" x14ac:dyDescent="0.25">
      <c r="C9" s="127" t="s">
        <v>204</v>
      </c>
    </row>
    <row r="10" spans="1:11" x14ac:dyDescent="0.25">
      <c r="C10" s="124" t="s">
        <v>149</v>
      </c>
    </row>
    <row r="11" spans="1:11" x14ac:dyDescent="0.25">
      <c r="C11" s="124" t="s">
        <v>150</v>
      </c>
    </row>
    <row r="12" spans="1:11" x14ac:dyDescent="0.25">
      <c r="C12" s="124" t="s">
        <v>151</v>
      </c>
    </row>
    <row r="13" spans="1:11" x14ac:dyDescent="0.25">
      <c r="C13" s="124" t="s">
        <v>152</v>
      </c>
    </row>
    <row r="14" spans="1:11" x14ac:dyDescent="0.25">
      <c r="C14" s="127" t="s">
        <v>205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2016-10-10T18:36:39Z</dcterms:modified>
</cp:coreProperties>
</file>