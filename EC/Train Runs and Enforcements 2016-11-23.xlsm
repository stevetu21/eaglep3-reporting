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9" l="1"/>
  <c r="C76" i="9"/>
  <c r="B77" i="9"/>
  <c r="C77" i="9" s="1"/>
  <c r="B78" i="9"/>
  <c r="C78" i="9"/>
  <c r="B79" i="9"/>
  <c r="C79" i="9" s="1"/>
  <c r="B80" i="9"/>
  <c r="C80" i="9"/>
  <c r="B81" i="9"/>
  <c r="C81" i="9" s="1"/>
  <c r="B82" i="9"/>
  <c r="C82" i="9"/>
  <c r="B83" i="9"/>
  <c r="C83" i="9" s="1"/>
  <c r="B84" i="9"/>
  <c r="C84" i="9"/>
  <c r="B85" i="9"/>
  <c r="C85" i="9" s="1"/>
  <c r="B86" i="9"/>
  <c r="C86" i="9"/>
  <c r="B87" i="9"/>
  <c r="C87" i="9" s="1"/>
  <c r="B88" i="9"/>
  <c r="C88" i="9"/>
  <c r="B89" i="9"/>
  <c r="C89" i="9" s="1"/>
  <c r="B90" i="9"/>
  <c r="C90" i="9"/>
  <c r="B91" i="9"/>
  <c r="C91" i="9" s="1"/>
  <c r="B92" i="9"/>
  <c r="C92" i="9"/>
  <c r="B93" i="9"/>
  <c r="C93" i="9" s="1"/>
  <c r="B94" i="9"/>
  <c r="C94" i="9"/>
  <c r="B95" i="9"/>
  <c r="C95" i="9" s="1"/>
  <c r="B96" i="9"/>
  <c r="C96" i="9"/>
  <c r="B97" i="9"/>
  <c r="C97" i="9" s="1"/>
  <c r="B98" i="9"/>
  <c r="C98" i="9"/>
  <c r="B99" i="9"/>
  <c r="C99" i="9" s="1"/>
  <c r="P87" i="1"/>
  <c r="P31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P19" i="1" s="1"/>
  <c r="V19" i="1"/>
  <c r="Y19" i="1"/>
  <c r="AB19" i="1"/>
  <c r="AC19" i="1"/>
  <c r="AD19" i="1"/>
  <c r="T19" i="1" s="1"/>
  <c r="AE19" i="1"/>
  <c r="AF19" i="1"/>
  <c r="AG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V32" i="1"/>
  <c r="Y32" i="1"/>
  <c r="Z32" i="1"/>
  <c r="AA32" i="1" s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T33" i="1" s="1"/>
  <c r="AE33" i="1"/>
  <c r="AF33" i="1"/>
  <c r="AG33" i="1"/>
  <c r="AI33" i="1" s="1"/>
  <c r="AH33" i="1"/>
  <c r="K34" i="1"/>
  <c r="L34" i="1"/>
  <c r="M34" i="1"/>
  <c r="N34" i="1"/>
  <c r="V34" i="1"/>
  <c r="S9" i="3" s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10" i="3" s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AA41" i="1" s="1"/>
  <c r="Z41" i="1"/>
  <c r="AB41" i="1"/>
  <c r="AC41" i="1"/>
  <c r="AD41" i="1"/>
  <c r="AG41" i="1" s="1"/>
  <c r="AE41" i="1"/>
  <c r="AF41" i="1"/>
  <c r="AH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R23" i="3" s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25" i="3" s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X56" i="1" s="1"/>
  <c r="AE56" i="1"/>
  <c r="R27" i="3" s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X60" i="1" s="1"/>
  <c r="AE60" i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AG61" i="1" s="1"/>
  <c r="AE61" i="1"/>
  <c r="R26" i="3" s="1"/>
  <c r="AF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A64" i="1" s="1"/>
  <c r="AB64" i="1"/>
  <c r="AC64" i="1"/>
  <c r="AD64" i="1"/>
  <c r="X64" i="1" s="1"/>
  <c r="AE64" i="1"/>
  <c r="AF64" i="1"/>
  <c r="AH64" i="1"/>
  <c r="K65" i="1"/>
  <c r="L65" i="1"/>
  <c r="M65" i="1"/>
  <c r="N65" i="1" s="1"/>
  <c r="V65" i="1"/>
  <c r="Y65" i="1"/>
  <c r="Z65" i="1"/>
  <c r="AA65" i="1" s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X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G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G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A84" i="1"/>
  <c r="AB84" i="1"/>
  <c r="AC84" i="1"/>
  <c r="AD84" i="1"/>
  <c r="T84" i="1" s="1"/>
  <c r="AE84" i="1"/>
  <c r="AF84" i="1"/>
  <c r="AH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R30" i="3" s="1"/>
  <c r="AF86" i="1"/>
  <c r="AH86" i="1"/>
  <c r="K87" i="1"/>
  <c r="L87" i="1"/>
  <c r="M87" i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R7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S11" i="3" s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V94" i="1"/>
  <c r="Y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AA99" i="1" s="1"/>
  <c r="Z99" i="1"/>
  <c r="AB99" i="1"/>
  <c r="AC99" i="1"/>
  <c r="AD99" i="1"/>
  <c r="X99" i="1" s="1"/>
  <c r="AE99" i="1"/>
  <c r="AF99" i="1"/>
  <c r="AH99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T102" i="1"/>
  <c r="V102" i="1"/>
  <c r="Y102" i="1"/>
  <c r="Z102" i="1"/>
  <c r="AA102" i="1" s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X103" i="1"/>
  <c r="Y103" i="1"/>
  <c r="Z103" i="1"/>
  <c r="AB103" i="1"/>
  <c r="AC103" i="1"/>
  <c r="AD103" i="1"/>
  <c r="T103" i="1" s="1"/>
  <c r="AE103" i="1"/>
  <c r="AF103" i="1"/>
  <c r="AG103" i="1"/>
  <c r="AI103" i="1" s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T106" i="1"/>
  <c r="V106" i="1"/>
  <c r="Y106" i="1"/>
  <c r="Z106" i="1"/>
  <c r="AA106" i="1" s="1"/>
  <c r="AB106" i="1"/>
  <c r="AC106" i="1"/>
  <c r="AD106" i="1"/>
  <c r="AG106" i="1" s="1"/>
  <c r="AE106" i="1"/>
  <c r="AF106" i="1"/>
  <c r="AH106" i="1"/>
  <c r="K107" i="1"/>
  <c r="L107" i="1"/>
  <c r="M107" i="1"/>
  <c r="V107" i="1"/>
  <c r="Y107" i="1"/>
  <c r="AA107" i="1" s="1"/>
  <c r="Z107" i="1"/>
  <c r="AB107" i="1"/>
  <c r="AC107" i="1"/>
  <c r="AD107" i="1"/>
  <c r="X107" i="1" s="1"/>
  <c r="AE107" i="1"/>
  <c r="AF107" i="1"/>
  <c r="AH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G110" i="1"/>
  <c r="AH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G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9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G119" i="1"/>
  <c r="U119" i="1" s="1"/>
  <c r="S119" i="1" s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AA127" i="1" s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G133" i="1"/>
  <c r="U133" i="1" s="1"/>
  <c r="S133" i="1" s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S14" i="3" s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G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T148" i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R31" i="3" s="1"/>
  <c r="AF152" i="1"/>
  <c r="AH152" i="1"/>
  <c r="K153" i="1"/>
  <c r="L153" i="1"/>
  <c r="M153" i="1"/>
  <c r="V153" i="1"/>
  <c r="Y153" i="1"/>
  <c r="Z153" i="1"/>
  <c r="AA153" i="1" s="1"/>
  <c r="AB153" i="1"/>
  <c r="AC153" i="1"/>
  <c r="AD153" i="1"/>
  <c r="T153" i="1" s="1"/>
  <c r="AE153" i="1"/>
  <c r="AF153" i="1"/>
  <c r="AH153" i="1"/>
  <c r="K154" i="1"/>
  <c r="L154" i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V155" i="1"/>
  <c r="Y155" i="1"/>
  <c r="Z155" i="1"/>
  <c r="AB155" i="1"/>
  <c r="AC155" i="1"/>
  <c r="AD155" i="1"/>
  <c r="T155" i="1" s="1"/>
  <c r="AE155" i="1"/>
  <c r="AF155" i="1"/>
  <c r="AG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K162" i="1"/>
  <c r="L162" i="1"/>
  <c r="M162" i="1"/>
  <c r="N162" i="1"/>
  <c r="V162" i="1"/>
  <c r="Y162" i="1"/>
  <c r="Z162" i="1"/>
  <c r="AA162" i="1" s="1"/>
  <c r="AB162" i="1"/>
  <c r="AC162" i="1"/>
  <c r="AD162" i="1"/>
  <c r="AE162" i="1"/>
  <c r="AF162" i="1"/>
  <c r="AH162" i="1"/>
  <c r="K163" i="1"/>
  <c r="L163" i="1"/>
  <c r="M163" i="1"/>
  <c r="V163" i="1"/>
  <c r="S19" i="3" s="1"/>
  <c r="Y163" i="1"/>
  <c r="Z163" i="1"/>
  <c r="AB163" i="1"/>
  <c r="AC163" i="1"/>
  <c r="AD163" i="1"/>
  <c r="T163" i="1" s="1"/>
  <c r="AE163" i="1"/>
  <c r="R19" i="3" s="1"/>
  <c r="AF163" i="1"/>
  <c r="AG163" i="1"/>
  <c r="AH163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R43" i="3" s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K215" i="1"/>
  <c r="L215" i="1"/>
  <c r="M215" i="1"/>
  <c r="N215" i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G218" i="1"/>
  <c r="AH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R44" i="3" s="1"/>
  <c r="AF228" i="1"/>
  <c r="AH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G231" i="1"/>
  <c r="AI231" i="1" s="1"/>
  <c r="AH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1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2" i="1"/>
  <c r="K235" i="1"/>
  <c r="L235" i="1"/>
  <c r="M235" i="1"/>
  <c r="N235" i="1" s="1"/>
  <c r="V235" i="1"/>
  <c r="Y235" i="1"/>
  <c r="Z235" i="1"/>
  <c r="AA235" i="1"/>
  <c r="AB235" i="1"/>
  <c r="AC235" i="1"/>
  <c r="AD235" i="1"/>
  <c r="T235" i="1" s="1"/>
  <c r="AE235" i="1"/>
  <c r="AF235" i="1"/>
  <c r="AH183" i="1"/>
  <c r="K165" i="1"/>
  <c r="L165" i="1"/>
  <c r="M165" i="1"/>
  <c r="N165" i="1"/>
  <c r="V165" i="1"/>
  <c r="Y165" i="1"/>
  <c r="Z165" i="1"/>
  <c r="AB165" i="1"/>
  <c r="AC165" i="1"/>
  <c r="AD165" i="1"/>
  <c r="T165" i="1" s="1"/>
  <c r="AE165" i="1"/>
  <c r="AF165" i="1"/>
  <c r="AH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G166" i="1"/>
  <c r="AH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K168" i="1"/>
  <c r="L168" i="1"/>
  <c r="M168" i="1"/>
  <c r="N168" i="1" s="1"/>
  <c r="V168" i="1"/>
  <c r="Y168" i="1"/>
  <c r="Z168" i="1"/>
  <c r="AA168" i="1" s="1"/>
  <c r="AB168" i="1"/>
  <c r="AC168" i="1"/>
  <c r="AD168" i="1"/>
  <c r="X168" i="1" s="1"/>
  <c r="AE168" i="1"/>
  <c r="AF168" i="1"/>
  <c r="AH187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8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89" i="1"/>
  <c r="K171" i="1"/>
  <c r="L171" i="1"/>
  <c r="M171" i="1"/>
  <c r="N171" i="1" s="1"/>
  <c r="V171" i="1"/>
  <c r="Y171" i="1"/>
  <c r="Z171" i="1"/>
  <c r="AA171" i="1" s="1"/>
  <c r="AB171" i="1"/>
  <c r="AC171" i="1"/>
  <c r="AD171" i="1"/>
  <c r="AG171" i="1" s="1"/>
  <c r="AE171" i="1"/>
  <c r="R33" i="3" s="1"/>
  <c r="AF171" i="1"/>
  <c r="AH190" i="1"/>
  <c r="K172" i="1"/>
  <c r="L172" i="1"/>
  <c r="M172" i="1"/>
  <c r="N172" i="1" s="1"/>
  <c r="V172" i="1"/>
  <c r="Y172" i="1"/>
  <c r="AA172" i="1" s="1"/>
  <c r="Z172" i="1"/>
  <c r="AB172" i="1"/>
  <c r="AC172" i="1"/>
  <c r="AD172" i="1"/>
  <c r="T172" i="1" s="1"/>
  <c r="AE172" i="1"/>
  <c r="AF172" i="1"/>
  <c r="AH191" i="1"/>
  <c r="K173" i="1"/>
  <c r="L173" i="1"/>
  <c r="M173" i="1"/>
  <c r="N173" i="1" s="1"/>
  <c r="V173" i="1"/>
  <c r="S32" i="3" s="1"/>
  <c r="Y173" i="1"/>
  <c r="Z173" i="1"/>
  <c r="AB173" i="1"/>
  <c r="AC173" i="1"/>
  <c r="AD173" i="1"/>
  <c r="T173" i="1" s="1"/>
  <c r="AE173" i="1"/>
  <c r="AF173" i="1"/>
  <c r="AH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4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8" i="1"/>
  <c r="K180" i="1"/>
  <c r="L180" i="1"/>
  <c r="M180" i="1"/>
  <c r="N180" i="1" s="1"/>
  <c r="V180" i="1"/>
  <c r="X180" i="1"/>
  <c r="Y180" i="1"/>
  <c r="Z180" i="1"/>
  <c r="AA180" i="1"/>
  <c r="AB180" i="1"/>
  <c r="AC180" i="1"/>
  <c r="AD180" i="1"/>
  <c r="T180" i="1" s="1"/>
  <c r="AE180" i="1"/>
  <c r="AF180" i="1"/>
  <c r="AH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G186" i="1"/>
  <c r="AH20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08" i="1"/>
  <c r="K190" i="1"/>
  <c r="L190" i="1"/>
  <c r="M190" i="1"/>
  <c r="N190" i="1" s="1"/>
  <c r="V190" i="1"/>
  <c r="S39" i="3" s="1"/>
  <c r="Y190" i="1"/>
  <c r="Z190" i="1"/>
  <c r="AB190" i="1"/>
  <c r="AC190" i="1"/>
  <c r="AD190" i="1"/>
  <c r="T190" i="1" s="1"/>
  <c r="AE190" i="1"/>
  <c r="AF190" i="1"/>
  <c r="AG190" i="1"/>
  <c r="AH20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0" i="1"/>
  <c r="K192" i="1"/>
  <c r="L192" i="1"/>
  <c r="M192" i="1"/>
  <c r="N192" i="1" s="1"/>
  <c r="V192" i="1"/>
  <c r="Y192" i="1"/>
  <c r="Z192" i="1"/>
  <c r="AA192" i="1" s="1"/>
  <c r="AB192" i="1"/>
  <c r="AC192" i="1"/>
  <c r="AD192" i="1"/>
  <c r="X192" i="1" s="1"/>
  <c r="AE192" i="1"/>
  <c r="AF192" i="1"/>
  <c r="AH211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A194" i="1" s="1"/>
  <c r="W194" i="1" s="1"/>
  <c r="AB194" i="1"/>
  <c r="AC194" i="1"/>
  <c r="AD194" i="1"/>
  <c r="T194" i="1" s="1"/>
  <c r="AE194" i="1"/>
  <c r="AF194" i="1"/>
  <c r="AG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N196" i="1" s="1"/>
  <c r="V196" i="1"/>
  <c r="S35" i="3" s="1"/>
  <c r="Y196" i="1"/>
  <c r="Z196" i="1"/>
  <c r="AB196" i="1"/>
  <c r="AC196" i="1"/>
  <c r="AD196" i="1"/>
  <c r="X197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K202" i="1"/>
  <c r="L202" i="1"/>
  <c r="M202" i="1"/>
  <c r="N202" i="1" s="1"/>
  <c r="V202" i="1"/>
  <c r="Y202" i="1"/>
  <c r="AA202" i="1"/>
  <c r="AB202" i="1"/>
  <c r="AC202" i="1"/>
  <c r="AD202" i="1"/>
  <c r="T202" i="1" s="1"/>
  <c r="AE202" i="1"/>
  <c r="R40" i="3" s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05" i="1"/>
  <c r="L205" i="1"/>
  <c r="M205" i="1"/>
  <c r="N205" i="1" s="1"/>
  <c r="T205" i="1"/>
  <c r="V205" i="1"/>
  <c r="S36" i="3" s="1"/>
  <c r="Y205" i="1"/>
  <c r="Z205" i="1"/>
  <c r="AB205" i="1"/>
  <c r="AC205" i="1"/>
  <c r="AD205" i="1"/>
  <c r="AG205" i="1" s="1"/>
  <c r="AE205" i="1"/>
  <c r="AF205" i="1"/>
  <c r="AH22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225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7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28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29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K223" i="1"/>
  <c r="L223" i="1"/>
  <c r="M223" i="1"/>
  <c r="N223" i="1" s="1"/>
  <c r="T223" i="1"/>
  <c r="V223" i="1"/>
  <c r="S44" i="3" s="1"/>
  <c r="Y223" i="1"/>
  <c r="Z223" i="1"/>
  <c r="AB223" i="1"/>
  <c r="AC223" i="1"/>
  <c r="AD223" i="1"/>
  <c r="AG223" i="1" s="1"/>
  <c r="AE223" i="1"/>
  <c r="AF223" i="1"/>
  <c r="AH23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3" i="1"/>
  <c r="K225" i="1"/>
  <c r="L225" i="1"/>
  <c r="M225" i="1"/>
  <c r="N225" i="1" s="1"/>
  <c r="V225" i="1"/>
  <c r="S41" i="3" s="1"/>
  <c r="Y225" i="1"/>
  <c r="Z225" i="1"/>
  <c r="AB225" i="1"/>
  <c r="AC225" i="1"/>
  <c r="AD225" i="1"/>
  <c r="T225" i="1" s="1"/>
  <c r="AE225" i="1"/>
  <c r="AF225" i="1"/>
  <c r="AH234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235" i="1"/>
  <c r="K236" i="1"/>
  <c r="L236" i="1"/>
  <c r="M236" i="1"/>
  <c r="N236" i="1" s="1"/>
  <c r="V236" i="1"/>
  <c r="S46" i="3" s="1"/>
  <c r="Y236" i="1"/>
  <c r="Z236" i="1"/>
  <c r="AB236" i="1"/>
  <c r="AC236" i="1"/>
  <c r="AD236" i="1"/>
  <c r="AE236" i="1"/>
  <c r="R46" i="3" s="1"/>
  <c r="AF236" i="1"/>
  <c r="AH236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237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8" i="1"/>
  <c r="K239" i="1"/>
  <c r="L239" i="1"/>
  <c r="M239" i="1"/>
  <c r="N239" i="1" s="1"/>
  <c r="V239" i="1"/>
  <c r="Y239" i="1"/>
  <c r="Z239" i="1"/>
  <c r="AA239" i="1" s="1"/>
  <c r="AB239" i="1"/>
  <c r="AC239" i="1"/>
  <c r="AD239" i="1"/>
  <c r="AG239" i="1" s="1"/>
  <c r="AE239" i="1"/>
  <c r="AF239" i="1"/>
  <c r="AH23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40" i="1"/>
  <c r="K241" i="1"/>
  <c r="L241" i="1"/>
  <c r="M241" i="1"/>
  <c r="N241" i="1" s="1"/>
  <c r="T241" i="1"/>
  <c r="V241" i="1"/>
  <c r="Y241" i="1"/>
  <c r="Z241" i="1"/>
  <c r="AA241" i="1" s="1"/>
  <c r="AB241" i="1"/>
  <c r="AC241" i="1"/>
  <c r="AD241" i="1"/>
  <c r="AG241" i="1" s="1"/>
  <c r="AE241" i="1"/>
  <c r="AF241" i="1"/>
  <c r="AH241" i="1"/>
  <c r="K242" i="1"/>
  <c r="L242" i="1"/>
  <c r="M242" i="1"/>
  <c r="N242" i="1" s="1"/>
  <c r="V242" i="1"/>
  <c r="Y242" i="1"/>
  <c r="Z242" i="1"/>
  <c r="AA242" i="1" s="1"/>
  <c r="AB242" i="1"/>
  <c r="AC242" i="1"/>
  <c r="AD242" i="1"/>
  <c r="AG242" i="1" s="1"/>
  <c r="AE242" i="1"/>
  <c r="AF242" i="1"/>
  <c r="AH242" i="1"/>
  <c r="K243" i="1"/>
  <c r="L243" i="1"/>
  <c r="M243" i="1"/>
  <c r="N243" i="1" s="1"/>
  <c r="V243" i="1"/>
  <c r="Y243" i="1"/>
  <c r="Z243" i="1"/>
  <c r="AA243" i="1" s="1"/>
  <c r="AB243" i="1"/>
  <c r="AC243" i="1"/>
  <c r="AD243" i="1"/>
  <c r="AG243" i="1" s="1"/>
  <c r="AE243" i="1"/>
  <c r="AF243" i="1"/>
  <c r="AH24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44" i="1"/>
  <c r="K245" i="1"/>
  <c r="L245" i="1"/>
  <c r="M245" i="1"/>
  <c r="N245" i="1" s="1"/>
  <c r="V245" i="1"/>
  <c r="S45" i="3" s="1"/>
  <c r="Y245" i="1"/>
  <c r="Z245" i="1"/>
  <c r="AB245" i="1"/>
  <c r="AC245" i="1"/>
  <c r="AD245" i="1"/>
  <c r="AG245" i="1" s="1"/>
  <c r="AE245" i="1"/>
  <c r="R45" i="3" s="1"/>
  <c r="AF245" i="1"/>
  <c r="AH245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46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247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48" i="1"/>
  <c r="K249" i="1"/>
  <c r="L249" i="1"/>
  <c r="M249" i="1"/>
  <c r="N249" i="1"/>
  <c r="V249" i="1"/>
  <c r="Y249" i="1"/>
  <c r="Z249" i="1"/>
  <c r="AA249" i="1" s="1"/>
  <c r="AB249" i="1"/>
  <c r="AC249" i="1"/>
  <c r="AD249" i="1"/>
  <c r="AG249" i="1" s="1"/>
  <c r="AE249" i="1"/>
  <c r="AF249" i="1"/>
  <c r="AH249" i="1"/>
  <c r="K250" i="1"/>
  <c r="L250" i="1"/>
  <c r="M250" i="1"/>
  <c r="N250" i="1" s="1"/>
  <c r="V250" i="1"/>
  <c r="Y250" i="1"/>
  <c r="Z250" i="1"/>
  <c r="AB250" i="1"/>
  <c r="AC250" i="1"/>
  <c r="AD250" i="1"/>
  <c r="AG250" i="1" s="1"/>
  <c r="AE250" i="1"/>
  <c r="AF250" i="1"/>
  <c r="AH250" i="1"/>
  <c r="K251" i="1"/>
  <c r="L251" i="1"/>
  <c r="M251" i="1"/>
  <c r="N251" i="1"/>
  <c r="V251" i="1"/>
  <c r="Y251" i="1"/>
  <c r="Z251" i="1"/>
  <c r="AB251" i="1"/>
  <c r="AC251" i="1"/>
  <c r="AD251" i="1"/>
  <c r="AG251" i="1" s="1"/>
  <c r="AE251" i="1"/>
  <c r="AF251" i="1"/>
  <c r="AH251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52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253" i="1"/>
  <c r="M43" i="3"/>
  <c r="N43" i="3"/>
  <c r="S43" i="3"/>
  <c r="U43" i="3"/>
  <c r="T43" i="3" s="1"/>
  <c r="V43" i="3"/>
  <c r="W43" i="3"/>
  <c r="X43" i="3"/>
  <c r="AC43" i="3"/>
  <c r="M15" i="3"/>
  <c r="N15" i="3"/>
  <c r="U15" i="3"/>
  <c r="T15" i="3" s="1"/>
  <c r="V15" i="3"/>
  <c r="W15" i="3"/>
  <c r="X15" i="3"/>
  <c r="AC15" i="3"/>
  <c r="M21" i="3"/>
  <c r="N21" i="3"/>
  <c r="R21" i="3"/>
  <c r="S21" i="3"/>
  <c r="U21" i="3"/>
  <c r="T21" i="3" s="1"/>
  <c r="V21" i="3"/>
  <c r="W21" i="3"/>
  <c r="X21" i="3"/>
  <c r="AC21" i="3"/>
  <c r="M9" i="3"/>
  <c r="N9" i="3"/>
  <c r="R9" i="3"/>
  <c r="U9" i="3"/>
  <c r="T9" i="3" s="1"/>
  <c r="V9" i="3"/>
  <c r="W9" i="3"/>
  <c r="X9" i="3"/>
  <c r="AC9" i="3"/>
  <c r="M33" i="3"/>
  <c r="N33" i="3"/>
  <c r="S33" i="3"/>
  <c r="U33" i="3"/>
  <c r="T33" i="3" s="1"/>
  <c r="V33" i="3"/>
  <c r="W33" i="3"/>
  <c r="X33" i="3"/>
  <c r="AC33" i="3"/>
  <c r="M10" i="3"/>
  <c r="N10" i="3"/>
  <c r="R10" i="3"/>
  <c r="U10" i="3"/>
  <c r="T10" i="3" s="1"/>
  <c r="V10" i="3"/>
  <c r="W10" i="3"/>
  <c r="X10" i="3"/>
  <c r="AC10" i="3"/>
  <c r="M32" i="3"/>
  <c r="N32" i="3"/>
  <c r="R32" i="3"/>
  <c r="U32" i="3"/>
  <c r="T32" i="3" s="1"/>
  <c r="V32" i="3"/>
  <c r="W32" i="3"/>
  <c r="X32" i="3"/>
  <c r="AC32" i="3"/>
  <c r="M12" i="3"/>
  <c r="N12" i="3"/>
  <c r="R12" i="3"/>
  <c r="S12" i="3"/>
  <c r="U12" i="3"/>
  <c r="T12" i="3" s="1"/>
  <c r="V12" i="3"/>
  <c r="W12" i="3"/>
  <c r="Y12" i="3" s="1"/>
  <c r="X12" i="3"/>
  <c r="AC12" i="3"/>
  <c r="M22" i="3"/>
  <c r="N22" i="3"/>
  <c r="R22" i="3"/>
  <c r="S22" i="3"/>
  <c r="U22" i="3"/>
  <c r="T22" i="3" s="1"/>
  <c r="V22" i="3"/>
  <c r="W22" i="3"/>
  <c r="X22" i="3"/>
  <c r="AC22" i="3"/>
  <c r="M23" i="3"/>
  <c r="N23" i="3"/>
  <c r="S23" i="3"/>
  <c r="U23" i="3"/>
  <c r="T23" i="3" s="1"/>
  <c r="V23" i="3"/>
  <c r="W23" i="3"/>
  <c r="X23" i="3"/>
  <c r="AC23" i="3"/>
  <c r="M27" i="3"/>
  <c r="N27" i="3"/>
  <c r="S27" i="3"/>
  <c r="U27" i="3"/>
  <c r="T27" i="3" s="1"/>
  <c r="V27" i="3"/>
  <c r="W27" i="3"/>
  <c r="X27" i="3"/>
  <c r="AC27" i="3"/>
  <c r="M24" i="3"/>
  <c r="N24" i="3"/>
  <c r="R24" i="3"/>
  <c r="S24" i="3"/>
  <c r="U24" i="3"/>
  <c r="T24" i="3" s="1"/>
  <c r="V24" i="3"/>
  <c r="W24" i="3"/>
  <c r="X24" i="3"/>
  <c r="AC24" i="3"/>
  <c r="M28" i="3"/>
  <c r="N28" i="3"/>
  <c r="R28" i="3"/>
  <c r="S28" i="3"/>
  <c r="U28" i="3"/>
  <c r="T28" i="3" s="1"/>
  <c r="V28" i="3"/>
  <c r="W28" i="3"/>
  <c r="X28" i="3"/>
  <c r="AC28" i="3"/>
  <c r="M25" i="3"/>
  <c r="N25" i="3"/>
  <c r="S25" i="3"/>
  <c r="U25" i="3"/>
  <c r="T25" i="3" s="1"/>
  <c r="V25" i="3"/>
  <c r="W25" i="3"/>
  <c r="X25" i="3"/>
  <c r="AC25" i="3"/>
  <c r="M29" i="3"/>
  <c r="N29" i="3"/>
  <c r="R29" i="3"/>
  <c r="S29" i="3"/>
  <c r="U29" i="3"/>
  <c r="T29" i="3" s="1"/>
  <c r="V29" i="3"/>
  <c r="W29" i="3"/>
  <c r="X29" i="3"/>
  <c r="AC29" i="3"/>
  <c r="M37" i="3"/>
  <c r="N37" i="3"/>
  <c r="R37" i="3"/>
  <c r="S37" i="3"/>
  <c r="U37" i="3"/>
  <c r="T37" i="3" s="1"/>
  <c r="V37" i="3"/>
  <c r="W37" i="3"/>
  <c r="X37" i="3"/>
  <c r="AC37" i="3"/>
  <c r="M26" i="3"/>
  <c r="N26" i="3"/>
  <c r="S26" i="3"/>
  <c r="U26" i="3"/>
  <c r="T26" i="3" s="1"/>
  <c r="V26" i="3"/>
  <c r="W26" i="3"/>
  <c r="X26" i="3"/>
  <c r="AC26" i="3"/>
  <c r="M7" i="3"/>
  <c r="N7" i="3"/>
  <c r="S7" i="3"/>
  <c r="U7" i="3"/>
  <c r="T7" i="3" s="1"/>
  <c r="V7" i="3"/>
  <c r="W7" i="3"/>
  <c r="X7" i="3"/>
  <c r="AC7" i="3"/>
  <c r="AD7" i="3"/>
  <c r="M11" i="3"/>
  <c r="N11" i="3"/>
  <c r="R11" i="3"/>
  <c r="U11" i="3"/>
  <c r="T11" i="3" s="1"/>
  <c r="V11" i="3"/>
  <c r="W11" i="3"/>
  <c r="X11" i="3"/>
  <c r="AC11" i="3"/>
  <c r="M30" i="3"/>
  <c r="N30" i="3"/>
  <c r="S30" i="3"/>
  <c r="U30" i="3"/>
  <c r="T30" i="3" s="1"/>
  <c r="V30" i="3"/>
  <c r="W30" i="3"/>
  <c r="X30" i="3"/>
  <c r="AC30" i="3"/>
  <c r="M18" i="3"/>
  <c r="N18" i="3"/>
  <c r="R18" i="3"/>
  <c r="S18" i="3"/>
  <c r="U18" i="3"/>
  <c r="T18" i="3" s="1"/>
  <c r="V18" i="3"/>
  <c r="W18" i="3"/>
  <c r="X18" i="3"/>
  <c r="AC18" i="3"/>
  <c r="M17" i="3"/>
  <c r="N17" i="3"/>
  <c r="R17" i="3"/>
  <c r="S17" i="3"/>
  <c r="U17" i="3"/>
  <c r="T17" i="3" s="1"/>
  <c r="V17" i="3"/>
  <c r="W17" i="3"/>
  <c r="X17" i="3"/>
  <c r="AC17" i="3"/>
  <c r="AD17" i="3"/>
  <c r="M39" i="3"/>
  <c r="N39" i="3"/>
  <c r="R39" i="3"/>
  <c r="U39" i="3"/>
  <c r="T39" i="3" s="1"/>
  <c r="V39" i="3"/>
  <c r="W39" i="3"/>
  <c r="X39" i="3"/>
  <c r="AC39" i="3"/>
  <c r="M16" i="3"/>
  <c r="N16" i="3"/>
  <c r="R16" i="3"/>
  <c r="S16" i="3"/>
  <c r="U16" i="3"/>
  <c r="T16" i="3" s="1"/>
  <c r="V16" i="3"/>
  <c r="W16" i="3"/>
  <c r="X16" i="3"/>
  <c r="AC16" i="3"/>
  <c r="M35" i="3"/>
  <c r="N35" i="3"/>
  <c r="R35" i="3"/>
  <c r="U35" i="3"/>
  <c r="T35" i="3" s="1"/>
  <c r="V35" i="3"/>
  <c r="W35" i="3"/>
  <c r="X35" i="3"/>
  <c r="AC35" i="3"/>
  <c r="M41" i="3"/>
  <c r="N41" i="3"/>
  <c r="R41" i="3"/>
  <c r="U41" i="3"/>
  <c r="T41" i="3" s="1"/>
  <c r="V41" i="3"/>
  <c r="W41" i="3"/>
  <c r="X41" i="3"/>
  <c r="AC41" i="3"/>
  <c r="M44" i="3"/>
  <c r="N44" i="3"/>
  <c r="U44" i="3"/>
  <c r="T44" i="3" s="1"/>
  <c r="V44" i="3"/>
  <c r="W44" i="3"/>
  <c r="X44" i="3"/>
  <c r="AC44" i="3"/>
  <c r="M8" i="3"/>
  <c r="N8" i="3"/>
  <c r="R8" i="3"/>
  <c r="S8" i="3"/>
  <c r="U8" i="3"/>
  <c r="T8" i="3" s="1"/>
  <c r="V8" i="3"/>
  <c r="W8" i="3"/>
  <c r="X8" i="3"/>
  <c r="M34" i="3"/>
  <c r="N34" i="3"/>
  <c r="R34" i="3"/>
  <c r="S34" i="3"/>
  <c r="U34" i="3"/>
  <c r="T34" i="3" s="1"/>
  <c r="V34" i="3"/>
  <c r="W34" i="3"/>
  <c r="X34" i="3"/>
  <c r="AC34" i="3"/>
  <c r="M40" i="3"/>
  <c r="N40" i="3"/>
  <c r="S40" i="3"/>
  <c r="U40" i="3"/>
  <c r="T40" i="3" s="1"/>
  <c r="V40" i="3"/>
  <c r="W40" i="3"/>
  <c r="X40" i="3"/>
  <c r="AC40" i="3"/>
  <c r="AD40" i="3"/>
  <c r="M13" i="3"/>
  <c r="N13" i="3"/>
  <c r="R13" i="3"/>
  <c r="S13" i="3"/>
  <c r="U13" i="3"/>
  <c r="T13" i="3" s="1"/>
  <c r="V13" i="3"/>
  <c r="W13" i="3"/>
  <c r="X13" i="3"/>
  <c r="AC13" i="3"/>
  <c r="M14" i="3"/>
  <c r="N14" i="3"/>
  <c r="R14" i="3"/>
  <c r="U14" i="3"/>
  <c r="T14" i="3" s="1"/>
  <c r="V14" i="3"/>
  <c r="W14" i="3"/>
  <c r="X14" i="3"/>
  <c r="AC14" i="3"/>
  <c r="M46" i="3"/>
  <c r="N46" i="3"/>
  <c r="U46" i="3"/>
  <c r="T46" i="3" s="1"/>
  <c r="V46" i="3"/>
  <c r="W46" i="3"/>
  <c r="X46" i="3"/>
  <c r="AC46" i="3"/>
  <c r="M36" i="3"/>
  <c r="N36" i="3"/>
  <c r="R36" i="3"/>
  <c r="U36" i="3"/>
  <c r="T36" i="3" s="1"/>
  <c r="V36" i="3"/>
  <c r="W36" i="3"/>
  <c r="X36" i="3"/>
  <c r="AC36" i="3"/>
  <c r="M38" i="3"/>
  <c r="N38" i="3"/>
  <c r="R38" i="3"/>
  <c r="S38" i="3"/>
  <c r="U38" i="3"/>
  <c r="T38" i="3" s="1"/>
  <c r="V38" i="3"/>
  <c r="W38" i="3"/>
  <c r="X38" i="3"/>
  <c r="AC38" i="3"/>
  <c r="M20" i="3"/>
  <c r="N20" i="3"/>
  <c r="R20" i="3"/>
  <c r="S20" i="3"/>
  <c r="U20" i="3"/>
  <c r="T20" i="3" s="1"/>
  <c r="V20" i="3"/>
  <c r="W20" i="3"/>
  <c r="X20" i="3"/>
  <c r="AC20" i="3"/>
  <c r="M45" i="3"/>
  <c r="N45" i="3"/>
  <c r="U45" i="3"/>
  <c r="T45" i="3" s="1"/>
  <c r="V45" i="3"/>
  <c r="W45" i="3"/>
  <c r="X45" i="3"/>
  <c r="AC45" i="3"/>
  <c r="M31" i="3"/>
  <c r="N31" i="3"/>
  <c r="S31" i="3"/>
  <c r="U31" i="3"/>
  <c r="T31" i="3" s="1"/>
  <c r="V31" i="3"/>
  <c r="W31" i="3"/>
  <c r="X31" i="3"/>
  <c r="AC31" i="3"/>
  <c r="M19" i="3"/>
  <c r="N19" i="3"/>
  <c r="U19" i="3"/>
  <c r="T19" i="3" s="1"/>
  <c r="V19" i="3"/>
  <c r="W19" i="3"/>
  <c r="X19" i="3"/>
  <c r="Y25" i="3" l="1"/>
  <c r="Y10" i="3"/>
  <c r="Y33" i="3"/>
  <c r="Y21" i="3"/>
  <c r="Y43" i="3"/>
  <c r="AC8" i="3"/>
  <c r="Y14" i="3"/>
  <c r="Y16" i="3"/>
  <c r="AD41" i="3"/>
  <c r="AD31" i="3"/>
  <c r="AD20" i="3"/>
  <c r="Y40" i="3"/>
  <c r="Y17" i="3"/>
  <c r="AD30" i="3"/>
  <c r="Y37" i="3"/>
  <c r="AD25" i="3"/>
  <c r="Y31" i="3"/>
  <c r="P163" i="1"/>
  <c r="AA250" i="1"/>
  <c r="AG230" i="1"/>
  <c r="AI230" i="1" s="1"/>
  <c r="AG216" i="1"/>
  <c r="AG235" i="1"/>
  <c r="W235" i="1" s="1"/>
  <c r="AI234" i="1"/>
  <c r="T249" i="1"/>
  <c r="U249" i="1" s="1"/>
  <c r="S249" i="1" s="1"/>
  <c r="AA248" i="1"/>
  <c r="T238" i="1"/>
  <c r="AA223" i="1"/>
  <c r="W223" i="1" s="1"/>
  <c r="AG222" i="1"/>
  <c r="AG227" i="1"/>
  <c r="AI227" i="1" s="1"/>
  <c r="AA216" i="1"/>
  <c r="AA215" i="1"/>
  <c r="X172" i="1"/>
  <c r="AI171" i="1"/>
  <c r="AG208" i="1"/>
  <c r="U208" i="1" s="1"/>
  <c r="AG202" i="1"/>
  <c r="W202" i="1" s="1"/>
  <c r="T196" i="1"/>
  <c r="X191" i="1"/>
  <c r="AA190" i="1"/>
  <c r="W190" i="1" s="1"/>
  <c r="AA189" i="1"/>
  <c r="AG204" i="1"/>
  <c r="AG196" i="1"/>
  <c r="U196" i="1" s="1"/>
  <c r="T200" i="1"/>
  <c r="U200" i="1" s="1"/>
  <c r="S200" i="1" s="1"/>
  <c r="AA188" i="1"/>
  <c r="AA187" i="1"/>
  <c r="AA174" i="1"/>
  <c r="AA173" i="1"/>
  <c r="T171" i="1"/>
  <c r="W66" i="1"/>
  <c r="AG35" i="1"/>
  <c r="AG27" i="1"/>
  <c r="AI21" i="1"/>
  <c r="AG16" i="1"/>
  <c r="AI16" i="1" s="1"/>
  <c r="T159" i="1"/>
  <c r="AA123" i="1"/>
  <c r="W123" i="1" s="1"/>
  <c r="AG118" i="1"/>
  <c r="X118" i="1"/>
  <c r="AG98" i="1"/>
  <c r="AI87" i="1"/>
  <c r="AG84" i="1"/>
  <c r="AI84" i="1" s="1"/>
  <c r="AG47" i="1"/>
  <c r="U47" i="1" s="1"/>
  <c r="S47" i="1" s="1"/>
  <c r="X45" i="1"/>
  <c r="AG23" i="1"/>
  <c r="AA161" i="1"/>
  <c r="AA155" i="1"/>
  <c r="T144" i="1"/>
  <c r="AA139" i="1"/>
  <c r="AA130" i="1"/>
  <c r="AG123" i="1"/>
  <c r="AI123" i="1" s="1"/>
  <c r="AA119" i="1"/>
  <c r="T118" i="1"/>
  <c r="X115" i="1"/>
  <c r="AA115" i="1"/>
  <c r="AA114" i="1"/>
  <c r="AG111" i="1"/>
  <c r="AI111" i="1" s="1"/>
  <c r="X111" i="1"/>
  <c r="AA110" i="1"/>
  <c r="W110" i="1" s="1"/>
  <c r="P107" i="1"/>
  <c r="AA103" i="1"/>
  <c r="W103" i="1" s="1"/>
  <c r="P93" i="1"/>
  <c r="AG89" i="1"/>
  <c r="U89" i="1" s="1"/>
  <c r="S89" i="1" s="1"/>
  <c r="X71" i="1"/>
  <c r="AA70" i="1"/>
  <c r="AA69" i="1"/>
  <c r="W69" i="1" s="1"/>
  <c r="AA68" i="1"/>
  <c r="AG66" i="1"/>
  <c r="AG37" i="1"/>
  <c r="X37" i="1"/>
  <c r="T32" i="1"/>
  <c r="U32" i="1" s="1"/>
  <c r="X28" i="1"/>
  <c r="AA27" i="1"/>
  <c r="W27" i="1" s="1"/>
  <c r="AA26" i="1"/>
  <c r="T21" i="1"/>
  <c r="U21" i="1" s="1"/>
  <c r="S21" i="1" s="1"/>
  <c r="AA17" i="1"/>
  <c r="AA16" i="1"/>
  <c r="AA15" i="1"/>
  <c r="AA14" i="1"/>
  <c r="P153" i="1"/>
  <c r="W111" i="1"/>
  <c r="W102" i="1"/>
  <c r="W171" i="1"/>
  <c r="AA252" i="1"/>
  <c r="T250" i="1"/>
  <c r="U250" i="1" s="1"/>
  <c r="S250" i="1" s="1"/>
  <c r="T245" i="1"/>
  <c r="U245" i="1" s="1"/>
  <c r="S245" i="1" s="1"/>
  <c r="AG240" i="1"/>
  <c r="AI238" i="1"/>
  <c r="AA237" i="1"/>
  <c r="T237" i="1"/>
  <c r="U237" i="1" s="1"/>
  <c r="S237" i="1" s="1"/>
  <c r="AA224" i="1"/>
  <c r="AA206" i="1"/>
  <c r="AA198" i="1"/>
  <c r="AA197" i="1"/>
  <c r="T197" i="1"/>
  <c r="U197" i="1" s="1"/>
  <c r="S197" i="1" s="1"/>
  <c r="AA186" i="1"/>
  <c r="W186" i="1" s="1"/>
  <c r="AA185" i="1"/>
  <c r="AA184" i="1"/>
  <c r="AA179" i="1"/>
  <c r="AG174" i="1"/>
  <c r="X167" i="1"/>
  <c r="T234" i="1"/>
  <c r="AG229" i="1"/>
  <c r="U229" i="1" s="1"/>
  <c r="S229" i="1" s="1"/>
  <c r="AG220" i="1"/>
  <c r="AA214" i="1"/>
  <c r="AA163" i="1"/>
  <c r="W163" i="1" s="1"/>
  <c r="T160" i="1"/>
  <c r="AA158" i="1"/>
  <c r="X156" i="1"/>
  <c r="AG153" i="1"/>
  <c r="U153" i="1" s="1"/>
  <c r="S153" i="1" s="1"/>
  <c r="AA151" i="1"/>
  <c r="T143" i="1"/>
  <c r="X140" i="1"/>
  <c r="T136" i="1"/>
  <c r="U136" i="1" s="1"/>
  <c r="S136" i="1" s="1"/>
  <c r="AA133" i="1"/>
  <c r="W133" i="1" s="1"/>
  <c r="T131" i="1"/>
  <c r="T122" i="1"/>
  <c r="X114" i="1"/>
  <c r="X106" i="1"/>
  <c r="X98" i="1"/>
  <c r="AA97" i="1"/>
  <c r="AA96" i="1"/>
  <c r="W96" i="1" s="1"/>
  <c r="AA95" i="1"/>
  <c r="X52" i="1"/>
  <c r="AA51" i="1"/>
  <c r="W51" i="1" s="1"/>
  <c r="AA49" i="1"/>
  <c r="W49" i="1" s="1"/>
  <c r="AA43" i="1"/>
  <c r="AA42" i="1"/>
  <c r="X41" i="1"/>
  <c r="X40" i="1"/>
  <c r="AA246" i="1"/>
  <c r="AA245" i="1"/>
  <c r="AA210" i="1"/>
  <c r="X196" i="1"/>
  <c r="X183" i="1"/>
  <c r="AA182" i="1"/>
  <c r="AA181" i="1"/>
  <c r="X179" i="1"/>
  <c r="AA178" i="1"/>
  <c r="AA177" i="1"/>
  <c r="AA176" i="1"/>
  <c r="AA234" i="1"/>
  <c r="W234" i="1" s="1"/>
  <c r="AA160" i="1"/>
  <c r="AA146" i="1"/>
  <c r="AA137" i="1"/>
  <c r="AA136" i="1"/>
  <c r="W119" i="1"/>
  <c r="X94" i="1"/>
  <c r="AA93" i="1"/>
  <c r="W93" i="1" s="1"/>
  <c r="AA92" i="1"/>
  <c r="AA91" i="1"/>
  <c r="X79" i="1"/>
  <c r="AA78" i="1"/>
  <c r="W78" i="1" s="1"/>
  <c r="AA77" i="1"/>
  <c r="AA76" i="1"/>
  <c r="AG74" i="1"/>
  <c r="AI74" i="1" s="1"/>
  <c r="T29" i="1"/>
  <c r="AA25" i="1"/>
  <c r="AA24" i="1"/>
  <c r="W24" i="1" s="1"/>
  <c r="T24" i="1"/>
  <c r="AA19" i="1"/>
  <c r="W19" i="1" s="1"/>
  <c r="AA18" i="1"/>
  <c r="W250" i="1"/>
  <c r="U123" i="1"/>
  <c r="AG51" i="1"/>
  <c r="X49" i="1"/>
  <c r="AG43" i="1"/>
  <c r="U43" i="1" s="1"/>
  <c r="S43" i="1" s="1"/>
  <c r="AG246" i="1"/>
  <c r="AI246" i="1" s="1"/>
  <c r="AA205" i="1"/>
  <c r="W205" i="1" s="1"/>
  <c r="AA200" i="1"/>
  <c r="AA199" i="1"/>
  <c r="X188" i="1"/>
  <c r="X187" i="1"/>
  <c r="AG182" i="1"/>
  <c r="AI182" i="1" s="1"/>
  <c r="T179" i="1"/>
  <c r="W231" i="1"/>
  <c r="W218" i="1"/>
  <c r="AG217" i="1"/>
  <c r="AI217" i="1" s="1"/>
  <c r="W216" i="1"/>
  <c r="AG212" i="1"/>
  <c r="AA149" i="1"/>
  <c r="AA148" i="1"/>
  <c r="W148" i="1" s="1"/>
  <c r="AA144" i="1"/>
  <c r="W144" i="1" s="1"/>
  <c r="AG141" i="1"/>
  <c r="AI141" i="1" s="1"/>
  <c r="AA134" i="1"/>
  <c r="AA128" i="1"/>
  <c r="AA120" i="1"/>
  <c r="AG115" i="1"/>
  <c r="AI115" i="1" s="1"/>
  <c r="AG107" i="1"/>
  <c r="W107" i="1" s="1"/>
  <c r="AG99" i="1"/>
  <c r="W99" i="1" s="1"/>
  <c r="AG93" i="1"/>
  <c r="X91" i="1"/>
  <c r="AA89" i="1"/>
  <c r="AA88" i="1"/>
  <c r="W88" i="1" s="1"/>
  <c r="AA87" i="1"/>
  <c r="W87" i="1" s="1"/>
  <c r="AG78" i="1"/>
  <c r="X76" i="1"/>
  <c r="AA74" i="1"/>
  <c r="W74" i="1" s="1"/>
  <c r="AA73" i="1"/>
  <c r="AA72" i="1"/>
  <c r="AG52" i="1"/>
  <c r="AI52" i="1" s="1"/>
  <c r="AA40" i="1"/>
  <c r="AG39" i="1"/>
  <c r="W39" i="1" s="1"/>
  <c r="AA37" i="1"/>
  <c r="W37" i="1" s="1"/>
  <c r="AG36" i="1"/>
  <c r="U36" i="1" s="1"/>
  <c r="S36" i="1" s="1"/>
  <c r="X36" i="1"/>
  <c r="AA35" i="1"/>
  <c r="AG32" i="1"/>
  <c r="W32" i="1" s="1"/>
  <c r="AG29" i="1"/>
  <c r="AG24" i="1"/>
  <c r="U24" i="1" s="1"/>
  <c r="AI242" i="1"/>
  <c r="W242" i="1"/>
  <c r="AA253" i="1"/>
  <c r="T253" i="1"/>
  <c r="U253" i="1" s="1"/>
  <c r="S253" i="1" s="1"/>
  <c r="AA251" i="1"/>
  <c r="W251" i="1" s="1"/>
  <c r="AG244" i="1"/>
  <c r="AI244" i="1" s="1"/>
  <c r="AA240" i="1"/>
  <c r="W240" i="1" s="1"/>
  <c r="W214" i="1"/>
  <c r="AA247" i="1"/>
  <c r="W247" i="1" s="1"/>
  <c r="T242" i="1"/>
  <c r="U242" i="1" s="1"/>
  <c r="S242" i="1" s="1"/>
  <c r="AA225" i="1"/>
  <c r="AG252" i="1"/>
  <c r="W224" i="1"/>
  <c r="AI250" i="1"/>
  <c r="AG248" i="1"/>
  <c r="U248" i="1" s="1"/>
  <c r="AA244" i="1"/>
  <c r="AA238" i="1"/>
  <c r="W238" i="1" s="1"/>
  <c r="T236" i="1"/>
  <c r="AG236" i="1"/>
  <c r="U236" i="1" s="1"/>
  <c r="AA236" i="1"/>
  <c r="AG226" i="1"/>
  <c r="W226" i="1" s="1"/>
  <c r="AG225" i="1"/>
  <c r="AI225" i="1" s="1"/>
  <c r="AG211" i="1"/>
  <c r="AI211" i="1" s="1"/>
  <c r="W206" i="1"/>
  <c r="AA222" i="1"/>
  <c r="W222" i="1" s="1"/>
  <c r="AA209" i="1"/>
  <c r="W209" i="1" s="1"/>
  <c r="AA208" i="1"/>
  <c r="W208" i="1" s="1"/>
  <c r="AA207" i="1"/>
  <c r="U206" i="1"/>
  <c r="X201" i="1"/>
  <c r="AG198" i="1"/>
  <c r="U198" i="1" s="1"/>
  <c r="S198" i="1" s="1"/>
  <c r="AA196" i="1"/>
  <c r="AG195" i="1"/>
  <c r="AI195" i="1" s="1"/>
  <c r="X195" i="1"/>
  <c r="AA191" i="1"/>
  <c r="T191" i="1"/>
  <c r="AG188" i="1"/>
  <c r="U188" i="1" s="1"/>
  <c r="S188" i="1" s="1"/>
  <c r="AG187" i="1"/>
  <c r="AI187" i="1" s="1"/>
  <c r="AA183" i="1"/>
  <c r="T183" i="1"/>
  <c r="AG180" i="1"/>
  <c r="U180" i="1" s="1"/>
  <c r="S180" i="1" s="1"/>
  <c r="AG179" i="1"/>
  <c r="AI179" i="1" s="1"/>
  <c r="AA175" i="1"/>
  <c r="T175" i="1"/>
  <c r="AG172" i="1"/>
  <c r="U172" i="1" s="1"/>
  <c r="S172" i="1" s="1"/>
  <c r="X171" i="1"/>
  <c r="AA167" i="1"/>
  <c r="T167" i="1"/>
  <c r="U235" i="1"/>
  <c r="S235" i="1" s="1"/>
  <c r="AA230" i="1"/>
  <c r="U227" i="1"/>
  <c r="AA220" i="1"/>
  <c r="W220" i="1" s="1"/>
  <c r="AA219" i="1"/>
  <c r="AA212" i="1"/>
  <c r="W212" i="1" s="1"/>
  <c r="AA164" i="1"/>
  <c r="X160" i="1"/>
  <c r="AG157" i="1"/>
  <c r="AI157" i="1" s="1"/>
  <c r="W155" i="1"/>
  <c r="AA154" i="1"/>
  <c r="AA152" i="1"/>
  <c r="T152" i="1"/>
  <c r="T147" i="1"/>
  <c r="U147" i="1" s="1"/>
  <c r="S147" i="1" s="1"/>
  <c r="X144" i="1"/>
  <c r="W139" i="1"/>
  <c r="AA138" i="1"/>
  <c r="AI133" i="1"/>
  <c r="W131" i="1"/>
  <c r="AG126" i="1"/>
  <c r="T109" i="1"/>
  <c r="X110" i="1"/>
  <c r="AG109" i="1"/>
  <c r="T101" i="1"/>
  <c r="X102" i="1"/>
  <c r="AG101" i="1"/>
  <c r="AI101" i="1" s="1"/>
  <c r="T192" i="1"/>
  <c r="T184" i="1"/>
  <c r="T176" i="1"/>
  <c r="T168" i="1"/>
  <c r="AA232" i="1"/>
  <c r="T231" i="1"/>
  <c r="U231" i="1" s="1"/>
  <c r="S231" i="1" s="1"/>
  <c r="AA221" i="1"/>
  <c r="T221" i="1"/>
  <c r="U218" i="1"/>
  <c r="S218" i="1" s="1"/>
  <c r="AA213" i="1"/>
  <c r="T213" i="1"/>
  <c r="U163" i="1"/>
  <c r="AA132" i="1"/>
  <c r="X127" i="1"/>
  <c r="AG127" i="1"/>
  <c r="W127" i="1" s="1"/>
  <c r="U122" i="1"/>
  <c r="S122" i="1" s="1"/>
  <c r="AI119" i="1"/>
  <c r="AI49" i="1"/>
  <c r="AA204" i="1"/>
  <c r="W204" i="1" s="1"/>
  <c r="AA203" i="1"/>
  <c r="AA201" i="1"/>
  <c r="W201" i="1" s="1"/>
  <c r="T201" i="1"/>
  <c r="U201" i="1" s="1"/>
  <c r="S201" i="1" s="1"/>
  <c r="AA195" i="1"/>
  <c r="W195" i="1" s="1"/>
  <c r="AG192" i="1"/>
  <c r="AG191" i="1"/>
  <c r="AI191" i="1" s="1"/>
  <c r="W188" i="1"/>
  <c r="W187" i="1"/>
  <c r="AG184" i="1"/>
  <c r="AG183" i="1"/>
  <c r="AI183" i="1" s="1"/>
  <c r="W180" i="1"/>
  <c r="W179" i="1"/>
  <c r="AG176" i="1"/>
  <c r="AG175" i="1"/>
  <c r="AI175" i="1" s="1"/>
  <c r="W172" i="1"/>
  <c r="AG168" i="1"/>
  <c r="U168" i="1" s="1"/>
  <c r="S168" i="1" s="1"/>
  <c r="AG167" i="1"/>
  <c r="AI167" i="1" s="1"/>
  <c r="T214" i="1"/>
  <c r="U214" i="1" s="1"/>
  <c r="S214" i="1" s="1"/>
  <c r="W157" i="1"/>
  <c r="X152" i="1"/>
  <c r="AG151" i="1"/>
  <c r="W151" i="1" s="1"/>
  <c r="AG149" i="1"/>
  <c r="AA147" i="1"/>
  <c r="W147" i="1" s="1"/>
  <c r="AA135" i="1"/>
  <c r="AG132" i="1"/>
  <c r="X132" i="1"/>
  <c r="AA126" i="1"/>
  <c r="W126" i="1" s="1"/>
  <c r="AA125" i="1"/>
  <c r="AA124" i="1"/>
  <c r="X123" i="1"/>
  <c r="W115" i="1"/>
  <c r="AI41" i="1"/>
  <c r="X205" i="1"/>
  <c r="U204" i="1"/>
  <c r="W200" i="1"/>
  <c r="AG178" i="1"/>
  <c r="W178" i="1" s="1"/>
  <c r="W174" i="1"/>
  <c r="AG170" i="1"/>
  <c r="W170" i="1" s="1"/>
  <c r="AA166" i="1"/>
  <c r="W166" i="1" s="1"/>
  <c r="AA165" i="1"/>
  <c r="AG233" i="1"/>
  <c r="AI233" i="1" s="1"/>
  <c r="AA229" i="1"/>
  <c r="W229" i="1" s="1"/>
  <c r="AA228" i="1"/>
  <c r="AA227" i="1"/>
  <c r="W227" i="1" s="1"/>
  <c r="AG221" i="1"/>
  <c r="AI221" i="1" s="1"/>
  <c r="AA217" i="1"/>
  <c r="W217" i="1" s="1"/>
  <c r="AG213" i="1"/>
  <c r="AI163" i="1"/>
  <c r="AG161" i="1"/>
  <c r="AA159" i="1"/>
  <c r="W159" i="1" s="1"/>
  <c r="AA156" i="1"/>
  <c r="W156" i="1" s="1"/>
  <c r="T156" i="1"/>
  <c r="U156" i="1" s="1"/>
  <c r="S156" i="1" s="1"/>
  <c r="X148" i="1"/>
  <c r="AG145" i="1"/>
  <c r="AI145" i="1" s="1"/>
  <c r="AA143" i="1"/>
  <c r="W143" i="1" s="1"/>
  <c r="AA140" i="1"/>
  <c r="W140" i="1" s="1"/>
  <c r="T140" i="1"/>
  <c r="AG137" i="1"/>
  <c r="X136" i="1"/>
  <c r="AG135" i="1"/>
  <c r="T129" i="1"/>
  <c r="AG129" i="1"/>
  <c r="AI129" i="1" s="1"/>
  <c r="AA129" i="1"/>
  <c r="AG128" i="1"/>
  <c r="X128" i="1"/>
  <c r="U126" i="1"/>
  <c r="S126" i="1" s="1"/>
  <c r="X126" i="1"/>
  <c r="T117" i="1"/>
  <c r="AG117" i="1"/>
  <c r="AI117" i="1" s="1"/>
  <c r="AI107" i="1"/>
  <c r="AA117" i="1"/>
  <c r="W117" i="1" s="1"/>
  <c r="AA116" i="1"/>
  <c r="T115" i="1"/>
  <c r="U115" i="1" s="1"/>
  <c r="S115" i="1" s="1"/>
  <c r="AG113" i="1"/>
  <c r="U113" i="1" s="1"/>
  <c r="S113" i="1" s="1"/>
  <c r="AA109" i="1"/>
  <c r="W109" i="1" s="1"/>
  <c r="AA108" i="1"/>
  <c r="T107" i="1"/>
  <c r="AG105" i="1"/>
  <c r="U105" i="1" s="1"/>
  <c r="AA101" i="1"/>
  <c r="W101" i="1" s="1"/>
  <c r="AA100" i="1"/>
  <c r="W100" i="1" s="1"/>
  <c r="T99" i="1"/>
  <c r="AA94" i="1"/>
  <c r="T94" i="1"/>
  <c r="AG91" i="1"/>
  <c r="AG90" i="1"/>
  <c r="X90" i="1"/>
  <c r="T87" i="1"/>
  <c r="U87" i="1" s="1"/>
  <c r="S87" i="1" s="1"/>
  <c r="X84" i="1"/>
  <c r="AG83" i="1"/>
  <c r="U83" i="1" s="1"/>
  <c r="X83" i="1"/>
  <c r="AA79" i="1"/>
  <c r="T79" i="1"/>
  <c r="AG76" i="1"/>
  <c r="AG75" i="1"/>
  <c r="U75" i="1" s="1"/>
  <c r="S75" i="1" s="1"/>
  <c r="X75" i="1"/>
  <c r="AA71" i="1"/>
  <c r="T71" i="1"/>
  <c r="AG68" i="1"/>
  <c r="AG67" i="1"/>
  <c r="U67" i="1" s="1"/>
  <c r="S67" i="1" s="1"/>
  <c r="X67" i="1"/>
  <c r="AA63" i="1"/>
  <c r="AA59" i="1"/>
  <c r="AA55" i="1"/>
  <c r="AG50" i="1"/>
  <c r="AA48" i="1"/>
  <c r="T48" i="1"/>
  <c r="AG45" i="1"/>
  <c r="W45" i="1" s="1"/>
  <c r="AG44" i="1"/>
  <c r="U44" i="1" s="1"/>
  <c r="X44" i="1"/>
  <c r="W41" i="1"/>
  <c r="U37" i="1"/>
  <c r="S37" i="1" s="1"/>
  <c r="U99" i="1"/>
  <c r="S99" i="1" s="1"/>
  <c r="T95" i="1"/>
  <c r="T80" i="1"/>
  <c r="T72" i="1"/>
  <c r="T64" i="1"/>
  <c r="T60" i="1"/>
  <c r="T56" i="1"/>
  <c r="T49" i="1"/>
  <c r="U49" i="1" s="1"/>
  <c r="S49" i="1" s="1"/>
  <c r="W43" i="1"/>
  <c r="T41" i="1"/>
  <c r="U41" i="1" s="1"/>
  <c r="S41" i="1" s="1"/>
  <c r="W35" i="1"/>
  <c r="AA34" i="1"/>
  <c r="AG31" i="1"/>
  <c r="U31" i="1" s="1"/>
  <c r="S31" i="1" s="1"/>
  <c r="AA28" i="1"/>
  <c r="T28" i="1"/>
  <c r="AG25" i="1"/>
  <c r="W25" i="1" s="1"/>
  <c r="X25" i="1"/>
  <c r="AA23" i="1"/>
  <c r="AA22" i="1"/>
  <c r="AA21" i="1"/>
  <c r="W21" i="1" s="1"/>
  <c r="AG20" i="1"/>
  <c r="U20" i="1" s="1"/>
  <c r="AG17" i="1"/>
  <c r="W17" i="1" s="1"/>
  <c r="X17" i="1"/>
  <c r="AA113" i="1"/>
  <c r="AA112" i="1"/>
  <c r="W112" i="1" s="1"/>
  <c r="AA105" i="1"/>
  <c r="AA104" i="1"/>
  <c r="W104" i="1" s="1"/>
  <c r="AG95" i="1"/>
  <c r="W95" i="1" s="1"/>
  <c r="AG94" i="1"/>
  <c r="AI94" i="1" s="1"/>
  <c r="AA90" i="1"/>
  <c r="AA85" i="1"/>
  <c r="AG80" i="1"/>
  <c r="AG79" i="1"/>
  <c r="AI79" i="1" s="1"/>
  <c r="AA75" i="1"/>
  <c r="AG72" i="1"/>
  <c r="AG71" i="1"/>
  <c r="U71" i="1" s="1"/>
  <c r="S71" i="1" s="1"/>
  <c r="AA67" i="1"/>
  <c r="AG64" i="1"/>
  <c r="W64" i="1" s="1"/>
  <c r="AG63" i="1"/>
  <c r="AG60" i="1"/>
  <c r="AG59" i="1"/>
  <c r="U59" i="1" s="1"/>
  <c r="S59" i="1" s="1"/>
  <c r="AG56" i="1"/>
  <c r="W56" i="1" s="1"/>
  <c r="AG55" i="1"/>
  <c r="AA53" i="1"/>
  <c r="W53" i="1" s="1"/>
  <c r="AA50" i="1"/>
  <c r="W50" i="1" s="1"/>
  <c r="AG48" i="1"/>
  <c r="AA44" i="1"/>
  <c r="W44" i="1" s="1"/>
  <c r="AG40" i="1"/>
  <c r="U40" i="1" s="1"/>
  <c r="AI37" i="1"/>
  <c r="AA36" i="1"/>
  <c r="U33" i="1"/>
  <c r="S33" i="1" s="1"/>
  <c r="AI29" i="1"/>
  <c r="X21" i="1"/>
  <c r="W16" i="1"/>
  <c r="W114" i="1"/>
  <c r="U111" i="1"/>
  <c r="S111" i="1" s="1"/>
  <c r="W106" i="1"/>
  <c r="U103" i="1"/>
  <c r="S103" i="1" s="1"/>
  <c r="W98" i="1"/>
  <c r="X87" i="1"/>
  <c r="W70" i="1"/>
  <c r="AA38" i="1"/>
  <c r="AA31" i="1"/>
  <c r="AA30" i="1"/>
  <c r="AA29" i="1"/>
  <c r="W29" i="1" s="1"/>
  <c r="AG28" i="1"/>
  <c r="AA20" i="1"/>
  <c r="U252" i="1"/>
  <c r="AI249" i="1"/>
  <c r="AI247" i="1"/>
  <c r="W245" i="1"/>
  <c r="W243" i="1"/>
  <c r="S206" i="1"/>
  <c r="AI245" i="1"/>
  <c r="AI243" i="1"/>
  <c r="W241" i="1"/>
  <c r="W239" i="1"/>
  <c r="W237" i="1"/>
  <c r="W253" i="1"/>
  <c r="U244" i="1"/>
  <c r="S244" i="1" s="1"/>
  <c r="AI241" i="1"/>
  <c r="U241" i="1"/>
  <c r="S241" i="1" s="1"/>
  <c r="AI239" i="1"/>
  <c r="AI237" i="1"/>
  <c r="AI235" i="1"/>
  <c r="U211" i="1"/>
  <c r="S211" i="1" s="1"/>
  <c r="AI253" i="1"/>
  <c r="AI251" i="1"/>
  <c r="W249" i="1"/>
  <c r="U240" i="1"/>
  <c r="S240" i="1" s="1"/>
  <c r="AI252" i="1"/>
  <c r="S252" i="1"/>
  <c r="T251" i="1"/>
  <c r="U251" i="1" s="1"/>
  <c r="S251" i="1" s="1"/>
  <c r="S248" i="1"/>
  <c r="T247" i="1"/>
  <c r="U247" i="1" s="1"/>
  <c r="S247" i="1" s="1"/>
  <c r="T243" i="1"/>
  <c r="U243" i="1" s="1"/>
  <c r="S243" i="1" s="1"/>
  <c r="AI240" i="1"/>
  <c r="T239" i="1"/>
  <c r="U239" i="1" s="1"/>
  <c r="S239" i="1" s="1"/>
  <c r="U238" i="1"/>
  <c r="S238" i="1" s="1"/>
  <c r="AI236" i="1"/>
  <c r="T226" i="1"/>
  <c r="U222" i="1"/>
  <c r="S222" i="1" s="1"/>
  <c r="T210" i="1"/>
  <c r="AG207" i="1"/>
  <c r="AI207" i="1" s="1"/>
  <c r="X208" i="1"/>
  <c r="T224" i="1"/>
  <c r="U224" i="1" s="1"/>
  <c r="S224" i="1" s="1"/>
  <c r="AA211" i="1"/>
  <c r="W211" i="1" s="1"/>
  <c r="AG210" i="1"/>
  <c r="T209" i="1"/>
  <c r="U209" i="1" s="1"/>
  <c r="S209" i="1" s="1"/>
  <c r="X207" i="1"/>
  <c r="U205" i="1"/>
  <c r="S205" i="1" s="1"/>
  <c r="AI224" i="1"/>
  <c r="W225" i="1"/>
  <c r="U225" i="1"/>
  <c r="S225" i="1" s="1"/>
  <c r="U202" i="1"/>
  <c r="S202" i="1" s="1"/>
  <c r="AI220" i="1"/>
  <c r="W197" i="1"/>
  <c r="U223" i="1"/>
  <c r="S223" i="1" s="1"/>
  <c r="X209" i="1"/>
  <c r="T207" i="1"/>
  <c r="AI216" i="1"/>
  <c r="X204" i="1"/>
  <c r="AG203" i="1"/>
  <c r="AI203" i="1" s="1"/>
  <c r="X200" i="1"/>
  <c r="AG199" i="1"/>
  <c r="U195" i="1"/>
  <c r="S195" i="1" s="1"/>
  <c r="U183" i="1"/>
  <c r="S183" i="1" s="1"/>
  <c r="U179" i="1"/>
  <c r="S179" i="1" s="1"/>
  <c r="U171" i="1"/>
  <c r="S171" i="1" s="1"/>
  <c r="U167" i="1"/>
  <c r="S167" i="1" s="1"/>
  <c r="U234" i="1"/>
  <c r="S234" i="1" s="1"/>
  <c r="U230" i="1"/>
  <c r="S230" i="1" s="1"/>
  <c r="U217" i="1"/>
  <c r="S217" i="1" s="1"/>
  <c r="U213" i="1"/>
  <c r="S213" i="1" s="1"/>
  <c r="W160" i="1"/>
  <c r="AI152" i="1"/>
  <c r="U152" i="1"/>
  <c r="S152" i="1" s="1"/>
  <c r="AI136" i="1"/>
  <c r="W132" i="1"/>
  <c r="AI223" i="1"/>
  <c r="S204" i="1"/>
  <c r="X203" i="1"/>
  <c r="X199" i="1"/>
  <c r="S196" i="1"/>
  <c r="U194" i="1"/>
  <c r="S194" i="1" s="1"/>
  <c r="U190" i="1"/>
  <c r="S190" i="1" s="1"/>
  <c r="U186" i="1"/>
  <c r="S186" i="1" s="1"/>
  <c r="U178" i="1"/>
  <c r="S178" i="1" s="1"/>
  <c r="U174" i="1"/>
  <c r="S174" i="1" s="1"/>
  <c r="U170" i="1"/>
  <c r="S170" i="1" s="1"/>
  <c r="U166" i="1"/>
  <c r="S166" i="1" s="1"/>
  <c r="S227" i="1"/>
  <c r="U220" i="1"/>
  <c r="S220" i="1" s="1"/>
  <c r="U216" i="1"/>
  <c r="S216" i="1" s="1"/>
  <c r="U212" i="1"/>
  <c r="S212" i="1" s="1"/>
  <c r="AI160" i="1"/>
  <c r="U160" i="1"/>
  <c r="S160" i="1" s="1"/>
  <c r="AI148" i="1"/>
  <c r="U148" i="1"/>
  <c r="S148" i="1" s="1"/>
  <c r="AI132" i="1"/>
  <c r="U132" i="1"/>
  <c r="S132" i="1" s="1"/>
  <c r="AI128" i="1"/>
  <c r="U128" i="1"/>
  <c r="S128" i="1" s="1"/>
  <c r="X206" i="1"/>
  <c r="X202" i="1"/>
  <c r="X198" i="1"/>
  <c r="AI214" i="1"/>
  <c r="X194" i="1"/>
  <c r="AG193" i="1"/>
  <c r="AI210" i="1"/>
  <c r="X190" i="1"/>
  <c r="AG189" i="1"/>
  <c r="W189" i="1" s="1"/>
  <c r="AI206" i="1"/>
  <c r="X186" i="1"/>
  <c r="AG185" i="1"/>
  <c r="AI185" i="1" s="1"/>
  <c r="AI202" i="1"/>
  <c r="X182" i="1"/>
  <c r="AG181" i="1"/>
  <c r="W181" i="1" s="1"/>
  <c r="X178" i="1"/>
  <c r="AG177" i="1"/>
  <c r="AI177" i="1" s="1"/>
  <c r="AI194" i="1"/>
  <c r="X174" i="1"/>
  <c r="AG173" i="1"/>
  <c r="AI190" i="1"/>
  <c r="X170" i="1"/>
  <c r="AG169" i="1"/>
  <c r="AI169" i="1" s="1"/>
  <c r="AI186" i="1"/>
  <c r="X166" i="1"/>
  <c r="AG165" i="1"/>
  <c r="W165" i="1" s="1"/>
  <c r="AG232" i="1"/>
  <c r="AI232" i="1" s="1"/>
  <c r="AI178" i="1"/>
  <c r="AG228" i="1"/>
  <c r="AI174" i="1"/>
  <c r="AG219" i="1"/>
  <c r="AI219" i="1" s="1"/>
  <c r="AI170" i="1"/>
  <c r="AG215" i="1"/>
  <c r="AI215" i="1" s="1"/>
  <c r="AI166" i="1"/>
  <c r="AG164" i="1"/>
  <c r="AI159" i="1"/>
  <c r="U145" i="1"/>
  <c r="S145" i="1" s="1"/>
  <c r="AI144" i="1"/>
  <c r="U144" i="1"/>
  <c r="S144" i="1" s="1"/>
  <c r="U129" i="1"/>
  <c r="S129" i="1" s="1"/>
  <c r="AI213" i="1"/>
  <c r="X193" i="1"/>
  <c r="AI209" i="1"/>
  <c r="X189" i="1"/>
  <c r="AI205" i="1"/>
  <c r="X185" i="1"/>
  <c r="AI201" i="1"/>
  <c r="X181" i="1"/>
  <c r="AI197" i="1"/>
  <c r="X177" i="1"/>
  <c r="AI193" i="1"/>
  <c r="X173" i="1"/>
  <c r="AI189" i="1"/>
  <c r="X169" i="1"/>
  <c r="X165" i="1"/>
  <c r="AI181" i="1"/>
  <c r="AI173" i="1"/>
  <c r="X164" i="1"/>
  <c r="T162" i="1"/>
  <c r="X162" i="1"/>
  <c r="AG162" i="1"/>
  <c r="X163" i="1"/>
  <c r="U159" i="1"/>
  <c r="S159" i="1" s="1"/>
  <c r="AI156" i="1"/>
  <c r="W152" i="1"/>
  <c r="AI140" i="1"/>
  <c r="U140" i="1"/>
  <c r="S140" i="1" s="1"/>
  <c r="W136" i="1"/>
  <c r="X161" i="1"/>
  <c r="X157" i="1"/>
  <c r="X153" i="1"/>
  <c r="X149" i="1"/>
  <c r="X145" i="1"/>
  <c r="X141" i="1"/>
  <c r="X137" i="1"/>
  <c r="X133" i="1"/>
  <c r="X129" i="1"/>
  <c r="AI126" i="1"/>
  <c r="AA122" i="1"/>
  <c r="W122" i="1" s="1"/>
  <c r="AA121" i="1"/>
  <c r="AG120" i="1"/>
  <c r="W120" i="1" s="1"/>
  <c r="T120" i="1"/>
  <c r="X120" i="1"/>
  <c r="W116" i="1"/>
  <c r="W108" i="1"/>
  <c r="AI92" i="1"/>
  <c r="U155" i="1"/>
  <c r="U151" i="1"/>
  <c r="S151" i="1" s="1"/>
  <c r="U143" i="1"/>
  <c r="S143" i="1" s="1"/>
  <c r="U139" i="1"/>
  <c r="S139" i="1" s="1"/>
  <c r="U135" i="1"/>
  <c r="S135" i="1" s="1"/>
  <c r="U131" i="1"/>
  <c r="S131" i="1" s="1"/>
  <c r="U127" i="1"/>
  <c r="S127" i="1" s="1"/>
  <c r="T125" i="1"/>
  <c r="X125" i="1"/>
  <c r="AG124" i="1"/>
  <c r="T124" i="1"/>
  <c r="X124" i="1"/>
  <c r="T121" i="1"/>
  <c r="X121" i="1"/>
  <c r="AI118" i="1"/>
  <c r="AI116" i="1"/>
  <c r="AI108" i="1"/>
  <c r="AI100" i="1"/>
  <c r="U93" i="1"/>
  <c r="X159" i="1"/>
  <c r="AG158" i="1"/>
  <c r="X155" i="1"/>
  <c r="AG154" i="1"/>
  <c r="X151" i="1"/>
  <c r="AG150" i="1"/>
  <c r="X147" i="1"/>
  <c r="AG146" i="1"/>
  <c r="X143" i="1"/>
  <c r="AG142" i="1"/>
  <c r="W142" i="1" s="1"/>
  <c r="X139" i="1"/>
  <c r="AG138" i="1"/>
  <c r="W138" i="1" s="1"/>
  <c r="X135" i="1"/>
  <c r="AG134" i="1"/>
  <c r="X131" i="1"/>
  <c r="AG130" i="1"/>
  <c r="W130" i="1" s="1"/>
  <c r="AG125" i="1"/>
  <c r="AI122" i="1"/>
  <c r="X122" i="1"/>
  <c r="AG121" i="1"/>
  <c r="U109" i="1"/>
  <c r="S109" i="1" s="1"/>
  <c r="U101" i="1"/>
  <c r="AI96" i="1"/>
  <c r="AI88" i="1"/>
  <c r="X158" i="1"/>
  <c r="AI155" i="1"/>
  <c r="X154" i="1"/>
  <c r="AI151" i="1"/>
  <c r="X150" i="1"/>
  <c r="AI147" i="1"/>
  <c r="X146" i="1"/>
  <c r="AI143" i="1"/>
  <c r="X142" i="1"/>
  <c r="AI139" i="1"/>
  <c r="X138" i="1"/>
  <c r="AI135" i="1"/>
  <c r="X134" i="1"/>
  <c r="AI131" i="1"/>
  <c r="X130" i="1"/>
  <c r="AA118" i="1"/>
  <c r="W118" i="1" s="1"/>
  <c r="U118" i="1"/>
  <c r="S118" i="1" s="1"/>
  <c r="AI112" i="1"/>
  <c r="AI104" i="1"/>
  <c r="W92" i="1"/>
  <c r="X116" i="1"/>
  <c r="T116" i="1"/>
  <c r="U116" i="1" s="1"/>
  <c r="S116" i="1" s="1"/>
  <c r="AI113" i="1"/>
  <c r="X112" i="1"/>
  <c r="T112" i="1"/>
  <c r="U112" i="1" s="1"/>
  <c r="S112" i="1" s="1"/>
  <c r="AI109" i="1"/>
  <c r="X108" i="1"/>
  <c r="T108" i="1"/>
  <c r="U108" i="1" s="1"/>
  <c r="S108" i="1" s="1"/>
  <c r="S105" i="1"/>
  <c r="X104" i="1"/>
  <c r="T104" i="1"/>
  <c r="U104" i="1" s="1"/>
  <c r="S104" i="1" s="1"/>
  <c r="X100" i="1"/>
  <c r="T100" i="1"/>
  <c r="U100" i="1" s="1"/>
  <c r="S100" i="1" s="1"/>
  <c r="X96" i="1"/>
  <c r="T96" i="1"/>
  <c r="U96" i="1" s="1"/>
  <c r="S96" i="1" s="1"/>
  <c r="AI93" i="1"/>
  <c r="X92" i="1"/>
  <c r="T92" i="1"/>
  <c r="U92" i="1" s="1"/>
  <c r="S92" i="1" s="1"/>
  <c r="X88" i="1"/>
  <c r="T88" i="1"/>
  <c r="U88" i="1" s="1"/>
  <c r="AA83" i="1"/>
  <c r="W83" i="1" s="1"/>
  <c r="W82" i="1"/>
  <c r="AI77" i="1"/>
  <c r="AI69" i="1"/>
  <c r="U114" i="1"/>
  <c r="S114" i="1" s="1"/>
  <c r="U110" i="1"/>
  <c r="S110" i="1" s="1"/>
  <c r="U106" i="1"/>
  <c r="S106" i="1" s="1"/>
  <c r="U102" i="1"/>
  <c r="S102" i="1" s="1"/>
  <c r="U98" i="1"/>
  <c r="S98" i="1" s="1"/>
  <c r="U90" i="1"/>
  <c r="S90" i="1" s="1"/>
  <c r="AA86" i="1"/>
  <c r="AG85" i="1"/>
  <c r="W85" i="1" s="1"/>
  <c r="T85" i="1"/>
  <c r="X85" i="1"/>
  <c r="T82" i="1"/>
  <c r="U82" i="1" s="1"/>
  <c r="S82" i="1" s="1"/>
  <c r="X82" i="1"/>
  <c r="W81" i="1"/>
  <c r="U78" i="1"/>
  <c r="S78" i="1" s="1"/>
  <c r="W73" i="1"/>
  <c r="U70" i="1"/>
  <c r="S70" i="1" s="1"/>
  <c r="W65" i="1"/>
  <c r="W61" i="1"/>
  <c r="W57" i="1"/>
  <c r="AG97" i="1"/>
  <c r="T86" i="1"/>
  <c r="X86" i="1"/>
  <c r="AI83" i="1"/>
  <c r="AI82" i="1"/>
  <c r="AI81" i="1"/>
  <c r="AI73" i="1"/>
  <c r="AI65" i="1"/>
  <c r="AI61" i="1"/>
  <c r="AI57" i="1"/>
  <c r="X117" i="1"/>
  <c r="AI114" i="1"/>
  <c r="X113" i="1"/>
  <c r="AI110" i="1"/>
  <c r="X109" i="1"/>
  <c r="AI106" i="1"/>
  <c r="X105" i="1"/>
  <c r="AI102" i="1"/>
  <c r="X101" i="1"/>
  <c r="AI98" i="1"/>
  <c r="X97" i="1"/>
  <c r="X93" i="1"/>
  <c r="AI90" i="1"/>
  <c r="X89" i="1"/>
  <c r="AG86" i="1"/>
  <c r="W77" i="1"/>
  <c r="U74" i="1"/>
  <c r="S74" i="1" s="1"/>
  <c r="U66" i="1"/>
  <c r="S66" i="1" s="1"/>
  <c r="AI53" i="1"/>
  <c r="X81" i="1"/>
  <c r="T81" i="1"/>
  <c r="U81" i="1" s="1"/>
  <c r="S81" i="1" s="1"/>
  <c r="AI78" i="1"/>
  <c r="X77" i="1"/>
  <c r="T77" i="1"/>
  <c r="U77" i="1" s="1"/>
  <c r="S77" i="1" s="1"/>
  <c r="X73" i="1"/>
  <c r="T73" i="1"/>
  <c r="U73" i="1" s="1"/>
  <c r="S73" i="1" s="1"/>
  <c r="AI70" i="1"/>
  <c r="X69" i="1"/>
  <c r="T69" i="1"/>
  <c r="U69" i="1" s="1"/>
  <c r="S69" i="1" s="1"/>
  <c r="AI66" i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U79" i="1"/>
  <c r="S79" i="1" s="1"/>
  <c r="U63" i="1"/>
  <c r="S63" i="1" s="1"/>
  <c r="U55" i="1"/>
  <c r="S55" i="1" s="1"/>
  <c r="X63" i="1"/>
  <c r="AG62" i="1"/>
  <c r="W62" i="1" s="1"/>
  <c r="X59" i="1"/>
  <c r="AG58" i="1"/>
  <c r="X55" i="1"/>
  <c r="AG54" i="1"/>
  <c r="W54" i="1" s="1"/>
  <c r="AI51" i="1"/>
  <c r="X78" i="1"/>
  <c r="AI75" i="1"/>
  <c r="X74" i="1"/>
  <c r="X70" i="1"/>
  <c r="AI67" i="1"/>
  <c r="X66" i="1"/>
  <c r="AI63" i="1"/>
  <c r="X62" i="1"/>
  <c r="AI59" i="1"/>
  <c r="X58" i="1"/>
  <c r="AI55" i="1"/>
  <c r="X54" i="1"/>
  <c r="U51" i="1"/>
  <c r="S51" i="1" s="1"/>
  <c r="U39" i="1"/>
  <c r="S39" i="1" s="1"/>
  <c r="U35" i="1"/>
  <c r="S35" i="1" s="1"/>
  <c r="U27" i="1"/>
  <c r="S27" i="1" s="1"/>
  <c r="U23" i="1"/>
  <c r="S23" i="1" s="1"/>
  <c r="X20" i="1"/>
  <c r="U19" i="1"/>
  <c r="S19" i="1" s="1"/>
  <c r="X16" i="1"/>
  <c r="AG15" i="1"/>
  <c r="X51" i="1"/>
  <c r="U50" i="1"/>
  <c r="S50" i="1" s="1"/>
  <c r="AI48" i="1"/>
  <c r="X47" i="1"/>
  <c r="AG46" i="1"/>
  <c r="W46" i="1" s="1"/>
  <c r="AI44" i="1"/>
  <c r="S44" i="1"/>
  <c r="X43" i="1"/>
  <c r="AG42" i="1"/>
  <c r="W42" i="1" s="1"/>
  <c r="AI40" i="1"/>
  <c r="S40" i="1"/>
  <c r="X39" i="1"/>
  <c r="AG38" i="1"/>
  <c r="AI36" i="1"/>
  <c r="X35" i="1"/>
  <c r="AG34" i="1"/>
  <c r="AI32" i="1"/>
  <c r="X31" i="1"/>
  <c r="AG30" i="1"/>
  <c r="AI28" i="1"/>
  <c r="X27" i="1"/>
  <c r="AG26" i="1"/>
  <c r="X23" i="1"/>
  <c r="AG22" i="1"/>
  <c r="X19" i="1"/>
  <c r="AG18" i="1"/>
  <c r="W18" i="1" s="1"/>
  <c r="X15" i="1"/>
  <c r="AG14" i="1"/>
  <c r="X50" i="1"/>
  <c r="X46" i="1"/>
  <c r="AI43" i="1"/>
  <c r="X42" i="1"/>
  <c r="AI39" i="1"/>
  <c r="X38" i="1"/>
  <c r="AI35" i="1"/>
  <c r="X34" i="1"/>
  <c r="X30" i="1"/>
  <c r="AI27" i="1"/>
  <c r="X26" i="1"/>
  <c r="AI23" i="1"/>
  <c r="X22" i="1"/>
  <c r="AI19" i="1"/>
  <c r="X18" i="1"/>
  <c r="AI50" i="1"/>
  <c r="Y20" i="3"/>
  <c r="AD36" i="3"/>
  <c r="Y8" i="3"/>
  <c r="Y30" i="3"/>
  <c r="Y24" i="3"/>
  <c r="AD23" i="3"/>
  <c r="Y9" i="3"/>
  <c r="AD15" i="3"/>
  <c r="AC19" i="3"/>
  <c r="AD8" i="3"/>
  <c r="AD24" i="3"/>
  <c r="AD9" i="3"/>
  <c r="AD10" i="3"/>
  <c r="AD43" i="3"/>
  <c r="Y36" i="3"/>
  <c r="AD14" i="3"/>
  <c r="Y41" i="3"/>
  <c r="AD16" i="3"/>
  <c r="Y7" i="3"/>
  <c r="AD37" i="3"/>
  <c r="Y23" i="3"/>
  <c r="AD12" i="3"/>
  <c r="Y15" i="3"/>
  <c r="Y45" i="3"/>
  <c r="Y13" i="3"/>
  <c r="Y44" i="3"/>
  <c r="Y35" i="3"/>
  <c r="Y39" i="3"/>
  <c r="Y11" i="3"/>
  <c r="Y29" i="3"/>
  <c r="Y27" i="3"/>
  <c r="Y22" i="3"/>
  <c r="Y32" i="3"/>
  <c r="Y19" i="3"/>
  <c r="Y38" i="3"/>
  <c r="Y46" i="3"/>
  <c r="Y34" i="3"/>
  <c r="Y18" i="3"/>
  <c r="Y26" i="3"/>
  <c r="Y28" i="3"/>
  <c r="AD19" i="3"/>
  <c r="AD45" i="3"/>
  <c r="AD46" i="3"/>
  <c r="AD13" i="3"/>
  <c r="AD34" i="3"/>
  <c r="AD44" i="3"/>
  <c r="AD35" i="3"/>
  <c r="AD39" i="3"/>
  <c r="AD18" i="3"/>
  <c r="AD11" i="3"/>
  <c r="AD26" i="3"/>
  <c r="AD29" i="3"/>
  <c r="AD28" i="3"/>
  <c r="AD27" i="3"/>
  <c r="AD22" i="3"/>
  <c r="AD32" i="3"/>
  <c r="AD33" i="3"/>
  <c r="AD21" i="3"/>
  <c r="S42" i="3"/>
  <c r="R42" i="3"/>
  <c r="M42" i="3"/>
  <c r="N42" i="3"/>
  <c r="U42" i="3"/>
  <c r="T42" i="3" s="1"/>
  <c r="V42" i="3"/>
  <c r="W42" i="3"/>
  <c r="X42" i="3"/>
  <c r="U226" i="1" l="1"/>
  <c r="S226" i="1" s="1"/>
  <c r="U246" i="1"/>
  <c r="S246" i="1" s="1"/>
  <c r="U233" i="1"/>
  <c r="S233" i="1" s="1"/>
  <c r="U221" i="1"/>
  <c r="S221" i="1" s="1"/>
  <c r="S236" i="1"/>
  <c r="AI248" i="1"/>
  <c r="W230" i="1"/>
  <c r="W252" i="1"/>
  <c r="W173" i="1"/>
  <c r="U187" i="1"/>
  <c r="S187" i="1" s="1"/>
  <c r="W182" i="1"/>
  <c r="AI165" i="1"/>
  <c r="U182" i="1"/>
  <c r="S182" i="1" s="1"/>
  <c r="S208" i="1"/>
  <c r="AI198" i="1"/>
  <c r="U175" i="1"/>
  <c r="S175" i="1" s="1"/>
  <c r="U191" i="1"/>
  <c r="S191" i="1" s="1"/>
  <c r="W184" i="1"/>
  <c r="W196" i="1"/>
  <c r="U16" i="1"/>
  <c r="U94" i="1"/>
  <c r="S93" i="1" s="1"/>
  <c r="AI89" i="1"/>
  <c r="S101" i="1"/>
  <c r="W68" i="1"/>
  <c r="S123" i="1"/>
  <c r="U29" i="1"/>
  <c r="W89" i="1"/>
  <c r="W153" i="1"/>
  <c r="AI31" i="1"/>
  <c r="AI47" i="1"/>
  <c r="S16" i="1"/>
  <c r="S20" i="1"/>
  <c r="S24" i="1"/>
  <c r="S29" i="1"/>
  <c r="AI71" i="1"/>
  <c r="AI105" i="1"/>
  <c r="AI127" i="1"/>
  <c r="W20" i="1"/>
  <c r="W31" i="1"/>
  <c r="U107" i="1"/>
  <c r="S107" i="1" s="1"/>
  <c r="W47" i="1"/>
  <c r="AI20" i="1"/>
  <c r="AI24" i="1"/>
  <c r="W30" i="1"/>
  <c r="U52" i="1"/>
  <c r="S52" i="1" s="1"/>
  <c r="S83" i="1"/>
  <c r="U117" i="1"/>
  <c r="S117" i="1" s="1"/>
  <c r="W134" i="1"/>
  <c r="W158" i="1"/>
  <c r="U141" i="1"/>
  <c r="S141" i="1" s="1"/>
  <c r="U157" i="1"/>
  <c r="S157" i="1" s="1"/>
  <c r="U84" i="1"/>
  <c r="S84" i="1" s="1"/>
  <c r="AI99" i="1"/>
  <c r="W36" i="1"/>
  <c r="W23" i="1"/>
  <c r="W91" i="1"/>
  <c r="W128" i="1"/>
  <c r="AI153" i="1"/>
  <c r="W84" i="1"/>
  <c r="U48" i="1"/>
  <c r="S48" i="1" s="1"/>
  <c r="W75" i="1"/>
  <c r="W105" i="1"/>
  <c r="W48" i="1"/>
  <c r="U192" i="1"/>
  <c r="S192" i="1" s="1"/>
  <c r="W52" i="1"/>
  <c r="W67" i="1"/>
  <c r="W141" i="1"/>
  <c r="W113" i="1"/>
  <c r="W40" i="1"/>
  <c r="W246" i="1"/>
  <c r="W121" i="1"/>
  <c r="W207" i="1"/>
  <c r="W63" i="1"/>
  <c r="U76" i="1"/>
  <c r="S76" i="1" s="1"/>
  <c r="AI76" i="1"/>
  <c r="U161" i="1"/>
  <c r="S161" i="1" s="1"/>
  <c r="AI161" i="1"/>
  <c r="W145" i="1"/>
  <c r="W221" i="1"/>
  <c r="W228" i="1"/>
  <c r="AI228" i="1"/>
  <c r="W203" i="1"/>
  <c r="U60" i="1"/>
  <c r="S60" i="1" s="1"/>
  <c r="AI60" i="1"/>
  <c r="U80" i="1"/>
  <c r="S80" i="1" s="1"/>
  <c r="AI80" i="1"/>
  <c r="U95" i="1"/>
  <c r="S95" i="1" s="1"/>
  <c r="AI95" i="1"/>
  <c r="U25" i="1"/>
  <c r="S25" i="1" s="1"/>
  <c r="AI25" i="1"/>
  <c r="W71" i="1"/>
  <c r="U91" i="1"/>
  <c r="S91" i="1" s="1"/>
  <c r="AI91" i="1"/>
  <c r="W129" i="1"/>
  <c r="U149" i="1"/>
  <c r="S149" i="1" s="1"/>
  <c r="AI149" i="1"/>
  <c r="W213" i="1"/>
  <c r="W149" i="1"/>
  <c r="U72" i="1"/>
  <c r="S72" i="1" s="1"/>
  <c r="AI72" i="1"/>
  <c r="U45" i="1"/>
  <c r="S45" i="1" s="1"/>
  <c r="AI45" i="1"/>
  <c r="W55" i="1"/>
  <c r="W79" i="1"/>
  <c r="U137" i="1"/>
  <c r="S137" i="1" s="1"/>
  <c r="AI137" i="1"/>
  <c r="W161" i="1"/>
  <c r="W167" i="1"/>
  <c r="W175" i="1"/>
  <c r="W183" i="1"/>
  <c r="W191" i="1"/>
  <c r="W168" i="1"/>
  <c r="W198" i="1"/>
  <c r="W199" i="1"/>
  <c r="AI199" i="1"/>
  <c r="U28" i="1"/>
  <c r="S28" i="1" s="1"/>
  <c r="U56" i="1"/>
  <c r="S56" i="1" s="1"/>
  <c r="AI56" i="1"/>
  <c r="U64" i="1"/>
  <c r="S64" i="1" s="1"/>
  <c r="AI64" i="1"/>
  <c r="W90" i="1"/>
  <c r="U17" i="1"/>
  <c r="S17" i="1" s="1"/>
  <c r="AI17" i="1"/>
  <c r="W28" i="1"/>
  <c r="W59" i="1"/>
  <c r="U68" i="1"/>
  <c r="S68" i="1" s="1"/>
  <c r="AI68" i="1"/>
  <c r="W94" i="1"/>
  <c r="W72" i="1"/>
  <c r="W60" i="1"/>
  <c r="W135" i="1"/>
  <c r="U176" i="1"/>
  <c r="S176" i="1" s="1"/>
  <c r="U184" i="1"/>
  <c r="S184" i="1" s="1"/>
  <c r="W76" i="1"/>
  <c r="W137" i="1"/>
  <c r="W233" i="1"/>
  <c r="W80" i="1"/>
  <c r="W236" i="1"/>
  <c r="W244" i="1"/>
  <c r="W192" i="1"/>
  <c r="W248" i="1"/>
  <c r="W176" i="1"/>
  <c r="AI14" i="1"/>
  <c r="U14" i="1"/>
  <c r="S14" i="1" s="1"/>
  <c r="AI22" i="1"/>
  <c r="U22" i="1"/>
  <c r="S22" i="1" s="1"/>
  <c r="AI38" i="1"/>
  <c r="U38" i="1"/>
  <c r="S38" i="1" s="1"/>
  <c r="AI15" i="1"/>
  <c r="U15" i="1"/>
  <c r="S15" i="1" s="1"/>
  <c r="W14" i="1"/>
  <c r="U58" i="1"/>
  <c r="S58" i="1" s="1"/>
  <c r="AI58" i="1"/>
  <c r="W22" i="1"/>
  <c r="AI86" i="1"/>
  <c r="U86" i="1"/>
  <c r="S86" i="1" s="1"/>
  <c r="U97" i="1"/>
  <c r="S97" i="1" s="1"/>
  <c r="AI97" i="1"/>
  <c r="W86" i="1"/>
  <c r="AI121" i="1"/>
  <c r="U121" i="1"/>
  <c r="S121" i="1" s="1"/>
  <c r="U125" i="1"/>
  <c r="S125" i="1" s="1"/>
  <c r="AI125" i="1"/>
  <c r="W97" i="1"/>
  <c r="W125" i="1"/>
  <c r="U162" i="1"/>
  <c r="S162" i="1" s="1"/>
  <c r="AI162" i="1"/>
  <c r="U219" i="1"/>
  <c r="S219" i="1" s="1"/>
  <c r="AI172" i="1"/>
  <c r="U169" i="1"/>
  <c r="S169" i="1" s="1"/>
  <c r="AI188" i="1"/>
  <c r="U185" i="1"/>
  <c r="S185" i="1" s="1"/>
  <c r="AI204" i="1"/>
  <c r="AI222" i="1"/>
  <c r="U203" i="1"/>
  <c r="S203" i="1" s="1"/>
  <c r="W219" i="1"/>
  <c r="AI18" i="1"/>
  <c r="U18" i="1"/>
  <c r="S18" i="1" s="1"/>
  <c r="AI34" i="1"/>
  <c r="U34" i="1"/>
  <c r="S34" i="1" s="1"/>
  <c r="W38" i="1"/>
  <c r="W15" i="1"/>
  <c r="U130" i="1"/>
  <c r="S130" i="1" s="1"/>
  <c r="AI130" i="1"/>
  <c r="U138" i="1"/>
  <c r="AI138" i="1"/>
  <c r="U146" i="1"/>
  <c r="S146" i="1" s="1"/>
  <c r="AI146" i="1"/>
  <c r="U154" i="1"/>
  <c r="AI154" i="1"/>
  <c r="U124" i="1"/>
  <c r="S124" i="1" s="1"/>
  <c r="AI124" i="1"/>
  <c r="W154" i="1"/>
  <c r="W162" i="1"/>
  <c r="U215" i="1"/>
  <c r="S215" i="1" s="1"/>
  <c r="AI168" i="1"/>
  <c r="U165" i="1"/>
  <c r="S165" i="1" s="1"/>
  <c r="AI184" i="1"/>
  <c r="U181" i="1"/>
  <c r="S181" i="1" s="1"/>
  <c r="AI200" i="1"/>
  <c r="W146" i="1"/>
  <c r="W169" i="1"/>
  <c r="W185" i="1"/>
  <c r="AI26" i="1"/>
  <c r="U26" i="1"/>
  <c r="S26" i="1" s="1"/>
  <c r="AI42" i="1"/>
  <c r="U42" i="1"/>
  <c r="S42" i="1" s="1"/>
  <c r="U54" i="1"/>
  <c r="S54" i="1" s="1"/>
  <c r="AI54" i="1"/>
  <c r="U62" i="1"/>
  <c r="S62" i="1" s="1"/>
  <c r="AI62" i="1"/>
  <c r="W34" i="1"/>
  <c r="U120" i="1"/>
  <c r="S120" i="1" s="1"/>
  <c r="AI120" i="1"/>
  <c r="U164" i="1"/>
  <c r="S163" i="1" s="1"/>
  <c r="AI164" i="1"/>
  <c r="U232" i="1"/>
  <c r="S232" i="1"/>
  <c r="AI180" i="1"/>
  <c r="U177" i="1"/>
  <c r="S177" i="1" s="1"/>
  <c r="AI196" i="1"/>
  <c r="U193" i="1"/>
  <c r="S193" i="1" s="1"/>
  <c r="AI212" i="1"/>
  <c r="AI218" i="1"/>
  <c r="U199" i="1"/>
  <c r="S199" i="1" s="1"/>
  <c r="W164" i="1"/>
  <c r="AI229" i="1"/>
  <c r="S210" i="1"/>
  <c r="U210" i="1"/>
  <c r="AI226" i="1"/>
  <c r="U207" i="1"/>
  <c r="S207" i="1" s="1"/>
  <c r="AI30" i="1"/>
  <c r="U30" i="1"/>
  <c r="S30" i="1" s="1"/>
  <c r="AI46" i="1"/>
  <c r="U46" i="1"/>
  <c r="S46" i="1" s="1"/>
  <c r="W26" i="1"/>
  <c r="W58" i="1"/>
  <c r="U85" i="1"/>
  <c r="S85" i="1" s="1"/>
  <c r="AI85" i="1"/>
  <c r="U134" i="1"/>
  <c r="S134" i="1" s="1"/>
  <c r="AI134" i="1"/>
  <c r="U142" i="1"/>
  <c r="S142" i="1" s="1"/>
  <c r="AI142" i="1"/>
  <c r="U150" i="1"/>
  <c r="S150" i="1" s="1"/>
  <c r="AI150" i="1"/>
  <c r="U158" i="1"/>
  <c r="S158" i="1" s="1"/>
  <c r="AI158" i="1"/>
  <c r="U228" i="1"/>
  <c r="S228" i="1" s="1"/>
  <c r="AI176" i="1"/>
  <c r="U173" i="1"/>
  <c r="S173" i="1" s="1"/>
  <c r="AI192" i="1"/>
  <c r="U189" i="1"/>
  <c r="S189" i="1" s="1"/>
  <c r="AI208" i="1"/>
  <c r="W124" i="1"/>
  <c r="W150" i="1"/>
  <c r="W215" i="1"/>
  <c r="W232" i="1"/>
  <c r="W177" i="1"/>
  <c r="W193" i="1"/>
  <c r="W210" i="1"/>
  <c r="AD38" i="3"/>
  <c r="AC42" i="3"/>
  <c r="Y42" i="3"/>
  <c r="AD42" i="3"/>
  <c r="M28" i="5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S15" i="3" s="1"/>
  <c r="Y13" i="1"/>
  <c r="Z13" i="1"/>
  <c r="AB13" i="1"/>
  <c r="AC13" i="1"/>
  <c r="AD13" i="1"/>
  <c r="X14" i="1" s="1"/>
  <c r="AE13" i="1"/>
  <c r="R15" i="3" s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<sst xmlns="http://schemas.openxmlformats.org/spreadsheetml/2006/main" count="2542" uniqueCount="962">
  <si>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</si>
  <si>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</si>
  <si>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</si>
  <si>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</si>
  <si>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</si>
  <si>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</si>
  <si>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</si>
  <si>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</si>
  <si>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</si>
  <si>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</si>
  <si>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</si>
  <si>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</si>
  <si>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</si>
  <si>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</si>
  <si>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</si>
  <si>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</si>
  <si>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</si>
  <si>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</si>
  <si>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</si>
  <si>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</si>
  <si>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</si>
  <si>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</si>
  <si>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</si>
  <si>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</si>
  <si>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</si>
  <si>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</si>
  <si>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</si>
  <si>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</si>
  <si>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</si>
  <si>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</si>
  <si>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</si>
  <si>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</si>
  <si>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</si>
  <si>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</si>
  <si>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</si>
  <si>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</si>
  <si>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</si>
  <si>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</si>
  <si>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</si>
  <si>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</si>
  <si>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</si>
  <si>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</si>
  <si>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</si>
  <si>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</si>
  <si>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</si>
  <si>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</si>
  <si>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</si>
  <si>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</si>
  <si>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</si>
  <si>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</si>
  <si>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</si>
  <si>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</si>
  <si>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</si>
  <si>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</si>
  <si>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</si>
  <si>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</si>
  <si>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</si>
  <si>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</si>
  <si>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</si>
  <si>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</si>
  <si>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</si>
  <si>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</si>
  <si>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</si>
  <si>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</si>
  <si>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</si>
  <si>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</si>
  <si>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</si>
  <si>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</si>
  <si>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</si>
  <si>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</si>
  <si>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</si>
  <si>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</si>
  <si>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</si>
  <si>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</si>
  <si>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</si>
  <si>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</si>
  <si>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</si>
  <si>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</si>
  <si>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</si>
  <si>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</si>
  <si>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</si>
  <si>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</si>
  <si>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</si>
  <si>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</si>
  <si>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</si>
  <si>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</si>
  <si>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</si>
  <si>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</si>
  <si>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</si>
  <si>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</si>
  <si>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</si>
  <si>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</si>
  <si>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</si>
  <si>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</si>
  <si>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</si>
  <si>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</si>
  <si>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</si>
  <si>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</si>
  <si>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</si>
  <si>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</si>
  <si>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</si>
  <si>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</si>
  <si>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</si>
  <si>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</si>
  <si>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</si>
  <si>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</si>
  <si>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</si>
  <si>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</si>
  <si>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</si>
  <si>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</si>
  <si>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</si>
  <si>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</si>
  <si>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</si>
  <si>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</si>
  <si>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</si>
  <si>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</si>
  <si>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</si>
  <si>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</si>
  <si>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</si>
  <si>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</si>
  <si>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</si>
  <si>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</si>
  <si>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</si>
  <si>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</si>
  <si>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</si>
  <si>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</si>
  <si>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</si>
  <si>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</si>
  <si>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</si>
  <si>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</si>
  <si>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</si>
  <si>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</si>
  <si>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</si>
  <si>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</si>
  <si>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</si>
  <si>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</si>
  <si>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</si>
  <si>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</si>
  <si>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</si>
  <si>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</si>
  <si>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</si>
  <si>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</si>
  <si>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</si>
  <si>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</si>
  <si>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</si>
  <si>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</si>
  <si>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</si>
  <si>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</si>
  <si>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</si>
  <si>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</si>
  <si>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</si>
  <si>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</si>
  <si>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</si>
  <si>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</si>
  <si>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</si>
  <si>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</si>
  <si>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</si>
  <si>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</si>
  <si>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</si>
  <si>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</si>
  <si>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</si>
  <si>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</si>
  <si>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</si>
  <si>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</si>
  <si>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</si>
  <si>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</si>
  <si>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</si>
  <si>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</si>
  <si>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</si>
  <si>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</si>
  <si>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</si>
  <si>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</si>
  <si>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</si>
  <si>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</si>
  <si>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</si>
  <si>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</si>
  <si>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</si>
  <si>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</si>
  <si>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</si>
  <si>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</si>
  <si>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</si>
  <si>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</si>
  <si>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</si>
  <si>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</si>
  <si>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</si>
  <si>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</si>
  <si>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</si>
  <si>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</si>
  <si>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</si>
  <si>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</si>
  <si>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</si>
  <si>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</si>
  <si>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</si>
  <si>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</si>
  <si>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</si>
  <si>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</si>
  <si>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</si>
  <si>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</si>
  <si>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</si>
  <si>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</si>
  <si>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</si>
  <si>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</si>
  <si>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</si>
  <si>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</si>
  <si>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</si>
  <si>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</si>
  <si>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</si>
  <si>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</si>
  <si>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</si>
  <si>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</si>
  <si>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</si>
  <si>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</si>
  <si>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</si>
  <si>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</si>
  <si>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</si>
  <si>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</si>
  <si>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</si>
  <si>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</si>
  <si>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</si>
  <si>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</si>
  <si>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</si>
  <si>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</si>
  <si>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</si>
  <si>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</si>
  <si>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</si>
  <si>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</si>
  <si>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</si>
  <si>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</si>
  <si>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</si>
  <si>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</si>
  <si>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</si>
  <si>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</si>
  <si>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rtdc.l.rtdc.4043:itc</t>
  </si>
  <si>
    <t>rtdc.l.rtdc.4022:itc</t>
  </si>
  <si>
    <t>rtdc.l.rtdc.4021:itc</t>
  </si>
  <si>
    <t>HOLCOMB</t>
  </si>
  <si>
    <t>rtdc.l.rtdc.4038:itc</t>
  </si>
  <si>
    <t>rtdc.l.rtdc.4037:itc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</si>
  <si>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</si>
  <si>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</si>
  <si>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</si>
  <si>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</si>
  <si>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</si>
  <si>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</si>
  <si>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</si>
  <si>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</si>
  <si>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</si>
  <si>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</si>
  <si>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</si>
  <si>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</si>
  <si>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</si>
  <si>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</si>
  <si>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</si>
  <si>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</si>
  <si>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204:233301</t>
  </si>
  <si>
    <t>204:232975</t>
  </si>
  <si>
    <t>204:232994</t>
  </si>
  <si>
    <t>204:233289</t>
  </si>
  <si>
    <t>MCREYNOLDS</t>
  </si>
  <si>
    <t>PERKINS</t>
  </si>
  <si>
    <t>204:132</t>
  </si>
  <si>
    <t>204:440</t>
  </si>
  <si>
    <t>CLI Grep2 (for slice disagreement)</t>
  </si>
  <si>
    <t>204:232998</t>
  </si>
  <si>
    <t>Y</t>
  </si>
  <si>
    <t>TEMPORARY SPEED RESTRICTION</t>
  </si>
  <si>
    <t>partly-cloudy-night</t>
  </si>
  <si>
    <t>204:147</t>
  </si>
  <si>
    <t>204:233304</t>
  </si>
  <si>
    <t>204:232993</t>
  </si>
  <si>
    <t>204:165</t>
  </si>
  <si>
    <t>204:232982</t>
  </si>
  <si>
    <t>204:233314</t>
  </si>
  <si>
    <t>204:455</t>
  </si>
  <si>
    <t>204:232983</t>
  </si>
  <si>
    <t>rtdc.l.rtdc.4031:itc</t>
  </si>
  <si>
    <t>rtdc.l.rtdc.4032:itc</t>
  </si>
  <si>
    <t>204:232991</t>
  </si>
  <si>
    <t>204:442</t>
  </si>
  <si>
    <t>204:446</t>
  </si>
  <si>
    <t>204:689</t>
  </si>
  <si>
    <t>rtdc.l.rtdc.4045:itc</t>
  </si>
  <si>
    <t>rtdc.l.rtdc.4046:itc</t>
  </si>
  <si>
    <t>DAVIS</t>
  </si>
  <si>
    <t>204:161</t>
  </si>
  <si>
    <t>204:460</t>
  </si>
  <si>
    <t>204:232973</t>
  </si>
  <si>
    <t>204:232979</t>
  </si>
  <si>
    <t>BARTLETT</t>
  </si>
  <si>
    <t>partly-cloudy-day</t>
  </si>
  <si>
    <t>204:233284</t>
  </si>
  <si>
    <t>204:233302</t>
  </si>
  <si>
    <t>204:139</t>
  </si>
  <si>
    <t>204:457</t>
  </si>
  <si>
    <t>204:471</t>
  </si>
  <si>
    <t>204:972</t>
  </si>
  <si>
    <t>204:233002</t>
  </si>
  <si>
    <t>204:233291</t>
  </si>
  <si>
    <t>204:233011</t>
  </si>
  <si>
    <t>STARKS</t>
  </si>
  <si>
    <t>YOUNG</t>
  </si>
  <si>
    <t>COOLAHAN</t>
  </si>
  <si>
    <t>204:138</t>
  </si>
  <si>
    <t>204:130</t>
  </si>
  <si>
    <t>204:233293</t>
  </si>
  <si>
    <t>204:233317</t>
  </si>
  <si>
    <t>204:233321</t>
  </si>
  <si>
    <t>300:58651</t>
  </si>
  <si>
    <t>300:58969</t>
  </si>
  <si>
    <t>300:58649</t>
  </si>
  <si>
    <t>204:167</t>
  </si>
  <si>
    <t>204:232965</t>
  </si>
  <si>
    <t>204:232974</t>
  </si>
  <si>
    <t>204:477</t>
  </si>
  <si>
    <t>rtdc.l.rtdc.4042:itc</t>
  </si>
  <si>
    <t>rtdc.l.rtdc.4041:itc</t>
  </si>
  <si>
    <t>rtdc.l.rtdc.4028:itc</t>
  </si>
  <si>
    <t>RICHARDSON</t>
  </si>
  <si>
    <t>JOHNSON</t>
  </si>
  <si>
    <t>HELVIE</t>
  </si>
  <si>
    <t>rtdc.l.rtdc.4027:itc</t>
  </si>
  <si>
    <t>DAVIDSON</t>
  </si>
  <si>
    <t>SAFIEF</t>
  </si>
  <si>
    <t>204:233306</t>
  </si>
  <si>
    <t>204:233286</t>
  </si>
  <si>
    <t>204:444</t>
  </si>
  <si>
    <t>204:134</t>
  </si>
  <si>
    <t>204:233323</t>
  </si>
  <si>
    <t>204:233299</t>
  </si>
  <si>
    <t>204:438</t>
  </si>
  <si>
    <t>204:435</t>
  </si>
  <si>
    <t>204:469</t>
  </si>
  <si>
    <t>204:232978</t>
  </si>
  <si>
    <t>204:232986</t>
  </si>
  <si>
    <t>204:233319</t>
  </si>
  <si>
    <t>204:169</t>
  </si>
  <si>
    <t>204:433</t>
  </si>
  <si>
    <t>204:473</t>
  </si>
  <si>
    <t>204:233268</t>
  </si>
  <si>
    <t>204:86353</t>
  </si>
  <si>
    <t>204:673</t>
  </si>
  <si>
    <t>204:1002</t>
  </si>
  <si>
    <t>300:58941</t>
  </si>
  <si>
    <t>204:692</t>
  </si>
  <si>
    <t>204:971</t>
  </si>
  <si>
    <t>300:58965</t>
  </si>
  <si>
    <t>300:58928</t>
  </si>
  <si>
    <t>SWITCH UNKNOWN</t>
  </si>
  <si>
    <t>Track device (7)</t>
  </si>
  <si>
    <t>KILLION</t>
  </si>
  <si>
    <t>SPECTOR</t>
  </si>
  <si>
    <t>rtdc.l.rtdc.4029:itc</t>
  </si>
  <si>
    <t>CRAYTON</t>
  </si>
  <si>
    <t>NICHOLSON</t>
  </si>
  <si>
    <t>243-22</t>
  </si>
  <si>
    <t>311-22</t>
  </si>
  <si>
    <t>244-22</t>
  </si>
  <si>
    <t>313-22</t>
  </si>
  <si>
    <t>315-22</t>
  </si>
  <si>
    <t>clear-night</t>
  </si>
  <si>
    <t>Clear</t>
  </si>
  <si>
    <t>204:759</t>
  </si>
  <si>
    <t>204:233307</t>
  </si>
  <si>
    <t>204:232957</t>
  </si>
  <si>
    <t>204:233000</t>
  </si>
  <si>
    <t>204:233008</t>
  </si>
  <si>
    <t>204:233305</t>
  </si>
  <si>
    <t>204:233006</t>
  </si>
  <si>
    <t>204:196</t>
  </si>
  <si>
    <t>204:506</t>
  </si>
  <si>
    <t>204:232963</t>
  </si>
  <si>
    <t>204:233332</t>
  </si>
  <si>
    <t>204:233266</t>
  </si>
  <si>
    <t>204:110</t>
  </si>
  <si>
    <t>204:233338</t>
  </si>
  <si>
    <t>204:233308</t>
  </si>
  <si>
    <t>300:23304</t>
  </si>
  <si>
    <t>300:23299</t>
  </si>
  <si>
    <t>300:58636</t>
  </si>
  <si>
    <t>204:1014</t>
  </si>
  <si>
    <t>204:1065</t>
  </si>
  <si>
    <t>300:58647</t>
  </si>
  <si>
    <t>300:58946</t>
  </si>
  <si>
    <t>300:58628</t>
  </si>
  <si>
    <t>204:969</t>
  </si>
  <si>
    <t>204:974</t>
  </si>
  <si>
    <t>204:696</t>
  </si>
  <si>
    <t>204:990</t>
  </si>
  <si>
    <t>300:58645</t>
  </si>
  <si>
    <t>204:997</t>
  </si>
  <si>
    <t>204:708</t>
  </si>
  <si>
    <t>204:684</t>
  </si>
  <si>
    <t>rtdc.l.rtdc.4008:itc</t>
  </si>
  <si>
    <t>302-23</t>
  </si>
  <si>
    <t>rtdc.l.rtdc.4003:itc</t>
  </si>
  <si>
    <t>101-23</t>
  </si>
  <si>
    <t>rtdc.l.rtdc.4026:itc</t>
  </si>
  <si>
    <t>104-23</t>
  </si>
  <si>
    <t>121-23</t>
  </si>
  <si>
    <t>806-23</t>
  </si>
  <si>
    <t>122-23</t>
  </si>
  <si>
    <t>808-23</t>
  </si>
  <si>
    <t>139-23</t>
  </si>
  <si>
    <t>132-23</t>
  </si>
  <si>
    <t>134-23</t>
  </si>
  <si>
    <t>143-23</t>
  </si>
  <si>
    <t>rtdc.l.rtdc.4004:itc</t>
  </si>
  <si>
    <t>140-23</t>
  </si>
  <si>
    <t>149-23</t>
  </si>
  <si>
    <t>142-23</t>
  </si>
  <si>
    <t>816-23</t>
  </si>
  <si>
    <t>148-23</t>
  </si>
  <si>
    <t>175-23</t>
  </si>
  <si>
    <t>177-23</t>
  </si>
  <si>
    <t>rtdc.l.rtdc.4025:itc</t>
  </si>
  <si>
    <t>173-23</t>
  </si>
  <si>
    <t>174-23</t>
  </si>
  <si>
    <t>825-23</t>
  </si>
  <si>
    <t>188-23</t>
  </si>
  <si>
    <t>831-23</t>
  </si>
  <si>
    <t>73-23</t>
  </si>
  <si>
    <t>52-23</t>
  </si>
  <si>
    <t>206-23</t>
  </si>
  <si>
    <t>836-23</t>
  </si>
  <si>
    <t>837-23</t>
  </si>
  <si>
    <t>219-23</t>
  </si>
  <si>
    <t>221-23</t>
  </si>
  <si>
    <t>AJAX-23</t>
  </si>
  <si>
    <t>840-23</t>
  </si>
  <si>
    <t>220-23</t>
  </si>
  <si>
    <t>COMET-23</t>
  </si>
  <si>
    <t>235-23</t>
  </si>
  <si>
    <t>244-23</t>
  </si>
  <si>
    <t>MAELZER</t>
  </si>
  <si>
    <t>304-23</t>
  </si>
  <si>
    <t>ACKERMAN</t>
  </si>
  <si>
    <t>103-23</t>
  </si>
  <si>
    <t>105-23</t>
  </si>
  <si>
    <t>SANTIZO</t>
  </si>
  <si>
    <t>306-23</t>
  </si>
  <si>
    <t>102-23</t>
  </si>
  <si>
    <t>308-23</t>
  </si>
  <si>
    <t>310-23</t>
  </si>
  <si>
    <t>107-23</t>
  </si>
  <si>
    <t>109-23</t>
  </si>
  <si>
    <t>901-23</t>
  </si>
  <si>
    <t>111-23</t>
  </si>
  <si>
    <t>106-23</t>
  </si>
  <si>
    <t>rtdc.l.rtdc.4007:itc</t>
  </si>
  <si>
    <t>113-23</t>
  </si>
  <si>
    <t>800-23</t>
  </si>
  <si>
    <t>108-23</t>
  </si>
  <si>
    <t>115-23</t>
  </si>
  <si>
    <t>110-23</t>
  </si>
  <si>
    <t>117-23</t>
  </si>
  <si>
    <t>801-23</t>
  </si>
  <si>
    <t>112-23</t>
  </si>
  <si>
    <t>902-23</t>
  </si>
  <si>
    <t>DE LA ROSA</t>
  </si>
  <si>
    <t>119-23</t>
  </si>
  <si>
    <t>114-23</t>
  </si>
  <si>
    <t>802-23</t>
  </si>
  <si>
    <t>116-23</t>
  </si>
  <si>
    <t>803-23</t>
  </si>
  <si>
    <t>123-23</t>
  </si>
  <si>
    <t>118-23</t>
  </si>
  <si>
    <t>125-23</t>
  </si>
  <si>
    <t>804-23</t>
  </si>
  <si>
    <t>120-23</t>
  </si>
  <si>
    <t>805-23</t>
  </si>
  <si>
    <t>127-23</t>
  </si>
  <si>
    <t>807-23</t>
  </si>
  <si>
    <t>129-23</t>
  </si>
  <si>
    <t>131-23</t>
  </si>
  <si>
    <t>124-23</t>
  </si>
  <si>
    <t>126-23</t>
  </si>
  <si>
    <t>133-23</t>
  </si>
  <si>
    <t>128-23</t>
  </si>
  <si>
    <t>809-23</t>
  </si>
  <si>
    <t>135-23</t>
  </si>
  <si>
    <t>130-23</t>
  </si>
  <si>
    <t>137-23</t>
  </si>
  <si>
    <t>810-23</t>
  </si>
  <si>
    <t>811-23</t>
  </si>
  <si>
    <t>903-23</t>
  </si>
  <si>
    <t>812-23</t>
  </si>
  <si>
    <t>141-23</t>
  </si>
  <si>
    <t>136-23</t>
  </si>
  <si>
    <t>138-23</t>
  </si>
  <si>
    <t>145-23</t>
  </si>
  <si>
    <t>813-23</t>
  </si>
  <si>
    <t>147-23</t>
  </si>
  <si>
    <t>814-23</t>
  </si>
  <si>
    <t>144-23</t>
  </si>
  <si>
    <t>151-23</t>
  </si>
  <si>
    <t>146-23</t>
  </si>
  <si>
    <t>153-23</t>
  </si>
  <si>
    <t>815-23</t>
  </si>
  <si>
    <t>155-23</t>
  </si>
  <si>
    <t>50-23</t>
  </si>
  <si>
    <t>157-23</t>
  </si>
  <si>
    <t>150-23</t>
  </si>
  <si>
    <t>152-23</t>
  </si>
  <si>
    <t>159-23</t>
  </si>
  <si>
    <t>154-23</t>
  </si>
  <si>
    <t>161-23</t>
  </si>
  <si>
    <t>817-23</t>
  </si>
  <si>
    <t>163-23</t>
  </si>
  <si>
    <t>156-23</t>
  </si>
  <si>
    <t>158-23</t>
  </si>
  <si>
    <t>818-23</t>
  </si>
  <si>
    <t>165-23</t>
  </si>
  <si>
    <t>DELGADO</t>
  </si>
  <si>
    <t>160-23</t>
  </si>
  <si>
    <t>53-23</t>
  </si>
  <si>
    <t>167-23</t>
  </si>
  <si>
    <t>162-23</t>
  </si>
  <si>
    <t>164-23</t>
  </si>
  <si>
    <t>819-23</t>
  </si>
  <si>
    <t>169-23</t>
  </si>
  <si>
    <t>171-23</t>
  </si>
  <si>
    <t>STORY</t>
  </si>
  <si>
    <t>166-23</t>
  </si>
  <si>
    <t>820-23</t>
  </si>
  <si>
    <t>168-23</t>
  </si>
  <si>
    <t>170-23</t>
  </si>
  <si>
    <t>MALAVE</t>
  </si>
  <si>
    <t>821-23</t>
  </si>
  <si>
    <t>MOSES</t>
  </si>
  <si>
    <t>172-23</t>
  </si>
  <si>
    <t>179-23</t>
  </si>
  <si>
    <t>822-23</t>
  </si>
  <si>
    <t>181-23</t>
  </si>
  <si>
    <t>176-23</t>
  </si>
  <si>
    <t>183-23</t>
  </si>
  <si>
    <t>178-23</t>
  </si>
  <si>
    <t>185-23</t>
  </si>
  <si>
    <t>HILLS</t>
  </si>
  <si>
    <t>823-23</t>
  </si>
  <si>
    <t>187-23</t>
  </si>
  <si>
    <t>180-23</t>
  </si>
  <si>
    <t>182-23</t>
  </si>
  <si>
    <t>824-23</t>
  </si>
  <si>
    <t>189-23</t>
  </si>
  <si>
    <t>184-23</t>
  </si>
  <si>
    <t>186-23</t>
  </si>
  <si>
    <t>191-23</t>
  </si>
  <si>
    <t>193-23</t>
  </si>
  <si>
    <t>904-23</t>
  </si>
  <si>
    <t>195-23</t>
  </si>
  <si>
    <t>190-23</t>
  </si>
  <si>
    <t>197-23</t>
  </si>
  <si>
    <t>827-23</t>
  </si>
  <si>
    <t>826-23</t>
  </si>
  <si>
    <t>192-23</t>
  </si>
  <si>
    <t>199-23</t>
  </si>
  <si>
    <t>194-23</t>
  </si>
  <si>
    <t>828-23</t>
  </si>
  <si>
    <t>201-23</t>
  </si>
  <si>
    <t>196-23</t>
  </si>
  <si>
    <t>829-23</t>
  </si>
  <si>
    <t>203-23</t>
  </si>
  <si>
    <t>198-23</t>
  </si>
  <si>
    <t>200-23</t>
  </si>
  <si>
    <t>830-23</t>
  </si>
  <si>
    <t>205-23</t>
  </si>
  <si>
    <t>207-23</t>
  </si>
  <si>
    <t>202-23</t>
  </si>
  <si>
    <t>832-23</t>
  </si>
  <si>
    <t>209-23</t>
  </si>
  <si>
    <t>204-23</t>
  </si>
  <si>
    <t>833-23</t>
  </si>
  <si>
    <t>211-23</t>
  </si>
  <si>
    <t>834-23</t>
  </si>
  <si>
    <t>213-23</t>
  </si>
  <si>
    <t>76-23</t>
  </si>
  <si>
    <t>835-23</t>
  </si>
  <si>
    <t>208-23</t>
  </si>
  <si>
    <t>215-23</t>
  </si>
  <si>
    <t>210-23</t>
  </si>
  <si>
    <t>217-23</t>
  </si>
  <si>
    <t>77-23</t>
  </si>
  <si>
    <t>78-23</t>
  </si>
  <si>
    <t>JACKSON</t>
  </si>
  <si>
    <t>212-23</t>
  </si>
  <si>
    <t>LOPES</t>
  </si>
  <si>
    <t>214-23</t>
  </si>
  <si>
    <t>79-23</t>
  </si>
  <si>
    <t>838-23</t>
  </si>
  <si>
    <t>303-23</t>
  </si>
  <si>
    <t>839-23</t>
  </si>
  <si>
    <t>216-23</t>
  </si>
  <si>
    <t>218-23</t>
  </si>
  <si>
    <t>906-23</t>
  </si>
  <si>
    <t>305-23</t>
  </si>
  <si>
    <t>841-23</t>
  </si>
  <si>
    <t>223-23</t>
  </si>
  <si>
    <t>307-23</t>
  </si>
  <si>
    <t>222-23</t>
  </si>
  <si>
    <t>225-23</t>
  </si>
  <si>
    <t>224-23</t>
  </si>
  <si>
    <t>843-23</t>
  </si>
  <si>
    <t>227-23</t>
  </si>
  <si>
    <t>229-23</t>
  </si>
  <si>
    <t>842-23</t>
  </si>
  <si>
    <t>226-23</t>
  </si>
  <si>
    <t>845-23</t>
  </si>
  <si>
    <t>231-23</t>
  </si>
  <si>
    <t>228-23</t>
  </si>
  <si>
    <t>844-23</t>
  </si>
  <si>
    <t>233-23</t>
  </si>
  <si>
    <t>230-23</t>
  </si>
  <si>
    <t>232-23</t>
  </si>
  <si>
    <t>847-23</t>
  </si>
  <si>
    <t>237-23</t>
  </si>
  <si>
    <t>908-23</t>
  </si>
  <si>
    <t>234-23</t>
  </si>
  <si>
    <t>239-23</t>
  </si>
  <si>
    <t>236-23</t>
  </si>
  <si>
    <t>238-23</t>
  </si>
  <si>
    <t>241-23</t>
  </si>
  <si>
    <t>240-23</t>
  </si>
  <si>
    <t>243-23</t>
  </si>
  <si>
    <t>309-23</t>
  </si>
  <si>
    <t>242-23</t>
  </si>
  <si>
    <t>311-23</t>
  </si>
  <si>
    <t>313-23</t>
  </si>
  <si>
    <t>315-23</t>
  </si>
  <si>
    <t>clear-day</t>
  </si>
  <si>
    <t>204:232689</t>
  </si>
  <si>
    <t>204:693</t>
  </si>
  <si>
    <t>204:233357</t>
  </si>
  <si>
    <t>204:232723</t>
  </si>
  <si>
    <t>204:201</t>
  </si>
  <si>
    <t>204:754</t>
  </si>
  <si>
    <t>204:232694</t>
  </si>
  <si>
    <t>204:128272</t>
  </si>
  <si>
    <t>204:233009</t>
  </si>
  <si>
    <t>204:316</t>
  </si>
  <si>
    <t>204:232981</t>
  </si>
  <si>
    <t>204:338</t>
  </si>
  <si>
    <t>204:821</t>
  </si>
  <si>
    <t>204:232971</t>
  </si>
  <si>
    <t>204:1177</t>
  </si>
  <si>
    <t>204:500</t>
  </si>
  <si>
    <t>204:19136</t>
  </si>
  <si>
    <t>204:233303</t>
  </si>
  <si>
    <t>204:739</t>
  </si>
  <si>
    <t>204:1266</t>
  </si>
  <si>
    <t>204:232990</t>
  </si>
  <si>
    <t>204:232989</t>
  </si>
  <si>
    <t>204:628</t>
  </si>
  <si>
    <t>204:233280</t>
  </si>
  <si>
    <t>204:233283</t>
  </si>
  <si>
    <t>204:626</t>
  </si>
  <si>
    <t>204:233324</t>
  </si>
  <si>
    <t>204:333</t>
  </si>
  <si>
    <t>204:233278</t>
  </si>
  <si>
    <t>204:191</t>
  </si>
  <si>
    <t>204:424</t>
  </si>
  <si>
    <t>204:431</t>
  </si>
  <si>
    <t>204:180</t>
  </si>
  <si>
    <t>204:232938</t>
  </si>
  <si>
    <t>204:497</t>
  </si>
  <si>
    <t>204:233309</t>
  </si>
  <si>
    <t>204:422</t>
  </si>
  <si>
    <t>204:233027</t>
  </si>
  <si>
    <t>204:233285</t>
  </si>
  <si>
    <t>204:232966</t>
  </si>
  <si>
    <t>204:207</t>
  </si>
  <si>
    <t>204:233322</t>
  </si>
  <si>
    <t>204:233329</t>
  </si>
  <si>
    <t>204:154010</t>
  </si>
  <si>
    <t>204:172</t>
  </si>
  <si>
    <t>204:233019</t>
  </si>
  <si>
    <t>204:168233</t>
  </si>
  <si>
    <t>204:233353</t>
  </si>
  <si>
    <t>204:233048</t>
  </si>
  <si>
    <t>204:1169</t>
  </si>
  <si>
    <t>204:233274</t>
  </si>
  <si>
    <t>204:232968</t>
  </si>
  <si>
    <t>204:154427</t>
  </si>
  <si>
    <t>204:232964</t>
  </si>
  <si>
    <t>204:513</t>
  </si>
  <si>
    <t>204:187</t>
  </si>
  <si>
    <t>204:233339</t>
  </si>
  <si>
    <t>204:233325</t>
  </si>
  <si>
    <t>204:233017</t>
  </si>
  <si>
    <t>204:502</t>
  </si>
  <si>
    <t>204:233318</t>
  </si>
  <si>
    <t>204:233005</t>
  </si>
  <si>
    <t>204:127864</t>
  </si>
  <si>
    <t>204:152027</t>
  </si>
  <si>
    <t>204:489</t>
  </si>
  <si>
    <t>204:233346</t>
  </si>
  <si>
    <t>204:233045</t>
  </si>
  <si>
    <t>204:484</t>
  </si>
  <si>
    <t>204:233380</t>
  </si>
  <si>
    <t>204:233061</t>
  </si>
  <si>
    <t>204:232960</t>
  </si>
  <si>
    <t>204:233264</t>
  </si>
  <si>
    <t>204:233326</t>
  </si>
  <si>
    <t>204:233003</t>
  </si>
  <si>
    <t>204:480</t>
  </si>
  <si>
    <t>204:48700</t>
  </si>
  <si>
    <t>204:233327</t>
  </si>
  <si>
    <t>204:233025</t>
  </si>
  <si>
    <t>204:123</t>
  </si>
  <si>
    <t>204:233347</t>
  </si>
  <si>
    <t>204:153993</t>
  </si>
  <si>
    <t>204:233028</t>
  </si>
  <si>
    <t>204:127877</t>
  </si>
  <si>
    <t>204:177877</t>
  </si>
  <si>
    <t>300:19293</t>
  </si>
  <si>
    <t>300:22344</t>
  </si>
  <si>
    <t>204:101</t>
  </si>
  <si>
    <t>300:22860</t>
  </si>
  <si>
    <t>300:20331</t>
  </si>
  <si>
    <t>300:23262</t>
  </si>
  <si>
    <t>300:22864</t>
  </si>
  <si>
    <t>300:23079</t>
  </si>
  <si>
    <t>300:23306</t>
  </si>
  <si>
    <t>300:21901</t>
  </si>
  <si>
    <t>204:142</t>
  </si>
  <si>
    <t>300:22163</t>
  </si>
  <si>
    <t>204:917</t>
  </si>
  <si>
    <t>204:439</t>
  </si>
  <si>
    <t>204:1498</t>
  </si>
  <si>
    <t>204:1860</t>
  </si>
  <si>
    <t>300:7434</t>
  </si>
  <si>
    <t>300:23068</t>
  </si>
  <si>
    <t>300:22176</t>
  </si>
  <si>
    <t>204:86</t>
  </si>
  <si>
    <t>204:403</t>
  </si>
  <si>
    <t>300:21966</t>
  </si>
  <si>
    <t>204:956</t>
  </si>
  <si>
    <t>204:1222</t>
  </si>
  <si>
    <t>300:23316</t>
  </si>
  <si>
    <t>300:58640</t>
  </si>
  <si>
    <t>204:773</t>
  </si>
  <si>
    <t>204:1067</t>
  </si>
  <si>
    <t>204:1000</t>
  </si>
  <si>
    <t>300:58956</t>
  </si>
  <si>
    <t>204:1051</t>
  </si>
  <si>
    <t>300:58937</t>
  </si>
  <si>
    <t>300:58621</t>
  </si>
  <si>
    <t>204:778</t>
  </si>
  <si>
    <t>204:776</t>
  </si>
  <si>
    <t>204:703</t>
  </si>
  <si>
    <t>204:722</t>
  </si>
  <si>
    <t>204:1009</t>
  </si>
  <si>
    <t>300:58931</t>
  </si>
  <si>
    <t>300:58617</t>
  </si>
  <si>
    <t>204:677</t>
  </si>
  <si>
    <t>204:953</t>
  </si>
  <si>
    <t>300:58613</t>
  </si>
  <si>
    <t>204:705</t>
  </si>
  <si>
    <t>300:58980</t>
  </si>
  <si>
    <t>300:58666</t>
  </si>
  <si>
    <t>204:727</t>
  </si>
  <si>
    <t>300:58668</t>
  </si>
  <si>
    <t>204:957</t>
  </si>
  <si>
    <t>300:58993</t>
  </si>
  <si>
    <t>300:58675</t>
  </si>
  <si>
    <t>204:691</t>
  </si>
  <si>
    <t>204:965</t>
  </si>
  <si>
    <t>300:58967</t>
  </si>
  <si>
    <t>204:652</t>
  </si>
  <si>
    <t>300:58975</t>
  </si>
  <si>
    <t>300:58655</t>
  </si>
  <si>
    <t>204:654</t>
  </si>
  <si>
    <t>204:964</t>
  </si>
  <si>
    <t>300:58971</t>
  </si>
  <si>
    <t>300:58662</t>
  </si>
  <si>
    <t>300:58660</t>
  </si>
  <si>
    <t>300:27364</t>
  </si>
  <si>
    <t>204:983</t>
  </si>
  <si>
    <t>204:979</t>
  </si>
  <si>
    <t>300:58984</t>
  </si>
  <si>
    <t>204:699</t>
  </si>
  <si>
    <t>204:1035</t>
  </si>
  <si>
    <t>204:1013</t>
  </si>
  <si>
    <t>300:58952</t>
  </si>
  <si>
    <t>300:29893</t>
  </si>
  <si>
    <t>300:58958</t>
  </si>
  <si>
    <t>300:23249</t>
  </si>
  <si>
    <t>204:736</t>
  </si>
  <si>
    <t>300:23290</t>
  </si>
  <si>
    <t>204:675</t>
  </si>
  <si>
    <t>300:28753</t>
  </si>
  <si>
    <t>300:58643</t>
  </si>
  <si>
    <t>300:21869</t>
  </si>
  <si>
    <t>204:128575</t>
  </si>
  <si>
    <t>204:10325</t>
  </si>
  <si>
    <t>204:128740</t>
  </si>
  <si>
    <t>204:127918</t>
  </si>
  <si>
    <t>204:128805</t>
  </si>
  <si>
    <t>204:128848</t>
  </si>
  <si>
    <t>204:10007</t>
  </si>
  <si>
    <t>204:128851</t>
  </si>
  <si>
    <t>204:181</t>
  </si>
  <si>
    <t>204:128895</t>
  </si>
  <si>
    <t>204:10224</t>
  </si>
  <si>
    <t>204:128995</t>
  </si>
  <si>
    <t>204:10135</t>
  </si>
  <si>
    <t>204:10099</t>
  </si>
  <si>
    <t>300:23160</t>
  </si>
  <si>
    <t>204:1292</t>
  </si>
  <si>
    <t>204:10238</t>
  </si>
  <si>
    <t>204:129182</t>
  </si>
  <si>
    <t>204:10332</t>
  </si>
  <si>
    <t>204:129229</t>
  </si>
  <si>
    <t>204:10372</t>
  </si>
  <si>
    <t>204:129273</t>
  </si>
  <si>
    <t>204:10461</t>
  </si>
  <si>
    <t>204:10560</t>
  </si>
  <si>
    <t>204:128109</t>
  </si>
  <si>
    <t>204:1484</t>
  </si>
  <si>
    <t>204:129116</t>
  </si>
  <si>
    <t>204:129370</t>
  </si>
  <si>
    <t>204:128953</t>
  </si>
  <si>
    <t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t>
  </si>
  <si>
    <t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t>
  </si>
  <si>
    <t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t>
  </si>
  <si>
    <t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t>
  </si>
  <si>
    <t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t>
  </si>
  <si>
    <t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t>
  </si>
  <si>
    <t>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 &amp; 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</t>
  </si>
  <si>
    <t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t>
  </si>
  <si>
    <t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t>
  </si>
  <si>
    <t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t>
  </si>
  <si>
    <t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t>
  </si>
  <si>
    <t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t>
  </si>
  <si>
    <t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t>
  </si>
  <si>
    <t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t>
  </si>
  <si>
    <t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t>
  </si>
  <si>
    <t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t>
  </si>
  <si>
    <t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t>
  </si>
  <si>
    <t>Wheel tach slip</t>
  </si>
  <si>
    <t>DUS 2N STOP due to 9 switch reversed</t>
  </si>
  <si>
    <t>EC1678RH 167-1T 1S aspects kept changing</t>
  </si>
  <si>
    <t>At 13:51:05, 13:52:37, and 13:52:40, aspect of the signal changed from 0, to 270, to 120, to 0. Was anything out of place at this time?</t>
  </si>
  <si>
    <t>At 13:56:15, dispatch sent clear control to 40th 2N, and 30 sec later canceled. Then 14:04:08 sent one, then 14:09:34 canceled and immediately sent another. Was the dispatcher doing something wrong here, or was something else amiss?</t>
  </si>
  <si>
    <t>40th 2N did not clear - dispatcher error?</t>
  </si>
  <si>
    <t>Wi-MAX data drop</t>
  </si>
  <si>
    <t>http://stevetu21.github.io/eaglep3/load_kml.html?kml=http://rtdc.gmaps-snips.s3.amazonaws.com/72fa3ffa-ba5c-47c3-9b77-c5357fb982a7.kml</t>
  </si>
  <si>
    <t>Onboard in-route failure delayed departure</t>
  </si>
  <si>
    <t>multiple cpu faults at 01:58 utc</t>
  </si>
  <si>
    <t>Onboard in-route failure</t>
  </si>
  <si>
    <t>:.+((SYSTEM_STATE.+slice.+state.+changed )|(ment ac)|(multiple cpu faults)|(system.+state.+changed )|(\[timeout)|(PRM\|1\|D)|(kpr)|(kdp)|(\|lc)|(penalty))</t>
  </si>
  <si>
    <t>multiple cpu faults around 06:20:20 UTC</t>
  </si>
  <si>
    <t>CP 61st ELXS Failure</t>
  </si>
  <si>
    <t>At approx 01:35, CP 61st ELXS switched from main to standby. Do logs give any insight as to why?</t>
  </si>
  <si>
    <t>Early arrival</t>
  </si>
  <si>
    <t>http://stevetu21.github.io/eaglep3/load_kml.html?kml=http://rtdc.gmaps-snips.s3.amazonaws.com/dd3bef2b-fb28-4c97-aede-f152050819f5.kml</t>
  </si>
  <si>
    <t>http://stevetu21.github.io/eaglep3/load_kml.html?kml=http://rtdc.gmaps-snips.s3.amazonaws.com/d0ed2a09-ebaa-4a44-8331-33cc875a1299.kml</t>
  </si>
  <si>
    <t>Early arrival (41st)</t>
  </si>
  <si>
    <t>RESTRICTING aspect</t>
  </si>
  <si>
    <t>http://stevetu21.github.io/eaglep3/load_kml.html?kml=http://rtdc.gmaps-snips.s3.amazonaws.com/cbe8847f-e90e-4989-93c2-1c1bba57d43c.kml</t>
  </si>
  <si>
    <t>http://stevetu21.github.io/eaglep3/load_kml.html?kml=http://rtdc.gmaps-snips.s3.amazonaws.com/e0b23ebc-b282-41e6-b265-b78a04cbaa52.kml</t>
  </si>
  <si>
    <t>http://stevetu21.github.io/eaglep3/load_kml.html?kml=http://rtdc.gmaps-snips.s3.amazonaws.com/dc1e244b-d543-43bb-96ae-bb026ed22971.kml</t>
  </si>
  <si>
    <t>SYS :2016/11/23 10:00:55.992:ENFORCEMENT:Reactive Enforcement Action:  Target Number: 0000600B  Target Speed:   0.0  Current Speed:  13.4</t>
  </si>
  <si>
    <t>SYS :2016/11/23 10:00:56.428:ENFORCEMENT:Reactive Enforcement Action:  Target Number: 0000600B  Target Speed:   0.0  Current Speed:  13.4</t>
  </si>
  <si>
    <t>SYS :2016/11/23 10:00:57.434:ENFORCEMENT:Reactive Enforcement Action:  Target Number: 0000600B  Target Speed:   0.0  Current Speed:  13.4</t>
  </si>
  <si>
    <t>SYS :2016/11/23 10:02:35.001:ENFORCEMENT:Reactive Enforcement Action:  Target Number: 0000600B  Target Speed:  20.0  Current Speed:  25.0</t>
  </si>
  <si>
    <t>SYS :2016/11/23 10:02:35.382:ENFORCEMENT:Reactive Enforcement Action:  Target Number: 0000600B  Target Speed:  20.0  Current Speed:  25.0</t>
  </si>
  <si>
    <t>SYS :2016/11/23 10:02:35.422:ENFORCEMENT:Reactive Enforcement Action:  Target Number: 0000600B  Target Speed:  20.0  Current Speed:  25.0</t>
  </si>
  <si>
    <t>SYS :2016/11/23 10:32:20.305:ENFORCEMENT:Predictive Enforcement Action:  Target Number: 0000602F  Target Speed:   0.0  Current Speed:  68.9</t>
  </si>
  <si>
    <t>SYS :2016/11/23 10:32:20.500:ENFORCEMENT:Predictive Enforcement Action:  Target Number: 0000602F  Target Speed:   0.0  Current Speed:  68.5</t>
  </si>
  <si>
    <t>SYS :2016/11/23 10:32:20.706:ENFORCEMENT:Predictive Enforcement Action:  Target Number: 00006030  Target Speed:   0.0  Current Speed:  68.9</t>
  </si>
  <si>
    <t>SYS :2016/11/23 10:32:55.320:ENFORCEMENT:Predictive Enforcement Action:  Target Number: 00001023  Target Speed:   0.0  Current Speed:   3.6</t>
  </si>
  <si>
    <t>SYS :2016/11/23 12:20:24.601:ENFORCEMENT:Predictive Enforcement Action:  Target Number: 0000101B  Target Speed:   0.0  Current Speed:   6.0</t>
  </si>
  <si>
    <t>SYS :2016/11/23 12:20:25.121:ENFORCEMENT:Predictive Enforcement Action:  Target Number: 00001023  Target Speed:   0.0  Current Speed:   6.0</t>
  </si>
  <si>
    <t>SYS :2016/11/23 13:23:18.388:ENFORCEMENT:Reactive Enforcement Action:  Target Number: 00017003  Target Speed:  18.0  Current Speed:  23.1</t>
  </si>
  <si>
    <t>SYS :2016/11/23 13:23:18.954:ENFORCEMENT:Reactive Enforcement Action:  Target Number: 00017003  Target Speed:  18.0  Current Speed:  23.1</t>
  </si>
  <si>
    <t>SYS :2016/11/23 14:13:29.710:ENFORCEMENT:Reactive Enforcement Action:  Target Number: 0001002C  Target Speed:  15.0  Current Speed:  20.2</t>
  </si>
  <si>
    <t>SYS :2016/11/23 14:13:30.407:ENFORCEMENT:Reactive Enforcement Action:  Target Number: 0001002C  Target Speed:  15.0  Current Speed:  20.2</t>
  </si>
  <si>
    <t>SYS :2016/11/23 14:13:30.811:ENFORCEMENT:Reactive Enforcement Action:  Target Number: 0001002C  Target Speed:  15.0  Current Speed:  20.2</t>
  </si>
  <si>
    <t>SYS :2016/11/23 14:28:43.826:ENFORCEMENT:Predictive Enforcement Action:  Target Number: 000170F4  Target Speed:  58.0  Current Speed:  63.3</t>
  </si>
  <si>
    <t>SYS :2016/11/23 14:28:44.125:ENFORCEMENT:Predictive Enforcement Action:  Target Number: 000170F4  Target Speed:  58.0  Current Speed:  63.2</t>
  </si>
  <si>
    <t>SYS :2016/11/23 14:50:30.992:ENFORCEMENT:Predictive Enforcement Action:  Target Number: 00017005  Target Speed:   0.0  Current Speed:  38.1</t>
  </si>
  <si>
    <t>SYS :2016/11/23 14:50:31.148:ENFORCEMENT:Predictive Enforcement Action:  Target Number: 00017005  Target Speed:   0.0  Current Speed:  38.1</t>
  </si>
  <si>
    <t>SYS :2016/11/23 15:50:48.154:ENFORCEMENT:Predictive Enforcement Action:  Target Number: 00010088  Target Speed:  40.0  Current Speed:  45.2</t>
  </si>
  <si>
    <t>SYS :2016/11/23 16:04:21.602:ENFORCEMENT:Predictive Enforcement Action:  Target Number: 00001021  Target Speed:   0.0  Current Speed:   4.5</t>
  </si>
  <si>
    <t>SYS :2016/11/23 16:04:22.119:ENFORCEMENT:Predictive Enforcement Action:  Target Number: 00001029  Target Speed:   0.0  Current Speed:   4.5</t>
  </si>
  <si>
    <t>SYS :2016/11/23 16:04:22.314:ENFORCEMENT:Predictive Enforcement Action:  Target Number: 0000102C  Target Speed:   0.0  Current Speed:   4.5</t>
  </si>
  <si>
    <t>SYS :2016/11/23 16:17:58.490:ENFORCEMENT:Predictive Enforcement Action:  Target Number: 00001005  Target Speed:   0.0  Current Speed:   6.3</t>
  </si>
  <si>
    <t>SYS :2016/11/23 16:17:58.765:ENFORCEMENT:Predictive Enforcement Action:  Target Number: 00001005  Target Speed:   0.0  Current Speed:   6.3</t>
  </si>
  <si>
    <t>SYS :2016/11/23 16:17:58.849:ENFORCEMENT:Predictive Enforcement Action:  Target Number: 00001005  Target Speed:   0.0  Current Speed:   6.3</t>
  </si>
  <si>
    <t>SYS :2016/11/23 16:35:18.135:ENFORCEMENT:Predictive Enforcement Action:  Target Number: 00001004  Target Speed:   0.0  Current Speed:   7.1</t>
  </si>
  <si>
    <t>SYS :2016/11/23 16:35:18.830:ENFORCEMENT:Predictive Enforcement Action:  Target Number: 00001003  Target Speed:   0.0  Current Speed:   7.1</t>
  </si>
  <si>
    <t>SYS :2016/11/23 16:35:19.094:ENFORCEMENT:Predictive Enforcement Action:  Target Number: 00001004  Target Speed:   0.0  Current Speed:   7.1</t>
  </si>
  <si>
    <t>SYS :2016/11/23 17:05:05.970:ENFORCEMENT:Predictive Enforcement Action:  Target Number: 00001006  Target Speed:   0.0  Current Speed:   5.0</t>
  </si>
  <si>
    <t>SYS :2016/11/23 17:05:05.992:ENFORCEMENT:Predictive Enforcement Action:  Target Number: 00001006  Target Speed:   0.0  Current Speed:   4.9</t>
  </si>
  <si>
    <t>SYS :2016/11/23 17:05:06.293:ENFORCEMENT:Predictive Enforcement Action:  Target Number: 00001006  Target Speed:   0.0  Current Speed:   5.0</t>
  </si>
  <si>
    <t>SYS :2016/11/23 17:20:15.982:ENFORCEMENT:Predictive Enforcement Action:  Target Number: 0000100C  Target Speed:   0.0  Current Speed:   7.8</t>
  </si>
  <si>
    <t>SYS :2016/11/23 17:20:20.533:ENFORCEMENT:Predictive Enforcement Action:  Target Number: 00001006  Target Speed:   0.0  Current Speed:   8.3</t>
  </si>
  <si>
    <t>SYS :2016/11/23 17:20:20.950:ENFORCEMENT:Predictive Enforcement Action:  Target Number: 00001007  Target Speed:   0.0  Current Speed:   8.1</t>
  </si>
  <si>
    <t>SYS :2016/11/23 17:20:58.377:ENFORCEMENT:Predictive Enforcement Action:  Target Number: 00001007  Target Speed:   0.0  Current Speed:   3.4</t>
  </si>
  <si>
    <t>SYS :2016/11/23 17:20:58.531:ENFORCEMENT:Predictive Enforcement Action:  Target Number: 00001006  Target Speed:   0.0  Current Speed:   3.4</t>
  </si>
  <si>
    <t>SYS :2016/11/23 17:20:58.944:ENFORCEMENT:Predictive Enforcement Action:  Target Number: 00001007  Target Speed:   0.0  Current Speed:   3.4</t>
  </si>
  <si>
    <t>SYS :2016/11/23 17:46:56.149:ENFORCEMENT:Predictive Enforcement Action:  Target Number: 0000403C  Target Speed:   0.0  Current Speed:  49.2</t>
  </si>
  <si>
    <t>SYS :2016/11/23 17:46:56.159:ENFORCEMENT:Predictive Enforcement Action:  Target Number: 00004064  Target Speed:   0.0  Current Speed:  49.2</t>
  </si>
  <si>
    <t>SYS :2016/11/23 17:46:56.204:ENFORCEMENT:Predictive Enforcement Action:  Target Number: 00004063  Target Speed:   0.0  Current Speed:  49.1</t>
  </si>
  <si>
    <t>SYS :2016/11/23 18:03:35.503:ENFORCEMENT:Predictive Enforcement Action:  Target Number: 00001007  Target Speed:   0.0  Current Speed:   4.4</t>
  </si>
  <si>
    <t>SYS :2016/11/23 18:03:35.762:ENFORCEMENT:Predictive Enforcement Action:  Target Number: 00001007  Target Speed:   0.0  Current Speed:   4.4</t>
  </si>
  <si>
    <t>SYS :2016/11/23 18:03:35.851:ENFORCEMENT:Predictive Enforcement Action:  Target Number: 00001007  Target Speed:   0.0  Current Speed:   4.4</t>
  </si>
  <si>
    <t>SYS :2016/11/23 20:06:35.570:ENFORCEMENT:Predictive Enforcement Action:  Target Number: 0000A013  Target Speed:  15.0  Current Speed:  21.1</t>
  </si>
  <si>
    <t>SYS :2016/11/23 20:06:35.584:ENFORCEMENT:Predictive Enforcement Action:  Target Number: 00017082  Target Speed:  14.0  Current Speed:  21.1</t>
  </si>
  <si>
    <t>SYS :2016/11/23 20:06:36.195:ENFORCEMENT:Predictive Enforcement Action:  Target Number: 0000A035  Target Speed:  15.0  Current Speed:  20.9</t>
  </si>
  <si>
    <t>SYS :2016/11/23 20:06:36.210:ENFORCEMENT:Predictive Enforcement Action:  Target Number: 00017196  Target Speed:  14.0  Current Speed:  20.9</t>
  </si>
  <si>
    <t>SYS :2016/11/23 20:06:36.390:ENFORCEMENT:Predictive Enforcement Action:  Target Number: 0000A035  Target Speed:  15.0  Current Speed:  20.9</t>
  </si>
  <si>
    <t>SYS :2016/11/23 20:06:36.417:ENFORCEMENT:Predictive Enforcement Action:  Target Number: 0001718A  Target Speed:  14.0  Current Speed:  20.9</t>
  </si>
  <si>
    <t>SYS :2016/11/23 20:18:39.959:ENFORCEMENT:Reactive Enforcement Action:  Target Number: 00010087  Target Speed:  20.0  Current Speed:  25.7</t>
  </si>
  <si>
    <t>SYS :2016/11/23 20:18:40.376:ENFORCEMENT:Reactive Enforcement Action:  Target Number: 00010087  Target Speed:  20.0  Current Speed:  25.7</t>
  </si>
  <si>
    <t>SYS :2016/11/23 20:18:40.546:ENFORCEMENT:Reactive Enforcement Action:  Target Number: 00010084  Target Speed:  20.0  Current Speed:  25.7</t>
  </si>
  <si>
    <t>SYS :2016/11/23 20:22:07.827:ENFORCEMENT:Predictive Enforcement Action:  Target Number: 00001009  Target Speed:   0.0  Current Speed:   3.8</t>
  </si>
  <si>
    <t>SYS :2016/11/23 20:22:07.875:ENFORCEMENT:Predictive Enforcement Action:  Target Number: 00001008  Target Speed:   0.0  Current Speed:   3.8</t>
  </si>
  <si>
    <t>SYS :2016/11/23 20:52:40.630:ENFORCEMENT:Predictive Enforcement Action:  Target Number: 0000636E  Target Speed:   0.0  Current Speed:  69.6</t>
  </si>
  <si>
    <t>SYS :2016/11/23 20:52:41.136:ENFORCEMENT:Predictive Enforcement Action:  Target Number: 00006489  Target Speed:   0.0  Current Speed:  69.6</t>
  </si>
  <si>
    <t>SYS :2016/11/23 20:52:41.336:ENFORCEMENT:Predictive Enforcement Action:  Target Number: 000064DB  Target Speed:   0.0  Current Speed:  69.6</t>
  </si>
  <si>
    <t>SYS :2016/11/23 20:58:21.609:ENFORCEMENT:Predictive Enforcement Action:  Target Number: 00006377  Target Speed:   0.0  Current Speed:  10.4</t>
  </si>
  <si>
    <t>SYS :2016/11/23 20:58:22.121:ENFORCEMENT:Predictive Enforcement Action:  Target Number: 00006492  Target Speed:   0.0  Current Speed:  10.4</t>
  </si>
  <si>
    <t>SYS :2016/11/23 20:58:22.318:ENFORCEMENT:Predictive Enforcement Action:  Target Number: 000064E4  Target Speed:   0.0  Current Speed:  10.4</t>
  </si>
  <si>
    <t>SYS :2016/11/23 22:35:35.983:ENFORCEMENT:Predictive Enforcement Action:  Target Number: 0000101B  Target Speed:   0.0  Current Speed:  15.0</t>
  </si>
  <si>
    <t>SYS :2016/11/23 22:35:38.764:ENFORCEMENT:Predictive Enforcement Action:  Target Number: 0000101B  Target Speed:   0.0  Current Speed:  15.7</t>
  </si>
  <si>
    <t>SYS :2016/11/23 22:35:38.926:ENFORCEMENT:Predictive Enforcement Action:  Target Number: 0000101A  Target Speed:   0.0  Current Speed:  15.7</t>
  </si>
  <si>
    <t>SYS :2016/11/23 22:47:08.653:ENFORCEMENT:Predictive Enforcement Action:  Target Number: 000063C2  Target Speed:   0.0  Current Speed:  48.4</t>
  </si>
  <si>
    <t>SYS :2016/11/23 22:47:08.684:ENFORCEMENT:Predictive Enforcement Action:  Target Number: 00006384  Target Speed:   0.0  Current Speed:  48.4</t>
  </si>
  <si>
    <t>SYS :2016/11/23 22:47:08.878:ENFORCEMENT:Predictive Enforcement Action:  Target Number: 000063BF  Target Speed:   0.0  Current Speed:  48.4</t>
  </si>
  <si>
    <t>SYS :2016/11/23 23:59:22.842:ENFORCEMENT:Predictive Enforcement Action:  Target Number: 00006011  Target Speed:   0.0  Current Speed:  37.8</t>
  </si>
  <si>
    <t>SYS :2016/11/23 23:59:23.050:ENFORCEMENT:Predictive Enforcement Action:  Target Number: 000060CA  Target Speed:   0.0  Current Speed:  37.8</t>
  </si>
  <si>
    <t>SYS :2016/11/24 01:13:32.819:ENFORCEMENT:Predictive Enforcement Action:  Target Number: 000171A8  Target Speed:   0.0  Current Speed:  14.5</t>
  </si>
  <si>
    <t>SYS :2016/11/24 01:13:33.098:ENFORCEMENT:Reactive Enforcement Action:  Target Number: 000171A8  Target Speed:   0.0  Current Speed:  14.3</t>
  </si>
  <si>
    <t>SYS :2016/11/24 01:20:59.694:ENFORCEMENT:Predictive Enforcement Action:  Target Number: 0000614E  Target Speed:   0.0  Current Speed:  27.2</t>
  </si>
  <si>
    <t>SYS :2016/11/24 01:20:59.786:ENFORCEMENT:Predictive Enforcement Action:  Target Number: 000060FD  Target Speed:   0.0  Current Speed:  27.2</t>
  </si>
  <si>
    <t>SYS :2016/11/24 01:21:00.379:ENFORCEMENT:Predictive Enforcement Action:  Target Number: 0000614E  Target Speed:   0.0  Current Speed:  27.2</t>
  </si>
  <si>
    <t>SYS :2016/11/24 01:27:12.002:ENFORCEMENT:Predictive Enforcement Action:  Target Number: 0001017A  Target Speed:  30.0  Current Speed:  41.0</t>
  </si>
  <si>
    <t>SYS :2016/11/24 01:38:02.756:ENFORCEMENT:Predictive Enforcement Action:  Target Number: 00001023  Target Speed:   0.0  Current Speed:   2.7</t>
  </si>
  <si>
    <t>SYS :2016/11/24 01:38:02.886:ENFORCEMENT:Predictive Enforcement Action:  Target Number: 00001001  Target Speed:   0.0  Current Speed:   2.4</t>
  </si>
  <si>
    <t>SYS :2016/11/24 01:38:02.926:ENFORCEMENT:Predictive Enforcement Action:  Target Number: 00001022  Target Speed:   0.0  Current Speed:   2.7</t>
  </si>
  <si>
    <t>SYS :2016/11/24 02:04:16.536:ENFORCEMENT:Predictive Enforcement Action:  Target Number: 000100F9  Target Speed:  15.0  Current Speed:  31.3</t>
  </si>
  <si>
    <t>SYS :2016/11/24 02:04:16.942:ENFORCEMENT:Predictive Enforcement Action:  Target Number: 000100FC  Target Speed:  15.0  Current Speed:  31.3</t>
  </si>
  <si>
    <t>SYS :2016/11/24 02:04:17.372:ENFORCEMENT:Predictive Enforcement Action:  Target Number: 000100FB  Target Speed:  15.0  Current Speed:  30.9</t>
  </si>
  <si>
    <t>SYS :2016/11/24 02:36:59.250:ENFORCEMENT:Predictive Enforcement Action:  Target Number: 0001001C  Target Speed:  15.0  Current Speed:  37.3</t>
  </si>
  <si>
    <t>SYS :2016/11/24 02:36:59.704:ENFORCEMENT:Predictive Enforcement Action:  Target Number: 0001001C  Target Speed:  15.0  Current Speed:  37.1</t>
  </si>
  <si>
    <t>SYS :2016/11/24 02:51:11.116:ENFORCEMENT:Reactive Enforcement Action:  Target Number: 000040FB  Target Speed:   0.0  Current Speed:  33.6</t>
  </si>
  <si>
    <t>SYS :2016/11/24 02:51:11.148:ENFORCEMENT:Reactive Enforcement Action:  Target Number: 00004122  Target Speed:   0.0  Current Speed:  33.6</t>
  </si>
  <si>
    <t>SYS :2016/11/24 02:51:11.152:ENFORCEMENT:Reactive Enforcement Action:  Target Number: 00004122  Target Speed:   0.0  Current Speed:  33.6</t>
  </si>
  <si>
    <t>SYS :2016/11/24 02:57:00.983:ENFORCEMENT:Predictive Enforcement Action:  Target Number: 00001031  Target Speed:   0.0  Current Speed:   6.3</t>
  </si>
  <si>
    <t>SYS :2016/11/24 02:57:01.110:ENFORCEMENT:Predictive Enforcement Action:  Target Number: 0000102B  Target Speed:   0.0  Current Speed:   6.3</t>
  </si>
  <si>
    <t>SYS :2016/11/24 02:57:01.134:ENFORCEMENT:Predictive Enforcement Action:  Target Number: 00001031  Target Speed:   0.0  Current Speed:   6.3</t>
  </si>
  <si>
    <t>SYS :2016/11/24 03:00:42.805:ENFORCEMENT:Reactive Enforcement Action:  Target Number: 0000A013  Target Speed:  15.0  Current Speed:  20.1</t>
  </si>
  <si>
    <t>SYS :2016/11/24 03:00:43.098:ENFORCEMENT:Reactive Enforcement Action:  Target Number: 0000A013  Target Speed:  15.0  Current Speed:  20.1</t>
  </si>
  <si>
    <t>SYS :2016/11/24 06:06:21.936:ENFORCEMENT:Predictive Enforcement Action:  Target Number: 00001016  Target Speed:   0.0  Current Speed:   6.3</t>
  </si>
  <si>
    <t>SYS :2016/11/24 06:06:22.372:ENFORCEMENT:Predictive Enforcement Action:  Target Number: 00001016  Target Speed:   0.0  Current Speed:   6.3</t>
  </si>
  <si>
    <t>SYS :2016/11/24 06:06:22.531:ENFORCEMENT:Predictive Enforcement Action:  Target Number: 00001015  Target Speed:   0.0  Current Speed:   6.3</t>
  </si>
  <si>
    <t>SYS :2016/11/24 08:32:31.080:ENFORCEMENT:Predictive Enforcement Action:  Target Number: 00006066  Target Speed:   0.0  Current Speed:  60.9</t>
  </si>
  <si>
    <t>SYS :2016/11/24 08:32:31.247:ENFORCEMENT:Predictive Enforcement Action:  Target Number: 00006066  Target Speed:   0.0  Current Speed:  60.9</t>
  </si>
  <si>
    <t>SYS :2016/11/24 08:32:31.551:ENFORCEMENT:Predictive Enforcement Action:  Target Number: 00006034  Target Speed:   0.0  Current Speed:  60.9</t>
  </si>
  <si>
    <t>CPU1 commanded brake, others did not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</si>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</sst>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72fa3ffa-ba5c-47c3-9b77-c5357fb982a7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stevetu21.github.io/eaglep3/load_kml.html?kml=http://rtdc.gmaps-snips.s3.amazonaws.com/e0b23ebc-b282-41e6-b265-b78a04cbaa52.kml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stevetu21.github.io/eaglep3/load_kml.html?kml=http://rtdc.gmaps-snips.s3.amazonaws.com/d0ed2a09-ebaa-4a44-8331-33cc875a1299.kml" TargetMode="External"/><Relationship Id="rId1" Type="http://schemas.openxmlformats.org/officeDocument/2006/relationships/hyperlink" Target="http://stevetu21.github.io/eaglep3/load_kml.html?kml=http://rtdc.gmaps-snips.s3.amazonaws.com/dd3bef2b-fb28-4c97-aede-f152050819f5.kml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stevetu21.github.io/eaglep3/load_kml.html?kml=http://rtdc.gmaps-snips.s3.amazonaws.com/dc1e244b-d543-43bb-96ae-bb026ed22971.k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3"/>
  <sheetViews>
    <sheetView tabSelected="1" workbookViewId="0">
      <selection activeCell="A253" sqref="A25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42697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COUNTIFS($N$13:$N$9377,"&gt;0",$AG$13:$AG$9377,I1)</f>
        <v>137</v>
      </c>
      <c r="K5" s="44"/>
      <c r="L5" s="44"/>
      <c r="M5" s="45">
        <f>AVERAGEIFS($N$13:$N$9377,$AG$13:$AG$9377,I1)</f>
        <v>38.173114355368007</v>
      </c>
      <c r="N5" s="43">
        <f t="array" ref="N5">MIN(IF($AG$13:$AG$9377=I1,IF(ISNUMBER($N$13:$N$9377),IF($N$13:$N$9377&gt;0,$N$13:$N$9377))))</f>
        <v>34.583333329064772</v>
      </c>
      <c r="O5" s="3">
        <f t="array" ref="O5">MAX(IF($AG$13:$AG$9377=I1,IF(ISNUMBER($N$13:$N$9377),IF($N$13:$N$9377&gt;0,$N$13:$N$9377))))</f>
        <v>49.316666669910774</v>
      </c>
      <c r="P5" s="2"/>
      <c r="R5" s="80" t="s">
        <v>17</v>
      </c>
      <c r="S5" s="55">
        <f>COUNTIFS($N$13:$N$9377,"&gt;0",$AG$13:$AG$9377,R1)</f>
        <v>47</v>
      </c>
      <c r="T5" s="44"/>
      <c r="U5" s="169"/>
      <c r="V5" s="45">
        <f>AVERAGEIFS($N$13:$N$9377,$AG$13:$AG$9377,R1)</f>
        <v>15.265602835731462</v>
      </c>
      <c r="W5" s="43">
        <f t="array" ref="W5">MIN(IF($AG$13:$AG$9377=R1,IF(ISNUMBER($N$13:$N$9377),IF($N$13:$N$9377&gt;0,$N$13:$N$9377))))</f>
        <v>13.18333332426846</v>
      </c>
      <c r="X5" s="173">
        <f t="array" ref="X5">MAX(IF($AG$13:$AG$9377=R1,IF(ISNUMBER($N$13:$N$9377),IF($N$13:$N$9377&gt;0,$N$13:$N$9377))))</f>
        <v>20.299999999115244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COUNTIFS($P$13:$P$9377,"&gt;0",$AG$13:$AG$9377,I1)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COUNTIFS($P$13:$P$9377,"&gt;0",$AG$13:$AG$9377,R1)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38.173114355368007</v>
      </c>
      <c r="N8" s="43">
        <f>N5</f>
        <v>34.583333329064772</v>
      </c>
      <c r="O8" s="3">
        <f>O5</f>
        <v>49.316666669910774</v>
      </c>
      <c r="P8" s="2"/>
      <c r="R8" s="80" t="s">
        <v>16</v>
      </c>
      <c r="S8" s="55">
        <f>S5</f>
        <v>47</v>
      </c>
      <c r="T8" s="44"/>
      <c r="U8" s="169"/>
      <c r="V8" s="45">
        <f>V5</f>
        <v>15.265602835731462</v>
      </c>
      <c r="W8" s="43">
        <f>W5</f>
        <v>13.18333332426846</v>
      </c>
      <c r="X8" s="173">
        <f>X5</f>
        <v>20.299999999115244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0.99715909090909094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395</v>
      </c>
      <c r="B13" s="7">
        <v>4003</v>
      </c>
      <c r="C13" s="22" t="s">
        <v>217</v>
      </c>
      <c r="D13" s="22" t="s">
        <v>361</v>
      </c>
      <c r="E13" s="13">
        <v>42697.134988425925</v>
      </c>
      <c r="F13" s="13">
        <v>42697.136319444442</v>
      </c>
      <c r="G13" s="7">
        <v>0</v>
      </c>
      <c r="H13" s="22" t="s">
        <v>305</v>
      </c>
      <c r="I13" s="13">
        <v>42697.162476851852</v>
      </c>
      <c r="J13" s="7">
        <v>1</v>
      </c>
      <c r="K13" s="109" t="str">
        <f t="shared" ref="K13:K76" si="0">IF(ISEVEN(B13),(B13-1)&amp;"/"&amp;B13,B13&amp;"/"&amp;(B13+1))</f>
        <v>4003/4004</v>
      </c>
      <c r="L13" s="22" t="str">
        <f>VLOOKUP(A13,'Trips&amp;Operators'!$C$1:$E$10000,3,FALSE)</f>
        <v>MAELZER</v>
      </c>
      <c r="M13" s="6">
        <f t="shared" ref="M13:M76" si="1">I13-F13</f>
        <v>2.6157407410209998E-2</v>
      </c>
      <c r="N13" s="7">
        <f t="shared" ref="N13:P76" si="2">24*60*SUM($M13:$M13)</f>
        <v>37.666666670702398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https://search-rtdc-monitor-bjffxe2xuh6vdkpspy63sjmuny.us-east-1.es.amazonaws.com/_plugin/kibana/#/discover/Steve-Slow-Train-Analysis-(2080s-and-2083s)?_g=(refreshInterval:(display:Off,section:0,value:0),time:(from:'2016-11-23 02:14:23-700',mode:absolute,to:'2016-11-23 04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7.5899999999999995E-2</v>
      </c>
      <c r="Z13" s="67">
        <f t="shared" ref="Z13:Z76" si="9">RIGHT(H13,LEN(H13)-4)/10000</f>
        <v>23.331700000000001</v>
      </c>
      <c r="AA13" s="67">
        <f t="shared" ref="AA13:AA76" si="10">ABS(Z13-Y13)</f>
        <v>23.255800000000001</v>
      </c>
      <c r="AB13" s="64" t="str">
        <f>VLOOKUP(A13,Enforcements!$C$7:$K$20,8,0)</f>
        <v>Signal based authority (5)</v>
      </c>
      <c r="AC13" s="60" t="str">
        <f>VLOOKUP(A13,Enforcements!$C$7:$E$20,3,0)</f>
        <v>SIGNAL</v>
      </c>
      <c r="AD13" s="61" t="str">
        <f t="shared" ref="AD13:AD76" si="11">IF(LEN(A13)=6,"0"&amp;A13,A13)</f>
        <v>0101-23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/stypes="app*4003*20161123*"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4003 --swversion DE.1.0.8.0 --startMP 204:759 --initTime 2016-11-23T03:14:23 --startdatetime 2016-11-23T03:16:18 --delay 0 --endMP 204:233317 --enddatetime 2016-11-23T03:53:58 --enforcementcount 1 &gt;&gt;C:\Users\stu\Documents\GitHub\eaglep3-reporting\EC\2016-11-23-refined-times.txt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{"issue":{"subject":"","project_id":79,"tracker_id":40,"status_id":1,"priority_id":2,"assigned_to_id":23,"start_date":"2016-11-23","description":"","custom_fields":[{"id":1,"name":"Subdivision","value":"EC"},{"id":4,"name":"Milepost","value":"23.3317"},{"id":17,"name":"Train ID","value":"101-23"},{"id":16,"name":"Locomotive ID","value":"4003"},{"id":130,"name":"Impact","value":""},{"id":150,"name":"Time of Event (Mountain Time)","value":"03:53:58"},{"id":151,"name":"Denver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440</v>
      </c>
      <c r="B14" s="7">
        <v>4008</v>
      </c>
      <c r="C14" s="22" t="s">
        <v>217</v>
      </c>
      <c r="D14" s="22" t="s">
        <v>629</v>
      </c>
      <c r="E14" s="13">
        <v>42697.171087962961</v>
      </c>
      <c r="F14" s="13">
        <v>42697.174699074072</v>
      </c>
      <c r="G14" s="7">
        <v>1</v>
      </c>
      <c r="H14" s="22" t="s">
        <v>196</v>
      </c>
      <c r="I14" s="13">
        <v>42697.200567129628</v>
      </c>
      <c r="J14" s="7">
        <v>0</v>
      </c>
      <c r="K14" s="109" t="str">
        <f t="shared" si="0"/>
        <v>4007/4008</v>
      </c>
      <c r="L14" s="22" t="str">
        <f>VLOOKUP(A14,'Trips&amp;Operators'!$C$1:$E$10000,3,FALSE)</f>
        <v>MAELZER</v>
      </c>
      <c r="M14" s="6">
        <f t="shared" si="1"/>
        <v>2.5868055556202307E-2</v>
      </c>
      <c r="N14" s="7">
        <f t="shared" si="2"/>
        <v>37.250000000931323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03:06:22-700',mode:absolute,to:'2016-11-23 05:48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23.268899999999999</v>
      </c>
      <c r="Z14" s="67">
        <f t="shared" si="9"/>
        <v>1.49E-2</v>
      </c>
      <c r="AA14" s="67">
        <f t="shared" si="10"/>
        <v>23.253999999999998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0102-23</v>
      </c>
      <c r="AE14" s="91" t="str">
        <f t="shared" si="12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14" s="88" t="str">
        <f t="shared" si="13"/>
        <v>"C:\Program Files (x86)\AstroGrep\AstroGrep.exe" /spath="%USERPROFILE%\AppData\Local\Temp\OnboardLogs" /stypes="app*4008*20161123*"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4008 --swversion DE.1.0.8.0 --startMP 204:232689 --initTime 2016-11-23T04:06:22 --startdatetime 2016-11-23T04:11:34 --delay 1 --endMP 204:149 --enddatetime 2016-11-23T04:48:49 --enforcementcount 0 &gt;&gt;C:\Users\stu\Documents\GitHub\eaglep3-reporting\EC\2016-11-23-refined-times.txt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ID","value":"102-23"},{"id":16,"name":"Locomotive ID","value":"4008"},{"id":130,"name":"Impact","value":""},{"id":150,"name":"Time of Event (Mountain Time)","value":"04:48:49"},{"id":151,"name":"Denver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436</v>
      </c>
      <c r="B15" s="7">
        <v>4042</v>
      </c>
      <c r="C15" s="22" t="s">
        <v>217</v>
      </c>
      <c r="D15" s="22" t="s">
        <v>630</v>
      </c>
      <c r="E15" s="13">
        <v>42697.151608796295</v>
      </c>
      <c r="F15" s="13">
        <v>42697.156469907408</v>
      </c>
      <c r="G15" s="7">
        <v>1</v>
      </c>
      <c r="H15" s="22" t="s">
        <v>631</v>
      </c>
      <c r="I15" s="13">
        <v>42697.181851851848</v>
      </c>
      <c r="J15" s="7">
        <v>0</v>
      </c>
      <c r="K15" s="109" t="str">
        <f t="shared" si="0"/>
        <v>4041/4042</v>
      </c>
      <c r="L15" s="22" t="str">
        <f>VLOOKUP(A15,'Trips&amp;Operators'!$C$1:$E$10000,3,FALSE)</f>
        <v>ACKERMAN</v>
      </c>
      <c r="M15" s="6">
        <f t="shared" si="1"/>
        <v>2.5381944440596271E-2</v>
      </c>
      <c r="N15" s="7">
        <f t="shared" si="2"/>
        <v>36.549999994458631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02:38:19-700',mode:absolute,to:'2016-11-23 05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6.93E-2</v>
      </c>
      <c r="Z15" s="67">
        <f t="shared" si="9"/>
        <v>23.335699999999999</v>
      </c>
      <c r="AA15" s="67">
        <f t="shared" si="10"/>
        <v>23.266400000000001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0103-23</v>
      </c>
      <c r="AE15" s="91" t="str">
        <f t="shared" si="12"/>
        <v>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 &amp; aws s3 cp s3://rtdc.mdm.uploadarchive.raw/RTDC4042/ "%USERPROFILE%\AppData\Local\Temp\OnboardLogs"\RTDC4042\2016-11-24 --exclude "*" --recursive --include "*20161124*" &amp; "%USERPROFILE%\Documents\GitHub\mrs-test-scripts\Headless Mode &amp; Sideloading\WalkAndUnGZ.bat" "%USERPROFILE%\AppData\Local\Temp\OnboardLogs"\RTDC4042\2016-11-24</v>
      </c>
      <c r="AF15" s="88" t="str">
        <f t="shared" si="13"/>
        <v>"C:\Program Files (x86)\AstroGrep\AstroGrep.exe" /spath="%USERPROFILE%\AppData\Local\Temp\OnboardLogs" /stypes="app*4042*20161123*"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103-23 --locoid 4042 --swversion DE.1.0.8.0 --startMP 204:693 --initTime 2016-11-23T03:38:19 --startdatetime 2016-11-23T03:45:19 --delay 1 --endMP 204:233357 --enddatetime 2016-11-23T04:21:52 --enforcementcount 0 &gt;&gt;C:\Users\stu\Documents\GitHub\eaglep3-reporting\EC\2016-11-23-refined-times.txt</v>
      </c>
      <c r="AI1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{"issue":{"subject":"","project_id":79,"tracker_id":40,"status_id":1,"priority_id":2,"assigned_to_id":23,"start_date":"2016-11-23","description":"","custom_fields":[{"id":1,"name":"Subdivision","value":"EC"},{"id":4,"name":"Milepost","value":"23.3357"},{"id":17,"name":"Train ID","value":"103-23"},{"id":16,"name":"Locomotive ID","value":"4042"},{"id":130,"name":"Impact","value":""},{"id":150,"name":"Time of Event (Mountain Time)","value":"04:21:52"},{"id":151,"name":"Denver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397</v>
      </c>
      <c r="B16" s="7">
        <v>4026</v>
      </c>
      <c r="C16" s="22" t="s">
        <v>217</v>
      </c>
      <c r="D16" s="22" t="s">
        <v>632</v>
      </c>
      <c r="E16" s="13">
        <v>42697.189155092594</v>
      </c>
      <c r="F16" s="13">
        <v>42697.195405092592</v>
      </c>
      <c r="G16" s="7">
        <v>2</v>
      </c>
      <c r="H16" s="22" t="s">
        <v>633</v>
      </c>
      <c r="I16" s="13">
        <v>42697.222581018519</v>
      </c>
      <c r="J16" s="7">
        <v>1</v>
      </c>
      <c r="K16" s="109" t="str">
        <f t="shared" si="0"/>
        <v>4025/4026</v>
      </c>
      <c r="L16" s="22" t="str">
        <f>VLOOKUP(A16,'Trips&amp;Operators'!$C$1:$E$10000,3,FALSE)</f>
        <v>ACKERMAN</v>
      </c>
      <c r="M16" s="6">
        <f t="shared" si="1"/>
        <v>2.7175925926712807E-2</v>
      </c>
      <c r="N16" s="7">
        <f t="shared" si="2"/>
        <v>39.133333334466442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03:32:23-700',mode:absolute,to:'2016-11-23 06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23.272300000000001</v>
      </c>
      <c r="Z16" s="67">
        <f t="shared" si="9"/>
        <v>2.01E-2</v>
      </c>
      <c r="AA16" s="67">
        <f t="shared" si="10"/>
        <v>23.252200000000002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0104-23</v>
      </c>
      <c r="AE16" s="91" t="str">
        <f t="shared" si="12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6" s="88" t="str">
        <f t="shared" si="13"/>
        <v>"C:\Program Files (x86)\AstroGrep\AstroGrep.exe" /spath="%USERPROFILE%\AppData\Local\Temp\OnboardLogs" /stypes="app*4026*20161123*"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104-23 --locoid 4026 --swversion DE.1.0.8.0 --startMP 204:232723 --initTime 2016-11-23T04:32:23 --startdatetime 2016-11-23T04:41:23 --delay 2 --endMP 204:201 --enddatetime 2016-11-23T05:20:31 --enforcementcount 1 &gt;&gt;C:\Users\stu\Documents\GitHub\eaglep3-reporting\EC\2016-11-23-refined-times.txt</v>
      </c>
      <c r="AI1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{"issue":{"subject":"","project_id":79,"tracker_id":40,"status_id":1,"priority_id":2,"assigned_to_id":23,"start_date":"2016-11-23","description":"","custom_fields":[{"id":1,"name":"Subdivision","value":"EC"},{"id":4,"name":"Milepost","value":"0.0201"},{"id":17,"name":"Train ID","value":"104-23"},{"id":16,"name":"Locomotive ID","value":"4026"},{"id":130,"name":"Impact","value":""},{"id":150,"name":"Time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437</v>
      </c>
      <c r="B17" s="7">
        <v>4040</v>
      </c>
      <c r="C17" s="22" t="s">
        <v>217</v>
      </c>
      <c r="D17" s="22" t="s">
        <v>634</v>
      </c>
      <c r="E17" s="13">
        <v>42697.175185185188</v>
      </c>
      <c r="F17" s="13">
        <v>42697.177465277775</v>
      </c>
      <c r="G17" s="7">
        <v>1</v>
      </c>
      <c r="H17" s="22" t="s">
        <v>327</v>
      </c>
      <c r="I17" s="13">
        <v>42697.202824074076</v>
      </c>
      <c r="J17" s="7">
        <v>0</v>
      </c>
      <c r="K17" s="109" t="str">
        <f t="shared" si="0"/>
        <v>4039/4040</v>
      </c>
      <c r="L17" s="22" t="str">
        <f>VLOOKUP(A17,'Trips&amp;Operators'!$C$1:$E$10000,3,FALSE)</f>
        <v>SANTIZO</v>
      </c>
      <c r="M17" s="6">
        <f t="shared" si="1"/>
        <v>2.5358796301588882E-2</v>
      </c>
      <c r="N17" s="7">
        <f t="shared" si="2"/>
        <v>36.51666667428799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03:12:16-700',mode:absolute,to:'2016-11-23 05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7.5399999999999995E-2</v>
      </c>
      <c r="Z17" s="67">
        <f t="shared" si="9"/>
        <v>23.3323</v>
      </c>
      <c r="AA17" s="67">
        <f t="shared" si="10"/>
        <v>23.256900000000002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0105-23</v>
      </c>
      <c r="AE17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17" s="88" t="str">
        <f t="shared" si="13"/>
        <v>"C:\Program Files (x86)\AstroGrep\AstroGrep.exe" /spath="%USERPROFILE%\AppData\Local\Temp\OnboardLogs" /stypes="app*4040*20161123*"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105-23 --locoid 4040 --swversion DE.1.0.8.0 --startMP 204:754 --initTime 2016-11-23T04:12:16 --startdatetime 2016-11-23T04:15:33 --delay 1 --endMP 204:233323 --enddatetime 2016-11-23T04:52:04 --enforcementcount 0 &gt;&gt;C:\Users\stu\Documents\GitHub\eaglep3-reporting\EC\2016-11-23-refined-times.txt</v>
      </c>
      <c r="AI1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{"issue":{"subject":"","project_id":79,"tracker_id":40,"status_id":1,"priority_id":2,"assigned_to_id":23,"start_date":"2016-11-23","description":"","custom_fields":[{"id":1,"name":"Subdivision","value":"EC"},{"id":4,"name":"Milepost","value":"23.3323"},{"id":17,"name":"Train ID","value":"105-23"},{"id":16,"name":"Locomotive ID","value":"4040"},{"id":130,"name":"Impact","value":""},{"id":150,"name":"Time of Event (Mountain Time)","value":"04:52:04"},{"id":151,"name":"Denver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447</v>
      </c>
      <c r="B18" s="7">
        <v>4030</v>
      </c>
      <c r="C18" s="22" t="s">
        <v>217</v>
      </c>
      <c r="D18" s="22" t="s">
        <v>635</v>
      </c>
      <c r="E18" s="13">
        <v>42697.208171296297</v>
      </c>
      <c r="F18" s="13">
        <v>42697.216249999998</v>
      </c>
      <c r="G18" s="7">
        <v>5</v>
      </c>
      <c r="H18" s="22" t="s">
        <v>197</v>
      </c>
      <c r="I18" s="13">
        <v>42697.242685185185</v>
      </c>
      <c r="J18" s="7">
        <v>0</v>
      </c>
      <c r="K18" s="109" t="str">
        <f t="shared" si="0"/>
        <v>4029/4030</v>
      </c>
      <c r="L18" s="22" t="str">
        <f>VLOOKUP(A18,'Trips&amp;Operators'!$C$1:$E$10000,3,FALSE)</f>
        <v>SANTIZO</v>
      </c>
      <c r="M18" s="6">
        <f t="shared" si="1"/>
        <v>2.6435185187438037E-2</v>
      </c>
      <c r="N18" s="7">
        <f t="shared" si="2"/>
        <v>38.066666669910774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03:59:46-700',mode:absolute,to:'2016-11-23 06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23.269400000000001</v>
      </c>
      <c r="Z18" s="67">
        <f t="shared" si="9"/>
        <v>1.43E-2</v>
      </c>
      <c r="AA18" s="67">
        <f t="shared" si="10"/>
        <v>23.255100000000002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0106-23</v>
      </c>
      <c r="AE18" s="91" t="str">
        <f t="shared" si="12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8" s="88" t="str">
        <f t="shared" si="13"/>
        <v>"C:\Program Files (x86)\AstroGrep\AstroGrep.exe" /spath="%USERPROFILE%\AppData\Local\Temp\OnboardLogs" /stypes="app*4030*20161123*"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106-23 --locoid 4030 --swversion DE.1.0.8.0 --startMP 204:232694 --initTime 2016-11-23T04:59:46 --startdatetime 2016-11-23T05:11:24 --delay 5 --endMP 204:143 --enddatetime 2016-11-23T05:49:28 --enforcementcount 0 &gt;&gt;C:\Users\stu\Documents\GitHub\eaglep3-reporting\EC\2016-11-23-refined-times.txt</v>
      </c>
      <c r="AI1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ID","value":"106-23"},{"id":16,"name":"Locomotive ID","value":"4030"},{"id":130,"name":"Impact","value":""},{"id":150,"name":"Time of Event (Mountain Time)","value":"05:49:28"},{"id":151,"name":"Denver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443</v>
      </c>
      <c r="B19" s="7">
        <v>4046</v>
      </c>
      <c r="C19" s="22" t="s">
        <v>217</v>
      </c>
      <c r="D19" s="22" t="s">
        <v>294</v>
      </c>
      <c r="E19" s="13">
        <v>42697.18178240741</v>
      </c>
      <c r="F19" s="13">
        <v>42697.187708333331</v>
      </c>
      <c r="G19" s="7">
        <v>1</v>
      </c>
      <c r="H19" s="22" t="s">
        <v>636</v>
      </c>
      <c r="I19" s="13">
        <v>42697.198912037034</v>
      </c>
      <c r="J19" s="7">
        <v>0</v>
      </c>
      <c r="K19" s="109" t="str">
        <f t="shared" si="0"/>
        <v>4045/4046</v>
      </c>
      <c r="L19" s="22" t="str">
        <f>VLOOKUP(A19,'Trips&amp;Operators'!$C$1:$E$10000,3,FALSE)</f>
        <v>SPECTOR</v>
      </c>
      <c r="M19" s="6">
        <f t="shared" si="1"/>
        <v>1.1203703703358769E-2</v>
      </c>
      <c r="N19" s="7"/>
      <c r="O19" s="7"/>
      <c r="P19" s="7">
        <f t="shared" si="2"/>
        <v>16.133333332836628</v>
      </c>
      <c r="Q19" s="23"/>
      <c r="R19" s="23" t="s">
        <v>838</v>
      </c>
      <c r="S19" s="35">
        <f t="shared" si="3"/>
        <v>0.75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9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03:21:46-700',mode:absolute,to:'2016-11-23 05:46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Y</v>
      </c>
      <c r="X19" s="177">
        <f t="shared" si="7"/>
        <v>1</v>
      </c>
      <c r="Y19" s="67">
        <f t="shared" si="8"/>
        <v>4.7100000000000003E-2</v>
      </c>
      <c r="Z19" s="67">
        <v>7.6466000000000003</v>
      </c>
      <c r="AA19" s="67">
        <f t="shared" si="10"/>
        <v>7.5994999999999999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0107-23</v>
      </c>
      <c r="AE19" s="91" t="str">
        <f t="shared" si="12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9" s="88" t="str">
        <f t="shared" si="13"/>
        <v>"C:\Program Files (x86)\AstroGrep\AstroGrep.exe" /spath="%USERPROFILE%\AppData\Local\Temp\OnboardLogs" /stypes="app*4046*20161123*" /stext=" 11:.+((SYSTEM_STATE.+slice.+state.+changed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107-23 --locoid 4046 --swversion DE.1.0.8.0 --startMP 204:471 --initTime 2016-11-23T04:21:46 --startdatetime 2016-11-23T04:30:18 --delay 1 --endMP 204:128272 --enddatetime 2016-11-23T04:46:26 --enforcementcount 0 &gt;&gt;C:\Users\stu\Documents\GitHub\eaglep3-reporting\EC\2016-11-23-refined-times.txt</v>
      </c>
      <c r="AI19" s="119" t="str">
        <f t="shared" si="18"/>
        <v>echo {"issue":{"subject":"Wheel tach slip","project_id":79,"tracker_id":40,"status_id":1,"priority_id":2,"assigned_to_id":23,"start_date":"2016-11-23","description":"","custom_fields":[{"id":1,"name":"Subdivision","value":"EC"},{"id":4,"name":"Milepost","value":"7.6466"},{"id":17,"name":"Train ID","value":"107-23"},{"id":16,"name":"Locomotive ID","value":"4046"},{"id":130,"name":"Impact","value":""},{"id":150,"name":"Time of Event (Mountain Time)","value":"04:46:26"},{"id":151,"name":"Denver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451</v>
      </c>
      <c r="B20" s="7">
        <v>4045</v>
      </c>
      <c r="C20" s="22" t="s">
        <v>217</v>
      </c>
      <c r="D20" s="22" t="s">
        <v>637</v>
      </c>
      <c r="E20" s="13">
        <v>42697.223935185182</v>
      </c>
      <c r="F20" s="13">
        <v>42697.226574074077</v>
      </c>
      <c r="G20" s="7">
        <v>1</v>
      </c>
      <c r="H20" s="22" t="s">
        <v>247</v>
      </c>
      <c r="I20" s="13">
        <v>42697.252581018518</v>
      </c>
      <c r="J20" s="7">
        <v>0</v>
      </c>
      <c r="K20" s="109" t="str">
        <f t="shared" si="0"/>
        <v>4045/4046</v>
      </c>
      <c r="L20" s="22" t="str">
        <f>VLOOKUP(A20,'Trips&amp;Operators'!$C$1:$E$10000,3,FALSE)</f>
        <v>SPECTOR</v>
      </c>
      <c r="M20" s="6">
        <f t="shared" si="1"/>
        <v>2.6006944441178348E-2</v>
      </c>
      <c r="N20" s="7">
        <f t="shared" si="2"/>
        <v>37.449999995296821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04:22:28-700',mode:absolute,to:'2016-11-23 07:03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23.300899999999999</v>
      </c>
      <c r="Z20" s="67">
        <f t="shared" si="9"/>
        <v>1.54E-2</v>
      </c>
      <c r="AA20" s="67">
        <f t="shared" si="10"/>
        <v>23.285499999999999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0108-23</v>
      </c>
      <c r="AE20" s="91" t="str">
        <f t="shared" si="12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20" s="88" t="str">
        <f t="shared" si="13"/>
        <v>"C:\Program Files (x86)\AstroGrep\AstroGrep.exe" /spath="%USERPROFILE%\AppData\Local\Temp\OnboardLogs" /stypes="app*4045*20161123*"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108-23 --locoid 4045 --swversion DE.1.0.8.0 --startMP 204:233009 --initTime 2016-11-23T05:22:28 --startdatetime 2016-11-23T05:26:16 --delay 1 --endMP 204:154 --enddatetime 2016-11-23T06:03:43 --enforcementcount 0 &gt;&gt;C:\Users\stu\Documents\GitHub\eaglep3-reporting\EC\2016-11-23-refined-times.txt</v>
      </c>
      <c r="AI2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{"issue":{"subject":"","project_id":79,"tracker_id":40,"status_id":1,"priority_id":2,"assigned_to_id":23,"start_date":"2016-11-23","description":"","custom_fields":[{"id":1,"name":"Subdivision","value":"EC"},{"id":4,"name":"Milepost","value":"0.0154"},{"id":17,"name":"Train ID","value":"108-23"},{"id":16,"name":"Locomotive ID","value":"4045"},{"id":130,"name":"Impact","value":""},{"id":150,"name":"Time of Event (Mountain Time)","value":"06:03:43"},{"id":151,"name":"Denver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444</v>
      </c>
      <c r="B21" s="7">
        <v>4022</v>
      </c>
      <c r="C21" s="22" t="s">
        <v>217</v>
      </c>
      <c r="D21" s="22" t="s">
        <v>285</v>
      </c>
      <c r="E21" s="13">
        <v>42697.190462962964</v>
      </c>
      <c r="F21" s="13">
        <v>42697.19809027778</v>
      </c>
      <c r="G21" s="7">
        <v>1</v>
      </c>
      <c r="H21" s="22" t="s">
        <v>334</v>
      </c>
      <c r="I21" s="13">
        <v>42697.223194444443</v>
      </c>
      <c r="J21" s="7">
        <v>0</v>
      </c>
      <c r="K21" s="109" t="str">
        <f t="shared" si="0"/>
        <v>4021/4022</v>
      </c>
      <c r="L21" s="22" t="str">
        <f>VLOOKUP(A21,'Trips&amp;Operators'!$C$1:$E$10000,3,FALSE)</f>
        <v>KILLION</v>
      </c>
      <c r="M21" s="6">
        <f t="shared" si="1"/>
        <v>2.5104166663368233E-2</v>
      </c>
      <c r="N21" s="7">
        <f t="shared" si="2"/>
        <v>36.149999995250255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03:34:16-700',mode:absolute,to:'2016-11-23 06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4.5999999999999999E-2</v>
      </c>
      <c r="Z21" s="67">
        <f t="shared" si="9"/>
        <v>23.331900000000001</v>
      </c>
      <c r="AA21" s="67">
        <f t="shared" si="10"/>
        <v>23.285900000000002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0109-23</v>
      </c>
      <c r="AE21" s="91" t="str">
        <f t="shared" si="12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21" s="88" t="str">
        <f t="shared" si="13"/>
        <v>"C:\Program Files (x86)\AstroGrep\AstroGrep.exe" /spath="%USERPROFILE%\AppData\Local\Temp\OnboardLogs" /stypes="app*4022*20161123*"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109-23 --locoid 4022 --swversion DE.1.0.8.0 --startMP 204:460 --initTime 2016-11-23T04:34:16 --startdatetime 2016-11-23T04:45:15 --delay 1 --endMP 204:233319 --enddatetime 2016-11-23T05:21:24 --enforcementcount 0 &gt;&gt;C:\Users\stu\Documents\GitHub\eaglep3-reporting\EC\2016-11-23-refined-times.txt</v>
      </c>
      <c r="AI21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{"issue":{"subject":"","project_id":79,"tracker_id":40,"status_id":1,"priority_id":2,"assigned_to_id":23,"start_date":"2016-11-23","description":"","custom_fields":[{"id":1,"name":"Subdivision","value":"EC"},{"id":4,"name":"Milepost","value":"23.3319"},{"id":17,"name":"Train ID","value":"109-23"},{"id":16,"name":"Locomotive ID","value":"4022"},{"id":130,"name":"Impact","value":""},{"id":150,"name":"Time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453</v>
      </c>
      <c r="B22" s="7">
        <v>4021</v>
      </c>
      <c r="C22" s="22" t="s">
        <v>217</v>
      </c>
      <c r="D22" s="22" t="s">
        <v>364</v>
      </c>
      <c r="E22" s="13">
        <v>42697.22923611111</v>
      </c>
      <c r="F22" s="13">
        <v>42697.237013888887</v>
      </c>
      <c r="G22" s="7">
        <v>1</v>
      </c>
      <c r="H22" s="22" t="s">
        <v>638</v>
      </c>
      <c r="I22" s="13">
        <v>42697.264108796298</v>
      </c>
      <c r="J22" s="7">
        <v>0</v>
      </c>
      <c r="K22" s="109" t="str">
        <f t="shared" si="0"/>
        <v>4021/4022</v>
      </c>
      <c r="L22" s="22" t="str">
        <f>VLOOKUP(A22,'Trips&amp;Operators'!$C$1:$E$10000,3,FALSE)</f>
        <v>KILLION</v>
      </c>
      <c r="M22" s="6">
        <f t="shared" si="1"/>
        <v>2.7094907411083113E-2</v>
      </c>
      <c r="N22" s="7">
        <f t="shared" si="2"/>
        <v>39.016666671959683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04:30:06-700',mode:absolute,to:'2016-11-23 07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</v>
      </c>
      <c r="Z22" s="67">
        <f t="shared" si="9"/>
        <v>3.1600000000000003E-2</v>
      </c>
      <c r="AA22" s="67">
        <f t="shared" si="10"/>
        <v>23.2684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0110-23</v>
      </c>
      <c r="AE22" s="91" t="str">
        <f t="shared" si="12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22" s="88" t="str">
        <f t="shared" si="13"/>
        <v>"C:\Program Files (x86)\AstroGrep\AstroGrep.exe" /spath="%USERPROFILE%\AppData\Local\Temp\OnboardLogs" /stypes="app*4021*20161123*"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110-23 --locoid 4021 --swversion DE.1.0.8.0 --startMP 204:233000 --initTime 2016-11-23T05:30:06 --startdatetime 2016-11-23T05:41:18 --delay 1 --endMP 204:316 --enddatetime 2016-11-23T06:20:19 --enforcementcount 0 &gt;&gt;C:\Users\stu\Documents\GitHub\eaglep3-reporting\EC\2016-11-23-refined-times.txt</v>
      </c>
      <c r="AI2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{"issue":{"subject":"","project_id":79,"tracker_id":40,"status_id":1,"priority_id":2,"assigned_to_id":23,"start_date":"2016-11-23","description":"","custom_fields":[{"id":1,"name":"Subdivision","value":"EC"},{"id":4,"name":"Milepost","value":"0.0316"},{"id":17,"name":"Train ID","value":"110-23"},{"id":16,"name":"Locomotive ID","value":"4021"},{"id":130,"name":"Impact","value":""},{"id":150,"name":"Time of Event (Mountain Time)","value":"06:20:19"},{"id":151,"name":"Denver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446</v>
      </c>
      <c r="B23" s="7">
        <v>4003</v>
      </c>
      <c r="C23" s="22" t="s">
        <v>217</v>
      </c>
      <c r="D23" s="22" t="s">
        <v>634</v>
      </c>
      <c r="E23" s="13">
        <v>42697.204143518517</v>
      </c>
      <c r="F23" s="13">
        <v>42697.208518518521</v>
      </c>
      <c r="G23" s="7">
        <v>1</v>
      </c>
      <c r="H23" s="22" t="s">
        <v>257</v>
      </c>
      <c r="I23" s="13">
        <v>42697.232581018521</v>
      </c>
      <c r="J23" s="7">
        <v>0</v>
      </c>
      <c r="K23" s="109" t="str">
        <f t="shared" si="0"/>
        <v>4003/4004</v>
      </c>
      <c r="L23" s="22" t="str">
        <f>VLOOKUP(A23,'Trips&amp;Operators'!$C$1:$E$10000,3,FALSE)</f>
        <v>JOHNSON</v>
      </c>
      <c r="M23" s="6">
        <f t="shared" si="1"/>
        <v>2.4062500000582077E-2</v>
      </c>
      <c r="N23" s="7">
        <f t="shared" si="2"/>
        <v>34.65000000083819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03:53:58-700',mode:absolute,to:'2016-11-23 06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7.5399999999999995E-2</v>
      </c>
      <c r="Z23" s="67">
        <f t="shared" si="9"/>
        <v>23.328900000000001</v>
      </c>
      <c r="AA23" s="67">
        <f t="shared" si="10"/>
        <v>23.253500000000003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0111-23</v>
      </c>
      <c r="AE23" s="91" t="str">
        <f t="shared" si="12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23" s="88" t="str">
        <f t="shared" si="13"/>
        <v>"C:\Program Files (x86)\AstroGrep\AstroGrep.exe" /spath="%USERPROFILE%\AppData\Local\Temp\OnboardLogs" /stypes="app*4003*20161123*"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111-23 --locoid 4003 --swversion DE.1.0.8.0 --startMP 204:754 --initTime 2016-11-23T04:53:58 --startdatetime 2016-11-23T05:00:16 --delay 1 --endMP 204:233289 --enddatetime 2016-11-23T05:34:55 --enforcementcount 0 &gt;&gt;C:\Users\stu\Documents\GitHub\eaglep3-reporting\EC\2016-11-23-refined-times.txt</v>
      </c>
      <c r="AI2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{"issue":{"subject":"","project_id":79,"tracker_id":40,"status_id":1,"priority_id":2,"assigned_to_id":23,"start_date":"2016-11-23","description":"","custom_fields":[{"id":1,"name":"Subdivision","value":"EC"},{"id":4,"name":"Milepost","value":"23.3289"},{"id":17,"name":"Train ID","value":"111-23"},{"id":16,"name":"Locomotive ID","value":"4003"},{"id":130,"name":"Impact","value":""},{"id":150,"name":"Time of Event (Mountain Time)","value":"05:34:55"},{"id":151,"name":"Denver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456</v>
      </c>
      <c r="B24" s="7">
        <v>4004</v>
      </c>
      <c r="C24" s="22" t="s">
        <v>217</v>
      </c>
      <c r="D24" s="22" t="s">
        <v>332</v>
      </c>
      <c r="E24" s="13">
        <v>42697.246180555558</v>
      </c>
      <c r="F24" s="13">
        <v>42697.24759259259</v>
      </c>
      <c r="G24" s="7">
        <v>1</v>
      </c>
      <c r="H24" s="22" t="s">
        <v>221</v>
      </c>
      <c r="I24" s="13">
        <v>42697.272997685184</v>
      </c>
      <c r="J24" s="7">
        <v>0</v>
      </c>
      <c r="K24" s="109" t="str">
        <f t="shared" si="0"/>
        <v>4003/4004</v>
      </c>
      <c r="L24" s="22" t="str">
        <f>VLOOKUP(A24,'Trips&amp;Operators'!$C$1:$E$10000,3,FALSE)</f>
        <v>JOHNSON</v>
      </c>
      <c r="M24" s="6">
        <f t="shared" si="1"/>
        <v>2.5405092594155576E-2</v>
      </c>
      <c r="N24" s="7">
        <f t="shared" si="2"/>
        <v>36.58333333558403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04:54:30-700',mode:absolute,to:'2016-11-23 07:33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23.297799999999999</v>
      </c>
      <c r="Z24" s="67">
        <f t="shared" si="9"/>
        <v>1.5800000000000002E-2</v>
      </c>
      <c r="AA24" s="67">
        <f t="shared" si="10"/>
        <v>23.282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0112-23</v>
      </c>
      <c r="AE24" s="91" t="str">
        <f t="shared" si="12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24" s="88" t="str">
        <f t="shared" si="13"/>
        <v>"C:\Program Files (x86)\AstroGrep\AstroGrep.exe" /spath="%USERPROFILE%\AppData\Local\Temp\OnboardLogs" /stypes="app*4004*20161123*"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112-23 --locoid 4004 --swversion DE.1.0.8.0 --startMP 204:232978 --initTime 2016-11-23T05:54:30 --startdatetime 2016-11-23T05:56:32 --delay 1 --endMP 204:158 --enddatetime 2016-11-23T06:33:07 --enforcementcount 0 &gt;&gt;C:\Users\stu\Documents\GitHub\eaglep3-reporting\EC\2016-11-23-refined-times.txt</v>
      </c>
      <c r="AI2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{"issue":{"subject":"","project_id":79,"tracker_id":40,"status_id":1,"priority_id":2,"assigned_to_id":23,"start_date":"2016-11-23","description":"","custom_fields":[{"id":1,"name":"Subdivision","value":"EC"},{"id":4,"name":"Milepost","value":"0.0158"},{"id":17,"name":"Train ID","value":"112-23"},{"id":16,"name":"Locomotive ID","value":"4004"},{"id":130,"name":"Impact","value":""},{"id":150,"name":"Time of Event (Mountain Time)","value":"06:33:07"},{"id":151,"name":"Denver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449</v>
      </c>
      <c r="B25" s="7">
        <v>4007</v>
      </c>
      <c r="C25" s="22" t="s">
        <v>217</v>
      </c>
      <c r="D25" s="22" t="s">
        <v>198</v>
      </c>
      <c r="E25" s="13">
        <v>42697.208391203705</v>
      </c>
      <c r="F25" s="13">
        <v>42697.219166666669</v>
      </c>
      <c r="G25" s="7">
        <v>1</v>
      </c>
      <c r="H25" s="22" t="s">
        <v>375</v>
      </c>
      <c r="I25" s="13">
        <v>42697.244421296295</v>
      </c>
      <c r="J25" s="7">
        <v>0</v>
      </c>
      <c r="K25" s="109" t="str">
        <f t="shared" si="0"/>
        <v>4007/4008</v>
      </c>
      <c r="L25" s="22" t="str">
        <f>VLOOKUP(A25,'Trips&amp;Operators'!$C$1:$E$10000,3,FALSE)</f>
        <v>MAELZER</v>
      </c>
      <c r="M25" s="6">
        <f t="shared" si="1"/>
        <v>2.5254629625123926E-2</v>
      </c>
      <c r="N25" s="7">
        <f t="shared" si="2"/>
        <v>36.366666660178453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04:00:05-700',mode:absolute,to:'2016-11-23 06:51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4.4699999999999997E-2</v>
      </c>
      <c r="Z25" s="67">
        <f t="shared" si="9"/>
        <v>23.3308</v>
      </c>
      <c r="AA25" s="67">
        <f t="shared" si="10"/>
        <v>23.286100000000001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0113-23</v>
      </c>
      <c r="AE25" s="91" t="str">
        <f t="shared" si="12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25" s="88" t="str">
        <f t="shared" si="13"/>
        <v>"C:\Program Files (x86)\AstroGrep\AstroGrep.exe" /spath="%USERPROFILE%\AppData\Local\Temp\OnboardLogs" /stypes="app*4007*20161123*"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113-23 --locoid 4007 --swversion DE.1.0.8.0 --startMP 204:447 --initTime 2016-11-23T05:00:05 --startdatetime 2016-11-23T05:15:36 --delay 1 --endMP 204:233308 --enddatetime 2016-11-23T05:51:58 --enforcementcount 0 &gt;&gt;C:\Users\stu\Documents\GitHub\eaglep3-reporting\EC\2016-11-23-refined-times.txt</v>
      </c>
      <c r="AI2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{"issue":{"subject":"","project_id":79,"tracker_id":40,"status_id":1,"priority_id":2,"assigned_to_id":23,"start_date":"2016-11-23","description":"","custom_fields":[{"id":1,"name":"Subdivision","value":"EC"},{"id":4,"name":"Milepost","value":"23.3308"},{"id":17,"name":"Train ID","value":"113-23"},{"id":16,"name":"Locomotive ID","value":"4007"},{"id":130,"name":"Impact","value":""},{"id":150,"name":"Time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460</v>
      </c>
      <c r="B26" s="7">
        <v>4008</v>
      </c>
      <c r="C26" s="22" t="s">
        <v>217</v>
      </c>
      <c r="D26" s="22" t="s">
        <v>639</v>
      </c>
      <c r="E26" s="13">
        <v>42697.253831018519</v>
      </c>
      <c r="F26" s="13">
        <v>42697.258032407408</v>
      </c>
      <c r="G26" s="7">
        <v>1</v>
      </c>
      <c r="H26" s="22" t="s">
        <v>640</v>
      </c>
      <c r="I26" s="13">
        <v>42697.28466435185</v>
      </c>
      <c r="J26" s="7">
        <v>0</v>
      </c>
      <c r="K26" s="109" t="str">
        <f t="shared" si="0"/>
        <v>4007/4008</v>
      </c>
      <c r="L26" s="22" t="str">
        <f>VLOOKUP(A26,'Trips&amp;Operators'!$C$1:$E$10000,3,FALSE)</f>
        <v>MAELZER</v>
      </c>
      <c r="M26" s="6">
        <f t="shared" si="1"/>
        <v>2.6631944441760425E-2</v>
      </c>
      <c r="N26" s="7">
        <f t="shared" si="2"/>
        <v>38.349999996135011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05:05:31-700',mode:absolute,to:'2016-11-23 07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23.298100000000002</v>
      </c>
      <c r="Z26" s="67">
        <f t="shared" si="9"/>
        <v>3.3799999999999997E-2</v>
      </c>
      <c r="AA26" s="67">
        <f t="shared" si="10"/>
        <v>23.264300000000002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0114-23</v>
      </c>
      <c r="AE26" s="91" t="str">
        <f t="shared" si="12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26" s="88" t="str">
        <f t="shared" si="13"/>
        <v>"C:\Program Files (x86)\AstroGrep\AstroGrep.exe" /spath="%USERPROFILE%\AppData\Local\Temp\OnboardLogs" /stypes="app*4008*20161123*"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114-23 --locoid 4008 --swversion DE.1.0.8.0 --startMP 204:232981 --initTime 2016-11-23T06:05:31 --startdatetime 2016-11-23T06:11:34 --delay 1 --endMP 204:338 --enddatetime 2016-11-23T06:49:55 --enforcementcount 0 &gt;&gt;C:\Users\stu\Documents\GitHub\eaglep3-reporting\EC\2016-11-23-refined-times.txt</v>
      </c>
      <c r="AI2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{"issue":{"subject":"","project_id":79,"tracker_id":40,"status_id":1,"priority_id":2,"assigned_to_id":23,"start_date":"2016-11-23","description":"","custom_fields":[{"id":1,"name":"Subdivision","value":"EC"},{"id":4,"name":"Milepost","value":"0.0338"},{"id":17,"name":"Train ID","value":"114-23"},{"id":16,"name":"Locomotive ID","value":"4008"},{"id":130,"name":"Impact","value":""},{"id":150,"name":"Time of Event (Mountain Time)","value":"06:49:55"},{"id":151,"name":"Denver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452</v>
      </c>
      <c r="B27" s="7">
        <v>4042</v>
      </c>
      <c r="C27" s="22" t="s">
        <v>217</v>
      </c>
      <c r="D27" s="22" t="s">
        <v>641</v>
      </c>
      <c r="E27" s="13">
        <v>42697.22515046296</v>
      </c>
      <c r="F27" s="13">
        <v>42697.22934027778</v>
      </c>
      <c r="G27" s="7">
        <v>2</v>
      </c>
      <c r="H27" s="22" t="s">
        <v>254</v>
      </c>
      <c r="I27" s="13">
        <v>42697.253946759258</v>
      </c>
      <c r="J27" s="7">
        <v>0</v>
      </c>
      <c r="K27" s="109" t="str">
        <f t="shared" si="0"/>
        <v>4041/4042</v>
      </c>
      <c r="L27" s="22" t="str">
        <f>VLOOKUP(A27,'Trips&amp;Operators'!$C$1:$E$10000,3,FALSE)</f>
        <v>RICHARDSON</v>
      </c>
      <c r="M27" s="6">
        <f t="shared" si="1"/>
        <v>2.4606481478258502E-2</v>
      </c>
      <c r="N27" s="7">
        <f t="shared" si="2"/>
        <v>35.433333328692243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04:24:13-700',mode:absolute,to:'2016-11-23 07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8.2100000000000006E-2</v>
      </c>
      <c r="Z27" s="67">
        <f t="shared" si="9"/>
        <v>23.330100000000002</v>
      </c>
      <c r="AA27" s="67">
        <f t="shared" si="10"/>
        <v>23.248000000000001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0115-23</v>
      </c>
      <c r="AE27" s="91" t="str">
        <f t="shared" si="12"/>
        <v>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 &amp; aws s3 cp s3://rtdc.mdm.uploadarchive.raw/RTDC4042/ "%USERPROFILE%\AppData\Local\Temp\OnboardLogs"\RTDC4042\2016-11-24 --exclude "*" --recursive --include "*20161124*" &amp; "%USERPROFILE%\Documents\GitHub\mrs-test-scripts\Headless Mode &amp; Sideloading\WalkAndUnGZ.bat" "%USERPROFILE%\AppData\Local\Temp\OnboardLogs"\RTDC4042\2016-11-24</v>
      </c>
      <c r="AF27" s="88" t="str">
        <f t="shared" si="13"/>
        <v>"C:\Program Files (x86)\AstroGrep\AstroGrep.exe" /spath="%USERPROFILE%\AppData\Local\Temp\OnboardLogs" /stypes="app*4042*20161123*"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115-23 --locoid 4042 --swversion DE.1.0.8.0 --startMP 204:821 --initTime 2016-11-23T05:24:13 --startdatetime 2016-11-23T05:30:15 --delay 2 --endMP 204:233301 --enddatetime 2016-11-23T06:05:41 --enforcementcount 0 &gt;&gt;C:\Users\stu\Documents\GitHub\eaglep3-reporting\EC\2016-11-23-refined-times.txt</v>
      </c>
      <c r="AI2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{"issue":{"subject":"","project_id":79,"tracker_id":40,"status_id":1,"priority_id":2,"assigned_to_id":23,"start_date":"2016-11-23","description":"","custom_fields":[{"id":1,"name":"Subdivision","value":"EC"},{"id":4,"name":"Milepost","value":"23.3301"},{"id":17,"name":"Train ID","value":"115-23"},{"id":16,"name":"Locomotive ID","value":"4042"},{"id":130,"name":"Impact","value":""},{"id":150,"name":"Time of Event (Mountain Time)","value":"06:05:41"},{"id":151,"name":"Denver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462</v>
      </c>
      <c r="B28" s="7">
        <v>4041</v>
      </c>
      <c r="C28" s="22" t="s">
        <v>217</v>
      </c>
      <c r="D28" s="22" t="s">
        <v>642</v>
      </c>
      <c r="E28" s="13">
        <v>42697.256365740737</v>
      </c>
      <c r="F28" s="13">
        <v>42697.268229166664</v>
      </c>
      <c r="G28" s="7">
        <v>1</v>
      </c>
      <c r="H28" s="22" t="s">
        <v>643</v>
      </c>
      <c r="I28" s="13">
        <v>42697.296134259261</v>
      </c>
      <c r="J28" s="7">
        <v>0</v>
      </c>
      <c r="K28" s="109" t="str">
        <f t="shared" si="0"/>
        <v>4041/4042</v>
      </c>
      <c r="L28" s="22" t="str">
        <f>VLOOKUP(A28,'Trips&amp;Operators'!$C$1:$E$10000,3,FALSE)</f>
        <v>RICHARDSON</v>
      </c>
      <c r="M28" s="6">
        <f t="shared" si="1"/>
        <v>2.7905092596483883E-2</v>
      </c>
      <c r="N28" s="7">
        <f t="shared" si="2"/>
        <v>40.183333338936791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05:09:10-700',mode:absolute,to:'2016-11-23 08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23.2971</v>
      </c>
      <c r="Z28" s="67">
        <f t="shared" si="9"/>
        <v>0.1177</v>
      </c>
      <c r="AA28" s="67">
        <f t="shared" si="10"/>
        <v>23.179400000000001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0116-23</v>
      </c>
      <c r="AE28" s="91" t="str">
        <f t="shared" si="12"/>
        <v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v>
      </c>
      <c r="AF28" s="88" t="str">
        <f t="shared" si="13"/>
        <v>"C:\Program Files (x86)\AstroGrep\AstroGrep.exe" /spath="%USERPROFILE%\AppData\Local\Temp\OnboardLogs" /stypes="app*4041*20161123*"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116-23 --locoid 4041 --swversion DE.1.0.8.0 --startMP 204:232971 --initTime 2016-11-23T06:09:10 --startdatetime 2016-11-23T06:26:15 --delay 1 --endMP 204:1177 --enddatetime 2016-11-23T07:06:26 --enforcementcount 0 &gt;&gt;C:\Users\stu\Documents\GitHub\eaglep3-reporting\EC\2016-11-23-refined-times.txt</v>
      </c>
      <c r="AI2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{"issue":{"subject":"","project_id":79,"tracker_id":40,"status_id":1,"priority_id":2,"assigned_to_id":23,"start_date":"2016-11-23","description":"","custom_fields":[{"id":1,"name":"Subdivision","value":"EC"},{"id":4,"name":"Milepost","value":"0.1177"},{"id":17,"name":"Train ID","value":"116-23"},{"id":16,"name":"Locomotive ID","value":"4041"},{"id":130,"name":"Impact","value":""},{"id":150,"name":"Time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454</v>
      </c>
      <c r="B29" s="7">
        <v>4025</v>
      </c>
      <c r="C29" s="22" t="s">
        <v>217</v>
      </c>
      <c r="D29" s="22" t="s">
        <v>644</v>
      </c>
      <c r="E29" s="13">
        <v>42697.235810185186</v>
      </c>
      <c r="F29" s="13">
        <v>42697.23982638889</v>
      </c>
      <c r="G29" s="7">
        <v>1</v>
      </c>
      <c r="H29" s="22" t="s">
        <v>297</v>
      </c>
      <c r="I29" s="13">
        <v>42697.265081018515</v>
      </c>
      <c r="J29" s="7">
        <v>0</v>
      </c>
      <c r="K29" s="109" t="str">
        <f t="shared" si="0"/>
        <v>4025/4026</v>
      </c>
      <c r="L29" s="22" t="str">
        <f>VLOOKUP(A29,'Trips&amp;Operators'!$C$1:$E$10000,3,FALSE)</f>
        <v>ACKERMAN</v>
      </c>
      <c r="M29" s="6">
        <f t="shared" si="1"/>
        <v>2.5254629625123926E-2</v>
      </c>
      <c r="N29" s="7">
        <f t="shared" si="2"/>
        <v>36.366666660178453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04:39:34-700',mode:absolute,to:'2016-11-23 07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0.05</v>
      </c>
      <c r="Z29" s="67">
        <f t="shared" si="9"/>
        <v>23.3291</v>
      </c>
      <c r="AA29" s="67">
        <f t="shared" si="10"/>
        <v>23.2791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0117-23</v>
      </c>
      <c r="AE29" s="91" t="str">
        <f t="shared" si="12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29" s="88" t="str">
        <f t="shared" si="13"/>
        <v>"C:\Program Files (x86)\AstroGrep\AstroGrep.exe" /spath="%USERPROFILE%\AppData\Local\Temp\OnboardLogs" /stypes="app*4025*20161123*"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117-23 --locoid 4025 --swversion DE.1.0.8.0 --startMP 204:500 --initTime 2016-11-23T05:39:34 --startdatetime 2016-11-23T05:45:21 --delay 1 --endMP 204:233291 --enddatetime 2016-11-23T06:21:43 --enforcementcount 0 &gt;&gt;C:\Users\stu\Documents\GitHub\eaglep3-reporting\EC\2016-11-23-refined-times.txt</v>
      </c>
      <c r="AI29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{"issue":{"subject":"","project_id":79,"tracker_id":40,"status_id":1,"priority_id":2,"assigned_to_id":23,"start_date":"2016-11-23","description":"","custom_fields":[{"id":1,"name":"Subdivision","value":"EC"},{"id":4,"name":"Milepost","value":"23.3291"},{"id":17,"name":"Train ID","value":"117-23"},{"id":16,"name":"Locomotive ID","value":"4025"},{"id":130,"name":"Impact","value":""},{"id":150,"name":"Time of Event (Mountain Time)","value":"06:21:43"},{"id":151,"name":"Denver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465</v>
      </c>
      <c r="B30" s="7">
        <v>4026</v>
      </c>
      <c r="C30" s="22" t="s">
        <v>217</v>
      </c>
      <c r="D30" s="22" t="s">
        <v>287</v>
      </c>
      <c r="E30" s="13">
        <v>42697.272118055553</v>
      </c>
      <c r="F30" s="13">
        <v>42697.278645833336</v>
      </c>
      <c r="G30" s="7">
        <v>1</v>
      </c>
      <c r="H30" s="22" t="s">
        <v>302</v>
      </c>
      <c r="I30" s="13">
        <v>42697.305023148147</v>
      </c>
      <c r="J30" s="7">
        <v>0</v>
      </c>
      <c r="K30" s="109" t="str">
        <f t="shared" si="0"/>
        <v>4025/4026</v>
      </c>
      <c r="L30" s="22" t="str">
        <f>VLOOKUP(A30,'Trips&amp;Operators'!$C$1:$E$10000,3,FALSE)</f>
        <v>ACKERMAN</v>
      </c>
      <c r="M30" s="6">
        <f t="shared" si="1"/>
        <v>2.6377314810815733E-2</v>
      </c>
      <c r="N30" s="7">
        <f t="shared" si="2"/>
        <v>37.983333327574655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05:31:51-700',mode:absolute,to:'2016-11-23 08:19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23.297899999999998</v>
      </c>
      <c r="Z30" s="67">
        <f t="shared" si="9"/>
        <v>1.38E-2</v>
      </c>
      <c r="AA30" s="67">
        <f t="shared" si="10"/>
        <v>23.284099999999999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0118-23</v>
      </c>
      <c r="AE30" s="91" t="str">
        <f t="shared" si="12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30" s="88" t="str">
        <f t="shared" si="13"/>
        <v>"C:\Program Files (x86)\AstroGrep\AstroGrep.exe" /spath="%USERPROFILE%\AppData\Local\Temp\OnboardLogs" /stypes="app*4026*20161123*"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118-23 --locoid 4026 --swversion DE.1.0.8.0 --startMP 204:232979 --initTime 2016-11-23T06:31:51 --startdatetime 2016-11-23T06:41:15 --delay 1 --endMP 204:138 --enddatetime 2016-11-23T07:19:14 --enforcementcount 0 &gt;&gt;C:\Users\stu\Documents\GitHub\eaglep3-reporting\EC\2016-11-23-refined-times.txt</v>
      </c>
      <c r="AI3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{"issue":{"subject":"","project_id":79,"tracker_id":40,"status_id":1,"priority_id":2,"assigned_to_id":23,"start_date":"2016-11-23","description":"","custom_fields":[{"id":1,"name":"Subdivision","value":"EC"},{"id":4,"name":"Milepost","value":"0.0138"},{"id":17,"name":"Train ID","value":"118-23"},{"id":16,"name":"Locomotive ID","value":"4026"},{"id":130,"name":"Impact","value":""},{"id":150,"name":"Time of Event (Mountain Time)","value":"07:19:14"},{"id":151,"name":"Denver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459</v>
      </c>
      <c r="B31" s="7">
        <v>4040</v>
      </c>
      <c r="C31" s="22" t="s">
        <v>217</v>
      </c>
      <c r="D31" s="22" t="s">
        <v>645</v>
      </c>
      <c r="E31" s="13">
        <v>42697.253634259258</v>
      </c>
      <c r="F31" s="13">
        <v>42697.254571759258</v>
      </c>
      <c r="G31" s="7">
        <v>0</v>
      </c>
      <c r="H31" s="22" t="s">
        <v>646</v>
      </c>
      <c r="I31" s="13">
        <v>42697.275891203702</v>
      </c>
      <c r="J31" s="7">
        <v>0</v>
      </c>
      <c r="K31" s="109" t="str">
        <f t="shared" si="0"/>
        <v>4039/4040</v>
      </c>
      <c r="L31" s="22" t="str">
        <f>VLOOKUP(A31,'Trips&amp;Operators'!$C$1:$E$10000,3,FALSE)</f>
        <v>SANTIZO</v>
      </c>
      <c r="M31" s="6">
        <f t="shared" si="1"/>
        <v>2.1319444444088731E-2</v>
      </c>
      <c r="N31" s="7"/>
      <c r="O31" s="7"/>
      <c r="P31" s="7">
        <f>24*60*SUM($M31:$M31)</f>
        <v>30.699999999487773</v>
      </c>
      <c r="Q31" s="23"/>
      <c r="R31" s="23" t="s">
        <v>839</v>
      </c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05:05:14-700',mode:absolute,to:'2016-11-23 07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1" s="52" t="str">
        <f t="shared" si="6"/>
        <v>Y</v>
      </c>
      <c r="X31" s="177">
        <f t="shared" si="7"/>
        <v>1</v>
      </c>
      <c r="Y31" s="67">
        <f t="shared" si="8"/>
        <v>1.9136</v>
      </c>
      <c r="Z31" s="67">
        <f t="shared" si="9"/>
        <v>23.330300000000001</v>
      </c>
      <c r="AA31" s="67">
        <f t="shared" si="10"/>
        <v>21.416700000000002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0119-23</v>
      </c>
      <c r="AE31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31" s="88" t="str">
        <f t="shared" si="13"/>
        <v>"C:\Program Files (x86)\AstroGrep\AstroGrep.exe" /spath="%USERPROFILE%\AppData\Local\Temp\OnboardLogs" /stypes="app*4040*20161123*"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119-23 --locoid 4040 --swversion DE.1.0.8.0 --startMP 204:19136 --initTime 2016-11-23T06:05:14 --startdatetime 2016-11-23T06:06:35 --delay 0 --endMP 204:233303 --enddatetime 2016-11-23T06:37:17 --enforcementcount 0 &gt;&gt;C:\Users\stu\Documents\GitHub\eaglep3-reporting\EC\2016-11-23-refined-times.txt</v>
      </c>
      <c r="AI31" s="119" t="str">
        <f t="shared" si="18"/>
        <v>echo {"issue":{"subject":"DUS 2N STOP due to 9 switch reversed","project_id":79,"tracker_id":40,"status_id":1,"priority_id":2,"assigned_to_id":23,"start_date":"2016-11-23","description":"","custom_fields":[{"id":1,"name":"Subdivision","value":"EC"},{"id":4,"name":"Milepost","value":"23.3303"},{"id":17,"name":"Train ID","value":"119-23"},{"id":16,"name":"Locomotive ID","value":"4040"},{"id":130,"name":"Impact","value":""},{"id":150,"name":"Time of Event (Mountain Time)","value":"06:37:17"},{"id":151,"name":"Denver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459</v>
      </c>
      <c r="B32" s="7">
        <v>4040</v>
      </c>
      <c r="C32" s="22" t="s">
        <v>217</v>
      </c>
      <c r="D32" s="22" t="s">
        <v>647</v>
      </c>
      <c r="E32" s="13">
        <v>42697.248668981483</v>
      </c>
      <c r="F32" s="13">
        <v>42697.254571759258</v>
      </c>
      <c r="G32" s="7">
        <v>1</v>
      </c>
      <c r="H32" s="22" t="s">
        <v>648</v>
      </c>
      <c r="I32" s="13">
        <v>42697.275891203702</v>
      </c>
      <c r="J32" s="7">
        <v>0</v>
      </c>
      <c r="K32" s="109" t="str">
        <f t="shared" si="0"/>
        <v>4039/4040</v>
      </c>
      <c r="L32" s="22" t="str">
        <f>VLOOKUP(A32,'Trips&amp;Operators'!$C$1:$E$10000,3,FALSE)</f>
        <v>SANTIZO</v>
      </c>
      <c r="M32" s="6">
        <f t="shared" si="1"/>
        <v>2.1319444444088731E-2</v>
      </c>
      <c r="N32" s="7"/>
      <c r="O32" s="7"/>
      <c r="P32" s="7"/>
      <c r="Q32" s="23"/>
      <c r="R32" s="23"/>
      <c r="S32" s="35"/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04:58:05-700',mode:absolute,to:'2016-11-23 07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2" s="52" t="str">
        <f t="shared" si="6"/>
        <v>Y</v>
      </c>
      <c r="X32" s="177">
        <f t="shared" si="7"/>
        <v>0</v>
      </c>
      <c r="Y32" s="67">
        <f t="shared" si="8"/>
        <v>7.3899999999999993E-2</v>
      </c>
      <c r="Z32" s="67">
        <f t="shared" si="9"/>
        <v>0.12659999999999999</v>
      </c>
      <c r="AA32" s="67">
        <f t="shared" si="10"/>
        <v>5.2699999999999997E-2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0119-23</v>
      </c>
      <c r="AE32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32" s="88" t="str">
        <f t="shared" si="13"/>
        <v>"C:\Program Files (x86)\AstroGrep\AstroGrep.exe" /spath="%USERPROFILE%\AppData\Local\Temp\OnboardLogs" /stypes="app*4040*20161123*"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119-23 --locoid 4040 --swversion DE.1.0.8.0 --startMP 204:739 --initTime 2016-11-23T05:58:05 --startdatetime 2016-11-23T06:06:35 --delay 1 --endMP 204:1266 --enddatetime 2016-11-23T06:37:17 --enforcementcount 0 &gt;&gt;C:\Users\stu\Documents\GitHub\eaglep3-reporting\EC\2016-11-23-refined-times.txt</v>
      </c>
      <c r="AI3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{"issue":{"subject":"","project_id":79,"tracker_id":40,"status_id":1,"priority_id":2,"assigned_to_id":23,"start_date":"2016-11-23","description":"","custom_fields":[{"id":1,"name":"Subdivision","value":"EC"},{"id":4,"name":"Milepost","value":"0.1266"},{"id":17,"name":"Train ID","value":"119-23"},{"id":16,"name":"Locomotive ID","value":"4040"},{"id":130,"name":"Impact","value":""},{"id":150,"name":"Time of Event (Mountain Time)","value":"06:37:17"},{"id":151,"name":"Denver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468</v>
      </c>
      <c r="B33" s="7">
        <v>4039</v>
      </c>
      <c r="C33" s="22" t="s">
        <v>217</v>
      </c>
      <c r="D33" s="22" t="s">
        <v>649</v>
      </c>
      <c r="E33" s="13">
        <v>42697.277499999997</v>
      </c>
      <c r="F33" s="13">
        <v>42697.289050925923</v>
      </c>
      <c r="G33" s="7">
        <v>1</v>
      </c>
      <c r="H33" s="22" t="s">
        <v>196</v>
      </c>
      <c r="I33" s="13">
        <v>42697.315208333333</v>
      </c>
      <c r="J33" s="7">
        <v>0</v>
      </c>
      <c r="K33" s="109" t="str">
        <f t="shared" si="0"/>
        <v>4039/4040</v>
      </c>
      <c r="L33" s="22" t="str">
        <f>VLOOKUP(A33,'Trips&amp;Operators'!$C$1:$E$10000,3,FALSE)</f>
        <v>SANTIZO</v>
      </c>
      <c r="M33" s="6">
        <f t="shared" si="1"/>
        <v>2.6157407410209998E-2</v>
      </c>
      <c r="N33" s="7">
        <f t="shared" si="2"/>
        <v>37.666666670702398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05:39:36-700',mode:absolute,to:'2016-11-23 08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23.298999999999999</v>
      </c>
      <c r="Z33" s="67">
        <f t="shared" si="9"/>
        <v>1.49E-2</v>
      </c>
      <c r="AA33" s="67">
        <f t="shared" si="10"/>
        <v>23.284099999999999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0120-23</v>
      </c>
      <c r="AE33" s="91" t="str">
        <f t="shared" si="12"/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AF33" s="88" t="str">
        <f t="shared" si="13"/>
        <v>"C:\Program Files (x86)\AstroGrep\AstroGrep.exe" /spath="%USERPROFILE%\AppData\Local\Temp\OnboardLogs" /stypes="app*4039*20161123*"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120-23 --locoid 4039 --swversion DE.1.0.8.0 --startMP 204:232990 --initTime 2016-11-23T06:39:36 --startdatetime 2016-11-23T06:56:14 --delay 1 --endMP 204:149 --enddatetime 2016-11-23T07:33:54 --enforcementcount 0 &gt;&gt;C:\Users\stu\Documents\GitHub\eaglep3-reporting\EC\2016-11-23-refined-times.txt</v>
      </c>
      <c r="AI3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ID","value":"120-23"},{"id":16,"name":"Locomotive ID","value":"4039"},{"id":130,"name":"Impact","value":""},{"id":150,"name":"Time of Event (Mountain Time)","value":"07:33:54"},{"id":151,"name":"Denver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398</v>
      </c>
      <c r="B34" s="7">
        <v>4046</v>
      </c>
      <c r="C34" s="22" t="s">
        <v>217</v>
      </c>
      <c r="D34" s="22" t="s">
        <v>279</v>
      </c>
      <c r="E34" s="13">
        <v>42697.25576388889</v>
      </c>
      <c r="F34" s="13">
        <v>42697.260648148149</v>
      </c>
      <c r="G34" s="7">
        <v>2</v>
      </c>
      <c r="H34" s="22" t="s">
        <v>306</v>
      </c>
      <c r="I34" s="13">
        <v>42697.285682870373</v>
      </c>
      <c r="J34" s="7">
        <v>1</v>
      </c>
      <c r="K34" s="109" t="str">
        <f t="shared" si="0"/>
        <v>4045/4046</v>
      </c>
      <c r="L34" s="22" t="str">
        <f>VLOOKUP(A34,'Trips&amp;Operators'!$C$1:$E$10000,3,FALSE)</f>
        <v>SPECTOR</v>
      </c>
      <c r="M34" s="6">
        <f t="shared" si="1"/>
        <v>2.5034722224518191E-2</v>
      </c>
      <c r="N34" s="7">
        <f t="shared" si="2"/>
        <v>36.050000003306195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05:08:18-700',mode:absolute,to:'2016-11-23 07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4.4600000000000001E-2</v>
      </c>
      <c r="Z34" s="67">
        <f t="shared" si="9"/>
        <v>23.332100000000001</v>
      </c>
      <c r="AA34" s="67">
        <f t="shared" si="10"/>
        <v>23.287500000000001</v>
      </c>
      <c r="AB34" s="64" t="str">
        <f>VLOOKUP(A34,Enforcements!$C$7:$K$20,8,0)</f>
        <v>Bulletin (2)</v>
      </c>
      <c r="AC34" s="60" t="str">
        <f>VLOOKUP(A34,Enforcements!$C$7:$E$20,3,0)</f>
        <v>GRADE CROSSING</v>
      </c>
      <c r="AD34" s="61" t="str">
        <f t="shared" si="11"/>
        <v>0121-23</v>
      </c>
      <c r="AE34" s="91" t="str">
        <f t="shared" si="12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34" s="88" t="str">
        <f t="shared" si="13"/>
        <v>"C:\Program Files (x86)\AstroGrep\AstroGrep.exe" /spath="%USERPROFILE%\AppData\Local\Temp\OnboardLogs" /stypes="app*4046*20161123*"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121-23 --locoid 4046 --swversion DE.1.0.8.0 --startMP 204:446 --initTime 2016-11-23T06:08:18 --startdatetime 2016-11-23T06:15:20 --delay 2 --endMP 204:233321 --enddatetime 2016-11-23T06:51:23 --enforcementcount 1 &gt;&gt;C:\Users\stu\Documents\GitHub\eaglep3-reporting\EC\2016-11-23-refined-times.txt</v>
      </c>
      <c r="AI3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{"issue":{"subject":"","project_id":79,"tracker_id":40,"status_id":1,"priority_id":2,"assigned_to_id":23,"start_date":"2016-11-23","description":"","custom_fields":[{"id":1,"name":"Subdivision","value":"EC"},{"id":4,"name":"Milepost","value":"23.3321"},{"id":17,"name":"Train ID","value":"121-23"},{"id":16,"name":"Locomotive ID","value":"4046"},{"id":130,"name":"Impact","value":""},{"id":150,"name":"Time of Event (Mountain Time)","value":"06:51:23"},{"id":151,"name":"Denver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400</v>
      </c>
      <c r="B35" s="7">
        <v>4045</v>
      </c>
      <c r="C35" s="22" t="s">
        <v>217</v>
      </c>
      <c r="D35" s="22" t="s">
        <v>650</v>
      </c>
      <c r="E35" s="13">
        <v>42697.295081018521</v>
      </c>
      <c r="F35" s="13">
        <v>42697.299490740741</v>
      </c>
      <c r="G35" s="7">
        <v>1</v>
      </c>
      <c r="H35" s="22" t="s">
        <v>292</v>
      </c>
      <c r="I35" s="13">
        <v>42697.326226851852</v>
      </c>
      <c r="J35" s="7">
        <v>1</v>
      </c>
      <c r="K35" s="109" t="str">
        <f t="shared" si="0"/>
        <v>4045/4046</v>
      </c>
      <c r="L35" s="22" t="str">
        <f>VLOOKUP(A35,'Trips&amp;Operators'!$C$1:$E$10000,3,FALSE)</f>
        <v>SPECTOR</v>
      </c>
      <c r="M35" s="6">
        <f t="shared" si="1"/>
        <v>2.6736111110949423E-2</v>
      </c>
      <c r="N35" s="7">
        <f t="shared" si="2"/>
        <v>38.499999999767169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06:04:55-700',mode:absolute,to:'2016-11-23 08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23.2989</v>
      </c>
      <c r="Z35" s="67">
        <f t="shared" si="9"/>
        <v>1.3899999999999999E-2</v>
      </c>
      <c r="AA35" s="67">
        <f t="shared" si="10"/>
        <v>23.285</v>
      </c>
      <c r="AB35" s="64" t="str">
        <f>VLOOKUP(A35,Enforcements!$C$7:$K$20,8,0)</f>
        <v>Bulletin (2)</v>
      </c>
      <c r="AC35" s="60" t="str">
        <f>VLOOKUP(A35,Enforcements!$C$7:$E$20,3,0)</f>
        <v>GRADE CROSSING</v>
      </c>
      <c r="AD35" s="61" t="str">
        <f t="shared" si="11"/>
        <v>0122-23</v>
      </c>
      <c r="AE35" s="91" t="str">
        <f t="shared" si="12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35" s="88" t="str">
        <f t="shared" si="13"/>
        <v>"C:\Program Files (x86)\AstroGrep\AstroGrep.exe" /spath="%USERPROFILE%\AppData\Local\Temp\OnboardLogs" /stypes="app*4045*20161123*"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122-23 --locoid 4045 --swversion DE.1.0.8.0 --startMP 204:232989 --initTime 2016-11-23T07:04:55 --startdatetime 2016-11-23T07:11:16 --delay 1 --endMP 204:139 --enddatetime 2016-11-23T07:49:46 --enforcementcount 1 &gt;&gt;C:\Users\stu\Documents\GitHub\eaglep3-reporting\EC\2016-11-23-refined-times.txt</v>
      </c>
      <c r="AI3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ID","value":"122-23"},{"id":16,"name":"Locomotive ID","value":"4045"},{"id":130,"name":"Impact","value":""},{"id":150,"name":"Time of Event (Mountain Time)","value":"07:49:46"},{"id":151,"name":"Denver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464</v>
      </c>
      <c r="B36" s="7">
        <v>4022</v>
      </c>
      <c r="C36" s="22" t="s">
        <v>217</v>
      </c>
      <c r="D36" s="22" t="s">
        <v>651</v>
      </c>
      <c r="E36" s="13">
        <v>42697.266446759262</v>
      </c>
      <c r="F36" s="13">
        <v>42697.271041666667</v>
      </c>
      <c r="G36" s="7">
        <v>1</v>
      </c>
      <c r="H36" s="22" t="s">
        <v>652</v>
      </c>
      <c r="I36" s="13">
        <v>42697.296342592592</v>
      </c>
      <c r="J36" s="7">
        <v>0</v>
      </c>
      <c r="K36" s="109" t="str">
        <f t="shared" si="0"/>
        <v>4021/4022</v>
      </c>
      <c r="L36" s="22" t="str">
        <f>VLOOKUP(A36,'Trips&amp;Operators'!$C$1:$E$10000,3,FALSE)</f>
        <v>KILLION</v>
      </c>
      <c r="M36" s="6">
        <f t="shared" si="1"/>
        <v>2.5300925924966577E-2</v>
      </c>
      <c r="N36" s="7">
        <f t="shared" si="2"/>
        <v>36.433333331951872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05:23:41-700',mode:absolute,to:'2016-11-23 08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6.2799999999999995E-2</v>
      </c>
      <c r="Z36" s="67">
        <f t="shared" si="9"/>
        <v>23.327999999999999</v>
      </c>
      <c r="AA36" s="67">
        <f t="shared" si="10"/>
        <v>23.2652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0123-23</v>
      </c>
      <c r="AE36" s="91" t="str">
        <f t="shared" si="12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36" s="88" t="str">
        <f t="shared" si="13"/>
        <v>"C:\Program Files (x86)\AstroGrep\AstroGrep.exe" /spath="%USERPROFILE%\AppData\Local\Temp\OnboardLogs" /stypes="app*4022*20161123*"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123-23 --locoid 4022 --swversion DE.1.0.8.0 --startMP 204:628 --initTime 2016-11-23T06:23:41 --startdatetime 2016-11-23T06:30:18 --delay 1 --endMP 204:233280 --enddatetime 2016-11-23T07:06:44 --enforcementcount 0 &gt;&gt;C:\Users\stu\Documents\GitHub\eaglep3-reporting\EC\2016-11-23-refined-times.txt</v>
      </c>
      <c r="AI3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{"issue":{"subject":"","project_id":79,"tracker_id":40,"status_id":1,"priority_id":2,"assigned_to_id":23,"start_date":"2016-11-23","description":"","custom_fields":[{"id":1,"name":"Subdivision","value":"EC"},{"id":4,"name":"Milepost","value":"23.328"},{"id":17,"name":"Train ID","value":"123-23"},{"id":16,"name":"Locomotive ID","value":"4022"},{"id":130,"name":"Impact","value":""},{"id":150,"name":"Time of Event (Mountain Time)","value":"07:06:44"},{"id":151,"name":"Denver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474</v>
      </c>
      <c r="B37" s="7">
        <v>4021</v>
      </c>
      <c r="C37" s="22" t="s">
        <v>217</v>
      </c>
      <c r="D37" s="22" t="s">
        <v>311</v>
      </c>
      <c r="E37" s="13">
        <v>42697.308206018519</v>
      </c>
      <c r="F37" s="13">
        <v>42697.309930555559</v>
      </c>
      <c r="G37" s="7">
        <v>1</v>
      </c>
      <c r="H37" s="22" t="s">
        <v>227</v>
      </c>
      <c r="I37" s="13">
        <v>42697.336238425924</v>
      </c>
      <c r="J37" s="7">
        <v>0</v>
      </c>
      <c r="K37" s="109" t="str">
        <f t="shared" si="0"/>
        <v>4021/4022</v>
      </c>
      <c r="L37" s="22" t="str">
        <f>VLOOKUP(A37,'Trips&amp;Operators'!$C$1:$E$10000,3,FALSE)</f>
        <v>KILLION</v>
      </c>
      <c r="M37" s="6">
        <f t="shared" si="1"/>
        <v>2.6307870364689734E-2</v>
      </c>
      <c r="N37" s="7">
        <f t="shared" si="2"/>
        <v>37.883333325153217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06:23:49-700',mode:absolute,to:'2016-11-23 09:04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23.296500000000002</v>
      </c>
      <c r="Z37" s="67">
        <f t="shared" si="9"/>
        <v>1.4999999999999999E-2</v>
      </c>
      <c r="AA37" s="67">
        <f t="shared" si="10"/>
        <v>23.281500000000001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0124-23</v>
      </c>
      <c r="AE37" s="91" t="str">
        <f t="shared" si="12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37" s="88" t="str">
        <f t="shared" si="13"/>
        <v>"C:\Program Files (x86)\AstroGrep\AstroGrep.exe" /spath="%USERPROFILE%\AppData\Local\Temp\OnboardLogs" /stypes="app*4021*20161123*"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124-23 --locoid 4021 --swversion DE.1.0.8.0 --startMP 204:232965 --initTime 2016-11-23T07:23:49 --startdatetime 2016-11-23T07:26:18 --delay 1 --endMP 204:150 --enddatetime 2016-11-23T08:04:11 --enforcementcount 0 &gt;&gt;C:\Users\stu\Documents\GitHub\eaglep3-reporting\EC\2016-11-23-refined-times.txt</v>
      </c>
      <c r="AI3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{"issue":{"subject":"","project_id":79,"tracker_id":40,"status_id":1,"priority_id":2,"assigned_to_id":23,"start_date":"2016-11-23","description":"","custom_fields":[{"id":1,"name":"Subdivision","value":"EC"},{"id":4,"name":"Milepost","value":"0.015"},{"id":17,"name":"Train ID","value":"124-23"},{"id":16,"name":"Locomotive ID","value":"4021"},{"id":130,"name":"Impact","value":""},{"id":150,"name":"Time of Event (Mountain Time)","value":"08:04:11"},{"id":151,"name":"Denver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466</v>
      </c>
      <c r="B38" s="7">
        <v>4003</v>
      </c>
      <c r="C38" s="22" t="s">
        <v>217</v>
      </c>
      <c r="D38" s="22" t="s">
        <v>337</v>
      </c>
      <c r="E38" s="13">
        <v>42697.274791666663</v>
      </c>
      <c r="F38" s="13">
        <v>42697.281805555554</v>
      </c>
      <c r="G38" s="7">
        <v>1</v>
      </c>
      <c r="H38" s="22" t="s">
        <v>653</v>
      </c>
      <c r="I38" s="13">
        <v>42697.307303240741</v>
      </c>
      <c r="J38" s="7">
        <v>0</v>
      </c>
      <c r="K38" s="109" t="str">
        <f t="shared" si="0"/>
        <v>4003/4004</v>
      </c>
      <c r="L38" s="22" t="str">
        <f>VLOOKUP(A38,'Trips&amp;Operators'!$C$1:$E$10000,3,FALSE)</f>
        <v>JOHNSON</v>
      </c>
      <c r="M38" s="6">
        <f t="shared" si="1"/>
        <v>2.5497685186564922E-2</v>
      </c>
      <c r="N38" s="7">
        <f t="shared" si="2"/>
        <v>36.716666668653488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05:35:42-700',mode:absolute,to:'2016-11-23 08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4.7300000000000002E-2</v>
      </c>
      <c r="Z38" s="67">
        <f t="shared" si="9"/>
        <v>23.328299999999999</v>
      </c>
      <c r="AA38" s="67">
        <f t="shared" si="10"/>
        <v>23.280999999999999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0125-23</v>
      </c>
      <c r="AE38" s="91" t="str">
        <f t="shared" si="12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38" s="88" t="str">
        <f t="shared" si="13"/>
        <v>"C:\Program Files (x86)\AstroGrep\AstroGrep.exe" /spath="%USERPROFILE%\AppData\Local\Temp\OnboardLogs" /stypes="app*4003*20161123*"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125-23 --locoid 4003 --swversion DE.1.0.8.0 --startMP 204:473 --initTime 2016-11-23T06:35:42 --startdatetime 2016-11-23T06:45:48 --delay 1 --endMP 204:233283 --enddatetime 2016-11-23T07:22:31 --enforcementcount 0 &gt;&gt;C:\Users\stu\Documents\GitHub\eaglep3-reporting\EC\2016-11-23-refined-times.txt</v>
      </c>
      <c r="AI3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{"issue":{"subject":"","project_id":79,"tracker_id":40,"status_id":1,"priority_id":2,"assigned_to_id":23,"start_date":"2016-11-23","description":"","custom_fields":[{"id":1,"name":"Subdivision","value":"EC"},{"id":4,"name":"Milepost","value":"23.3283"},{"id":17,"name":"Train ID","value":"125-23"},{"id":16,"name":"Locomotive ID","value":"4003"},{"id":130,"name":"Impact","value":""},{"id":150,"name":"Time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475</v>
      </c>
      <c r="B39" s="7">
        <v>4004</v>
      </c>
      <c r="C39" s="22" t="s">
        <v>217</v>
      </c>
      <c r="D39" s="22" t="s">
        <v>296</v>
      </c>
      <c r="E39" s="13">
        <v>42697.312662037039</v>
      </c>
      <c r="F39" s="13">
        <v>42697.320393518516</v>
      </c>
      <c r="G39" s="7">
        <v>1</v>
      </c>
      <c r="H39" s="22" t="s">
        <v>292</v>
      </c>
      <c r="I39" s="13">
        <v>42697.347442129627</v>
      </c>
      <c r="J39" s="7">
        <v>0</v>
      </c>
      <c r="K39" s="109" t="str">
        <f t="shared" si="0"/>
        <v>4003/4004</v>
      </c>
      <c r="L39" s="22" t="str">
        <f>VLOOKUP(A39,'Trips&amp;Operators'!$C$1:$E$10000,3,FALSE)</f>
        <v>JOHNSON</v>
      </c>
      <c r="M39" s="6">
        <f t="shared" si="1"/>
        <v>2.7048611111240461E-2</v>
      </c>
      <c r="N39" s="7">
        <f t="shared" si="2"/>
        <v>38.950000000186265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06:30:14-700',mode:absolute,to:'2016-11-23 09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23.3002</v>
      </c>
      <c r="Z39" s="67">
        <f t="shared" si="9"/>
        <v>1.3899999999999999E-2</v>
      </c>
      <c r="AA39" s="67">
        <f t="shared" si="10"/>
        <v>23.286300000000001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0126-23</v>
      </c>
      <c r="AE39" s="91" t="str">
        <f t="shared" si="12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39" s="88" t="str">
        <f t="shared" si="13"/>
        <v>"C:\Program Files (x86)\AstroGrep\AstroGrep.exe" /spath="%USERPROFILE%\AppData\Local\Temp\OnboardLogs" /stypes="app*4004*20161123*"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126-23 --locoid 4004 --swversion DE.1.0.8.0 --startMP 204:233002 --initTime 2016-11-23T07:30:14 --startdatetime 2016-11-23T07:41:22 --delay 1 --endMP 204:139 --enddatetime 2016-11-23T08:20:19 --enforcementcount 0 &gt;&gt;C:\Users\stu\Documents\GitHub\eaglep3-reporting\EC\2016-11-23-refined-times.txt</v>
      </c>
      <c r="AI39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ID","value":"126-23"},{"id":16,"name":"Locomotive ID","value":"4004"},{"id":130,"name":"Impact","value":""},{"id":150,"name":"Time of Event (Mountain Time)","value":"08:20:19"},{"id":151,"name":"Denver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470</v>
      </c>
      <c r="B40" s="7">
        <v>4007</v>
      </c>
      <c r="C40" s="22" t="s">
        <v>217</v>
      </c>
      <c r="D40" s="22" t="s">
        <v>654</v>
      </c>
      <c r="E40" s="13">
        <v>42697.287592592591</v>
      </c>
      <c r="F40" s="13">
        <v>42697.291967592595</v>
      </c>
      <c r="G40" s="7">
        <v>5</v>
      </c>
      <c r="H40" s="22" t="s">
        <v>655</v>
      </c>
      <c r="I40" s="13">
        <v>42697.316354166665</v>
      </c>
      <c r="J40" s="7">
        <v>0</v>
      </c>
      <c r="K40" s="109" t="str">
        <f t="shared" si="0"/>
        <v>4007/4008</v>
      </c>
      <c r="L40" s="22" t="str">
        <f>VLOOKUP(A40,'Trips&amp;Operators'!$C$1:$E$10000,3,FALSE)</f>
        <v>MAELZER</v>
      </c>
      <c r="M40" s="6">
        <f t="shared" si="1"/>
        <v>2.438657407037681E-2</v>
      </c>
      <c r="N40" s="7">
        <f t="shared" si="2"/>
        <v>35.116666661342606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05:54:08-700',mode:absolute,to:'2016-11-23 08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6.2600000000000003E-2</v>
      </c>
      <c r="Z40" s="67">
        <f t="shared" si="9"/>
        <v>23.3324</v>
      </c>
      <c r="AA40" s="67">
        <f t="shared" si="10"/>
        <v>23.2698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0127-23</v>
      </c>
      <c r="AE40" s="91" t="str">
        <f t="shared" si="12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40" s="88" t="str">
        <f t="shared" si="13"/>
        <v>"C:\Program Files (x86)\AstroGrep\AstroGrep.exe" /spath="%USERPROFILE%\AppData\Local\Temp\OnboardLogs" /stypes="app*4007*20161123*"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127-23 --locoid 4007 --swversion DE.1.0.8.0 --startMP 204:626 --initTime 2016-11-23T06:54:08 --startdatetime 2016-11-23T07:00:26 --delay 5 --endMP 204:233324 --enddatetime 2016-11-23T07:35:33 --enforcementcount 0 &gt;&gt;C:\Users\stu\Documents\GitHub\eaglep3-reporting\EC\2016-11-23-refined-times.txt</v>
      </c>
      <c r="AI4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{"issue":{"subject":"","project_id":79,"tracker_id":40,"status_id":1,"priority_id":2,"assigned_to_id":23,"start_date":"2016-11-23","description":"","custom_fields":[{"id":1,"name":"Subdivision","value":"EC"},{"id":4,"name":"Milepost","value":"23.3324"},{"id":17,"name":"Train ID","value":"127-23"},{"id":16,"name":"Locomotive ID","value":"4007"},{"id":130,"name":"Impact","value":""},{"id":150,"name":"Time of Event (Mountain Time)","value":"07:35:33"},{"id":151,"name":"Denver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477</v>
      </c>
      <c r="B41" s="7">
        <v>4008</v>
      </c>
      <c r="C41" s="22" t="s">
        <v>217</v>
      </c>
      <c r="D41" s="22" t="s">
        <v>263</v>
      </c>
      <c r="E41" s="13">
        <v>42697.321736111109</v>
      </c>
      <c r="F41" s="13">
        <v>42697.330868055556</v>
      </c>
      <c r="G41" s="7">
        <v>1</v>
      </c>
      <c r="H41" s="22" t="s">
        <v>267</v>
      </c>
      <c r="I41" s="13">
        <v>42697.357094907406</v>
      </c>
      <c r="J41" s="7">
        <v>0</v>
      </c>
      <c r="K41" s="109" t="str">
        <f t="shared" si="0"/>
        <v>4007/4008</v>
      </c>
      <c r="L41" s="22" t="str">
        <f>VLOOKUP(A41,'Trips&amp;Operators'!$C$1:$E$10000,3,FALSE)</f>
        <v>MAELZER</v>
      </c>
      <c r="M41" s="6">
        <f t="shared" si="1"/>
        <v>2.622685184906004E-2</v>
      </c>
      <c r="N41" s="7">
        <f t="shared" si="2"/>
        <v>37.766666662646458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06:43:18-700',mode:absolute,to:'2016-11-23 09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23.299800000000001</v>
      </c>
      <c r="Z41" s="67">
        <f t="shared" si="9"/>
        <v>1.47E-2</v>
      </c>
      <c r="AA41" s="67">
        <f t="shared" si="10"/>
        <v>23.2851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0128-23</v>
      </c>
      <c r="AE41" s="91" t="str">
        <f t="shared" si="12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41" s="88" t="str">
        <f t="shared" si="13"/>
        <v>"C:\Program Files (x86)\AstroGrep\AstroGrep.exe" /spath="%USERPROFILE%\AppData\Local\Temp\OnboardLogs" /stypes="app*4008*20161123*"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128-23 --locoid 4008 --swversion DE.1.0.8.0 --startMP 204:232998 --initTime 2016-11-23T07:43:18 --startdatetime 2016-11-23T07:56:27 --delay 1 --endMP 204:147 --enddatetime 2016-11-23T08:34:13 --enforcementcount 0 &gt;&gt;C:\Users\stu\Documents\GitHub\eaglep3-reporting\EC\2016-11-23-refined-times.txt</v>
      </c>
      <c r="AI41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{"issue":{"subject":"","project_id":79,"tracker_id":40,"status_id":1,"priority_id":2,"assigned_to_id":23,"start_date":"2016-11-23","description":"","custom_fields":[{"id":1,"name":"Subdivision","value":"EC"},{"id":4,"name":"Milepost","value":"0.0147"},{"id":17,"name":"Train ID","value":"128-23"},{"id":16,"name":"Locomotive ID","value":"4008"},{"id":130,"name":"Impact","value":""},{"id":150,"name":"Time of Event (Mountain Time)","value":"08:34:13"},{"id":151,"name":"Denver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472</v>
      </c>
      <c r="B42" s="7">
        <v>4029</v>
      </c>
      <c r="C42" s="22" t="s">
        <v>217</v>
      </c>
      <c r="D42" s="22" t="s">
        <v>656</v>
      </c>
      <c r="E42" s="13">
        <v>42697.300335648149</v>
      </c>
      <c r="F42" s="13">
        <v>42697.302465277775</v>
      </c>
      <c r="G42" s="7">
        <v>1</v>
      </c>
      <c r="H42" s="22" t="s">
        <v>657</v>
      </c>
      <c r="I42" s="13">
        <v>42697.328009259261</v>
      </c>
      <c r="J42" s="7">
        <v>0</v>
      </c>
      <c r="K42" s="109" t="str">
        <f t="shared" si="0"/>
        <v>4029/4030</v>
      </c>
      <c r="L42" s="22" t="str">
        <f>VLOOKUP(A42,'Trips&amp;Operators'!$C$1:$E$10000,3,FALSE)</f>
        <v>RICHARDSON</v>
      </c>
      <c r="M42" s="6">
        <f t="shared" si="1"/>
        <v>2.5543981486407574E-2</v>
      </c>
      <c r="N42" s="7">
        <f t="shared" si="2"/>
        <v>36.783333340426907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06:12:29-700',mode:absolute,to:'2016-11-23 08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3.3300000000000003E-2</v>
      </c>
      <c r="Z42" s="67">
        <f t="shared" si="9"/>
        <v>23.3278</v>
      </c>
      <c r="AA42" s="67">
        <f t="shared" si="10"/>
        <v>23.294499999999999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0129-23</v>
      </c>
      <c r="AE42" s="91" t="str">
        <f t="shared" si="12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42" s="88" t="str">
        <f t="shared" si="13"/>
        <v>"C:\Program Files (x86)\AstroGrep\AstroGrep.exe" /spath="%USERPROFILE%\AppData\Local\Temp\OnboardLogs" /stypes="app*4029*20161123*"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129-23 --locoid 4029 --swversion DE.1.0.8.0 --startMP 204:333 --initTime 2016-11-23T07:12:29 --startdatetime 2016-11-23T07:15:33 --delay 1 --endMP 204:233278 --enddatetime 2016-11-23T07:52:20 --enforcementcount 0 &gt;&gt;C:\Users\stu\Documents\GitHub\eaglep3-reporting\EC\2016-11-23-refined-times.txt</v>
      </c>
      <c r="AI4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{"issue":{"subject":"","project_id":79,"tracker_id":40,"status_id":1,"priority_id":2,"assigned_to_id":23,"start_date":"2016-11-23","description":"","custom_fields":[{"id":1,"name":"Subdivision","value":"EC"},{"id":4,"name":"Milepost","value":"23.3278"},{"id":17,"name":"Train ID","value":"129-23"},{"id":16,"name":"Locomotive ID","value":"4029"},{"id":130,"name":"Impact","value":""},{"id":150,"name":"Time of Event (Mountain Time)","value":"07:52:20"},{"id":151,"name":"Denver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480</v>
      </c>
      <c r="B43" s="7">
        <v>4030</v>
      </c>
      <c r="C43" s="22" t="s">
        <v>217</v>
      </c>
      <c r="D43" s="22" t="s">
        <v>277</v>
      </c>
      <c r="E43" s="13">
        <v>42697.332928240743</v>
      </c>
      <c r="F43" s="13">
        <v>42697.341145833336</v>
      </c>
      <c r="G43" s="7">
        <v>2</v>
      </c>
      <c r="H43" s="22" t="s">
        <v>284</v>
      </c>
      <c r="I43" s="13">
        <v>42697.3675</v>
      </c>
      <c r="J43" s="7">
        <v>0</v>
      </c>
      <c r="K43" s="109" t="str">
        <f t="shared" si="0"/>
        <v>4029/4030</v>
      </c>
      <c r="L43" s="22" t="str">
        <f>VLOOKUP(A43,'Trips&amp;Operators'!$C$1:$E$10000,3,FALSE)</f>
        <v>RICHARDSON</v>
      </c>
      <c r="M43" s="6">
        <f t="shared" si="1"/>
        <v>2.6354166664532386E-2</v>
      </c>
      <c r="N43" s="7">
        <f t="shared" si="2"/>
        <v>37.949999996926636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06:59:25-700',mode:absolute,to:'2016-11-23 09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23.299099999999999</v>
      </c>
      <c r="Z43" s="67">
        <f t="shared" si="9"/>
        <v>1.61E-2</v>
      </c>
      <c r="AA43" s="67">
        <f t="shared" si="10"/>
        <v>23.282999999999998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0130-23</v>
      </c>
      <c r="AE43" s="91" t="str">
        <f t="shared" si="12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43" s="88" t="str">
        <f t="shared" si="13"/>
        <v>"C:\Program Files (x86)\AstroGrep\AstroGrep.exe" /spath="%USERPROFILE%\AppData\Local\Temp\OnboardLogs" /stypes="app*4030*20161123*"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130-23 --locoid 4030 --swversion DE.1.0.8.0 --startMP 204:232991 --initTime 2016-11-23T07:59:25 --startdatetime 2016-11-23T08:11:15 --delay 2 --endMP 204:161 --enddatetime 2016-11-23T08:49:12 --enforcementcount 0 &gt;&gt;C:\Users\stu\Documents\GitHub\eaglep3-reporting\EC\2016-11-23-refined-times.txt</v>
      </c>
      <c r="AI4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{"issue":{"subject":"","project_id":79,"tracker_id":40,"status_id":1,"priority_id":2,"assigned_to_id":23,"start_date":"2016-11-23","description":"","custom_fields":[{"id":1,"name":"Subdivision","value":"EC"},{"id":4,"name":"Milepost","value":"0.0161"},{"id":17,"name":"Train ID","value":"130-23"},{"id":16,"name":"Locomotive ID","value":"4030"},{"id":130,"name":"Impact","value":""},{"id":150,"name":"Time of Event (Mountain Time)","value":"08:49:12"},{"id":151,"name":"Denver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473</v>
      </c>
      <c r="B44" s="7">
        <v>4025</v>
      </c>
      <c r="C44" s="22" t="s">
        <v>217</v>
      </c>
      <c r="D44" s="22" t="s">
        <v>261</v>
      </c>
      <c r="E44" s="13">
        <v>42697.306643518517</v>
      </c>
      <c r="F44" s="13">
        <v>42697.312696759262</v>
      </c>
      <c r="G44" s="7">
        <v>1</v>
      </c>
      <c r="H44" s="22" t="s">
        <v>257</v>
      </c>
      <c r="I44" s="13">
        <v>42697.336956018517</v>
      </c>
      <c r="J44" s="7">
        <v>0</v>
      </c>
      <c r="K44" s="109" t="str">
        <f t="shared" si="0"/>
        <v>4025/4026</v>
      </c>
      <c r="L44" s="22" t="str">
        <f>VLOOKUP(A44,'Trips&amp;Operators'!$C$1:$E$10000,3,FALSE)</f>
        <v>ACKERMAN</v>
      </c>
      <c r="M44" s="6">
        <f t="shared" si="1"/>
        <v>2.4259259254904464E-2</v>
      </c>
      <c r="N44" s="7">
        <f t="shared" si="2"/>
        <v>34.933333327062428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06:21:34-700',mode:absolute,to:'2016-11-23 09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4.3999999999999997E-2</v>
      </c>
      <c r="Z44" s="67">
        <f t="shared" si="9"/>
        <v>23.328900000000001</v>
      </c>
      <c r="AA44" s="67">
        <f t="shared" si="10"/>
        <v>23.2849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0131-23</v>
      </c>
      <c r="AE44" s="91" t="str">
        <f t="shared" si="12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44" s="88" t="str">
        <f t="shared" si="13"/>
        <v>"C:\Program Files (x86)\AstroGrep\AstroGrep.exe" /spath="%USERPROFILE%\AppData\Local\Temp\OnboardLogs" /stypes="app*4025*20161123*"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131-23 --locoid 4025 --swversion DE.1.0.8.0 --startMP 204:440 --initTime 2016-11-23T07:21:34 --startdatetime 2016-11-23T07:30:17 --delay 1 --endMP 204:233289 --enddatetime 2016-11-23T08:05:13 --enforcementcount 0 &gt;&gt;C:\Users\stu\Documents\GitHub\eaglep3-reporting\EC\2016-11-23-refined-times.txt</v>
      </c>
      <c r="AI4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{"issue":{"subject":"","project_id":79,"tracker_id":40,"status_id":1,"priority_id":2,"assigned_to_id":23,"start_date":"2016-11-23","description":"","custom_fields":[{"id":1,"name":"Subdivision","value":"EC"},{"id":4,"name":"Milepost","value":"23.3289"},{"id":17,"name":"Train ID","value":"131-23"},{"id":16,"name":"Locomotive ID","value":"4025"},{"id":130,"name":"Impact","value":""},{"id":150,"name":"Time of Event (Mountain Time)","value":"08:05:13"},{"id":151,"name":"Denver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403</v>
      </c>
      <c r="B45" s="7">
        <v>4026</v>
      </c>
      <c r="C45" s="22" t="s">
        <v>217</v>
      </c>
      <c r="D45" s="22" t="s">
        <v>370</v>
      </c>
      <c r="E45" s="13">
        <v>42697.342951388891</v>
      </c>
      <c r="F45" s="13">
        <v>42697.3515625</v>
      </c>
      <c r="G45" s="7">
        <v>1</v>
      </c>
      <c r="H45" s="22" t="s">
        <v>197</v>
      </c>
      <c r="I45" s="13">
        <v>42697.378078703703</v>
      </c>
      <c r="J45" s="7">
        <v>1</v>
      </c>
      <c r="K45" s="109" t="str">
        <f t="shared" si="0"/>
        <v>4025/4026</v>
      </c>
      <c r="L45" s="22" t="str">
        <f>VLOOKUP(A45,'Trips&amp;Operators'!$C$1:$E$10000,3,FALSE)</f>
        <v>ACKERMAN</v>
      </c>
      <c r="M45" s="6">
        <f t="shared" si="1"/>
        <v>2.6516203703067731E-2</v>
      </c>
      <c r="N45" s="7">
        <f t="shared" si="2"/>
        <v>38.183333332417533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07:13:51-700',mode:absolute,to:'2016-11-23 10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23.296299999999999</v>
      </c>
      <c r="Z45" s="67">
        <f t="shared" si="9"/>
        <v>1.43E-2</v>
      </c>
      <c r="AA45" s="67">
        <f t="shared" si="10"/>
        <v>23.282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0132-23</v>
      </c>
      <c r="AE45" s="91" t="str">
        <f t="shared" si="12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45" s="88" t="str">
        <f t="shared" si="13"/>
        <v>"C:\Program Files (x86)\AstroGrep\AstroGrep.exe" /spath="%USERPROFILE%\AppData\Local\Temp\OnboardLogs" /stypes="app*4026*20161123*"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132-23 --locoid 4026 --swversion DE.1.0.8.0 --startMP 204:232963 --initTime 2016-11-23T08:13:51 --startdatetime 2016-11-23T08:26:15 --delay 1 --endMP 204:143 --enddatetime 2016-11-23T09:04:26 --enforcementcount 1 &gt;&gt;C:\Users\stu\Documents\GitHub\eaglep3-reporting\EC\2016-11-23-refined-times.txt</v>
      </c>
      <c r="AI4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ID","value":"132-23"},{"id":16,"name":"Locomotive ID","value":"4026"},{"id":130,"name":"Impact","value":""},{"id":150,"name":"Time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476</v>
      </c>
      <c r="B46" s="7">
        <v>4040</v>
      </c>
      <c r="C46" s="22" t="s">
        <v>217</v>
      </c>
      <c r="D46" s="22" t="s">
        <v>273</v>
      </c>
      <c r="E46" s="13">
        <v>42697.320023148146</v>
      </c>
      <c r="F46" s="13">
        <v>42697.323101851849</v>
      </c>
      <c r="G46" s="7">
        <v>1</v>
      </c>
      <c r="H46" s="22" t="s">
        <v>323</v>
      </c>
      <c r="I46" s="13">
        <v>42697.347488425927</v>
      </c>
      <c r="J46" s="7">
        <v>0</v>
      </c>
      <c r="K46" s="109" t="str">
        <f t="shared" si="0"/>
        <v>4039/4040</v>
      </c>
      <c r="L46" s="22" t="str">
        <f>VLOOKUP(A46,'Trips&amp;Operators'!$C$1:$E$10000,3,FALSE)</f>
        <v>SANTIZO</v>
      </c>
      <c r="M46" s="6">
        <f t="shared" si="1"/>
        <v>2.4386574077652767E-2</v>
      </c>
      <c r="N46" s="7">
        <f t="shared" si="2"/>
        <v>35.116666671819985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06:40:50-700',mode:absolute,to:'2016-11-23 09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4.5499999999999999E-2</v>
      </c>
      <c r="Z46" s="67">
        <f t="shared" si="9"/>
        <v>23.3306</v>
      </c>
      <c r="AA46" s="67">
        <f t="shared" si="10"/>
        <v>23.2851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0133-23</v>
      </c>
      <c r="AE46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46" s="88" t="str">
        <f t="shared" si="13"/>
        <v>"C:\Program Files (x86)\AstroGrep\AstroGrep.exe" /spath="%USERPROFILE%\AppData\Local\Temp\OnboardLogs" /stypes="app*4040*20161123*"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133-23 --locoid 4040 --swversion DE.1.0.8.0 --startMP 204:455 --initTime 2016-11-23T07:40:50 --startdatetime 2016-11-23T07:45:16 --delay 1 --endMP 204:233306 --enddatetime 2016-11-23T08:20:23 --enforcementcount 0 &gt;&gt;C:\Users\stu\Documents\GitHub\eaglep3-reporting\EC\2016-11-23-refined-times.txt</v>
      </c>
      <c r="AI4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{"issue":{"subject":"","project_id":79,"tracker_id":40,"status_id":1,"priority_id":2,"assigned_to_id":23,"start_date":"2016-11-23","description":"","custom_fields":[{"id":1,"name":"Subdivision","value":"EC"},{"id":4,"name":"Milepost","value":"23.3306"},{"id":17,"name":"Train ID","value":"133-23"},{"id":16,"name":"Locomotive ID","value":"4040"},{"id":130,"name":"Impact","value":""},{"id":150,"name":"Time of Event (Mountain Time)","value":"08:20:23"},{"id":151,"name":"Denver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404</v>
      </c>
      <c r="B47" s="7">
        <v>4039</v>
      </c>
      <c r="C47" s="22" t="s">
        <v>217</v>
      </c>
      <c r="D47" s="22" t="s">
        <v>650</v>
      </c>
      <c r="E47" s="13">
        <v>42697.348854166667</v>
      </c>
      <c r="F47" s="13">
        <v>42697.362129629626</v>
      </c>
      <c r="G47" s="7">
        <v>1</v>
      </c>
      <c r="H47" s="22" t="s">
        <v>658</v>
      </c>
      <c r="I47" s="13">
        <v>42697.387557870374</v>
      </c>
      <c r="J47" s="7">
        <v>1</v>
      </c>
      <c r="K47" s="109" t="str">
        <f t="shared" si="0"/>
        <v>4039/4040</v>
      </c>
      <c r="L47" s="22" t="str">
        <f>VLOOKUP(A47,'Trips&amp;Operators'!$C$1:$E$10000,3,FALSE)</f>
        <v>SANTIZO</v>
      </c>
      <c r="M47" s="6">
        <f t="shared" si="1"/>
        <v>2.5428240747714881E-2</v>
      </c>
      <c r="N47" s="7">
        <f t="shared" si="2"/>
        <v>36.616666676709428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07:22:21-700',mode:absolute,to:'2016-11-23 10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23.2989</v>
      </c>
      <c r="Z47" s="67">
        <f t="shared" si="9"/>
        <v>1.9099999999999999E-2</v>
      </c>
      <c r="AA47" s="67">
        <f t="shared" si="10"/>
        <v>23.279799999999998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0134-23</v>
      </c>
      <c r="AE47" s="91" t="str">
        <f t="shared" si="12"/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AF47" s="88" t="str">
        <f t="shared" si="13"/>
        <v>"C:\Program Files (x86)\AstroGrep\AstroGrep.exe" /spath="%USERPROFILE%\AppData\Local\Temp\OnboardLogs" /stypes="app*4039*20161123*"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134-23 --locoid 4039 --swversion DE.1.0.8.0 --startMP 204:232989 --initTime 2016-11-23T08:22:21 --startdatetime 2016-11-23T08:41:28 --delay 1 --endMP 204:191 --enddatetime 2016-11-23T09:18:05 --enforcementcount 1 &gt;&gt;C:\Users\stu\Documents\GitHub\eaglep3-reporting\EC\2016-11-23-refined-times.txt</v>
      </c>
      <c r="AI4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{"issue":{"subject":"","project_id":79,"tracker_id":40,"status_id":1,"priority_id":2,"assigned_to_id":23,"start_date":"2016-11-23","description":"","custom_fields":[{"id":1,"name":"Subdivision","value":"EC"},{"id":4,"name":"Milepost","value":"0.0191"},{"id":17,"name":"Train ID","value":"134-23"},{"id":16,"name":"Locomotive ID","value":"4039"},{"id":130,"name":"Impact","value":""},{"id":150,"name":"Time of Event (Mountain Time)","value":"09:18:05"},{"id":151,"name":"Denver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479</v>
      </c>
      <c r="B48" s="7">
        <v>4046</v>
      </c>
      <c r="C48" s="22" t="s">
        <v>217</v>
      </c>
      <c r="D48" s="22" t="s">
        <v>659</v>
      </c>
      <c r="E48" s="13">
        <v>42697.328993055555</v>
      </c>
      <c r="F48" s="13">
        <v>42697.333587962959</v>
      </c>
      <c r="G48" s="7">
        <v>1</v>
      </c>
      <c r="H48" s="22" t="s">
        <v>366</v>
      </c>
      <c r="I48" s="13">
        <v>42697.359363425923</v>
      </c>
      <c r="J48" s="7">
        <v>0</v>
      </c>
      <c r="K48" s="109" t="str">
        <f t="shared" si="0"/>
        <v>4045/4046</v>
      </c>
      <c r="L48" s="22" t="str">
        <f>VLOOKUP(A48,'Trips&amp;Operators'!$C$1:$E$10000,3,FALSE)</f>
        <v>SPECTOR</v>
      </c>
      <c r="M48" s="6">
        <f t="shared" si="1"/>
        <v>2.5775462963792961E-2</v>
      </c>
      <c r="N48" s="7">
        <f t="shared" si="2"/>
        <v>37.116666667861864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06:53:45-700',mode:absolute,to:'2016-11-23 09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4.24E-2</v>
      </c>
      <c r="Z48" s="67">
        <f t="shared" si="9"/>
        <v>23.330500000000001</v>
      </c>
      <c r="AA48" s="67">
        <f t="shared" si="10"/>
        <v>23.2881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0135-23</v>
      </c>
      <c r="AE48" s="91" t="str">
        <f t="shared" si="12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48" s="88" t="str">
        <f t="shared" si="13"/>
        <v>"C:\Program Files (x86)\AstroGrep\AstroGrep.exe" /spath="%USERPROFILE%\AppData\Local\Temp\OnboardLogs" /stypes="app*4046*20161123*"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135-23 --locoid 4046 --swversion DE.1.0.8.0 --startMP 204:424 --initTime 2016-11-23T07:53:45 --startdatetime 2016-11-23T08:00:22 --delay 1 --endMP 204:233305 --enddatetime 2016-11-23T08:37:29 --enforcementcount 0 &gt;&gt;C:\Users\stu\Documents\GitHub\eaglep3-reporting\EC\2016-11-23-refined-times.txt</v>
      </c>
      <c r="AI4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{"issue":{"subject":"","project_id":79,"tracker_id":40,"status_id":1,"priority_id":2,"assigned_to_id":23,"start_date":"2016-11-23","description":"","custom_fields":[{"id":1,"name":"Subdivision","value":"EC"},{"id":4,"name":"Milepost","value":"23.3305"},{"id":17,"name":"Train ID","value":"135-23"},{"id":16,"name":"Locomotive ID","value":"4046"},{"id":130,"name":"Impact","value":""},{"id":150,"name":"Time of Event (Mountain Time)","value":"08:37:29"},{"id":151,"name":"Denver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487</v>
      </c>
      <c r="B49" s="7">
        <v>4045</v>
      </c>
      <c r="C49" s="22" t="s">
        <v>217</v>
      </c>
      <c r="D49" s="22" t="s">
        <v>333</v>
      </c>
      <c r="E49" s="13">
        <v>42697.369201388887</v>
      </c>
      <c r="F49" s="13">
        <v>42697.372523148151</v>
      </c>
      <c r="G49" s="7">
        <v>1</v>
      </c>
      <c r="H49" s="22" t="s">
        <v>227</v>
      </c>
      <c r="I49" s="13">
        <v>42697.398252314815</v>
      </c>
      <c r="J49" s="7">
        <v>0</v>
      </c>
      <c r="K49" s="109" t="str">
        <f t="shared" si="0"/>
        <v>4045/4046</v>
      </c>
      <c r="L49" s="22" t="str">
        <f>VLOOKUP(A49,'Trips&amp;Operators'!$C$1:$E$10000,3,FALSE)</f>
        <v>SPECTOR</v>
      </c>
      <c r="M49" s="6">
        <f t="shared" si="1"/>
        <v>2.5729166663950309E-2</v>
      </c>
      <c r="N49" s="7">
        <f t="shared" si="2"/>
        <v>37.049999996088445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07:51:39-700',mode:absolute,to:'2016-11-23 10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23.2986</v>
      </c>
      <c r="Z49" s="67">
        <f t="shared" si="9"/>
        <v>1.4999999999999999E-2</v>
      </c>
      <c r="AA49" s="67">
        <f t="shared" si="10"/>
        <v>23.2836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0136-23</v>
      </c>
      <c r="AE49" s="91" t="str">
        <f t="shared" si="12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49" s="88" t="str">
        <f t="shared" si="13"/>
        <v>"C:\Program Files (x86)\AstroGrep\AstroGrep.exe" /spath="%USERPROFILE%\AppData\Local\Temp\OnboardLogs" /stypes="app*4045*20161123*"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136-23 --locoid 4045 --swversion DE.1.0.8.0 --startMP 204:232986 --initTime 2016-11-23T08:51:39 --startdatetime 2016-11-23T08:56:26 --delay 1 --endMP 204:150 --enddatetime 2016-11-23T09:33:29 --enforcementcount 0 &gt;&gt;C:\Users\stu\Documents\GitHub\eaglep3-reporting\EC\2016-11-23-refined-times.txt</v>
      </c>
      <c r="AI49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{"issue":{"subject":"","project_id":79,"tracker_id":40,"status_id":1,"priority_id":2,"assigned_to_id":23,"start_date":"2016-11-23","description":"","custom_fields":[{"id":1,"name":"Subdivision","value":"EC"},{"id":4,"name":"Milepost","value":"0.015"},{"id":17,"name":"Train ID","value":"136-23"},{"id":16,"name":"Locomotive ID","value":"4045"},{"id":130,"name":"Impact","value":""},{"id":150,"name":"Time of Event (Mountain Time)","value":"09:33:29"},{"id":151,"name":"Denver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481</v>
      </c>
      <c r="B50" s="7">
        <v>4022</v>
      </c>
      <c r="C50" s="22" t="s">
        <v>217</v>
      </c>
      <c r="D50" s="22" t="s">
        <v>329</v>
      </c>
      <c r="E50" s="13">
        <v>42697.33761574074</v>
      </c>
      <c r="F50" s="13">
        <v>42697.416863425926</v>
      </c>
      <c r="G50" s="7">
        <v>2</v>
      </c>
      <c r="H50" s="22" t="s">
        <v>646</v>
      </c>
      <c r="I50" s="13">
        <v>42697.441516203704</v>
      </c>
      <c r="J50" s="7">
        <v>0</v>
      </c>
      <c r="K50" s="109" t="str">
        <f t="shared" si="0"/>
        <v>4021/4022</v>
      </c>
      <c r="L50" s="22" t="str">
        <f>VLOOKUP(A50,'Trips&amp;Operators'!$C$1:$E$10000,3,FALSE)</f>
        <v>KILLION</v>
      </c>
      <c r="M50" s="6">
        <f t="shared" si="1"/>
        <v>2.4652777778101154E-2</v>
      </c>
      <c r="N50" s="7">
        <f t="shared" si="2"/>
        <v>35.500000000465661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07:06:10-700',mode:absolute,to:'2016-11-23 11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4.3799999999999999E-2</v>
      </c>
      <c r="Z50" s="67">
        <f t="shared" si="9"/>
        <v>23.330300000000001</v>
      </c>
      <c r="AA50" s="67">
        <f t="shared" si="10"/>
        <v>23.2865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0137-23</v>
      </c>
      <c r="AE50" s="91" t="str">
        <f t="shared" si="12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50" s="88" t="str">
        <f t="shared" si="13"/>
        <v>"C:\Program Files (x86)\AstroGrep\AstroGrep.exe" /spath="%USERPROFILE%\AppData\Local\Temp\OnboardLogs" /stypes="app*4022*20161123*" /stext=" 17:.+((SYSTEM_STATE.+slice.+state.+changed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137-23 --locoid 4022 --swversion DE.1.0.8.0 --startMP 204:438 --initTime 2016-11-23T08:06:10 --startdatetime 2016-11-23T10:00:17 --delay 2 --endMP 204:233303 --enddatetime 2016-11-23T10:35:47 --enforcementcount 0 &gt;&gt;C:\Users\stu\Documents\GitHub\eaglep3-reporting\EC\2016-11-23-refined-times.txt</v>
      </c>
      <c r="AI5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{"issue":{"subject":"","project_id":79,"tracker_id":40,"status_id":1,"priority_id":2,"assigned_to_id":23,"start_date":"2016-11-23","description":"","custom_fields":[{"id":1,"name":"Subdivision","value":"EC"},{"id":4,"name":"Milepost","value":"23.3303"},{"id":17,"name":"Train ID","value":"137-23"},{"id":16,"name":"Locomotive ID","value":"4022"},{"id":130,"name":"Impact","value":""},{"id":150,"name":"Time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488</v>
      </c>
      <c r="B51" s="7">
        <v>4021</v>
      </c>
      <c r="C51" s="22" t="s">
        <v>217</v>
      </c>
      <c r="D51" s="22" t="s">
        <v>287</v>
      </c>
      <c r="E51" s="13">
        <v>42697.377465277779</v>
      </c>
      <c r="F51" s="13">
        <v>42697.383043981485</v>
      </c>
      <c r="G51" s="7">
        <v>1</v>
      </c>
      <c r="H51" s="22" t="s">
        <v>302</v>
      </c>
      <c r="I51" s="13">
        <v>42697.409768518519</v>
      </c>
      <c r="J51" s="7">
        <v>0</v>
      </c>
      <c r="K51" s="109" t="str">
        <f t="shared" si="0"/>
        <v>4021/4022</v>
      </c>
      <c r="L51" s="22" t="str">
        <f>VLOOKUP(A51,'Trips&amp;Operators'!$C$1:$E$10000,3,FALSE)</f>
        <v>KILLION</v>
      </c>
      <c r="M51" s="6">
        <f t="shared" si="1"/>
        <v>2.6724537034169771E-2</v>
      </c>
      <c r="N51" s="7">
        <f t="shared" si="2"/>
        <v>38.48333332920447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08:03:33-700',mode:absolute,to:'2016-11-23 10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23.297899999999998</v>
      </c>
      <c r="Z51" s="67">
        <f t="shared" si="9"/>
        <v>1.38E-2</v>
      </c>
      <c r="AA51" s="67">
        <f t="shared" si="10"/>
        <v>23.284099999999999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0138-23</v>
      </c>
      <c r="AE51" s="91" t="str">
        <f t="shared" si="12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51" s="88" t="str">
        <f t="shared" si="13"/>
        <v>"C:\Program Files (x86)\AstroGrep\AstroGrep.exe" /spath="%USERPROFILE%\AppData\Local\Temp\OnboardLogs" /stypes="app*4021*20161123*"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138-23 --locoid 4021 --swversion DE.1.0.8.0 --startMP 204:232979 --initTime 2016-11-23T09:03:33 --startdatetime 2016-11-23T09:11:35 --delay 1 --endMP 204:138 --enddatetime 2016-11-23T09:50:04 --enforcementcount 0 &gt;&gt;C:\Users\stu\Documents\GitHub\eaglep3-reporting\EC\2016-11-23-refined-times.txt</v>
      </c>
      <c r="AI51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{"issue":{"subject":"","project_id":79,"tracker_id":40,"status_id":1,"priority_id":2,"assigned_to_id":23,"start_date":"2016-11-23","description":"","custom_fields":[{"id":1,"name":"Subdivision","value":"EC"},{"id":4,"name":"Milepost","value":"0.0138"},{"id":17,"name":"Train ID","value":"138-23"},{"id":16,"name":"Locomotive ID","value":"4021"},{"id":130,"name":"Impact","value":""},{"id":150,"name":"Time of Event (Mountain Time)","value":"09:50:04"},{"id":151,"name":"Denver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402</v>
      </c>
      <c r="B52" s="7">
        <v>4003</v>
      </c>
      <c r="C52" s="22" t="s">
        <v>217</v>
      </c>
      <c r="D52" s="22" t="s">
        <v>660</v>
      </c>
      <c r="E52" s="13">
        <v>42697.349108796298</v>
      </c>
      <c r="F52" s="13">
        <v>42697.354305555556</v>
      </c>
      <c r="G52" s="7">
        <v>1</v>
      </c>
      <c r="H52" s="22" t="s">
        <v>304</v>
      </c>
      <c r="I52" s="13">
        <v>42697.379606481481</v>
      </c>
      <c r="J52" s="7">
        <v>1</v>
      </c>
      <c r="K52" s="109" t="str">
        <f t="shared" si="0"/>
        <v>4003/4004</v>
      </c>
      <c r="L52" s="22" t="str">
        <f>VLOOKUP(A52,'Trips&amp;Operators'!$C$1:$E$10000,3,FALSE)</f>
        <v>JOHNSON</v>
      </c>
      <c r="M52" s="6">
        <f t="shared" si="1"/>
        <v>2.5300925924966577E-2</v>
      </c>
      <c r="N52" s="7">
        <f t="shared" si="2"/>
        <v>36.433333331951872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07:22:43-700',mode:absolute,to:'2016-11-23 10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4.3099999999999999E-2</v>
      </c>
      <c r="Z52" s="67">
        <f t="shared" si="9"/>
        <v>23.3293</v>
      </c>
      <c r="AA52" s="67">
        <f t="shared" si="10"/>
        <v>23.286200000000001</v>
      </c>
      <c r="AB52" s="64" t="str">
        <f>VLOOKUP(A52,Enforcements!$C$7:$K$20,8,0)</f>
        <v>Speed (6)</v>
      </c>
      <c r="AC52" s="60" t="str">
        <f>VLOOKUP(A52,Enforcements!$C$7:$E$20,3,0)</f>
        <v>PERMANENT SPEED RESTRICTION</v>
      </c>
      <c r="AD52" s="61" t="str">
        <f t="shared" si="11"/>
        <v>0139-23</v>
      </c>
      <c r="AE52" s="91" t="str">
        <f t="shared" si="12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52" s="88" t="str">
        <f t="shared" si="13"/>
        <v>"C:\Program Files (x86)\AstroGrep\AstroGrep.exe" /spath="%USERPROFILE%\AppData\Local\Temp\OnboardLogs" /stypes="app*4003*20161123*"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139-23 --locoid 4003 --swversion DE.1.0.8.0 --startMP 204:431 --initTime 2016-11-23T08:22:43 --startdatetime 2016-11-23T08:30:12 --delay 1 --endMP 204:233293 --enddatetime 2016-11-23T09:06:38 --enforcementcount 1 &gt;&gt;C:\Users\stu\Documents\GitHub\eaglep3-reporting\EC\2016-11-23-refined-times.txt</v>
      </c>
      <c r="AI5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{"issue":{"subject":"","project_id":79,"tracker_id":40,"status_id":1,"priority_id":2,"assigned_to_id":23,"start_date":"2016-11-23","description":"","custom_fields":[{"id":1,"name":"Subdivision","value":"EC"},{"id":4,"name":"Milepost","value":"23.3293"},{"id":17,"name":"Train ID","value":"139-23"},{"id":16,"name":"Locomotive ID","value":"4003"},{"id":130,"name":"Impact","value":""},{"id":150,"name":"Time of Event (Mountain Time)","value":"09:06:38"},{"id":151,"name":"Denver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407</v>
      </c>
      <c r="B53" s="7">
        <v>4004</v>
      </c>
      <c r="C53" s="22" t="s">
        <v>217</v>
      </c>
      <c r="D53" s="22" t="s">
        <v>332</v>
      </c>
      <c r="E53" s="13">
        <v>42697.381678240738</v>
      </c>
      <c r="F53" s="13">
        <v>42697.393171296295</v>
      </c>
      <c r="G53" s="7">
        <v>1</v>
      </c>
      <c r="H53" s="22" t="s">
        <v>326</v>
      </c>
      <c r="I53" s="13">
        <v>42697.420266203706</v>
      </c>
      <c r="J53" s="7">
        <v>1</v>
      </c>
      <c r="K53" s="109" t="str">
        <f t="shared" si="0"/>
        <v>4003/4004</v>
      </c>
      <c r="L53" s="22" t="str">
        <f>VLOOKUP(A53,'Trips&amp;Operators'!$C$1:$E$10000,3,FALSE)</f>
        <v>JOHNSON</v>
      </c>
      <c r="M53" s="6">
        <f t="shared" si="1"/>
        <v>2.7094907411083113E-2</v>
      </c>
      <c r="N53" s="7">
        <f t="shared" si="2"/>
        <v>39.016666671959683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08:09:37-700',mode:absolute,to:'2016-11-23 11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23.297799999999999</v>
      </c>
      <c r="Z53" s="67">
        <f t="shared" si="9"/>
        <v>1.34E-2</v>
      </c>
      <c r="AA53" s="67">
        <f t="shared" si="10"/>
        <v>23.284399999999998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0140-23</v>
      </c>
      <c r="AE53" s="91" t="str">
        <f t="shared" si="12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53" s="88" t="str">
        <f t="shared" si="13"/>
        <v>"C:\Program Files (x86)\AstroGrep\AstroGrep.exe" /spath="%USERPROFILE%\AppData\Local\Temp\OnboardLogs" /stypes="app*4004*20161123*"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140-23 --locoid 4004 --swversion DE.1.0.8.0 --startMP 204:232978 --initTime 2016-11-23T09:09:37 --startdatetime 2016-11-23T09:26:10 --delay 1 --endMP 204:134 --enddatetime 2016-11-23T10:05:11 --enforcementcount 1 &gt;&gt;C:\Users\stu\Documents\GitHub\eaglep3-reporting\EC\2016-11-23-refined-times.txt</v>
      </c>
      <c r="AI5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{"issue":{"subject":"","project_id":79,"tracker_id":40,"status_id":1,"priority_id":2,"assigned_to_id":23,"start_date":"2016-11-23","description":"","custom_fields":[{"id":1,"name":"Subdivision","value":"EC"},{"id":4,"name":"Milepost","value":"0.0134"},{"id":17,"name":"Train ID","value":"140-23"},{"id":16,"name":"Locomotive ID","value":"4004"},{"id":130,"name":"Impact","value":""},{"id":150,"name":"Time of Event (Mountain Time)","value":"10:05:11"},{"id":151,"name":"Denver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486</v>
      </c>
      <c r="B54" s="7">
        <v>4007</v>
      </c>
      <c r="C54" s="22" t="s">
        <v>217</v>
      </c>
      <c r="D54" s="22" t="s">
        <v>214</v>
      </c>
      <c r="E54" s="13">
        <v>42697.362037037034</v>
      </c>
      <c r="F54" s="13">
        <v>42697.365324074075</v>
      </c>
      <c r="G54" s="7">
        <v>1</v>
      </c>
      <c r="H54" s="22" t="s">
        <v>297</v>
      </c>
      <c r="I54" s="13">
        <v>42697.391099537039</v>
      </c>
      <c r="J54" s="7">
        <v>0</v>
      </c>
      <c r="K54" s="109" t="str">
        <f t="shared" si="0"/>
        <v>4007/4008</v>
      </c>
      <c r="L54" s="22" t="str">
        <f>VLOOKUP(A54,'Trips&amp;Operators'!$C$1:$E$10000,3,FALSE)</f>
        <v>MCREYNOLDS</v>
      </c>
      <c r="M54" s="6">
        <f t="shared" si="1"/>
        <v>2.5775462963792961E-2</v>
      </c>
      <c r="N54" s="7">
        <f t="shared" si="2"/>
        <v>37.116666667861864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07:41:20-700',mode:absolute,to:'2016-11-23 10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4.6199999999999998E-2</v>
      </c>
      <c r="Z54" s="67">
        <f t="shared" si="9"/>
        <v>23.3291</v>
      </c>
      <c r="AA54" s="67">
        <f t="shared" si="10"/>
        <v>23.282900000000001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0141-23</v>
      </c>
      <c r="AE54" s="91" t="str">
        <f t="shared" si="12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54" s="88" t="str">
        <f t="shared" si="13"/>
        <v>"C:\Program Files (x86)\AstroGrep\AstroGrep.exe" /spath="%USERPROFILE%\AppData\Local\Temp\OnboardLogs" /stypes="app*4007*20161123*"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141-23 --locoid 4007 --swversion DE.1.0.8.0 --startMP 204:462 --initTime 2016-11-23T08:41:20 --startdatetime 2016-11-23T08:46:04 --delay 1 --endMP 204:233291 --enddatetime 2016-11-23T09:23:11 --enforcementcount 0 &gt;&gt;C:\Users\stu\Documents\GitHub\eaglep3-reporting\EC\2016-11-23-refined-times.txt</v>
      </c>
      <c r="AI5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{"issue":{"subject":"","project_id":79,"tracker_id":40,"status_id":1,"priority_id":2,"assigned_to_id":23,"start_date":"2016-11-23","description":"","custom_fields":[{"id":1,"name":"Subdivision","value":"EC"},{"id":4,"name":"Milepost","value":"23.3291"},{"id":17,"name":"Train ID","value":"141-23"},{"id":16,"name":"Locomotive ID","value":"4007"},{"id":130,"name":"Impact","value":""},{"id":150,"name":"Time of Event (Mountain Time)","value":"09:23:11"},{"id":151,"name":"Denver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409</v>
      </c>
      <c r="B55" s="7">
        <v>4008</v>
      </c>
      <c r="C55" s="22" t="s">
        <v>217</v>
      </c>
      <c r="D55" s="22" t="s">
        <v>210</v>
      </c>
      <c r="E55" s="13">
        <v>42697.393819444442</v>
      </c>
      <c r="F55" s="13">
        <v>42697.403692129628</v>
      </c>
      <c r="G55" s="7">
        <v>2</v>
      </c>
      <c r="H55" s="22" t="s">
        <v>661</v>
      </c>
      <c r="I55" s="13">
        <v>42697.431041666663</v>
      </c>
      <c r="J55" s="7">
        <v>1</v>
      </c>
      <c r="K55" s="109" t="str">
        <f t="shared" si="0"/>
        <v>4007/4008</v>
      </c>
      <c r="L55" s="22" t="str">
        <f>VLOOKUP(A55,'Trips&amp;Operators'!$C$1:$E$10000,3,FALSE)</f>
        <v>MCREYNOLDS</v>
      </c>
      <c r="M55" s="6">
        <f t="shared" si="1"/>
        <v>2.7349537034751847E-2</v>
      </c>
      <c r="N55" s="7">
        <f t="shared" si="2"/>
        <v>39.38333333004266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08:27:06-700',mode:absolute,to:'2016-11-23 11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23.297699999999999</v>
      </c>
      <c r="Z55" s="67">
        <f t="shared" si="9"/>
        <v>1.7999999999999999E-2</v>
      </c>
      <c r="AA55" s="67">
        <f t="shared" si="10"/>
        <v>23.279699999999998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0142-23</v>
      </c>
      <c r="AE55" s="91" t="str">
        <f t="shared" si="12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55" s="88" t="str">
        <f t="shared" si="13"/>
        <v>"C:\Program Files (x86)\AstroGrep\AstroGrep.exe" /spath="%USERPROFILE%\AppData\Local\Temp\OnboardLogs" /stypes="app*4008*20161123*"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142-23 --locoid 4008 --swversion DE.1.0.8.0 --startMP 204:232977 --initTime 2016-11-23T09:27:06 --startdatetime 2016-11-23T09:41:19 --delay 2 --endMP 204:180 --enddatetime 2016-11-23T10:20:42 --enforcementcount 1 &gt;&gt;C:\Users\stu\Documents\GitHub\eaglep3-reporting\EC\2016-11-23-refined-times.txt</v>
      </c>
      <c r="AI5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{"issue":{"subject":"","project_id":79,"tracker_id":40,"status_id":1,"priority_id":2,"assigned_to_id":23,"start_date":"2016-11-23","description":"","custom_fields":[{"id":1,"name":"Subdivision","value":"EC"},{"id":4,"name":"Milepost","value":"0.018"},{"id":17,"name":"Train ID","value":"142-23"},{"id":16,"name":"Locomotive ID","value":"4008"},{"id":130,"name":"Impact","value":""},{"id":150,"name":"Time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405</v>
      </c>
      <c r="B56" s="7">
        <v>4029</v>
      </c>
      <c r="C56" s="22" t="s">
        <v>217</v>
      </c>
      <c r="D56" s="22" t="s">
        <v>293</v>
      </c>
      <c r="E56" s="13">
        <v>42697.369062500002</v>
      </c>
      <c r="F56" s="13">
        <v>42697.375150462962</v>
      </c>
      <c r="G56" s="7">
        <v>1</v>
      </c>
      <c r="H56" s="22" t="s">
        <v>362</v>
      </c>
      <c r="I56" s="13">
        <v>42697.399583333332</v>
      </c>
      <c r="J56" s="7">
        <v>1</v>
      </c>
      <c r="K56" s="109" t="str">
        <f t="shared" si="0"/>
        <v>4029/4030</v>
      </c>
      <c r="L56" s="22" t="str">
        <f>VLOOKUP(A56,'Trips&amp;Operators'!$C$1:$E$10000,3,FALSE)</f>
        <v>RICHARDSON</v>
      </c>
      <c r="M56" s="6">
        <f t="shared" si="1"/>
        <v>2.4432870370219462E-2</v>
      </c>
      <c r="N56" s="7">
        <f t="shared" si="2"/>
        <v>35.183333333116025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07:51:27-700',mode:absolute,to:'2016-11-23 10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4.5699999999999998E-2</v>
      </c>
      <c r="Z56" s="67">
        <f t="shared" si="9"/>
        <v>23.3307</v>
      </c>
      <c r="AA56" s="67">
        <f t="shared" si="10"/>
        <v>23.285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0143-23</v>
      </c>
      <c r="AE56" s="91" t="str">
        <f t="shared" si="12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56" s="88" t="str">
        <f t="shared" si="13"/>
        <v>"C:\Program Files (x86)\AstroGrep\AstroGrep.exe" /spath="%USERPROFILE%\AppData\Local\Temp\OnboardLogs" /stypes="app*4029*20161123*"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143-23 --locoid 4029 --swversion DE.1.0.8.0 --startMP 204:457 --initTime 2016-11-23T08:51:27 --startdatetime 2016-11-23T09:00:13 --delay 1 --endMP 204:233307 --enddatetime 2016-11-23T09:35:24 --enforcementcount 1 &gt;&gt;C:\Users\stu\Documents\GitHub\eaglep3-reporting\EC\2016-11-23-refined-times.txt</v>
      </c>
      <c r="AI5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{"issue":{"subject":"","project_id":79,"tracker_id":40,"status_id":1,"priority_id":2,"assigned_to_id":23,"start_date":"2016-11-23","description":"","custom_fields":[{"id":1,"name":"Subdivision","value":"EC"},{"id":4,"name":"Milepost","value":"23.3307"},{"id":17,"name":"Train ID","value":"143-23"},{"id":16,"name":"Locomotive ID","value":"4029"},{"id":130,"name":"Impact","value":""},{"id":150,"name":"Time of Event (Mountain Time)","value":"09:35:24"},{"id":151,"name":"Denver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493</v>
      </c>
      <c r="B57" s="7">
        <v>4030</v>
      </c>
      <c r="C57" s="22" t="s">
        <v>217</v>
      </c>
      <c r="D57" s="22" t="s">
        <v>662</v>
      </c>
      <c r="E57" s="13">
        <v>42697.406111111108</v>
      </c>
      <c r="F57" s="13">
        <v>42697.414050925923</v>
      </c>
      <c r="G57" s="7">
        <v>2</v>
      </c>
      <c r="H57" s="22" t="s">
        <v>196</v>
      </c>
      <c r="I57" s="13">
        <v>42697.440613425926</v>
      </c>
      <c r="J57" s="7">
        <v>0</v>
      </c>
      <c r="K57" s="109" t="str">
        <f t="shared" si="0"/>
        <v>4029/4030</v>
      </c>
      <c r="L57" s="22" t="str">
        <f>VLOOKUP(A57,'Trips&amp;Operators'!$C$1:$E$10000,3,FALSE)</f>
        <v>RICHARDSON</v>
      </c>
      <c r="M57" s="6">
        <f t="shared" si="1"/>
        <v>2.6562500002910383E-2</v>
      </c>
      <c r="N57" s="7">
        <f t="shared" si="2"/>
        <v>38.250000004190952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08:44:48-700',mode:absolute,to:'2016-11-23 11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23.293800000000001</v>
      </c>
      <c r="Z57" s="67">
        <f t="shared" si="9"/>
        <v>1.49E-2</v>
      </c>
      <c r="AA57" s="67">
        <f t="shared" si="10"/>
        <v>23.2789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0144-23</v>
      </c>
      <c r="AE57" s="91" t="str">
        <f t="shared" si="12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57" s="88" t="str">
        <f t="shared" si="13"/>
        <v>"C:\Program Files (x86)\AstroGrep\AstroGrep.exe" /spath="%USERPROFILE%\AppData\Local\Temp\OnboardLogs" /stypes="app*4030*20161123*"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144-23 --locoid 4030 --swversion DE.1.0.8.0 --startMP 204:232938 --initTime 2016-11-23T09:44:48 --startdatetime 2016-11-23T09:56:14 --delay 2 --endMP 204:149 --enddatetime 2016-11-23T10:34:29 --enforcementcount 0 &gt;&gt;C:\Users\stu\Documents\GitHub\eaglep3-reporting\EC\2016-11-23-refined-times.txt</v>
      </c>
      <c r="AI5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ID","value":"144-23"},{"id":16,"name":"Locomotive ID","value":"4030"},{"id":130,"name":"Impact","value":""},{"id":150,"name":"Time of Event (Mountain Time)","value":"10:34:29"},{"id":151,"name":"Denver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489</v>
      </c>
      <c r="B58" s="7">
        <v>4025</v>
      </c>
      <c r="C58" s="22" t="s">
        <v>217</v>
      </c>
      <c r="D58" s="22" t="s">
        <v>249</v>
      </c>
      <c r="E58" s="13">
        <v>42697.379490740743</v>
      </c>
      <c r="F58" s="13">
        <v>42697.38559027778</v>
      </c>
      <c r="G58" s="7">
        <v>2</v>
      </c>
      <c r="H58" s="22" t="s">
        <v>200</v>
      </c>
      <c r="I58" s="13">
        <v>42697.41033564815</v>
      </c>
      <c r="J58" s="7">
        <v>0</v>
      </c>
      <c r="K58" s="109" t="str">
        <f t="shared" si="0"/>
        <v>4025/4026</v>
      </c>
      <c r="L58" s="22" t="str">
        <f>VLOOKUP(A58,'Trips&amp;Operators'!$C$1:$E$10000,3,FALSE)</f>
        <v>ACKERMAN</v>
      </c>
      <c r="M58" s="6">
        <f t="shared" si="1"/>
        <v>2.47453703705105E-2</v>
      </c>
      <c r="N58" s="7">
        <f t="shared" si="2"/>
        <v>35.63333333353512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08:06:28-700',mode:absolute,to:'2016-11-23 10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4.4900000000000002E-2</v>
      </c>
      <c r="Z58" s="67">
        <f t="shared" si="9"/>
        <v>23.329499999999999</v>
      </c>
      <c r="AA58" s="67">
        <f t="shared" si="10"/>
        <v>23.284600000000001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0145-23</v>
      </c>
      <c r="AE58" s="91" t="str">
        <f t="shared" si="12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58" s="88" t="str">
        <f t="shared" si="13"/>
        <v>"C:\Program Files (x86)\AstroGrep\AstroGrep.exe" /spath="%USERPROFILE%\AppData\Local\Temp\OnboardLogs" /stypes="app*4025*20161123*"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145-23 --locoid 4025 --swversion DE.1.0.8.0 --startMP 204:449 --initTime 2016-11-23T09:06:28 --startdatetime 2016-11-23T09:15:15 --delay 2 --endMP 204:233295 --enddatetime 2016-11-23T09:50:53 --enforcementcount 0 &gt;&gt;C:\Users\stu\Documents\GitHub\eaglep3-reporting\EC\2016-11-23-refined-times.txt</v>
      </c>
      <c r="AI5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{"issue":{"subject":"","project_id":79,"tracker_id":40,"status_id":1,"priority_id":2,"assigned_to_id":23,"start_date":"2016-11-23","description":"","custom_fields":[{"id":1,"name":"Subdivision","value":"EC"},{"id":4,"name":"Milepost","value":"23.3295"},{"id":17,"name":"Train ID","value":"145-23"},{"id":16,"name":"Locomotive ID","value":"4025"},{"id":130,"name":"Impact","value":""},{"id":150,"name":"Time of Event (Mountain Time)","value":"09:50:53"},{"id":151,"name":"Denver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495</v>
      </c>
      <c r="B59" s="7">
        <v>4026</v>
      </c>
      <c r="C59" s="22" t="s">
        <v>217</v>
      </c>
      <c r="D59" s="22" t="s">
        <v>312</v>
      </c>
      <c r="E59" s="13">
        <v>42697.417187500003</v>
      </c>
      <c r="F59" s="13">
        <v>42697.424537037034</v>
      </c>
      <c r="G59" s="7">
        <v>1</v>
      </c>
      <c r="H59" s="22" t="s">
        <v>175</v>
      </c>
      <c r="I59" s="13">
        <v>42697.450856481482</v>
      </c>
      <c r="J59" s="7">
        <v>0</v>
      </c>
      <c r="K59" s="109" t="str">
        <f t="shared" si="0"/>
        <v>4025/4026</v>
      </c>
      <c r="L59" s="22" t="str">
        <f>VLOOKUP(A59,'Trips&amp;Operators'!$C$1:$E$10000,3,FALSE)</f>
        <v>ACKERMAN</v>
      </c>
      <c r="M59" s="6">
        <f t="shared" si="1"/>
        <v>2.6319444448745344E-2</v>
      </c>
      <c r="N59" s="7">
        <f t="shared" si="2"/>
        <v>37.900000006193295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09:00:45-700',mode:absolute,to:'2016-11-23 11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23.2974</v>
      </c>
      <c r="Z59" s="67">
        <f t="shared" si="9"/>
        <v>1.52E-2</v>
      </c>
      <c r="AA59" s="67">
        <f t="shared" si="10"/>
        <v>23.2822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0146-23</v>
      </c>
      <c r="AE59" s="91" t="str">
        <f t="shared" si="12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59" s="88" t="str">
        <f t="shared" si="13"/>
        <v>"C:\Program Files (x86)\AstroGrep\AstroGrep.exe" /spath="%USERPROFILE%\AppData\Local\Temp\OnboardLogs" /stypes="app*4026*20161123*"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146-23 --locoid 4026 --swversion DE.1.0.8.0 --startMP 204:232974 --initTime 2016-11-23T10:00:45 --startdatetime 2016-11-23T10:11:20 --delay 1 --endMP 204:152 --enddatetime 2016-11-23T10:49:14 --enforcementcount 0 &gt;&gt;C:\Users\stu\Documents\GitHub\eaglep3-reporting\EC\2016-11-23-refined-times.txt</v>
      </c>
      <c r="AI59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{"issue":{"subject":"","project_id":79,"tracker_id":40,"status_id":1,"priority_id":2,"assigned_to_id":23,"start_date":"2016-11-23","description":"","custom_fields":[{"id":1,"name":"Subdivision","value":"EC"},{"id":4,"name":"Milepost","value":"0.0152"},{"id":17,"name":"Train ID","value":"146-23"},{"id":16,"name":"Locomotive ID","value":"4026"},{"id":130,"name":"Impact","value":""},{"id":150,"name":"Time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491</v>
      </c>
      <c r="B60" s="7">
        <v>4040</v>
      </c>
      <c r="C60" s="22" t="s">
        <v>217</v>
      </c>
      <c r="D60" s="22" t="s">
        <v>663</v>
      </c>
      <c r="E60" s="13">
        <v>42697.388449074075</v>
      </c>
      <c r="F60" s="13">
        <v>42697.396168981482</v>
      </c>
      <c r="G60" s="7">
        <v>1</v>
      </c>
      <c r="H60" s="22" t="s">
        <v>257</v>
      </c>
      <c r="I60" s="13">
        <v>42697.420648148145</v>
      </c>
      <c r="J60" s="7">
        <v>0</v>
      </c>
      <c r="K60" s="109" t="str">
        <f t="shared" si="0"/>
        <v>4039/4040</v>
      </c>
      <c r="L60" s="22" t="str">
        <f>VLOOKUP(A60,'Trips&amp;Operators'!$C$1:$E$10000,3,FALSE)</f>
        <v>SANTIZO</v>
      </c>
      <c r="M60" s="6">
        <f t="shared" si="1"/>
        <v>2.4479166662786156E-2</v>
      </c>
      <c r="N60" s="7">
        <f t="shared" si="2"/>
        <v>35.249999994412065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08:19:22-700',mode:absolute,to:'2016-11-23 11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4.9700000000000001E-2</v>
      </c>
      <c r="Z60" s="67">
        <f t="shared" si="9"/>
        <v>23.328900000000001</v>
      </c>
      <c r="AA60" s="67">
        <f t="shared" si="10"/>
        <v>23.279199999999999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0147-23</v>
      </c>
      <c r="AE60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60" s="88" t="str">
        <f t="shared" si="13"/>
        <v>"C:\Program Files (x86)\AstroGrep\AstroGrep.exe" /spath="%USERPROFILE%\AppData\Local\Temp\OnboardLogs" /stypes="app*4040*20161123*"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147-23 --locoid 4040 --swversion DE.1.0.8.0 --startMP 204:497 --initTime 2016-11-23T09:19:22 --startdatetime 2016-11-23T09:30:29 --delay 1 --endMP 204:233289 --enddatetime 2016-11-23T10:05:44 --enforcementcount 0 &gt;&gt;C:\Users\stu\Documents\GitHub\eaglep3-reporting\EC\2016-11-23-refined-times.txt</v>
      </c>
      <c r="AI6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{"issue":{"subject":"","project_id":79,"tracker_id":40,"status_id":1,"priority_id":2,"assigned_to_id":23,"start_date":"2016-11-23","description":"","custom_fields":[{"id":1,"name":"Subdivision","value":"EC"},{"id":4,"name":"Milepost","value":"23.3289"},{"id":17,"name":"Train ID","value":"147-23"},{"id":16,"name":"Locomotive ID","value":"4040"},{"id":130,"name":"Impact","value":""},{"id":150,"name":"Time of Event (Mountain Time)","value":"10:05:44"},{"id":151,"name":"Denver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411</v>
      </c>
      <c r="B61" s="7">
        <v>4039</v>
      </c>
      <c r="C61" s="22" t="s">
        <v>217</v>
      </c>
      <c r="D61" s="22" t="s">
        <v>642</v>
      </c>
      <c r="E61" s="13">
        <v>42697.422083333331</v>
      </c>
      <c r="F61" s="13">
        <v>42697.435057870367</v>
      </c>
      <c r="G61" s="7">
        <v>1</v>
      </c>
      <c r="H61" s="22" t="s">
        <v>373</v>
      </c>
      <c r="I61" s="13">
        <v>42697.4608912037</v>
      </c>
      <c r="J61" s="7">
        <v>1</v>
      </c>
      <c r="K61" s="109" t="str">
        <f t="shared" si="0"/>
        <v>4039/4040</v>
      </c>
      <c r="L61" s="22" t="str">
        <f>VLOOKUP(A61,'Trips&amp;Operators'!$C$1:$E$10000,3,FALSE)</f>
        <v>SANTIZO</v>
      </c>
      <c r="M61" s="6">
        <f t="shared" si="1"/>
        <v>2.5833333333139308E-2</v>
      </c>
      <c r="N61" s="7">
        <f t="shared" si="2"/>
        <v>37.199999999720603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09:07:48-700',mode:absolute,to:'2016-11-23 12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23.2971</v>
      </c>
      <c r="Z61" s="67">
        <f t="shared" si="9"/>
        <v>1.0999999999999999E-2</v>
      </c>
      <c r="AA61" s="67">
        <f t="shared" si="10"/>
        <v>23.286100000000001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0148-23</v>
      </c>
      <c r="AE61" s="91" t="str">
        <f t="shared" si="12"/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AF61" s="88" t="str">
        <f t="shared" si="13"/>
        <v>"C:\Program Files (x86)\AstroGrep\AstroGrep.exe" /spath="%USERPROFILE%\AppData\Local\Temp\OnboardLogs" /stypes="app*4039*20161123*"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148-23 --locoid 4039 --swversion DE.1.0.8.0 --startMP 204:232971 --initTime 2016-11-23T10:07:48 --startdatetime 2016-11-23T10:26:29 --delay 1 --endMP 204:110 --enddatetime 2016-11-23T11:03:41 --enforcementcount 1 &gt;&gt;C:\Users\stu\Documents\GitHub\eaglep3-reporting\EC\2016-11-23-refined-times.txt</v>
      </c>
      <c r="AI61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{"issue":{"subject":"","project_id":79,"tracker_id":40,"status_id":1,"priority_id":2,"assigned_to_id":23,"start_date":"2016-11-23","description":"","custom_fields":[{"id":1,"name":"Subdivision","value":"EC"},{"id":4,"name":"Milepost","value":"0.011"},{"id":17,"name":"Train ID","value":"148-23"},{"id":16,"name":"Locomotive ID","value":"4039"},{"id":130,"name":"Impact","value":""},{"id":150,"name":"Time of Event (Mountain Time)","value":"11:03:41"},{"id":151,"name":"Denver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408</v>
      </c>
      <c r="B62" s="7">
        <v>4046</v>
      </c>
      <c r="C62" s="22" t="s">
        <v>217</v>
      </c>
      <c r="D62" s="22" t="s">
        <v>249</v>
      </c>
      <c r="E62" s="13">
        <v>42697.40084490741</v>
      </c>
      <c r="F62" s="13">
        <v>42697.406423611108</v>
      </c>
      <c r="G62" s="7">
        <v>1</v>
      </c>
      <c r="H62" s="22" t="s">
        <v>305</v>
      </c>
      <c r="I62" s="13">
        <v>42697.430868055555</v>
      </c>
      <c r="J62" s="7">
        <v>2</v>
      </c>
      <c r="K62" s="109" t="str">
        <f t="shared" si="0"/>
        <v>4045/4046</v>
      </c>
      <c r="L62" s="22" t="str">
        <f>VLOOKUP(A62,'Trips&amp;Operators'!$C$1:$E$10000,3,FALSE)</f>
        <v>SPECTOR</v>
      </c>
      <c r="M62" s="6">
        <f t="shared" si="1"/>
        <v>2.4444444446999114E-2</v>
      </c>
      <c r="N62" s="7">
        <f t="shared" si="2"/>
        <v>35.200000003678724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08:37:13-700',mode:absolute,to:'2016-11-23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4.4900000000000002E-2</v>
      </c>
      <c r="Z62" s="67">
        <f t="shared" si="9"/>
        <v>23.331700000000001</v>
      </c>
      <c r="AA62" s="67">
        <f t="shared" si="10"/>
        <v>23.286800000000003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0149-23</v>
      </c>
      <c r="AE62" s="91" t="str">
        <f t="shared" si="12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62" s="88" t="str">
        <f t="shared" si="13"/>
        <v>"C:\Program Files (x86)\AstroGrep\AstroGrep.exe" /spath="%USERPROFILE%\AppData\Local\Temp\OnboardLogs" /stypes="app*4046*20161123*"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149-23 --locoid 4046 --swversion DE.1.0.8.0 --startMP 204:449 --initTime 2016-11-23T09:37:13 --startdatetime 2016-11-23T09:45:15 --delay 1 --endMP 204:233317 --enddatetime 2016-11-23T10:20:27 --enforcementcount 2 &gt;&gt;C:\Users\stu\Documents\GitHub\eaglep3-reporting\EC\2016-11-23-refined-times.txt</v>
      </c>
      <c r="AI6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{"issue":{"subject":"","project_id":79,"tracker_id":40,"status_id":1,"priority_id":2,"assigned_to_id":23,"start_date":"2016-11-23","description":"","custom_fields":[{"id":1,"name":"Subdivision","value":"EC"},{"id":4,"name":"Milepost","value":"23.3317"},{"id":17,"name":"Train ID","value":"149-23"},{"id":16,"name":"Locomotive ID","value":"4046"},{"id":130,"name":"Impact","value":""},{"id":150,"name":"Time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501</v>
      </c>
      <c r="B63" s="7">
        <v>4045</v>
      </c>
      <c r="C63" s="22" t="s">
        <v>217</v>
      </c>
      <c r="D63" s="22" t="s">
        <v>367</v>
      </c>
      <c r="E63" s="13">
        <v>42697.442430555559</v>
      </c>
      <c r="F63" s="13">
        <v>42697.445335648146</v>
      </c>
      <c r="G63" s="7">
        <v>1</v>
      </c>
      <c r="H63" s="22" t="s">
        <v>197</v>
      </c>
      <c r="I63" s="13">
        <v>42697.471863425926</v>
      </c>
      <c r="J63" s="7">
        <v>0</v>
      </c>
      <c r="K63" s="109" t="str">
        <f t="shared" si="0"/>
        <v>4045/4046</v>
      </c>
      <c r="L63" s="22" t="str">
        <f>VLOOKUP(A63,'Trips&amp;Operators'!$C$1:$E$10000,3,FALSE)</f>
        <v>SPECTOR</v>
      </c>
      <c r="M63" s="6">
        <f t="shared" si="1"/>
        <v>2.6527777779847383E-2</v>
      </c>
      <c r="N63" s="7">
        <f t="shared" si="2"/>
        <v>38.200000002980232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09:37:06-700',mode:absolute,to:'2016-11-23 12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23.300599999999999</v>
      </c>
      <c r="Z63" s="67">
        <f t="shared" si="9"/>
        <v>1.43E-2</v>
      </c>
      <c r="AA63" s="67">
        <f t="shared" si="10"/>
        <v>23.286300000000001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0150-23</v>
      </c>
      <c r="AE63" s="91" t="str">
        <f t="shared" si="12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63" s="88" t="str">
        <f t="shared" si="13"/>
        <v>"C:\Program Files (x86)\AstroGrep\AstroGrep.exe" /spath="%USERPROFILE%\AppData\Local\Temp\OnboardLogs" /stypes="app*4045*20161123*"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150-23 --locoid 4045 --swversion DE.1.0.8.0 --startMP 204:233006 --initTime 2016-11-23T10:37:06 --startdatetime 2016-11-23T10:41:17 --delay 1 --endMP 204:143 --enddatetime 2016-11-23T11:19:29 --enforcementcount 0 &gt;&gt;C:\Users\stu\Documents\GitHub\eaglep3-reporting\EC\2016-11-23-refined-times.txt</v>
      </c>
      <c r="AI6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ID","value":"150-23"},{"id":16,"name":"Locomotive ID","value":"4045"},{"id":130,"name":"Impact","value":""},{"id":150,"name":"Time of Event (Mountain Time)","value":"11:19:29"},{"id":151,"name":"Denver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494</v>
      </c>
      <c r="B64" s="7">
        <v>4022</v>
      </c>
      <c r="C64" s="22" t="s">
        <v>217</v>
      </c>
      <c r="D64" s="22" t="s">
        <v>278</v>
      </c>
      <c r="E64" s="13">
        <v>42697.413032407407</v>
      </c>
      <c r="F64" s="13">
        <v>42697.416863425926</v>
      </c>
      <c r="G64" s="7">
        <v>1</v>
      </c>
      <c r="H64" s="22" t="s">
        <v>646</v>
      </c>
      <c r="I64" s="13">
        <v>42697.441516203704</v>
      </c>
      <c r="J64" s="7">
        <v>0</v>
      </c>
      <c r="K64" s="109" t="str">
        <f t="shared" si="0"/>
        <v>4021/4022</v>
      </c>
      <c r="L64" s="22" t="str">
        <f>VLOOKUP(A64,'Trips&amp;Operators'!$C$1:$E$10000,3,FALSE)</f>
        <v>KILLION</v>
      </c>
      <c r="M64" s="6">
        <f t="shared" si="1"/>
        <v>2.4652777778101154E-2</v>
      </c>
      <c r="N64" s="7">
        <f t="shared" si="2"/>
        <v>35.500000000465661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08:54:46-700',mode:absolute,to:'2016-11-23 11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4.4200000000000003E-2</v>
      </c>
      <c r="Z64" s="67">
        <f t="shared" si="9"/>
        <v>23.330300000000001</v>
      </c>
      <c r="AA64" s="67">
        <f t="shared" si="10"/>
        <v>23.286100000000001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0151-23</v>
      </c>
      <c r="AE64" s="91" t="str">
        <f t="shared" si="12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64" s="88" t="str">
        <f t="shared" si="13"/>
        <v>"C:\Program Files (x86)\AstroGrep\AstroGrep.exe" /spath="%USERPROFILE%\AppData\Local\Temp\OnboardLogs" /stypes="app*4022*20161123*"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151-23 --locoid 4022 --swversion DE.1.0.8.0 --startMP 204:442 --initTime 2016-11-23T09:54:46 --startdatetime 2016-11-23T10:00:17 --delay 1 --endMP 204:233303 --enddatetime 2016-11-23T10:35:47 --enforcementcount 0 &gt;&gt;C:\Users\stu\Documents\GitHub\eaglep3-reporting\EC\2016-11-23-refined-times.txt</v>
      </c>
      <c r="AI6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{"issue":{"subject":"","project_id":79,"tracker_id":40,"status_id":1,"priority_id":2,"assigned_to_id":23,"start_date":"2016-11-23","description":"","custom_fields":[{"id":1,"name":"Subdivision","value":"EC"},{"id":4,"name":"Milepost","value":"23.3303"},{"id":17,"name":"Train ID","value":"151-23"},{"id":16,"name":"Locomotive ID","value":"4022"},{"id":130,"name":"Impact","value":""},{"id":150,"name":"Time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502</v>
      </c>
      <c r="B65" s="7">
        <v>4021</v>
      </c>
      <c r="C65" s="22" t="s">
        <v>217</v>
      </c>
      <c r="D65" s="22" t="s">
        <v>210</v>
      </c>
      <c r="E65" s="13">
        <v>42697.449837962966</v>
      </c>
      <c r="F65" s="13">
        <v>42697.455740740741</v>
      </c>
      <c r="G65" s="7">
        <v>1</v>
      </c>
      <c r="H65" s="22" t="s">
        <v>175</v>
      </c>
      <c r="I65" s="13">
        <v>42697.484907407408</v>
      </c>
      <c r="J65" s="7">
        <v>0</v>
      </c>
      <c r="K65" s="109" t="str">
        <f t="shared" si="0"/>
        <v>4021/4022</v>
      </c>
      <c r="L65" s="22" t="str">
        <f>VLOOKUP(A65,'Trips&amp;Operators'!$C$1:$E$10000,3,FALSE)</f>
        <v>KILLION</v>
      </c>
      <c r="M65" s="6">
        <f t="shared" si="1"/>
        <v>2.9166666667151731E-2</v>
      </c>
      <c r="N65" s="7">
        <f t="shared" si="2"/>
        <v>42.000000000698492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09:47:46-700',mode:absolute,to:'2016-11-23 12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23.297699999999999</v>
      </c>
      <c r="Z65" s="67">
        <f t="shared" si="9"/>
        <v>1.52E-2</v>
      </c>
      <c r="AA65" s="67">
        <f t="shared" si="10"/>
        <v>23.282499999999999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0152-23</v>
      </c>
      <c r="AE65" s="91" t="str">
        <f t="shared" si="12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65" s="88" t="str">
        <f t="shared" si="13"/>
        <v>"C:\Program Files (x86)\AstroGrep\AstroGrep.exe" /spath="%USERPROFILE%\AppData\Local\Temp\OnboardLogs" /stypes="app*4021*20161123*"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152-23 --locoid 4021 --swversion DE.1.0.8.0 --startMP 204:232977 --initTime 2016-11-23T10:47:46 --startdatetime 2016-11-23T10:56:16 --delay 1 --endMP 204:152 --enddatetime 2016-11-23T11:38:16 --enforcementcount 0 &gt;&gt;C:\Users\stu\Documents\GitHub\eaglep3-reporting\EC\2016-11-23-refined-times.txt</v>
      </c>
      <c r="AI6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{"issue":{"subject":"","project_id":79,"tracker_id":40,"status_id":1,"priority_id":2,"assigned_to_id":23,"start_date":"2016-11-23","description":"","custom_fields":[{"id":1,"name":"Subdivision","value":"EC"},{"id":4,"name":"Milepost","value":"0.0152"},{"id":17,"name":"Train ID","value":"152-23"},{"id":16,"name":"Locomotive ID","value":"4021"},{"id":130,"name":"Impact","value":""},{"id":150,"name":"Time of Event (Mountain Time)","value":"11:38:16"},{"id":151,"name":"Denver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496</v>
      </c>
      <c r="B66" s="7">
        <v>4003</v>
      </c>
      <c r="C66" s="22" t="s">
        <v>217</v>
      </c>
      <c r="D66" s="22" t="s">
        <v>273</v>
      </c>
      <c r="E66" s="13">
        <v>42697.421909722223</v>
      </c>
      <c r="F66" s="13">
        <v>42697.427569444444</v>
      </c>
      <c r="G66" s="7">
        <v>1</v>
      </c>
      <c r="H66" s="22" t="s">
        <v>268</v>
      </c>
      <c r="I66" s="13">
        <v>42697.451817129629</v>
      </c>
      <c r="J66" s="7">
        <v>0</v>
      </c>
      <c r="K66" s="109" t="str">
        <f t="shared" si="0"/>
        <v>4003/4004</v>
      </c>
      <c r="L66" s="22" t="str">
        <f>VLOOKUP(A66,'Trips&amp;Operators'!$C$1:$E$10000,3,FALSE)</f>
        <v>JOHNSON</v>
      </c>
      <c r="M66" s="6">
        <f t="shared" si="1"/>
        <v>2.4247685185400769E-2</v>
      </c>
      <c r="N66" s="7">
        <f t="shared" si="2"/>
        <v>34.916666666977108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09:07:33-700',mode:absolute,to:'2016-11-23 11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4.5499999999999999E-2</v>
      </c>
      <c r="Z66" s="67">
        <f t="shared" si="9"/>
        <v>23.330400000000001</v>
      </c>
      <c r="AA66" s="67">
        <f t="shared" si="10"/>
        <v>23.2849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0153-23</v>
      </c>
      <c r="AE66" s="91" t="str">
        <f t="shared" si="12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66" s="88" t="str">
        <f t="shared" si="13"/>
        <v>"C:\Program Files (x86)\AstroGrep\AstroGrep.exe" /spath="%USERPROFILE%\AppData\Local\Temp\OnboardLogs" /stypes="app*4003*20161123*"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153-23 --locoid 4003 --swversion DE.1.0.8.0 --startMP 204:455 --initTime 2016-11-23T10:07:33 --startdatetime 2016-11-23T10:15:42 --delay 1 --endMP 204:233304 --enddatetime 2016-11-23T10:50:37 --enforcementcount 0 &gt;&gt;C:\Users\stu\Documents\GitHub\eaglep3-reporting\EC\2016-11-23-refined-times.txt</v>
      </c>
      <c r="AI6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{"issue":{"subject":"","project_id":79,"tracker_id":40,"status_id":1,"priority_id":2,"assigned_to_id":23,"start_date":"2016-11-23","description":"","custom_fields":[{"id":1,"name":"Subdivision","value":"EC"},{"id":4,"name":"Milepost","value":"23.3304"},{"id":17,"name":"Train ID","value":"153-23"},{"id":16,"name":"Locomotive ID","value":"4003"},{"id":130,"name":"Impact","value":""},{"id":150,"name":"Time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504</v>
      </c>
      <c r="B67" s="7">
        <v>4004</v>
      </c>
      <c r="C67" s="22" t="s">
        <v>217</v>
      </c>
      <c r="D67" s="22" t="s">
        <v>650</v>
      </c>
      <c r="E67" s="13">
        <v>42697.463472222225</v>
      </c>
      <c r="F67" s="13">
        <v>42697.466354166667</v>
      </c>
      <c r="G67" s="7">
        <v>1</v>
      </c>
      <c r="H67" s="22" t="s">
        <v>196</v>
      </c>
      <c r="I67" s="13">
        <v>42697.49658564815</v>
      </c>
      <c r="J67" s="7">
        <v>0</v>
      </c>
      <c r="K67" s="109" t="str">
        <f t="shared" si="0"/>
        <v>4003/4004</v>
      </c>
      <c r="L67" s="22" t="str">
        <f>VLOOKUP(A67,'Trips&amp;Operators'!$C$1:$E$10000,3,FALSE)</f>
        <v>JOHNSON</v>
      </c>
      <c r="M67" s="6">
        <f t="shared" si="1"/>
        <v>3.0231481483497191E-2</v>
      </c>
      <c r="N67" s="7">
        <f t="shared" si="2"/>
        <v>43.533333336235955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10:07:24-700',mode:absolute,to:'2016-11-23 12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23.2989</v>
      </c>
      <c r="Z67" s="67">
        <f t="shared" si="9"/>
        <v>1.49E-2</v>
      </c>
      <c r="AA67" s="67">
        <f t="shared" si="10"/>
        <v>23.283999999999999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0154-23</v>
      </c>
      <c r="AE67" s="91" t="str">
        <f t="shared" si="12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67" s="88" t="str">
        <f t="shared" si="13"/>
        <v>"C:\Program Files (x86)\AstroGrep\AstroGrep.exe" /spath="%USERPROFILE%\AppData\Local\Temp\OnboardLogs" /stypes="app*4004*20161123*"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154-23 --locoid 4004 --swversion DE.1.0.8.0 --startMP 204:232989 --initTime 2016-11-23T11:07:24 --startdatetime 2016-11-23T11:11:33 --delay 1 --endMP 204:149 --enddatetime 2016-11-23T11:55:05 --enforcementcount 0 &gt;&gt;C:\Users\stu\Documents\GitHub\eaglep3-reporting\EC\2016-11-23-refined-times.txt</v>
      </c>
      <c r="AI6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ID","value":"154-23"},{"id":16,"name":"Locomotive ID","value":"4004"},{"id":130,"name":"Impact","value":""},{"id":150,"name":"Time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498</v>
      </c>
      <c r="B68" s="7">
        <v>4007</v>
      </c>
      <c r="C68" s="22" t="s">
        <v>217</v>
      </c>
      <c r="D68" s="22" t="s">
        <v>248</v>
      </c>
      <c r="E68" s="13">
        <v>42697.433958333335</v>
      </c>
      <c r="F68" s="13">
        <v>42697.437754629631</v>
      </c>
      <c r="G68" s="7">
        <v>2</v>
      </c>
      <c r="H68" s="22" t="s">
        <v>328</v>
      </c>
      <c r="I68" s="13">
        <v>42697.463217592594</v>
      </c>
      <c r="J68" s="7">
        <v>0</v>
      </c>
      <c r="K68" s="109" t="str">
        <f t="shared" si="0"/>
        <v>4007/4008</v>
      </c>
      <c r="L68" s="22" t="str">
        <f>VLOOKUP(A68,'Trips&amp;Operators'!$C$1:$E$10000,3,FALSE)</f>
        <v>STARKS</v>
      </c>
      <c r="M68" s="6">
        <f t="shared" si="1"/>
        <v>2.5462962963501923E-2</v>
      </c>
      <c r="N68" s="7">
        <f t="shared" si="2"/>
        <v>36.666666667442769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09:24:54-700',mode:absolute,to:'2016-11-23 12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4.6600000000000003E-2</v>
      </c>
      <c r="Z68" s="67">
        <f t="shared" si="9"/>
        <v>23.329899999999999</v>
      </c>
      <c r="AA68" s="67">
        <f t="shared" si="10"/>
        <v>23.283299999999997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0155-23</v>
      </c>
      <c r="AE68" s="91" t="str">
        <f t="shared" si="12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68" s="88" t="str">
        <f t="shared" si="13"/>
        <v>"C:\Program Files (x86)\AstroGrep\AstroGrep.exe" /spath="%USERPROFILE%\AppData\Local\Temp\OnboardLogs" /stypes="app*4007*20161123*"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155-23 --locoid 4007 --swversion DE.1.0.8.0 --startMP 204:466 --initTime 2016-11-23T10:24:54 --startdatetime 2016-11-23T10:30:22 --delay 2 --endMP 204:233299 --enddatetime 2016-11-23T11:07:02 --enforcementcount 0 &gt;&gt;C:\Users\stu\Documents\GitHub\eaglep3-reporting\EC\2016-11-23-refined-times.txt</v>
      </c>
      <c r="AI68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{"issue":{"subject":"","project_id":79,"tracker_id":40,"status_id":1,"priority_id":2,"assigned_to_id":23,"start_date":"2016-11-23","description":"","custom_fields":[{"id":1,"name":"Subdivision","value":"EC"},{"id":4,"name":"Milepost","value":"23.3299"},{"id":17,"name":"Train ID","value":"155-23"},{"id":16,"name":"Locomotive ID","value":"4007"},{"id":130,"name":"Impact","value":""},{"id":150,"name":"Time of Event (Mountain Time)","value":"11:07:02"},{"id":151,"name":"Denver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508</v>
      </c>
      <c r="B69" s="7">
        <v>4008</v>
      </c>
      <c r="C69" s="22" t="s">
        <v>217</v>
      </c>
      <c r="D69" s="22" t="s">
        <v>271</v>
      </c>
      <c r="E69" s="13">
        <v>42697.473726851851</v>
      </c>
      <c r="F69" s="13">
        <v>42697.477233796293</v>
      </c>
      <c r="G69" s="7">
        <v>3</v>
      </c>
      <c r="H69" s="22" t="s">
        <v>175</v>
      </c>
      <c r="I69" s="13">
        <v>42697.511481481481</v>
      </c>
      <c r="J69" s="7">
        <v>0</v>
      </c>
      <c r="K69" s="109" t="str">
        <f t="shared" si="0"/>
        <v>4007/4008</v>
      </c>
      <c r="L69" s="22" t="str">
        <f>VLOOKUP(A69,'Trips&amp;Operators'!$C$1:$E$10000,3,FALSE)</f>
        <v>STARKS</v>
      </c>
      <c r="M69" s="6">
        <f t="shared" si="1"/>
        <v>3.4247685187438037E-2</v>
      </c>
      <c r="N69" s="7">
        <f t="shared" si="2"/>
        <v>49.316666669910774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10:22:10-700',mode:absolute,to:'2016-11-23 13:16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23.298200000000001</v>
      </c>
      <c r="Z69" s="67">
        <f t="shared" si="9"/>
        <v>1.52E-2</v>
      </c>
      <c r="AA69" s="67">
        <f t="shared" si="10"/>
        <v>23.283000000000001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0156-23</v>
      </c>
      <c r="AE69" s="91" t="str">
        <f t="shared" si="12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69" s="88" t="str">
        <f t="shared" si="13"/>
        <v>"C:\Program Files (x86)\AstroGrep\AstroGrep.exe" /spath="%USERPROFILE%\AppData\Local\Temp\OnboardLogs" /stypes="app*4008*20161123*"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156-23 --locoid 4008 --swversion DE.1.0.8.0 --startMP 204:232982 --initTime 2016-11-23T11:22:10 --startdatetime 2016-11-23T11:27:13 --delay 3 --endMP 204:152 --enddatetime 2016-11-23T12:16:32 --enforcementcount 0 &gt;&gt;C:\Users\stu\Documents\GitHub\eaglep3-reporting\EC\2016-11-23-refined-times.txt</v>
      </c>
      <c r="AI69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{"issue":{"subject":"","project_id":79,"tracker_id":40,"status_id":1,"priority_id":2,"assigned_to_id":23,"start_date":"2016-11-23","description":"","custom_fields":[{"id":1,"name":"Subdivision","value":"EC"},{"id":4,"name":"Milepost","value":"0.0152"},{"id":17,"name":"Train ID","value":"156-23"},{"id":16,"name":"Locomotive ID","value":"4008"},{"id":130,"name":"Impact","value":""},{"id":150,"name":"Time of Event (Mountain Time)","value":"12:16:32"},{"id":151,"name":"Denver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500</v>
      </c>
      <c r="B70" s="7">
        <v>4029</v>
      </c>
      <c r="C70" s="22" t="s">
        <v>217</v>
      </c>
      <c r="D70" s="22" t="s">
        <v>201</v>
      </c>
      <c r="E70" s="13">
        <v>42697.441701388889</v>
      </c>
      <c r="F70" s="13">
        <v>42697.448078703703</v>
      </c>
      <c r="G70" s="7">
        <v>1</v>
      </c>
      <c r="H70" s="22" t="s">
        <v>291</v>
      </c>
      <c r="I70" s="13">
        <v>42697.472708333335</v>
      </c>
      <c r="J70" s="7">
        <v>0</v>
      </c>
      <c r="K70" s="109" t="str">
        <f t="shared" si="0"/>
        <v>4029/4030</v>
      </c>
      <c r="L70" s="22" t="str">
        <f>VLOOKUP(A70,'Trips&amp;Operators'!$C$1:$E$10000,3,FALSE)</f>
        <v>RICHARDSON</v>
      </c>
      <c r="M70" s="6">
        <f t="shared" si="1"/>
        <v>2.4629629631817807E-2</v>
      </c>
      <c r="N70" s="7">
        <f t="shared" si="2"/>
        <v>35.466666669817641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09:36:03-700',mode:absolute,to:'2016-11-23 12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4.5100000000000001E-2</v>
      </c>
      <c r="Z70" s="67">
        <f t="shared" si="9"/>
        <v>23.330200000000001</v>
      </c>
      <c r="AA70" s="67">
        <f t="shared" si="10"/>
        <v>23.2851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0157-23</v>
      </c>
      <c r="AE70" s="91" t="str">
        <f t="shared" si="12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70" s="88" t="str">
        <f t="shared" si="13"/>
        <v>"C:\Program Files (x86)\AstroGrep\AstroGrep.exe" /spath="%USERPROFILE%\AppData\Local\Temp\OnboardLogs" /stypes="app*4029*20161123*"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157-23 --locoid 4029 --swversion DE.1.0.8.0 --startMP 204:451 --initTime 2016-11-23T10:36:03 --startdatetime 2016-11-23T10:45:14 --delay 1 --endMP 204:233302 --enddatetime 2016-11-23T11:20:42 --enforcementcount 0 &gt;&gt;C:\Users\stu\Documents\GitHub\eaglep3-reporting\EC\2016-11-23-refined-times.txt</v>
      </c>
      <c r="AI70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{"issue":{"subject":"","project_id":79,"tracker_id":40,"status_id":1,"priority_id":2,"assigned_to_id":23,"start_date":"2016-11-23","description":"","custom_fields":[{"id":1,"name":"Subdivision","value":"EC"},{"id":4,"name":"Milepost","value":"23.3302"},{"id":17,"name":"Train ID","value":"157-23"},{"id":16,"name":"Locomotive ID","value":"4029"},{"id":130,"name":"Impact","value":""},{"id":150,"name":"Time of Event (Mountain Time)","value":"11:20:42"},{"id":151,"name":"Denver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509</v>
      </c>
      <c r="B71" s="7">
        <v>4030</v>
      </c>
      <c r="C71" s="22" t="s">
        <v>217</v>
      </c>
      <c r="D71" s="22" t="s">
        <v>269</v>
      </c>
      <c r="E71" s="13">
        <v>42697.482430555552</v>
      </c>
      <c r="F71" s="13">
        <v>42697.486979166664</v>
      </c>
      <c r="G71" s="7">
        <v>1</v>
      </c>
      <c r="H71" s="22" t="s">
        <v>292</v>
      </c>
      <c r="I71" s="13">
        <v>42697.5155787037</v>
      </c>
      <c r="J71" s="7">
        <v>0</v>
      </c>
      <c r="K71" s="109" t="str">
        <f t="shared" si="0"/>
        <v>4029/4030</v>
      </c>
      <c r="L71" s="22" t="str">
        <f>VLOOKUP(A71,'Trips&amp;Operators'!$C$1:$E$10000,3,FALSE)</f>
        <v>RICHARDSON</v>
      </c>
      <c r="M71" s="6">
        <f t="shared" si="1"/>
        <v>2.8599537035916001E-2</v>
      </c>
      <c r="N71" s="7">
        <f t="shared" si="2"/>
        <v>41.183333331719041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10:34:42-700',mode:absolute,to:'2016-11-23 13:22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23.299299999999999</v>
      </c>
      <c r="Z71" s="67">
        <f t="shared" si="9"/>
        <v>1.3899999999999999E-2</v>
      </c>
      <c r="AA71" s="67">
        <f t="shared" si="10"/>
        <v>23.285399999999999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0158-23</v>
      </c>
      <c r="AE71" s="91" t="str">
        <f t="shared" si="12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71" s="88" t="str">
        <f t="shared" si="13"/>
        <v>"C:\Program Files (x86)\AstroGrep\AstroGrep.exe" /spath="%USERPROFILE%\AppData\Local\Temp\OnboardLogs" /stypes="app*4030*20161123*"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158-23 --locoid 4030 --swversion DE.1.0.8.0 --startMP 204:232993 --initTime 2016-11-23T11:34:42 --startdatetime 2016-11-23T11:41:15 --delay 1 --endMP 204:139 --enddatetime 2016-11-23T12:22:26 --enforcementcount 0 &gt;&gt;C:\Users\stu\Documents\GitHub\eaglep3-reporting\EC\2016-11-23-refined-times.txt</v>
      </c>
      <c r="AI71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ID","value":"158-23"},{"id":16,"name":"Locomotive ID","value":"4030"},{"id":130,"name":"Impact","value":""},{"id":150,"name":"Time of Event (Mountain Time)","value":"12:22:26"},{"id":151,"name":"Denver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503</v>
      </c>
      <c r="B72" s="7">
        <v>4025</v>
      </c>
      <c r="C72" s="22" t="s">
        <v>217</v>
      </c>
      <c r="D72" s="22" t="s">
        <v>273</v>
      </c>
      <c r="E72" s="13">
        <v>42697.452349537038</v>
      </c>
      <c r="F72" s="13">
        <v>42697.458506944444</v>
      </c>
      <c r="G72" s="7">
        <v>1</v>
      </c>
      <c r="H72" s="22" t="s">
        <v>664</v>
      </c>
      <c r="I72" s="13">
        <v>42697.487569444442</v>
      </c>
      <c r="J72" s="7">
        <v>0</v>
      </c>
      <c r="K72" s="109" t="str">
        <f t="shared" si="0"/>
        <v>4025/4026</v>
      </c>
      <c r="L72" s="22" t="str">
        <f>VLOOKUP(A72,'Trips&amp;Operators'!$C$1:$E$10000,3,FALSE)</f>
        <v>PERKINS</v>
      </c>
      <c r="M72" s="6">
        <f t="shared" si="1"/>
        <v>2.9062499997962732E-2</v>
      </c>
      <c r="N72" s="7">
        <f t="shared" si="2"/>
        <v>41.849999997066334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09:51:23-700',mode:absolute,to:'2016-11-23 12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4.5499999999999999E-2</v>
      </c>
      <c r="Z72" s="67">
        <f t="shared" si="9"/>
        <v>23.3309</v>
      </c>
      <c r="AA72" s="67">
        <f t="shared" si="10"/>
        <v>23.285399999999999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0159-23</v>
      </c>
      <c r="AE72" s="91" t="str">
        <f t="shared" si="12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72" s="88" t="str">
        <f t="shared" si="13"/>
        <v>"C:\Program Files (x86)\AstroGrep\AstroGrep.exe" /spath="%USERPROFILE%\AppData\Local\Temp\OnboardLogs" /stypes="app*4025*20161123*"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159-23 --locoid 4025 --swversion DE.1.0.8.0 --startMP 204:455 --initTime 2016-11-23T10:51:23 --startdatetime 2016-11-23T11:00:15 --delay 1 --endMP 204:233309 --enddatetime 2016-11-23T11:42:06 --enforcementcount 0 &gt;&gt;C:\Users\stu\Documents\GitHub\eaglep3-reporting\EC\2016-11-23-refined-times.txt</v>
      </c>
      <c r="AI72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{"issue":{"subject":"","project_id":79,"tracker_id":40,"status_id":1,"priority_id":2,"assigned_to_id":23,"start_date":"2016-11-23","description":"","custom_fields":[{"id":1,"name":"Subdivision","value":"EC"},{"id":4,"name":"Milepost","value":"23.3309"},{"id":17,"name":"Train ID","value":"159-23"},{"id":16,"name":"Locomotive ID","value":"4025"},{"id":130,"name":"Impact","value":""},{"id":150,"name":"Time of Event (Mountain Time)","value":"11:42:06"},{"id":151,"name":"Denver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513</v>
      </c>
      <c r="B73" s="7">
        <v>4026</v>
      </c>
      <c r="C73" s="22" t="s">
        <v>217</v>
      </c>
      <c r="D73" s="22" t="s">
        <v>649</v>
      </c>
      <c r="E73" s="13">
        <v>42697.491099537037</v>
      </c>
      <c r="F73" s="13">
        <v>42697.497488425928</v>
      </c>
      <c r="G73" s="7">
        <v>1</v>
      </c>
      <c r="H73" s="22" t="s">
        <v>196</v>
      </c>
      <c r="I73" s="13">
        <v>42697.52716435185</v>
      </c>
      <c r="J73" s="7">
        <v>0</v>
      </c>
      <c r="K73" s="109" t="str">
        <f t="shared" si="0"/>
        <v>4025/4026</v>
      </c>
      <c r="L73" s="22" t="str">
        <f>VLOOKUP(A73,'Trips&amp;Operators'!$C$1:$E$10000,3,FALSE)</f>
        <v>PERKINS</v>
      </c>
      <c r="M73" s="6">
        <f t="shared" si="1"/>
        <v>2.9675925921765156E-2</v>
      </c>
      <c r="N73" s="7">
        <f t="shared" si="2"/>
        <v>42.733333327341825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10:47:11-700',mode:absolute,to:'2016-11-23 13:39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23.298999999999999</v>
      </c>
      <c r="Z73" s="67">
        <f t="shared" si="9"/>
        <v>1.49E-2</v>
      </c>
      <c r="AA73" s="67">
        <f t="shared" si="10"/>
        <v>23.284099999999999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0160-23</v>
      </c>
      <c r="AE73" s="91" t="str">
        <f t="shared" si="12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73" s="88" t="str">
        <f t="shared" si="13"/>
        <v>"C:\Program Files (x86)\AstroGrep\AstroGrep.exe" /spath="%USERPROFILE%\AppData\Local\Temp\OnboardLogs" /stypes="app*4026*20161123*"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160-23 --locoid 4026 --swversion DE.1.0.8.0 --startMP 204:232990 --initTime 2016-11-23T11:47:11 --startdatetime 2016-11-23T11:56:23 --delay 1 --endMP 204:149 --enddatetime 2016-11-23T12:39:07 --enforcementcount 0 &gt;&gt;C:\Users\stu\Documents\GitHub\eaglep3-reporting\EC\2016-11-23-refined-times.txt</v>
      </c>
      <c r="AI73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ID","value":"160-23"},{"id":16,"name":"Locomotive ID","value":"4026"},{"id":130,"name":"Impact","value":""},{"id":150,"name":"Time of Event (Mountain Time)","value":"12:39:07"},{"id":151,"name":"Denver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505</v>
      </c>
      <c r="B74" s="7">
        <v>4040</v>
      </c>
      <c r="C74" s="22" t="s">
        <v>217</v>
      </c>
      <c r="D74" s="22" t="s">
        <v>665</v>
      </c>
      <c r="E74" s="13">
        <v>42697.464074074072</v>
      </c>
      <c r="F74" s="13">
        <v>42697.469398148147</v>
      </c>
      <c r="G74" s="7">
        <v>2</v>
      </c>
      <c r="H74" s="22" t="s">
        <v>371</v>
      </c>
      <c r="I74" s="13">
        <v>42697.496331018519</v>
      </c>
      <c r="J74" s="7">
        <v>0</v>
      </c>
      <c r="K74" s="109" t="str">
        <f t="shared" si="0"/>
        <v>4039/4040</v>
      </c>
      <c r="L74" s="22" t="str">
        <f>VLOOKUP(A74,'Trips&amp;Operators'!$C$1:$E$10000,3,FALSE)</f>
        <v>BARTLETT</v>
      </c>
      <c r="M74" s="6">
        <f t="shared" si="1"/>
        <v>2.6932870372547768E-2</v>
      </c>
      <c r="N74" s="7">
        <f t="shared" si="2"/>
        <v>38.783333336468786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10:08:16-700',mode:absolute,to:'2016-11-23 12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4.2200000000000001E-2</v>
      </c>
      <c r="Z74" s="67">
        <f t="shared" si="9"/>
        <v>23.333200000000001</v>
      </c>
      <c r="AA74" s="67">
        <f t="shared" si="10"/>
        <v>23.291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0161-23</v>
      </c>
      <c r="AE74" s="91" t="str">
        <f t="shared" si="12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74" s="88" t="str">
        <f t="shared" si="13"/>
        <v>"C:\Program Files (x86)\AstroGrep\AstroGrep.exe" /spath="%USERPROFILE%\AppData\Local\Temp\OnboardLogs" /stypes="app*4040*20161123*"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161-23 --locoid 4040 --swversion DE.1.0.8.0 --startMP 204:422 --initTime 2016-11-23T11:08:16 --startdatetime 2016-11-23T11:15:56 --delay 2 --endMP 204:233332 --enddatetime 2016-11-23T11:54:43 --enforcementcount 0 &gt;&gt;C:\Users\stu\Documents\GitHub\eaglep3-reporting\EC\2016-11-23-refined-times.txt</v>
      </c>
      <c r="AI74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{"issue":{"subject":"","project_id":79,"tracker_id":40,"status_id":1,"priority_id":2,"assigned_to_id":23,"start_date":"2016-11-23","description":"","custom_fields":[{"id":1,"name":"Subdivision","value":"EC"},{"id":4,"name":"Milepost","value":"23.3332"},{"id":17,"name":"Train ID","value":"161-23"},{"id":16,"name":"Locomotive ID","value":"4040"},{"id":130,"name":"Impact","value":""},{"id":150,"name":"Time of Event (Mountain Time)","value":"11:54:43"},{"id":151,"name":"Denver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516</v>
      </c>
      <c r="B75" s="7">
        <v>4039</v>
      </c>
      <c r="C75" s="22" t="s">
        <v>217</v>
      </c>
      <c r="D75" s="22" t="s">
        <v>666</v>
      </c>
      <c r="E75" s="13">
        <v>42697.502141203702</v>
      </c>
      <c r="F75" s="13">
        <v>42697.507789351854</v>
      </c>
      <c r="G75" s="7">
        <v>1</v>
      </c>
      <c r="H75" s="22" t="s">
        <v>270</v>
      </c>
      <c r="I75" s="13">
        <v>42697.534548611111</v>
      </c>
      <c r="J75" s="7">
        <v>0</v>
      </c>
      <c r="K75" s="109" t="str">
        <f t="shared" si="0"/>
        <v>4039/4040</v>
      </c>
      <c r="L75" s="22" t="str">
        <f>VLOOKUP(A75,'Trips&amp;Operators'!$C$1:$E$10000,3,FALSE)</f>
        <v>BARTLETT</v>
      </c>
      <c r="M75" s="6">
        <f t="shared" si="1"/>
        <v>2.675925925723277E-2</v>
      </c>
      <c r="N75" s="7">
        <f t="shared" si="2"/>
        <v>38.533333330415189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11:03:05-700',mode:absolute,to:'2016-11-23 13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23.302700000000002</v>
      </c>
      <c r="Z75" s="67">
        <f t="shared" si="9"/>
        <v>1.6500000000000001E-2</v>
      </c>
      <c r="AA75" s="67">
        <f t="shared" si="10"/>
        <v>23.286200000000001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0162-23</v>
      </c>
      <c r="AE75" s="91" t="str">
        <f t="shared" si="12"/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AF75" s="88" t="str">
        <f t="shared" si="13"/>
        <v>"C:\Program Files (x86)\AstroGrep\AstroGrep.exe" /spath="%USERPROFILE%\AppData\Local\Temp\OnboardLogs" /stypes="app*4039*20161123*"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162-23 --locoid 4039 --swversion DE.1.0.8.0 --startMP 204:233027 --initTime 2016-11-23T12:03:05 --startdatetime 2016-11-23T12:11:13 --delay 1 --endMP 204:165 --enddatetime 2016-11-23T12:49:45 --enforcementcount 0 &gt;&gt;C:\Users\stu\Documents\GitHub\eaglep3-reporting\EC\2016-11-23-refined-times.txt</v>
      </c>
      <c r="AI75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{"issue":{"subject":"","project_id":79,"tracker_id":40,"status_id":1,"priority_id":2,"assigned_to_id":23,"start_date":"2016-11-23","description":"","custom_fields":[{"id":1,"name":"Subdivision","value":"EC"},{"id":4,"name":"Milepost","value":"0.0165"},{"id":17,"name":"Train ID","value":"162-23"},{"id":16,"name":"Locomotive ID","value":"4039"},{"id":130,"name":"Impact","value":""},{"id":150,"name":"Time of Event (Mountain Time)","value":"12:49:45"},{"id":151,"name":"Denver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507</v>
      </c>
      <c r="B76" s="7">
        <v>4046</v>
      </c>
      <c r="C76" s="22" t="s">
        <v>217</v>
      </c>
      <c r="D76" s="22" t="s">
        <v>285</v>
      </c>
      <c r="E76" s="13">
        <v>42697.474340277775</v>
      </c>
      <c r="F76" s="13">
        <v>42697.479560185187</v>
      </c>
      <c r="G76" s="7">
        <v>1</v>
      </c>
      <c r="H76" s="22" t="s">
        <v>257</v>
      </c>
      <c r="I76" s="13">
        <v>42697.505208333336</v>
      </c>
      <c r="J76" s="7">
        <v>0</v>
      </c>
      <c r="K76" s="109" t="str">
        <f t="shared" si="0"/>
        <v>4045/4046</v>
      </c>
      <c r="L76" s="22" t="str">
        <f>VLOOKUP(A76,'Trips&amp;Operators'!$C$1:$E$10000,3,FALSE)</f>
        <v>HELVIE</v>
      </c>
      <c r="M76" s="6">
        <f t="shared" si="1"/>
        <v>2.5648148148320615E-2</v>
      </c>
      <c r="N76" s="7">
        <f t="shared" si="2"/>
        <v>36.933333333581686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https://search-rtdc-monitor-bjffxe2xuh6vdkpspy63sjmuny.us-east-1.es.amazonaws.com/_plugin/kibana/#/discover/Steve-Slow-Train-Analysis-(2080s-and-2083s)?_g=(refreshInterval:(display:Off,section:0,value:0),time:(from:'2016-11-23 10:23:03-700',mode:absolute,to:'2016-11-23 13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4.5999999999999999E-2</v>
      </c>
      <c r="Z76" s="67">
        <f t="shared" si="9"/>
        <v>23.328900000000001</v>
      </c>
      <c r="AA76" s="67">
        <f t="shared" si="10"/>
        <v>23.282900000000001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0163-23</v>
      </c>
      <c r="AE76" s="91" t="str">
        <f t="shared" si="12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76" s="88" t="str">
        <f t="shared" si="13"/>
        <v>"C:\Program Files (x86)\AstroGrep\AstroGrep.exe" /spath="%USERPROFILE%\AppData\Local\Temp\OnboardLogs" /stypes="app*4046*20161123*"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163-23 --locoid 4046 --swversion DE.1.0.8.0 --startMP 204:460 --initTime 2016-11-23T11:23:03 --startdatetime 2016-11-23T11:30:34 --delay 1 --endMP 204:233289 --enddatetime 2016-11-23T12:07:30 --enforcementcount 0 &gt;&gt;C:\Users\stu\Documents\GitHub\eaglep3-reporting\EC\2016-11-23-refined-times.txt</v>
      </c>
      <c r="AI76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{"issue":{"subject":"","project_id":79,"tracker_id":40,"status_id":1,"priority_id":2,"assigned_to_id":23,"start_date":"2016-11-23","description":"","custom_fields":[{"id":1,"name":"Subdivision","value":"EC"},{"id":4,"name":"Milepost","value":"23.3289"},{"id":17,"name":"Train ID","value":"163-23"},{"id":16,"name":"Locomotive ID","value":"4046"},{"id":130,"name":"Impact","value":""},{"id":150,"name":"Time of Event (Mountain Time)","value":"12:07:30"},{"id":151,"name":"Denver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517</v>
      </c>
      <c r="B77" s="7">
        <v>4045</v>
      </c>
      <c r="C77" s="22" t="s">
        <v>217</v>
      </c>
      <c r="D77" s="22" t="s">
        <v>311</v>
      </c>
      <c r="E77" s="13">
        <v>42697.511018518519</v>
      </c>
      <c r="F77" s="13">
        <v>42697.518553240741</v>
      </c>
      <c r="G77" s="7">
        <v>1</v>
      </c>
      <c r="H77" s="22" t="s">
        <v>284</v>
      </c>
      <c r="I77" s="13">
        <v>42697.546168981484</v>
      </c>
      <c r="J77" s="7">
        <v>0</v>
      </c>
      <c r="K77" s="109" t="str">
        <f t="shared" ref="K77:K140" si="19">IF(ISEVEN(B77),(B77-1)&amp;"/"&amp;B77,B77&amp;"/"&amp;(B77+1))</f>
        <v>4045/4046</v>
      </c>
      <c r="L77" s="22" t="str">
        <f>VLOOKUP(A77,'Trips&amp;Operators'!$C$1:$E$10000,3,FALSE)</f>
        <v>HELVIE</v>
      </c>
      <c r="M77" s="6">
        <f t="shared" ref="M77:M140" si="20">I77-F77</f>
        <v>2.7615740742476191E-2</v>
      </c>
      <c r="N77" s="7">
        <f t="shared" ref="N77:N140" si="21">24*60*SUM($M77:$M77)</f>
        <v>39.766666669165716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https://search-rtdc-monitor-bjffxe2xuh6vdkpspy63sjmuny.us-east-1.es.amazonaws.com/_plugin/kibana/#/discover/Steve-Slow-Train-Analysis-(2080s-and-2083s)?_g=(refreshInterval:(display:Off,section:0,value:0),time:(from:'2016-11-23 11:15:52-700',mode:absolute,to:'2016-11-23 14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23.296500000000002</v>
      </c>
      <c r="Z77" s="67">
        <f t="shared" ref="Z77:Z140" si="28">RIGHT(H77,LEN(H77)-4)/10000</f>
        <v>1.61E-2</v>
      </c>
      <c r="AA77" s="67">
        <f t="shared" ref="AA77:AA140" si="29">ABS(Z77-Y77)</f>
        <v>23.2804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0">IF(LEN(A77)=6,"0"&amp;A77,A77)</f>
        <v>0164-23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/stypes="app*4045*20161123*" /stext=" 20:.+((SYSTEM_STATE.+slice.+state.+changed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164-23 --locoid 4045 --swversion DE.1.0.8.0 --startMP 204:232965 --initTime 2016-11-23T12:15:52 --startdatetime 2016-11-23T12:26:43 --delay 1 --endMP 204:161 --enddatetime 2016-11-23T13:06:29 --enforcementcount 0 &gt;&gt;C:\Users\stu\Documents\GitHub\eaglep3-reporting\EC\2016-11-23-refined-times.txt</v>
      </c>
      <c r="AI77" s="119" t="str">
        <f t="shared" si="18"/>
        <v>echo {"issue":{"subject":"","project_id":79,"tracker_id":40,"status_id":1,"priority_id":2,"assigned_to_id":23,"start_date":"2016-11-23","description":"","custom_fields":[{"id":1,"name":"Subdivision","value":"EC"},{"id":4,"name":"Milepost","value":"0.0161"},{"id":17,"name":"Train ID","value":"164-23"},{"id":16,"name":"Locomotive ID","value":"4045"},{"id":130,"name":"Impact","value":""},{"id":150,"name":"Time of Event (Mountain Time)","value":"13:06:29"},{"id":151,"name":"Denver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511</v>
      </c>
      <c r="B78" s="7">
        <v>4022</v>
      </c>
      <c r="C78" s="22" t="s">
        <v>217</v>
      </c>
      <c r="D78" s="22" t="s">
        <v>261</v>
      </c>
      <c r="E78" s="13">
        <v>42697.486990740741</v>
      </c>
      <c r="F78" s="13">
        <v>42697.489884259259</v>
      </c>
      <c r="G78" s="7">
        <v>2</v>
      </c>
      <c r="H78" s="22" t="s">
        <v>667</v>
      </c>
      <c r="I78" s="13">
        <v>42697.521307870367</v>
      </c>
      <c r="J78" s="7">
        <v>0</v>
      </c>
      <c r="K78" s="109" t="str">
        <f t="shared" si="19"/>
        <v>4021/4022</v>
      </c>
      <c r="L78" s="22" t="str">
        <f>VLOOKUP(A78,'Trips&amp;Operators'!$C$1:$E$10000,3,FALSE)</f>
        <v>DELGADO</v>
      </c>
      <c r="M78" s="6">
        <f t="shared" si="20"/>
        <v>3.142361110803904E-2</v>
      </c>
      <c r="N78" s="7">
        <f t="shared" si="21"/>
        <v>45.249999995576218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10:41:16-700',mode:absolute,to:'2016-11-23 13:30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4.3999999999999997E-2</v>
      </c>
      <c r="Z78" s="67">
        <f t="shared" si="28"/>
        <v>23.328499999999998</v>
      </c>
      <c r="AA78" s="67">
        <f t="shared" si="29"/>
        <v>23.284499999999998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0165-23</v>
      </c>
      <c r="AE78" s="91" t="str">
        <f t="shared" si="31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78" s="88" t="str">
        <f t="shared" si="32"/>
        <v>"C:\Program Files (x86)\AstroGrep\AstroGrep.exe" /spath="%USERPROFILE%\AppData\Local\Temp\OnboardLogs" /stypes="app*4022*20161123*" /stext=" 19:.+((SYSTEM_STATE.+slice.+state.+changed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165-23 --locoid 4022 --swversion DE.1.0.8.0 --startMP 204:440 --initTime 2016-11-23T11:41:16 --startdatetime 2016-11-23T11:45:26 --delay 2 --endMP 204:233285 --enddatetime 2016-11-23T12:30:41 --enforcementcount 0 &gt;&gt;C:\Users\stu\Documents\GitHub\eaglep3-reporting\EC\2016-11-23-refined-times.txt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{"issue":{"subject":"","project_id":79,"tracker_id":40,"status_id":1,"priority_id":2,"assigned_to_id":23,"start_date":"2016-11-23","description":"","custom_fields":[{"id":1,"name":"Subdivision","value":"EC"},{"id":4,"name":"Milepost","value":"23.3285"},{"id":17,"name":"Train ID","value":"165-23"},{"id":16,"name":"Locomotive ID","value":"4022"},{"id":130,"name":"Impact","value":""},{"id":150,"name":"Time of Event (Mountain Time)","value":"12:30:41"},{"id":151,"name":"Denver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522</v>
      </c>
      <c r="B79" s="7">
        <v>4021</v>
      </c>
      <c r="C79" s="22" t="s">
        <v>217</v>
      </c>
      <c r="D79" s="22" t="s">
        <v>668</v>
      </c>
      <c r="E79" s="13">
        <v>42697.523946759262</v>
      </c>
      <c r="F79" s="13">
        <v>42697.528900462959</v>
      </c>
      <c r="G79" s="7">
        <v>1</v>
      </c>
      <c r="H79" s="22" t="s">
        <v>196</v>
      </c>
      <c r="I79" s="13">
        <v>42697.557581018518</v>
      </c>
      <c r="J79" s="7">
        <v>0</v>
      </c>
      <c r="K79" s="109" t="str">
        <f t="shared" si="19"/>
        <v>4021/4022</v>
      </c>
      <c r="L79" s="22" t="str">
        <f>VLOOKUP(A79,'Trips&amp;Operators'!$C$1:$E$10000,3,FALSE)</f>
        <v>DELGADO</v>
      </c>
      <c r="M79" s="6">
        <f t="shared" si="20"/>
        <v>2.8680555558821652E-2</v>
      </c>
      <c r="N79" s="7">
        <f t="shared" si="21"/>
        <v>41.300000004703179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11:34:29-700',mode:absolute,to:'2016-11-23 14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23.296600000000002</v>
      </c>
      <c r="Z79" s="67">
        <f t="shared" si="28"/>
        <v>1.49E-2</v>
      </c>
      <c r="AA79" s="67">
        <f t="shared" si="29"/>
        <v>23.281700000000001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0166-23</v>
      </c>
      <c r="AE79" s="91" t="str">
        <f t="shared" si="31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79" s="88" t="str">
        <f t="shared" si="32"/>
        <v>"C:\Program Files (x86)\AstroGrep\AstroGrep.exe" /spath="%USERPROFILE%\AppData\Local\Temp\OnboardLogs" /stypes="app*4021*20161123*" /stext=" 20:.+((SYSTEM_STATE.+slice.+state.+changed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166-23 --locoid 4021 --swversion DE.1.0.8.0 --startMP 204:232966 --initTime 2016-11-23T12:34:29 --startdatetime 2016-11-23T12:41:37 --delay 1 --endMP 204:149 --enddatetime 2016-11-23T13:22:55 --enforcementcount 0 &gt;&gt;C:\Users\stu\Documents\GitHub\eaglep3-reporting\EC\2016-11-23-refined-times.txt</v>
      </c>
      <c r="AI7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ID","value":"166-23"},{"id":16,"name":"Locomotive ID","value":"4021"},{"id":130,"name":"Impact","value":""},{"id":150,"name":"Time of Event (Mountain Time)","value":"13:22:55"},{"id":151,"name":"Denver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515</v>
      </c>
      <c r="B80" s="7">
        <v>4003</v>
      </c>
      <c r="C80" s="22" t="s">
        <v>217</v>
      </c>
      <c r="D80" s="22" t="s">
        <v>293</v>
      </c>
      <c r="E80" s="13">
        <v>42697.499409722222</v>
      </c>
      <c r="F80" s="13">
        <v>42697.501550925925</v>
      </c>
      <c r="G80" s="7">
        <v>1</v>
      </c>
      <c r="H80" s="22" t="s">
        <v>290</v>
      </c>
      <c r="I80" s="13">
        <v>42697.528240740743</v>
      </c>
      <c r="J80" s="7">
        <v>0</v>
      </c>
      <c r="K80" s="109" t="str">
        <f t="shared" si="19"/>
        <v>4003/4004</v>
      </c>
      <c r="L80" s="22" t="str">
        <f>VLOOKUP(A80,'Trips&amp;Operators'!$C$1:$E$10000,3,FALSE)</f>
        <v>YOUNG</v>
      </c>
      <c r="M80" s="6">
        <f t="shared" si="20"/>
        <v>2.6689814818382729E-2</v>
      </c>
      <c r="N80" s="7">
        <f t="shared" si="21"/>
        <v>38.43333333847113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10:59:09-700',mode:absolute,to:'2016-11-23 13:40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4.5699999999999998E-2</v>
      </c>
      <c r="Z80" s="67">
        <f t="shared" si="28"/>
        <v>23.328399999999998</v>
      </c>
      <c r="AA80" s="67">
        <f t="shared" si="29"/>
        <v>23.282699999999998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0167-23</v>
      </c>
      <c r="AE80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80" s="88" t="str">
        <f t="shared" si="32"/>
        <v>"C:\Program Files (x86)\AstroGrep\AstroGrep.exe" /spath="%USERPROFILE%\AppData\Local\Temp\OnboardLogs" /stypes="app*4003*20161123*" /stext=" 19:.+((SYSTEM_STATE.+slice.+state.+changed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167-23 --locoid 4003 --swversion DE.1.0.8.0 --startMP 204:457 --initTime 2016-11-23T11:59:09 --startdatetime 2016-11-23T12:02:14 --delay 1 --endMP 204:233284 --enddatetime 2016-11-23T12:40:40 --enforcementcount 0 &gt;&gt;C:\Users\stu\Documents\GitHub\eaglep3-reporting\EC\2016-11-23-refined-times.txt</v>
      </c>
      <c r="AI8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{"issue":{"subject":"","project_id":79,"tracker_id":40,"status_id":1,"priority_id":2,"assigned_to_id":23,"start_date":"2016-11-23","description":"","custom_fields":[{"id":1,"name":"Subdivision","value":"EC"},{"id":4,"name":"Milepost","value":"23.3284"},{"id":17,"name":"Train ID","value":"167-23"},{"id":16,"name":"Locomotive ID","value":"4003"},{"id":130,"name":"Impact","value":""},{"id":150,"name":"Time of Event (Mountain Time)","value":"12:40:40"},{"id":151,"name":"Denver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524</v>
      </c>
      <c r="B81" s="7">
        <v>4004</v>
      </c>
      <c r="C81" s="22" t="s">
        <v>217</v>
      </c>
      <c r="D81" s="22" t="s">
        <v>255</v>
      </c>
      <c r="E81" s="13">
        <v>42697.53087962963</v>
      </c>
      <c r="F81" s="13">
        <v>42697.539074074077</v>
      </c>
      <c r="G81" s="7">
        <v>2</v>
      </c>
      <c r="H81" s="22" t="s">
        <v>669</v>
      </c>
      <c r="I81" s="13">
        <v>42697.566631944443</v>
      </c>
      <c r="J81" s="7">
        <v>0</v>
      </c>
      <c r="K81" s="109" t="str">
        <f t="shared" si="19"/>
        <v>4003/4004</v>
      </c>
      <c r="L81" s="22" t="str">
        <f>VLOOKUP(A81,'Trips&amp;Operators'!$C$1:$E$10000,3,FALSE)</f>
        <v>YOUNG</v>
      </c>
      <c r="M81" s="6">
        <f t="shared" si="20"/>
        <v>2.7557870365853887E-2</v>
      </c>
      <c r="N81" s="7">
        <f t="shared" si="21"/>
        <v>39.683333326829597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11:44:28-700',mode:absolute,to:'2016-11-23 14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23.297499999999999</v>
      </c>
      <c r="Z81" s="67">
        <f t="shared" si="28"/>
        <v>2.07E-2</v>
      </c>
      <c r="AA81" s="67">
        <f t="shared" si="29"/>
        <v>23.276799999999998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0168-23</v>
      </c>
      <c r="AE81" s="91" t="str">
        <f t="shared" si="31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81" s="88" t="str">
        <f t="shared" si="32"/>
        <v>"C:\Program Files (x86)\AstroGrep\AstroGrep.exe" /spath="%USERPROFILE%\AppData\Local\Temp\OnboardLogs" /stypes="app*4004*20161123*" /stext=" 20:.+((SYSTEM_STATE.+slice.+state.+changed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168-23 --locoid 4004 --swversion DE.1.0.8.0 --startMP 204:232975 --initTime 2016-11-23T12:44:28 --startdatetime 2016-11-23T12:56:16 --delay 2 --endMP 204:207 --enddatetime 2016-11-23T13:35:57 --enforcementcount 0 &gt;&gt;C:\Users\stu\Documents\GitHub\eaglep3-reporting\EC\2016-11-23-refined-times.txt</v>
      </c>
      <c r="AI8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{"issue":{"subject":"","project_id":79,"tracker_id":40,"status_id":1,"priority_id":2,"assigned_to_id":23,"start_date":"2016-11-23","description":"","custom_fields":[{"id":1,"name":"Subdivision","value":"EC"},{"id":4,"name":"Milepost","value":"0.0207"},{"id":17,"name":"Train ID","value":"168-23"},{"id":16,"name":"Locomotive ID","value":"4004"},{"id":130,"name":"Impact","value":""},{"id":150,"name":"Time of Event (Mountain Time)","value":"13:35:57"},{"id":151,"name":"Denver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519</v>
      </c>
      <c r="B82" s="7">
        <v>4007</v>
      </c>
      <c r="C82" s="22" t="s">
        <v>217</v>
      </c>
      <c r="D82" s="22" t="s">
        <v>199</v>
      </c>
      <c r="E82" s="13">
        <v>42697.513645833336</v>
      </c>
      <c r="F82" s="13">
        <v>42697.5155787037</v>
      </c>
      <c r="G82" s="7">
        <v>1</v>
      </c>
      <c r="H82" s="22" t="s">
        <v>334</v>
      </c>
      <c r="I82" s="13">
        <v>42697.544502314813</v>
      </c>
      <c r="J82" s="7">
        <v>0</v>
      </c>
      <c r="K82" s="109" t="str">
        <f t="shared" si="19"/>
        <v>4007/4008</v>
      </c>
      <c r="L82" s="22" t="str">
        <f>VLOOKUP(A82,'Trips&amp;Operators'!$C$1:$E$10000,3,FALSE)</f>
        <v>MAGEE</v>
      </c>
      <c r="M82" s="6">
        <f t="shared" si="20"/>
        <v>2.8923611112986691E-2</v>
      </c>
      <c r="N82" s="7">
        <f t="shared" si="21"/>
        <v>41.650000002700835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11:19:39-700',mode:absolute,to:'2016-11-23 14:04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4.53E-2</v>
      </c>
      <c r="Z82" s="67">
        <f t="shared" si="28"/>
        <v>23.331900000000001</v>
      </c>
      <c r="AA82" s="67">
        <f t="shared" si="29"/>
        <v>23.2866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0169-23</v>
      </c>
      <c r="AE82" s="91" t="str">
        <f t="shared" si="31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82" s="88" t="str">
        <f t="shared" si="32"/>
        <v>"C:\Program Files (x86)\AstroGrep\AstroGrep.exe" /spath="%USERPROFILE%\AppData\Local\Temp\OnboardLogs" /stypes="app*4007*20161123*" /stext=" 20:.+((SYSTEM_STATE.+slice.+state.+changed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169-23 --locoid 4007 --swversion DE.1.0.8.0 --startMP 204:453 --initTime 2016-11-23T12:19:39 --startdatetime 2016-11-23T12:22:26 --delay 1 --endMP 204:233319 --enddatetime 2016-11-23T13:04:05 --enforcementcount 0 &gt;&gt;C:\Users\stu\Documents\GitHub\eaglep3-reporting\EC\2016-11-23-refined-times.txt</v>
      </c>
      <c r="AI8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{"issue":{"subject":"","project_id":79,"tracker_id":40,"status_id":1,"priority_id":2,"assigned_to_id":23,"start_date":"2016-11-23","description":"","custom_fields":[{"id":1,"name":"Subdivision","value":"EC"},{"id":4,"name":"Milepost","value":"23.3319"},{"id":17,"name":"Train ID","value":"169-23"},{"id":16,"name":"Locomotive ID","value":"4007"},{"id":130,"name":"Impact","value":""},{"id":150,"name":"Time of Event (Mountain Time)","value":"13:04:05"},{"id":151,"name":"Denver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525</v>
      </c>
      <c r="B83" s="7">
        <v>4008</v>
      </c>
      <c r="C83" s="22" t="s">
        <v>217</v>
      </c>
      <c r="D83" s="22" t="s">
        <v>277</v>
      </c>
      <c r="E83" s="13">
        <v>42697.546099537038</v>
      </c>
      <c r="F83" s="13">
        <v>42697.549467592595</v>
      </c>
      <c r="G83" s="7">
        <v>1</v>
      </c>
      <c r="H83" s="22" t="s">
        <v>250</v>
      </c>
      <c r="I83" s="13">
        <v>42697.576215277775</v>
      </c>
      <c r="J83" s="7">
        <v>0</v>
      </c>
      <c r="K83" s="109" t="str">
        <f t="shared" si="19"/>
        <v>4007/4008</v>
      </c>
      <c r="L83" s="22" t="str">
        <f>VLOOKUP(A83,'Trips&amp;Operators'!$C$1:$E$10000,3,FALSE)</f>
        <v>MAGEE</v>
      </c>
      <c r="M83" s="6">
        <f t="shared" si="20"/>
        <v>2.6747685180453118E-2</v>
      </c>
      <c r="N83" s="7">
        <f t="shared" si="21"/>
        <v>38.51666665985249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12:06:23-700',mode:absolute,to:'2016-11-23 14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23.299099999999999</v>
      </c>
      <c r="Z83" s="67">
        <f t="shared" si="28"/>
        <v>1.41E-2</v>
      </c>
      <c r="AA83" s="67">
        <f t="shared" si="29"/>
        <v>23.285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0170-23</v>
      </c>
      <c r="AE83" s="91" t="str">
        <f t="shared" si="31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83" s="88" t="str">
        <f t="shared" si="32"/>
        <v>"C:\Program Files (x86)\AstroGrep\AstroGrep.exe" /spath="%USERPROFILE%\AppData\Local\Temp\OnboardLogs" /stypes="app*4008*20161123*"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170-23 --locoid 4008 --swversion DE.1.0.8.0 --startMP 204:232991 --initTime 2016-11-23T13:06:23 --startdatetime 2016-11-23T13:11:14 --delay 1 --endMP 204:141 --enddatetime 2016-11-23T13:49:45 --enforcementcount 0 &gt;&gt;C:\Users\stu\Documents\GitHub\eaglep3-reporting\EC\2016-11-23-refined-times.txt</v>
      </c>
      <c r="AI83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{"issue":{"subject":"","project_id":79,"tracker_id":40,"status_id":1,"priority_id":2,"assigned_to_id":23,"start_date":"2016-11-23","description":"","custom_fields":[{"id":1,"name":"Subdivision","value":"EC"},{"id":4,"name":"Milepost","value":"0.0141"},{"id":17,"name":"Train ID","value":"170-23"},{"id":16,"name":"Locomotive ID","value":"4008"},{"id":130,"name":"Impact","value":""},{"id":150,"name":"Time of Event (Mountain Time)","value":"13:49:45"},{"id":151,"name":"Denver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520</v>
      </c>
      <c r="B84" s="7">
        <v>4029</v>
      </c>
      <c r="C84" s="22" t="s">
        <v>217</v>
      </c>
      <c r="D84" s="22" t="s">
        <v>198</v>
      </c>
      <c r="E84" s="13">
        <v>42697.519120370373</v>
      </c>
      <c r="F84" s="13">
        <v>42697.521319444444</v>
      </c>
      <c r="G84" s="7">
        <v>1</v>
      </c>
      <c r="H84" s="22" t="s">
        <v>670</v>
      </c>
      <c r="I84" s="13">
        <v>42697.552175925928</v>
      </c>
      <c r="J84" s="7">
        <v>0</v>
      </c>
      <c r="K84" s="109" t="str">
        <f t="shared" si="19"/>
        <v>4029/4030</v>
      </c>
      <c r="L84" s="22" t="str">
        <f>VLOOKUP(A84,'Trips&amp;Operators'!$C$1:$E$10000,3,FALSE)</f>
        <v>STORY</v>
      </c>
      <c r="M84" s="6">
        <f t="shared" si="20"/>
        <v>3.0856481484079268E-2</v>
      </c>
      <c r="N84" s="7">
        <f t="shared" si="21"/>
        <v>44.433333337074146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11:27:32-700',mode:absolute,to:'2016-11-23 14:15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4.4699999999999997E-2</v>
      </c>
      <c r="Z84" s="67">
        <f t="shared" si="28"/>
        <v>23.3322</v>
      </c>
      <c r="AA84" s="67">
        <f t="shared" si="29"/>
        <v>23.287500000000001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0171-23</v>
      </c>
      <c r="AE84" s="91" t="str">
        <f t="shared" si="31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84" s="88" t="str">
        <f t="shared" si="32"/>
        <v>"C:\Program Files (x86)\AstroGrep\AstroGrep.exe" /spath="%USERPROFILE%\AppData\Local\Temp\OnboardLogs" /stypes="app*4029*20161123*" /stext=" 20:.+((SYSTEM_STATE.+slice.+state.+changed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171-23 --locoid 4029 --swversion DE.1.0.8.0 --startMP 204:447 --initTime 2016-11-23T12:27:32 --startdatetime 2016-11-23T12:30:42 --delay 1 --endMP 204:233322 --enddatetime 2016-11-23T13:15:08 --enforcementcount 0 &gt;&gt;C:\Users\stu\Documents\GitHub\eaglep3-reporting\EC\2016-11-23-refined-times.txt</v>
      </c>
      <c r="AI8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{"issue":{"subject":"","project_id":79,"tracker_id":40,"status_id":1,"priority_id":2,"assigned_to_id":23,"start_date":"2016-11-23","description":"","custom_fields":[{"id":1,"name":"Subdivision","value":"EC"},{"id":4,"name":"Milepost","value":"23.3322"},{"id":17,"name":"Train ID","value":"171-23"},{"id":16,"name":"Locomotive ID","value":"4029"},{"id":130,"name":"Impact","value":""},{"id":150,"name":"Time of Event (Mountain Time)","value":"13:15:08"},{"id":151,"name":"Denver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529</v>
      </c>
      <c r="B85" s="7">
        <v>4030</v>
      </c>
      <c r="C85" s="22" t="s">
        <v>217</v>
      </c>
      <c r="D85" s="22" t="s">
        <v>263</v>
      </c>
      <c r="E85" s="13">
        <v>42697.55810185185</v>
      </c>
      <c r="F85" s="13">
        <v>42697.560231481482</v>
      </c>
      <c r="G85" s="7">
        <v>2</v>
      </c>
      <c r="H85" s="22" t="s">
        <v>270</v>
      </c>
      <c r="I85" s="13">
        <v>42697.588287037041</v>
      </c>
      <c r="J85" s="7">
        <v>0</v>
      </c>
      <c r="K85" s="109" t="str">
        <f t="shared" si="19"/>
        <v>4029/4030</v>
      </c>
      <c r="L85" s="22" t="str">
        <f>VLOOKUP(A85,'Trips&amp;Operators'!$C$1:$E$10000,3,FALSE)</f>
        <v>STORY</v>
      </c>
      <c r="M85" s="6">
        <f t="shared" si="20"/>
        <v>2.8055555558239575E-2</v>
      </c>
      <c r="N85" s="7">
        <f t="shared" si="21"/>
        <v>40.400000003864989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12:23:40-700',mode:absolute,to:'2016-11-23 15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23.299800000000001</v>
      </c>
      <c r="Z85" s="67">
        <f t="shared" si="28"/>
        <v>1.6500000000000001E-2</v>
      </c>
      <c r="AA85" s="67">
        <f t="shared" si="29"/>
        <v>23.283300000000001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0172-23</v>
      </c>
      <c r="AE85" s="91" t="str">
        <f t="shared" si="31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85" s="88" t="str">
        <f t="shared" si="32"/>
        <v>"C:\Program Files (x86)\AstroGrep\AstroGrep.exe" /spath="%USERPROFILE%\AppData\Local\Temp\OnboardLogs" /stypes="app*4030*20161123*" /stext=" 21:.+((SYSTEM_STATE.+slice.+state.+changed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172-23 --locoid 4030 --swversion DE.1.0.8.0 --startMP 204:232998 --initTime 2016-11-23T13:23:40 --startdatetime 2016-11-23T13:26:44 --delay 2 --endMP 204:165 --enddatetime 2016-11-23T14:07:08 --enforcementcount 0 &gt;&gt;C:\Users\stu\Documents\GitHub\eaglep3-reporting\EC\2016-11-23-refined-times.txt</v>
      </c>
      <c r="AI8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{"issue":{"subject":"","project_id":79,"tracker_id":40,"status_id":1,"priority_id":2,"assigned_to_id":23,"start_date":"2016-11-23","description":"","custom_fields":[{"id":1,"name":"Subdivision","value":"EC"},{"id":4,"name":"Milepost","value":"0.0165"},{"id":17,"name":"Train ID","value":"172-23"},{"id":16,"name":"Locomotive ID","value":"4030"},{"id":130,"name":"Impact","value":""},{"id":150,"name":"Time of Event (Mountain Time)","value":"14:07:08"},{"id":151,"name":"Denver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415</v>
      </c>
      <c r="B86" s="7">
        <v>4025</v>
      </c>
      <c r="C86" s="22" t="s">
        <v>217</v>
      </c>
      <c r="D86" s="22" t="s">
        <v>336</v>
      </c>
      <c r="E86" s="13">
        <v>42697.528379629628</v>
      </c>
      <c r="F86" s="13">
        <v>42697.531458333331</v>
      </c>
      <c r="G86" s="7">
        <v>1</v>
      </c>
      <c r="H86" s="22" t="s">
        <v>671</v>
      </c>
      <c r="I86" s="13">
        <v>42697.55709490741</v>
      </c>
      <c r="J86" s="7">
        <v>1</v>
      </c>
      <c r="K86" s="109" t="str">
        <f t="shared" si="19"/>
        <v>4025/4026</v>
      </c>
      <c r="L86" s="22" t="str">
        <f>VLOOKUP(A86,'Trips&amp;Operators'!$C$1:$E$10000,3,FALSE)</f>
        <v>PERKINS</v>
      </c>
      <c r="M86" s="6">
        <f t="shared" si="20"/>
        <v>2.5636574078816921E-2</v>
      </c>
      <c r="N86" s="7">
        <f t="shared" si="21"/>
        <v>36.916666673496366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11:40:52-700',mode:absolute,to:'2016-11-23 14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4.3299999999999998E-2</v>
      </c>
      <c r="Z86" s="67">
        <f t="shared" si="28"/>
        <v>23.332899999999999</v>
      </c>
      <c r="AA86" s="67">
        <f t="shared" si="29"/>
        <v>23.2896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0173-23</v>
      </c>
      <c r="AE86" s="91" t="str">
        <f t="shared" si="31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86" s="88" t="str">
        <f t="shared" si="32"/>
        <v>"C:\Program Files (x86)\AstroGrep\AstroGrep.exe" /spath="%USERPROFILE%\AppData\Local\Temp\OnboardLogs" /stypes="app*4025*20161123*" /stext=" 20:.+((SYSTEM_STATE.+slice.+state.+changed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173-23 --locoid 4025 --swversion DE.1.0.8.0 --startMP 204:433 --initTime 2016-11-23T12:40:52 --startdatetime 2016-11-23T12:45:18 --delay 1 --endMP 204:233329 --enddatetime 2016-11-23T13:22:13 --enforcementcount 1 &gt;&gt;C:\Users\stu\Documents\GitHub\eaglep3-reporting\EC\2016-11-23-refined-times.txt</v>
      </c>
      <c r="AI8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{"issue":{"subject":"","project_id":79,"tracker_id":40,"status_id":1,"priority_id":2,"assigned_to_id":23,"start_date":"2016-11-23","description":"","custom_fields":[{"id":1,"name":"Subdivision","value":"EC"},{"id":4,"name":"Milepost","value":"23.3329"},{"id":17,"name":"Train ID","value":"173-23"},{"id":16,"name":"Locomotive ID","value":"4025"},{"id":130,"name":"Impact","value":""},{"id":150,"name":"Time of Event (Mountain Time)","value":"13:22:13"},{"id":151,"name":"Denver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416</v>
      </c>
      <c r="B87" s="7">
        <v>4026</v>
      </c>
      <c r="C87" s="22" t="s">
        <v>217</v>
      </c>
      <c r="D87" s="22" t="s">
        <v>672</v>
      </c>
      <c r="E87" s="13">
        <v>42697.586597222224</v>
      </c>
      <c r="F87" s="13">
        <v>42697.587523148148</v>
      </c>
      <c r="G87" s="7">
        <v>0</v>
      </c>
      <c r="H87" s="22" t="s">
        <v>673</v>
      </c>
      <c r="I87" s="13">
        <v>42697.611805555556</v>
      </c>
      <c r="J87" s="7">
        <v>0</v>
      </c>
      <c r="K87" s="109" t="str">
        <f t="shared" si="19"/>
        <v>4025/4026</v>
      </c>
      <c r="L87" s="22" t="str">
        <f>VLOOKUP(A87,'Trips&amp;Operators'!$C$1:$E$10000,3,FALSE)</f>
        <v>PERKINS</v>
      </c>
      <c r="M87" s="6">
        <f t="shared" si="20"/>
        <v>2.4282407408463769E-2</v>
      </c>
      <c r="N87" s="7"/>
      <c r="O87" s="7"/>
      <c r="P87" s="7">
        <f>24*60*SUM($M87:$M87)</f>
        <v>34.966666668187827</v>
      </c>
      <c r="Q87" s="23"/>
      <c r="R87" s="23" t="s">
        <v>840</v>
      </c>
      <c r="S87" s="35">
        <f t="shared" si="22"/>
        <v>1</v>
      </c>
      <c r="T87" s="50" t="str">
        <f t="shared" si="23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13:04:42-700',mode:absolute,to:'2016-11-23 15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7" s="52" t="str">
        <f t="shared" si="25"/>
        <v>Y</v>
      </c>
      <c r="X87" s="177">
        <f t="shared" si="26"/>
        <v>1</v>
      </c>
      <c r="Y87" s="67">
        <f t="shared" si="27"/>
        <v>15.401</v>
      </c>
      <c r="Z87" s="67">
        <f t="shared" si="28"/>
        <v>1.72E-2</v>
      </c>
      <c r="AA87" s="67">
        <f t="shared" si="29"/>
        <v>15.383799999999999</v>
      </c>
      <c r="AB87" s="64" t="str">
        <f>VLOOKUP(A87,Enforcements!$C$7:$K$20,8,0)</f>
        <v>Signal based authority (5)</v>
      </c>
      <c r="AC87" s="60" t="str">
        <f>VLOOKUP(A87,Enforcements!$C$7:$E$20,3,0)</f>
        <v>SIGNAL</v>
      </c>
      <c r="AD87" s="61" t="str">
        <f t="shared" si="30"/>
        <v>0174-23</v>
      </c>
      <c r="AE87" s="91" t="str">
        <f t="shared" si="31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87" s="88" t="str">
        <f t="shared" si="32"/>
        <v>"C:\Program Files (x86)\AstroGrep\AstroGrep.exe" /spath="%USERPROFILE%\AppData\Local\Temp\OnboardLogs" /stypes="app*4026*20161123*" /stext=" 21:.+((SYSTEM_STATE.+slice.+state.+changed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174-23 --locoid 4026 --swversion DE.1.0.8.0 --startMP 204:154010 --initTime 2016-11-23T14:04:42 --startdatetime 2016-11-23T14:06:02 --delay 0 --endMP 204:172 --enddatetime 2016-11-23T14:41:00 --enforcementcount 0 &gt;&gt;C:\Users\stu\Documents\GitHub\eaglep3-reporting\EC\2016-11-23-refined-times.txt</v>
      </c>
      <c r="AI87" s="119" t="str">
        <f t="shared" si="35"/>
        <v>echo {"issue":{"subject":"EC1678RH 167-1T 1S aspects kept changing","project_id":79,"tracker_id":40,"status_id":1,"priority_id":2,"assigned_to_id":23,"start_date":"2016-11-23","description":"At 13:51:05, 13:52:37, and 13:52:40, aspect of the signal changed from 0, to 270, to 120, to 0. Was anything out of place at this time?","custom_fields":[{"id":1,"name":"Subdivision","value":"EC"},{"id":4,"name":"Milepost","value":"0.0172"},{"id":17,"name":"Train ID","value":"174-23"},{"id":16,"name":"Locomotive ID","value":"4026"},{"id":130,"name":"Impact","value":"Unexpected Cut-Out or Disengaged"},{"id":150,"name":"Time of Event (Mountain Time)","value":"14:41:00"},{"id":151,"name":"Denver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7" s="53" t="s">
        <v>841</v>
      </c>
      <c r="AK87" s="53" t="s">
        <v>131</v>
      </c>
      <c r="AL87" s="53" t="s">
        <v>130</v>
      </c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416</v>
      </c>
      <c r="B88" s="7">
        <v>4026</v>
      </c>
      <c r="C88" s="22" t="s">
        <v>217</v>
      </c>
      <c r="D88" s="22" t="s">
        <v>674</v>
      </c>
      <c r="E88" s="13">
        <v>42697.561990740738</v>
      </c>
      <c r="F88" s="13">
        <v>42697.587523148148</v>
      </c>
      <c r="G88" s="7">
        <v>1</v>
      </c>
      <c r="H88" s="22" t="s">
        <v>675</v>
      </c>
      <c r="I88" s="13">
        <v>42697.611805555556</v>
      </c>
      <c r="J88" s="7">
        <v>2</v>
      </c>
      <c r="K88" s="109" t="str">
        <f t="shared" si="19"/>
        <v>4025/4026</v>
      </c>
      <c r="L88" s="22" t="str">
        <f>VLOOKUP(A88,'Trips&amp;Operators'!$C$1:$E$10000,3,FALSE)</f>
        <v>PERKINS</v>
      </c>
      <c r="M88" s="6">
        <f t="shared" si="20"/>
        <v>2.4282407408463769E-2</v>
      </c>
      <c r="N88" s="7"/>
      <c r="O88" s="7"/>
      <c r="P88" s="7"/>
      <c r="Q88" s="23"/>
      <c r="R88" s="23"/>
      <c r="S88" s="35"/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12:29:16-700',mode:absolute,to:'2016-11-23 15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25"/>
        <v>Y</v>
      </c>
      <c r="X88" s="177">
        <f t="shared" si="26"/>
        <v>0</v>
      </c>
      <c r="Y88" s="67">
        <f t="shared" si="27"/>
        <v>23.3019</v>
      </c>
      <c r="Z88" s="67">
        <f t="shared" si="28"/>
        <v>16.8233</v>
      </c>
      <c r="AA88" s="67">
        <f t="shared" si="29"/>
        <v>6.4786000000000001</v>
      </c>
      <c r="AB88" s="64" t="str">
        <f>VLOOKUP(A88,Enforcements!$C$7:$K$20,8,0)</f>
        <v>Signal based authority (5)</v>
      </c>
      <c r="AC88" s="60" t="str">
        <f>VLOOKUP(A88,Enforcements!$C$7:$E$20,3,0)</f>
        <v>SIGNAL</v>
      </c>
      <c r="AD88" s="61" t="str">
        <f t="shared" si="30"/>
        <v>0174-23</v>
      </c>
      <c r="AE88" s="91" t="str">
        <f t="shared" si="31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88" s="88" t="str">
        <f t="shared" si="32"/>
        <v>"C:\Program Files (x86)\AstroGrep\AstroGrep.exe" /spath="%USERPROFILE%\AppData\Local\Temp\OnboardLogs" /stypes="app*4026*20161123*" /stext=" 21:.+((SYSTEM_STATE.+slice.+state.+changed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174-23 --locoid 4026 --swversion DE.1.0.8.0 --startMP 204:233019 --initTime 2016-11-23T13:29:16 --startdatetime 2016-11-23T14:06:02 --delay 1 --endMP 204:168233 --enddatetime 2016-11-23T14:41:00 --enforcementcount 2 &gt;&gt;C:\Users\stu\Documents\GitHub\eaglep3-reporting\EC\2016-11-23-refined-times.txt</v>
      </c>
      <c r="AI8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{"issue":{"subject":"","project_id":79,"tracker_id":40,"status_id":1,"priority_id":2,"assigned_to_id":23,"start_date":"2016-11-23","description":"","custom_fields":[{"id":1,"name":"Subdivision","value":"EC"},{"id":4,"name":"Milepost","value":"16.8233"},{"id":17,"name":"Train ID","value":"174-23"},{"id":16,"name":"Locomotive ID","value":"4026"},{"id":130,"name":"Impact","value":""},{"id":150,"name":"Time of Event (Mountain Time)","value":"14:41:00"},{"id":151,"name":"Denver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412</v>
      </c>
      <c r="B89" s="7">
        <v>4040</v>
      </c>
      <c r="C89" s="22" t="s">
        <v>217</v>
      </c>
      <c r="D89" s="22" t="s">
        <v>216</v>
      </c>
      <c r="E89" s="13">
        <v>42697.53670138889</v>
      </c>
      <c r="F89" s="13">
        <v>42697.541875000003</v>
      </c>
      <c r="G89" s="7">
        <v>1</v>
      </c>
      <c r="H89" s="22" t="s">
        <v>676</v>
      </c>
      <c r="I89" s="13">
        <v>42697.567789351851</v>
      </c>
      <c r="J89" s="7">
        <v>1</v>
      </c>
      <c r="K89" s="109" t="str">
        <f t="shared" si="19"/>
        <v>4039/4040</v>
      </c>
      <c r="L89" s="22" t="str">
        <f>VLOOKUP(A89,'Trips&amp;Operators'!$C$1:$E$10000,3,FALSE)</f>
        <v>BARTLETT</v>
      </c>
      <c r="M89" s="6">
        <f t="shared" si="20"/>
        <v>2.5914351848769002E-2</v>
      </c>
      <c r="N89" s="7">
        <f t="shared" si="21"/>
        <v>37.316666662227362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11:52:51-700',mode:absolute,to:'2016-11-23 14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4.6399999999999997E-2</v>
      </c>
      <c r="Z89" s="67">
        <f t="shared" si="28"/>
        <v>23.3353</v>
      </c>
      <c r="AA89" s="67">
        <f t="shared" si="29"/>
        <v>23.288900000000002</v>
      </c>
      <c r="AB89" s="64" t="str">
        <f>VLOOKUP(A89,Enforcements!$C$7:$K$20,8,0)</f>
        <v>Bulletin (2)</v>
      </c>
      <c r="AC89" s="60" t="str">
        <f>VLOOKUP(A89,Enforcements!$C$7:$E$20,3,0)</f>
        <v>GRADE CROSSING</v>
      </c>
      <c r="AD89" s="61" t="str">
        <f t="shared" si="30"/>
        <v>0175-23</v>
      </c>
      <c r="AE89" s="91" t="str">
        <f t="shared" si="31"/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AF89" s="88" t="str">
        <f t="shared" si="32"/>
        <v>"C:\Program Files (x86)\AstroGrep\AstroGrep.exe" /spath="%USERPROFILE%\AppData\Local\Temp\OnboardLogs" /stypes="app*4040*20161123*" /stext=" 20:.+((SYSTEM_STATE.+slice.+state.+changed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175-23 --locoid 4040 --swversion DE.1.0.8.0 --startMP 204:464 --initTime 2016-11-23T12:52:51 --startdatetime 2016-11-23T13:00:18 --delay 1 --endMP 204:233353 --enddatetime 2016-11-23T13:37:37 --enforcementcount 1 &gt;&gt;C:\Users\stu\Documents\GitHub\eaglep3-reporting\EC\2016-11-23-refined-times.txt</v>
      </c>
      <c r="AI8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{"issue":{"subject":"","project_id":79,"tracker_id":40,"status_id":1,"priority_id":2,"assigned_to_id":23,"start_date":"2016-11-23","description":"","custom_fields":[{"id":1,"name":"Subdivision","value":"EC"},{"id":4,"name":"Milepost","value":"23.3353"},{"id":17,"name":"Train ID","value":"175-23"},{"id":16,"name":"Locomotive ID","value":"4040"},{"id":130,"name":"Impact","value":""},{"id":150,"name":"Time of Event (Mountain Time)","value":"13:37:37"},{"id":151,"name":"Denver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4039</v>
      </c>
      <c r="C90" s="22" t="s">
        <v>217</v>
      </c>
      <c r="D90" s="22" t="s">
        <v>677</v>
      </c>
      <c r="E90" s="13">
        <v>42697.570520833331</v>
      </c>
      <c r="F90" s="13">
        <v>42697.581192129626</v>
      </c>
      <c r="G90" s="7">
        <v>1</v>
      </c>
      <c r="H90" s="22" t="s">
        <v>678</v>
      </c>
      <c r="I90" s="13">
        <v>42697.615439814814</v>
      </c>
      <c r="J90" s="7">
        <v>0</v>
      </c>
      <c r="K90" s="109" t="str">
        <f t="shared" si="19"/>
        <v>4039/4040</v>
      </c>
      <c r="L90" s="22" t="str">
        <f>VLOOKUP(A90,'Trips&amp;Operators'!$C$1:$E$10000,3,FALSE)</f>
        <v>BARTLETT</v>
      </c>
      <c r="M90" s="6">
        <f t="shared" si="20"/>
        <v>3.4247685187438037E-2</v>
      </c>
      <c r="N90" s="7">
        <f t="shared" si="21"/>
        <v>49.316666669910774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12:41:33-700',mode:absolute,to:'2016-11-23 15:46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23.3048</v>
      </c>
      <c r="Z90" s="67">
        <f t="shared" si="28"/>
        <v>0.1169</v>
      </c>
      <c r="AA90" s="67">
        <f t="shared" si="29"/>
        <v>23.187899999999999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0176-23</v>
      </c>
      <c r="AE90" s="91" t="str">
        <f t="shared" si="31"/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AF90" s="88" t="str">
        <f t="shared" si="32"/>
        <v>"C:\Program Files (x86)\AstroGrep\AstroGrep.exe" /spath="%USERPROFILE%\AppData\Local\Temp\OnboardLogs" /stypes="app*4039*20161123*" /stext=" 21:.+((SYSTEM_STATE.+slice.+state.+changed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176-23 --locoid 4039 --swversion DE.1.0.8.0 --startMP 204:233048 --initTime 2016-11-23T13:41:33 --startdatetime 2016-11-23T13:56:55 --delay 1 --endMP 204:1169 --enddatetime 2016-11-23T14:46:14 --enforcementcount 0 &gt;&gt;C:\Users\stu\Documents\GitHub\eaglep3-reporting\EC\2016-11-23-refined-times.txt</v>
      </c>
      <c r="AI9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{"issue":{"subject":"","project_id":79,"tracker_id":40,"status_id":1,"priority_id":2,"assigned_to_id":23,"start_date":"2016-11-23","description":"","custom_fields":[{"id":1,"name":"Subdivision","value":"EC"},{"id":4,"name":"Milepost","value":"0.1169"},{"id":17,"name":"Train ID","value":"176-23"},{"id":16,"name":"Locomotive ID","value":"4039"},{"id":130,"name":"Impact","value":""},{"id":150,"name":"Time of Event (Mountain Time)","value":"14:46:14"},{"id":151,"name":"Denver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413</v>
      </c>
      <c r="B91" s="7">
        <v>4046</v>
      </c>
      <c r="C91" s="22" t="s">
        <v>217</v>
      </c>
      <c r="D91" s="22" t="s">
        <v>293</v>
      </c>
      <c r="E91" s="13">
        <v>42697.549409722225</v>
      </c>
      <c r="F91" s="13">
        <v>42697.553090277775</v>
      </c>
      <c r="G91" s="7">
        <v>2</v>
      </c>
      <c r="H91" s="22" t="s">
        <v>679</v>
      </c>
      <c r="I91" s="13">
        <v>42697.581886574073</v>
      </c>
      <c r="J91" s="7">
        <v>1</v>
      </c>
      <c r="K91" s="109" t="str">
        <f t="shared" si="19"/>
        <v>4045/4046</v>
      </c>
      <c r="L91" s="22" t="str">
        <f>VLOOKUP(A91,'Trips&amp;Operators'!$C$1:$E$10000,3,FALSE)</f>
        <v>MALAVE</v>
      </c>
      <c r="M91" s="6">
        <f t="shared" si="20"/>
        <v>2.8796296297514345E-2</v>
      </c>
      <c r="N91" s="7">
        <f t="shared" si="21"/>
        <v>41.466666668420658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12:11:09-700',mode:absolute,to:'2016-11-23 14:57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4.5699999999999998E-2</v>
      </c>
      <c r="Z91" s="67">
        <f t="shared" si="28"/>
        <v>23.327400000000001</v>
      </c>
      <c r="AA91" s="67">
        <f t="shared" si="29"/>
        <v>23.281700000000001</v>
      </c>
      <c r="AB91" s="64" t="str">
        <f>VLOOKUP(A91,Enforcements!$C$7:$K$20,8,0)</f>
        <v>Speed (6)</v>
      </c>
      <c r="AC91" s="60" t="str">
        <f>VLOOKUP(A91,Enforcements!$C$7:$E$20,3,0)</f>
        <v>PERMANENT SPEED RESTRICTION</v>
      </c>
      <c r="AD91" s="61" t="str">
        <f t="shared" si="30"/>
        <v>0177-23</v>
      </c>
      <c r="AE91" s="91" t="str">
        <f t="shared" si="31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91" s="88" t="str">
        <f t="shared" si="32"/>
        <v>"C:\Program Files (x86)\AstroGrep\AstroGrep.exe" /spath="%USERPROFILE%\AppData\Local\Temp\OnboardLogs" /stypes="app*4046*20161123*" /stext=" 20:.+((SYSTEM_STATE.+slice.+state.+changed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177-23 --locoid 4046 --swversion DE.1.0.8.0 --startMP 204:457 --initTime 2016-11-23T13:11:09 --startdatetime 2016-11-23T13:16:27 --delay 2 --endMP 204:233274 --enddatetime 2016-11-23T13:57:55 --enforcementcount 1 &gt;&gt;C:\Users\stu\Documents\GitHub\eaglep3-reporting\EC\2016-11-23-refined-times.txt</v>
      </c>
      <c r="AI9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{"issue":{"subject":"","project_id":79,"tracker_id":40,"status_id":1,"priority_id":2,"assigned_to_id":23,"start_date":"2016-11-23","description":"","custom_fields":[{"id":1,"name":"Subdivision","value":"EC"},{"id":4,"name":"Milepost","value":"23.3274"},{"id":17,"name":"Train ID","value":"177-23"},{"id":16,"name":"Locomotive ID","value":"4046"},{"id":130,"name":"Impact","value":""},{"id":150,"name":"Time of Event (Mountain Time)","value":"13:57:55"},{"id":151,"name":"Denver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535</v>
      </c>
      <c r="B92" s="7">
        <v>4045</v>
      </c>
      <c r="C92" s="22" t="s">
        <v>217</v>
      </c>
      <c r="D92" s="22" t="s">
        <v>680</v>
      </c>
      <c r="E92" s="13">
        <v>42697.587650462963</v>
      </c>
      <c r="F92" s="13">
        <v>42697.591458333336</v>
      </c>
      <c r="G92" s="7">
        <v>2</v>
      </c>
      <c r="H92" s="22" t="s">
        <v>196</v>
      </c>
      <c r="I92" s="13">
        <v>42697.621712962966</v>
      </c>
      <c r="J92" s="7">
        <v>0</v>
      </c>
      <c r="K92" s="109" t="str">
        <f t="shared" si="19"/>
        <v>4045/4046</v>
      </c>
      <c r="L92" s="22" t="str">
        <f>VLOOKUP(A92,'Trips&amp;Operators'!$C$1:$E$10000,3,FALSE)</f>
        <v>DAVIS</v>
      </c>
      <c r="M92" s="6">
        <f t="shared" si="20"/>
        <v>3.0254629629780538E-2</v>
      </c>
      <c r="N92" s="7">
        <f t="shared" si="21"/>
        <v>43.566666666883975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13:06:13-700',mode:absolute,to:'2016-11-23 15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23.296800000000001</v>
      </c>
      <c r="Z92" s="67">
        <f t="shared" si="28"/>
        <v>1.49E-2</v>
      </c>
      <c r="AA92" s="67">
        <f t="shared" si="29"/>
        <v>23.2819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0178-23</v>
      </c>
      <c r="AE92" s="91" t="str">
        <f t="shared" si="31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92" s="88" t="str">
        <f t="shared" si="32"/>
        <v>"C:\Program Files (x86)\AstroGrep\AstroGrep.exe" /spath="%USERPROFILE%\AppData\Local\Temp\OnboardLogs" /stypes="app*4045*20161123*" /stext=" 21:.+((SYSTEM_STATE.+slice.+state.+changed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178-23 --locoid 4045 --swversion DE.1.0.8.0 --startMP 204:232968 --initTime 2016-11-23T14:06:13 --startdatetime 2016-11-23T14:11:42 --delay 2 --endMP 204:149 --enddatetime 2016-11-23T14:55:16 --enforcementcount 0 &gt;&gt;C:\Users\stu\Documents\GitHub\eaglep3-reporting\EC\2016-11-23-refined-times.txt</v>
      </c>
      <c r="AI9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ID","value":"178-23"},{"id":16,"name":"Locomotive ID","value":"4045"},{"id":130,"name":"Impact","value":""},{"id":150,"name":"Time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530</v>
      </c>
      <c r="B93" s="7">
        <v>4022</v>
      </c>
      <c r="C93" s="22" t="s">
        <v>217</v>
      </c>
      <c r="D93" s="22" t="s">
        <v>681</v>
      </c>
      <c r="E93" s="13">
        <v>42697.591631944444</v>
      </c>
      <c r="F93" s="13">
        <v>42697.592870370368</v>
      </c>
      <c r="G93" s="7">
        <v>1</v>
      </c>
      <c r="H93" s="22" t="s">
        <v>652</v>
      </c>
      <c r="I93" s="13">
        <v>42697.600011574075</v>
      </c>
      <c r="J93" s="7">
        <v>0</v>
      </c>
      <c r="K93" s="109" t="str">
        <f t="shared" si="19"/>
        <v>4021/4022</v>
      </c>
      <c r="L93" s="22" t="str">
        <f>VLOOKUP(A93,'Trips&amp;Operators'!$C$1:$E$10000,3,FALSE)</f>
        <v>DELGADO</v>
      </c>
      <c r="M93" s="6">
        <f t="shared" si="20"/>
        <v>7.1412037068512291E-3</v>
      </c>
      <c r="N93" s="7"/>
      <c r="O93" s="7"/>
      <c r="P93" s="7">
        <f>24*60*SUM($M93:$M94)</f>
        <v>33.100000005215406</v>
      </c>
      <c r="Q93" s="23"/>
      <c r="R93" s="23" t="s">
        <v>843</v>
      </c>
      <c r="S93" s="35">
        <f>SUM(U93:U94)/IF(AG93="EC",12,1)</f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13:11:57-700',mode:absolute,to:'2016-11-23 15:24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3" s="52" t="str">
        <f t="shared" si="25"/>
        <v>Y</v>
      </c>
      <c r="X93" s="177">
        <f t="shared" si="26"/>
        <v>1</v>
      </c>
      <c r="Y93" s="67">
        <f t="shared" si="27"/>
        <v>15.4427</v>
      </c>
      <c r="Z93" s="67">
        <f t="shared" si="28"/>
        <v>23.327999999999999</v>
      </c>
      <c r="AA93" s="67">
        <f t="shared" si="29"/>
        <v>7.8852999999999991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0179-23</v>
      </c>
      <c r="AE93" s="91" t="str">
        <f t="shared" si="31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93" s="88" t="str">
        <f t="shared" si="32"/>
        <v>"C:\Program Files (x86)\AstroGrep\AstroGrep.exe" /spath="%USERPROFILE%\AppData\Local\Temp\OnboardLogs" /stypes="app*4022*20161123*" /stext=" 21:.+((SYSTEM_STATE.+slice.+state.+changed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179-23 --locoid 4022 --swversion DE.1.0.8.0 --startMP 204:154427 --initTime 2016-11-23T14:11:57 --startdatetime 2016-11-23T14:13:44 --delay 1 --endMP 204:233280 --enddatetime 2016-11-23T14:24:01 --enforcementcount 0 &gt;&gt;C:\Users\stu\Documents\GitHub\eaglep3-reporting\EC\2016-11-23-refined-times.txt</v>
      </c>
      <c r="AI93" s="119" t="str">
        <f t="shared" si="35"/>
        <v>echo {"issue":{"subject":"40th 2N did not clear - dispatcher error?","project_id":79,"tracker_id":40,"status_id":1,"priority_id":2,"assigned_to_id":23,"start_date":"2016-11-23","description":"At 13:56:15, dispatch sent clear control to 40th 2N, and 30 sec later canceled. Then 14:04:08 sent one, then 14:09:34 canceled and immediately sent another. Was the dispatcher doing something wrong here, or was something else amiss?","custom_fields":[{"id":1,"name":"Subdivision","value":"EC"},{"id":4,"name":"Milepost","value":"23.328"},{"id":17,"name":"Train ID","value":"179-23"},{"id":16,"name":"Locomotive ID","value":"4022"},{"id":130,"name":"Impact","value":"Unexpected Cut-Out or Disengaged"},{"id":150,"name":"Time of Event (Mountain Time)","value":"14:24:01"},{"id":151,"name":"Denver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3" s="53" t="s">
        <v>842</v>
      </c>
      <c r="AK93" s="53" t="s">
        <v>131</v>
      </c>
      <c r="AL93" s="53" t="s">
        <v>130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530</v>
      </c>
      <c r="B94" s="7">
        <v>4022</v>
      </c>
      <c r="C94" s="22" t="s">
        <v>217</v>
      </c>
      <c r="D94" s="22" t="s">
        <v>273</v>
      </c>
      <c r="E94" s="13">
        <v>42697.55982638889</v>
      </c>
      <c r="F94" s="13">
        <v>42697.5627662037</v>
      </c>
      <c r="G94" s="7">
        <v>2</v>
      </c>
      <c r="H94" s="22" t="s">
        <v>273</v>
      </c>
      <c r="I94" s="13">
        <v>42697.578611111108</v>
      </c>
      <c r="J94" s="7">
        <v>0</v>
      </c>
      <c r="K94" s="109" t="str">
        <f t="shared" si="19"/>
        <v>4021/4022</v>
      </c>
      <c r="L94" s="22" t="str">
        <f>VLOOKUP(A94,'Trips&amp;Operators'!$C$1:$E$10000,3,FALSE)</f>
        <v>DELGADO</v>
      </c>
      <c r="M94" s="6">
        <f t="shared" si="20"/>
        <v>1.5844907407881692E-2</v>
      </c>
      <c r="N94" s="7"/>
      <c r="O94" s="7"/>
      <c r="P94" s="7"/>
      <c r="Q94" s="23"/>
      <c r="R94" s="23"/>
      <c r="S94" s="35"/>
      <c r="T94" s="50" t="str">
        <f t="shared" si="23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12:26:09-700',mode:absolute,to:'2016-11-23 14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4" s="52" t="str">
        <f t="shared" si="25"/>
        <v>Y</v>
      </c>
      <c r="X94" s="177">
        <f t="shared" si="26"/>
        <v>0</v>
      </c>
      <c r="Y94" s="67">
        <f t="shared" si="27"/>
        <v>4.5499999999999999E-2</v>
      </c>
      <c r="Z94" s="67">
        <v>12.327500000000001</v>
      </c>
      <c r="AA94" s="67">
        <f t="shared" si="29"/>
        <v>12.282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0179-23</v>
      </c>
      <c r="AE94" s="91" t="str">
        <f t="shared" si="31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94" s="88" t="str">
        <f t="shared" si="32"/>
        <v>"C:\Program Files (x86)\AstroGrep\AstroGrep.exe" /spath="%USERPROFILE%\AppData\Local\Temp\OnboardLogs" /stypes="app*4022*20161123*" /stext=" 20:.+((SYSTEM_STATE.+slice.+state.+changed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179-23 --locoid 4022 --swversion DE.1.0.8.0 --startMP 204:455 --initTime 2016-11-23T13:26:09 --startdatetime 2016-11-23T13:30:23 --delay 2 --endMP 204:455 --enddatetime 2016-11-23T13:53:12 --enforcementcount 0 &gt;&gt;C:\Users\stu\Documents\GitHub\eaglep3-reporting\EC\2016-11-23-refined-times.txt</v>
      </c>
      <c r="AI9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{"issue":{"subject":"","project_id":79,"tracker_id":40,"status_id":1,"priority_id":2,"assigned_to_id":23,"start_date":"2016-11-23","description":"","custom_fields":[{"id":1,"name":"Subdivision","value":"EC"},{"id":4,"name":"Milepost","value":"12.3275"},{"id":17,"name":"Train ID","value":"179-23"},{"id":16,"name":"Locomotive ID","value":"4022"},{"id":130,"name":"Impact","value":""},{"id":150,"name":"Time of Event (Mountain Time)","value":"13:53:12"},{"id":151,"name":"Denver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540</v>
      </c>
      <c r="B95" s="7">
        <v>4021</v>
      </c>
      <c r="C95" s="22" t="s">
        <v>217</v>
      </c>
      <c r="D95" s="22" t="s">
        <v>682</v>
      </c>
      <c r="E95" s="13">
        <v>42697.601307870369</v>
      </c>
      <c r="F95" s="13">
        <v>42697.602581018517</v>
      </c>
      <c r="G95" s="7">
        <v>1</v>
      </c>
      <c r="H95" s="22" t="s">
        <v>250</v>
      </c>
      <c r="I95" s="13">
        <v>42697.630891203706</v>
      </c>
      <c r="J95" s="7">
        <v>0</v>
      </c>
      <c r="K95" s="109" t="str">
        <f t="shared" si="19"/>
        <v>4021/4022</v>
      </c>
      <c r="L95" s="22" t="str">
        <f>VLOOKUP(A95,'Trips&amp;Operators'!$C$1:$E$10000,3,FALSE)</f>
        <v>DELGADO</v>
      </c>
      <c r="M95" s="6">
        <f t="shared" si="20"/>
        <v>2.8310185189184267E-2</v>
      </c>
      <c r="N95" s="7">
        <f t="shared" si="21"/>
        <v>40.766666672425345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13:25:53-700',mode:absolute,to:'2016-11-23 16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23.296399999999998</v>
      </c>
      <c r="Z95" s="67">
        <f t="shared" si="28"/>
        <v>1.41E-2</v>
      </c>
      <c r="AA95" s="67">
        <f t="shared" si="29"/>
        <v>23.282299999999999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0180-23</v>
      </c>
      <c r="AE95" s="91" t="str">
        <f t="shared" si="31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95" s="88" t="str">
        <f t="shared" si="32"/>
        <v>"C:\Program Files (x86)\AstroGrep\AstroGrep.exe" /spath="%USERPROFILE%\AppData\Local\Temp\OnboardLogs" /stypes="app*4021*20161123*" /stext=" 22:.+((SYSTEM_STATE.+slice.+state.+changed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180-23 --locoid 4021 --swversion DE.1.0.8.0 --startMP 204:232964 --initTime 2016-11-23T14:25:53 --startdatetime 2016-11-23T14:27:43 --delay 1 --endMP 204:141 --enddatetime 2016-11-23T15:08:29 --enforcementcount 0 &gt;&gt;C:\Users\stu\Documents\GitHub\eaglep3-reporting\EC\2016-11-23-refined-times.txt</v>
      </c>
      <c r="AI9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{"issue":{"subject":"","project_id":79,"tracker_id":40,"status_id":1,"priority_id":2,"assigned_to_id":23,"start_date":"2016-11-23","description":"","custom_fields":[{"id":1,"name":"Subdivision","value":"EC"},{"id":4,"name":"Milepost","value":"0.0141"},{"id":17,"name":"Train ID","value":"180-23"},{"id":16,"name":"Locomotive ID","value":"4021"},{"id":130,"name":"Impact","value":""},{"id":150,"name":"Time of Event (Mountain Time)","value":"15:08:29"},{"id":151,"name":"Denver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532</v>
      </c>
      <c r="B96" s="7">
        <v>4003</v>
      </c>
      <c r="C96" s="22" t="s">
        <v>217</v>
      </c>
      <c r="D96" s="22" t="s">
        <v>683</v>
      </c>
      <c r="E96" s="13">
        <v>42697.568784722222</v>
      </c>
      <c r="F96" s="13">
        <v>42697.573298611111</v>
      </c>
      <c r="G96" s="7">
        <v>2</v>
      </c>
      <c r="H96" s="22" t="s">
        <v>187</v>
      </c>
      <c r="I96" s="13">
        <v>42697.606851851851</v>
      </c>
      <c r="J96" s="7">
        <v>0</v>
      </c>
      <c r="K96" s="109" t="str">
        <f t="shared" si="19"/>
        <v>4003/4004</v>
      </c>
      <c r="L96" s="22" t="str">
        <f>VLOOKUP(A96,'Trips&amp;Operators'!$C$1:$E$10000,3,FALSE)</f>
        <v>YOUNG</v>
      </c>
      <c r="M96" s="6">
        <f t="shared" si="20"/>
        <v>3.3553240740729962E-2</v>
      </c>
      <c r="N96" s="7">
        <f t="shared" si="21"/>
        <v>48.316666666651145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12:39:03-700',mode:absolute,to:'2016-11-23 15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5.1299999999999998E-2</v>
      </c>
      <c r="Z96" s="67">
        <f t="shared" si="28"/>
        <v>23.329699999999999</v>
      </c>
      <c r="AA96" s="67">
        <f t="shared" si="29"/>
        <v>23.278399999999998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0181-23</v>
      </c>
      <c r="AE96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96" s="88" t="str">
        <f t="shared" si="32"/>
        <v>"C:\Program Files (x86)\AstroGrep\AstroGrep.exe" /spath="%USERPROFILE%\AppData\Local\Temp\OnboardLogs" /stypes="app*4003*20161123*" /stext=" 21:.+((SYSTEM_STATE.+slice.+state.+changed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181-23 --locoid 4003 --swversion DE.1.0.8.0 --startMP 204:513 --initTime 2016-11-23T13:39:03 --startdatetime 2016-11-23T13:45:33 --delay 2 --endMP 204:233297 --enddatetime 2016-11-23T14:33:52 --enforcementcount 0 &gt;&gt;C:\Users\stu\Documents\GitHub\eaglep3-reporting\EC\2016-11-23-refined-times.txt</v>
      </c>
      <c r="AI9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{"issue":{"subject":"","project_id":79,"tracker_id":40,"status_id":1,"priority_id":2,"assigned_to_id":23,"start_date":"2016-11-23","description":"","custom_fields":[{"id":1,"name":"Subdivision","value":"EC"},{"id":4,"name":"Milepost","value":"23.3297"},{"id":17,"name":"Train ID","value":"181-23"},{"id":16,"name":"Locomotive ID","value":"4003"},{"id":130,"name":"Impact","value":""},{"id":150,"name":"Time of Event (Mountain Time)","value":"14:33:52"},{"id":151,"name":"Denver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541</v>
      </c>
      <c r="B97" s="7">
        <v>4004</v>
      </c>
      <c r="C97" s="22" t="s">
        <v>217</v>
      </c>
      <c r="D97" s="22" t="s">
        <v>271</v>
      </c>
      <c r="E97" s="13">
        <v>42697.608402777776</v>
      </c>
      <c r="F97" s="13">
        <v>42697.61204861111</v>
      </c>
      <c r="G97" s="7">
        <v>1</v>
      </c>
      <c r="H97" s="22" t="s">
        <v>684</v>
      </c>
      <c r="I97" s="13">
        <v>42697.640509259261</v>
      </c>
      <c r="J97" s="7">
        <v>0</v>
      </c>
      <c r="K97" s="109" t="str">
        <f t="shared" si="19"/>
        <v>4003/4004</v>
      </c>
      <c r="L97" s="22" t="str">
        <f>VLOOKUP(A97,'Trips&amp;Operators'!$C$1:$E$10000,3,FALSE)</f>
        <v>YOUNG</v>
      </c>
      <c r="M97" s="6">
        <f t="shared" si="20"/>
        <v>2.846064815093996E-2</v>
      </c>
      <c r="N97" s="7">
        <f t="shared" si="21"/>
        <v>40.983333337353542</v>
      </c>
      <c r="O97" s="7"/>
      <c r="P97" s="7"/>
      <c r="Q97" s="23"/>
      <c r="R97" s="23"/>
      <c r="S97" s="35">
        <f t="shared" si="22"/>
        <v>1</v>
      </c>
      <c r="T97" s="50" t="str">
        <f t="shared" si="23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13:36:06-700',mode:absolute,to:'2016-11-23 16:22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23.298200000000001</v>
      </c>
      <c r="Z97" s="67">
        <f t="shared" si="28"/>
        <v>1.8700000000000001E-2</v>
      </c>
      <c r="AA97" s="67">
        <f t="shared" si="29"/>
        <v>23.279500000000002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0182-23</v>
      </c>
      <c r="AE97" s="91" t="str">
        <f t="shared" si="31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97" s="88" t="str">
        <f t="shared" si="32"/>
        <v>"C:\Program Files (x86)\AstroGrep\AstroGrep.exe" /spath="%USERPROFILE%\AppData\Local\Temp\OnboardLogs" /stypes="app*4004*20161123*" /stext=" 22:.+((SYSTEM_STATE.+slice.+state.+changed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182-23 --locoid 4004 --swversion DE.1.0.8.0 --startMP 204:232982 --initTime 2016-11-23T14:36:06 --startdatetime 2016-11-23T14:41:21 --delay 1 --endMP 204:187 --enddatetime 2016-11-23T15:22:20 --enforcementcount 0 &gt;&gt;C:\Users\stu\Documents\GitHub\eaglep3-reporting\EC\2016-11-23-refined-times.txt</v>
      </c>
      <c r="AI97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{"issue":{"subject":"","project_id":79,"tracker_id":40,"status_id":1,"priority_id":2,"assigned_to_id":23,"start_date":"2016-11-23","description":"","custom_fields":[{"id":1,"name":"Subdivision","value":"EC"},{"id":4,"name":"Milepost","value":"0.0187"},{"id":17,"name":"Train ID","value":"182-23"},{"id":16,"name":"Locomotive ID","value":"4004"},{"id":130,"name":"Impact","value":""},{"id":150,"name":"Time of Event (Mountain Time)","value":"15:22:20"},{"id":151,"name":"Denver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534</v>
      </c>
      <c r="B98" s="7">
        <v>4007</v>
      </c>
      <c r="C98" s="22" t="s">
        <v>217</v>
      </c>
      <c r="D98" s="22" t="s">
        <v>199</v>
      </c>
      <c r="E98" s="13">
        <v>42697.577881944446</v>
      </c>
      <c r="F98" s="13">
        <v>42697.583611111113</v>
      </c>
      <c r="G98" s="7">
        <v>1</v>
      </c>
      <c r="H98" s="22" t="s">
        <v>671</v>
      </c>
      <c r="I98" s="13">
        <v>42697.611250000002</v>
      </c>
      <c r="J98" s="7">
        <v>0</v>
      </c>
      <c r="K98" s="109" t="str">
        <f t="shared" si="19"/>
        <v>4007/4008</v>
      </c>
      <c r="L98" s="22" t="str">
        <f>VLOOKUP(A98,'Trips&amp;Operators'!$C$1:$E$10000,3,FALSE)</f>
        <v>MAGEE</v>
      </c>
      <c r="M98" s="6">
        <f t="shared" si="20"/>
        <v>2.7638888888759539E-2</v>
      </c>
      <c r="N98" s="7">
        <f t="shared" si="21"/>
        <v>39.799999999813735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12:52:09-700',mode:absolute,to:'2016-11-23 15:40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4.53E-2</v>
      </c>
      <c r="Z98" s="67">
        <f t="shared" si="28"/>
        <v>23.332899999999999</v>
      </c>
      <c r="AA98" s="67">
        <f t="shared" si="29"/>
        <v>23.287599999999998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0183-23</v>
      </c>
      <c r="AE98" s="91" t="str">
        <f t="shared" si="31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98" s="88" t="str">
        <f t="shared" si="32"/>
        <v>"C:\Program Files (x86)\AstroGrep\AstroGrep.exe" /spath="%USERPROFILE%\AppData\Local\Temp\OnboardLogs" /stypes="app*4007*20161123*" /stext=" 21:.+((SYSTEM_STATE.+slice.+state.+changed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183-23 --locoid 4007 --swversion DE.1.0.8.0 --startMP 204:453 --initTime 2016-11-23T13:52:09 --startdatetime 2016-11-23T14:00:24 --delay 1 --endMP 204:233329 --enddatetime 2016-11-23T14:40:12 --enforcementcount 0 &gt;&gt;C:\Users\stu\Documents\GitHub\eaglep3-reporting\EC\2016-11-23-refined-times.txt</v>
      </c>
      <c r="AI9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{"issue":{"subject":"","project_id":79,"tracker_id":40,"status_id":1,"priority_id":2,"assigned_to_id":23,"start_date":"2016-11-23","description":"","custom_fields":[{"id":1,"name":"Subdivision","value":"EC"},{"id":4,"name":"Milepost","value":"23.3329"},{"id":17,"name":"Train ID","value":"183-23"},{"id":16,"name":"Locomotive ID","value":"4007"},{"id":130,"name":"Impact","value":""},{"id":150,"name":"Time of Event (Mountain Time)","value":"14:40:12"},{"id":151,"name":"Denver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544</v>
      </c>
      <c r="B99" s="7">
        <v>4008</v>
      </c>
      <c r="C99" s="22" t="s">
        <v>217</v>
      </c>
      <c r="D99" s="22" t="s">
        <v>365</v>
      </c>
      <c r="E99" s="13">
        <v>42697.617118055554</v>
      </c>
      <c r="F99" s="13">
        <v>42697.622418981482</v>
      </c>
      <c r="G99" s="7">
        <v>2</v>
      </c>
      <c r="H99" s="22" t="s">
        <v>227</v>
      </c>
      <c r="I99" s="13">
        <v>42697.649282407408</v>
      </c>
      <c r="J99" s="7">
        <v>0</v>
      </c>
      <c r="K99" s="109" t="str">
        <f t="shared" si="19"/>
        <v>4007/4008</v>
      </c>
      <c r="L99" s="22" t="str">
        <f>VLOOKUP(A99,'Trips&amp;Operators'!$C$1:$E$10000,3,FALSE)</f>
        <v>MAGEE</v>
      </c>
      <c r="M99" s="6">
        <f t="shared" si="20"/>
        <v>2.6863425926421769E-2</v>
      </c>
      <c r="N99" s="7">
        <f t="shared" si="21"/>
        <v>38.683333334047347</v>
      </c>
      <c r="O99" s="7"/>
      <c r="P99" s="7"/>
      <c r="Q99" s="23"/>
      <c r="R99" s="23"/>
      <c r="S99" s="35">
        <f t="shared" si="22"/>
        <v>1</v>
      </c>
      <c r="T99" s="50" t="str">
        <f t="shared" si="23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13:48:39-700',mode:absolute,to:'2016-11-23 16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23.300799999999999</v>
      </c>
      <c r="Z99" s="67">
        <f t="shared" si="28"/>
        <v>1.4999999999999999E-2</v>
      </c>
      <c r="AA99" s="67">
        <f t="shared" si="29"/>
        <v>23.285799999999998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0184-23</v>
      </c>
      <c r="AE99" s="91" t="str">
        <f t="shared" si="31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99" s="88" t="str">
        <f t="shared" si="32"/>
        <v>"C:\Program Files (x86)\AstroGrep\AstroGrep.exe" /spath="%USERPROFILE%\AppData\Local\Temp\OnboardLogs" /stypes="app*4008*20161123*" /stext=" 22:.+((SYSTEM_STATE.+slice.+state.+changed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184-23 --locoid 4008 --swversion DE.1.0.8.0 --startMP 204:233008 --initTime 2016-11-23T14:48:39 --startdatetime 2016-11-23T14:56:17 --delay 2 --endMP 204:150 --enddatetime 2016-11-23T15:34:58 --enforcementcount 0 &gt;&gt;C:\Users\stu\Documents\GitHub\eaglep3-reporting\EC\2016-11-23-refined-times.txt</v>
      </c>
      <c r="AI9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{"issue":{"subject":"","project_id":79,"tracker_id":40,"status_id":1,"priority_id":2,"assigned_to_id":23,"start_date":"2016-11-23","description":"","custom_fields":[{"id":1,"name":"Subdivision","value":"EC"},{"id":4,"name":"Milepost","value":"0.015"},{"id":17,"name":"Train ID","value":"184-23"},{"id":16,"name":"Locomotive ID","value":"4008"},{"id":130,"name":"Impact","value":""},{"id":150,"name":"Time of Event (Mountain Time)","value":"15:34:58"},{"id":151,"name":"Denver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536</v>
      </c>
      <c r="B100" s="7">
        <v>4029</v>
      </c>
      <c r="C100" s="22" t="s">
        <v>217</v>
      </c>
      <c r="D100" s="22" t="s">
        <v>273</v>
      </c>
      <c r="E100" s="13">
        <v>42697.591331018521</v>
      </c>
      <c r="F100" s="13">
        <v>42697.594699074078</v>
      </c>
      <c r="G100" s="7">
        <v>3</v>
      </c>
      <c r="H100" s="22" t="s">
        <v>685</v>
      </c>
      <c r="I100" s="13">
        <v>42697.619016203702</v>
      </c>
      <c r="J100" s="7">
        <v>0</v>
      </c>
      <c r="K100" s="109" t="str">
        <f t="shared" si="19"/>
        <v>4029/4030</v>
      </c>
      <c r="L100" s="22" t="str">
        <f>VLOOKUP(A100,'Trips&amp;Operators'!$C$1:$E$10000,3,FALSE)</f>
        <v>HILLS</v>
      </c>
      <c r="M100" s="6">
        <f t="shared" si="20"/>
        <v>2.4317129624250811E-2</v>
      </c>
      <c r="N100" s="7">
        <f t="shared" si="21"/>
        <v>35.016666658921167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13:11:31-700',mode:absolute,to:'2016-11-23 15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4.5499999999999999E-2</v>
      </c>
      <c r="Z100" s="67">
        <f t="shared" si="28"/>
        <v>23.3339</v>
      </c>
      <c r="AA100" s="67">
        <f t="shared" si="29"/>
        <v>23.288399999999999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0185-23</v>
      </c>
      <c r="AE100" s="91" t="str">
        <f t="shared" si="31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00" s="88" t="str">
        <f t="shared" si="32"/>
        <v>"C:\Program Files (x86)\AstroGrep\AstroGrep.exe" /spath="%USERPROFILE%\AppData\Local\Temp\OnboardLogs" /stypes="app*4029*20161123*" /stext=" 21:.+((SYSTEM_STATE.+slice.+state.+changed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185-23 --locoid 4029 --swversion DE.1.0.8.0 --startMP 204:455 --initTime 2016-11-23T14:11:31 --startdatetime 2016-11-23T14:16:22 --delay 3 --endMP 204:233339 --enddatetime 2016-11-23T14:51:23 --enforcementcount 0 &gt;&gt;C:\Users\stu\Documents\GitHub\eaglep3-reporting\EC\2016-11-23-refined-times.txt</v>
      </c>
      <c r="AI10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{"issue":{"subject":"","project_id":79,"tracker_id":40,"status_id":1,"priority_id":2,"assigned_to_id":23,"start_date":"2016-11-23","description":"","custom_fields":[{"id":1,"name":"Subdivision","value":"EC"},{"id":4,"name":"Milepost","value":"23.3339"},{"id":17,"name":"Train ID","value":"185-23"},{"id":16,"name":"Locomotive ID","value":"4029"},{"id":130,"name":"Impact","value":""},{"id":150,"name":"Time of Event (Mountain Time)","value":"14:51:23"},{"id":151,"name":"Denver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545</v>
      </c>
      <c r="B101" s="7">
        <v>4030</v>
      </c>
      <c r="C101" s="22" t="s">
        <v>217</v>
      </c>
      <c r="D101" s="22" t="s">
        <v>364</v>
      </c>
      <c r="E101" s="13">
        <v>42697.620659722219</v>
      </c>
      <c r="F101" s="13">
        <v>42697.6328125</v>
      </c>
      <c r="G101" s="7">
        <v>1</v>
      </c>
      <c r="H101" s="22" t="s">
        <v>197</v>
      </c>
      <c r="I101" s="13">
        <v>42697.658796296295</v>
      </c>
      <c r="J101" s="7">
        <v>0</v>
      </c>
      <c r="K101" s="109" t="str">
        <f t="shared" si="19"/>
        <v>4029/4030</v>
      </c>
      <c r="L101" s="22" t="str">
        <f>VLOOKUP(A101,'Trips&amp;Operators'!$C$1:$E$10000,3,FALSE)</f>
        <v>HILLS</v>
      </c>
      <c r="M101" s="6">
        <f t="shared" si="20"/>
        <v>2.5983796294895001E-2</v>
      </c>
      <c r="N101" s="7">
        <f t="shared" si="21"/>
        <v>37.416666664648801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13:53:45-700',mode:absolute,to:'2016-11-23 16:48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23.3</v>
      </c>
      <c r="Z101" s="67">
        <f t="shared" si="28"/>
        <v>1.43E-2</v>
      </c>
      <c r="AA101" s="67">
        <f t="shared" si="29"/>
        <v>23.285700000000002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0186-23</v>
      </c>
      <c r="AE101" s="91" t="str">
        <f t="shared" si="31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01" s="88" t="str">
        <f t="shared" si="32"/>
        <v>"C:\Program Files (x86)\AstroGrep\AstroGrep.exe" /spath="%USERPROFILE%\AppData\Local\Temp\OnboardLogs" /stypes="app*4030*20161123*"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186-23 --locoid 4030 --swversion DE.1.0.8.0 --startMP 204:233000 --initTime 2016-11-23T14:53:45 --startdatetime 2016-11-23T15:11:15 --delay 1 --endMP 204:143 --enddatetime 2016-11-23T15:48:40 --enforcementcount 0 &gt;&gt;C:\Users\stu\Documents\GitHub\eaglep3-reporting\EC\2016-11-23-refined-times.txt</v>
      </c>
      <c r="AI10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ID","value":"186-23"},{"id":16,"name":"Locomotive ID","value":"4030"},{"id":130,"name":"Impact","value":""},{"id":150,"name":"Time of Event (Mountain Time)","value":"15:48:40"},{"id":151,"name":"Denver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539</v>
      </c>
      <c r="B102" s="7">
        <v>4042</v>
      </c>
      <c r="C102" s="22" t="s">
        <v>217</v>
      </c>
      <c r="D102" s="22" t="s">
        <v>261</v>
      </c>
      <c r="E102" s="13">
        <v>42697.598715277774</v>
      </c>
      <c r="F102" s="13">
        <v>42697.604421296295</v>
      </c>
      <c r="G102" s="7">
        <v>1</v>
      </c>
      <c r="H102" s="22" t="s">
        <v>686</v>
      </c>
      <c r="I102" s="13">
        <v>42697.629363425927</v>
      </c>
      <c r="J102" s="7">
        <v>0</v>
      </c>
      <c r="K102" s="109" t="str">
        <f t="shared" si="19"/>
        <v>4041/4042</v>
      </c>
      <c r="L102" s="22" t="str">
        <f>VLOOKUP(A102,'Trips&amp;Operators'!$C$1:$E$10000,3,FALSE)</f>
        <v>CRAYTON</v>
      </c>
      <c r="M102" s="6">
        <f t="shared" si="20"/>
        <v>2.4942129632108845E-2</v>
      </c>
      <c r="N102" s="7">
        <f t="shared" si="21"/>
        <v>35.916666670236737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13:22:09-700',mode:absolute,to:'2016-11-23 16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4.3999999999999997E-2</v>
      </c>
      <c r="Z102" s="67">
        <f t="shared" si="28"/>
        <v>23.3325</v>
      </c>
      <c r="AA102" s="67">
        <f t="shared" si="29"/>
        <v>23.288499999999999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0187-23</v>
      </c>
      <c r="AE102" s="91" t="str">
        <f t="shared" si="31"/>
        <v>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 &amp; aws s3 cp s3://rtdc.mdm.uploadarchive.raw/RTDC4042/ "%USERPROFILE%\AppData\Local\Temp\OnboardLogs"\RTDC4042\2016-11-24 --exclude "*" --recursive --include "*20161124*" &amp; "%USERPROFILE%\Documents\GitHub\mrs-test-scripts\Headless Mode &amp; Sideloading\WalkAndUnGZ.bat" "%USERPROFILE%\AppData\Local\Temp\OnboardLogs"\RTDC4042\2016-11-24</v>
      </c>
      <c r="AF102" s="88" t="str">
        <f t="shared" si="32"/>
        <v>"C:\Program Files (x86)\AstroGrep\AstroGrep.exe" /spath="%USERPROFILE%\AppData\Local\Temp\OnboardLogs" /stypes="app*4042*20161123*" /stext=" 22:.+((SYSTEM_STATE.+slice.+state.+changed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187-23 --locoid 4042 --swversion DE.1.0.8.0 --startMP 204:440 --initTime 2016-11-23T14:22:09 --startdatetime 2016-11-23T14:30:22 --delay 1 --endMP 204:233325 --enddatetime 2016-11-23T15:06:17 --enforcementcount 0 &gt;&gt;C:\Users\stu\Documents\GitHub\eaglep3-reporting\EC\2016-11-23-refined-times.txt</v>
      </c>
      <c r="AI10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{"issue":{"subject":"","project_id":79,"tracker_id":40,"status_id":1,"priority_id":2,"assigned_to_id":23,"start_date":"2016-11-23","description":"","custom_fields":[{"id":1,"name":"Subdivision","value":"EC"},{"id":4,"name":"Milepost","value":"23.3325"},{"id":17,"name":"Train ID","value":"187-23"},{"id":16,"name":"Locomotive ID","value":"4042"},{"id":130,"name":"Impact","value":""},{"id":150,"name":"Time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418</v>
      </c>
      <c r="B103" s="7">
        <v>4041</v>
      </c>
      <c r="C103" s="22" t="s">
        <v>217</v>
      </c>
      <c r="D103" s="22" t="s">
        <v>687</v>
      </c>
      <c r="E103" s="13">
        <v>42697.634004629632</v>
      </c>
      <c r="F103" s="13">
        <v>42697.643263888887</v>
      </c>
      <c r="G103" s="7">
        <v>1</v>
      </c>
      <c r="H103" s="22" t="s">
        <v>212</v>
      </c>
      <c r="I103" s="13">
        <v>42697.672581018516</v>
      </c>
      <c r="J103" s="7">
        <v>1</v>
      </c>
      <c r="K103" s="109" t="str">
        <f t="shared" si="19"/>
        <v>4041/4042</v>
      </c>
      <c r="L103" s="22" t="str">
        <f>VLOOKUP(A103,'Trips&amp;Operators'!$C$1:$E$10000,3,FALSE)</f>
        <v>CRAYTON</v>
      </c>
      <c r="M103" s="6">
        <f t="shared" si="20"/>
        <v>2.9317129628907423E-2</v>
      </c>
      <c r="N103" s="7">
        <f t="shared" si="21"/>
        <v>42.21666666562669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14:12:58-700',mode:absolute,to:'2016-11-23 17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23.3017</v>
      </c>
      <c r="Z103" s="67">
        <f t="shared" si="28"/>
        <v>1.5599999999999999E-2</v>
      </c>
      <c r="AA103" s="67">
        <f t="shared" si="29"/>
        <v>23.286100000000001</v>
      </c>
      <c r="AB103" s="64" t="str">
        <f>VLOOKUP(A103,Enforcements!$C$7:$K$20,8,0)</f>
        <v>Signal based authority (5)</v>
      </c>
      <c r="AC103" s="60" t="str">
        <f>VLOOKUP(A103,Enforcements!$C$7:$E$20,3,0)</f>
        <v>SIGNAL</v>
      </c>
      <c r="AD103" s="61" t="str">
        <f t="shared" si="30"/>
        <v>0188-23</v>
      </c>
      <c r="AE103" s="91" t="str">
        <f t="shared" si="31"/>
        <v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v>
      </c>
      <c r="AF103" s="88" t="str">
        <f t="shared" si="32"/>
        <v>"C:\Program Files (x86)\AstroGrep\AstroGrep.exe" /spath="%USERPROFILE%\AppData\Local\Temp\OnboardLogs" /stypes="app*4041*20161123*" /stext=" 23:.+((SYSTEM_STATE.+slice.+state.+changed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188-23 --locoid 4041 --swversion DE.1.0.8.0 --startMP 204:233017 --initTime 2016-11-23T15:12:58 --startdatetime 2016-11-23T15:26:18 --delay 1 --endMP 204:156 --enddatetime 2016-11-23T16:08:31 --enforcementcount 1 &gt;&gt;C:\Users\stu\Documents\GitHub\eaglep3-reporting\EC\2016-11-23-refined-times.txt</v>
      </c>
      <c r="AI103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{"issue":{"subject":"","project_id":79,"tracker_id":40,"status_id":1,"priority_id":2,"assigned_to_id":23,"start_date":"2016-11-23","description":"","custom_fields":[{"id":1,"name":"Subdivision","value":"EC"},{"id":4,"name":"Milepost","value":"0.0156"},{"id":17,"name":"Train ID","value":"188-23"},{"id":16,"name":"Locomotive ID","value":"4041"},{"id":130,"name":"Impact","value":""},{"id":150,"name":"Time of Event (Mountain Time)","value":"16:08:31"},{"id":151,"name":"Denver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543</v>
      </c>
      <c r="B104" s="7">
        <v>4025</v>
      </c>
      <c r="C104" s="22" t="s">
        <v>217</v>
      </c>
      <c r="D104" s="22" t="s">
        <v>688</v>
      </c>
      <c r="E104" s="13">
        <v>42697.612974537034</v>
      </c>
      <c r="F104" s="13">
        <v>42697.614895833336</v>
      </c>
      <c r="G104" s="7">
        <v>1</v>
      </c>
      <c r="H104" s="22" t="s">
        <v>689</v>
      </c>
      <c r="I104" s="13">
        <v>42697.639479166668</v>
      </c>
      <c r="J104" s="7">
        <v>0</v>
      </c>
      <c r="K104" s="109" t="str">
        <f t="shared" si="19"/>
        <v>4025/4026</v>
      </c>
      <c r="L104" s="22" t="str">
        <f>VLOOKUP(A104,'Trips&amp;Operators'!$C$1:$E$10000,3,FALSE)</f>
        <v>PERKINS</v>
      </c>
      <c r="M104" s="6">
        <f t="shared" si="20"/>
        <v>2.4583333331975155E-2</v>
      </c>
      <c r="N104" s="7">
        <f t="shared" si="21"/>
        <v>35.399999998044223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13:42:41-700',mode:absolute,to:'2016-11-23 16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5.0200000000000002E-2</v>
      </c>
      <c r="Z104" s="67">
        <f t="shared" si="28"/>
        <v>23.331800000000001</v>
      </c>
      <c r="AA104" s="67">
        <f t="shared" si="29"/>
        <v>23.281600000000001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0189-23</v>
      </c>
      <c r="AE104" s="91" t="str">
        <f t="shared" si="31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104" s="88" t="str">
        <f t="shared" si="32"/>
        <v>"C:\Program Files (x86)\AstroGrep\AstroGrep.exe" /spath="%USERPROFILE%\AppData\Local\Temp\OnboardLogs" /stypes="app*4025*20161123*" /stext=" 22:.+((SYSTEM_STATE.+slice.+state.+changed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189-23 --locoid 4025 --swversion DE.1.0.8.0 --startMP 204:502 --initTime 2016-11-23T14:42:41 --startdatetime 2016-11-23T14:45:27 --delay 1 --endMP 204:233318 --enddatetime 2016-11-23T15:20:51 --enforcementcount 0 &gt;&gt;C:\Users\stu\Documents\GitHub\eaglep3-reporting\EC\2016-11-23-refined-times.txt</v>
      </c>
      <c r="AI10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{"issue":{"subject":"","project_id":79,"tracker_id":40,"status_id":1,"priority_id":2,"assigned_to_id":23,"start_date":"2016-11-23","description":"","custom_fields":[{"id":1,"name":"Subdivision","value":"EC"},{"id":4,"name":"Milepost","value":"23.3318"},{"id":17,"name":"Train ID","value":"189-23"},{"id":16,"name":"Locomotive ID","value":"4025"},{"id":130,"name":"Impact","value":""},{"id":150,"name":"Time of Event (Mountain Time)","value":"15:20:51"},{"id":151,"name":"Denver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550</v>
      </c>
      <c r="B105" s="7">
        <v>4026</v>
      </c>
      <c r="C105" s="22" t="s">
        <v>217</v>
      </c>
      <c r="D105" s="22" t="s">
        <v>690</v>
      </c>
      <c r="E105" s="13">
        <v>42697.643935185188</v>
      </c>
      <c r="F105" s="13">
        <v>42697.653645833336</v>
      </c>
      <c r="G105" s="7">
        <v>2</v>
      </c>
      <c r="H105" s="22" t="s">
        <v>247</v>
      </c>
      <c r="I105" s="13">
        <v>42697.681261574071</v>
      </c>
      <c r="J105" s="7">
        <v>0</v>
      </c>
      <c r="K105" s="109" t="str">
        <f t="shared" si="19"/>
        <v>4025/4026</v>
      </c>
      <c r="L105" s="22" t="str">
        <f>VLOOKUP(A105,'Trips&amp;Operators'!$C$1:$E$10000,3,FALSE)</f>
        <v>PERKINS</v>
      </c>
      <c r="M105" s="6">
        <f t="shared" si="20"/>
        <v>2.7615740735200234E-2</v>
      </c>
      <c r="N105" s="7">
        <f t="shared" si="21"/>
        <v>39.766666658688337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14:27:16-700',mode:absolute,to:'2016-11-23 17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23.3005</v>
      </c>
      <c r="Z105" s="67">
        <f t="shared" si="28"/>
        <v>1.54E-2</v>
      </c>
      <c r="AA105" s="67">
        <f t="shared" si="29"/>
        <v>23.2851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0190-23</v>
      </c>
      <c r="AE105" s="91" t="str">
        <f t="shared" si="31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05" s="88" t="str">
        <f t="shared" si="32"/>
        <v>"C:\Program Files (x86)\AstroGrep\AstroGrep.exe" /spath="%USERPROFILE%\AppData\Local\Temp\OnboardLogs" /stypes="app*4026*20161123*" /stext=" 23:.+((SYSTEM_STATE.+slice.+state.+changed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190-23 --locoid 4026 --swversion DE.1.0.8.0 --startMP 204:233005 --initTime 2016-11-23T15:27:16 --startdatetime 2016-11-23T15:41:15 --delay 2 --endMP 204:154 --enddatetime 2016-11-23T16:21:01 --enforcementcount 0 &gt;&gt;C:\Users\stu\Documents\GitHub\eaglep3-reporting\EC\2016-11-23-refined-times.txt</v>
      </c>
      <c r="AI10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{"issue":{"subject":"","project_id":79,"tracker_id":40,"status_id":1,"priority_id":2,"assigned_to_id":23,"start_date":"2016-11-23","description":"","custom_fields":[{"id":1,"name":"Subdivision","value":"EC"},{"id":4,"name":"Milepost","value":"0.0154"},{"id":17,"name":"Train ID","value":"190-23"},{"id":16,"name":"Locomotive ID","value":"4026"},{"id":130,"name":"Impact","value":""},{"id":150,"name":"Time of Event (Mountain Time)","value":"16:21:01"},{"id":151,"name":"Denver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546</v>
      </c>
      <c r="B106" s="7">
        <v>4046</v>
      </c>
      <c r="C106" s="22" t="s">
        <v>217</v>
      </c>
      <c r="D106" s="22" t="s">
        <v>219</v>
      </c>
      <c r="E106" s="13">
        <v>42697.623854166668</v>
      </c>
      <c r="F106" s="13">
        <v>42697.625358796293</v>
      </c>
      <c r="G106" s="7">
        <v>1</v>
      </c>
      <c r="H106" s="22" t="s">
        <v>187</v>
      </c>
      <c r="I106" s="13">
        <v>42697.649814814817</v>
      </c>
      <c r="J106" s="7">
        <v>0</v>
      </c>
      <c r="K106" s="109" t="str">
        <f t="shared" si="19"/>
        <v>4045/4046</v>
      </c>
      <c r="L106" s="22" t="str">
        <f>VLOOKUP(A106,'Trips&amp;Operators'!$C$1:$E$10000,3,FALSE)</f>
        <v>HELVIE</v>
      </c>
      <c r="M106" s="6">
        <f t="shared" si="20"/>
        <v>2.4456018523778766E-2</v>
      </c>
      <c r="N106" s="7">
        <f t="shared" si="21"/>
        <v>35.216666674241424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13:58:21-700',mode:absolute,to:'2016-11-23 16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4.58E-2</v>
      </c>
      <c r="Z106" s="67">
        <f t="shared" si="28"/>
        <v>23.329699999999999</v>
      </c>
      <c r="AA106" s="67">
        <f t="shared" si="29"/>
        <v>23.283899999999999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0191-23</v>
      </c>
      <c r="AE106" s="91" t="str">
        <f t="shared" si="31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06" s="88" t="str">
        <f t="shared" si="32"/>
        <v>"C:\Program Files (x86)\AstroGrep\AstroGrep.exe" /spath="%USERPROFILE%\AppData\Local\Temp\OnboardLogs" /stypes="app*4046*20161123*" /stext=" 22:.+((SYSTEM_STATE.+slice.+state.+changed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191-23 --locoid 4046 --swversion DE.1.0.8.0 --startMP 204:458 --initTime 2016-11-23T14:58:21 --startdatetime 2016-11-23T15:00:31 --delay 1 --endMP 204:233297 --enddatetime 2016-11-23T15:35:44 --enforcementcount 0 &gt;&gt;C:\Users\stu\Documents\GitHub\eaglep3-reporting\EC\2016-11-23-refined-times.txt</v>
      </c>
      <c r="AI10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{"issue":{"subject":"","project_id":79,"tracker_id":40,"status_id":1,"priority_id":2,"assigned_to_id":23,"start_date":"2016-11-23","description":"","custom_fields":[{"id":1,"name":"Subdivision","value":"EC"},{"id":4,"name":"Milepost","value":"23.3297"},{"id":17,"name":"Train ID","value":"191-23"},{"id":16,"name":"Locomotive ID","value":"4046"},{"id":130,"name":"Impact","value":""},{"id":150,"name":"Time of Event (Mountain Time)","value":"15:35:44"},{"id":151,"name":"Denver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554</v>
      </c>
      <c r="B107" s="7">
        <v>4045</v>
      </c>
      <c r="C107" s="22" t="s">
        <v>217</v>
      </c>
      <c r="D107" s="22" t="s">
        <v>691</v>
      </c>
      <c r="E107" s="13">
        <v>42697.675775462965</v>
      </c>
      <c r="F107" s="13">
        <v>42697.676828703705</v>
      </c>
      <c r="G107" s="7">
        <v>1</v>
      </c>
      <c r="H107" s="22" t="s">
        <v>226</v>
      </c>
      <c r="I107" s="13">
        <v>42697.693749999999</v>
      </c>
      <c r="J107" s="7">
        <v>0</v>
      </c>
      <c r="K107" s="109" t="str">
        <f t="shared" si="19"/>
        <v>4045/4046</v>
      </c>
      <c r="L107" s="22" t="str">
        <f>VLOOKUP(A107,'Trips&amp;Operators'!$C$1:$E$10000,3,FALSE)</f>
        <v>HELVIE</v>
      </c>
      <c r="M107" s="6">
        <f t="shared" si="20"/>
        <v>1.6921296293730848E-2</v>
      </c>
      <c r="N107" s="7"/>
      <c r="O107" s="7"/>
      <c r="P107" s="7">
        <f>24*60*SUM($M107:$M108)</f>
        <v>38.599999991711229</v>
      </c>
      <c r="Q107" s="23"/>
      <c r="R107" s="23" t="s">
        <v>844</v>
      </c>
      <c r="S107" s="35">
        <f t="shared" si="22"/>
        <v>1</v>
      </c>
      <c r="T107" s="50" t="str">
        <f t="shared" si="23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15:13:07-700',mode:absolute,to:'2016-11-23 17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7" s="52" t="str">
        <f t="shared" si="25"/>
        <v>Y</v>
      </c>
      <c r="X107" s="177">
        <f t="shared" si="26"/>
        <v>1</v>
      </c>
      <c r="Y107" s="67">
        <f t="shared" si="27"/>
        <v>12.7864</v>
      </c>
      <c r="Z107" s="67">
        <f t="shared" si="28"/>
        <v>1.6E-2</v>
      </c>
      <c r="AA107" s="67">
        <f t="shared" si="29"/>
        <v>12.7704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0192-23</v>
      </c>
      <c r="AE107" s="91" t="str">
        <f t="shared" si="31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07" s="88" t="str">
        <f t="shared" si="32"/>
        <v>"C:\Program Files (x86)\AstroGrep\AstroGrep.exe" /spath="%USERPROFILE%\AppData\Local\Temp\OnboardLogs" /stypes="app*4045*20161123*" /stext=" 23:.+((SYSTEM_STATE.+slice.+state.+changed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192-23 --locoid 4045 --swversion DE.1.0.8.0 --startMP 204:127864 --initTime 2016-11-23T16:13:07 --startdatetime 2016-11-23T16:14:38 --delay 1 --endMP 204:160 --enddatetime 2016-11-23T16:39:00 --enforcementcount 0 &gt;&gt;C:\Users\stu\Documents\GitHub\eaglep3-reporting\EC\2016-11-23-refined-times.txt</v>
      </c>
      <c r="AI107" s="119" t="str">
        <f t="shared" si="35"/>
        <v>echo {"issue":{"subject":"Wi-MAX data drop","project_id":79,"tracker_id":40,"status_id":1,"priority_id":2,"assigned_to_id":23,"start_date":"2016-11-23","description":"http://stevetu21.github.io/eaglep3/load_kml.html?kml=http://rtdc.gmaps-snips.s3.amazonaws.com/72fa3ffa-ba5c-47c3-9b77-c5357fb982a7.kml","custom_fields":[{"id":1,"name":"Subdivision","value":"EC"},{"id":4,"name":"Milepost","value":"0.016"},{"id":17,"name":"Train ID","value":"192-23"},{"id":16,"name":"Locomotive ID","value":"4045"},{"id":130,"name":"Impact","value":"Unexpected Cut-Out or Disengaged"},{"id":150,"name":"Time of Event (Mountain Time)","value":"16:39:00"},{"id":151,"name":"Denver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07" s="184" t="s">
        <v>845</v>
      </c>
      <c r="AK107" s="53" t="s">
        <v>131</v>
      </c>
      <c r="AL107" s="53" t="s">
        <v>138</v>
      </c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554</v>
      </c>
      <c r="B108" s="7">
        <v>4045</v>
      </c>
      <c r="C108" s="22" t="s">
        <v>217</v>
      </c>
      <c r="D108" s="22" t="s">
        <v>287</v>
      </c>
      <c r="E108" s="13">
        <v>42697.659953703704</v>
      </c>
      <c r="F108" s="13">
        <v>42697.664131944446</v>
      </c>
      <c r="G108" s="7">
        <v>2</v>
      </c>
      <c r="H108" s="22" t="s">
        <v>692</v>
      </c>
      <c r="I108" s="13">
        <v>42697.674016203702</v>
      </c>
      <c r="J108" s="7">
        <v>0</v>
      </c>
      <c r="K108" s="109" t="str">
        <f t="shared" si="19"/>
        <v>4045/4046</v>
      </c>
      <c r="L108" s="22" t="str">
        <f>VLOOKUP(A108,'Trips&amp;Operators'!$C$1:$E$10000,3,FALSE)</f>
        <v>HELVIE</v>
      </c>
      <c r="M108" s="6">
        <f t="shared" si="20"/>
        <v>9.8842592560686171E-3</v>
      </c>
      <c r="N108" s="7"/>
      <c r="O108" s="7"/>
      <c r="P108" s="7"/>
      <c r="Q108" s="23"/>
      <c r="R108" s="23"/>
      <c r="S108" s="35">
        <f t="shared" si="22"/>
        <v>0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14:50:20-700',mode:absolute,to:'2016-11-23 17:10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 t="shared" si="25"/>
        <v>Y</v>
      </c>
      <c r="X108" s="177">
        <f t="shared" si="26"/>
        <v>0</v>
      </c>
      <c r="Y108" s="67">
        <f t="shared" si="27"/>
        <v>23.297899999999998</v>
      </c>
      <c r="Z108" s="67">
        <f t="shared" si="28"/>
        <v>15.2027</v>
      </c>
      <c r="AA108" s="67">
        <f t="shared" si="29"/>
        <v>8.0951999999999984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0192-23</v>
      </c>
      <c r="AE108" s="91" t="str">
        <f t="shared" si="31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08" s="88" t="str">
        <f t="shared" si="32"/>
        <v>"C:\Program Files (x86)\AstroGrep\AstroGrep.exe" /spath="%USERPROFILE%\AppData\Local\Temp\OnboardLogs" /stypes="app*4045*20161123*" /stext=" 23:.+((SYSTEM_STATE.+slice.+state.+changed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192-23 --locoid 4045 --swversion DE.1.0.8.0 --startMP 204:232979 --initTime 2016-11-23T15:50:20 --startdatetime 2016-11-23T15:56:21 --delay 2 --endMP 204:152027 --enddatetime 2016-11-23T16:10:35 --enforcementcount 0 &gt;&gt;C:\Users\stu\Documents\GitHub\eaglep3-reporting\EC\2016-11-23-refined-times.txt</v>
      </c>
      <c r="AI10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{"issue":{"subject":"","project_id":79,"tracker_id":40,"status_id":1,"priority_id":2,"assigned_to_id":23,"start_date":"2016-11-23","description":"","custom_fields":[{"id":1,"name":"Subdivision","value":"EC"},{"id":4,"name":"Milepost","value":"15.2027"},{"id":17,"name":"Train ID","value":"192-23"},{"id":16,"name":"Locomotive ID","value":"4045"},{"id":130,"name":"Impact","value":""},{"id":150,"name":"Time of Event (Mountain Time)","value":"16:10:35"},{"id":151,"name":"Denver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547</v>
      </c>
      <c r="B109" s="7">
        <v>4022</v>
      </c>
      <c r="C109" s="22" t="s">
        <v>217</v>
      </c>
      <c r="D109" s="22" t="s">
        <v>214</v>
      </c>
      <c r="E109" s="13">
        <v>42697.632662037038</v>
      </c>
      <c r="F109" s="13">
        <v>42697.635925925926</v>
      </c>
      <c r="G109" s="7">
        <v>1</v>
      </c>
      <c r="H109" s="22" t="s">
        <v>304</v>
      </c>
      <c r="I109" s="13">
        <v>42697.661550925928</v>
      </c>
      <c r="J109" s="7">
        <v>0</v>
      </c>
      <c r="K109" s="109" t="str">
        <f t="shared" si="19"/>
        <v>4021/4022</v>
      </c>
      <c r="L109" s="22" t="str">
        <f>VLOOKUP(A109,'Trips&amp;Operators'!$C$1:$E$10000,3,FALSE)</f>
        <v>DELGADO</v>
      </c>
      <c r="M109" s="6">
        <f t="shared" si="20"/>
        <v>2.5625000002037268E-2</v>
      </c>
      <c r="N109" s="7">
        <f t="shared" si="21"/>
        <v>36.900000002933666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14:11:02-700',mode:absolute,to:'2016-11-23 16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4.6199999999999998E-2</v>
      </c>
      <c r="Z109" s="67">
        <f t="shared" si="28"/>
        <v>23.3293</v>
      </c>
      <c r="AA109" s="67">
        <f t="shared" si="29"/>
        <v>23.283100000000001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0193-23</v>
      </c>
      <c r="AE109" s="91" t="str">
        <f t="shared" si="31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109" s="88" t="str">
        <f t="shared" si="32"/>
        <v>"C:\Program Files (x86)\AstroGrep\AstroGrep.exe" /spath="%USERPROFILE%\AppData\Local\Temp\OnboardLogs" /stypes="app*4022*20161123*" /stext=" 22:.+((SYSTEM_STATE.+slice.+state.+changed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193-23 --locoid 4022 --swversion DE.1.0.8.0 --startMP 204:462 --initTime 2016-11-23T15:11:02 --startdatetime 2016-11-23T15:15:44 --delay 1 --endMP 204:233293 --enddatetime 2016-11-23T15:52:38 --enforcementcount 0 &gt;&gt;C:\Users\stu\Documents\GitHub\eaglep3-reporting\EC\2016-11-23-refined-times.txt</v>
      </c>
      <c r="AI10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{"issue":{"subject":"","project_id":79,"tracker_id":40,"status_id":1,"priority_id":2,"assigned_to_id":23,"start_date":"2016-11-23","description":"","custom_fields":[{"id":1,"name":"Subdivision","value":"EC"},{"id":4,"name":"Milepost","value":"23.3293"},{"id":17,"name":"Train ID","value":"193-23"},{"id":16,"name":"Locomotive ID","value":"4022"},{"id":130,"name":"Impact","value":""},{"id":150,"name":"Time of Event (Mountain Time)","value":"15:52:38"},{"id":151,"name":"Denver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556</v>
      </c>
      <c r="B110" s="7">
        <v>4021</v>
      </c>
      <c r="C110" s="22" t="s">
        <v>217</v>
      </c>
      <c r="D110" s="22" t="s">
        <v>286</v>
      </c>
      <c r="E110" s="13">
        <v>42697.670300925929</v>
      </c>
      <c r="F110" s="13">
        <v>42697.674571759257</v>
      </c>
      <c r="G110" s="7">
        <v>1</v>
      </c>
      <c r="H110" s="22" t="s">
        <v>250</v>
      </c>
      <c r="I110" s="13">
        <v>42697.702037037037</v>
      </c>
      <c r="J110" s="7">
        <v>0</v>
      </c>
      <c r="K110" s="109" t="str">
        <f t="shared" si="19"/>
        <v>4021/4022</v>
      </c>
      <c r="L110" s="22" t="str">
        <f>VLOOKUP(A110,'Trips&amp;Operators'!$C$1:$E$10000,3,FALSE)</f>
        <v>DELGADO</v>
      </c>
      <c r="M110" s="6">
        <f t="shared" si="20"/>
        <v>2.7465277780720498E-2</v>
      </c>
      <c r="N110" s="7">
        <f t="shared" si="21"/>
        <v>39.550000004237518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15:05:14-700',mode:absolute,to:'2016-11-23 17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23.2973</v>
      </c>
      <c r="Z110" s="67">
        <f t="shared" si="28"/>
        <v>1.41E-2</v>
      </c>
      <c r="AA110" s="67">
        <f t="shared" si="29"/>
        <v>23.283200000000001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0194-23</v>
      </c>
      <c r="AE110" s="91" t="str">
        <f t="shared" si="31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110" s="88" t="str">
        <f t="shared" si="32"/>
        <v>"C:\Program Files (x86)\AstroGrep\AstroGrep.exe" /spath="%USERPROFILE%\AppData\Local\Temp\OnboardLogs" /stypes="app*4021*20161123*" /stext=" 23:.+((SYSTEM_STATE.+slice.+state.+changed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194-23 --locoid 4021 --swversion DE.1.0.8.0 --startMP 204:232973 --initTime 2016-11-23T16:05:14 --startdatetime 2016-11-23T16:11:23 --delay 1 --endMP 204:141 --enddatetime 2016-11-23T16:50:56 --enforcementcount 0 &gt;&gt;C:\Users\stu\Documents\GitHub\eaglep3-reporting\EC\2016-11-23-refined-times.txt</v>
      </c>
      <c r="AI11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{"issue":{"subject":"","project_id":79,"tracker_id":40,"status_id":1,"priority_id":2,"assigned_to_id":23,"start_date":"2016-11-23","description":"","custom_fields":[{"id":1,"name":"Subdivision","value":"EC"},{"id":4,"name":"Milepost","value":"0.0141"},{"id":17,"name":"Train ID","value":"194-23"},{"id":16,"name":"Locomotive ID","value":"4021"},{"id":130,"name":"Impact","value":""},{"id":150,"name":"Time of Event (Mountain Time)","value":"16:50:56"},{"id":151,"name":"Denver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549</v>
      </c>
      <c r="B111" s="7">
        <v>4003</v>
      </c>
      <c r="C111" s="22" t="s">
        <v>217</v>
      </c>
      <c r="D111" s="22" t="s">
        <v>693</v>
      </c>
      <c r="E111" s="13">
        <v>42697.642500000002</v>
      </c>
      <c r="F111" s="13">
        <v>42697.646064814813</v>
      </c>
      <c r="G111" s="7">
        <v>1</v>
      </c>
      <c r="H111" s="22" t="s">
        <v>653</v>
      </c>
      <c r="I111" s="13">
        <v>42697.673009259262</v>
      </c>
      <c r="J111" s="7">
        <v>0</v>
      </c>
      <c r="K111" s="109" t="str">
        <f t="shared" si="19"/>
        <v>4003/4004</v>
      </c>
      <c r="L111" s="22" t="str">
        <f>VLOOKUP(A111,'Trips&amp;Operators'!$C$1:$E$10000,3,FALSE)</f>
        <v>YOUNG</v>
      </c>
      <c r="M111" s="6">
        <f t="shared" si="20"/>
        <v>2.694444444932742E-2</v>
      </c>
      <c r="N111" s="7">
        <f t="shared" si="21"/>
        <v>38.800000007031485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14:25:12-700',mode:absolute,to:'2016-11-23 17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4.8899999999999999E-2</v>
      </c>
      <c r="Z111" s="67">
        <f t="shared" si="28"/>
        <v>23.328299999999999</v>
      </c>
      <c r="AA111" s="67">
        <f t="shared" si="29"/>
        <v>23.279399999999999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0195-23</v>
      </c>
      <c r="AE111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11" s="88" t="str">
        <f t="shared" si="32"/>
        <v>"C:\Program Files (x86)\AstroGrep\AstroGrep.exe" /spath="%USERPROFILE%\AppData\Local\Temp\OnboardLogs" /stypes="app*4003*20161123*" /stext=" 23:.+((SYSTEM_STATE.+slice.+state.+changed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195-23 --locoid 4003 --swversion DE.1.0.8.0 --startMP 204:489 --initTime 2016-11-23T15:25:12 --startdatetime 2016-11-23T15:30:20 --delay 1 --endMP 204:233283 --enddatetime 2016-11-23T16:09:08 --enforcementcount 0 &gt;&gt;C:\Users\stu\Documents\GitHub\eaglep3-reporting\EC\2016-11-23-refined-times.txt</v>
      </c>
      <c r="AI11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{"issue":{"subject":"","project_id":79,"tracker_id":40,"status_id":1,"priority_id":2,"assigned_to_id":23,"start_date":"2016-11-23","description":"","custom_fields":[{"id":1,"name":"Subdivision","value":"EC"},{"id":4,"name":"Milepost","value":"23.3283"},{"id":17,"name":"Train ID","value":"195-23"},{"id":16,"name":"Locomotive ID","value":"4003"},{"id":130,"name":"Impact","value":""},{"id":150,"name":"Time of Event (Mountain Time)","value":"16:09:08"},{"id":151,"name":"Denver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559</v>
      </c>
      <c r="B112" s="7">
        <v>4004</v>
      </c>
      <c r="C112" s="22" t="s">
        <v>217</v>
      </c>
      <c r="D112" s="22" t="s">
        <v>650</v>
      </c>
      <c r="E112" s="13">
        <v>42697.675937499997</v>
      </c>
      <c r="F112" s="13">
        <v>42697.684942129628</v>
      </c>
      <c r="G112" s="7">
        <v>1</v>
      </c>
      <c r="H112" s="22" t="s">
        <v>633</v>
      </c>
      <c r="I112" s="13">
        <v>42697.713784722226</v>
      </c>
      <c r="J112" s="7">
        <v>0</v>
      </c>
      <c r="K112" s="109" t="str">
        <f t="shared" si="19"/>
        <v>4003/4004</v>
      </c>
      <c r="L112" s="22" t="str">
        <f>VLOOKUP(A112,'Trips&amp;Operators'!$C$1:$E$10000,3,FALSE)</f>
        <v>YOUNG</v>
      </c>
      <c r="M112" s="6">
        <f t="shared" si="20"/>
        <v>2.8842592597356997E-2</v>
      </c>
      <c r="N112" s="7">
        <f t="shared" si="21"/>
        <v>41.533333340194076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15:13:21-700',mode:absolute,to:'2016-11-23 18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23.2989</v>
      </c>
      <c r="Z112" s="67">
        <f t="shared" si="28"/>
        <v>2.01E-2</v>
      </c>
      <c r="AA112" s="67">
        <f t="shared" si="29"/>
        <v>23.2788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0196-23</v>
      </c>
      <c r="AE112" s="91" t="str">
        <f t="shared" si="31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112" s="88" t="str">
        <f t="shared" si="32"/>
        <v>"C:\Program Files (x86)\AstroGrep\AstroGrep.exe" /spath="%USERPROFILE%\AppData\Local\Temp\OnboardLogs" /stypes="app*4004*20161124*" /stext=" 00:.+((SYSTEM_STATE.+slice.+state.+changed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196-23 --locoid 4004 --swversion DE.1.0.8.0 --startMP 204:232989 --initTime 2016-11-23T16:13:21 --startdatetime 2016-11-23T16:26:19 --delay 1 --endMP 204:201 --enddatetime 2016-11-23T17:07:51 --enforcementcount 0 &gt;&gt;C:\Users\stu\Documents\GitHub\eaglep3-reporting\EC\2016-11-23-refined-times.txt</v>
      </c>
      <c r="AI11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{"issue":{"subject":"","project_id":79,"tracker_id":40,"status_id":1,"priority_id":2,"assigned_to_id":23,"start_date":"2016-11-23","description":"","custom_fields":[{"id":1,"name":"Subdivision","value":"EC"},{"id":4,"name":"Milepost","value":"0.0201"},{"id":17,"name":"Train ID","value":"196-23"},{"id":16,"name":"Locomotive ID","value":"4004"},{"id":130,"name":"Impact","value":""},{"id":150,"name":"Time of Event (Mountain Time)","value":"17:07:51"},{"id":151,"name":"Denver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551</v>
      </c>
      <c r="B113" s="7">
        <v>4007</v>
      </c>
      <c r="C113" s="22" t="s">
        <v>217</v>
      </c>
      <c r="D113" s="22" t="s">
        <v>293</v>
      </c>
      <c r="E113" s="13">
        <v>42697.65116898148</v>
      </c>
      <c r="F113" s="13">
        <v>42697.656678240739</v>
      </c>
      <c r="G113" s="7">
        <v>1</v>
      </c>
      <c r="H113" s="22" t="s">
        <v>324</v>
      </c>
      <c r="I113" s="13">
        <v>42697.681886574072</v>
      </c>
      <c r="J113" s="7">
        <v>0</v>
      </c>
      <c r="K113" s="109" t="str">
        <f t="shared" si="19"/>
        <v>4007/4008</v>
      </c>
      <c r="L113" s="22" t="str">
        <f>VLOOKUP(A113,'Trips&amp;Operators'!$C$1:$E$10000,3,FALSE)</f>
        <v>MAGEE</v>
      </c>
      <c r="M113" s="6">
        <f t="shared" si="20"/>
        <v>2.5208333332557231E-2</v>
      </c>
      <c r="N113" s="7">
        <f t="shared" si="21"/>
        <v>36.299999998882413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14:37:41-700',mode:absolute,to:'2016-11-23 17:21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4.5699999999999998E-2</v>
      </c>
      <c r="Z113" s="67">
        <f t="shared" si="28"/>
        <v>23.328600000000002</v>
      </c>
      <c r="AA113" s="67">
        <f t="shared" si="29"/>
        <v>23.282900000000001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0197-23</v>
      </c>
      <c r="AE113" s="91" t="str">
        <f t="shared" si="31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113" s="88" t="str">
        <f t="shared" si="32"/>
        <v>"C:\Program Files (x86)\AstroGrep\AstroGrep.exe" /spath="%USERPROFILE%\AppData\Local\Temp\OnboardLogs" /stypes="app*4007*20161123*" /stext=" 23:.+((SYSTEM_STATE.+slice.+state.+changed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197-23 --locoid 4007 --swversion DE.1.0.8.0 --startMP 204:457 --initTime 2016-11-23T15:37:41 --startdatetime 2016-11-23T15:45:37 --delay 1 --endMP 204:233286 --enddatetime 2016-11-23T16:21:55 --enforcementcount 0 &gt;&gt;C:\Users\stu\Documents\GitHub\eaglep3-reporting\EC\2016-11-23-refined-times.txt</v>
      </c>
      <c r="AI113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{"issue":{"subject":"","project_id":79,"tracker_id":40,"status_id":1,"priority_id":2,"assigned_to_id":23,"start_date":"2016-11-23","description":"","custom_fields":[{"id":1,"name":"Subdivision","value":"EC"},{"id":4,"name":"Milepost","value":"23.3286"},{"id":17,"name":"Train ID","value":"197-23"},{"id":16,"name":"Locomotive ID","value":"4007"},{"id":130,"name":"Impact","value":""},{"id":150,"name":"Time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562</v>
      </c>
      <c r="B114" s="7">
        <v>4008</v>
      </c>
      <c r="C114" s="22" t="s">
        <v>217</v>
      </c>
      <c r="D114" s="22" t="s">
        <v>286</v>
      </c>
      <c r="E114" s="13">
        <v>42697.690555555557</v>
      </c>
      <c r="F114" s="13">
        <v>42697.695439814815</v>
      </c>
      <c r="G114" s="7">
        <v>2</v>
      </c>
      <c r="H114" s="22" t="s">
        <v>175</v>
      </c>
      <c r="I114" s="13">
        <v>42697.722615740742</v>
      </c>
      <c r="J114" s="7">
        <v>0</v>
      </c>
      <c r="K114" s="109" t="str">
        <f t="shared" si="19"/>
        <v>4007/4008</v>
      </c>
      <c r="L114" s="22" t="str">
        <f>VLOOKUP(A114,'Trips&amp;Operators'!$C$1:$E$10000,3,FALSE)</f>
        <v>MAGEE</v>
      </c>
      <c r="M114" s="6">
        <f t="shared" si="20"/>
        <v>2.7175925926712807E-2</v>
      </c>
      <c r="N114" s="7">
        <f t="shared" si="21"/>
        <v>39.133333334466442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15:34:24-700',mode:absolute,to:'2016-11-23 18:20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23.2973</v>
      </c>
      <c r="Z114" s="67">
        <f t="shared" si="28"/>
        <v>1.52E-2</v>
      </c>
      <c r="AA114" s="67">
        <f t="shared" si="29"/>
        <v>23.2821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0198-23</v>
      </c>
      <c r="AE114" s="91" t="str">
        <f t="shared" si="31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114" s="88" t="str">
        <f t="shared" si="32"/>
        <v>"C:\Program Files (x86)\AstroGrep\AstroGrep.exe" /spath="%USERPROFILE%\AppData\Local\Temp\OnboardLogs" /stypes="app*4008*20161124*" /stext=" 00:.+((SYSTEM_STATE.+slice.+state.+changed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198-23 --locoid 4008 --swversion DE.1.0.8.0 --startMP 204:232973 --initTime 2016-11-23T16:34:24 --startdatetime 2016-11-23T16:41:26 --delay 2 --endMP 204:152 --enddatetime 2016-11-23T17:20:34 --enforcementcount 0 &gt;&gt;C:\Users\stu\Documents\GitHub\eaglep3-reporting\EC\2016-11-23-refined-times.txt</v>
      </c>
      <c r="AI11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{"issue":{"subject":"","project_id":79,"tracker_id":40,"status_id":1,"priority_id":2,"assigned_to_id":23,"start_date":"2016-11-23","description":"","custom_fields":[{"id":1,"name":"Subdivision","value":"EC"},{"id":4,"name":"Milepost","value":"0.0152"},{"id":17,"name":"Train ID","value":"198-23"},{"id":16,"name":"Locomotive ID","value":"4008"},{"id":130,"name":"Impact","value":""},{"id":150,"name":"Time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555</v>
      </c>
      <c r="B115" s="7">
        <v>4029</v>
      </c>
      <c r="C115" s="22" t="s">
        <v>217</v>
      </c>
      <c r="D115" s="22" t="s">
        <v>329</v>
      </c>
      <c r="E115" s="13">
        <v>42697.661273148151</v>
      </c>
      <c r="F115" s="13">
        <v>42697.666898148149</v>
      </c>
      <c r="G115" s="7">
        <v>1</v>
      </c>
      <c r="H115" s="22" t="s">
        <v>694</v>
      </c>
      <c r="I115" s="13">
        <v>42697.691967592589</v>
      </c>
      <c r="J115" s="7">
        <v>0</v>
      </c>
      <c r="K115" s="109" t="str">
        <f t="shared" si="19"/>
        <v>4029/4030</v>
      </c>
      <c r="L115" s="22" t="str">
        <f>VLOOKUP(A115,'Trips&amp;Operators'!$C$1:$E$10000,3,FALSE)</f>
        <v>HILLS</v>
      </c>
      <c r="M115" s="6">
        <f t="shared" si="20"/>
        <v>2.5069444440305233E-2</v>
      </c>
      <c r="N115" s="7">
        <f t="shared" si="21"/>
        <v>36.099999994039536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14:52:14-700',mode:absolute,to:'2016-11-23 17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4.3799999999999999E-2</v>
      </c>
      <c r="Z115" s="67">
        <f t="shared" si="28"/>
        <v>23.334599999999998</v>
      </c>
      <c r="AA115" s="67">
        <f t="shared" si="29"/>
        <v>23.290799999999997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0199-23</v>
      </c>
      <c r="AE115" s="91" t="str">
        <f t="shared" si="31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15" s="88" t="str">
        <f t="shared" si="32"/>
        <v>"C:\Program Files (x86)\AstroGrep\AstroGrep.exe" /spath="%USERPROFILE%\AppData\Local\Temp\OnboardLogs" /stypes="app*4029*20161123*" /stext=" 23:.+((SYSTEM_STATE.+slice.+state.+changed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199-23 --locoid 4029 --swversion DE.1.0.8.0 --startMP 204:438 --initTime 2016-11-23T15:52:14 --startdatetime 2016-11-23T16:00:20 --delay 1 --endMP 204:233346 --enddatetime 2016-11-23T16:36:26 --enforcementcount 0 &gt;&gt;C:\Users\stu\Documents\GitHub\eaglep3-reporting\EC\2016-11-23-refined-times.txt</v>
      </c>
      <c r="AI11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{"issue":{"subject":"","project_id":79,"tracker_id":40,"status_id":1,"priority_id":2,"assigned_to_id":23,"start_date":"2016-11-23","description":"","custom_fields":[{"id":1,"name":"Subdivision","value":"EC"},{"id":4,"name":"Milepost","value":"23.3346"},{"id":17,"name":"Train ID","value":"199-23"},{"id":16,"name":"Locomotive ID","value":"4029"},{"id":130,"name":"Impact","value":""},{"id":150,"name":"Time of Event (Mountain Time)","value":"16:36:26"},{"id":151,"name":"Denver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563</v>
      </c>
      <c r="B116" s="7">
        <v>4030</v>
      </c>
      <c r="C116" s="22" t="s">
        <v>217</v>
      </c>
      <c r="D116" s="22" t="s">
        <v>695</v>
      </c>
      <c r="E116" s="13">
        <v>42697.693252314813</v>
      </c>
      <c r="F116" s="13">
        <v>42697.705925925926</v>
      </c>
      <c r="G116" s="7">
        <v>0</v>
      </c>
      <c r="H116" s="22" t="s">
        <v>292</v>
      </c>
      <c r="I116" s="13">
        <v>42697.733206018522</v>
      </c>
      <c r="J116" s="7">
        <v>0</v>
      </c>
      <c r="K116" s="109" t="str">
        <f t="shared" si="19"/>
        <v>4029/4030</v>
      </c>
      <c r="L116" s="22" t="str">
        <f>VLOOKUP(A116,'Trips&amp;Operators'!$C$1:$E$10000,3,FALSE)</f>
        <v>HILLS</v>
      </c>
      <c r="M116" s="6">
        <f t="shared" si="20"/>
        <v>2.7280092595901806E-2</v>
      </c>
      <c r="N116" s="7">
        <f t="shared" si="21"/>
        <v>39.283333338098601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15:38:17-700',mode:absolute,to:'2016-11-23 18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23.304500000000001</v>
      </c>
      <c r="Z116" s="67">
        <f t="shared" si="28"/>
        <v>1.3899999999999999E-2</v>
      </c>
      <c r="AA116" s="67">
        <f t="shared" si="29"/>
        <v>23.290600000000001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0200-23</v>
      </c>
      <c r="AE116" s="91" t="str">
        <f t="shared" si="31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16" s="88" t="str">
        <f t="shared" si="32"/>
        <v>"C:\Program Files (x86)\AstroGrep\AstroGrep.exe" /spath="%USERPROFILE%\AppData\Local\Temp\OnboardLogs" /stypes="app*4030*20161124*" /stext=" 00:.+((SYSTEM_STATE.+slice.+state.+changed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200-23 --locoid 4030 --swversion DE.1.0.8.0 --startMP 204:233045 --initTime 2016-11-23T16:38:17 --startdatetime 2016-11-23T16:56:32 --delay 0 --endMP 204:139 --enddatetime 2016-11-23T17:35:49 --enforcementcount 0 &gt;&gt;C:\Users\stu\Documents\GitHub\eaglep3-reporting\EC\2016-11-23-refined-times.txt</v>
      </c>
      <c r="AI11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ID","value":"200-23"},{"id":16,"name":"Locomotive ID","value":"4030"},{"id":130,"name":"Impact","value":""},{"id":150,"name":"Time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558</v>
      </c>
      <c r="B117" s="7">
        <v>4042</v>
      </c>
      <c r="C117" s="22" t="s">
        <v>217</v>
      </c>
      <c r="D117" s="22" t="s">
        <v>696</v>
      </c>
      <c r="E117" s="13">
        <v>42697.674212962964</v>
      </c>
      <c r="F117" s="13">
        <v>42697.677384259259</v>
      </c>
      <c r="G117" s="7">
        <v>3</v>
      </c>
      <c r="H117" s="22" t="s">
        <v>697</v>
      </c>
      <c r="I117" s="13">
        <v>42697.702777777777</v>
      </c>
      <c r="J117" s="7">
        <v>0</v>
      </c>
      <c r="K117" s="109" t="str">
        <f t="shared" si="19"/>
        <v>4041/4042</v>
      </c>
      <c r="L117" s="22" t="str">
        <f>VLOOKUP(A117,'Trips&amp;Operators'!$C$1:$E$10000,3,FALSE)</f>
        <v>BARTLETT</v>
      </c>
      <c r="M117" s="6">
        <f t="shared" si="20"/>
        <v>2.5393518517375924E-2</v>
      </c>
      <c r="N117" s="7">
        <f t="shared" si="21"/>
        <v>36.56666666502133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15:10:52-700',mode:absolute,to:'2016-11-23 17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4.8399999999999999E-2</v>
      </c>
      <c r="Z117" s="67">
        <f t="shared" si="28"/>
        <v>23.338000000000001</v>
      </c>
      <c r="AA117" s="67">
        <f t="shared" si="29"/>
        <v>23.2896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0201-23</v>
      </c>
      <c r="AE117" s="91" t="str">
        <f t="shared" si="31"/>
        <v>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 &amp; aws s3 cp s3://rtdc.mdm.uploadarchive.raw/RTDC4042/ "%USERPROFILE%\AppData\Local\Temp\OnboardLogs"\RTDC4042\2016-11-24 --exclude "*" --recursive --include "*20161124*" &amp; "%USERPROFILE%\Documents\GitHub\mrs-test-scripts\Headless Mode &amp; Sideloading\WalkAndUnGZ.bat" "%USERPROFILE%\AppData\Local\Temp\OnboardLogs"\RTDC4042\2016-11-24</v>
      </c>
      <c r="AF117" s="88" t="str">
        <f t="shared" si="32"/>
        <v>"C:\Program Files (x86)\AstroGrep\AstroGrep.exe" /spath="%USERPROFILE%\AppData\Local\Temp\OnboardLogs" /stypes="app*4042*20161123*" /stext=" 23:.+((SYSTEM_STATE.+slice.+state.+changed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201-23 --locoid 4042 --swversion DE.1.0.8.0 --startMP 204:484 --initTime 2016-11-23T16:10:52 --startdatetime 2016-11-23T16:15:26 --delay 3 --endMP 204:233380 --enddatetime 2016-11-23T16:52:00 --enforcementcount 0 &gt;&gt;C:\Users\stu\Documents\GitHub\eaglep3-reporting\EC\2016-11-23-refined-times.txt</v>
      </c>
      <c r="AI117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{"issue":{"subject":"","project_id":79,"tracker_id":40,"status_id":1,"priority_id":2,"assigned_to_id":23,"start_date":"2016-11-23","description":"","custom_fields":[{"id":1,"name":"Subdivision","value":"EC"},{"id":4,"name":"Milepost","value":"23.338"},{"id":17,"name":"Train ID","value":"201-23"},{"id":16,"name":"Locomotive ID","value":"4042"},{"id":130,"name":"Impact","value":""},{"id":150,"name":"Time of Event (Mountain Time)","value":"16:52:00"},{"id":151,"name":"Denver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567</v>
      </c>
      <c r="B118" s="7">
        <v>4041</v>
      </c>
      <c r="C118" s="22" t="s">
        <v>217</v>
      </c>
      <c r="D118" s="22" t="s">
        <v>698</v>
      </c>
      <c r="E118" s="13">
        <v>42697.705625000002</v>
      </c>
      <c r="F118" s="13">
        <v>42697.716192129628</v>
      </c>
      <c r="G118" s="7">
        <v>1</v>
      </c>
      <c r="H118" s="22" t="s">
        <v>335</v>
      </c>
      <c r="I118" s="13">
        <v>42697.742662037039</v>
      </c>
      <c r="J118" s="7">
        <v>0</v>
      </c>
      <c r="K118" s="109" t="str">
        <f t="shared" si="19"/>
        <v>4041/4042</v>
      </c>
      <c r="L118" s="22" t="str">
        <f>VLOOKUP(A118,'Trips&amp;Operators'!$C$1:$E$10000,3,FALSE)</f>
        <v>BARTLETT</v>
      </c>
      <c r="M118" s="6">
        <f t="shared" si="20"/>
        <v>2.6469907410501037E-2</v>
      </c>
      <c r="N118" s="7">
        <f t="shared" si="21"/>
        <v>38.116666671121493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15:56:06-700',mode:absolute,to:'2016-11-23 18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23.306100000000001</v>
      </c>
      <c r="Z118" s="67">
        <f t="shared" si="28"/>
        <v>1.6899999999999998E-2</v>
      </c>
      <c r="AA118" s="67">
        <f t="shared" si="29"/>
        <v>23.289200000000001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0202-23</v>
      </c>
      <c r="AE118" s="91" t="str">
        <f t="shared" si="31"/>
        <v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v>
      </c>
      <c r="AF118" s="88" t="str">
        <f t="shared" si="32"/>
        <v>"C:\Program Files (x86)\AstroGrep\AstroGrep.exe" /spath="%USERPROFILE%\AppData\Local\Temp\OnboardLogs" /stypes="app*4041*20161124*" /stext=" 00:.+((SYSTEM_STATE.+slice.+state.+changed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202-23 --locoid 4041 --swversion DE.1.0.8.0 --startMP 204:233061 --initTime 2016-11-23T16:56:06 --startdatetime 2016-11-23T17:11:19 --delay 1 --endMP 204:169 --enddatetime 2016-11-23T17:49:26 --enforcementcount 0 &gt;&gt;C:\Users\stu\Documents\GitHub\eaglep3-reporting\EC\2016-11-23-refined-times.txt</v>
      </c>
      <c r="AI11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{"issue":{"subject":"","project_id":79,"tracker_id":40,"status_id":1,"priority_id":2,"assigned_to_id":23,"start_date":"2016-11-23","description":"","custom_fields":[{"id":1,"name":"Subdivision","value":"EC"},{"id":4,"name":"Milepost","value":"0.0169"},{"id":17,"name":"Train ID","value":"202-23"},{"id":16,"name":"Locomotive ID","value":"4041"},{"id":130,"name":"Impact","value":""},{"id":150,"name":"Time of Event (Mountain Time)","value":"17:49:26"},{"id":151,"name":"Denver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561</v>
      </c>
      <c r="B119" s="7">
        <v>4025</v>
      </c>
      <c r="C119" s="22" t="s">
        <v>217</v>
      </c>
      <c r="D119" s="22" t="s">
        <v>331</v>
      </c>
      <c r="E119" s="13">
        <v>42697.682673611111</v>
      </c>
      <c r="F119" s="13">
        <v>42697.687708333331</v>
      </c>
      <c r="G119" s="7">
        <v>1</v>
      </c>
      <c r="H119" s="22" t="s">
        <v>272</v>
      </c>
      <c r="I119" s="13">
        <v>42697.71371527778</v>
      </c>
      <c r="J119" s="7">
        <v>0</v>
      </c>
      <c r="K119" s="109" t="str">
        <f t="shared" si="19"/>
        <v>4025/4026</v>
      </c>
      <c r="L119" s="22" t="str">
        <f>VLOOKUP(A119,'Trips&amp;Operators'!$C$1:$E$10000,3,FALSE)</f>
        <v>PERKINS</v>
      </c>
      <c r="M119" s="6">
        <f t="shared" si="20"/>
        <v>2.6006944448454306E-2</v>
      </c>
      <c r="N119" s="7">
        <f t="shared" si="21"/>
        <v>37.4500000057742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15:23:03-700',mode:absolute,to:'2016-11-23 18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4.6899999999999997E-2</v>
      </c>
      <c r="Z119" s="67">
        <f t="shared" si="28"/>
        <v>23.331399999999999</v>
      </c>
      <c r="AA119" s="67">
        <f t="shared" si="29"/>
        <v>23.284499999999998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0203-23</v>
      </c>
      <c r="AE119" s="91" t="str">
        <f t="shared" si="31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119" s="88" t="str">
        <f t="shared" si="32"/>
        <v>"C:\Program Files (x86)\AstroGrep\AstroGrep.exe" /spath="%USERPROFILE%\AppData\Local\Temp\OnboardLogs" /stypes="app*4025*20161124*" /stext=" 00:.+((SYSTEM_STATE.+slice.+state.+changed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203-23 --locoid 4025 --swversion DE.1.0.8.0 --startMP 204:469 --initTime 2016-11-23T16:23:03 --startdatetime 2016-11-23T16:30:18 --delay 1 --endMP 204:233314 --enddatetime 2016-11-23T17:07:45 --enforcementcount 0 &gt;&gt;C:\Users\stu\Documents\GitHub\eaglep3-reporting\EC\2016-11-23-refined-times.txt</v>
      </c>
      <c r="AI11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{"issue":{"subject":"","project_id":79,"tracker_id":40,"status_id":1,"priority_id":2,"assigned_to_id":23,"start_date":"2016-11-23","description":"","custom_fields":[{"id":1,"name":"Subdivision","value":"EC"},{"id":4,"name":"Milepost","value":"23.3314"},{"id":17,"name":"Train ID","value":"203-23"},{"id":16,"name":"Locomotive ID","value":"4025"},{"id":130,"name":"Impact","value":""},{"id":150,"name":"Time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570</v>
      </c>
      <c r="B120" s="7">
        <v>4026</v>
      </c>
      <c r="C120" s="22" t="s">
        <v>217</v>
      </c>
      <c r="D120" s="22" t="s">
        <v>251</v>
      </c>
      <c r="E120" s="13">
        <v>42697.71607638889</v>
      </c>
      <c r="F120" s="13">
        <v>42697.726678240739</v>
      </c>
      <c r="G120" s="7">
        <v>1</v>
      </c>
      <c r="H120" s="22" t="s">
        <v>197</v>
      </c>
      <c r="I120" s="13">
        <v>42697.754537037035</v>
      </c>
      <c r="J120" s="7">
        <v>0</v>
      </c>
      <c r="K120" s="109" t="str">
        <f t="shared" si="19"/>
        <v>4025/4026</v>
      </c>
      <c r="L120" s="22" t="str">
        <f>VLOOKUP(A120,'Trips&amp;Operators'!$C$1:$E$10000,3,FALSE)</f>
        <v>PERKINS</v>
      </c>
      <c r="M120" s="6">
        <f t="shared" si="20"/>
        <v>2.7858796296641231E-2</v>
      </c>
      <c r="N120" s="7">
        <f t="shared" si="21"/>
        <v>40.116666667163372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16:11:09-700',mode:absolute,to:'2016-11-23 19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23.2987</v>
      </c>
      <c r="Z120" s="67">
        <f t="shared" si="28"/>
        <v>1.43E-2</v>
      </c>
      <c r="AA120" s="67">
        <f t="shared" si="29"/>
        <v>23.284400000000002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0204-23</v>
      </c>
      <c r="AE120" s="91" t="str">
        <f t="shared" si="31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20" s="88" t="str">
        <f t="shared" si="32"/>
        <v>"C:\Program Files (x86)\AstroGrep\AstroGrep.exe" /spath="%USERPROFILE%\AppData\Local\Temp\OnboardLogs" /stypes="app*4026*20161124*" /stext=" 01:.+((SYSTEM_STATE.+slice.+state.+changed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204-23 --locoid 4026 --swversion DE.1.0.8.0 --startMP 204:232987 --initTime 2016-11-23T17:11:09 --startdatetime 2016-11-23T17:26:25 --delay 1 --endMP 204:143 --enddatetime 2016-11-23T18:06:32 --enforcementcount 0 &gt;&gt;C:\Users\stu\Documents\GitHub\eaglep3-reporting\EC\2016-11-23-refined-times.txt</v>
      </c>
      <c r="AI12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ID","value":"204-23"},{"id":16,"name":"Locomotive ID","value":"4026"},{"id":130,"name":"Impact","value":""},{"id":150,"name":"Time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565</v>
      </c>
      <c r="B121" s="7">
        <v>4046</v>
      </c>
      <c r="C121" s="22" t="s">
        <v>217</v>
      </c>
      <c r="D121" s="22" t="s">
        <v>214</v>
      </c>
      <c r="E121" s="13">
        <v>42697.696655092594</v>
      </c>
      <c r="F121" s="13">
        <v>42697.698310185187</v>
      </c>
      <c r="G121" s="7">
        <v>1</v>
      </c>
      <c r="H121" s="22" t="s">
        <v>372</v>
      </c>
      <c r="I121" s="13">
        <v>42697.723055555558</v>
      </c>
      <c r="J121" s="7">
        <v>0</v>
      </c>
      <c r="K121" s="109" t="str">
        <f t="shared" si="19"/>
        <v>4045/4046</v>
      </c>
      <c r="L121" s="22" t="str">
        <f>VLOOKUP(A121,'Trips&amp;Operators'!$C$1:$E$10000,3,FALSE)</f>
        <v>HELVIE</v>
      </c>
      <c r="M121" s="6">
        <f t="shared" si="20"/>
        <v>2.47453703705105E-2</v>
      </c>
      <c r="N121" s="7">
        <f t="shared" si="21"/>
        <v>35.63333333353512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15:43:11-700',mode:absolute,to:'2016-11-23 18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4.6199999999999998E-2</v>
      </c>
      <c r="Z121" s="67">
        <f t="shared" si="28"/>
        <v>23.326599999999999</v>
      </c>
      <c r="AA121" s="67">
        <f t="shared" si="29"/>
        <v>23.2804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0205-23</v>
      </c>
      <c r="AE121" s="91" t="str">
        <f t="shared" si="31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21" s="88" t="str">
        <f t="shared" si="32"/>
        <v>"C:\Program Files (x86)\AstroGrep\AstroGrep.exe" /spath="%USERPROFILE%\AppData\Local\Temp\OnboardLogs" /stypes="app*4046*20161124*" /stext=" 00:.+((SYSTEM_STATE.+slice.+state.+changed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205-23 --locoid 4046 --swversion DE.1.0.8.0 --startMP 204:462 --initTime 2016-11-23T16:43:11 --startdatetime 2016-11-23T16:45:34 --delay 1 --endMP 204:233266 --enddatetime 2016-11-23T17:21:12 --enforcementcount 0 &gt;&gt;C:\Users\stu\Documents\GitHub\eaglep3-reporting\EC\2016-11-23-refined-times.txt</v>
      </c>
      <c r="AI12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{"issue":{"subject":"","project_id":79,"tracker_id":40,"status_id":1,"priority_id":2,"assigned_to_id":23,"start_date":"2016-11-23","description":"","custom_fields":[{"id":1,"name":"Subdivision","value":"EC"},{"id":4,"name":"Milepost","value":"23.3266"},{"id":17,"name":"Train ID","value":"205-23"},{"id":16,"name":"Locomotive ID","value":"4046"},{"id":130,"name":"Impact","value":""},{"id":150,"name":"Time of Event (Mountain Time)","value":"17:21:12"},{"id":151,"name":"Denver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422</v>
      </c>
      <c r="B122" s="7">
        <v>4045</v>
      </c>
      <c r="C122" s="22" t="s">
        <v>217</v>
      </c>
      <c r="D122" s="22" t="s">
        <v>662</v>
      </c>
      <c r="E122" s="13">
        <v>42697.732488425929</v>
      </c>
      <c r="F122" s="13">
        <v>42697.737291666665</v>
      </c>
      <c r="G122" s="7">
        <v>1</v>
      </c>
      <c r="H122" s="22" t="s">
        <v>226</v>
      </c>
      <c r="I122" s="13">
        <v>42697.764976851853</v>
      </c>
      <c r="J122" s="7">
        <v>1</v>
      </c>
      <c r="K122" s="109" t="str">
        <f t="shared" si="19"/>
        <v>4045/4046</v>
      </c>
      <c r="L122" s="22" t="str">
        <f>VLOOKUP(A122,'Trips&amp;Operators'!$C$1:$E$10000,3,FALSE)</f>
        <v>HELVIE</v>
      </c>
      <c r="M122" s="6">
        <f t="shared" si="20"/>
        <v>2.768518518860219E-2</v>
      </c>
      <c r="N122" s="7">
        <f t="shared" si="21"/>
        <v>39.866666671587154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16:34:47-700',mode:absolute,to:'2016-11-23 19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23.293800000000001</v>
      </c>
      <c r="Z122" s="67">
        <f t="shared" si="28"/>
        <v>1.6E-2</v>
      </c>
      <c r="AA122" s="67">
        <f t="shared" si="29"/>
        <v>23.277800000000003</v>
      </c>
      <c r="AB122" s="64" t="str">
        <f>VLOOKUP(A122,Enforcements!$C$7:$K$20,8,0)</f>
        <v>Bulletin (2)</v>
      </c>
      <c r="AC122" s="60" t="str">
        <f>VLOOKUP(A122,Enforcements!$C$7:$E$20,3,0)</f>
        <v>GRADE CROSSING</v>
      </c>
      <c r="AD122" s="61" t="str">
        <f t="shared" si="30"/>
        <v>0206-23</v>
      </c>
      <c r="AE122" s="91" t="str">
        <f t="shared" si="31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22" s="88" t="str">
        <f t="shared" si="32"/>
        <v>"C:\Program Files (x86)\AstroGrep\AstroGrep.exe" /spath="%USERPROFILE%\AppData\Local\Temp\OnboardLogs" /stypes="app*4045*20161124*" /stext=" 01:.+((SYSTEM_STATE.+slice.+state.+changed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206-23 --locoid 4045 --swversion DE.1.0.8.0 --startMP 204:232938 --initTime 2016-11-23T17:34:47 --startdatetime 2016-11-23T17:41:42 --delay 1 --endMP 204:160 --enddatetime 2016-11-23T18:21:34 --enforcementcount 1 &gt;&gt;C:\Users\stu\Documents\GitHub\eaglep3-reporting\EC\2016-11-23-refined-times.txt</v>
      </c>
      <c r="AI12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{"issue":{"subject":"","project_id":79,"tracker_id":40,"status_id":1,"priority_id":2,"assigned_to_id":23,"start_date":"2016-11-23","description":"","custom_fields":[{"id":1,"name":"Subdivision","value":"EC"},{"id":4,"name":"Milepost","value":"0.016"},{"id":17,"name":"Train ID","value":"206-23"},{"id":16,"name":"Locomotive ID","value":"4045"},{"id":130,"name":"Impact","value":""},{"id":150,"name":"Time of Event (Mountain Time)","value":"18:21:34"},{"id":151,"name":"Denver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566</v>
      </c>
      <c r="B123" s="7">
        <v>4022</v>
      </c>
      <c r="C123" s="22" t="s">
        <v>217</v>
      </c>
      <c r="D123" s="22" t="s">
        <v>198</v>
      </c>
      <c r="E123" s="13">
        <v>42697.704201388886</v>
      </c>
      <c r="F123" s="13">
        <v>42697.708819444444</v>
      </c>
      <c r="G123" s="7">
        <v>1</v>
      </c>
      <c r="H123" s="22" t="s">
        <v>338</v>
      </c>
      <c r="I123" s="13">
        <v>42697.735219907408</v>
      </c>
      <c r="J123" s="7">
        <v>0</v>
      </c>
      <c r="K123" s="109" t="str">
        <f t="shared" si="19"/>
        <v>4021/4022</v>
      </c>
      <c r="L123" s="22" t="str">
        <f>VLOOKUP(A123,'Trips&amp;Operators'!$C$1:$E$10000,3,FALSE)</f>
        <v>DELGADO</v>
      </c>
      <c r="M123" s="6">
        <f t="shared" si="20"/>
        <v>2.6400462964375038E-2</v>
      </c>
      <c r="N123" s="7">
        <f t="shared" si="21"/>
        <v>38.016666668700054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15:54:03-700',mode:absolute,to:'2016-11-23 18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4.4699999999999997E-2</v>
      </c>
      <c r="Z123" s="67">
        <f t="shared" si="28"/>
        <v>23.326799999999999</v>
      </c>
      <c r="AA123" s="67">
        <f t="shared" si="29"/>
        <v>23.2821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0207-23</v>
      </c>
      <c r="AE123" s="91" t="str">
        <f t="shared" si="31"/>
        <v>aws s3 cp s3://rtdc.mdm.uploadarchive.raw/RTDC4022/ "%USERPROFILE%\AppData\Local\Temp\OnboardLogs"\RTDC4022\2016-11-23 --exclude "*" --recursive --include "*20161123*" &amp; "%USERPROFILE%\Documents\GitHub\mrs-test-scripts\Headless Mode &amp; Sideloading\WalkAndUnGZ.bat" "%USERPROFILE%\AppData\Local\Temp\OnboardLogs"\RTDC4022\2016-11-23 &amp; 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</v>
      </c>
      <c r="AF123" s="88" t="str">
        <f t="shared" si="32"/>
        <v>"C:\Program Files (x86)\AstroGrep\AstroGrep.exe" /spath="%USERPROFILE%\AppData\Local\Temp\OnboardLogs" /stypes="app*4022*20161124*" /stext=" 00:.+((SYSTEM_STATE.+slice.+state.+changed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207-23 --locoid 4022 --swversion DE.1.0.8.0 --startMP 204:447 --initTime 2016-11-23T16:54:03 --startdatetime 2016-11-23T17:00:42 --delay 1 --endMP 204:233268 --enddatetime 2016-11-23T17:38:43 --enforcementcount 0 &gt;&gt;C:\Users\stu\Documents\GitHub\eaglep3-reporting\EC\2016-11-23-refined-times.txt</v>
      </c>
      <c r="AI123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{"issue":{"subject":"","project_id":79,"tracker_id":40,"status_id":1,"priority_id":2,"assigned_to_id":23,"start_date":"2016-11-23","description":"","custom_fields":[{"id":1,"name":"Subdivision","value":"EC"},{"id":4,"name":"Milepost","value":"23.3268"},{"id":17,"name":"Train ID","value":"207-23"},{"id":16,"name":"Locomotive ID","value":"4022"},{"id":130,"name":"Impact","value":""},{"id":150,"name":"Time of Event (Mountain Time)","value":"17:38:43"},{"id":151,"name":"Denver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4021</v>
      </c>
      <c r="C124" s="22" t="s">
        <v>217</v>
      </c>
      <c r="D124" s="22" t="s">
        <v>699</v>
      </c>
      <c r="E124" s="13">
        <v>42697.740891203706</v>
      </c>
      <c r="F124" s="13">
        <v>42697.747523148151</v>
      </c>
      <c r="G124" s="7">
        <v>1</v>
      </c>
      <c r="H124" s="22" t="s">
        <v>250</v>
      </c>
      <c r="I124" s="13">
        <v>42697.777511574073</v>
      </c>
      <c r="J124" s="7">
        <v>0</v>
      </c>
      <c r="K124" s="109" t="str">
        <f t="shared" si="19"/>
        <v>4021/4022</v>
      </c>
      <c r="L124" s="22" t="str">
        <f>VLOOKUP(A124,'Trips&amp;Operators'!$C$1:$E$10000,3,FALSE)</f>
        <v>DELGADO</v>
      </c>
      <c r="M124" s="6">
        <f t="shared" si="20"/>
        <v>2.9988425922056194E-2</v>
      </c>
      <c r="N124" s="7">
        <f t="shared" si="21"/>
        <v>43.18333332776092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16:46:53-700',mode:absolute,to:'2016-11-23 19:39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23.295999999999999</v>
      </c>
      <c r="Z124" s="67">
        <f t="shared" si="28"/>
        <v>1.41E-2</v>
      </c>
      <c r="AA124" s="67">
        <f t="shared" si="29"/>
        <v>23.2819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0208-23</v>
      </c>
      <c r="AE124" s="91" t="str">
        <f t="shared" si="31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124" s="88" t="str">
        <f t="shared" si="32"/>
        <v>"C:\Program Files (x86)\AstroGrep\AstroGrep.exe" /spath="%USERPROFILE%\AppData\Local\Temp\OnboardLogs" /stypes="app*4021*20161124*" /stext=" 01:.+((SYSTEM_STATE.+slice.+state.+changed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208-23 --locoid 4021 --swversion DE.1.0.8.0 --startMP 204:232960 --initTime 2016-11-23T17:46:53 --startdatetime 2016-11-23T17:56:26 --delay 1 --endMP 204:141 --enddatetime 2016-11-23T18:39:37 --enforcementcount 0 &gt;&gt;C:\Users\stu\Documents\GitHub\eaglep3-reporting\EC\2016-11-23-refined-times.txt</v>
      </c>
      <c r="AI12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{"issue":{"subject":"","project_id":79,"tracker_id":40,"status_id":1,"priority_id":2,"assigned_to_id":23,"start_date":"2016-11-23","description":"","custom_fields":[{"id":1,"name":"Subdivision","value":"EC"},{"id":4,"name":"Milepost","value":"0.0141"},{"id":17,"name":"Train ID","value":"208-23"},{"id":16,"name":"Locomotive ID","value":"4021"},{"id":130,"name":"Impact","value":""},{"id":150,"name":"Time of Event (Mountain Time)","value":"18:39:37"},{"id":151,"name":"Denver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569</v>
      </c>
      <c r="B125" s="7">
        <v>4003</v>
      </c>
      <c r="C125" s="22" t="s">
        <v>217</v>
      </c>
      <c r="D125" s="22" t="s">
        <v>369</v>
      </c>
      <c r="E125" s="13">
        <v>42697.71565972222</v>
      </c>
      <c r="F125" s="13">
        <v>42697.719293981485</v>
      </c>
      <c r="G125" s="7">
        <v>2</v>
      </c>
      <c r="H125" s="22" t="s">
        <v>290</v>
      </c>
      <c r="I125" s="13">
        <v>42697.743310185186</v>
      </c>
      <c r="J125" s="7">
        <v>0</v>
      </c>
      <c r="K125" s="109" t="str">
        <f t="shared" si="19"/>
        <v>4003/4004</v>
      </c>
      <c r="L125" s="22" t="str">
        <f>VLOOKUP(A125,'Trips&amp;Operators'!$C$1:$E$10000,3,FALSE)</f>
        <v>STAMBAUGH</v>
      </c>
      <c r="M125" s="6">
        <f t="shared" si="20"/>
        <v>2.4016203700739425E-2</v>
      </c>
      <c r="N125" s="7">
        <f t="shared" si="21"/>
        <v>34.583333329064772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16:10:33-700',mode:absolute,to:'2016-11-23 18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5.0599999999999999E-2</v>
      </c>
      <c r="Z125" s="67">
        <f t="shared" si="28"/>
        <v>23.328399999999998</v>
      </c>
      <c r="AA125" s="67">
        <f t="shared" si="29"/>
        <v>23.277799999999999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0209-23</v>
      </c>
      <c r="AE125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25" s="88" t="str">
        <f t="shared" si="32"/>
        <v>"C:\Program Files (x86)\AstroGrep\AstroGrep.exe" /spath="%USERPROFILE%\AppData\Local\Temp\OnboardLogs" /stypes="app*4003*20161124*" /stext=" 00:.+((SYSTEM_STATE.+slice.+state.+changed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209-23 --locoid 4003 --swversion DE.1.0.8.0 --startMP 204:506 --initTime 2016-11-23T17:10:33 --startdatetime 2016-11-23T17:15:47 --delay 2 --endMP 204:233284 --enddatetime 2016-11-23T17:50:22 --enforcementcount 0 &gt;&gt;C:\Users\stu\Documents\GitHub\eaglep3-reporting\EC\2016-11-23-refined-times.txt</v>
      </c>
      <c r="AI12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{"issue":{"subject":"","project_id":79,"tracker_id":40,"status_id":1,"priority_id":2,"assigned_to_id":23,"start_date":"2016-11-23","description":"","custom_fields":[{"id":1,"name":"Subdivision","value":"EC"},{"id":4,"name":"Milepost","value":"23.3284"},{"id":17,"name":"Train ID","value":"209-23"},{"id":16,"name":"Locomotive ID","value":"4003"},{"id":130,"name":"Impact","value":""},{"id":150,"name":"Time of Event (Mountain Time)","value":"17:50:22"},{"id":151,"name":"Denver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579</v>
      </c>
      <c r="B126" s="7">
        <v>4004</v>
      </c>
      <c r="C126" s="22" t="s">
        <v>217</v>
      </c>
      <c r="D126" s="22" t="s">
        <v>286</v>
      </c>
      <c r="E126" s="13">
        <v>42697.754120370373</v>
      </c>
      <c r="F126" s="13">
        <v>42697.758483796293</v>
      </c>
      <c r="G126" s="7">
        <v>6</v>
      </c>
      <c r="H126" s="22" t="s">
        <v>227</v>
      </c>
      <c r="I126" s="13">
        <v>42697.784328703703</v>
      </c>
      <c r="J126" s="7">
        <v>0</v>
      </c>
      <c r="K126" s="109" t="str">
        <f t="shared" si="19"/>
        <v>4003/4004</v>
      </c>
      <c r="L126" s="22" t="str">
        <f>VLOOKUP(A126,'Trips&amp;Operators'!$C$1:$E$10000,3,FALSE)</f>
        <v>STAMBAUGH</v>
      </c>
      <c r="M126" s="6">
        <f t="shared" si="20"/>
        <v>2.584490740991896E-2</v>
      </c>
      <c r="N126" s="7">
        <f t="shared" si="21"/>
        <v>37.216666670283303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17:05:56-700',mode:absolute,to:'2016-11-23 19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23.2973</v>
      </c>
      <c r="Z126" s="67">
        <f t="shared" si="28"/>
        <v>1.4999999999999999E-2</v>
      </c>
      <c r="AA126" s="67">
        <f t="shared" si="29"/>
        <v>23.282299999999999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0210-23</v>
      </c>
      <c r="AE126" s="91" t="str">
        <f t="shared" si="31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126" s="88" t="str">
        <f t="shared" si="32"/>
        <v>"C:\Program Files (x86)\AstroGrep\AstroGrep.exe" /spath="%USERPROFILE%\AppData\Local\Temp\OnboardLogs" /stypes="app*4004*20161124*" /stext=" 01:.+((SYSTEM_STATE.+slice.+state.+changed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210-23 --locoid 4004 --swversion DE.1.0.8.0 --startMP 204:232973 --initTime 2016-11-23T18:05:56 --startdatetime 2016-11-23T18:12:13 --delay 6 --endMP 204:150 --enddatetime 2016-11-23T18:49:26 --enforcementcount 0 &gt;&gt;C:\Users\stu\Documents\GitHub\eaglep3-reporting\EC\2016-11-23-refined-times.txt</v>
      </c>
      <c r="AI12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{"issue":{"subject":"","project_id":79,"tracker_id":40,"status_id":1,"priority_id":2,"assigned_to_id":23,"start_date":"2016-11-23","description":"","custom_fields":[{"id":1,"name":"Subdivision","value":"EC"},{"id":4,"name":"Milepost","value":"0.015"},{"id":17,"name":"Train ID","value":"210-23"},{"id":16,"name":"Locomotive ID","value":"4004"},{"id":130,"name":"Impact","value":""},{"id":150,"name":"Time of Event (Mountain Time)","value":"18:49:26"},{"id":151,"name":"Denver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572</v>
      </c>
      <c r="B127" s="7">
        <v>4007</v>
      </c>
      <c r="C127" s="22" t="s">
        <v>217</v>
      </c>
      <c r="D127" s="22" t="s">
        <v>313</v>
      </c>
      <c r="E127" s="13">
        <v>42697.725532407407</v>
      </c>
      <c r="F127" s="13">
        <v>42697.73033564815</v>
      </c>
      <c r="G127" s="7">
        <v>1</v>
      </c>
      <c r="H127" s="22" t="s">
        <v>700</v>
      </c>
      <c r="I127" s="13">
        <v>42697.757824074077</v>
      </c>
      <c r="J127" s="7">
        <v>0</v>
      </c>
      <c r="K127" s="109" t="str">
        <f t="shared" si="19"/>
        <v>4007/4008</v>
      </c>
      <c r="L127" s="22" t="str">
        <f>VLOOKUP(A127,'Trips&amp;Operators'!$C$1:$E$10000,3,FALSE)</f>
        <v>YOUNG</v>
      </c>
      <c r="M127" s="6">
        <f t="shared" si="20"/>
        <v>2.7488425927003846E-2</v>
      </c>
      <c r="N127" s="7">
        <f t="shared" si="21"/>
        <v>39.583333334885538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16:24:46-700',mode:absolute,to:'2016-11-23 19:11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4.7699999999999999E-2</v>
      </c>
      <c r="Z127" s="67">
        <f t="shared" si="28"/>
        <v>23.3264</v>
      </c>
      <c r="AA127" s="67">
        <f t="shared" si="29"/>
        <v>23.278700000000001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0"/>
        <v>0211-23</v>
      </c>
      <c r="AE127" s="91" t="str">
        <f t="shared" si="31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127" s="88" t="str">
        <f t="shared" si="32"/>
        <v>"C:\Program Files (x86)\AstroGrep\AstroGrep.exe" /spath="%USERPROFILE%\AppData\Local\Temp\OnboardLogs" /stypes="app*4007*20161124*" /stext=" 01:.+((SYSTEM_STATE.+slice.+state.+changed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211-23 --locoid 4007 --swversion DE.1.0.8.0 --startMP 204:477 --initTime 2016-11-23T17:24:46 --startdatetime 2016-11-23T17:31:41 --delay 1 --endMP 204:233264 --enddatetime 2016-11-23T18:11:16 --enforcementcount 0 &gt;&gt;C:\Users\stu\Documents\GitHub\eaglep3-reporting\EC\2016-11-23-refined-times.txt</v>
      </c>
      <c r="AI127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{"issue":{"subject":"","project_id":79,"tracker_id":40,"status_id":1,"priority_id":2,"assigned_to_id":23,"start_date":"2016-11-23","description":"","custom_fields":[{"id":1,"name":"Subdivision","value":"EC"},{"id":4,"name":"Milepost","value":"23.3264"},{"id":17,"name":"Train ID","value":"211-23"},{"id":16,"name":"Locomotive ID","value":"4007"},{"id":130,"name":"Impact","value":""},{"id":150,"name":"Time of Event (Mountain Time)","value":"18:11:16"},{"id":151,"name":"Denver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584</v>
      </c>
      <c r="B128" s="7">
        <v>4008</v>
      </c>
      <c r="C128" s="22" t="s">
        <v>217</v>
      </c>
      <c r="D128" s="22" t="s">
        <v>363</v>
      </c>
      <c r="E128" s="13">
        <v>42697.761469907404</v>
      </c>
      <c r="F128" s="13">
        <v>42697.768252314818</v>
      </c>
      <c r="G128" s="7">
        <v>1</v>
      </c>
      <c r="H128" s="22" t="s">
        <v>335</v>
      </c>
      <c r="I128" s="13">
        <v>42697.7971412037</v>
      </c>
      <c r="J128" s="7">
        <v>0</v>
      </c>
      <c r="K128" s="109" t="str">
        <f t="shared" si="19"/>
        <v>4007/4008</v>
      </c>
      <c r="L128" s="22" t="str">
        <f>VLOOKUP(A128,'Trips&amp;Operators'!$C$1:$E$10000,3,FALSE)</f>
        <v>YOUNG</v>
      </c>
      <c r="M128" s="6">
        <f t="shared" si="20"/>
        <v>2.8888888882647734E-2</v>
      </c>
      <c r="N128" s="7">
        <f t="shared" si="21"/>
        <v>41.599999991012737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17:16:31-700',mode:absolute,to:'2016-11-23 20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23.2957</v>
      </c>
      <c r="Z128" s="67">
        <f t="shared" si="28"/>
        <v>1.6899999999999998E-2</v>
      </c>
      <c r="AA128" s="67">
        <f t="shared" si="29"/>
        <v>23.2788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0212-23</v>
      </c>
      <c r="AE128" s="91" t="str">
        <f t="shared" si="31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128" s="88" t="str">
        <f t="shared" si="32"/>
        <v>"C:\Program Files (x86)\AstroGrep\AstroGrep.exe" /spath="%USERPROFILE%\AppData\Local\Temp\OnboardLogs" /stypes="app*4008*20161124*" /stext=" 02:.+((SYSTEM_STATE.+slice.+state.+changed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212-23 --locoid 4008 --swversion DE.1.0.8.0 --startMP 204:232957 --initTime 2016-11-23T18:16:31 --startdatetime 2016-11-23T18:26:17 --delay 1 --endMP 204:169 --enddatetime 2016-11-23T19:07:53 --enforcementcount 0 &gt;&gt;C:\Users\stu\Documents\GitHub\eaglep3-reporting\EC\2016-11-23-refined-times.txt</v>
      </c>
      <c r="AI12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{"issue":{"subject":"","project_id":79,"tracker_id":40,"status_id":1,"priority_id":2,"assigned_to_id":23,"start_date":"2016-11-23","description":"","custom_fields":[{"id":1,"name":"Subdivision","value":"EC"},{"id":4,"name":"Milepost","value":"0.0169"},{"id":17,"name":"Train ID","value":"212-23"},{"id":16,"name":"Locomotive ID","value":"4008"},{"id":130,"name":"Impact","value":""},{"id":150,"name":"Time of Event (Mountain Time)","value":"19:07:53"},{"id":151,"name":"Denver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574</v>
      </c>
      <c r="B129" s="7">
        <v>4029</v>
      </c>
      <c r="C129" s="22" t="s">
        <v>217</v>
      </c>
      <c r="D129" s="22" t="s">
        <v>261</v>
      </c>
      <c r="E129" s="13">
        <v>42697.735381944447</v>
      </c>
      <c r="F129" s="13">
        <v>42697.739918981482</v>
      </c>
      <c r="G129" s="7">
        <v>3</v>
      </c>
      <c r="H129" s="22" t="s">
        <v>701</v>
      </c>
      <c r="I129" s="13">
        <v>42697.764999999999</v>
      </c>
      <c r="J129" s="7">
        <v>0</v>
      </c>
      <c r="K129" s="109" t="str">
        <f t="shared" si="19"/>
        <v>4029/4030</v>
      </c>
      <c r="L129" s="22" t="str">
        <f>VLOOKUP(A129,'Trips&amp;Operators'!$C$1:$E$10000,3,FALSE)</f>
        <v>SAFIEF</v>
      </c>
      <c r="M129" s="6">
        <f t="shared" si="20"/>
        <v>2.5081018517084885E-2</v>
      </c>
      <c r="N129" s="7">
        <f t="shared" si="21"/>
        <v>36.116666664602235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16:38:57-700',mode:absolute,to:'2016-11-23 19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4.3999999999999997E-2</v>
      </c>
      <c r="Z129" s="67">
        <f t="shared" si="28"/>
        <v>23.332599999999999</v>
      </c>
      <c r="AA129" s="67">
        <f t="shared" si="29"/>
        <v>23.288599999999999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0213-23</v>
      </c>
      <c r="AE129" s="91" t="str">
        <f t="shared" si="31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29" s="88" t="str">
        <f t="shared" si="32"/>
        <v>"C:\Program Files (x86)\AstroGrep\AstroGrep.exe" /spath="%USERPROFILE%\AppData\Local\Temp\OnboardLogs" /stypes="app*4029*20161124*" /stext=" 01:.+((SYSTEM_STATE.+slice.+state.+changed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213-23 --locoid 4029 --swversion DE.1.0.8.0 --startMP 204:440 --initTime 2016-11-23T17:38:57 --startdatetime 2016-11-23T17:45:29 --delay 3 --endMP 204:233326 --enddatetime 2016-11-23T18:21:36 --enforcementcount 0 &gt;&gt;C:\Users\stu\Documents\GitHub\eaglep3-reporting\EC\2016-11-23-refined-times.txt</v>
      </c>
      <c r="AI12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{"issue":{"subject":"","project_id":79,"tracker_id":40,"status_id":1,"priority_id":2,"assigned_to_id":23,"start_date":"2016-11-23","description":"","custom_fields":[{"id":1,"name":"Subdivision","value":"EC"},{"id":4,"name":"Milepost","value":"23.3326"},{"id":17,"name":"Train ID","value":"213-23"},{"id":16,"name":"Locomotive ID","value":"4029"},{"id":130,"name":"Impact","value":""},{"id":150,"name":"Time of Event (Mountain Time)","value":"18:21:36"},{"id":151,"name":"Denver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586</v>
      </c>
      <c r="B130" s="7">
        <v>4030</v>
      </c>
      <c r="C130" s="22" t="s">
        <v>217</v>
      </c>
      <c r="D130" s="22" t="s">
        <v>702</v>
      </c>
      <c r="E130" s="13">
        <v>42697.768900462965</v>
      </c>
      <c r="F130" s="13">
        <v>42697.778749999998</v>
      </c>
      <c r="G130" s="7">
        <v>1</v>
      </c>
      <c r="H130" s="22" t="s">
        <v>197</v>
      </c>
      <c r="I130" s="13">
        <v>42697.804872685185</v>
      </c>
      <c r="J130" s="7">
        <v>0</v>
      </c>
      <c r="K130" s="109" t="str">
        <f t="shared" si="19"/>
        <v>4029/4030</v>
      </c>
      <c r="L130" s="22" t="str">
        <f>VLOOKUP(A130,'Trips&amp;Operators'!$C$1:$E$10000,3,FALSE)</f>
        <v>SAFIEF</v>
      </c>
      <c r="M130" s="6">
        <f t="shared" si="20"/>
        <v>2.6122685187146999E-2</v>
      </c>
      <c r="N130" s="7">
        <f t="shared" si="21"/>
        <v>37.616666669491678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17:27:13-700',mode:absolute,to:'2016-11-23 20:19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23.3003</v>
      </c>
      <c r="Z130" s="67">
        <f t="shared" si="28"/>
        <v>1.43E-2</v>
      </c>
      <c r="AA130" s="67">
        <f t="shared" si="29"/>
        <v>23.286000000000001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0214-23</v>
      </c>
      <c r="AE130" s="91" t="str">
        <f t="shared" si="31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30" s="88" t="str">
        <f t="shared" si="32"/>
        <v>"C:\Program Files (x86)\AstroGrep\AstroGrep.exe" /spath="%USERPROFILE%\AppData\Local\Temp\OnboardLogs" /stypes="app*4030*20161124*" /stext=" 02:.+((SYSTEM_STATE.+slice.+state.+changed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214-23 --locoid 4030 --swversion DE.1.0.8.0 --startMP 204:233003 --initTime 2016-11-23T18:27:13 --startdatetime 2016-11-23T18:41:24 --delay 1 --endMP 204:143 --enddatetime 2016-11-23T19:19:01 --enforcementcount 0 &gt;&gt;C:\Users\stu\Documents\GitHub\eaglep3-reporting\EC\2016-11-23-refined-times.txt</v>
      </c>
      <c r="AI13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{"issue":{"subject":"","project_id":79,"tracker_id":40,"status_id":1,"priority_id":2,"assigned_to_id":23,"start_date":"2016-11-23","description":"","custom_fields":[{"id":1,"name":"Subdivision","value":"EC"},{"id":4,"name":"Milepost","value":"0.0143"},{"id":17,"name":"Train ID","value":"214-23"},{"id":16,"name":"Locomotive ID","value":"4030"},{"id":130,"name":"Impact","value":""},{"id":150,"name":"Time of Event (Mountain Time)","value":"19:19:01"},{"id":151,"name":"Denver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578</v>
      </c>
      <c r="B131" s="7">
        <v>4042</v>
      </c>
      <c r="C131" s="22" t="s">
        <v>217</v>
      </c>
      <c r="D131" s="22" t="s">
        <v>703</v>
      </c>
      <c r="E131" s="13">
        <v>42697.74491898148</v>
      </c>
      <c r="F131" s="13">
        <v>42697.750474537039</v>
      </c>
      <c r="G131" s="7">
        <v>1</v>
      </c>
      <c r="H131" s="22" t="s">
        <v>686</v>
      </c>
      <c r="I131" s="13">
        <v>42697.775891203702</v>
      </c>
      <c r="J131" s="7">
        <v>0</v>
      </c>
      <c r="K131" s="109" t="str">
        <f t="shared" si="19"/>
        <v>4041/4042</v>
      </c>
      <c r="L131" s="22" t="str">
        <f>VLOOKUP(A131,'Trips&amp;Operators'!$C$1:$E$10000,3,FALSE)</f>
        <v>STORY</v>
      </c>
      <c r="M131" s="6">
        <f t="shared" si="20"/>
        <v>2.5416666663659271E-2</v>
      </c>
      <c r="N131" s="7">
        <f t="shared" si="21"/>
        <v>36.59999999566935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16:52:41-700',mode:absolute,to:'2016-11-23 19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4.8000000000000001E-2</v>
      </c>
      <c r="Z131" s="67">
        <f t="shared" si="28"/>
        <v>23.3325</v>
      </c>
      <c r="AA131" s="67">
        <f t="shared" si="29"/>
        <v>23.284500000000001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0215-23</v>
      </c>
      <c r="AE131" s="91" t="str">
        <f t="shared" si="31"/>
        <v>aws s3 cp s3://rtdc.mdm.uploadarchive.raw/RTDC4042/ "%USERPROFILE%\AppData\Local\Temp\OnboardLogs"\RTDC4042\2016-11-23 --exclude "*" --recursive --include "*20161123*" &amp; "%USERPROFILE%\Documents\GitHub\mrs-test-scripts\Headless Mode &amp; Sideloading\WalkAndUnGZ.bat" "%USERPROFILE%\AppData\Local\Temp\OnboardLogs"\RTDC4042\2016-11-23 &amp; aws s3 cp s3://rtdc.mdm.uploadarchive.raw/RTDC4042/ "%USERPROFILE%\AppData\Local\Temp\OnboardLogs"\RTDC4042\2016-11-24 --exclude "*" --recursive --include "*20161124*" &amp; "%USERPROFILE%\Documents\GitHub\mrs-test-scripts\Headless Mode &amp; Sideloading\WalkAndUnGZ.bat" "%USERPROFILE%\AppData\Local\Temp\OnboardLogs"\RTDC4042\2016-11-24</v>
      </c>
      <c r="AF131" s="88" t="str">
        <f t="shared" si="32"/>
        <v>"C:\Program Files (x86)\AstroGrep\AstroGrep.exe" /spath="%USERPROFILE%\AppData\Local\Temp\OnboardLogs" /stypes="app*4042*20161124*" /stext=" 01:.+((SYSTEM_STATE.+slice.+state.+changed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215-23 --locoid 4042 --swversion DE.1.0.8.0 --startMP 204:480 --initTime 2016-11-23T17:52:41 --startdatetime 2016-11-23T18:00:41 --delay 1 --endMP 204:233325 --enddatetime 2016-11-23T18:37:17 --enforcementcount 0 &gt;&gt;C:\Users\stu\Documents\GitHub\eaglep3-reporting\EC\2016-11-23-refined-times.txt</v>
      </c>
      <c r="AI13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{"issue":{"subject":"","project_id":79,"tracker_id":40,"status_id":1,"priority_id":2,"assigned_to_id":23,"start_date":"2016-11-23","description":"","custom_fields":[{"id":1,"name":"Subdivision","value":"EC"},{"id":4,"name":"Milepost","value":"23.3325"},{"id":17,"name":"Train ID","value":"215-23"},{"id":16,"name":"Locomotive ID","value":"4042"},{"id":130,"name":"Impact","value":""},{"id":150,"name":"Time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591</v>
      </c>
      <c r="B132" s="7">
        <v>4041</v>
      </c>
      <c r="C132" s="22" t="s">
        <v>217</v>
      </c>
      <c r="D132" s="22" t="s">
        <v>365</v>
      </c>
      <c r="E132" s="13">
        <v>42697.785451388889</v>
      </c>
      <c r="F132" s="13">
        <v>42697.789201388892</v>
      </c>
      <c r="G132" s="7">
        <v>1</v>
      </c>
      <c r="H132" s="22" t="s">
        <v>310</v>
      </c>
      <c r="I132" s="13">
        <v>42697.816018518519</v>
      </c>
      <c r="J132" s="7">
        <v>0</v>
      </c>
      <c r="K132" s="109" t="str">
        <f t="shared" si="19"/>
        <v>4041/4042</v>
      </c>
      <c r="L132" s="22" t="str">
        <f>VLOOKUP(A132,'Trips&amp;Operators'!$C$1:$E$10000,3,FALSE)</f>
        <v>STORY</v>
      </c>
      <c r="M132" s="6">
        <f t="shared" si="20"/>
        <v>2.6817129626579117E-2</v>
      </c>
      <c r="N132" s="7">
        <f t="shared" si="21"/>
        <v>38.616666662273929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17:51:03-700',mode:absolute,to:'2016-11-23 20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23.300799999999999</v>
      </c>
      <c r="Z132" s="67">
        <f t="shared" si="28"/>
        <v>1.67E-2</v>
      </c>
      <c r="AA132" s="67">
        <f t="shared" si="29"/>
        <v>23.284099999999999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0216-23</v>
      </c>
      <c r="AE132" s="91" t="str">
        <f t="shared" si="31"/>
        <v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v>
      </c>
      <c r="AF132" s="88" t="str">
        <f t="shared" si="32"/>
        <v>"C:\Program Files (x86)\AstroGrep\AstroGrep.exe" /spath="%USERPROFILE%\AppData\Local\Temp\OnboardLogs" /stypes="app*4041*20161124*" /stext=" 02:.+((SYSTEM_STATE.+slice.+state.+changed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216-23 --locoid 4041 --swversion DE.1.0.8.0 --startMP 204:233008 --initTime 2016-11-23T18:51:03 --startdatetime 2016-11-23T18:56:27 --delay 1 --endMP 204:167 --enddatetime 2016-11-23T19:35:04 --enforcementcount 0 &gt;&gt;C:\Users\stu\Documents\GitHub\eaglep3-reporting\EC\2016-11-23-refined-times.txt</v>
      </c>
      <c r="AI132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{"issue":{"subject":"","project_id":79,"tracker_id":40,"status_id":1,"priority_id":2,"assigned_to_id":23,"start_date":"2016-11-23","description":"","custom_fields":[{"id":1,"name":"Subdivision","value":"EC"},{"id":4,"name":"Milepost","value":"0.0167"},{"id":17,"name":"Train ID","value":"216-23"},{"id":16,"name":"Locomotive ID","value":"4041"},{"id":130,"name":"Impact","value":""},{"id":150,"name":"Time of Event (Mountain Time)","value":"19:35:04"},{"id":151,"name":"Denver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580</v>
      </c>
      <c r="B133" s="7">
        <v>4025</v>
      </c>
      <c r="C133" s="22" t="s">
        <v>217</v>
      </c>
      <c r="D133" s="22" t="s">
        <v>293</v>
      </c>
      <c r="E133" s="13">
        <v>42697.756585648145</v>
      </c>
      <c r="F133" s="13">
        <v>42697.760613425926</v>
      </c>
      <c r="G133" s="7">
        <v>1</v>
      </c>
      <c r="H133" s="22" t="s">
        <v>685</v>
      </c>
      <c r="I133" s="13">
        <v>42697.785567129627</v>
      </c>
      <c r="J133" s="7">
        <v>0</v>
      </c>
      <c r="K133" s="109" t="str">
        <f t="shared" si="19"/>
        <v>4025/4026</v>
      </c>
      <c r="L133" s="22" t="str">
        <f>VLOOKUP(A133,'Trips&amp;Operators'!$C$1:$E$10000,3,FALSE)</f>
        <v>LEVIN</v>
      </c>
      <c r="M133" s="6">
        <f t="shared" si="20"/>
        <v>2.495370370161254E-2</v>
      </c>
      <c r="N133" s="7">
        <f t="shared" si="21"/>
        <v>35.933333330322057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17:09:29-700',mode:absolute,to:'2016-11-23 19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4.5699999999999998E-2</v>
      </c>
      <c r="Z133" s="67">
        <f t="shared" si="28"/>
        <v>23.3339</v>
      </c>
      <c r="AA133" s="67">
        <f t="shared" si="29"/>
        <v>23.2882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0217-23</v>
      </c>
      <c r="AE133" s="91" t="str">
        <f t="shared" si="31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133" s="88" t="str">
        <f t="shared" si="32"/>
        <v>"C:\Program Files (x86)\AstroGrep\AstroGrep.exe" /spath="%USERPROFILE%\AppData\Local\Temp\OnboardLogs" /stypes="app*4025*20161124*" /stext=" 01:.+((SYSTEM_STATE.+slice.+state.+changed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217-23 --locoid 4025 --swversion DE.1.0.8.0 --startMP 204:457 --initTime 2016-11-23T18:09:29 --startdatetime 2016-11-23T18:15:17 --delay 1 --endMP 204:233339 --enddatetime 2016-11-23T18:51:13 --enforcementcount 0 &gt;&gt;C:\Users\stu\Documents\GitHub\eaglep3-reporting\EC\2016-11-23-refined-times.txt</v>
      </c>
      <c r="AI133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{"issue":{"subject":"","project_id":79,"tracker_id":40,"status_id":1,"priority_id":2,"assigned_to_id":23,"start_date":"2016-11-23","description":"","custom_fields":[{"id":1,"name":"Subdivision","value":"EC"},{"id":4,"name":"Milepost","value":"23.3339"},{"id":17,"name":"Train ID","value":"217-23"},{"id":16,"name":"Locomotive ID","value":"4025"},{"id":130,"name":"Impact","value":""},{"id":150,"name":"Time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592</v>
      </c>
      <c r="B134" s="7">
        <v>4026</v>
      </c>
      <c r="C134" s="22" t="s">
        <v>217</v>
      </c>
      <c r="D134" s="22" t="s">
        <v>687</v>
      </c>
      <c r="E134" s="13">
        <v>42697.795763888891</v>
      </c>
      <c r="F134" s="13">
        <v>42697.799583333333</v>
      </c>
      <c r="G134" s="7">
        <v>1</v>
      </c>
      <c r="H134" s="22" t="s">
        <v>196</v>
      </c>
      <c r="I134" s="13">
        <v>42697.826365740744</v>
      </c>
      <c r="J134" s="7">
        <v>0</v>
      </c>
      <c r="K134" s="109" t="str">
        <f t="shared" si="19"/>
        <v>4025/4026</v>
      </c>
      <c r="L134" s="22" t="str">
        <f>VLOOKUP(A134,'Trips&amp;Operators'!$C$1:$E$10000,3,FALSE)</f>
        <v>LEVIN</v>
      </c>
      <c r="M134" s="6">
        <f t="shared" si="20"/>
        <v>2.6782407410792075E-2</v>
      </c>
      <c r="N134" s="7">
        <f t="shared" si="21"/>
        <v>38.566666671540588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18:05:54-700',mode:absolute,to:'2016-11-23 20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23.3017</v>
      </c>
      <c r="Z134" s="67">
        <f t="shared" si="28"/>
        <v>1.49E-2</v>
      </c>
      <c r="AA134" s="67">
        <f t="shared" si="29"/>
        <v>23.286799999999999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0218-23</v>
      </c>
      <c r="AE134" s="91" t="str">
        <f t="shared" si="31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34" s="88" t="str">
        <f t="shared" si="32"/>
        <v>"C:\Program Files (x86)\AstroGrep\AstroGrep.exe" /spath="%USERPROFILE%\AppData\Local\Temp\OnboardLogs" /stypes="app*4026*20161124*" /stext=" 02:.+((SYSTEM_STATE.+slice.+state.+changed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218-23 --locoid 4026 --swversion DE.1.0.8.0 --startMP 204:233017 --initTime 2016-11-23T19:05:54 --startdatetime 2016-11-23T19:11:24 --delay 1 --endMP 204:149 --enddatetime 2016-11-23T19:49:58 --enforcementcount 0 &gt;&gt;C:\Users\stu\Documents\GitHub\eaglep3-reporting\EC\2016-11-23-refined-times.txt</v>
      </c>
      <c r="AI134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{"issue":{"subject":"","project_id":79,"tracker_id":40,"status_id":1,"priority_id":2,"assigned_to_id":23,"start_date":"2016-11-23","description":"","custom_fields":[{"id":1,"name":"Subdivision","value":"EC"},{"id":4,"name":"Milepost","value":"0.0149"},{"id":17,"name":"Train ID","value":"218-23"},{"id":16,"name":"Locomotive ID","value":"4026"},{"id":130,"name":"Impact","value":""},{"id":150,"name":"Time of Event (Mountain Time)","value":"19:49:58"},{"id":151,"name":"Denver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425</v>
      </c>
      <c r="B135" s="7">
        <v>4046</v>
      </c>
      <c r="C135" s="22" t="s">
        <v>217</v>
      </c>
      <c r="D135" s="22" t="s">
        <v>216</v>
      </c>
      <c r="E135" s="13">
        <v>42697.766944444447</v>
      </c>
      <c r="F135" s="13">
        <v>42697.771145833336</v>
      </c>
      <c r="G135" s="7">
        <v>1</v>
      </c>
      <c r="H135" s="22" t="s">
        <v>305</v>
      </c>
      <c r="I135" s="13">
        <v>42697.796435185184</v>
      </c>
      <c r="J135" s="7">
        <v>1</v>
      </c>
      <c r="K135" s="109" t="str">
        <f t="shared" si="19"/>
        <v>4045/4046</v>
      </c>
      <c r="L135" s="22" t="str">
        <f>VLOOKUP(A135,'Trips&amp;Operators'!$C$1:$E$10000,3,FALSE)</f>
        <v>COOLAHAN</v>
      </c>
      <c r="M135" s="6">
        <f t="shared" si="20"/>
        <v>2.5289351848186925E-2</v>
      </c>
      <c r="N135" s="7">
        <f t="shared" si="21"/>
        <v>36.416666661389172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17:24:24-700',mode:absolute,to:'2016-11-23 20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4.6399999999999997E-2</v>
      </c>
      <c r="Z135" s="67">
        <f t="shared" si="28"/>
        <v>23.331700000000001</v>
      </c>
      <c r="AA135" s="67">
        <f t="shared" si="29"/>
        <v>23.285300000000003</v>
      </c>
      <c r="AB135" s="64" t="str">
        <f>VLOOKUP(A135,Enforcements!$C$7:$K$20,8,0)</f>
        <v>Speed (6)</v>
      </c>
      <c r="AC135" s="60" t="str">
        <f>VLOOKUP(A135,Enforcements!$C$7:$E$20,3,0)</f>
        <v>PERMANENT SPEED RESTRICTION</v>
      </c>
      <c r="AD135" s="61" t="str">
        <f t="shared" si="30"/>
        <v>0219-23</v>
      </c>
      <c r="AE135" s="91" t="str">
        <f t="shared" si="31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35" s="88" t="str">
        <f t="shared" si="32"/>
        <v>"C:\Program Files (x86)\AstroGrep\AstroGrep.exe" /spath="%USERPROFILE%\AppData\Local\Temp\OnboardLogs" /stypes="app*4046*20161124*" /stext=" 02:.+((SYSTEM_STATE.+slice.+state.+changed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219-23 --locoid 4046 --swversion DE.1.0.8.0 --startMP 204:464 --initTime 2016-11-23T18:24:24 --startdatetime 2016-11-23T18:30:27 --delay 1 --endMP 204:233317 --enddatetime 2016-11-23T19:06:52 --enforcementcount 1 &gt;&gt;C:\Users\stu\Documents\GitHub\eaglep3-reporting\EC\2016-11-23-refined-times.txt</v>
      </c>
      <c r="AI135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{"issue":{"subject":"","project_id":79,"tracker_id":40,"status_id":1,"priority_id":2,"assigned_to_id":23,"start_date":"2016-11-23","description":"","custom_fields":[{"id":1,"name":"Subdivision","value":"EC"},{"id":4,"name":"Milepost","value":"23.3317"},{"id":17,"name":"Train ID","value":"219-23"},{"id":16,"name":"Locomotive ID","value":"4046"},{"id":130,"name":"Impact","value":""},{"id":150,"name":"Time of Event (Mountain Time)","value":"19:06:52"},{"id":151,"name":"Denver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429</v>
      </c>
      <c r="B136" s="7">
        <v>4045</v>
      </c>
      <c r="C136" s="22" t="s">
        <v>217</v>
      </c>
      <c r="D136" s="22" t="s">
        <v>298</v>
      </c>
      <c r="E136" s="13">
        <v>42697.805937500001</v>
      </c>
      <c r="F136" s="13">
        <v>42697.810011574074</v>
      </c>
      <c r="G136" s="7">
        <v>3</v>
      </c>
      <c r="H136" s="22" t="s">
        <v>292</v>
      </c>
      <c r="I136" s="13">
        <v>42697.838969907411</v>
      </c>
      <c r="J136" s="7">
        <v>1</v>
      </c>
      <c r="K136" s="109" t="str">
        <f t="shared" si="19"/>
        <v>4045/4046</v>
      </c>
      <c r="L136" s="22" t="str">
        <f>VLOOKUP(A136,'Trips&amp;Operators'!$C$1:$E$10000,3,FALSE)</f>
        <v>COOLAHAN</v>
      </c>
      <c r="M136" s="6">
        <f t="shared" si="20"/>
        <v>2.8958333336049691E-2</v>
      </c>
      <c r="N136" s="7">
        <f t="shared" si="21"/>
        <v>41.700000003911555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18:20:33-700',mode:absolute,to:'2016-11-23 21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23.301100000000002</v>
      </c>
      <c r="Z136" s="67">
        <f t="shared" si="28"/>
        <v>1.3899999999999999E-2</v>
      </c>
      <c r="AA136" s="67">
        <f t="shared" si="29"/>
        <v>23.287200000000002</v>
      </c>
      <c r="AB136" s="64" t="str">
        <f>VLOOKUP(A136,Enforcements!$C$7:$K$20,8,0)</f>
        <v>Bulletin (2)</v>
      </c>
      <c r="AC136" s="60" t="str">
        <f>VLOOKUP(A136,Enforcements!$C$7:$E$20,3,0)</f>
        <v>TEMPORARY SPEED RESTRICTION</v>
      </c>
      <c r="AD136" s="61" t="str">
        <f t="shared" si="30"/>
        <v>0220-23</v>
      </c>
      <c r="AE136" s="91" t="str">
        <f t="shared" si="31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36" s="88" t="str">
        <f t="shared" si="32"/>
        <v>"C:\Program Files (x86)\AstroGrep\AstroGrep.exe" /spath="%USERPROFILE%\AppData\Local\Temp\OnboardLogs" /stypes="app*4045*20161124*" /stext=" 03:.+((SYSTEM_STATE.+slice.+state.+changed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220-23 --locoid 4045 --swversion DE.1.0.8.0 --startMP 204:233011 --initTime 2016-11-23T19:20:33 --startdatetime 2016-11-23T19:26:25 --delay 3 --endMP 204:139 --enddatetime 2016-11-23T20:08:07 --enforcementcount 1 &gt;&gt;C:\Users\stu\Documents\GitHub\eaglep3-reporting\EC\2016-11-23-refined-times.txt</v>
      </c>
      <c r="AI136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ID","value":"220-23"},{"id":16,"name":"Locomotive ID","value":"4045"},{"id":130,"name":"Impact","value":""},{"id":150,"name":"Time of Event (Mountain Time)","value":"20:08:07"},{"id":151,"name":"Denver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426</v>
      </c>
      <c r="B137" s="7">
        <v>4003</v>
      </c>
      <c r="C137" s="22" t="s">
        <v>217</v>
      </c>
      <c r="D137" s="22" t="s">
        <v>198</v>
      </c>
      <c r="E137" s="13">
        <v>42697.786851851852</v>
      </c>
      <c r="F137" s="13">
        <v>42697.794965277775</v>
      </c>
      <c r="G137" s="7">
        <v>10</v>
      </c>
      <c r="H137" s="22" t="s">
        <v>272</v>
      </c>
      <c r="I137" s="13">
        <v>42697.819016203706</v>
      </c>
      <c r="J137" s="7">
        <v>1</v>
      </c>
      <c r="K137" s="109" t="str">
        <f t="shared" si="19"/>
        <v>4003/4004</v>
      </c>
      <c r="L137" s="22" t="str">
        <f>VLOOKUP(A137,'Trips&amp;Operators'!$C$1:$E$10000,3,FALSE)</f>
        <v>STAMBAUGH</v>
      </c>
      <c r="M137" s="6">
        <f t="shared" si="20"/>
        <v>2.4050925931078382E-2</v>
      </c>
      <c r="N137" s="7">
        <f t="shared" si="21"/>
        <v>34.63333334075287</v>
      </c>
      <c r="O137" s="7"/>
      <c r="P137" s="7"/>
      <c r="Q137" s="23"/>
      <c r="R137" s="23" t="s">
        <v>846</v>
      </c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17:53:04-700',mode:absolute,to:'2016-11-23 20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4.4699999999999997E-2</v>
      </c>
      <c r="Z137" s="67">
        <f t="shared" si="28"/>
        <v>23.331399999999999</v>
      </c>
      <c r="AA137" s="67">
        <f t="shared" si="29"/>
        <v>23.2867</v>
      </c>
      <c r="AB137" s="64" t="str">
        <f>VLOOKUP(A137,Enforcements!$C$7:$K$20,8,0)</f>
        <v>Speed (6)</v>
      </c>
      <c r="AC137" s="60" t="str">
        <f>VLOOKUP(A137,Enforcements!$C$7:$E$20,3,0)</f>
        <v>PERMANENT SPEED RESTRICTION</v>
      </c>
      <c r="AD137" s="61" t="str">
        <f t="shared" si="30"/>
        <v>0221-23</v>
      </c>
      <c r="AE137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37" s="88" t="str">
        <f t="shared" si="32"/>
        <v>"C:\Program Files (x86)\AstroGrep\AstroGrep.exe" /spath="%USERPROFILE%\AppData\Local\Temp\OnboardLogs" /stypes="app*4003*20161124*" /stext=" 02:.+((SYSTEM_STATE.+slice.+state.+changed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221-23 --locoid 4003 --swversion DE.1.0.8.0 --startMP 204:447 --initTime 2016-11-23T18:53:04 --startdatetime 2016-11-23T19:04:45 --delay 10 --endMP 204:233314 --enddatetime 2016-11-23T19:39:23 --enforcementcount 1 &gt;&gt;C:\Users\stu\Documents\GitHub\eaglep3-reporting\EC\2016-11-23-refined-times.txt</v>
      </c>
      <c r="AI137" s="119" t="str">
        <f t="shared" si="35"/>
        <v>echo {"issue":{"subject":"Onboard in-route failure delayed departure","project_id":79,"tracker_id":40,"status_id":1,"priority_id":2,"assigned_to_id":23,"start_date":"2016-11-23","description":"multiple cpu faults at 01:58 utc","custom_fields":[{"id":1,"name":"Subdivision","value":"EC"},{"id":4,"name":"Milepost","value":"23.3314"},{"id":17,"name":"Train ID","value":"221-23"},{"id":16,"name":"Locomotive ID","value":"4003"},{"id":130,"name":"Impact","value":"Failed State"},{"id":150,"name":"Time of Event (Mountain Time)","value":"19:39:23"},{"id":151,"name":"Denver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7" s="53" t="s">
        <v>847</v>
      </c>
      <c r="AK137" s="53" t="s">
        <v>128</v>
      </c>
      <c r="AL137" s="53" t="s">
        <v>177</v>
      </c>
    </row>
    <row r="138" spans="1:91" s="21" customFormat="1" x14ac:dyDescent="0.25">
      <c r="A138" s="37" t="s">
        <v>426</v>
      </c>
      <c r="B138" s="7">
        <v>4003</v>
      </c>
      <c r="C138" s="22" t="s">
        <v>217</v>
      </c>
      <c r="D138" s="22" t="s">
        <v>704</v>
      </c>
      <c r="E138" s="13">
        <v>42697.786851851852</v>
      </c>
      <c r="F138" s="13">
        <v>42697.794965277775</v>
      </c>
      <c r="G138" s="7">
        <v>1</v>
      </c>
      <c r="H138" s="22" t="s">
        <v>272</v>
      </c>
      <c r="I138" s="13">
        <v>42697.819016203706</v>
      </c>
      <c r="J138" s="7">
        <v>1</v>
      </c>
      <c r="K138" s="109" t="str">
        <f t="shared" si="19"/>
        <v>4003/4004</v>
      </c>
      <c r="L138" s="22" t="str">
        <f>VLOOKUP(A138,'Trips&amp;Operators'!$C$1:$E$10000,3,FALSE)</f>
        <v>STAMBAUGH</v>
      </c>
      <c r="M138" s="6">
        <f t="shared" si="20"/>
        <v>2.4050925931078382E-2</v>
      </c>
      <c r="N138" s="7"/>
      <c r="O138" s="7"/>
      <c r="P138" s="7"/>
      <c r="Q138" s="23"/>
      <c r="R138" s="23"/>
      <c r="S138" s="35"/>
      <c r="T138" s="50" t="str">
        <f t="shared" si="23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7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17:53:04-700',mode:absolute,to:'2016-11-23 20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52" t="str">
        <f t="shared" si="25"/>
        <v>Y</v>
      </c>
      <c r="X138" s="177">
        <f t="shared" si="26"/>
        <v>0</v>
      </c>
      <c r="Y138" s="67">
        <f t="shared" si="27"/>
        <v>4.87</v>
      </c>
      <c r="Z138" s="67">
        <f t="shared" si="28"/>
        <v>23.331399999999999</v>
      </c>
      <c r="AA138" s="67">
        <f t="shared" si="29"/>
        <v>18.461399999999998</v>
      </c>
      <c r="AB138" s="64" t="str">
        <f>VLOOKUP(A138,Enforcements!$C$7:$K$20,8,0)</f>
        <v>Speed (6)</v>
      </c>
      <c r="AC138" s="60" t="str">
        <f>VLOOKUP(A138,Enforcements!$C$7:$E$20,3,0)</f>
        <v>PERMANENT SPEED RESTRICTION</v>
      </c>
      <c r="AD138" s="61" t="str">
        <f t="shared" si="30"/>
        <v>0221-23</v>
      </c>
      <c r="AE138" s="91" t="str">
        <f t="shared" si="31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38" s="88" t="str">
        <f t="shared" si="32"/>
        <v>"C:\Program Files (x86)\AstroGrep\AstroGrep.exe" /spath="%USERPROFILE%\AppData\Local\Temp\OnboardLogs" /stypes="app*4003*20161124*" /stext=" 02:.+((SYSTEM_STATE.+slice.+state.+changed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221-23 --locoid 4003 --swversion DE.1.0.8.0 --startMP 204:48700 --initTime 2016-11-23T18:53:04 --startdatetime 2016-11-23T19:04:45 --delay 1 --endMP 204:233314 --enddatetime 2016-11-23T19:39:23 --enforcementcount 1 &gt;&gt;C:\Users\stu\Documents\GitHub\eaglep3-reporting\EC\2016-11-23-refined-times.txt</v>
      </c>
      <c r="AI138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{"issue":{"subject":"","project_id":79,"tracker_id":40,"status_id":1,"priority_id":2,"assigned_to_id":23,"start_date":"2016-11-23","description":"","custom_fields":[{"id":1,"name":"Subdivision","value":"EC"},{"id":4,"name":"Milepost","value":"23.3314"},{"id":17,"name":"Train ID","value":"221-23"},{"id":16,"name":"Locomotive ID","value":"4003"},{"id":130,"name":"Impact","value":""},{"id":150,"name":"Time of Event (Mountain Time)","value":"19:39:23"},{"id":151,"name":"Denver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598</v>
      </c>
      <c r="B139" s="7">
        <v>4004</v>
      </c>
      <c r="C139" s="22" t="s">
        <v>217</v>
      </c>
      <c r="D139" s="22" t="s">
        <v>650</v>
      </c>
      <c r="E139" s="13">
        <v>42697.8280787037</v>
      </c>
      <c r="F139" s="13">
        <v>42697.830891203703</v>
      </c>
      <c r="G139" s="7">
        <v>0</v>
      </c>
      <c r="H139" s="22" t="s">
        <v>326</v>
      </c>
      <c r="I139" s="13">
        <v>42697.858634259261</v>
      </c>
      <c r="J139" s="7">
        <v>0</v>
      </c>
      <c r="K139" s="109" t="str">
        <f t="shared" si="19"/>
        <v>4003/4004</v>
      </c>
      <c r="L139" s="22" t="str">
        <f>VLOOKUP(A139,'Trips&amp;Operators'!$C$1:$E$10000,3,FALSE)</f>
        <v>STAMBAUGH</v>
      </c>
      <c r="M139" s="6">
        <f t="shared" si="20"/>
        <v>2.7743055557948537E-2</v>
      </c>
      <c r="N139" s="7">
        <f t="shared" si="21"/>
        <v>39.950000003445894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18:52:26-700',mode:absolute,to:'2016-11-23 21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23.2989</v>
      </c>
      <c r="Z139" s="67">
        <f t="shared" si="28"/>
        <v>1.34E-2</v>
      </c>
      <c r="AA139" s="67">
        <f t="shared" si="29"/>
        <v>23.285499999999999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0"/>
        <v>0222-23</v>
      </c>
      <c r="AE139" s="91" t="str">
        <f t="shared" si="31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139" s="88" t="str">
        <f t="shared" si="32"/>
        <v>"C:\Program Files (x86)\AstroGrep\AstroGrep.exe" /spath="%USERPROFILE%\AppData\Local\Temp\OnboardLogs" /stypes="app*4004*20161124*" /stext=" 03:.+((SYSTEM_STATE.+slice.+state.+changed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222-23 --locoid 4004 --swversion DE.1.0.8.0 --startMP 204:232989 --initTime 2016-11-23T19:52:26 --startdatetime 2016-11-23T19:56:29 --delay 0 --endMP 204:134 --enddatetime 2016-11-23T20:36:26 --enforcementcount 0 &gt;&gt;C:\Users\stu\Documents\GitHub\eaglep3-reporting\EC\2016-11-23-refined-times.txt</v>
      </c>
      <c r="AI139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{"issue":{"subject":"","project_id":79,"tracker_id":40,"status_id":1,"priority_id":2,"assigned_to_id":23,"start_date":"2016-11-23","description":"","custom_fields":[{"id":1,"name":"Subdivision","value":"EC"},{"id":4,"name":"Milepost","value":"0.0134"},{"id":17,"name":"Train ID","value":"222-23"},{"id":16,"name":"Locomotive ID","value":"4004"},{"id":130,"name":"Impact","value":""},{"id":150,"name":"Time of Event (Mountain Time)","value":"20:36:26"},{"id":151,"name":"Denver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596</v>
      </c>
      <c r="B140" s="7">
        <v>4029</v>
      </c>
      <c r="C140" s="22" t="s">
        <v>217</v>
      </c>
      <c r="D140" s="22" t="s">
        <v>325</v>
      </c>
      <c r="E140" s="13">
        <v>42697.80846064815</v>
      </c>
      <c r="F140" s="13">
        <v>42697.812731481485</v>
      </c>
      <c r="G140" s="7">
        <v>2</v>
      </c>
      <c r="H140" s="22" t="s">
        <v>305</v>
      </c>
      <c r="I140" s="13">
        <v>42697.840763888889</v>
      </c>
      <c r="J140" s="7">
        <v>0</v>
      </c>
      <c r="K140" s="109" t="str">
        <f t="shared" si="19"/>
        <v>4029/4030</v>
      </c>
      <c r="L140" s="22" t="str">
        <f>VLOOKUP(A140,'Trips&amp;Operators'!$C$1:$E$10000,3,FALSE)</f>
        <v>SAFIEF</v>
      </c>
      <c r="M140" s="6">
        <f t="shared" si="20"/>
        <v>2.8032407404680271E-2</v>
      </c>
      <c r="N140" s="7">
        <f t="shared" si="21"/>
        <v>40.36666666273959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https://search-rtdc-monitor-bjffxe2xuh6vdkpspy63sjmuny.us-east-1.es.amazonaws.com/_plugin/kibana/#/discover/Steve-Slow-Train-Analysis-(2080s-and-2083s)?_g=(refreshInterval:(display:Off,section:0,value:0),time:(from:'2016-11-23 18:24:11-700',mode:absolute,to:'2016-11-23 21:10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4.4400000000000002E-2</v>
      </c>
      <c r="Z140" s="67">
        <f t="shared" si="28"/>
        <v>23.331700000000001</v>
      </c>
      <c r="AA140" s="67">
        <f t="shared" si="29"/>
        <v>23.287300000000002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0"/>
        <v>0223-23</v>
      </c>
      <c r="AE140" s="91" t="str">
        <f t="shared" si="31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40" s="88" t="str">
        <f t="shared" si="32"/>
        <v>"C:\Program Files (x86)\AstroGrep\AstroGrep.exe" /spath="%USERPROFILE%\AppData\Local\Temp\OnboardLogs" /stypes="app*4029*20161124*" /stext=" 03:.+((SYSTEM_STATE.+slice.+state.+changed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223-23 --locoid 4029 --swversion DE.1.0.8.0 --startMP 204:444 --initTime 2016-11-23T19:24:11 --startdatetime 2016-11-23T19:30:20 --delay 2 --endMP 204:233317 --enddatetime 2016-11-23T20:10:42 --enforcementcount 0 &gt;&gt;C:\Users\stu\Documents\GitHub\eaglep3-reporting\EC\2016-11-23-refined-times.txt</v>
      </c>
      <c r="AI140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{"issue":{"subject":"","project_id":79,"tracker_id":40,"status_id":1,"priority_id":2,"assigned_to_id":23,"start_date":"2016-11-23","description":"","custom_fields":[{"id":1,"name":"Subdivision","value":"EC"},{"id":4,"name":"Milepost","value":"23.3317"},{"id":17,"name":"Train ID","value":"223-23"},{"id":16,"name":"Locomotive ID","value":"4029"},{"id":130,"name":"Impact","value":""},{"id":150,"name":"Time of Event (Mountain Time)","value":"20:10:42"},{"id":151,"name":"Denver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600</v>
      </c>
      <c r="B141" s="7">
        <v>4030</v>
      </c>
      <c r="C141" s="22" t="s">
        <v>217</v>
      </c>
      <c r="D141" s="22" t="s">
        <v>650</v>
      </c>
      <c r="E141" s="13">
        <v>42697.842407407406</v>
      </c>
      <c r="F141" s="13">
        <v>42697.851585648146</v>
      </c>
      <c r="G141" s="7">
        <v>1</v>
      </c>
      <c r="H141" s="22" t="s">
        <v>260</v>
      </c>
      <c r="I141" s="13">
        <v>42697.878541666665</v>
      </c>
      <c r="J141" s="7">
        <v>0</v>
      </c>
      <c r="K141" s="109" t="str">
        <f t="shared" ref="K141:K204" si="36">IF(ISEVEN(B141),(B141-1)&amp;"/"&amp;B141,B141&amp;"/"&amp;(B141+1))</f>
        <v>4029/4030</v>
      </c>
      <c r="L141" s="22" t="str">
        <f>VLOOKUP(A141,'Trips&amp;Operators'!$C$1:$E$10000,3,FALSE)</f>
        <v>SAFIEF</v>
      </c>
      <c r="M141" s="6">
        <f t="shared" ref="M141:M204" si="37">I141-F141</f>
        <v>2.6956018518831115E-2</v>
      </c>
      <c r="N141" s="7">
        <f t="shared" ref="N141:N204" si="38">24*60*SUM($M141:$M141)</f>
        <v>38.816666667116806</v>
      </c>
      <c r="O141" s="7"/>
      <c r="P141" s="7"/>
      <c r="Q141" s="23"/>
      <c r="R141" s="23"/>
      <c r="S141" s="35">
        <f t="shared" ref="S141:S204" si="39">SUM(U141:U141)/IF(AG141="EC",12,1)</f>
        <v>1</v>
      </c>
      <c r="T141" s="50" t="str">
        <f t="shared" ref="T141:T204" si="40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https://search-rtdc-monitor-bjffxe2xuh6vdkpspy63sjmuny.us-east-1.es.amazonaws.com/_plugin/kibana/#/discover/Steve-Slow-Train-Analysis-(2080s-and-2083s)?_g=(refreshInterval:(display:Off,section:0,value:0),time:(from:'2016-11-23 19:13:04-700',mode:absolute,to:'2016-11-23 22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1" s="52" t="str">
        <f t="shared" ref="W141:W204" si="42">IF(AA141&lt;IF(AG141="EC",23,5.65),"Y","N")</f>
        <v>N</v>
      </c>
      <c r="X141" s="177">
        <f t="shared" ref="X141:X204" si="43">VALUE(LEFT(AD141,4))-VALUE(LEFT(AD140,4))</f>
        <v>1</v>
      </c>
      <c r="Y141" s="67">
        <f t="shared" ref="Y141:Y204" si="44">RIGHT(D141,LEN(D141)-4)/10000</f>
        <v>23.2989</v>
      </c>
      <c r="Z141" s="67">
        <f t="shared" ref="Z141:Z204" si="45">RIGHT(H141,LEN(H141)-4)/10000</f>
        <v>1.32E-2</v>
      </c>
      <c r="AA141" s="67">
        <f t="shared" ref="AA141:AA204" si="46">ABS(Z141-Y141)</f>
        <v>23.285699999999999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47">IF(LEN(A141)=6,"0"&amp;A141,A141)</f>
        <v>0224-23</v>
      </c>
      <c r="AE141" s="91" t="str">
        <f t="shared" ref="AE141:AE204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41" s="88" t="str">
        <f t="shared" ref="AF141:AF204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/stypes="app*4030*20161124*" /stext=" 04:.+((SYSTEM_STATE.+slice.+state.+changed )|(ment ac)|(multiple cpu faults)|(system.+state.+changed )|(\[timeout)|(PRM\|1\|D)|(kpr)|(kdp)|(\|lc)|(penalty))" /e /r /s</v>
      </c>
      <c r="AG141" s="1" t="str">
        <f t="shared" ref="AG141:AG204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224-23 --locoid 4030 --swversion DE.1.0.8.0 --startMP 204:232989 --initTime 2016-11-23T20:13:04 --startdatetime 2016-11-23T20:26:17 --delay 1 --endMP 204:132 --enddatetime 2016-11-23T21:05:06 --enforcementcount 0 &gt;&gt;C:\Users\stu\Documents\GitHub\eaglep3-reporting\EC\2016-11-23-refined-times.txt</v>
      </c>
      <c r="AI141" s="119" t="str">
        <f t="shared" si="35"/>
        <v>echo {"issue":{"subject":"","project_id":79,"tracker_id":40,"status_id":1,"priority_id":2,"assigned_to_id":23,"start_date":"2016-11-23","description":"","custom_fields":[{"id":1,"name":"Subdivision","value":"EC"},{"id":4,"name":"Milepost","value":"0.0132"},{"id":17,"name":"Train ID","value":"224-23"},{"id":16,"name":"Locomotive ID","value":"4030"},{"id":130,"name":"Impact","value":""},{"id":150,"name":"Time of Event (Mountain Time)","value":"21:05:06"},{"id":151,"name":"Denver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599</v>
      </c>
      <c r="B142" s="7">
        <v>4025</v>
      </c>
      <c r="C142" s="22" t="s">
        <v>217</v>
      </c>
      <c r="D142" s="22" t="s">
        <v>273</v>
      </c>
      <c r="E142" s="13">
        <v>42697.831018518518</v>
      </c>
      <c r="F142" s="13">
        <v>42697.833495370367</v>
      </c>
      <c r="G142" s="7">
        <v>1</v>
      </c>
      <c r="H142" s="22" t="s">
        <v>705</v>
      </c>
      <c r="I142" s="13">
        <v>42697.858148148145</v>
      </c>
      <c r="J142" s="7">
        <v>0</v>
      </c>
      <c r="K142" s="109" t="str">
        <f t="shared" si="36"/>
        <v>4025/4026</v>
      </c>
      <c r="L142" s="22" t="str">
        <f>VLOOKUP(A142,'Trips&amp;Operators'!$C$1:$E$10000,3,FALSE)</f>
        <v>LEVIN</v>
      </c>
      <c r="M142" s="6">
        <f t="shared" si="37"/>
        <v>2.4652777778101154E-2</v>
      </c>
      <c r="N142" s="7">
        <f t="shared" si="38"/>
        <v>35.500000000465661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18:56:40-700',mode:absolute,to:'2016-11-23 21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4.5499999999999999E-2</v>
      </c>
      <c r="Z142" s="67">
        <f t="shared" si="45"/>
        <v>23.332699999999999</v>
      </c>
      <c r="AA142" s="67">
        <f t="shared" si="46"/>
        <v>23.287199999999999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0225-23</v>
      </c>
      <c r="AE142" s="91" t="str">
        <f t="shared" si="48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142" s="88" t="str">
        <f t="shared" si="49"/>
        <v>"C:\Program Files (x86)\AstroGrep\AstroGrep.exe" /spath="%USERPROFILE%\AppData\Local\Temp\OnboardLogs" /stypes="app*4025*20161124*" /stext=" 03:.+((SYSTEM_STATE.+slice.+state.+changed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5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225-23 --locoid 4025 --swversion DE.1.0.8.0 --startMP 204:455 --initTime 2016-11-23T19:56:40 --startdatetime 2016-11-23T20:00:14 --delay 1 --endMP 204:233327 --enddatetime 2016-11-23T20:35:44 --enforcementcount 0 &gt;&gt;C:\Users\stu\Documents\GitHub\eaglep3-reporting\EC\2016-11-23-refined-times.txt</v>
      </c>
      <c r="AI142" s="119" t="str">
        <f t="shared" ref="AI142:AI205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{"issue":{"subject":"","project_id":79,"tracker_id":40,"status_id":1,"priority_id":2,"assigned_to_id":23,"start_date":"2016-11-23","description":"","custom_fields":[{"id":1,"name":"Subdivision","value":"EC"},{"id":4,"name":"Milepost","value":"23.3327"},{"id":17,"name":"Train ID","value":"225-23"},{"id":16,"name":"Locomotive ID","value":"4025"},{"id":130,"name":"Impact","value":""},{"id":150,"name":"Time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605</v>
      </c>
      <c r="B143" s="7">
        <v>4026</v>
      </c>
      <c r="C143" s="22" t="s">
        <v>217</v>
      </c>
      <c r="D143" s="22" t="s">
        <v>706</v>
      </c>
      <c r="E143" s="13">
        <v>42697.868726851855</v>
      </c>
      <c r="F143" s="13">
        <v>42697.872488425928</v>
      </c>
      <c r="G143" s="7">
        <v>1</v>
      </c>
      <c r="H143" s="22" t="s">
        <v>707</v>
      </c>
      <c r="I143" s="13">
        <v>42697.898553240739</v>
      </c>
      <c r="J143" s="7">
        <v>0</v>
      </c>
      <c r="K143" s="109" t="str">
        <f t="shared" si="36"/>
        <v>4025/4026</v>
      </c>
      <c r="L143" s="22" t="str">
        <f>VLOOKUP(A143,'Trips&amp;Operators'!$C$1:$E$10000,3,FALSE)</f>
        <v>LEVIN</v>
      </c>
      <c r="M143" s="6">
        <f t="shared" si="37"/>
        <v>2.6064814810524695E-2</v>
      </c>
      <c r="N143" s="7">
        <f t="shared" si="38"/>
        <v>37.53333332715556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19:50:58-700',mode:absolute,to:'2016-11-23 22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23.302499999999998</v>
      </c>
      <c r="Z143" s="67">
        <f t="shared" si="45"/>
        <v>1.23E-2</v>
      </c>
      <c r="AA143" s="67">
        <f t="shared" si="46"/>
        <v>23.290199999999999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7"/>
        <v>0226-23</v>
      </c>
      <c r="AE143" s="91" t="str">
        <f t="shared" si="48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43" s="88" t="str">
        <f t="shared" si="49"/>
        <v>"C:\Program Files (x86)\AstroGrep\AstroGrep.exe" /spath="%USERPROFILE%\AppData\Local\Temp\OnboardLogs" /stypes="app*4026*20161124*" /stext=" 04:.+((SYSTEM_STATE.+slice.+state.+changed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226-23 --locoid 4026 --swversion DE.1.0.8.0 --startMP 204:233025 --initTime 2016-11-23T20:50:58 --startdatetime 2016-11-23T20:56:23 --delay 1 --endMP 204:123 --enddatetime 2016-11-23T21:33:55 --enforcementcount 0 &gt;&gt;C:\Users\stu\Documents\GitHub\eaglep3-reporting\EC\2016-11-23-refined-times.txt</v>
      </c>
      <c r="AI143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{"issue":{"subject":"","project_id":79,"tracker_id":40,"status_id":1,"priority_id":2,"assigned_to_id":23,"start_date":"2016-11-23","description":"","custom_fields":[{"id":1,"name":"Subdivision","value":"EC"},{"id":4,"name":"Milepost","value":"0.0123"},{"id":17,"name":"Train ID","value":"226-23"},{"id":16,"name":"Locomotive ID","value":"4026"},{"id":130,"name":"Impact","value":""},{"id":150,"name":"Time of Event (Mountain Time)","value":"21:33:55"},{"id":151,"name":"Denver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602</v>
      </c>
      <c r="B144" s="7">
        <v>4046</v>
      </c>
      <c r="C144" s="22" t="s">
        <v>217</v>
      </c>
      <c r="D144" s="22" t="s">
        <v>219</v>
      </c>
      <c r="E144" s="13">
        <v>42697.85052083333</v>
      </c>
      <c r="F144" s="13">
        <v>42697.854386574072</v>
      </c>
      <c r="G144" s="7">
        <v>2</v>
      </c>
      <c r="H144" s="22" t="s">
        <v>708</v>
      </c>
      <c r="I144" s="13">
        <v>42697.879155092596</v>
      </c>
      <c r="J144" s="7">
        <v>0</v>
      </c>
      <c r="K144" s="109" t="str">
        <f t="shared" si="36"/>
        <v>4045/4046</v>
      </c>
      <c r="L144" s="22" t="str">
        <f>VLOOKUP(A144,'Trips&amp;Operators'!$C$1:$E$10000,3,FALSE)</f>
        <v>COOLAHAN</v>
      </c>
      <c r="M144" s="6">
        <f t="shared" si="37"/>
        <v>2.4768518524069805E-2</v>
      </c>
      <c r="N144" s="7">
        <f t="shared" si="38"/>
        <v>35.666666674660519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19:24:45-700',mode:absolute,to:'2016-11-23 22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4.58E-2</v>
      </c>
      <c r="Z144" s="67">
        <f t="shared" si="45"/>
        <v>23.334700000000002</v>
      </c>
      <c r="AA144" s="67">
        <f t="shared" si="46"/>
        <v>23.288900000000002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0227-23</v>
      </c>
      <c r="AE144" s="91" t="str">
        <f t="shared" si="48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44" s="88" t="str">
        <f t="shared" si="49"/>
        <v>"C:\Program Files (x86)\AstroGrep\AstroGrep.exe" /spath="%USERPROFILE%\AppData\Local\Temp\OnboardLogs" /stypes="app*4046*20161124*" /stext=" 04:.+((SYSTEM_STATE.+slice.+state.+changed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227-23 --locoid 4046 --swversion DE.1.0.8.0 --startMP 204:458 --initTime 2016-11-23T20:24:45 --startdatetime 2016-11-23T20:30:19 --delay 2 --endMP 204:233347 --enddatetime 2016-11-23T21:05:59 --enforcementcount 0 &gt;&gt;C:\Users\stu\Documents\GitHub\eaglep3-reporting\EC\2016-11-23-refined-times.txt</v>
      </c>
      <c r="AI144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{"issue":{"subject":"","project_id":79,"tracker_id":40,"status_id":1,"priority_id":2,"assigned_to_id":23,"start_date":"2016-11-23","description":"","custom_fields":[{"id":1,"name":"Subdivision","value":"EC"},{"id":4,"name":"Milepost","value":"23.3347"},{"id":17,"name":"Train ID","value":"227-23"},{"id":16,"name":"Locomotive ID","value":"4046"},{"id":130,"name":"Impact","value":""},{"id":150,"name":"Time of Event (Mountain Time)","value":"21:05:59"},{"id":151,"name":"Denver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608</v>
      </c>
      <c r="B145" s="7">
        <v>4045</v>
      </c>
      <c r="C145" s="22" t="s">
        <v>217</v>
      </c>
      <c r="D145" s="22" t="s">
        <v>674</v>
      </c>
      <c r="E145" s="13">
        <v>42697.885243055556</v>
      </c>
      <c r="F145" s="13">
        <v>42697.89335648148</v>
      </c>
      <c r="G145" s="7">
        <v>1</v>
      </c>
      <c r="H145" s="22" t="s">
        <v>292</v>
      </c>
      <c r="I145" s="13">
        <v>42697.920810185184</v>
      </c>
      <c r="J145" s="7">
        <v>0</v>
      </c>
      <c r="K145" s="109" t="str">
        <f t="shared" si="36"/>
        <v>4045/4046</v>
      </c>
      <c r="L145" s="22" t="str">
        <f>VLOOKUP(A145,'Trips&amp;Operators'!$C$1:$E$10000,3,FALSE)</f>
        <v>COOLAHAN</v>
      </c>
      <c r="M145" s="6">
        <f t="shared" si="37"/>
        <v>2.7453703703940846E-2</v>
      </c>
      <c r="N145" s="7">
        <f t="shared" si="38"/>
        <v>39.533333333674818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20:14:45-700',mode:absolute,to:'2016-11-23 23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23.3019</v>
      </c>
      <c r="Z145" s="67">
        <f t="shared" si="45"/>
        <v>1.3899999999999999E-2</v>
      </c>
      <c r="AA145" s="67">
        <f t="shared" si="46"/>
        <v>23.288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0228-23</v>
      </c>
      <c r="AE145" s="91" t="str">
        <f t="shared" si="48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45" s="88" t="str">
        <f t="shared" si="49"/>
        <v>"C:\Program Files (x86)\AstroGrep\AstroGrep.exe" /spath="%USERPROFILE%\AppData\Local\Temp\OnboardLogs" /stypes="app*4045*20161124*" /stext=" 05:.+((SYSTEM_STATE.+slice.+state.+changed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228-23 --locoid 4045 --swversion DE.1.0.8.0 --startMP 204:233019 --initTime 2016-11-23T21:14:45 --startdatetime 2016-11-23T21:26:26 --delay 1 --endMP 204:139 --enddatetime 2016-11-23T22:05:58 --enforcementcount 0 &gt;&gt;C:\Users\stu\Documents\GitHub\eaglep3-reporting\EC\2016-11-23-refined-times.txt</v>
      </c>
      <c r="AI145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{"issue":{"subject":"","project_id":79,"tracker_id":40,"status_id":1,"priority_id":2,"assigned_to_id":23,"start_date":"2016-11-23","description":"","custom_fields":[{"id":1,"name":"Subdivision","value":"EC"},{"id":4,"name":"Milepost","value":"0.0139"},{"id":17,"name":"Train ID","value":"228-23"},{"id":16,"name":"Locomotive ID","value":"4045"},{"id":130,"name":"Impact","value":""},{"id":150,"name":"Time of Event (Mountain Time)","value":"22:05:58"},{"id":151,"name":"Denver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603</v>
      </c>
      <c r="B146" s="7">
        <v>4003</v>
      </c>
      <c r="C146" s="22" t="s">
        <v>217</v>
      </c>
      <c r="D146" s="22" t="s">
        <v>294</v>
      </c>
      <c r="E146" s="13">
        <v>42697.859664351854</v>
      </c>
      <c r="F146" s="13">
        <v>42697.875613425924</v>
      </c>
      <c r="G146" s="7">
        <v>1</v>
      </c>
      <c r="H146" s="22" t="s">
        <v>268</v>
      </c>
      <c r="I146" s="13">
        <v>42697.899872685186</v>
      </c>
      <c r="J146" s="7">
        <v>0</v>
      </c>
      <c r="K146" s="109" t="str">
        <f t="shared" si="36"/>
        <v>4003/4004</v>
      </c>
      <c r="L146" s="22" t="str">
        <f>VLOOKUP(A146,'Trips&amp;Operators'!$C$1:$E$10000,3,FALSE)</f>
        <v>STAMBAUGH</v>
      </c>
      <c r="M146" s="6">
        <f t="shared" si="37"/>
        <v>2.4259259262180422E-2</v>
      </c>
      <c r="N146" s="7">
        <f t="shared" si="38"/>
        <v>34.933333337539807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19:37:55-700',mode:absolute,to:'2016-11-23 22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4.7100000000000003E-2</v>
      </c>
      <c r="Z146" s="67">
        <f t="shared" si="45"/>
        <v>23.330400000000001</v>
      </c>
      <c r="AA146" s="67">
        <f t="shared" si="46"/>
        <v>23.283300000000001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0229-23</v>
      </c>
      <c r="AE146" s="91" t="str">
        <f t="shared" si="48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46" s="88" t="str">
        <f t="shared" si="49"/>
        <v>"C:\Program Files (x86)\AstroGrep\AstroGrep.exe" /spath="%USERPROFILE%\AppData\Local\Temp\OnboardLogs" /stypes="app*4003*20161124*" /stext=" 04:.+((SYSTEM_STATE.+slice.+state.+changed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229-23 --locoid 4003 --swversion DE.1.0.8.0 --startMP 204:471 --initTime 2016-11-23T20:37:55 --startdatetime 2016-11-23T21:00:53 --delay 1 --endMP 204:233304 --enddatetime 2016-11-23T21:35:49 --enforcementcount 0 &gt;&gt;C:\Users\stu\Documents\GitHub\eaglep3-reporting\EC\2016-11-23-refined-times.txt</v>
      </c>
      <c r="AI146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{"issue":{"subject":"","project_id":79,"tracker_id":40,"status_id":1,"priority_id":2,"assigned_to_id":23,"start_date":"2016-11-23","description":"","custom_fields":[{"id":1,"name":"Subdivision","value":"EC"},{"id":4,"name":"Milepost","value":"23.3304"},{"id":17,"name":"Train ID","value":"229-23"},{"id":16,"name":"Locomotive ID","value":"4003"},{"id":130,"name":"Impact","value":""},{"id":150,"name":"Time of Event (Mountain Time)","value":"21:35:49"},{"id":151,"name":"Denver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611</v>
      </c>
      <c r="B147" s="7">
        <v>4004</v>
      </c>
      <c r="C147" s="22" t="s">
        <v>217</v>
      </c>
      <c r="D147" s="22" t="s">
        <v>274</v>
      </c>
      <c r="E147" s="13">
        <v>42697.910694444443</v>
      </c>
      <c r="F147" s="13">
        <v>42697.914537037039</v>
      </c>
      <c r="G147" s="7">
        <v>1</v>
      </c>
      <c r="H147" s="22" t="s">
        <v>303</v>
      </c>
      <c r="I147" s="13">
        <v>42697.940555555557</v>
      </c>
      <c r="J147" s="7">
        <v>0</v>
      </c>
      <c r="K147" s="109" t="str">
        <f t="shared" si="36"/>
        <v>4003/4004</v>
      </c>
      <c r="L147" s="22" t="str">
        <f>VLOOKUP(A147,'Trips&amp;Operators'!$C$1:$E$10000,3,FALSE)</f>
        <v>STAMBAUGH</v>
      </c>
      <c r="M147" s="6">
        <f t="shared" si="37"/>
        <v>2.6018518517958E-2</v>
      </c>
      <c r="N147" s="7">
        <f t="shared" si="38"/>
        <v>37.46666666585952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20:51:24-700',mode:absolute,to:'2016-11-23 23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23.298300000000001</v>
      </c>
      <c r="Z147" s="67">
        <f t="shared" si="45"/>
        <v>1.2999999999999999E-2</v>
      </c>
      <c r="AA147" s="67">
        <f t="shared" si="46"/>
        <v>23.285299999999999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7"/>
        <v>0230-23</v>
      </c>
      <c r="AE147" s="91" t="str">
        <f t="shared" si="48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147" s="88" t="str">
        <f t="shared" si="49"/>
        <v>"C:\Program Files (x86)\AstroGrep\AstroGrep.exe" /spath="%USERPROFILE%\AppData\Local\Temp\OnboardLogs" /stypes="app*4004*20161124*" /stext=" 05:.+((SYSTEM_STATE.+slice.+state.+changed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230-23 --locoid 4004 --swversion DE.1.0.8.0 --startMP 204:232983 --initTime 2016-11-23T21:51:24 --startdatetime 2016-11-23T21:56:56 --delay 1 --endMP 204:130 --enddatetime 2016-11-23T22:34:24 --enforcementcount 0 &gt;&gt;C:\Users\stu\Documents\GitHub\eaglep3-reporting\EC\2016-11-23-refined-times.txt</v>
      </c>
      <c r="AI147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{"issue":{"subject":"","project_id":79,"tracker_id":40,"status_id":1,"priority_id":2,"assigned_to_id":23,"start_date":"2016-11-23","description":"","custom_fields":[{"id":1,"name":"Subdivision","value":"EC"},{"id":4,"name":"Milepost","value":"0.013"},{"id":17,"name":"Train ID","value":"230-23"},{"id":16,"name":"Locomotive ID","value":"4004"},{"id":130,"name":"Impact","value":""},{"id":150,"name":"Time of Event (Mountain Time)","value":"22:34:24"},{"id":151,"name":"Denver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607</v>
      </c>
      <c r="B148" s="7">
        <v>4029</v>
      </c>
      <c r="C148" s="22" t="s">
        <v>217</v>
      </c>
      <c r="D148" s="22" t="s">
        <v>199</v>
      </c>
      <c r="E148" s="13">
        <v>42697.879814814813</v>
      </c>
      <c r="F148" s="13">
        <v>42697.895972222221</v>
      </c>
      <c r="G148" s="7">
        <v>0</v>
      </c>
      <c r="H148" s="22" t="s">
        <v>375</v>
      </c>
      <c r="I148" s="13">
        <v>42697.920335648145</v>
      </c>
      <c r="J148" s="7">
        <v>0</v>
      </c>
      <c r="K148" s="109" t="str">
        <f t="shared" si="36"/>
        <v>4029/4030</v>
      </c>
      <c r="L148" s="22" t="str">
        <f>VLOOKUP(A148,'Trips&amp;Operators'!$C$1:$E$10000,3,FALSE)</f>
        <v>SAFIEF</v>
      </c>
      <c r="M148" s="6">
        <f t="shared" si="37"/>
        <v>2.4363425924093463E-2</v>
      </c>
      <c r="N148" s="7">
        <f t="shared" si="38"/>
        <v>35.083333330694586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20:06:56-700',mode:absolute,to:'2016-11-23 23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4.53E-2</v>
      </c>
      <c r="Z148" s="67">
        <f t="shared" si="45"/>
        <v>23.3308</v>
      </c>
      <c r="AA148" s="67">
        <f t="shared" si="46"/>
        <v>23.285499999999999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7"/>
        <v>0231-23</v>
      </c>
      <c r="AE148" s="91" t="str">
        <f t="shared" si="48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48" s="88" t="str">
        <f t="shared" si="49"/>
        <v>"C:\Program Files (x86)\AstroGrep\AstroGrep.exe" /spath="%USERPROFILE%\AppData\Local\Temp\OnboardLogs" /stypes="app*4029*20161124*" /stext=" 05:.+((SYSTEM_STATE.+slice.+state.+changed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231-23 --locoid 4029 --swversion DE.1.0.8.0 --startMP 204:453 --initTime 2016-11-23T21:06:56 --startdatetime 2016-11-23T21:30:12 --delay 0 --endMP 204:233308 --enddatetime 2016-11-23T22:05:17 --enforcementcount 0 &gt;&gt;C:\Users\stu\Documents\GitHub\eaglep3-reporting\EC\2016-11-23-refined-times.txt</v>
      </c>
      <c r="AI148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{"issue":{"subject":"","project_id":79,"tracker_id":40,"status_id":1,"priority_id":2,"assigned_to_id":23,"start_date":"2016-11-23","description":"","custom_fields":[{"id":1,"name":"Subdivision","value":"EC"},{"id":4,"name":"Milepost","value":"23.3308"},{"id":17,"name":"Train ID","value":"231-23"},{"id":16,"name":"Locomotive ID","value":"4029"},{"id":130,"name":"Impact","value":""},{"id":150,"name":"Time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612</v>
      </c>
      <c r="B149" s="7">
        <v>4030</v>
      </c>
      <c r="C149" s="22" t="s">
        <v>217</v>
      </c>
      <c r="D149" s="22" t="s">
        <v>650</v>
      </c>
      <c r="E149" s="13">
        <v>42697.922314814816</v>
      </c>
      <c r="F149" s="13">
        <v>42697.934988425928</v>
      </c>
      <c r="G149" s="7">
        <v>1</v>
      </c>
      <c r="H149" s="22" t="s">
        <v>226</v>
      </c>
      <c r="I149" s="13">
        <v>42697.960659722223</v>
      </c>
      <c r="J149" s="7">
        <v>0</v>
      </c>
      <c r="K149" s="109" t="str">
        <f t="shared" si="36"/>
        <v>4029/4030</v>
      </c>
      <c r="L149" s="22" t="str">
        <f>VLOOKUP(A149,'Trips&amp;Operators'!$C$1:$E$10000,3,FALSE)</f>
        <v>SAFIEF</v>
      </c>
      <c r="M149" s="6">
        <f t="shared" si="37"/>
        <v>2.5671296294603962E-2</v>
      </c>
      <c r="N149" s="7">
        <f t="shared" si="38"/>
        <v>36.966666664229706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21:08:08-700',mode:absolute,to:'2016-11-24 00:03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23.2989</v>
      </c>
      <c r="Z149" s="67">
        <f t="shared" si="45"/>
        <v>1.6E-2</v>
      </c>
      <c r="AA149" s="67">
        <f t="shared" si="46"/>
        <v>23.282900000000001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0232-23</v>
      </c>
      <c r="AE149" s="91" t="str">
        <f t="shared" si="48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149" s="88" t="str">
        <f t="shared" si="49"/>
        <v>"C:\Program Files (x86)\AstroGrep\AstroGrep.exe" /spath="%USERPROFILE%\AppData\Local\Temp\OnboardLogs" /stypes="app*4030*20161124*" /stext=" 06:.+((SYSTEM_STATE.+slice.+state.+changed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232-23 --locoid 4030 --swversion DE.1.0.8.0 --startMP 204:232989 --initTime 2016-11-23T22:08:08 --startdatetime 2016-11-23T22:26:23 --delay 1 --endMP 204:160 --enddatetime 2016-11-23T23:03:21 --enforcementcount 0 &gt;&gt;C:\Users\stu\Documents\GitHub\eaglep3-reporting\EC\2016-11-23-refined-times.txt</v>
      </c>
      <c r="AI149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{"issue":{"subject":"","project_id":79,"tracker_id":40,"status_id":1,"priority_id":2,"assigned_to_id":23,"start_date":"2016-11-23","description":"","custom_fields":[{"id":1,"name":"Subdivision","value":"EC"},{"id":4,"name":"Milepost","value":"0.016"},{"id":17,"name":"Train ID","value":"232-23"},{"id":16,"name":"Locomotive ID","value":"4030"},{"id":130,"name":"Impact","value":""},{"id":150,"name":"Time of Event (Mountain Time)","value":"23:03:21"},{"id":151,"name":"Denver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610</v>
      </c>
      <c r="B150" s="7">
        <v>4025</v>
      </c>
      <c r="C150" s="22" t="s">
        <v>217</v>
      </c>
      <c r="D150" s="22" t="s">
        <v>329</v>
      </c>
      <c r="E150" s="13">
        <v>42697.909363425926</v>
      </c>
      <c r="F150" s="13">
        <v>42697.916863425926</v>
      </c>
      <c r="G150" s="7">
        <v>1</v>
      </c>
      <c r="H150" s="22" t="s">
        <v>694</v>
      </c>
      <c r="I150" s="13">
        <v>42697.941284722219</v>
      </c>
      <c r="J150" s="7">
        <v>0</v>
      </c>
      <c r="K150" s="109" t="str">
        <f t="shared" si="36"/>
        <v>4025/4026</v>
      </c>
      <c r="L150" s="22" t="str">
        <f>VLOOKUP(A150,'Trips&amp;Operators'!$C$1:$E$10000,3,FALSE)</f>
        <v>LEVIN</v>
      </c>
      <c r="M150" s="6">
        <f t="shared" si="37"/>
        <v>2.4421296293439809E-2</v>
      </c>
      <c r="N150" s="7">
        <f t="shared" si="38"/>
        <v>35.166666662553325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20:49:29-700',mode:absolute,to:'2016-11-23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4.3799999999999999E-2</v>
      </c>
      <c r="Z150" s="67">
        <f t="shared" si="45"/>
        <v>23.334599999999998</v>
      </c>
      <c r="AA150" s="67">
        <f t="shared" si="46"/>
        <v>23.290799999999997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0233-23</v>
      </c>
      <c r="AE150" s="91" t="str">
        <f t="shared" si="48"/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AF150" s="88" t="str">
        <f t="shared" si="49"/>
        <v>"C:\Program Files (x86)\AstroGrep\AstroGrep.exe" /spath="%USERPROFILE%\AppData\Local\Temp\OnboardLogs" /stypes="app*4025*20161124*" /stext=" 05:.+((SYSTEM_STATE.+slice.+state.+changed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233-23 --locoid 4025 --swversion DE.1.0.8.0 --startMP 204:438 --initTime 2016-11-23T21:49:29 --startdatetime 2016-11-23T22:00:17 --delay 1 --endMP 204:233346 --enddatetime 2016-11-23T22:35:27 --enforcementcount 0 &gt;&gt;C:\Users\stu\Documents\GitHub\eaglep3-reporting\EC\2016-11-23-refined-times.txt</v>
      </c>
      <c r="AI150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{"issue":{"subject":"","project_id":79,"tracker_id":40,"status_id":1,"priority_id":2,"assigned_to_id":23,"start_date":"2016-11-23","description":"","custom_fields":[{"id":1,"name":"Subdivision","value":"EC"},{"id":4,"name":"Milepost","value":"23.3346"},{"id":17,"name":"Train ID","value":"233-23"},{"id":16,"name":"Locomotive ID","value":"4025"},{"id":130,"name":"Impact","value":""},{"id":150,"name":"Time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616</v>
      </c>
      <c r="B151" s="7">
        <v>4026</v>
      </c>
      <c r="C151" s="22" t="s">
        <v>217</v>
      </c>
      <c r="D151" s="22" t="s">
        <v>674</v>
      </c>
      <c r="E151" s="13">
        <v>42697.949849537035</v>
      </c>
      <c r="F151" s="13">
        <v>42697.955752314818</v>
      </c>
      <c r="G151" s="7">
        <v>1</v>
      </c>
      <c r="H151" s="22" t="s">
        <v>326</v>
      </c>
      <c r="I151" s="13">
        <v>42697.981712962966</v>
      </c>
      <c r="J151" s="7">
        <v>0</v>
      </c>
      <c r="K151" s="109" t="str">
        <f t="shared" si="36"/>
        <v>4025/4026</v>
      </c>
      <c r="L151" s="22" t="str">
        <f>VLOOKUP(A151,'Trips&amp;Operators'!$C$1:$E$10000,3,FALSE)</f>
        <v>LEVIN</v>
      </c>
      <c r="M151" s="6">
        <f t="shared" si="37"/>
        <v>2.5960648148611654E-2</v>
      </c>
      <c r="N151" s="7">
        <f t="shared" si="38"/>
        <v>37.383333334000781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21:47:47-700',mode:absolute,to:'2016-11-24 00:33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23.3019</v>
      </c>
      <c r="Z151" s="67">
        <f t="shared" si="45"/>
        <v>1.34E-2</v>
      </c>
      <c r="AA151" s="67">
        <f t="shared" si="46"/>
        <v>23.288499999999999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0234-23</v>
      </c>
      <c r="AE151" s="91" t="str">
        <f t="shared" si="48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151" s="88" t="str">
        <f t="shared" si="49"/>
        <v>"C:\Program Files (x86)\AstroGrep\AstroGrep.exe" /spath="%USERPROFILE%\AppData\Local\Temp\OnboardLogs" /stypes="app*4026*20161124*" /stext=" 06:.+((SYSTEM_STATE.+slice.+state.+changed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234-23 --locoid 4026 --swversion DE.1.0.8.0 --startMP 204:233019 --initTime 2016-11-23T22:47:47 --startdatetime 2016-11-23T22:56:17 --delay 1 --endMP 204:134 --enddatetime 2016-11-23T23:33:40 --enforcementcount 0 &gt;&gt;C:\Users\stu\Documents\GitHub\eaglep3-reporting\EC\2016-11-23-refined-times.txt</v>
      </c>
      <c r="AI151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{"issue":{"subject":"","project_id":79,"tracker_id":40,"status_id":1,"priority_id":2,"assigned_to_id":23,"start_date":"2016-11-23","description":"","custom_fields":[{"id":1,"name":"Subdivision","value":"EC"},{"id":4,"name":"Milepost","value":"0.0134"},{"id":17,"name":"Train ID","value":"234-23"},{"id":16,"name":"Locomotive ID","value":"4026"},{"id":130,"name":"Impact","value":""},{"id":150,"name":"Time of Event (Mountain Time)","value":"23:33:40"},{"id":151,"name":"Denver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431</v>
      </c>
      <c r="B152" s="7">
        <v>4046</v>
      </c>
      <c r="C152" s="22" t="s">
        <v>217</v>
      </c>
      <c r="D152" s="22" t="s">
        <v>665</v>
      </c>
      <c r="E152" s="13">
        <v>42697.934467592589</v>
      </c>
      <c r="F152" s="13">
        <v>42697.937789351854</v>
      </c>
      <c r="G152" s="7">
        <v>1</v>
      </c>
      <c r="H152" s="22" t="s">
        <v>323</v>
      </c>
      <c r="I152" s="13">
        <v>42697.962824074071</v>
      </c>
      <c r="J152" s="7">
        <v>1</v>
      </c>
      <c r="K152" s="109" t="str">
        <f t="shared" si="36"/>
        <v>4045/4046</v>
      </c>
      <c r="L152" s="22" t="str">
        <f>VLOOKUP(A152,'Trips&amp;Operators'!$C$1:$E$10000,3,FALSE)</f>
        <v>COOLAHAN</v>
      </c>
      <c r="M152" s="6">
        <f t="shared" si="37"/>
        <v>2.5034722217242233E-2</v>
      </c>
      <c r="N152" s="7">
        <f t="shared" si="38"/>
        <v>36.049999992828816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21:25:38-700',mode:absolute,to:'2016-11-24 00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4.2200000000000001E-2</v>
      </c>
      <c r="Z152" s="67">
        <f t="shared" si="45"/>
        <v>23.3306</v>
      </c>
      <c r="AA152" s="67">
        <f t="shared" si="46"/>
        <v>23.288399999999999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0235-23</v>
      </c>
      <c r="AE152" s="91" t="str">
        <f t="shared" si="48"/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AF152" s="88" t="str">
        <f t="shared" si="49"/>
        <v>"C:\Program Files (x86)\AstroGrep\AstroGrep.exe" /spath="%USERPROFILE%\AppData\Local\Temp\OnboardLogs" /stypes="app*4046*20161124*" /stext=" 06:.+((SYSTEM_STATE.+slice.+state.+changed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235-23 --locoid 4046 --swversion DE.1.0.8.0 --startMP 204:422 --initTime 2016-11-23T22:25:38 --startdatetime 2016-11-23T22:30:25 --delay 1 --endMP 204:233306 --enddatetime 2016-11-23T23:06:28 --enforcementcount 1 &gt;&gt;C:\Users\stu\Documents\GitHub\eaglep3-reporting\EC\2016-11-23-refined-times.txt</v>
      </c>
      <c r="AI152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{"issue":{"subject":"","project_id":79,"tracker_id":40,"status_id":1,"priority_id":2,"assigned_to_id":23,"start_date":"2016-11-23","description":"","custom_fields":[{"id":1,"name":"Subdivision","value":"EC"},{"id":4,"name":"Milepost","value":"23.3306"},{"id":17,"name":"Train ID","value":"235-23"},{"id":16,"name":"Locomotive ID","value":"4046"},{"id":130,"name":"Impact","value":""},{"id":150,"name":"Time of Event (Mountain Time)","value":"23:06:28"},{"id":151,"name":"Denver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618</v>
      </c>
      <c r="B153" s="7">
        <v>4045</v>
      </c>
      <c r="C153" s="22" t="s">
        <v>217</v>
      </c>
      <c r="D153" s="22" t="s">
        <v>709</v>
      </c>
      <c r="E153" s="13">
        <v>42697.985706018517</v>
      </c>
      <c r="F153" s="13">
        <v>42697.986886574072</v>
      </c>
      <c r="G153" s="7">
        <v>0</v>
      </c>
      <c r="H153" s="22" t="s">
        <v>292</v>
      </c>
      <c r="I153" s="13">
        <v>42698.006516203706</v>
      </c>
      <c r="J153" s="7">
        <v>0</v>
      </c>
      <c r="K153" s="109" t="str">
        <f t="shared" si="36"/>
        <v>4045/4046</v>
      </c>
      <c r="L153" s="22" t="str">
        <f>VLOOKUP(A153,'Trips&amp;Operators'!$C$1:$E$10000,3,FALSE)</f>
        <v>COOLAHAN</v>
      </c>
      <c r="M153" s="6">
        <f t="shared" si="37"/>
        <v>1.9629629634437151E-2</v>
      </c>
      <c r="N153" s="7"/>
      <c r="O153" s="7"/>
      <c r="P153" s="7">
        <f>24*60*SUM($M153:$M154)</f>
        <v>28.266666673589498</v>
      </c>
      <c r="Q153" s="23"/>
      <c r="R153" s="23" t="s">
        <v>848</v>
      </c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22:39:25-700',mode:absolute,to:'2016-11-24 01:09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52" t="str">
        <f t="shared" si="42"/>
        <v>Y</v>
      </c>
      <c r="X153" s="177">
        <f t="shared" si="43"/>
        <v>1</v>
      </c>
      <c r="Y153" s="67">
        <f t="shared" si="44"/>
        <v>15.3993</v>
      </c>
      <c r="Z153" s="67">
        <f t="shared" si="45"/>
        <v>1.3899999999999999E-2</v>
      </c>
      <c r="AA153" s="67">
        <f t="shared" si="46"/>
        <v>15.385400000000001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0236-23</v>
      </c>
      <c r="AE153" s="91" t="str">
        <f t="shared" si="48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53" s="88" t="str">
        <f t="shared" si="49"/>
        <v>"C:\Program Files (x86)\AstroGrep\AstroGrep.exe" /spath="%USERPROFILE%\AppData\Local\Temp\OnboardLogs" /stypes="app*4045*20161124*" /stext=" 07:.+((SYSTEM_STATE.+slice.+state.+changed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236-23 --locoid 4045 --swversion DE.1.0.8.0 --startMP 204:153993 --initTime 2016-11-23T23:39:25 --startdatetime 2016-11-23T23:41:07 --delay 0 --endMP 204:139 --enddatetime 2016-11-24T00:09:23 --enforcementcount 0 &gt;&gt;C:\Users\stu\Documents\GitHub\eaglep3-reporting\EC\2016-11-23-refined-times.txt</v>
      </c>
      <c r="AI153" s="119" t="str">
        <f t="shared" si="52"/>
        <v>echo {"issue":{"subject":"Onboard in-route failure","project_id":79,"tracker_id":40,"status_id":1,"priority_id":2,"assigned_to_id":23,"start_date":"2016-11-24","description":"multiple cpu faults around 06:20:20 UTC","custom_fields":[{"id":1,"name":"Subdivision","value":"EC"},{"id":4,"name":"Milepost","value":"0.0139"},{"id":17,"name":"Train ID","value":"236-23"},{"id":16,"name":"Locomotive ID","value":"4045"},{"id":130,"name":"Impact","value":"Failed State"},{"id":150,"name":"Time of Event (Mountain Time)","value":"00:09:23"},{"id":151,"name":"Denver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3" s="53" t="s">
        <v>850</v>
      </c>
      <c r="AK153" s="53" t="s">
        <v>128</v>
      </c>
      <c r="AL153" s="53" t="s">
        <v>177</v>
      </c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618</v>
      </c>
      <c r="B154" s="7">
        <v>4045</v>
      </c>
      <c r="C154" s="22" t="s">
        <v>217</v>
      </c>
      <c r="D154" s="22" t="s">
        <v>650</v>
      </c>
      <c r="E154" s="13">
        <v>42697.970914351848</v>
      </c>
      <c r="F154" s="13">
        <v>42697.986886574072</v>
      </c>
      <c r="G154" s="7">
        <v>1</v>
      </c>
      <c r="H154" s="22" t="s">
        <v>650</v>
      </c>
      <c r="I154" s="13">
        <v>42698.006516203706</v>
      </c>
      <c r="J154" s="7">
        <v>0</v>
      </c>
      <c r="K154" s="109" t="str">
        <f t="shared" si="36"/>
        <v>4045/4046</v>
      </c>
      <c r="L154" s="22" t="str">
        <f>VLOOKUP(A154,'Trips&amp;Operators'!$C$1:$E$10000,3,FALSE)</f>
        <v>COOLAHAN</v>
      </c>
      <c r="M154" s="6"/>
      <c r="N154" s="7"/>
      <c r="O154" s="7"/>
      <c r="P154" s="7"/>
      <c r="Q154" s="23"/>
      <c r="R154" s="23"/>
      <c r="S154" s="35"/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22:18:07-700',mode:absolute,to:'2016-11-24 01:09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4" s="52" t="str">
        <f t="shared" si="42"/>
        <v>Y</v>
      </c>
      <c r="X154" s="177">
        <f t="shared" si="43"/>
        <v>0</v>
      </c>
      <c r="Y154" s="67">
        <f t="shared" si="44"/>
        <v>23.2989</v>
      </c>
      <c r="Z154" s="67">
        <f t="shared" si="45"/>
        <v>23.2989</v>
      </c>
      <c r="AA154" s="67">
        <f t="shared" si="46"/>
        <v>0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0236-23</v>
      </c>
      <c r="AE154" s="91" t="str">
        <f t="shared" si="48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54" s="88" t="str">
        <f t="shared" si="49"/>
        <v>"C:\Program Files (x86)\AstroGrep\AstroGrep.exe" /spath="%USERPROFILE%\AppData\Local\Temp\OnboardLogs" /stypes="app*4045*20161124*" /stext=" 07:.+((SYSTEM_STATE.+slice.+state.+changed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236-23 --locoid 4045 --swversion DE.1.0.8.0 --startMP 204:232989 --initTime 2016-11-23T23:18:07 --startdatetime 2016-11-23T23:41:07 --delay 1 --endMP 204:232989 --enddatetime 2016-11-24T00:09:23 --enforcementcount 0 &gt;&gt;C:\Users\stu\Documents\GitHub\eaglep3-reporting\EC\2016-11-23-refined-times.txt</v>
      </c>
      <c r="AI154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{"issue":{"subject":"","project_id":79,"tracker_id":40,"status_id":1,"priority_id":2,"assigned_to_id":23,"start_date":"2016-11-24","description":"","custom_fields":[{"id":1,"name":"Subdivision","value":"EC"},{"id":4,"name":"Milepost","value":"23.2989"},{"id":17,"name":"Train ID","value":"236-23"},{"id":16,"name":"Locomotive ID","value":"4045"},{"id":130,"name":"Impact","value":""},{"id":150,"name":"Time of Event (Mountain Time)","value":"00:09:23"},{"id":151,"name":"Denver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618</v>
      </c>
      <c r="B155" s="7">
        <v>4045</v>
      </c>
      <c r="C155" s="22" t="s">
        <v>217</v>
      </c>
      <c r="D155" s="22" t="s">
        <v>650</v>
      </c>
      <c r="E155" s="13">
        <v>42697.970914351848</v>
      </c>
      <c r="F155" s="13">
        <v>42697.986886574072</v>
      </c>
      <c r="G155" s="7">
        <v>3</v>
      </c>
      <c r="H155" s="22" t="s">
        <v>650</v>
      </c>
      <c r="I155" s="13">
        <v>42698.006516203706</v>
      </c>
      <c r="J155" s="7">
        <v>0</v>
      </c>
      <c r="K155" s="109" t="str">
        <f t="shared" si="36"/>
        <v>4045/4046</v>
      </c>
      <c r="L155" s="22" t="str">
        <f>VLOOKUP(A155,'Trips&amp;Operators'!$C$1:$E$10000,3,FALSE)</f>
        <v>COOLAHAN</v>
      </c>
      <c r="M155" s="6"/>
      <c r="N155" s="7"/>
      <c r="O155" s="7"/>
      <c r="P155" s="7"/>
      <c r="Q155" s="23"/>
      <c r="R155" s="23"/>
      <c r="S155" s="35"/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22:18:07-700',mode:absolute,to:'2016-11-24 01:09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5" s="52" t="str">
        <f t="shared" si="42"/>
        <v>Y</v>
      </c>
      <c r="X155" s="177">
        <f t="shared" si="43"/>
        <v>0</v>
      </c>
      <c r="Y155" s="67">
        <f t="shared" si="44"/>
        <v>23.2989</v>
      </c>
      <c r="Z155" s="67">
        <f t="shared" si="45"/>
        <v>23.2989</v>
      </c>
      <c r="AA155" s="67">
        <f t="shared" si="46"/>
        <v>0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0236-23</v>
      </c>
      <c r="AE155" s="91" t="str">
        <f t="shared" si="48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155" s="88" t="str">
        <f t="shared" si="49"/>
        <v>"C:\Program Files (x86)\AstroGrep\AstroGrep.exe" /spath="%USERPROFILE%\AppData\Local\Temp\OnboardLogs" /stypes="app*4045*20161124*" /stext=" 07:.+((SYSTEM_STATE.+slice.+state.+changed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236-23 --locoid 4045 --swversion DE.1.0.8.0 --startMP 204:232989 --initTime 2016-11-23T23:18:07 --startdatetime 2016-11-23T23:41:07 --delay 3 --endMP 204:232989 --enddatetime 2016-11-24T00:09:23 --enforcementcount 0 &gt;&gt;C:\Users\stu\Documents\GitHub\eaglep3-reporting\EC\2016-11-23-refined-times.txt</v>
      </c>
      <c r="AI155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{"issue":{"subject":"","project_id":79,"tracker_id":40,"status_id":1,"priority_id":2,"assigned_to_id":23,"start_date":"2016-11-24","description":"","custom_fields":[{"id":1,"name":"Subdivision","value":"EC"},{"id":4,"name":"Milepost","value":"23.2989"},{"id":17,"name":"Train ID","value":"236-23"},{"id":16,"name":"Locomotive ID","value":"4045"},{"id":130,"name":"Impact","value":""},{"id":150,"name":"Time of Event (Mountain Time)","value":"00:09:23"},{"id":151,"name":"Denver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614</v>
      </c>
      <c r="B156" s="7">
        <v>4003</v>
      </c>
      <c r="C156" s="22" t="s">
        <v>217</v>
      </c>
      <c r="D156" s="22" t="s">
        <v>273</v>
      </c>
      <c r="E156" s="13">
        <v>42697.942175925928</v>
      </c>
      <c r="F156" s="13">
        <v>42697.958865740744</v>
      </c>
      <c r="G156" s="7">
        <v>1</v>
      </c>
      <c r="H156" s="22" t="s">
        <v>374</v>
      </c>
      <c r="I156" s="13">
        <v>42697.982905092591</v>
      </c>
      <c r="J156" s="7">
        <v>0</v>
      </c>
      <c r="K156" s="109" t="str">
        <f t="shared" si="36"/>
        <v>4003/4004</v>
      </c>
      <c r="L156" s="22" t="str">
        <f>VLOOKUP(A156,'Trips&amp;Operators'!$C$1:$E$10000,3,FALSE)</f>
        <v>STAMBAUGH</v>
      </c>
      <c r="M156" s="6">
        <f t="shared" si="37"/>
        <v>2.4039351847022772E-2</v>
      </c>
      <c r="N156" s="7">
        <f t="shared" si="38"/>
        <v>34.616666659712791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21:36:44-700',mode:absolute,to:'2016-11-24 00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4.5499999999999999E-2</v>
      </c>
      <c r="Z156" s="67">
        <f t="shared" si="45"/>
        <v>23.3338</v>
      </c>
      <c r="AA156" s="67">
        <f t="shared" si="46"/>
        <v>23.2883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0237-23</v>
      </c>
      <c r="AE156" s="91" t="str">
        <f t="shared" si="48"/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AF156" s="88" t="str">
        <f t="shared" si="49"/>
        <v>"C:\Program Files (x86)\AstroGrep\AstroGrep.exe" /spath="%USERPROFILE%\AppData\Local\Temp\OnboardLogs" /stypes="app*4003*20161124*" /stext=" 06:.+((SYSTEM_STATE.+slice.+state.+changed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237-23 --locoid 4003 --swversion DE.1.0.8.0 --startMP 204:455 --initTime 2016-11-23T22:36:44 --startdatetime 2016-11-23T23:00:46 --delay 1 --endMP 204:233338 --enddatetime 2016-11-23T23:35:23 --enforcementcount 0 &gt;&gt;C:\Users\stu\Documents\GitHub\eaglep3-reporting\EC\2016-11-23-refined-times.txt</v>
      </c>
      <c r="AI156" s="119" t="str">
        <f t="shared" si="52"/>
        <v>echo {"issue":{"subject":"","project_id":79,"tracker_id":40,"status_id":1,"priority_id":2,"assigned_to_id":23,"start_date":"2016-11-23","description":"","custom_fields":[{"id":1,"name":"Subdivision","value":"EC"},{"id":4,"name":"Milepost","value":"23.3338"},{"id":17,"name":"Train ID","value":"237-23"},{"id":16,"name":"Locomotive ID","value":"4003"},{"id":130,"name":"Impact","value":""},{"id":150,"name":"Time of Event (Mountain Time)","value":"23:35:23"},{"id":151,"name":"Denver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619</v>
      </c>
      <c r="B157" s="7">
        <v>4004</v>
      </c>
      <c r="C157" s="22" t="s">
        <v>217</v>
      </c>
      <c r="D157" s="22" t="s">
        <v>710</v>
      </c>
      <c r="E157" s="13">
        <v>42697.992708333331</v>
      </c>
      <c r="F157" s="13">
        <v>42697.997511574074</v>
      </c>
      <c r="G157" s="7">
        <v>1</v>
      </c>
      <c r="H157" s="22" t="s">
        <v>221</v>
      </c>
      <c r="I157" s="13">
        <v>42698.023055555554</v>
      </c>
      <c r="J157" s="7">
        <v>0</v>
      </c>
      <c r="K157" s="109" t="str">
        <f t="shared" si="36"/>
        <v>4003/4004</v>
      </c>
      <c r="L157" s="22" t="str">
        <f>VLOOKUP(A157,'Trips&amp;Operators'!$C$1:$E$10000,3,FALSE)</f>
        <v>STAMBAUGH</v>
      </c>
      <c r="M157" s="6">
        <f t="shared" si="37"/>
        <v>2.5543981479131617E-2</v>
      </c>
      <c r="N157" s="7">
        <f t="shared" si="38"/>
        <v>36.783333329949528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22:49:30-700',mode:absolute,to:'2016-11-24 01:33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23.302800000000001</v>
      </c>
      <c r="Z157" s="67">
        <f t="shared" si="45"/>
        <v>1.5800000000000002E-2</v>
      </c>
      <c r="AA157" s="67">
        <f t="shared" si="46"/>
        <v>23.287000000000003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0238-23</v>
      </c>
      <c r="AE157" s="91" t="str">
        <f t="shared" si="48"/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AF157" s="88" t="str">
        <f t="shared" si="49"/>
        <v>"C:\Program Files (x86)\AstroGrep\AstroGrep.exe" /spath="%USERPROFILE%\AppData\Local\Temp\OnboardLogs" /stypes="app*4004*20161124*" /stext=" 07:.+((SYSTEM_STATE.+slice.+state.+changed )|(ment ac)|(multiple cpu faults)|(system.+state.+changed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238-23 --locoid 4004 --swversion DE.1.0.8.0 --startMP 204:233028 --initTime 2016-11-23T23:49:30 --startdatetime 2016-11-23T23:56:25 --delay 1 --endMP 204:158 --enddatetime 2016-11-24T00:33:12 --enforcementcount 0 &gt;&gt;C:\Users\stu\Documents\GitHub\eaglep3-reporting\EC\2016-11-23-refined-times.txt</v>
      </c>
      <c r="AI157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{"issue":{"subject":"","project_id":79,"tracker_id":40,"status_id":1,"priority_id":2,"assigned_to_id":23,"start_date":"2016-11-24","description":"","custom_fields":[{"id":1,"name":"Subdivision","value":"EC"},{"id":4,"name":"Milepost","value":"0.0158"},{"id":17,"name":"Train ID","value":"238-23"},{"id":16,"name":"Locomotive ID","value":"4004"},{"id":130,"name":"Impact","value":""},{"id":150,"name":"Time of Event (Mountain Time)","value":"00:33:12"},{"id":151,"name":"Denver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617</v>
      </c>
      <c r="B158" s="7">
        <v>4029</v>
      </c>
      <c r="C158" s="22" t="s">
        <v>217</v>
      </c>
      <c r="D158" s="22" t="s">
        <v>249</v>
      </c>
      <c r="E158" s="13">
        <v>42697.962824074071</v>
      </c>
      <c r="F158" s="13">
        <v>42697.979363425926</v>
      </c>
      <c r="G158" s="7">
        <v>1</v>
      </c>
      <c r="H158" s="22" t="s">
        <v>268</v>
      </c>
      <c r="I158" s="13">
        <v>42698.004189814812</v>
      </c>
      <c r="J158" s="7">
        <v>0</v>
      </c>
      <c r="K158" s="109" t="str">
        <f t="shared" si="36"/>
        <v>4029/4030</v>
      </c>
      <c r="L158" s="22" t="str">
        <f>VLOOKUP(A158,'Trips&amp;Operators'!$C$1:$E$10000,3,FALSE)</f>
        <v>SAFIEF</v>
      </c>
      <c r="M158" s="6">
        <f t="shared" si="37"/>
        <v>2.4826388886140194E-2</v>
      </c>
      <c r="N158" s="7">
        <f t="shared" si="38"/>
        <v>35.749999996041879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22:06:28-700',mode:absolute,to:'2016-11-24 01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4.4900000000000002E-2</v>
      </c>
      <c r="Z158" s="67">
        <f t="shared" si="45"/>
        <v>23.330400000000001</v>
      </c>
      <c r="AA158" s="67">
        <f t="shared" si="46"/>
        <v>23.285500000000003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0239-23</v>
      </c>
      <c r="AE158" s="91" t="str">
        <f t="shared" si="48"/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AF158" s="88" t="str">
        <f t="shared" si="49"/>
        <v>"C:\Program Files (x86)\AstroGrep\AstroGrep.exe" /spath="%USERPROFILE%\AppData\Local\Temp\OnboardLogs" /stypes="app*4029*20161124*" /stext=" 07:.+((SYSTEM_STATE.+slice.+state.+changed )|(ment ac)|(multiple cpu faults)|(system.+state.+changed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239-23 --locoid 4029 --swversion DE.1.0.8.0 --startMP 204:449 --initTime 2016-11-23T23:06:28 --startdatetime 2016-11-23T23:30:17 --delay 1 --endMP 204:233304 --enddatetime 2016-11-24T00:06:02 --enforcementcount 0 &gt;&gt;C:\Users\stu\Documents\GitHub\eaglep3-reporting\EC\2016-11-23-refined-times.txt</v>
      </c>
      <c r="AI158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{"issue":{"subject":"","project_id":79,"tracker_id":40,"status_id":1,"priority_id":2,"assigned_to_id":23,"start_date":"2016-11-24","description":"","custom_fields":[{"id":1,"name":"Subdivision","value":"EC"},{"id":4,"name":"Milepost","value":"23.3304"},{"id":17,"name":"Train ID","value":"239-23"},{"id":16,"name":"Locomotive ID","value":"4029"},{"id":130,"name":"Impact","value":""},{"id":150,"name":"Time of Event (Mountain Time)","value":"00:06:02"},{"id":151,"name":"Denver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621</v>
      </c>
      <c r="B159" s="7">
        <v>4030</v>
      </c>
      <c r="C159" s="22" t="s">
        <v>217</v>
      </c>
      <c r="D159" s="22" t="s">
        <v>256</v>
      </c>
      <c r="E159" s="13">
        <v>42698.006655092591</v>
      </c>
      <c r="F159" s="13">
        <v>42698.018217592595</v>
      </c>
      <c r="G159" s="7">
        <v>2</v>
      </c>
      <c r="H159" s="22" t="s">
        <v>226</v>
      </c>
      <c r="I159" s="13">
        <v>42698.04351851852</v>
      </c>
      <c r="J159" s="7">
        <v>0</v>
      </c>
      <c r="K159" s="109" t="str">
        <f t="shared" si="36"/>
        <v>4029/4030</v>
      </c>
      <c r="L159" s="22" t="str">
        <f>VLOOKUP(A159,'Trips&amp;Operators'!$C$1:$E$10000,3,FALSE)</f>
        <v>SAFIEF</v>
      </c>
      <c r="M159" s="6">
        <f t="shared" si="37"/>
        <v>2.5300925924966577E-2</v>
      </c>
      <c r="N159" s="7">
        <f t="shared" si="38"/>
        <v>36.433333331951872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23:09:35-700',mode:absolute,to:'2016-11-24 02:02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23.299399999999999</v>
      </c>
      <c r="Z159" s="67">
        <f t="shared" si="45"/>
        <v>1.6E-2</v>
      </c>
      <c r="AA159" s="67">
        <f t="shared" si="46"/>
        <v>23.2834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0240-23</v>
      </c>
      <c r="AE159" s="91" t="str">
        <f t="shared" si="48"/>
        <v>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 &amp; aws s3 cp s3://rtdc.mdm.uploadarchive.raw/RTDC4030/ "%USERPROFILE%\AppData\Local\Temp\OnboardLogs"\RTDC4030\2016-11-25 --exclude "*" --recursive --include "*20161125*" &amp; "%USERPROFILE%\Documents\GitHub\mrs-test-scripts\Headless Mode &amp; Sideloading\WalkAndUnGZ.bat" "%USERPROFILE%\AppData\Local\Temp\OnboardLogs"\RTDC4030\2016-11-25</v>
      </c>
      <c r="AF159" s="88" t="str">
        <f t="shared" si="49"/>
        <v>"C:\Program Files (x86)\AstroGrep\AstroGrep.exe" /spath="%USERPROFILE%\AppData\Local\Temp\OnboardLogs" /stypes="app*4030*20161124*" /stext=" 08:.+((SYSTEM_STATE.+slice.+state.+changed )|(ment ac)|(multiple cpu faults)|(system.+state.+changed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240-23 --locoid 4030 --swversion DE.1.0.8.0 --startMP 204:232994 --initTime 2016-11-24T00:09:35 --startdatetime 2016-11-24T00:26:14 --delay 2 --endMP 204:160 --enddatetime 2016-11-24T01:02:40 --enforcementcount 0 &gt;&gt;C:\Users\stu\Documents\GitHub\eaglep3-reporting\EC\2016-11-23-refined-times.txt</v>
      </c>
      <c r="AI159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{"issue":{"subject":"","project_id":79,"tracker_id":40,"status_id":1,"priority_id":2,"assigned_to_id":23,"start_date":"2016-11-24","description":"","custom_fields":[{"id":1,"name":"Subdivision","value":"EC"},{"id":4,"name":"Milepost","value":"0.016"},{"id":17,"name":"Train ID","value":"240-23"},{"id":16,"name":"Locomotive ID","value":"4030"},{"id":130,"name":"Impact","value":""},{"id":150,"name":"Time of Event (Mountain Time)","value":"01:02:40"},{"id":151,"name":"Denver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620</v>
      </c>
      <c r="B160" s="7">
        <v>4025</v>
      </c>
      <c r="C160" s="22" t="s">
        <v>217</v>
      </c>
      <c r="D160" s="22" t="s">
        <v>330</v>
      </c>
      <c r="E160" s="13">
        <v>42697.995659722219</v>
      </c>
      <c r="F160" s="13">
        <v>42698.000243055554</v>
      </c>
      <c r="G160" s="7">
        <v>1</v>
      </c>
      <c r="H160" s="22" t="s">
        <v>670</v>
      </c>
      <c r="I160" s="13">
        <v>42698.02484953704</v>
      </c>
      <c r="J160" s="7">
        <v>0</v>
      </c>
      <c r="K160" s="109" t="str">
        <f t="shared" si="36"/>
        <v>4025/4026</v>
      </c>
      <c r="L160" s="22" t="str">
        <f>VLOOKUP(A160,'Trips&amp;Operators'!$C$1:$E$10000,3,FALSE)</f>
        <v>LEVIN</v>
      </c>
      <c r="M160" s="6">
        <f t="shared" si="37"/>
        <v>2.4606481485534459E-2</v>
      </c>
      <c r="N160" s="7">
        <f t="shared" si="38"/>
        <v>35.433333339169621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22:53:45-700',mode:absolute,to:'2016-11-24 01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4.3499999999999997E-2</v>
      </c>
      <c r="Z160" s="67">
        <f t="shared" si="45"/>
        <v>23.3322</v>
      </c>
      <c r="AA160" s="67">
        <f t="shared" si="46"/>
        <v>23.288699999999999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0241-23</v>
      </c>
      <c r="AE160" s="91" t="str">
        <f t="shared" si="48"/>
        <v>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 &amp; aws s3 cp s3://rtdc.mdm.uploadarchive.raw/RTDC4025/ "%USERPROFILE%\AppData\Local\Temp\OnboardLogs"\RTDC4025\2016-11-25 --exclude "*" --recursive --include "*20161125*" &amp; "%USERPROFILE%\Documents\GitHub\mrs-test-scripts\Headless Mode &amp; Sideloading\WalkAndUnGZ.bat" "%USERPROFILE%\AppData\Local\Temp\OnboardLogs"\RTDC4025\2016-11-25</v>
      </c>
      <c r="AF160" s="88" t="str">
        <f t="shared" si="49"/>
        <v>"C:\Program Files (x86)\AstroGrep\AstroGrep.exe" /spath="%USERPROFILE%\AppData\Local\Temp\OnboardLogs" /stypes="app*4025*20161124*" /stext=" 07:.+((SYSTEM_STATE.+slice.+state.+changed )|(ment ac)|(multiple cpu faults)|(system.+state.+changed )|(\[timeout)|(PRM\|1\|D)|(kpr)|(kdp)|(\|lc)|(penalty))"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241-23 --locoid 4025 --swversion DE.1.0.8.0 --startMP 204:435 --initTime 2016-11-23T23:53:45 --startdatetime 2016-11-24T00:00:21 --delay 1 --endMP 204:233322 --enddatetime 2016-11-24T00:35:47 --enforcementcount 0 &gt;&gt;C:\Users\stu\Documents\GitHub\eaglep3-reporting\EC\2016-11-23-refined-times.txt</v>
      </c>
      <c r="AI160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{"issue":{"subject":"","project_id":79,"tracker_id":40,"status_id":1,"priority_id":2,"assigned_to_id":23,"start_date":"2016-11-24","description":"","custom_fields":[{"id":1,"name":"Subdivision","value":"EC"},{"id":4,"name":"Milepost","value":"23.3322"},{"id":17,"name":"Train ID","value":"241-23"},{"id":16,"name":"Locomotive ID","value":"4025"},{"id":130,"name":"Impact","value":""},{"id":150,"name":"Time of Event (Mountain Time)","value":"00:35:47"},{"id":151,"name":"Denver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624</v>
      </c>
      <c r="B161" s="7">
        <v>4026</v>
      </c>
      <c r="C161" s="22" t="s">
        <v>217</v>
      </c>
      <c r="D161" s="22" t="s">
        <v>364</v>
      </c>
      <c r="E161" s="13">
        <v>42698.034884259258</v>
      </c>
      <c r="F161" s="13">
        <v>42698.039050925923</v>
      </c>
      <c r="G161" s="7">
        <v>1</v>
      </c>
      <c r="H161" s="22" t="s">
        <v>260</v>
      </c>
      <c r="I161" s="13">
        <v>42698.068101851852</v>
      </c>
      <c r="J161" s="7">
        <v>0</v>
      </c>
      <c r="K161" s="109" t="str">
        <f t="shared" si="36"/>
        <v>4025/4026</v>
      </c>
      <c r="L161" s="22" t="str">
        <f>VLOOKUP(A161,'Trips&amp;Operators'!$C$1:$E$10000,3,FALSE)</f>
        <v>LEVIN</v>
      </c>
      <c r="M161" s="6">
        <f t="shared" si="37"/>
        <v>2.9050925928459037E-2</v>
      </c>
      <c r="N161" s="7">
        <f t="shared" si="38"/>
        <v>41.833333336981013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23:50:14-700',mode:absolute,to:'2016-11-24 02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23.3</v>
      </c>
      <c r="Z161" s="67">
        <f t="shared" si="45"/>
        <v>1.32E-2</v>
      </c>
      <c r="AA161" s="67">
        <f t="shared" si="46"/>
        <v>23.286799999999999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0242-23</v>
      </c>
      <c r="AE161" s="91" t="str">
        <f t="shared" si="48"/>
        <v>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 &amp; aws s3 cp s3://rtdc.mdm.uploadarchive.raw/RTDC4026/ "%USERPROFILE%\AppData\Local\Temp\OnboardLogs"\RTDC4026\2016-11-25 --exclude "*" --recursive --include "*20161125*" &amp; "%USERPROFILE%\Documents\GitHub\mrs-test-scripts\Headless Mode &amp; Sideloading\WalkAndUnGZ.bat" "%USERPROFILE%\AppData\Local\Temp\OnboardLogs"\RTDC4026\2016-11-25</v>
      </c>
      <c r="AF161" s="88" t="str">
        <f t="shared" si="49"/>
        <v>"C:\Program Files (x86)\AstroGrep\AstroGrep.exe" /spath="%USERPROFILE%\AppData\Local\Temp\OnboardLogs" /stypes="app*4026*20161124*" /stext=" 08:.+((SYSTEM_STATE.+slice.+state.+changed )|(ment ac)|(multiple cpu faults)|(system.+state.+changed )|(\[timeout)|(PRM\|1\|D)|(kpr)|(kdp)|(\|lc)|(penalty))" /e /r /s</v>
      </c>
      <c r="AG161" s="1" t="str">
        <f t="shared" si="50"/>
        <v>EC</v>
      </c>
      <c r="AH161" s="92" t="str">
        <f t="shared" si="51"/>
        <v>"%USERPROFILE%\Documents\GitHub\eaglep3\Utilities\RefineRTDCRunTimes.py" --tripid 242-23 --locoid 4026 --swversion DE.1.0.8.0 --startMP 204:233000 --initTime 2016-11-24T00:50:14 --startdatetime 2016-11-24T00:56:14 --delay 1 --endMP 204:132 --enddatetime 2016-11-24T01:38:04 --enforcementcount 0 &gt;&gt;C:\Users\stu\Documents\GitHub\eaglep3-reporting\EC\2016-11-23-refined-times.txt</v>
      </c>
      <c r="AI161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{"issue":{"subject":"","project_id":79,"tracker_id":40,"status_id":1,"priority_id":2,"assigned_to_id":23,"start_date":"2016-11-24","description":"","custom_fields":[{"id":1,"name":"Subdivision","value":"EC"},{"id":4,"name":"Milepost","value":"0.0132"},{"id":17,"name":"Train ID","value":"242-23"},{"id":16,"name":"Locomotive ID","value":"4026"},{"id":130,"name":"Impact","value":""},{"id":150,"name":"Time of Event (Mountain Time)","value":"01:38:04"},{"id":151,"name":"Denver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622</v>
      </c>
      <c r="B162" s="7">
        <v>4046</v>
      </c>
      <c r="C162" s="22" t="s">
        <v>217</v>
      </c>
      <c r="D162" s="22" t="s">
        <v>199</v>
      </c>
      <c r="E162" s="13">
        <v>42698.008935185186</v>
      </c>
      <c r="F162" s="13">
        <v>42698.021064814813</v>
      </c>
      <c r="G162" s="7">
        <v>1</v>
      </c>
      <c r="H162" s="22" t="s">
        <v>305</v>
      </c>
      <c r="I162" s="13">
        <v>42698.046400462961</v>
      </c>
      <c r="J162" s="7">
        <v>0</v>
      </c>
      <c r="K162" s="109" t="str">
        <f t="shared" si="36"/>
        <v>4045/4046</v>
      </c>
      <c r="L162" s="22" t="str">
        <f>VLOOKUP(A162,'Trips&amp;Operators'!$C$1:$E$10000,3,FALSE)</f>
        <v>COOLAHAN</v>
      </c>
      <c r="M162" s="6">
        <f t="shared" si="37"/>
        <v>2.5335648148029577E-2</v>
      </c>
      <c r="N162" s="7">
        <f t="shared" si="38"/>
        <v>36.483333333162591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23:12:52-700',mode:absolute,to:'2016-11-24 02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4.53E-2</v>
      </c>
      <c r="Z162" s="67">
        <f t="shared" si="45"/>
        <v>23.331700000000001</v>
      </c>
      <c r="AA162" s="67">
        <f t="shared" si="46"/>
        <v>23.2864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0243-23</v>
      </c>
      <c r="AE162" s="91" t="str">
        <f t="shared" si="48"/>
        <v>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 &amp; 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</v>
      </c>
      <c r="AF162" s="88" t="str">
        <f t="shared" si="49"/>
        <v>"C:\Program Files (x86)\AstroGrep\AstroGrep.exe" /spath="%USERPROFILE%\AppData\Local\Temp\OnboardLogs" /stypes="app*4046*20161124*" /stext=" 08:.+((SYSTEM_STATE.+slice.+state.+changed )|(ment ac)|(multiple cpu faults)|(system.+state.+changed )|(\[timeout)|(PRM\|1\|D)|(kpr)|(kdp)|(\|lc)|(penalty))" /e /r /s</v>
      </c>
      <c r="AG162" s="1" t="str">
        <f t="shared" si="50"/>
        <v>EC</v>
      </c>
      <c r="AH162" s="92" t="str">
        <f t="shared" si="51"/>
        <v>"%USERPROFILE%\Documents\GitHub\eaglep3\Utilities\RefineRTDCRunTimes.py" --tripid 243-23 --locoid 4046 --swversion DE.1.0.8.0 --startMP 204:453 --initTime 2016-11-24T00:12:52 --startdatetime 2016-11-24T00:30:20 --delay 1 --endMP 204:233317 --enddatetime 2016-11-24T01:06:49 --enforcementcount 0 &gt;&gt;C:\Users\stu\Documents\GitHub\eaglep3-reporting\EC\2016-11-23-refined-times.txt</v>
      </c>
      <c r="AI162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{"issue":{"subject":"","project_id":79,"tracker_id":40,"status_id":1,"priority_id":2,"assigned_to_id":23,"start_date":"2016-11-24","description":"","custom_fields":[{"id":1,"name":"Subdivision","value":"EC"},{"id":4,"name":"Milepost","value":"23.3317"},{"id":17,"name":"Train ID","value":"243-23"},{"id":16,"name":"Locomotive ID","value":"4046"},{"id":130,"name":"Impact","value":""},{"id":150,"name":"Time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432</v>
      </c>
      <c r="B163" s="7">
        <v>4045</v>
      </c>
      <c r="C163" s="22" t="s">
        <v>217</v>
      </c>
      <c r="D163" s="22" t="s">
        <v>711</v>
      </c>
      <c r="E163" s="13">
        <v>42698.075833333336</v>
      </c>
      <c r="F163" s="13">
        <v>42698.07671296296</v>
      </c>
      <c r="G163" s="7">
        <v>0</v>
      </c>
      <c r="H163" s="22" t="s">
        <v>368</v>
      </c>
      <c r="I163" s="13">
        <v>42698.092743055553</v>
      </c>
      <c r="J163" s="7">
        <v>0</v>
      </c>
      <c r="K163" s="109" t="str">
        <f t="shared" si="36"/>
        <v>4045/4046</v>
      </c>
      <c r="L163" s="22" t="str">
        <f>VLOOKUP(A163,'Trips&amp;Operators'!$C$1:$E$10000,3,FALSE)</f>
        <v>COOLAHAN</v>
      </c>
      <c r="M163" s="6">
        <f t="shared" si="37"/>
        <v>1.6030092592700385E-2</v>
      </c>
      <c r="N163" s="7"/>
      <c r="O163" s="7"/>
      <c r="P163" s="7">
        <f>24*60*SUM($M163:$M164)</f>
        <v>32.150000003166497</v>
      </c>
      <c r="Q163" s="23"/>
      <c r="R163" s="23" t="s">
        <v>851</v>
      </c>
      <c r="S163" s="35">
        <f>SUM(U163:U164)/IF(AG163="EC",12,1)</f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00:49:12-700',mode:absolute,to:'2016-11-24 03:13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42"/>
        <v>Y</v>
      </c>
      <c r="X163" s="177">
        <f t="shared" si="43"/>
        <v>1</v>
      </c>
      <c r="Y163" s="67">
        <f t="shared" si="44"/>
        <v>12.787699999999999</v>
      </c>
      <c r="Z163" s="67">
        <f t="shared" si="45"/>
        <v>1.9599999999999999E-2</v>
      </c>
      <c r="AA163" s="67">
        <f t="shared" si="46"/>
        <v>12.768099999999999</v>
      </c>
      <c r="AB163" s="64" t="str">
        <f>VLOOKUP(A163,Enforcements!$C$7:$K$20,8,0)</f>
        <v>Signal based authority (5)</v>
      </c>
      <c r="AC163" s="60" t="str">
        <f>VLOOKUP(A163,Enforcements!$C$7:$E$20,3,0)</f>
        <v>SIGNAL</v>
      </c>
      <c r="AD163" s="61" t="str">
        <f t="shared" si="47"/>
        <v>0244-23</v>
      </c>
      <c r="AE163" s="91" t="str">
        <f t="shared" si="48"/>
        <v>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 &amp; 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</v>
      </c>
      <c r="AF163" s="88" t="str">
        <f t="shared" si="49"/>
        <v>"C:\Program Files (x86)\AstroGrep\AstroGrep.exe" /spath="%USERPROFILE%\AppData\Local\Temp\OnboardLogs" /stypes="app*4045*20161124*" /stext=" 09:.+((SYSTEM_STATE.+slice.+state.+changed )|(ment ac)|(multiple cpu faults)|(system.+state.+changed )|(\[timeout)|(PRM\|1\|D)|(kpr)|(kdp)|(\|lc)|(penalty))" /e /r /s</v>
      </c>
      <c r="AG163" s="1" t="str">
        <f t="shared" si="50"/>
        <v>EC</v>
      </c>
      <c r="AH163" s="92" t="str">
        <f t="shared" si="51"/>
        <v>"%USERPROFILE%\Documents\GitHub\eaglep3\Utilities\RefineRTDCRunTimes.py" --tripid 244-23 --locoid 4045 --swversion DE.1.0.8.0 --startMP 204:127877 --initTime 2016-11-24T01:49:12 --startdatetime 2016-11-24T01:50:28 --delay 0 --endMP 204:196 --enddatetime 2016-11-24T02:13:33 --enforcementcount 0 &gt;&gt;C:\Users\stu\Documents\GitHub\eaglep3-reporting\EC\2016-11-23-refined-times.txt</v>
      </c>
      <c r="AI163" s="119" t="str">
        <f t="shared" si="52"/>
        <v>echo {"issue":{"subject":"CP 61st ELXS Failure","project_id":79,"tracker_id":40,"status_id":1,"priority_id":2,"assigned_to_id":23,"start_date":"2016-11-24","description":"At approx 01:35, CP 61st ELXS switched from main to standby. Do logs give any insight as to why?","custom_fields":[{"id":1,"name":"Subdivision","value":"EC"},{"id":4,"name":"Milepost","value":"0.0196"},{"id":17,"name":"Train ID","value":"244-23"},{"id":16,"name":"Locomotive ID","value":"4045"},{"id":130,"name":"Impact","value":"Enforcement"},{"id":150,"name":"Time of Event (Mountain Time)","value":"02:13:33"},{"id":151,"name":"Denver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3" s="53" t="s">
        <v>852</v>
      </c>
      <c r="AK163" s="53" t="s">
        <v>125</v>
      </c>
      <c r="AL163" s="53" t="s">
        <v>130</v>
      </c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432</v>
      </c>
      <c r="B164" s="7">
        <v>4045</v>
      </c>
      <c r="C164" s="22" t="s">
        <v>217</v>
      </c>
      <c r="D164" s="22" t="s">
        <v>263</v>
      </c>
      <c r="E164" s="13">
        <v>42698.054456018515</v>
      </c>
      <c r="F164" s="13">
        <v>42698.060046296298</v>
      </c>
      <c r="G164" s="7">
        <v>1</v>
      </c>
      <c r="H164" s="22" t="s">
        <v>712</v>
      </c>
      <c r="I164" s="13">
        <v>42698.066342592596</v>
      </c>
      <c r="J164" s="7"/>
      <c r="K164" s="109" t="str">
        <f t="shared" si="36"/>
        <v>4045/4046</v>
      </c>
      <c r="L164" s="22" t="str">
        <f>VLOOKUP(A164,'Trips&amp;Operators'!$C$1:$E$10000,3,FALSE)</f>
        <v>COOLAHAN</v>
      </c>
      <c r="M164" s="6">
        <f t="shared" si="37"/>
        <v>6.2962962983874604E-3</v>
      </c>
      <c r="N164" s="7"/>
      <c r="O164" s="7"/>
      <c r="P164" s="7"/>
      <c r="Q164" s="23"/>
      <c r="R164" s="23"/>
      <c r="S164" s="35"/>
      <c r="T164" s="50" t="str">
        <f t="shared" si="40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00:18:25-700',mode:absolute,to:'2016-11-24 02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4" s="52" t="str">
        <f t="shared" si="42"/>
        <v>Y</v>
      </c>
      <c r="X164" s="177">
        <f t="shared" si="43"/>
        <v>0</v>
      </c>
      <c r="Y164" s="67">
        <f t="shared" si="44"/>
        <v>23.299800000000001</v>
      </c>
      <c r="Z164" s="67">
        <f t="shared" si="45"/>
        <v>17.787700000000001</v>
      </c>
      <c r="AA164" s="67">
        <f t="shared" si="46"/>
        <v>5.5121000000000002</v>
      </c>
      <c r="AB164" s="64" t="str">
        <f>VLOOKUP(A164,Enforcements!$C$7:$K$20,8,0)</f>
        <v>Signal based authority (5)</v>
      </c>
      <c r="AC164" s="60" t="str">
        <f>VLOOKUP(A164,Enforcements!$C$7:$E$20,3,0)</f>
        <v>SIGNAL</v>
      </c>
      <c r="AD164" s="61" t="str">
        <f t="shared" si="47"/>
        <v>0244-23</v>
      </c>
      <c r="AE164" s="91" t="str">
        <f t="shared" si="48"/>
        <v>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 &amp; 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</v>
      </c>
      <c r="AF164" s="88" t="str">
        <f t="shared" si="49"/>
        <v>"C:\Program Files (x86)\AstroGrep\AstroGrep.exe" /spath="%USERPROFILE%\AppData\Local\Temp\OnboardLogs" /stypes="app*4045*20161124*" /stext=" 08:.+((SYSTEM_STATE.+slice.+state.+changed )|(ment ac)|(multiple cpu faults)|(system.+state.+changed )|(\[timeout)|(PRM\|1\|D)|(kpr)|(kdp)|(\|lc)|(penalty))" /e /r /s</v>
      </c>
      <c r="AG164" s="1" t="str">
        <f t="shared" si="50"/>
        <v>EC</v>
      </c>
      <c r="AH164" s="92" t="str">
        <f t="shared" si="51"/>
        <v>"%USERPROFILE%\Documents\GitHub\eaglep3\Utilities\RefineRTDCRunTimes.py" --tripid 244-23 --locoid 4045 --swversion DE.1.0.8.0 --startMP 204:232998 --initTime 2016-11-24T01:18:25 --startdatetime 2016-11-24T01:26:28 --delay 1 --endMP 204:177877 --enddatetime 2016-11-24T01:35:32 --enforcementcount  &gt;&gt;C:\Users\stu\Documents\GitHub\eaglep3-reporting\EC\2016-11-23-refined-times.txt</v>
      </c>
      <c r="AI164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{"issue":{"subject":"","project_id":79,"tracker_id":40,"status_id":1,"priority_id":2,"assigned_to_id":23,"start_date":"2016-11-24","description":"","custom_fields":[{"id":1,"name":"Subdivision","value":"EC"},{"id":4,"name":"Milepost","value":"17.7877"},{"id":17,"name":"Train ID","value":"244-23"},{"id":16,"name":"Locomotive ID","value":"4045"},{"id":130,"name":"Impact","value":""},{"id":150,"name":"Time of Event (Mountain Time)","value":"01:35:32"},{"id":151,"name":"Denver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450</v>
      </c>
      <c r="B165" s="7">
        <v>4013</v>
      </c>
      <c r="C165" s="22" t="s">
        <v>217</v>
      </c>
      <c r="D165" s="22" t="s">
        <v>738</v>
      </c>
      <c r="E165" s="13">
        <v>42697.212511574071</v>
      </c>
      <c r="F165" s="13">
        <v>42697.21398148148</v>
      </c>
      <c r="G165" s="7">
        <v>1</v>
      </c>
      <c r="H165" s="22" t="s">
        <v>739</v>
      </c>
      <c r="I165" s="13">
        <v>42697.225995370369</v>
      </c>
      <c r="J165" s="7">
        <v>0</v>
      </c>
      <c r="K165" s="109" t="str">
        <f t="shared" si="36"/>
        <v>4013/4014</v>
      </c>
      <c r="L165" s="22" t="str">
        <f>VLOOKUP(A165,'Trips&amp;Operators'!$C$1:$E$10000,3,FALSE)</f>
        <v>STARKS</v>
      </c>
      <c r="M165" s="6">
        <f t="shared" si="37"/>
        <v>1.2013888888759539E-2</v>
      </c>
      <c r="N165" s="7">
        <f t="shared" si="38"/>
        <v>17.299999999813735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04:06:01-700',mode:absolute,to:'2016-11-23 06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5" s="52" t="str">
        <f t="shared" si="42"/>
        <v>N</v>
      </c>
      <c r="X165" s="177">
        <f t="shared" si="43"/>
        <v>556</v>
      </c>
      <c r="Y165" s="67">
        <f t="shared" si="44"/>
        <v>5.8639999999999999</v>
      </c>
      <c r="Z165" s="67">
        <f t="shared" si="45"/>
        <v>7.7299999999999994E-2</v>
      </c>
      <c r="AA165" s="67">
        <f t="shared" si="46"/>
        <v>5.7866999999999997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0800-23</v>
      </c>
      <c r="AE165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65" s="88" t="str">
        <f t="shared" si="49"/>
        <v>"C:\Program Files (x86)\AstroGrep\AstroGrep.exe" /spath="%USERPROFILE%\AppData\Local\Temp\OnboardLogs" /stypes="app*4013*20161123*" /stext=" 12:.+((SYSTEM_STATE.+slice.+state.+changed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800-23 --locoid 4013 --swversion DE.1.0.8.0 --startMP 300:58640 --initTime 2016-11-23T05:06:01 --startdatetime 2016-11-23T05:08:08 --delay 1 --endMP 204:773 --enddatetime 2016-11-23T05:25:26 --enforcementcount 0 &gt;&gt;C:\Users\stu\Documents\GitHub\eaglep3-reporting\EC\2016-11-23-refined-times.txt</v>
      </c>
      <c r="AI165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{"issue":{"subject":"","project_id":79,"tracker_id":40,"status_id":1,"priority_id":2,"assigned_to_id":23,"start_date":"2016-11-23","description":"","custom_fields":[{"id":1,"name":"Subdivision","value":"NW"},{"id":4,"name":"Milepost","value":"0.0773"},{"id":17,"name":"Train ID","value":"800-23"},{"id":16,"name":"Locomotive ID","value":"4013"},{"id":130,"name":"Impact","value":""},{"id":150,"name":"Time of Event (Mountain Time)","value":"05:25:26"},{"id":151,"name":"Denver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455</v>
      </c>
      <c r="B166" s="7">
        <v>4014</v>
      </c>
      <c r="C166" s="22" t="s">
        <v>217</v>
      </c>
      <c r="D166" s="22" t="s">
        <v>740</v>
      </c>
      <c r="E166" s="13">
        <v>42697.239918981482</v>
      </c>
      <c r="F166" s="13">
        <v>42697.243935185186</v>
      </c>
      <c r="G166" s="7">
        <v>1</v>
      </c>
      <c r="H166" s="22" t="s">
        <v>382</v>
      </c>
      <c r="I166" s="13">
        <v>42697.253912037035</v>
      </c>
      <c r="J166" s="7">
        <v>0</v>
      </c>
      <c r="K166" s="109" t="str">
        <f t="shared" si="36"/>
        <v>4013/4014</v>
      </c>
      <c r="L166" s="22" t="str">
        <f>VLOOKUP(A166,'Trips&amp;Operators'!$C$1:$E$10000,3,FALSE)</f>
        <v>STARKS</v>
      </c>
      <c r="M166" s="6">
        <f t="shared" si="37"/>
        <v>9.9768518484779634E-3</v>
      </c>
      <c r="N166" s="7">
        <f t="shared" si="38"/>
        <v>14.366666661808267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04:45:29-700',mode:absolute,to:'2016-11-23 07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0.1067</v>
      </c>
      <c r="Z166" s="67">
        <f t="shared" si="45"/>
        <v>5.8945999999999996</v>
      </c>
      <c r="AA166" s="67">
        <f t="shared" si="46"/>
        <v>5.7878999999999996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0801-23</v>
      </c>
      <c r="AE166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166" s="88" t="str">
        <f t="shared" si="49"/>
        <v>"C:\Program Files (x86)\AstroGrep\AstroGrep.exe" /spath="%USERPROFILE%\AppData\Local\Temp\OnboardLogs" /stypes="app*4014*20161123*" /stext=" 13:.+((SYSTEM_STATE.+slice.+state.+changed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801-23 --locoid 4014 --swversion DE.1.0.8.0 --startMP 204:1067 --initTime 2016-11-23T05:45:29 --startdatetime 2016-11-23T05:51:16 --delay 1 --endMP 300:58946 --enddatetime 2016-11-23T06:05:38 --enforcementcount 0 &gt;&gt;C:\Users\stu\Documents\GitHub\eaglep3-reporting\EC\2016-11-23-refined-times.txt</v>
      </c>
      <c r="AI166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{"issue":{"subject":"","project_id":79,"tracker_id":40,"status_id":1,"priority_id":2,"assigned_to_id":23,"start_date":"2016-11-23","description":"","custom_fields":[{"id":1,"name":"Subdivision","value":"NW"},{"id":4,"name":"Milepost","value":"5.8946"},{"id":17,"name":"Train ID","value":"801-23"},{"id":16,"name":"Locomotive ID","value":"4014"},{"id":130,"name":"Impact","value":""},{"id":150,"name":"Time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461</v>
      </c>
      <c r="B167" s="7">
        <v>4013</v>
      </c>
      <c r="C167" s="22" t="s">
        <v>217</v>
      </c>
      <c r="D167" s="22" t="s">
        <v>738</v>
      </c>
      <c r="E167" s="13">
        <v>42697.254942129628</v>
      </c>
      <c r="F167" s="13">
        <v>42697.256342592591</v>
      </c>
      <c r="G167" s="7">
        <v>1</v>
      </c>
      <c r="H167" s="22" t="s">
        <v>634</v>
      </c>
      <c r="I167" s="13">
        <v>42697.268263888887</v>
      </c>
      <c r="J167" s="7">
        <v>0</v>
      </c>
      <c r="K167" s="109" t="str">
        <f t="shared" si="36"/>
        <v>4013/4014</v>
      </c>
      <c r="L167" s="22" t="str">
        <f>VLOOKUP(A167,'Trips&amp;Operators'!$C$1:$E$10000,3,FALSE)</f>
        <v>STARKS</v>
      </c>
      <c r="M167" s="6">
        <f t="shared" si="37"/>
        <v>1.1921296296350192E-2</v>
      </c>
      <c r="N167" s="7">
        <f t="shared" si="38"/>
        <v>17.166666666744277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05:07:07-700',mode:absolute,to:'2016-11-23 07:26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5.8639999999999999</v>
      </c>
      <c r="Z167" s="67">
        <f t="shared" si="45"/>
        <v>7.5399999999999995E-2</v>
      </c>
      <c r="AA167" s="67">
        <f t="shared" si="46"/>
        <v>5.7885999999999997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7"/>
        <v>0802-23</v>
      </c>
      <c r="AE167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67" s="88" t="str">
        <f t="shared" si="49"/>
        <v>"C:\Program Files (x86)\AstroGrep\AstroGrep.exe" /spath="%USERPROFILE%\AppData\Local\Temp\OnboardLogs" /stypes="app*4013*20161123*" /stext=" 13:.+((SYSTEM_STATE.+slice.+state.+changed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802-23 --locoid 4013 --swversion DE.1.0.8.0 --startMP 300:58640 --initTime 2016-11-23T06:07:07 --startdatetime 2016-11-23T06:09:08 --delay 1 --endMP 204:754 --enddatetime 2016-11-23T06:26:18 --enforcementcount 0 &gt;&gt;C:\Users\stu\Documents\GitHub\eaglep3-reporting\EC\2016-11-23-refined-times.txt</v>
      </c>
      <c r="AI167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{"issue":{"subject":"","project_id":79,"tracker_id":40,"status_id":1,"priority_id":2,"assigned_to_id":23,"start_date":"2016-11-23","description":"","custom_fields":[{"id":1,"name":"Subdivision","value":"NW"},{"id":4,"name":"Milepost","value":"0.0754"},{"id":17,"name":"Train ID","value":"802-23"},{"id":16,"name":"Locomotive ID","value":"4013"},{"id":130,"name":"Impact","value":""},{"id":150,"name":"Time of Event (Mountain Time)","value":"06:26:18"},{"id":151,"name":"Denver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463</v>
      </c>
      <c r="B168" s="7">
        <v>4044</v>
      </c>
      <c r="C168" s="22" t="s">
        <v>217</v>
      </c>
      <c r="D168" s="22" t="s">
        <v>741</v>
      </c>
      <c r="E168" s="13">
        <v>42697.260069444441</v>
      </c>
      <c r="F168" s="13">
        <v>42697.264907407407</v>
      </c>
      <c r="G168" s="7">
        <v>1</v>
      </c>
      <c r="H168" s="22" t="s">
        <v>742</v>
      </c>
      <c r="I168" s="13">
        <v>42697.274675925924</v>
      </c>
      <c r="J168" s="7">
        <v>0</v>
      </c>
      <c r="K168" s="109" t="str">
        <f t="shared" si="36"/>
        <v>4043/4044</v>
      </c>
      <c r="L168" s="22" t="str">
        <f>VLOOKUP(A168,'Trips&amp;Operators'!$C$1:$E$10000,3,FALSE)</f>
        <v>DE LA ROSA</v>
      </c>
      <c r="M168" s="6">
        <f t="shared" si="37"/>
        <v>9.7685185173759237E-3</v>
      </c>
      <c r="N168" s="7">
        <f t="shared" si="38"/>
        <v>14.06666666502133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05:14:30-700',mode:absolute,to:'2016-11-23 07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</v>
      </c>
      <c r="Z168" s="67">
        <f t="shared" si="45"/>
        <v>5.8956</v>
      </c>
      <c r="AA168" s="67">
        <f t="shared" si="46"/>
        <v>5.7956000000000003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0803-23</v>
      </c>
      <c r="AE168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68" s="88" t="str">
        <f t="shared" si="49"/>
        <v>"C:\Program Files (x86)\AstroGrep\AstroGrep.exe" /spath="%USERPROFILE%\AppData\Local\Temp\OnboardLogs" /stypes="app*4044*20161123*" /stext=" 13:.+((SYSTEM_STATE.+slice.+state.+changed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803-23 --locoid 4044 --swversion DE.1.0.8.0 --startMP 204:1000 --initTime 2016-11-23T06:14:30 --startdatetime 2016-11-23T06:21:28 --delay 1 --endMP 300:58956 --enddatetime 2016-11-23T06:35:32 --enforcementcount 0 &gt;&gt;C:\Users\stu\Documents\GitHub\eaglep3-reporting\EC\2016-11-23-refined-times.txt</v>
      </c>
      <c r="AI168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{"issue":{"subject":"","project_id":79,"tracker_id":40,"status_id":1,"priority_id":2,"assigned_to_id":23,"start_date":"2016-11-23","description":"","custom_fields":[{"id":1,"name":"Subdivision","value":"NW"},{"id":4,"name":"Milepost","value":"5.8956"},{"id":17,"name":"Train ID","value":"803-23"},{"id":16,"name":"Locomotive ID","value":"4044"},{"id":130,"name":"Impact","value":""},{"id":150,"name":"Time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467</v>
      </c>
      <c r="B169" s="7">
        <v>4043</v>
      </c>
      <c r="C169" s="22" t="s">
        <v>217</v>
      </c>
      <c r="D169" s="22" t="s">
        <v>738</v>
      </c>
      <c r="E169" s="13">
        <v>42697.27548611111</v>
      </c>
      <c r="F169" s="13">
        <v>42697.277256944442</v>
      </c>
      <c r="G169" s="7">
        <v>1</v>
      </c>
      <c r="H169" s="22" t="s">
        <v>390</v>
      </c>
      <c r="I169" s="13">
        <v>42697.288842592592</v>
      </c>
      <c r="J169" s="7">
        <v>0</v>
      </c>
      <c r="K169" s="109" t="str">
        <f t="shared" si="36"/>
        <v>4043/4044</v>
      </c>
      <c r="L169" s="22" t="str">
        <f>VLOOKUP(A169,'Trips&amp;Operators'!$C$1:$E$10000,3,FALSE)</f>
        <v>DE LA ROSA</v>
      </c>
      <c r="M169" s="6">
        <f t="shared" si="37"/>
        <v>1.1585648149775807E-2</v>
      </c>
      <c r="N169" s="7">
        <f t="shared" si="38"/>
        <v>16.683333335677162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05:36:42-700',mode:absolute,to:'2016-11-23 07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5.8639999999999999</v>
      </c>
      <c r="Z169" s="67">
        <f t="shared" si="45"/>
        <v>7.0800000000000002E-2</v>
      </c>
      <c r="AA169" s="67">
        <f t="shared" si="46"/>
        <v>5.7931999999999997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0804-23</v>
      </c>
      <c r="AE169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69" s="88" t="str">
        <f t="shared" si="49"/>
        <v>"C:\Program Files (x86)\AstroGrep\AstroGrep.exe" /spath="%USERPROFILE%\AppData\Local\Temp\OnboardLogs" /stypes="app*4043*20161123*" /stext=" 13:.+((SYSTEM_STATE.+slice.+state.+changed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804-23 --locoid 4043 --swversion DE.1.0.8.0 --startMP 300:58640 --initTime 2016-11-23T06:36:42 --startdatetime 2016-11-23T06:39:15 --delay 1 --endMP 204:708 --enddatetime 2016-11-23T06:55:56 --enforcementcount 0 &gt;&gt;C:\Users\stu\Documents\GitHub\eaglep3-reporting\EC\2016-11-23-refined-times.txt</v>
      </c>
      <c r="AI169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{"issue":{"subject":"","project_id":79,"tracker_id":40,"status_id":1,"priority_id":2,"assigned_to_id":23,"start_date":"2016-11-23","description":"","custom_fields":[{"id":1,"name":"Subdivision","value":"NW"},{"id":4,"name":"Milepost","value":"0.0708"},{"id":17,"name":"Train ID","value":"804-23"},{"id":16,"name":"Locomotive ID","value":"4043"},{"id":130,"name":"Impact","value":""},{"id":150,"name":"Time of Event (Mountain Time)","value":"06:55:56"},{"id":151,"name":"Denver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469</v>
      </c>
      <c r="B170" s="7">
        <v>4014</v>
      </c>
      <c r="C170" s="22" t="s">
        <v>217</v>
      </c>
      <c r="D170" s="22" t="s">
        <v>743</v>
      </c>
      <c r="E170" s="13">
        <v>42697.281666666669</v>
      </c>
      <c r="F170" s="13">
        <v>42697.285590277781</v>
      </c>
      <c r="G170" s="7">
        <v>1</v>
      </c>
      <c r="H170" s="22" t="s">
        <v>744</v>
      </c>
      <c r="I170" s="13">
        <v>42697.295578703706</v>
      </c>
      <c r="J170" s="7">
        <v>0</v>
      </c>
      <c r="K170" s="109" t="str">
        <f t="shared" si="36"/>
        <v>4013/4014</v>
      </c>
      <c r="L170" s="22" t="str">
        <f>VLOOKUP(A170,'Trips&amp;Operators'!$C$1:$E$10000,3,FALSE)</f>
        <v>STARKS</v>
      </c>
      <c r="M170" s="6">
        <f t="shared" si="37"/>
        <v>9.9884259252576157E-3</v>
      </c>
      <c r="N170" s="7">
        <f t="shared" si="38"/>
        <v>14.383333332370967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05:45:36-700',mode:absolute,to:'2016-11-23 08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0.1051</v>
      </c>
      <c r="Z170" s="67">
        <f t="shared" si="45"/>
        <v>5.8936999999999999</v>
      </c>
      <c r="AA170" s="67">
        <f t="shared" si="46"/>
        <v>5.7885999999999997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0805-23</v>
      </c>
      <c r="AE170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170" s="88" t="str">
        <f t="shared" si="49"/>
        <v>"C:\Program Files (x86)\AstroGrep\AstroGrep.exe" /spath="%USERPROFILE%\AppData\Local\Temp\OnboardLogs" /stypes="app*4014*20161123*" /stext=" 14:.+((SYSTEM_STATE.+slice.+state.+changed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805-23 --locoid 4014 --swversion DE.1.0.8.0 --startMP 204:1051 --initTime 2016-11-23T06:45:36 --startdatetime 2016-11-23T06:51:15 --delay 1 --endMP 300:58937 --enddatetime 2016-11-23T07:05:38 --enforcementcount 0 &gt;&gt;C:\Users\stu\Documents\GitHub\eaglep3-reporting\EC\2016-11-23-refined-times.txt</v>
      </c>
      <c r="AI170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{"issue":{"subject":"","project_id":79,"tracker_id":40,"status_id":1,"priority_id":2,"assigned_to_id":23,"start_date":"2016-11-23","description":"","custom_fields":[{"id":1,"name":"Subdivision","value":"NW"},{"id":4,"name":"Milepost","value":"5.8937"},{"id":17,"name":"Train ID","value":"805-23"},{"id":16,"name":"Locomotive ID","value":"4014"},{"id":130,"name":"Impact","value":""},{"id":150,"name":"Time of Event (Mountain Time)","value":"07:05:38"},{"id":151,"name":"Denver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399</v>
      </c>
      <c r="B171" s="7">
        <v>4013</v>
      </c>
      <c r="C171" s="22" t="s">
        <v>217</v>
      </c>
      <c r="D171" s="22" t="s">
        <v>745</v>
      </c>
      <c r="E171" s="13">
        <v>42697.296597222223</v>
      </c>
      <c r="F171" s="13">
        <v>42697.298877314817</v>
      </c>
      <c r="G171" s="7">
        <v>1</v>
      </c>
      <c r="H171" s="22" t="s">
        <v>746</v>
      </c>
      <c r="I171" s="13">
        <v>42697.309884259259</v>
      </c>
      <c r="J171" s="7">
        <v>1</v>
      </c>
      <c r="K171" s="109" t="str">
        <f t="shared" si="36"/>
        <v>4013/4014</v>
      </c>
      <c r="L171" s="22" t="str">
        <f>VLOOKUP(A171,'Trips&amp;Operators'!$C$1:$E$10000,3,FALSE)</f>
        <v>STARKS</v>
      </c>
      <c r="M171" s="6">
        <f t="shared" si="37"/>
        <v>1.1006944441760425E-2</v>
      </c>
      <c r="N171" s="7">
        <f t="shared" si="38"/>
        <v>15.849999996135011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06:07:06-700',mode:absolute,to:'2016-11-23 08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5.8620999999999999</v>
      </c>
      <c r="Z171" s="67">
        <f t="shared" si="45"/>
        <v>7.7799999999999994E-2</v>
      </c>
      <c r="AA171" s="67">
        <f t="shared" si="46"/>
        <v>5.7843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0806-23</v>
      </c>
      <c r="AE171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71" s="88" t="str">
        <f t="shared" si="49"/>
        <v>"C:\Program Files (x86)\AstroGrep\AstroGrep.exe" /spath="%USERPROFILE%\AppData\Local\Temp\OnboardLogs" /stypes="app*4013*20161123*" /stext=" 14:.+((SYSTEM_STATE.+slice.+state.+changed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806-23 --locoid 4013 --swversion DE.1.0.8.0 --startMP 300:58621 --initTime 2016-11-23T07:07:06 --startdatetime 2016-11-23T07:10:23 --delay 1 --endMP 204:778 --enddatetime 2016-11-23T07:26:14 --enforcementcount 1 &gt;&gt;C:\Users\stu\Documents\GitHub\eaglep3-reporting\EC\2016-11-23-refined-times.txt</v>
      </c>
      <c r="AI171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{"issue":{"subject":"","project_id":79,"tracker_id":40,"status_id":1,"priority_id":2,"assigned_to_id":23,"start_date":"2016-11-23","description":"","custom_fields":[{"id":1,"name":"Subdivision","value":"NW"},{"id":4,"name":"Milepost","value":"0.0778"},{"id":17,"name":"Train ID","value":"806-23"},{"id":16,"name":"Locomotive ID","value":"4013"},{"id":130,"name":"Impact","value":""},{"id":150,"name":"Time of Event (Mountain Time)","value":"07:26:14"},{"id":151,"name":"Denver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471</v>
      </c>
      <c r="B172" s="7">
        <v>4044</v>
      </c>
      <c r="C172" s="22" t="s">
        <v>217</v>
      </c>
      <c r="D172" s="22" t="s">
        <v>341</v>
      </c>
      <c r="E172" s="13">
        <v>42697.300011574072</v>
      </c>
      <c r="F172" s="13">
        <v>42697.306435185186</v>
      </c>
      <c r="G172" s="7">
        <v>1</v>
      </c>
      <c r="H172" s="22" t="s">
        <v>342</v>
      </c>
      <c r="I172" s="13">
        <v>42697.31591435185</v>
      </c>
      <c r="J172" s="7">
        <v>0</v>
      </c>
      <c r="K172" s="109" t="str">
        <f t="shared" si="36"/>
        <v>4043/4044</v>
      </c>
      <c r="L172" s="22" t="str">
        <f>VLOOKUP(A172,'Trips&amp;Operators'!$C$1:$E$10000,3,FALSE)</f>
        <v>DE LA ROSA</v>
      </c>
      <c r="M172" s="6">
        <f t="shared" si="37"/>
        <v>9.4791666633682325E-3</v>
      </c>
      <c r="N172" s="7">
        <f t="shared" si="38"/>
        <v>13.649999995250255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06:12:01-700',mode:absolute,to:'2016-11-23 08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0.1002</v>
      </c>
      <c r="Z172" s="67">
        <f t="shared" si="45"/>
        <v>5.8940999999999999</v>
      </c>
      <c r="AA172" s="67">
        <f t="shared" si="46"/>
        <v>5.7938999999999998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0807-23</v>
      </c>
      <c r="AE172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72" s="88" t="str">
        <f t="shared" si="49"/>
        <v>"C:\Program Files (x86)\AstroGrep\AstroGrep.exe" /spath="%USERPROFILE%\AppData\Local\Temp\OnboardLogs" /stypes="app*4044*20161123*" /stext=" 14:.+((SYSTEM_STATE.+slice.+state.+changed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807-23 --locoid 4044 --swversion DE.1.0.8.0 --startMP 204:1002 --initTime 2016-11-23T07:12:01 --startdatetime 2016-11-23T07:21:16 --delay 1 --endMP 300:58941 --enddatetime 2016-11-23T07:34:55 --enforcementcount 0 &gt;&gt;C:\Users\stu\Documents\GitHub\eaglep3-reporting\EC\2016-11-23-refined-times.txt</v>
      </c>
      <c r="AI172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{"issue":{"subject":"","project_id":79,"tracker_id":40,"status_id":1,"priority_id":2,"assigned_to_id":23,"start_date":"2016-11-23","description":"","custom_fields":[{"id":1,"name":"Subdivision","value":"NW"},{"id":4,"name":"Milepost","value":"5.8941"},{"id":17,"name":"Train ID","value":"807-23"},{"id":16,"name":"Locomotive ID","value":"4044"},{"id":130,"name":"Impact","value":""},{"id":150,"name":"Time of Event (Mountain Time)","value":"07:34:55"},{"id":151,"name":"Denver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401</v>
      </c>
      <c r="B173" s="7">
        <v>4043</v>
      </c>
      <c r="C173" s="22" t="s">
        <v>217</v>
      </c>
      <c r="D173" s="22" t="s">
        <v>383</v>
      </c>
      <c r="E173" s="13">
        <v>42697.316793981481</v>
      </c>
      <c r="F173" s="13">
        <v>42697.318738425929</v>
      </c>
      <c r="G173" s="7">
        <v>1</v>
      </c>
      <c r="H173" s="22" t="s">
        <v>386</v>
      </c>
      <c r="I173" s="13">
        <v>42697.332083333335</v>
      </c>
      <c r="J173" s="7">
        <v>1</v>
      </c>
      <c r="K173" s="109" t="str">
        <f t="shared" si="36"/>
        <v>4043/4044</v>
      </c>
      <c r="L173" s="22" t="str">
        <f>VLOOKUP(A173,'Trips&amp;Operators'!$C$1:$E$10000,3,FALSE)</f>
        <v>DE LA ROSA</v>
      </c>
      <c r="M173" s="6">
        <f t="shared" si="37"/>
        <v>1.3344907405553386E-2</v>
      </c>
      <c r="N173" s="7">
        <f t="shared" si="38"/>
        <v>19.216666663996875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06:36:11-700',mode:absolute,to:'2016-11-23 08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5.8628</v>
      </c>
      <c r="Z173" s="67">
        <f t="shared" si="45"/>
        <v>6.9599999999999995E-2</v>
      </c>
      <c r="AA173" s="67">
        <f t="shared" si="46"/>
        <v>5.7931999999999997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0808-23</v>
      </c>
      <c r="AE173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73" s="88" t="str">
        <f t="shared" si="49"/>
        <v>"C:\Program Files (x86)\AstroGrep\AstroGrep.exe" /spath="%USERPROFILE%\AppData\Local\Temp\OnboardLogs" /stypes="app*4043*20161123*" /stext=" 14:.+((SYSTEM_STATE.+slice.+state.+changed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808-23 --locoid 4043 --swversion DE.1.0.8.0 --startMP 300:58628 --initTime 2016-11-23T07:36:11 --startdatetime 2016-11-23T07:38:59 --delay 1 --endMP 204:696 --enddatetime 2016-11-23T07:58:12 --enforcementcount 1 &gt;&gt;C:\Users\stu\Documents\GitHub\eaglep3-reporting\EC\2016-11-23-refined-times.txt</v>
      </c>
      <c r="AI173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{"issue":{"subject":"","project_id":79,"tracker_id":40,"status_id":1,"priority_id":2,"assigned_to_id":23,"start_date":"2016-11-23","description":"","custom_fields":[{"id":1,"name":"Subdivision","value":"NW"},{"id":4,"name":"Milepost","value":"0.0696"},{"id":17,"name":"Train ID","value":"808-23"},{"id":16,"name":"Locomotive ID","value":"4043"},{"id":130,"name":"Impact","value":""},{"id":150,"name":"Time of Event (Mountain Time)","value":"07:58:12"},{"id":151,"name":"Denver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478</v>
      </c>
      <c r="B174" s="7">
        <v>4014</v>
      </c>
      <c r="C174" s="22" t="s">
        <v>217</v>
      </c>
      <c r="D174" s="22" t="s">
        <v>380</v>
      </c>
      <c r="E174" s="13">
        <v>42697.323391203703</v>
      </c>
      <c r="F174" s="13">
        <v>42697.327453703707</v>
      </c>
      <c r="G174" s="7">
        <v>1</v>
      </c>
      <c r="H174" s="22" t="s">
        <v>382</v>
      </c>
      <c r="I174" s="13">
        <v>42697.337071759262</v>
      </c>
      <c r="J174" s="7">
        <v>0</v>
      </c>
      <c r="K174" s="109" t="str">
        <f t="shared" si="36"/>
        <v>4013/4014</v>
      </c>
      <c r="L174" s="22" t="str">
        <f>VLOOKUP(A174,'Trips&amp;Operators'!$C$1:$E$10000,3,FALSE)</f>
        <v>STARKS</v>
      </c>
      <c r="M174" s="6">
        <f t="shared" si="37"/>
        <v>9.6180555556202307E-3</v>
      </c>
      <c r="N174" s="7">
        <f t="shared" si="38"/>
        <v>13.850000000093132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06:45:41-700',mode:absolute,to:'2016-11-23 09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0.1065</v>
      </c>
      <c r="Z174" s="67">
        <f t="shared" si="45"/>
        <v>5.8945999999999996</v>
      </c>
      <c r="AA174" s="67">
        <f t="shared" si="46"/>
        <v>5.7881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0809-23</v>
      </c>
      <c r="AE174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174" s="88" t="str">
        <f t="shared" si="49"/>
        <v>"C:\Program Files (x86)\AstroGrep\AstroGrep.exe" /spath="%USERPROFILE%\AppData\Local\Temp\OnboardLogs" /stypes="app*4014*20161123*" /stext=" 15:.+((SYSTEM_STATE.+slice.+state.+changed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809-23 --locoid 4014 --swversion DE.1.0.8.0 --startMP 204:1065 --initTime 2016-11-23T07:45:41 --startdatetime 2016-11-23T07:51:32 --delay 1 --endMP 300:58946 --enddatetime 2016-11-23T08:05:23 --enforcementcount 0 &gt;&gt;C:\Users\stu\Documents\GitHub\eaglep3-reporting\EC\2016-11-23-refined-times.txt</v>
      </c>
      <c r="AI174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{"issue":{"subject":"","project_id":79,"tracker_id":40,"status_id":1,"priority_id":2,"assigned_to_id":23,"start_date":"2016-11-23","description":"","custom_fields":[{"id":1,"name":"Subdivision","value":"NW"},{"id":4,"name":"Milepost","value":"5.8946"},{"id":17,"name":"Train ID","value":"809-23"},{"id":16,"name":"Locomotive ID","value":"4014"},{"id":130,"name":"Impact","value":""},{"id":150,"name":"Time of Event (Mountain Time)","value":"08:05:23"},{"id":151,"name":"Denver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482</v>
      </c>
      <c r="B175" s="7">
        <v>4013</v>
      </c>
      <c r="C175" s="22" t="s">
        <v>217</v>
      </c>
      <c r="D175" s="22" t="s">
        <v>378</v>
      </c>
      <c r="E175" s="13">
        <v>42697.338333333333</v>
      </c>
      <c r="F175" s="13">
        <v>42697.339756944442</v>
      </c>
      <c r="G175" s="7">
        <v>0</v>
      </c>
      <c r="H175" s="22" t="s">
        <v>747</v>
      </c>
      <c r="I175" s="13">
        <v>42697.352083333331</v>
      </c>
      <c r="J175" s="7">
        <v>0</v>
      </c>
      <c r="K175" s="109" t="str">
        <f t="shared" si="36"/>
        <v>4013/4014</v>
      </c>
      <c r="L175" s="22" t="str">
        <f>VLOOKUP(A175,'Trips&amp;Operators'!$C$1:$E$10000,3,FALSE)</f>
        <v>STARKS</v>
      </c>
      <c r="M175" s="6">
        <f t="shared" si="37"/>
        <v>1.2326388889050577E-2</v>
      </c>
      <c r="N175" s="7">
        <f t="shared" si="38"/>
        <v>17.750000000232831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07:07:12-700',mode:absolute,to:'2016-11-23 09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5.8635999999999999</v>
      </c>
      <c r="Z175" s="67">
        <f t="shared" si="45"/>
        <v>7.7600000000000002E-2</v>
      </c>
      <c r="AA175" s="67">
        <f t="shared" si="46"/>
        <v>5.7859999999999996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0810-23</v>
      </c>
      <c r="AE175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75" s="88" t="str">
        <f t="shared" si="49"/>
        <v>"C:\Program Files (x86)\AstroGrep\AstroGrep.exe" /spath="%USERPROFILE%\AppData\Local\Temp\OnboardLogs" /stypes="app*4013*20161123*" /stext=" 15:.+((SYSTEM_STATE.+slice.+state.+changed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810-23 --locoid 4013 --swversion DE.1.0.8.0 --startMP 300:58636 --initTime 2016-11-23T08:07:12 --startdatetime 2016-11-23T08:09:15 --delay 0 --endMP 204:776 --enddatetime 2016-11-23T08:27:00 --enforcementcount 0 &gt;&gt;C:\Users\stu\Documents\GitHub\eaglep3-reporting\EC\2016-11-23-refined-times.txt</v>
      </c>
      <c r="AI175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{"issue":{"subject":"","project_id":79,"tracker_id":40,"status_id":1,"priority_id":2,"assigned_to_id":23,"start_date":"2016-11-23","description":"","custom_fields":[{"id":1,"name":"Subdivision","value":"NW"},{"id":4,"name":"Milepost","value":"0.0776"},{"id":17,"name":"Train ID","value":"810-23"},{"id":16,"name":"Locomotive ID","value":"4013"},{"id":130,"name":"Impact","value":""},{"id":150,"name":"Time of Event (Mountain Time)","value":"08:27:00"},{"id":151,"name":"Denver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483</v>
      </c>
      <c r="B176" s="7">
        <v>4044</v>
      </c>
      <c r="C176" s="22" t="s">
        <v>217</v>
      </c>
      <c r="D176" s="22" t="s">
        <v>389</v>
      </c>
      <c r="E176" s="13">
        <v>42697.339826388888</v>
      </c>
      <c r="F176" s="13">
        <v>42697.348113425927</v>
      </c>
      <c r="G176" s="7">
        <v>2</v>
      </c>
      <c r="H176" s="22" t="s">
        <v>308</v>
      </c>
      <c r="I176" s="13">
        <v>42697.357361111113</v>
      </c>
      <c r="J176" s="7">
        <v>0</v>
      </c>
      <c r="K176" s="109" t="str">
        <f t="shared" si="36"/>
        <v>4043/4044</v>
      </c>
      <c r="L176" s="22" t="str">
        <f>VLOOKUP(A176,'Trips&amp;Operators'!$C$1:$E$10000,3,FALSE)</f>
        <v>DE LA ROSA</v>
      </c>
      <c r="M176" s="6">
        <f t="shared" si="37"/>
        <v>9.2476851859828457E-3</v>
      </c>
      <c r="N176" s="7">
        <f t="shared" si="38"/>
        <v>13.316666667815298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07:09:21-700',mode:absolute,to:'2016-11-23 09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9.9699999999999997E-2</v>
      </c>
      <c r="Z176" s="67">
        <f t="shared" si="45"/>
        <v>5.8968999999999996</v>
      </c>
      <c r="AA176" s="67">
        <f t="shared" si="46"/>
        <v>5.7971999999999992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0811-23</v>
      </c>
      <c r="AE176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76" s="88" t="str">
        <f t="shared" si="49"/>
        <v>"C:\Program Files (x86)\AstroGrep\AstroGrep.exe" /spath="%USERPROFILE%\AppData\Local\Temp\OnboardLogs" /stypes="app*4044*20161123*" /stext=" 15:.+((SYSTEM_STATE.+slice.+state.+changed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811-23 --locoid 4044 --swversion DE.1.0.8.0 --startMP 204:997 --initTime 2016-11-23T08:09:21 --startdatetime 2016-11-23T08:21:17 --delay 2 --endMP 300:58969 --enddatetime 2016-11-23T08:34:36 --enforcementcount 0 &gt;&gt;C:\Users\stu\Documents\GitHub\eaglep3-reporting\EC\2016-11-23-refined-times.txt</v>
      </c>
      <c r="AI176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{"issue":{"subject":"","project_id":79,"tracker_id":40,"status_id":1,"priority_id":2,"assigned_to_id":23,"start_date":"2016-11-23","description":"","custom_fields":[{"id":1,"name":"Subdivision","value":"NW"},{"id":4,"name":"Milepost","value":"5.8969"},{"id":17,"name":"Train ID","value":"811-23"},{"id":16,"name":"Locomotive ID","value":"4044"},{"id":130,"name":"Impact","value":""},{"id":150,"name":"Time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485</v>
      </c>
      <c r="B177" s="7">
        <v>4043</v>
      </c>
      <c r="C177" s="22" t="s">
        <v>217</v>
      </c>
      <c r="D177" s="22" t="s">
        <v>388</v>
      </c>
      <c r="E177" s="13">
        <v>42697.358587962961</v>
      </c>
      <c r="F177" s="13">
        <v>42697.36037037037</v>
      </c>
      <c r="G177" s="7">
        <v>1</v>
      </c>
      <c r="H177" s="22" t="s">
        <v>748</v>
      </c>
      <c r="I177" s="13">
        <v>42697.371388888889</v>
      </c>
      <c r="J177" s="7">
        <v>0</v>
      </c>
      <c r="K177" s="109" t="str">
        <f t="shared" si="36"/>
        <v>4043/4044</v>
      </c>
      <c r="L177" s="22" t="str">
        <f>VLOOKUP(A177,'Trips&amp;Operators'!$C$1:$E$10000,3,FALSE)</f>
        <v>DE LA ROSA</v>
      </c>
      <c r="M177" s="6">
        <f t="shared" si="37"/>
        <v>1.1018518518540077E-2</v>
      </c>
      <c r="N177" s="7">
        <f t="shared" si="38"/>
        <v>15.866666666697711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07:36:22-700',mode:absolute,to:'2016-11-23 09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5.8644999999999996</v>
      </c>
      <c r="Z177" s="67">
        <f t="shared" si="45"/>
        <v>7.0300000000000001E-2</v>
      </c>
      <c r="AA177" s="67">
        <f t="shared" si="46"/>
        <v>5.7942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0812-23</v>
      </c>
      <c r="AE177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77" s="88" t="str">
        <f t="shared" si="49"/>
        <v>"C:\Program Files (x86)\AstroGrep\AstroGrep.exe" /spath="%USERPROFILE%\AppData\Local\Temp\OnboardLogs" /stypes="app*4043*20161123*" /stext=" 15:.+((SYSTEM_STATE.+slice.+state.+changed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812-23 --locoid 4043 --swversion DE.1.0.8.0 --startMP 300:58645 --initTime 2016-11-23T08:36:22 --startdatetime 2016-11-23T08:38:56 --delay 1 --endMP 204:703 --enddatetime 2016-11-23T08:54:48 --enforcementcount 0 &gt;&gt;C:\Users\stu\Documents\GitHub\eaglep3-reporting\EC\2016-11-23-refined-times.txt</v>
      </c>
      <c r="AI177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{"issue":{"subject":"","project_id":79,"tracker_id":40,"status_id":1,"priority_id":2,"assigned_to_id":23,"start_date":"2016-11-23","description":"","custom_fields":[{"id":1,"name":"Subdivision","value":"NW"},{"id":4,"name":"Milepost","value":"0.0703"},{"id":17,"name":"Train ID","value":"812-23"},{"id":16,"name":"Locomotive ID","value":"4043"},{"id":130,"name":"Impact","value":""},{"id":150,"name":"Time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490</v>
      </c>
      <c r="B178" s="7">
        <v>4044</v>
      </c>
      <c r="C178" s="22" t="s">
        <v>217</v>
      </c>
      <c r="D178" s="22" t="s">
        <v>387</v>
      </c>
      <c r="E178" s="13">
        <v>42697.385798611111</v>
      </c>
      <c r="F178" s="13">
        <v>42697.389837962961</v>
      </c>
      <c r="G178" s="7">
        <v>1</v>
      </c>
      <c r="H178" s="22" t="s">
        <v>382</v>
      </c>
      <c r="I178" s="13">
        <v>42697.399259259262</v>
      </c>
      <c r="J178" s="7">
        <v>0</v>
      </c>
      <c r="K178" s="109" t="str">
        <f t="shared" si="36"/>
        <v>4043/4044</v>
      </c>
      <c r="L178" s="22" t="str">
        <f>VLOOKUP(A178,'Trips&amp;Operators'!$C$1:$E$10000,3,FALSE)</f>
        <v>DE LA ROSA</v>
      </c>
      <c r="M178" s="6">
        <f t="shared" si="37"/>
        <v>9.4212963012978435E-3</v>
      </c>
      <c r="N178" s="7">
        <f t="shared" si="38"/>
        <v>13.566666673868895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08:15:33-700',mode:absolute,to:'2016-11-23 10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9.9000000000000005E-2</v>
      </c>
      <c r="Z178" s="67">
        <f t="shared" si="45"/>
        <v>5.8945999999999996</v>
      </c>
      <c r="AA178" s="67">
        <f t="shared" si="46"/>
        <v>5.7955999999999994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0813-23</v>
      </c>
      <c r="AE178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78" s="88" t="str">
        <f t="shared" si="49"/>
        <v>"C:\Program Files (x86)\AstroGrep\AstroGrep.exe" /spath="%USERPROFILE%\AppData\Local\Temp\OnboardLogs" /stypes="app*4044*20161123*" /stext=" 16:.+((SYSTEM_STATE.+slice.+state.+changed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813-23 --locoid 4044 --swversion DE.1.0.8.0 --startMP 204:990 --initTime 2016-11-23T09:15:33 --startdatetime 2016-11-23T09:21:22 --delay 1 --endMP 300:58946 --enddatetime 2016-11-23T09:34:56 --enforcementcount 0 &gt;&gt;C:\Users\stu\Documents\GitHub\eaglep3-reporting\EC\2016-11-23-refined-times.txt</v>
      </c>
      <c r="AI178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{"issue":{"subject":"","project_id":79,"tracker_id":40,"status_id":1,"priority_id":2,"assigned_to_id":23,"start_date":"2016-11-23","description":"","custom_fields":[{"id":1,"name":"Subdivision","value":"NW"},{"id":4,"name":"Milepost","value":"5.8946"},{"id":17,"name":"Train ID","value":"813-23"},{"id":16,"name":"Locomotive ID","value":"4044"},{"id":130,"name":"Impact","value":""},{"id":150,"name":"Time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492</v>
      </c>
      <c r="B179" s="7">
        <v>4043</v>
      </c>
      <c r="C179" s="22" t="s">
        <v>217</v>
      </c>
      <c r="D179" s="22" t="s">
        <v>738</v>
      </c>
      <c r="E179" s="13">
        <v>42697.400381944448</v>
      </c>
      <c r="F179" s="13">
        <v>42697.402118055557</v>
      </c>
      <c r="G179" s="7">
        <v>1</v>
      </c>
      <c r="H179" s="22" t="s">
        <v>749</v>
      </c>
      <c r="I179" s="13">
        <v>42697.412928240738</v>
      </c>
      <c r="J179" s="7">
        <v>0</v>
      </c>
      <c r="K179" s="109" t="str">
        <f t="shared" si="36"/>
        <v>4043/4044</v>
      </c>
      <c r="L179" s="22" t="str">
        <f>VLOOKUP(A179,'Trips&amp;Operators'!$C$1:$E$10000,3,FALSE)</f>
        <v>DE LA ROSA</v>
      </c>
      <c r="M179" s="6">
        <f t="shared" si="37"/>
        <v>1.081018518016208E-2</v>
      </c>
      <c r="N179" s="7">
        <f t="shared" si="38"/>
        <v>15.566666659433395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08:36:33-700',mode:absolute,to:'2016-11-23 10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5.8639999999999999</v>
      </c>
      <c r="Z179" s="67">
        <f t="shared" si="45"/>
        <v>7.22E-2</v>
      </c>
      <c r="AA179" s="67">
        <f t="shared" si="46"/>
        <v>5.7918000000000003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0814-23</v>
      </c>
      <c r="AE179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79" s="88" t="str">
        <f t="shared" si="49"/>
        <v>"C:\Program Files (x86)\AstroGrep\AstroGrep.exe" /spath="%USERPROFILE%\AppData\Local\Temp\OnboardLogs" /stypes="app*4043*20161123*" /stext=" 16:.+((SYSTEM_STATE.+slice.+state.+changed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814-23 --locoid 4043 --swversion DE.1.0.8.0 --startMP 300:58640 --initTime 2016-11-23T09:36:33 --startdatetime 2016-11-23T09:39:03 --delay 1 --endMP 204:722 --enddatetime 2016-11-23T09:54:37 --enforcementcount 0 &gt;&gt;C:\Users\stu\Documents\GitHub\eaglep3-reporting\EC\2016-11-23-refined-times.txt</v>
      </c>
      <c r="AI179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{"issue":{"subject":"","project_id":79,"tracker_id":40,"status_id":1,"priority_id":2,"assigned_to_id":23,"start_date":"2016-11-23","description":"","custom_fields":[{"id":1,"name":"Subdivision","value":"NW"},{"id":4,"name":"Milepost","value":"0.0722"},{"id":17,"name":"Train ID","value":"814-23"},{"id":16,"name":"Locomotive ID","value":"4043"},{"id":130,"name":"Impact","value":""},{"id":150,"name":"Time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497</v>
      </c>
      <c r="B180" s="7">
        <v>4044</v>
      </c>
      <c r="C180" s="22" t="s">
        <v>217</v>
      </c>
      <c r="D180" s="22" t="s">
        <v>750</v>
      </c>
      <c r="E180" s="13">
        <v>42697.427569444444</v>
      </c>
      <c r="F180" s="13">
        <v>42697.431423611109</v>
      </c>
      <c r="G180" s="7">
        <v>1</v>
      </c>
      <c r="H180" s="22" t="s">
        <v>751</v>
      </c>
      <c r="I180" s="13">
        <v>42697.440706018519</v>
      </c>
      <c r="J180" s="7">
        <v>0</v>
      </c>
      <c r="K180" s="109" t="str">
        <f t="shared" si="36"/>
        <v>4043/4044</v>
      </c>
      <c r="L180" s="22" t="str">
        <f>VLOOKUP(A180,'Trips&amp;Operators'!$C$1:$E$10000,3,FALSE)</f>
        <v>DE LA ROSA</v>
      </c>
      <c r="M180" s="6">
        <f t="shared" si="37"/>
        <v>9.2824074090458453E-3</v>
      </c>
      <c r="N180" s="7">
        <f t="shared" si="38"/>
        <v>13.366666669026017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09:15:42-700',mode:absolute,to:'2016-11-23 11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0.1009</v>
      </c>
      <c r="Z180" s="67">
        <f t="shared" si="45"/>
        <v>5.8930999999999996</v>
      </c>
      <c r="AA180" s="67">
        <f t="shared" si="46"/>
        <v>5.7921999999999993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0815-23</v>
      </c>
      <c r="AE180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80" s="88" t="str">
        <f t="shared" si="49"/>
        <v>"C:\Program Files (x86)\AstroGrep\AstroGrep.exe" /spath="%USERPROFILE%\AppData\Local\Temp\OnboardLogs" /stypes="app*4044*20161123*" /stext=" 17:.+((SYSTEM_STATE.+slice.+state.+changed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815-23 --locoid 4044 --swversion DE.1.0.8.0 --startMP 204:1009 --initTime 2016-11-23T10:15:42 --startdatetime 2016-11-23T10:21:15 --delay 1 --endMP 300:58931 --enddatetime 2016-11-23T10:34:37 --enforcementcount 0 &gt;&gt;C:\Users\stu\Documents\GitHub\eaglep3-reporting\EC\2016-11-23-refined-times.txt</v>
      </c>
      <c r="AI180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{"issue":{"subject":"","project_id":79,"tracker_id":40,"status_id":1,"priority_id":2,"assigned_to_id":23,"start_date":"2016-11-23","description":"","custom_fields":[{"id":1,"name":"Subdivision","value":"NW"},{"id":4,"name":"Milepost","value":"5.8931"},{"id":17,"name":"Train ID","value":"815-23"},{"id":16,"name":"Locomotive ID","value":"4044"},{"id":130,"name":"Impact","value":""},{"id":150,"name":"Time of Event (Mountain Time)","value":"10:34:37"},{"id":151,"name":"Denver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410</v>
      </c>
      <c r="B181" s="7">
        <v>4043</v>
      </c>
      <c r="C181" s="22" t="s">
        <v>217</v>
      </c>
      <c r="D181" s="22" t="s">
        <v>752</v>
      </c>
      <c r="E181" s="13">
        <v>42697.441921296297</v>
      </c>
      <c r="F181" s="13">
        <v>42697.443657407406</v>
      </c>
      <c r="G181" s="7">
        <v>1</v>
      </c>
      <c r="H181" s="22" t="s">
        <v>753</v>
      </c>
      <c r="I181" s="13">
        <v>42697.457754629628</v>
      </c>
      <c r="J181" s="7">
        <v>1</v>
      </c>
      <c r="K181" s="109" t="str">
        <f t="shared" si="36"/>
        <v>4043/4044</v>
      </c>
      <c r="L181" s="22" t="str">
        <f>VLOOKUP(A181,'Trips&amp;Operators'!$C$1:$E$10000,3,FALSE)</f>
        <v>DE LA ROSA</v>
      </c>
      <c r="M181" s="6">
        <f t="shared" si="37"/>
        <v>1.4097222221607808E-2</v>
      </c>
      <c r="N181" s="7">
        <f t="shared" si="38"/>
        <v>20.299999999115244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09:36:22-700',mode:absolute,to:'2016-11-23 11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5.8616999999999999</v>
      </c>
      <c r="Z181" s="67">
        <f t="shared" si="45"/>
        <v>6.7699999999999996E-2</v>
      </c>
      <c r="AA181" s="67">
        <f t="shared" si="46"/>
        <v>5.7939999999999996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0816-23</v>
      </c>
      <c r="AE181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81" s="88" t="str">
        <f t="shared" si="49"/>
        <v>"C:\Program Files (x86)\AstroGrep\AstroGrep.exe" /spath="%USERPROFILE%\AppData\Local\Temp\OnboardLogs" /stypes="app*4043*20161123*" /stext=" 17:.+((SYSTEM_STATE.+slice.+state.+changed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816-23 --locoid 4043 --swversion DE.1.0.8.0 --startMP 300:58617 --initTime 2016-11-23T10:36:22 --startdatetime 2016-11-23T10:38:52 --delay 1 --endMP 204:677 --enddatetime 2016-11-23T10:59:10 --enforcementcount 1 &gt;&gt;C:\Users\stu\Documents\GitHub\eaglep3-reporting\EC\2016-11-23-refined-times.txt</v>
      </c>
      <c r="AI181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{"issue":{"subject":"","project_id":79,"tracker_id":40,"status_id":1,"priority_id":2,"assigned_to_id":23,"start_date":"2016-11-23","description":"","custom_fields":[{"id":1,"name":"Subdivision","value":"NW"},{"id":4,"name":"Milepost","value":"0.0677"},{"id":17,"name":"Train ID","value":"816-23"},{"id":16,"name":"Locomotive ID","value":"4043"},{"id":130,"name":"Impact","value":""},{"id":150,"name":"Time of Event (Mountain Time)","value":"10:59:10"},{"id":151,"name":"Denver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506</v>
      </c>
      <c r="B182" s="7">
        <v>4044</v>
      </c>
      <c r="C182" s="22" t="s">
        <v>217</v>
      </c>
      <c r="D182" s="22" t="s">
        <v>754</v>
      </c>
      <c r="E182" s="13">
        <v>42697.468460648146</v>
      </c>
      <c r="F182" s="13">
        <v>42697.473101851851</v>
      </c>
      <c r="G182" s="7">
        <v>4</v>
      </c>
      <c r="H182" s="22" t="s">
        <v>346</v>
      </c>
      <c r="I182" s="13">
        <v>42697.483148148145</v>
      </c>
      <c r="J182" s="7">
        <v>0</v>
      </c>
      <c r="K182" s="109" t="str">
        <f t="shared" si="36"/>
        <v>4043/4044</v>
      </c>
      <c r="L182" s="22" t="str">
        <f>VLOOKUP(A182,'Trips&amp;Operators'!$C$1:$E$10000,3,FALSE)</f>
        <v>MCREYNOLDS</v>
      </c>
      <c r="M182" s="6">
        <f t="shared" si="37"/>
        <v>1.0046296294603962E-2</v>
      </c>
      <c r="N182" s="7">
        <f t="shared" si="38"/>
        <v>14.466666664229706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10:14:35-700',mode:absolute,to:'2016-11-23 12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9.5299999999999996E-2</v>
      </c>
      <c r="Z182" s="67">
        <f t="shared" si="45"/>
        <v>5.8928000000000003</v>
      </c>
      <c r="AA182" s="67">
        <f t="shared" si="46"/>
        <v>5.7975000000000003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0817-23</v>
      </c>
      <c r="AE182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82" s="88" t="str">
        <f t="shared" si="49"/>
        <v>"C:\Program Files (x86)\AstroGrep\AstroGrep.exe" /spath="%USERPROFILE%\AppData\Local\Temp\OnboardLogs" /stypes="app*4044*20161123*" /stext=" 18:.+((SYSTEM_STATE.+slice.+state.+changed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817-23 --locoid 4044 --swversion DE.1.0.8.0 --startMP 204:953 --initTime 2016-11-23T11:14:35 --startdatetime 2016-11-23T11:21:16 --delay 4 --endMP 300:58928 --enddatetime 2016-11-23T11:35:44 --enforcementcount 0 &gt;&gt;C:\Users\stu\Documents\GitHub\eaglep3-reporting\EC\2016-11-23-refined-times.txt</v>
      </c>
      <c r="AI182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{"issue":{"subject":"","project_id":79,"tracker_id":40,"status_id":1,"priority_id":2,"assigned_to_id":23,"start_date":"2016-11-23","description":"","custom_fields":[{"id":1,"name":"Subdivision","value":"NW"},{"id":4,"name":"Milepost","value":"5.8928"},{"id":17,"name":"Train ID","value":"817-23"},{"id":16,"name":"Locomotive ID","value":"4044"},{"id":130,"name":"Impact","value":""},{"id":150,"name":"Time of Event (Mountain Time)","value":"11:35:44"},{"id":151,"name":"Denver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510</v>
      </c>
      <c r="B183" s="7">
        <v>4043</v>
      </c>
      <c r="C183" s="22" t="s">
        <v>217</v>
      </c>
      <c r="D183" s="22" t="s">
        <v>755</v>
      </c>
      <c r="E183" s="13">
        <v>42697.485150462962</v>
      </c>
      <c r="F183" s="13">
        <v>42697.487256944441</v>
      </c>
      <c r="G183" s="7">
        <v>1</v>
      </c>
      <c r="H183" s="22" t="s">
        <v>756</v>
      </c>
      <c r="I183" s="13">
        <v>42697.498877314814</v>
      </c>
      <c r="J183" s="7">
        <v>0</v>
      </c>
      <c r="K183" s="109" t="str">
        <f t="shared" si="36"/>
        <v>4043/4044</v>
      </c>
      <c r="L183" s="22" t="str">
        <f>VLOOKUP(A183,'Trips&amp;Operators'!$C$1:$E$10000,3,FALSE)</f>
        <v>MCREYNOLDS</v>
      </c>
      <c r="M183" s="6">
        <f t="shared" si="37"/>
        <v>1.1620370372838806E-2</v>
      </c>
      <c r="N183" s="7">
        <f t="shared" si="38"/>
        <v>16.733333336887881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10:38:37-700',mode:absolute,to:'2016-11-23 12:58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5.8613</v>
      </c>
      <c r="Z183" s="67">
        <f t="shared" si="45"/>
        <v>7.0499999999999993E-2</v>
      </c>
      <c r="AA183" s="67">
        <f t="shared" si="46"/>
        <v>5.7907999999999999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0818-23</v>
      </c>
      <c r="AE183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83" s="88" t="str">
        <f t="shared" si="49"/>
        <v>"C:\Program Files (x86)\AstroGrep\AstroGrep.exe" /spath="%USERPROFILE%\AppData\Local\Temp\OnboardLogs" /stypes="app*4043*20161123*" /stext=" 18:.+((SYSTEM_STATE.+slice.+state.+changed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818-23 --locoid 4043 --swversion DE.1.0.8.0 --startMP 300:58613 --initTime 2016-11-23T11:38:37 --startdatetime 2016-11-23T11:41:39 --delay 1 --endMP 204:705 --enddatetime 2016-11-23T11:58:23 --enforcementcount 0 &gt;&gt;C:\Users\stu\Documents\GitHub\eaglep3-reporting\EC\2016-11-23-refined-times.txt</v>
      </c>
      <c r="AI183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{"issue":{"subject":"","project_id":79,"tracker_id":40,"status_id":1,"priority_id":2,"assigned_to_id":23,"start_date":"2016-11-23","description":"","custom_fields":[{"id":1,"name":"Subdivision","value":"NW"},{"id":4,"name":"Milepost","value":"0.0705"},{"id":17,"name":"Train ID","value":"818-23"},{"id":16,"name":"Locomotive ID","value":"4043"},{"id":130,"name":"Impact","value":""},{"id":150,"name":"Time of Event (Mountain Time)","value":"11:58:23"},{"id":151,"name":"Denver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518</v>
      </c>
      <c r="B184" s="7">
        <v>4044</v>
      </c>
      <c r="C184" s="22" t="s">
        <v>217</v>
      </c>
      <c r="D184" s="22" t="s">
        <v>385</v>
      </c>
      <c r="E184" s="13">
        <v>42697.511296296296</v>
      </c>
      <c r="F184" s="13">
        <v>42697.514861111114</v>
      </c>
      <c r="G184" s="7">
        <v>1</v>
      </c>
      <c r="H184" s="22" t="s">
        <v>757</v>
      </c>
      <c r="I184" s="13">
        <v>42697.524016203701</v>
      </c>
      <c r="J184" s="7">
        <v>0</v>
      </c>
      <c r="K184" s="109" t="str">
        <f t="shared" si="36"/>
        <v>4043/4044</v>
      </c>
      <c r="L184" s="22" t="str">
        <f>VLOOKUP(A184,'Trips&amp;Operators'!$C$1:$E$10000,3,FALSE)</f>
        <v>DE LA ROSA</v>
      </c>
      <c r="M184" s="6">
        <f t="shared" si="37"/>
        <v>9.1550925862975419E-3</v>
      </c>
      <c r="N184" s="7">
        <f t="shared" si="38"/>
        <v>13.18333332426846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11:16:16-700',mode:absolute,to:'2016-11-23 13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9.74E-2</v>
      </c>
      <c r="Z184" s="67">
        <f t="shared" si="45"/>
        <v>5.8979999999999997</v>
      </c>
      <c r="AA184" s="67">
        <f t="shared" si="46"/>
        <v>5.8005999999999993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0819-23</v>
      </c>
      <c r="AE184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84" s="88" t="str">
        <f t="shared" si="49"/>
        <v>"C:\Program Files (x86)\AstroGrep\AstroGrep.exe" /spath="%USERPROFILE%\AppData\Local\Temp\OnboardLogs" /stypes="app*4044*20161123*" /stext=" 19:.+((SYSTEM_STATE.+slice.+state.+changed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819-23 --locoid 4044 --swversion DE.1.0.8.0 --startMP 204:974 --initTime 2016-11-23T12:16:16 --startdatetime 2016-11-23T12:21:24 --delay 1 --endMP 300:58980 --enddatetime 2016-11-23T12:34:35 --enforcementcount 0 &gt;&gt;C:\Users\stu\Documents\GitHub\eaglep3-reporting\EC\2016-11-23-refined-times.txt</v>
      </c>
      <c r="AI184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{"issue":{"subject":"","project_id":79,"tracker_id":40,"status_id":1,"priority_id":2,"assigned_to_id":23,"start_date":"2016-11-23","description":"","custom_fields":[{"id":1,"name":"Subdivision","value":"NW"},{"id":4,"name":"Milepost","value":"5.898"},{"id":17,"name":"Train ID","value":"819-23"},{"id":16,"name":"Locomotive ID","value":"4044"},{"id":130,"name":"Impact","value":""},{"id":150,"name":"Time of Event (Mountain Time)","value":"12:34:35"},{"id":151,"name":"Denver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523</v>
      </c>
      <c r="B185" s="7">
        <v>4043</v>
      </c>
      <c r="C185" s="22" t="s">
        <v>217</v>
      </c>
      <c r="D185" s="22" t="s">
        <v>758</v>
      </c>
      <c r="E185" s="13">
        <v>42697.52516203704</v>
      </c>
      <c r="F185" s="13">
        <v>42697.526724537034</v>
      </c>
      <c r="G185" s="7">
        <v>1</v>
      </c>
      <c r="H185" s="22" t="s">
        <v>759</v>
      </c>
      <c r="I185" s="13">
        <v>42697.537974537037</v>
      </c>
      <c r="J185" s="7">
        <v>0</v>
      </c>
      <c r="K185" s="109" t="str">
        <f t="shared" si="36"/>
        <v>4043/4044</v>
      </c>
      <c r="L185" s="22" t="str">
        <f>VLOOKUP(A185,'Trips&amp;Operators'!$C$1:$E$10000,3,FALSE)</f>
        <v>DE LA ROSA</v>
      </c>
      <c r="M185" s="6">
        <f t="shared" si="37"/>
        <v>1.1250000003201421E-2</v>
      </c>
      <c r="N185" s="7">
        <f t="shared" si="38"/>
        <v>16.200000004610047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11:36:14-700',mode:absolute,to:'2016-11-23 13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5.8666</v>
      </c>
      <c r="Z185" s="67">
        <f t="shared" si="45"/>
        <v>7.2700000000000001E-2</v>
      </c>
      <c r="AA185" s="67">
        <f t="shared" si="46"/>
        <v>5.7938999999999998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0820-23</v>
      </c>
      <c r="AE185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85" s="88" t="str">
        <f t="shared" si="49"/>
        <v>"C:\Program Files (x86)\AstroGrep\AstroGrep.exe" /spath="%USERPROFILE%\AppData\Local\Temp\OnboardLogs" /stypes="app*4043*20161123*" /stext=" 19:.+((SYSTEM_STATE.+slice.+state.+changed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820-23 --locoid 4043 --swversion DE.1.0.8.0 --startMP 300:58666 --initTime 2016-11-23T12:36:14 --startdatetime 2016-11-23T12:38:29 --delay 1 --endMP 204:727 --enddatetime 2016-11-23T12:54:41 --enforcementcount 0 &gt;&gt;C:\Users\stu\Documents\GitHub\eaglep3-reporting\EC\2016-11-23-refined-times.txt</v>
      </c>
      <c r="AI185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{"issue":{"subject":"","project_id":79,"tracker_id":40,"status_id":1,"priority_id":2,"assigned_to_id":23,"start_date":"2016-11-23","description":"","custom_fields":[{"id":1,"name":"Subdivision","value":"NW"},{"id":4,"name":"Milepost","value":"0.0727"},{"id":17,"name":"Train ID","value":"820-23"},{"id":16,"name":"Locomotive ID","value":"4043"},{"id":130,"name":"Impact","value":""},{"id":150,"name":"Time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527</v>
      </c>
      <c r="B186" s="7">
        <v>4044</v>
      </c>
      <c r="C186" s="22" t="s">
        <v>217</v>
      </c>
      <c r="D186" s="22" t="s">
        <v>379</v>
      </c>
      <c r="E186" s="13">
        <v>42697.551990740743</v>
      </c>
      <c r="F186" s="13">
        <v>42697.556527777779</v>
      </c>
      <c r="G186" s="7">
        <v>2</v>
      </c>
      <c r="H186" s="22" t="s">
        <v>757</v>
      </c>
      <c r="I186" s="13">
        <v>42697.566643518519</v>
      </c>
      <c r="J186" s="7">
        <v>0</v>
      </c>
      <c r="K186" s="109" t="str">
        <f t="shared" si="36"/>
        <v>4043/4044</v>
      </c>
      <c r="L186" s="22" t="str">
        <f>VLOOKUP(A186,'Trips&amp;Operators'!$C$1:$E$10000,3,FALSE)</f>
        <v>MOSES</v>
      </c>
      <c r="M186" s="6">
        <f t="shared" si="37"/>
        <v>1.0115740740729962E-2</v>
      </c>
      <c r="N186" s="7">
        <f t="shared" si="38"/>
        <v>14.566666666651145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12:14:52-700',mode:absolute,to:'2016-11-23 14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0.1014</v>
      </c>
      <c r="Z186" s="67">
        <f t="shared" si="45"/>
        <v>5.8979999999999997</v>
      </c>
      <c r="AA186" s="67">
        <f t="shared" si="46"/>
        <v>5.7965999999999998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0821-23</v>
      </c>
      <c r="AE186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86" s="88" t="str">
        <f t="shared" si="49"/>
        <v>"C:\Program Files (x86)\AstroGrep\AstroGrep.exe" /spath="%USERPROFILE%\AppData\Local\Temp\OnboardLogs" /stypes="app*4044*20161123*" /stext=" 20:.+((SYSTEM_STATE.+slice.+state.+changed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821-23 --locoid 4044 --swversion DE.1.0.8.0 --startMP 204:1014 --initTime 2016-11-23T13:14:52 --startdatetime 2016-11-23T13:21:24 --delay 2 --endMP 300:58980 --enddatetime 2016-11-23T13:35:58 --enforcementcount 0 &gt;&gt;C:\Users\stu\Documents\GitHub\eaglep3-reporting\EC\2016-11-23-refined-times.txt</v>
      </c>
      <c r="AI186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{"issue":{"subject":"","project_id":79,"tracker_id":40,"status_id":1,"priority_id":2,"assigned_to_id":23,"start_date":"2016-11-23","description":"","custom_fields":[{"id":1,"name":"Subdivision","value":"NW"},{"id":4,"name":"Milepost","value":"5.898"},{"id":17,"name":"Train ID","value":"821-23"},{"id":16,"name":"Locomotive ID","value":"4044"},{"id":130,"name":"Impact","value":""},{"id":150,"name":"Time of Event (Mountain Time)","value":"13:35:58"},{"id":151,"name":"Denver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531</v>
      </c>
      <c r="B187" s="7">
        <v>4043</v>
      </c>
      <c r="C187" s="22" t="s">
        <v>217</v>
      </c>
      <c r="D187" s="22" t="s">
        <v>760</v>
      </c>
      <c r="E187" s="13">
        <v>42697.568356481483</v>
      </c>
      <c r="F187" s="13">
        <v>42697.570787037039</v>
      </c>
      <c r="G187" s="7">
        <v>1</v>
      </c>
      <c r="H187" s="22" t="s">
        <v>340</v>
      </c>
      <c r="I187" s="13">
        <v>42697.580636574072</v>
      </c>
      <c r="J187" s="7">
        <v>0</v>
      </c>
      <c r="K187" s="109" t="str">
        <f t="shared" si="36"/>
        <v>4043/4044</v>
      </c>
      <c r="L187" s="22" t="str">
        <f>VLOOKUP(A187,'Trips&amp;Operators'!$C$1:$E$10000,3,FALSE)</f>
        <v>MOSES</v>
      </c>
      <c r="M187" s="6">
        <f t="shared" si="37"/>
        <v>9.8495370330056176E-3</v>
      </c>
      <c r="N187" s="7">
        <f t="shared" si="38"/>
        <v>14.183333327528089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12:38:26-700',mode:absolute,to:'2016-11-23 14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5.8667999999999996</v>
      </c>
      <c r="Z187" s="67">
        <f t="shared" si="45"/>
        <v>6.7299999999999999E-2</v>
      </c>
      <c r="AA187" s="67">
        <f t="shared" si="46"/>
        <v>5.7994999999999992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0822-23</v>
      </c>
      <c r="AE187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87" s="88" t="str">
        <f t="shared" si="49"/>
        <v>"C:\Program Files (x86)\AstroGrep\AstroGrep.exe" /spath="%USERPROFILE%\AppData\Local\Temp\OnboardLogs" /stypes="app*4043*20161123*" /stext=" 20:.+((SYSTEM_STATE.+slice.+state.+changed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822-23 --locoid 4043 --swversion DE.1.0.8.0 --startMP 300:58668 --initTime 2016-11-23T13:38:26 --startdatetime 2016-11-23T13:41:56 --delay 1 --endMP 204:673 --enddatetime 2016-11-23T13:56:07 --enforcementcount 0 &gt;&gt;C:\Users\stu\Documents\GitHub\eaglep3-reporting\EC\2016-11-23-refined-times.txt</v>
      </c>
      <c r="AI187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{"issue":{"subject":"","project_id":79,"tracker_id":40,"status_id":1,"priority_id":2,"assigned_to_id":23,"start_date":"2016-11-23","description":"","custom_fields":[{"id":1,"name":"Subdivision","value":"NW"},{"id":4,"name":"Milepost","value":"0.0673"},{"id":17,"name":"Train ID","value":"822-23"},{"id":16,"name":"Locomotive ID","value":"4043"},{"id":130,"name":"Impact","value":""},{"id":150,"name":"Time of Event (Mountain Time)","value":"13:56:07"},{"id":151,"name":"Denver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538</v>
      </c>
      <c r="B188" s="7">
        <v>4044</v>
      </c>
      <c r="C188" s="22" t="s">
        <v>217</v>
      </c>
      <c r="D188" s="22" t="s">
        <v>761</v>
      </c>
      <c r="E188" s="13">
        <v>42697.595173611109</v>
      </c>
      <c r="F188" s="13">
        <v>42697.598298611112</v>
      </c>
      <c r="G188" s="7">
        <v>1</v>
      </c>
      <c r="H188" s="22" t="s">
        <v>762</v>
      </c>
      <c r="I188" s="13">
        <v>42697.608773148146</v>
      </c>
      <c r="J188" s="7">
        <v>0</v>
      </c>
      <c r="K188" s="109" t="str">
        <f t="shared" si="36"/>
        <v>4043/4044</v>
      </c>
      <c r="L188" s="22" t="str">
        <f>VLOOKUP(A188,'Trips&amp;Operators'!$C$1:$E$10000,3,FALSE)</f>
        <v>MOSES</v>
      </c>
      <c r="M188" s="6">
        <f t="shared" si="37"/>
        <v>1.0474537033587694E-2</v>
      </c>
      <c r="N188" s="7">
        <f t="shared" si="38"/>
        <v>15.08333332836628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13:17:03-700',mode:absolute,to:'2016-11-23 15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9.5699999999999993E-2</v>
      </c>
      <c r="Z188" s="67">
        <f t="shared" si="45"/>
        <v>5.8993000000000002</v>
      </c>
      <c r="AA188" s="67">
        <f t="shared" si="46"/>
        <v>5.8036000000000003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0823-23</v>
      </c>
      <c r="AE188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88" s="88" t="str">
        <f t="shared" si="49"/>
        <v>"C:\Program Files (x86)\AstroGrep\AstroGrep.exe" /spath="%USERPROFILE%\AppData\Local\Temp\OnboardLogs" /stypes="app*4044*20161123*" /stext=" 21:.+((SYSTEM_STATE.+slice.+state.+changed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823-23 --locoid 4044 --swversion DE.1.0.8.0 --startMP 204:957 --initTime 2016-11-23T14:17:03 --startdatetime 2016-11-23T14:21:33 --delay 1 --endMP 300:58993 --enddatetime 2016-11-23T14:36:38 --enforcementcount 0 &gt;&gt;C:\Users\stu\Documents\GitHub\eaglep3-reporting\EC\2016-11-23-refined-times.txt</v>
      </c>
      <c r="AI188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{"issue":{"subject":"","project_id":79,"tracker_id":40,"status_id":1,"priority_id":2,"assigned_to_id":23,"start_date":"2016-11-23","description":"","custom_fields":[{"id":1,"name":"Subdivision","value":"NW"},{"id":4,"name":"Milepost","value":"5.8993"},{"id":17,"name":"Train ID","value":"823-23"},{"id":16,"name":"Locomotive ID","value":"4044"},{"id":130,"name":"Impact","value":""},{"id":150,"name":"Time of Event (Mountain Time)","value":"14:36:38"},{"id":151,"name":"Denver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542</v>
      </c>
      <c r="B189" s="7">
        <v>4043</v>
      </c>
      <c r="C189" s="22" t="s">
        <v>217</v>
      </c>
      <c r="D189" s="22" t="s">
        <v>763</v>
      </c>
      <c r="E189" s="13">
        <v>42697.610868055555</v>
      </c>
      <c r="F189" s="13">
        <v>42697.612986111111</v>
      </c>
      <c r="G189" s="7">
        <v>1</v>
      </c>
      <c r="H189" s="22" t="s">
        <v>764</v>
      </c>
      <c r="I189" s="13">
        <v>42697.622719907406</v>
      </c>
      <c r="J189" s="7">
        <v>0</v>
      </c>
      <c r="K189" s="109" t="str">
        <f t="shared" si="36"/>
        <v>4043/4044</v>
      </c>
      <c r="L189" s="22" t="str">
        <f>VLOOKUP(A189,'Trips&amp;Operators'!$C$1:$E$10000,3,FALSE)</f>
        <v>MOSES</v>
      </c>
      <c r="M189" s="6">
        <f t="shared" si="37"/>
        <v>9.7337962943129241E-3</v>
      </c>
      <c r="N189" s="7">
        <f t="shared" si="38"/>
        <v>14.016666663810611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13:39:39-700',mode:absolute,to:'2016-11-23 15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5.8674999999999997</v>
      </c>
      <c r="Z189" s="67">
        <f t="shared" si="45"/>
        <v>6.9099999999999995E-2</v>
      </c>
      <c r="AA189" s="67">
        <f t="shared" si="46"/>
        <v>5.7984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0824-23</v>
      </c>
      <c r="AE189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89" s="88" t="str">
        <f t="shared" si="49"/>
        <v>"C:\Program Files (x86)\AstroGrep\AstroGrep.exe" /spath="%USERPROFILE%\AppData\Local\Temp\OnboardLogs" /stypes="app*4043*20161123*" /stext=" 21:.+((SYSTEM_STATE.+slice.+state.+changed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824-23 --locoid 4043 --swversion DE.1.0.8.0 --startMP 300:58675 --initTime 2016-11-23T14:39:39 --startdatetime 2016-11-23T14:42:42 --delay 1 --endMP 204:691 --enddatetime 2016-11-23T14:56:43 --enforcementcount 0 &gt;&gt;C:\Users\stu\Documents\GitHub\eaglep3-reporting\EC\2016-11-23-refined-times.txt</v>
      </c>
      <c r="AI189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{"issue":{"subject":"","project_id":79,"tracker_id":40,"status_id":1,"priority_id":2,"assigned_to_id":23,"start_date":"2016-11-23","description":"","custom_fields":[{"id":1,"name":"Subdivision","value":"NW"},{"id":4,"name":"Milepost","value":"0.0691"},{"id":17,"name":"Train ID","value":"824-23"},{"id":16,"name":"Locomotive ID","value":"4043"},{"id":130,"name":"Impact","value":""},{"id":150,"name":"Time of Event (Mountain Time)","value":"14:56:43"},{"id":151,"name":"Denver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417</v>
      </c>
      <c r="B190" s="7">
        <v>4044</v>
      </c>
      <c r="C190" s="22" t="s">
        <v>217</v>
      </c>
      <c r="D190" s="22" t="s">
        <v>765</v>
      </c>
      <c r="E190" s="13">
        <v>42697.636863425927</v>
      </c>
      <c r="F190" s="13">
        <v>42697.640057870369</v>
      </c>
      <c r="G190" s="7">
        <v>1</v>
      </c>
      <c r="H190" s="22" t="s">
        <v>766</v>
      </c>
      <c r="I190" s="13">
        <v>42697.64984953704</v>
      </c>
      <c r="J190" s="7">
        <v>1</v>
      </c>
      <c r="K190" s="109" t="str">
        <f t="shared" si="36"/>
        <v>4043/4044</v>
      </c>
      <c r="L190" s="22" t="str">
        <f>VLOOKUP(A190,'Trips&amp;Operators'!$C$1:$E$10000,3,FALSE)</f>
        <v>MOSES</v>
      </c>
      <c r="M190" s="6">
        <f t="shared" si="37"/>
        <v>9.7916666709352285E-3</v>
      </c>
      <c r="N190" s="7">
        <f t="shared" si="38"/>
        <v>14.100000006146729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14:17:05-700',mode:absolute,to:'2016-11-23 16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9.6500000000000002E-2</v>
      </c>
      <c r="Z190" s="67">
        <f t="shared" si="45"/>
        <v>5.8967000000000001</v>
      </c>
      <c r="AA190" s="67">
        <f t="shared" si="46"/>
        <v>5.8002000000000002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0825-23</v>
      </c>
      <c r="AE190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90" s="88" t="str">
        <f t="shared" si="49"/>
        <v>"C:\Program Files (x86)\AstroGrep\AstroGrep.exe" /spath="%USERPROFILE%\AppData\Local\Temp\OnboardLogs" /stypes="app*4044*20161123*" /stext=" 22:.+((SYSTEM_STATE.+slice.+state.+changed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825-23 --locoid 4044 --swversion DE.1.0.8.0 --startMP 204:965 --initTime 2016-11-23T15:17:05 --startdatetime 2016-11-23T15:21:41 --delay 1 --endMP 300:58967 --enddatetime 2016-11-23T15:35:47 --enforcementcount 1 &gt;&gt;C:\Users\stu\Documents\GitHub\eaglep3-reporting\EC\2016-11-23-refined-times.txt</v>
      </c>
      <c r="AI190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{"issue":{"subject":"","project_id":79,"tracker_id":40,"status_id":1,"priority_id":2,"assigned_to_id":23,"start_date":"2016-11-23","description":"","custom_fields":[{"id":1,"name":"Subdivision","value":"NW"},{"id":4,"name":"Milepost","value":"5.8967"},{"id":17,"name":"Train ID","value":"825-23"},{"id":16,"name":"Locomotive ID","value":"4044"},{"id":130,"name":"Impact","value":""},{"id":150,"name":"Time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553</v>
      </c>
      <c r="B191" s="7">
        <v>4043</v>
      </c>
      <c r="C191" s="22" t="s">
        <v>217</v>
      </c>
      <c r="D191" s="22" t="s">
        <v>309</v>
      </c>
      <c r="E191" s="13">
        <v>42697.652696759258</v>
      </c>
      <c r="F191" s="13">
        <v>42697.654907407406</v>
      </c>
      <c r="G191" s="7">
        <v>1</v>
      </c>
      <c r="H191" s="22" t="s">
        <v>767</v>
      </c>
      <c r="I191" s="13">
        <v>42697.664525462962</v>
      </c>
      <c r="J191" s="7">
        <v>0</v>
      </c>
      <c r="K191" s="109" t="str">
        <f t="shared" si="36"/>
        <v>4043/4044</v>
      </c>
      <c r="L191" s="22" t="str">
        <f>VLOOKUP(A191,'Trips&amp;Operators'!$C$1:$E$10000,3,FALSE)</f>
        <v>MOSES</v>
      </c>
      <c r="M191" s="6">
        <f t="shared" si="37"/>
        <v>9.6180555556202307E-3</v>
      </c>
      <c r="N191" s="7">
        <f t="shared" si="38"/>
        <v>13.850000000093132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14:39:53-700',mode:absolute,to:'2016-11-23 16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5.8648999999999996</v>
      </c>
      <c r="Z191" s="67">
        <f t="shared" si="45"/>
        <v>6.5199999999999994E-2</v>
      </c>
      <c r="AA191" s="67">
        <f t="shared" si="46"/>
        <v>5.7996999999999996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0826-23</v>
      </c>
      <c r="AE191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91" s="88" t="str">
        <f t="shared" si="49"/>
        <v>"C:\Program Files (x86)\AstroGrep\AstroGrep.exe" /spath="%USERPROFILE%\AppData\Local\Temp\OnboardLogs" /stypes="app*4043*20161123*" /stext=" 22:.+((SYSTEM_STATE.+slice.+state.+changed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826-23 --locoid 4043 --swversion DE.1.0.8.0 --startMP 300:58649 --initTime 2016-11-23T15:39:53 --startdatetime 2016-11-23T15:43:04 --delay 1 --endMP 204:652 --enddatetime 2016-11-23T15:56:55 --enforcementcount 0 &gt;&gt;C:\Users\stu\Documents\GitHub\eaglep3-reporting\EC\2016-11-23-refined-times.txt</v>
      </c>
      <c r="AI191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{"issue":{"subject":"","project_id":79,"tracker_id":40,"status_id":1,"priority_id":2,"assigned_to_id":23,"start_date":"2016-11-23","description":"","custom_fields":[{"id":1,"name":"Subdivision","value":"NW"},{"id":4,"name":"Milepost","value":"0.0652"},{"id":17,"name":"Train ID","value":"826-23"},{"id":16,"name":"Locomotive ID","value":"4043"},{"id":130,"name":"Impact","value":""},{"id":150,"name":"Time of Event (Mountain Time)","value":"15:56:55"},{"id":151,"name":"Denver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552</v>
      </c>
      <c r="B192" s="7">
        <v>4014</v>
      </c>
      <c r="C192" s="22" t="s">
        <v>217</v>
      </c>
      <c r="D192" s="22" t="s">
        <v>765</v>
      </c>
      <c r="E192" s="13">
        <v>42697.651712962965</v>
      </c>
      <c r="F192" s="13">
        <v>42697.660613425927</v>
      </c>
      <c r="G192" s="7">
        <v>1</v>
      </c>
      <c r="H192" s="22" t="s">
        <v>308</v>
      </c>
      <c r="I192" s="13">
        <v>42697.670925925922</v>
      </c>
      <c r="J192" s="7">
        <v>0</v>
      </c>
      <c r="K192" s="109" t="str">
        <f t="shared" si="36"/>
        <v>4013/4014</v>
      </c>
      <c r="L192" s="22" t="str">
        <f>VLOOKUP(A192,'Trips&amp;Operators'!$C$1:$E$10000,3,FALSE)</f>
        <v>DAVIDSON</v>
      </c>
      <c r="M192" s="6">
        <f t="shared" si="37"/>
        <v>1.0312499995052349E-2</v>
      </c>
      <c r="N192" s="7">
        <f t="shared" si="38"/>
        <v>14.849999992875382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14:38:28-700',mode:absolute,to:'2016-11-23 17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9.6500000000000002E-2</v>
      </c>
      <c r="Z192" s="67">
        <f t="shared" si="45"/>
        <v>5.8968999999999996</v>
      </c>
      <c r="AA192" s="67">
        <f t="shared" si="46"/>
        <v>5.8003999999999998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0827-23</v>
      </c>
      <c r="AE192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192" s="88" t="str">
        <f t="shared" si="49"/>
        <v>"C:\Program Files (x86)\AstroGrep\AstroGrep.exe" /spath="%USERPROFILE%\AppData\Local\Temp\OnboardLogs" /stypes="app*4014*20161123*" /stext=" 23:.+((SYSTEM_STATE.+slice.+state.+changed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827-23 --locoid 4014 --swversion DE.1.0.8.0 --startMP 204:965 --initTime 2016-11-23T15:38:28 --startdatetime 2016-11-23T15:51:17 --delay 1 --endMP 300:58969 --enddatetime 2016-11-23T16:06:08 --enforcementcount 0 &gt;&gt;C:\Users\stu\Documents\GitHub\eaglep3-reporting\EC\2016-11-23-refined-times.txt</v>
      </c>
      <c r="AI192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{"issue":{"subject":"","project_id":79,"tracker_id":40,"status_id":1,"priority_id":2,"assigned_to_id":23,"start_date":"2016-11-23","description":"","custom_fields":[{"id":1,"name":"Subdivision","value":"NW"},{"id":4,"name":"Milepost","value":"5.8969"},{"id":17,"name":"Train ID","value":"827-23"},{"id":16,"name":"Locomotive ID","value":"4014"},{"id":130,"name":"Impact","value":""},{"id":150,"name":"Time of Event (Mountain Time)","value":"16:06:08"},{"id":151,"name":"Denver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557</v>
      </c>
      <c r="B193" s="7">
        <v>4013</v>
      </c>
      <c r="C193" s="22" t="s">
        <v>217</v>
      </c>
      <c r="D193" s="22" t="s">
        <v>307</v>
      </c>
      <c r="E193" s="13">
        <v>42697.672430555554</v>
      </c>
      <c r="F193" s="13">
        <v>42697.674050925925</v>
      </c>
      <c r="G193" s="7">
        <v>1</v>
      </c>
      <c r="H193" s="22" t="s">
        <v>280</v>
      </c>
      <c r="I193" s="13">
        <v>42697.685381944444</v>
      </c>
      <c r="J193" s="7">
        <v>0</v>
      </c>
      <c r="K193" s="109" t="str">
        <f t="shared" si="36"/>
        <v>4013/4014</v>
      </c>
      <c r="L193" s="22" t="str">
        <f>VLOOKUP(A193,'Trips&amp;Operators'!$C$1:$E$10000,3,FALSE)</f>
        <v>DAVIDSON</v>
      </c>
      <c r="M193" s="6">
        <f t="shared" si="37"/>
        <v>1.1331018518831115E-2</v>
      </c>
      <c r="N193" s="7">
        <f t="shared" si="38"/>
        <v>16.316666667116806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15:08:18-700',mode:absolute,to:'2016-11-23 17:26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5.8651</v>
      </c>
      <c r="Z193" s="67">
        <f t="shared" si="45"/>
        <v>6.8900000000000003E-2</v>
      </c>
      <c r="AA193" s="67">
        <f t="shared" si="46"/>
        <v>5.7961999999999998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0828-23</v>
      </c>
      <c r="AE193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93" s="88" t="str">
        <f t="shared" si="49"/>
        <v>"C:\Program Files (x86)\AstroGrep\AstroGrep.exe" /spath="%USERPROFILE%\AppData\Local\Temp\OnboardLogs" /stypes="app*4013*20161123*" /stext=" 23:.+((SYSTEM_STATE.+slice.+state.+changed )|(ment ac)|(multiple cpu faults)|(system.+state.+changed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828-23 --locoid 4013 --swversion DE.1.0.8.0 --startMP 300:58651 --initTime 2016-11-23T16:08:18 --startdatetime 2016-11-23T16:10:38 --delay 1 --endMP 204:689 --enddatetime 2016-11-23T16:26:57 --enforcementcount 0 &gt;&gt;C:\Users\stu\Documents\GitHub\eaglep3-reporting\EC\2016-11-23-refined-times.txt</v>
      </c>
      <c r="AI193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{"issue":{"subject":"","project_id":79,"tracker_id":40,"status_id":1,"priority_id":2,"assigned_to_id":23,"start_date":"2016-11-23","description":"","custom_fields":[{"id":1,"name":"Subdivision","value":"NW"},{"id":4,"name":"Milepost","value":"0.0689"},{"id":17,"name":"Train ID","value":"828-23"},{"id":16,"name":"Locomotive ID","value":"4013"},{"id":130,"name":"Impact","value":""},{"id":150,"name":"Time of Event (Mountain Time)","value":"16:26:57"},{"id":151,"name":"Denver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560</v>
      </c>
      <c r="B194" s="7">
        <v>4044</v>
      </c>
      <c r="C194" s="22" t="s">
        <v>217</v>
      </c>
      <c r="D194" s="22" t="s">
        <v>384</v>
      </c>
      <c r="E194" s="13">
        <v>42697.676817129628</v>
      </c>
      <c r="F194" s="13">
        <v>42697.681516203702</v>
      </c>
      <c r="G194" s="7">
        <v>1</v>
      </c>
      <c r="H194" s="22" t="s">
        <v>768</v>
      </c>
      <c r="I194" s="13">
        <v>42697.692372685182</v>
      </c>
      <c r="J194" s="7">
        <v>0</v>
      </c>
      <c r="K194" s="109" t="str">
        <f t="shared" si="36"/>
        <v>4043/4044</v>
      </c>
      <c r="L194" s="22" t="str">
        <f>VLOOKUP(A194,'Trips&amp;Operators'!$C$1:$E$10000,3,FALSE)</f>
        <v>MOSES</v>
      </c>
      <c r="M194" s="6">
        <f t="shared" si="37"/>
        <v>1.0856481480004732E-2</v>
      </c>
      <c r="N194" s="7">
        <f t="shared" si="38"/>
        <v>15.633333331206813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15:14:37-700',mode:absolute,to:'2016-11-23 17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9.69E-2</v>
      </c>
      <c r="Z194" s="67">
        <f t="shared" si="45"/>
        <v>5.8975</v>
      </c>
      <c r="AA194" s="67">
        <f t="shared" si="46"/>
        <v>5.8006000000000002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0829-23</v>
      </c>
      <c r="AE194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94" s="88" t="str">
        <f t="shared" si="49"/>
        <v>"C:\Program Files (x86)\AstroGrep\AstroGrep.exe" /spath="%USERPROFILE%\AppData\Local\Temp\OnboardLogs" /stypes="app*4044*20161123*" /stext=" 23:.+((SYSTEM_STATE.+slice.+state.+changed )|(ment ac)|(multiple cpu faults)|(system.+state.+changed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829-23 --locoid 4044 --swversion DE.1.0.8.0 --startMP 204:969 --initTime 2016-11-23T16:14:37 --startdatetime 2016-11-23T16:21:23 --delay 1 --endMP 300:58975 --enddatetime 2016-11-23T16:37:01 --enforcementcount 0 &gt;&gt;C:\Users\stu\Documents\GitHub\eaglep3-reporting\EC\2016-11-23-refined-times.txt</v>
      </c>
      <c r="AI194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{"issue":{"subject":"","project_id":79,"tracker_id":40,"status_id":1,"priority_id":2,"assigned_to_id":23,"start_date":"2016-11-23","description":"","custom_fields":[{"id":1,"name":"Subdivision","value":"NW"},{"id":4,"name":"Milepost","value":"5.8975"},{"id":17,"name":"Train ID","value":"829-23"},{"id":16,"name":"Locomotive ID","value":"4044"},{"id":130,"name":"Impact","value":""},{"id":150,"name":"Time of Event (Mountain Time)","value":"16:37:01"},{"id":151,"name":"Denver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564</v>
      </c>
      <c r="B195" s="7">
        <v>4043</v>
      </c>
      <c r="C195" s="22" t="s">
        <v>217</v>
      </c>
      <c r="D195" s="22" t="s">
        <v>769</v>
      </c>
      <c r="E195" s="13">
        <v>42697.694189814814</v>
      </c>
      <c r="F195" s="13">
        <v>42697.696782407409</v>
      </c>
      <c r="G195" s="7">
        <v>1</v>
      </c>
      <c r="H195" s="22" t="s">
        <v>770</v>
      </c>
      <c r="I195" s="13">
        <v>42697.706458333334</v>
      </c>
      <c r="J195" s="7">
        <v>0</v>
      </c>
      <c r="K195" s="109" t="str">
        <f t="shared" si="36"/>
        <v>4043/4044</v>
      </c>
      <c r="L195" s="22" t="str">
        <f>VLOOKUP(A195,'Trips&amp;Operators'!$C$1:$E$10000,3,FALSE)</f>
        <v>MOSES</v>
      </c>
      <c r="M195" s="6">
        <f t="shared" si="37"/>
        <v>9.6759259249665774E-3</v>
      </c>
      <c r="N195" s="7">
        <f t="shared" si="38"/>
        <v>13.933333331951872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15:39:38-700',mode:absolute,to:'2016-11-23 17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5.8654999999999999</v>
      </c>
      <c r="Z195" s="67">
        <f t="shared" si="45"/>
        <v>6.54E-2</v>
      </c>
      <c r="AA195" s="67">
        <f t="shared" si="46"/>
        <v>5.8000999999999996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0830-23</v>
      </c>
      <c r="AE195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95" s="88" t="str">
        <f t="shared" si="49"/>
        <v>"C:\Program Files (x86)\AstroGrep\AstroGrep.exe" /spath="%USERPROFILE%\AppData\Local\Temp\OnboardLogs" /stypes="app*4043*20161123*" /stext=" 23:.+((SYSTEM_STATE.+slice.+state.+changed )|(ment ac)|(multiple cpu faults)|(system.+state.+changed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830-23 --locoid 4043 --swversion DE.1.0.8.0 --startMP 300:58655 --initTime 2016-11-23T16:39:38 --startdatetime 2016-11-23T16:43:22 --delay 1 --endMP 204:654 --enddatetime 2016-11-23T16:57:18 --enforcementcount 0 &gt;&gt;C:\Users\stu\Documents\GitHub\eaglep3-reporting\EC\2016-11-23-refined-times.txt</v>
      </c>
      <c r="AI195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{"issue":{"subject":"","project_id":79,"tracker_id":40,"status_id":1,"priority_id":2,"assigned_to_id":23,"start_date":"2016-11-23","description":"","custom_fields":[{"id":1,"name":"Subdivision","value":"NW"},{"id":4,"name":"Milepost","value":"0.0654"},{"id":17,"name":"Train ID","value":"830-23"},{"id":16,"name":"Locomotive ID","value":"4043"},{"id":130,"name":"Impact","value":""},{"id":150,"name":"Time of Event (Mountain Time)","value":"16:57:18"},{"id":151,"name":"Denver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419</v>
      </c>
      <c r="B196" s="7">
        <v>4014</v>
      </c>
      <c r="C196" s="22" t="s">
        <v>217</v>
      </c>
      <c r="D196" s="22" t="s">
        <v>295</v>
      </c>
      <c r="E196" s="13">
        <v>42697.696331018517</v>
      </c>
      <c r="F196" s="13">
        <v>42697.702268518522</v>
      </c>
      <c r="G196" s="7">
        <v>1</v>
      </c>
      <c r="H196" s="22" t="s">
        <v>345</v>
      </c>
      <c r="I196" s="13">
        <v>42697.713414351849</v>
      </c>
      <c r="J196" s="7">
        <v>1</v>
      </c>
      <c r="K196" s="109" t="str">
        <f t="shared" si="36"/>
        <v>4013/4014</v>
      </c>
      <c r="L196" s="22" t="str">
        <f>VLOOKUP(A196,'Trips&amp;Operators'!$C$1:$E$10000,3,FALSE)</f>
        <v>DAVIDSON</v>
      </c>
      <c r="M196" s="6">
        <f t="shared" si="37"/>
        <v>1.1145833326736465E-2</v>
      </c>
      <c r="N196" s="7">
        <f t="shared" si="38"/>
        <v>16.04999999050051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15:42:43-700',mode:absolute,to:'2016-11-23 18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9.7199999999999995E-2</v>
      </c>
      <c r="Z196" s="67">
        <f t="shared" si="45"/>
        <v>5.8964999999999996</v>
      </c>
      <c r="AA196" s="67">
        <f t="shared" si="46"/>
        <v>5.7992999999999997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0831-23</v>
      </c>
      <c r="AE196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196" s="88" t="str">
        <f t="shared" si="49"/>
        <v>"C:\Program Files (x86)\AstroGrep\AstroGrep.exe" /spath="%USERPROFILE%\AppData\Local\Temp\OnboardLogs" /stypes="app*4014*20161124*" /stext=" 00:.+((SYSTEM_STATE.+slice.+state.+changed )|(ment ac)|(multiple cpu faults)|(system.+state.+changed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831-23 --locoid 4014 --swversion DE.1.0.8.0 --startMP 204:972 --initTime 2016-11-23T16:42:43 --startdatetime 2016-11-23T16:51:16 --delay 1 --endMP 300:58965 --enddatetime 2016-11-23T17:07:19 --enforcementcount 1 &gt;&gt;C:\Users\stu\Documents\GitHub\eaglep3-reporting\EC\2016-11-23-refined-times.txt</v>
      </c>
      <c r="AI196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{"issue":{"subject":"","project_id":79,"tracker_id":40,"status_id":1,"priority_id":2,"assigned_to_id":23,"start_date":"2016-11-23","description":"","custom_fields":[{"id":1,"name":"Subdivision","value":"NW"},{"id":4,"name":"Milepost","value":"5.8965"},{"id":17,"name":"Train ID","value":"831-23"},{"id":16,"name":"Locomotive ID","value":"4014"},{"id":130,"name":"Impact","value":""},{"id":150,"name":"Time of Event (Mountain Time)","value":"17:07:19"},{"id":151,"name":"Denver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568</v>
      </c>
      <c r="B197" s="7">
        <v>4013</v>
      </c>
      <c r="C197" s="22" t="s">
        <v>217</v>
      </c>
      <c r="D197" s="22" t="s">
        <v>309</v>
      </c>
      <c r="E197" s="13">
        <v>42697.714432870373</v>
      </c>
      <c r="F197" s="13">
        <v>42697.715856481482</v>
      </c>
      <c r="G197" s="7">
        <v>1</v>
      </c>
      <c r="H197" s="22" t="s">
        <v>280</v>
      </c>
      <c r="I197" s="13">
        <v>42697.726967592593</v>
      </c>
      <c r="J197" s="7">
        <v>0</v>
      </c>
      <c r="K197" s="109" t="str">
        <f t="shared" si="36"/>
        <v>4013/4014</v>
      </c>
      <c r="L197" s="22" t="str">
        <f>VLOOKUP(A197,'Trips&amp;Operators'!$C$1:$E$10000,3,FALSE)</f>
        <v>DAVIDSON</v>
      </c>
      <c r="M197" s="6">
        <f t="shared" si="37"/>
        <v>1.1111111110949423E-2</v>
      </c>
      <c r="N197" s="7">
        <f t="shared" si="38"/>
        <v>15.999999999767169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16:08:47-700',mode:absolute,to:'2016-11-23 18:26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5.8648999999999996</v>
      </c>
      <c r="Z197" s="67">
        <f t="shared" si="45"/>
        <v>6.8900000000000003E-2</v>
      </c>
      <c r="AA197" s="67">
        <f t="shared" si="46"/>
        <v>5.7959999999999994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0832-23</v>
      </c>
      <c r="AE197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197" s="88" t="str">
        <f t="shared" si="49"/>
        <v>"C:\Program Files (x86)\AstroGrep\AstroGrep.exe" /spath="%USERPROFILE%\AppData\Local\Temp\OnboardLogs" /stypes="app*4013*20161124*" /stext=" 00:.+((SYSTEM_STATE.+slice.+state.+changed )|(ment ac)|(multiple cpu faults)|(system.+state.+changed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832-23 --locoid 4013 --swversion DE.1.0.8.0 --startMP 300:58649 --initTime 2016-11-23T17:08:47 --startdatetime 2016-11-23T17:10:50 --delay 1 --endMP 204:689 --enddatetime 2016-11-23T17:26:50 --enforcementcount 0 &gt;&gt;C:\Users\stu\Documents\GitHub\eaglep3-reporting\EC\2016-11-23-refined-times.txt</v>
      </c>
      <c r="AI197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{"issue":{"subject":"","project_id":79,"tracker_id":40,"status_id":1,"priority_id":2,"assigned_to_id":23,"start_date":"2016-11-23","description":"","custom_fields":[{"id":1,"name":"Subdivision","value":"NW"},{"id":4,"name":"Milepost","value":"0.0689"},{"id":17,"name":"Train ID","value":"832-23"},{"id":16,"name":"Locomotive ID","value":"4013"},{"id":130,"name":"Impact","value":""},{"id":150,"name":"Time of Event (Mountain Time)","value":"17:26:50"},{"id":151,"name":"Denver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571</v>
      </c>
      <c r="B198" s="7">
        <v>4044</v>
      </c>
      <c r="C198" s="22" t="s">
        <v>217</v>
      </c>
      <c r="D198" s="22" t="s">
        <v>771</v>
      </c>
      <c r="E198" s="13">
        <v>42697.719386574077</v>
      </c>
      <c r="F198" s="13">
        <v>42697.723217592589</v>
      </c>
      <c r="G198" s="7">
        <v>1</v>
      </c>
      <c r="H198" s="22" t="s">
        <v>772</v>
      </c>
      <c r="I198" s="13">
        <v>42697.733240740738</v>
      </c>
      <c r="J198" s="7">
        <v>0</v>
      </c>
      <c r="K198" s="109" t="str">
        <f t="shared" si="36"/>
        <v>4043/4044</v>
      </c>
      <c r="L198" s="22" t="str">
        <f>VLOOKUP(A198,'Trips&amp;Operators'!$C$1:$E$10000,3,FALSE)</f>
        <v>MOSES</v>
      </c>
      <c r="M198" s="6">
        <f t="shared" si="37"/>
        <v>1.0023148148320615E-2</v>
      </c>
      <c r="N198" s="7">
        <f t="shared" si="38"/>
        <v>14.433333333581686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16:15:55-700',mode:absolute,to:'2016-11-23 18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9.64E-2</v>
      </c>
      <c r="Z198" s="67">
        <f t="shared" si="45"/>
        <v>5.8971</v>
      </c>
      <c r="AA198" s="67">
        <f t="shared" si="46"/>
        <v>5.8007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0833-23</v>
      </c>
      <c r="AE198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198" s="88" t="str">
        <f t="shared" si="49"/>
        <v>"C:\Program Files (x86)\AstroGrep\AstroGrep.exe" /spath="%USERPROFILE%\AppData\Local\Temp\OnboardLogs" /stypes="app*4044*20161124*" /stext=" 00:.+((SYSTEM_STATE.+slice.+state.+changed )|(ment ac)|(multiple cpu faults)|(system.+state.+changed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833-23 --locoid 4044 --swversion DE.1.0.8.0 --startMP 204:964 --initTime 2016-11-23T17:15:55 --startdatetime 2016-11-23T17:21:26 --delay 1 --endMP 300:58971 --enddatetime 2016-11-23T17:35:52 --enforcementcount 0 &gt;&gt;C:\Users\stu\Documents\GitHub\eaglep3-reporting\EC\2016-11-23-refined-times.txt</v>
      </c>
      <c r="AI198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{"issue":{"subject":"","project_id":79,"tracker_id":40,"status_id":1,"priority_id":2,"assigned_to_id":23,"start_date":"2016-11-23","description":"","custom_fields":[{"id":1,"name":"Subdivision","value":"NW"},{"id":4,"name":"Milepost","value":"5.8971"},{"id":17,"name":"Train ID","value":"833-23"},{"id":16,"name":"Locomotive ID","value":"4044"},{"id":130,"name":"Impact","value":""},{"id":150,"name":"Time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573</v>
      </c>
      <c r="B199" s="7">
        <v>4043</v>
      </c>
      <c r="C199" s="22" t="s">
        <v>217</v>
      </c>
      <c r="D199" s="22" t="s">
        <v>773</v>
      </c>
      <c r="E199" s="13">
        <v>42697.736574074072</v>
      </c>
      <c r="F199" s="13">
        <v>42697.739050925928</v>
      </c>
      <c r="G199" s="7">
        <v>1</v>
      </c>
      <c r="H199" s="22" t="s">
        <v>343</v>
      </c>
      <c r="I199" s="13">
        <v>42697.748599537037</v>
      </c>
      <c r="J199" s="7">
        <v>0</v>
      </c>
      <c r="K199" s="109" t="str">
        <f t="shared" si="36"/>
        <v>4043/4044</v>
      </c>
      <c r="L199" s="22" t="str">
        <f>VLOOKUP(A199,'Trips&amp;Operators'!$C$1:$E$10000,3,FALSE)</f>
        <v>MOSES</v>
      </c>
      <c r="M199" s="6">
        <f t="shared" si="37"/>
        <v>9.5486111094942316E-3</v>
      </c>
      <c r="N199" s="7">
        <f t="shared" si="38"/>
        <v>13.749999997671694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16:40:40-700',mode:absolute,to:'2016-11-23 18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5.8662000000000001</v>
      </c>
      <c r="Z199" s="67">
        <f t="shared" si="45"/>
        <v>6.9199999999999998E-2</v>
      </c>
      <c r="AA199" s="67">
        <f t="shared" si="46"/>
        <v>5.7969999999999997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0834-23</v>
      </c>
      <c r="AE199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199" s="88" t="str">
        <f t="shared" si="49"/>
        <v>"C:\Program Files (x86)\AstroGrep\AstroGrep.exe" /spath="%USERPROFILE%\AppData\Local\Temp\OnboardLogs" /stypes="app*4043*20161124*" /stext=" 00:.+((SYSTEM_STATE.+slice.+state.+changed )|(ment ac)|(multiple cpu faults)|(system.+state.+changed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834-23 --locoid 4043 --swversion DE.1.0.8.0 --startMP 300:58662 --initTime 2016-11-23T17:40:40 --startdatetime 2016-11-23T17:44:14 --delay 1 --endMP 204:692 --enddatetime 2016-11-23T17:57:59 --enforcementcount 0 &gt;&gt;C:\Users\stu\Documents\GitHub\eaglep3-reporting\EC\2016-11-23-refined-times.txt</v>
      </c>
      <c r="AI199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{"issue":{"subject":"","project_id":79,"tracker_id":40,"status_id":1,"priority_id":2,"assigned_to_id":23,"start_date":"2016-11-23","description":"","custom_fields":[{"id":1,"name":"Subdivision","value":"NW"},{"id":4,"name":"Milepost","value":"0.0692"},{"id":17,"name":"Train ID","value":"834-23"},{"id":16,"name":"Locomotive ID","value":"4043"},{"id":130,"name":"Impact","value":""},{"id":150,"name":"Time of Event (Mountain Time)","value":"17:57:59"},{"id":151,"name":"Denver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576</v>
      </c>
      <c r="B200" s="7">
        <v>4014</v>
      </c>
      <c r="C200" s="22" t="s">
        <v>217</v>
      </c>
      <c r="D200" s="22" t="s">
        <v>344</v>
      </c>
      <c r="E200" s="13">
        <v>42697.739525462966</v>
      </c>
      <c r="F200" s="13">
        <v>42697.744456018518</v>
      </c>
      <c r="G200" s="7">
        <v>1</v>
      </c>
      <c r="H200" s="22" t="s">
        <v>768</v>
      </c>
      <c r="I200" s="13">
        <v>42697.755173611113</v>
      </c>
      <c r="J200" s="7">
        <v>0</v>
      </c>
      <c r="K200" s="109" t="str">
        <f t="shared" si="36"/>
        <v>4013/4014</v>
      </c>
      <c r="L200" s="22" t="str">
        <f>VLOOKUP(A200,'Trips&amp;Operators'!$C$1:$E$10000,3,FALSE)</f>
        <v>DAVIDSON</v>
      </c>
      <c r="M200" s="6">
        <f t="shared" si="37"/>
        <v>1.0717592595028691E-2</v>
      </c>
      <c r="N200" s="7">
        <f t="shared" si="38"/>
        <v>15.433333336841315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16:44:55-700',mode:absolute,to:'2016-11-23 19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0" s="52" t="str">
        <f t="shared" si="42"/>
        <v>N</v>
      </c>
      <c r="X200" s="177">
        <f t="shared" si="43"/>
        <v>1</v>
      </c>
      <c r="Y200" s="67">
        <f t="shared" si="44"/>
        <v>9.7100000000000006E-2</v>
      </c>
      <c r="Z200" s="67">
        <f t="shared" si="45"/>
        <v>5.8975</v>
      </c>
      <c r="AA200" s="67">
        <f t="shared" si="46"/>
        <v>5.8003999999999998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7"/>
        <v>0835-23</v>
      </c>
      <c r="AE200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200" s="88" t="str">
        <f t="shared" si="49"/>
        <v>"C:\Program Files (x86)\AstroGrep\AstroGrep.exe" /spath="%USERPROFILE%\AppData\Local\Temp\OnboardLogs" /stypes="app*4014*20161124*" /stext=" 01:.+((SYSTEM_STATE.+slice.+state.+changed )|(ment ac)|(multiple cpu faults)|(system.+state.+changed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835-23 --locoid 4014 --swversion DE.1.0.8.0 --startMP 204:971 --initTime 2016-11-23T17:44:55 --startdatetime 2016-11-23T17:52:01 --delay 1 --endMP 300:58975 --enddatetime 2016-11-23T18:07:27 --enforcementcount 0 &gt;&gt;C:\Users\stu\Documents\GitHub\eaglep3-reporting\EC\2016-11-23-refined-times.txt</v>
      </c>
      <c r="AI200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{"issue":{"subject":"","project_id":79,"tracker_id":40,"status_id":1,"priority_id":2,"assigned_to_id":23,"start_date":"2016-11-23","description":"","custom_fields":[{"id":1,"name":"Subdivision","value":"NW"},{"id":4,"name":"Milepost","value":"5.8975"},{"id":17,"name":"Train ID","value":"835-23"},{"id":16,"name":"Locomotive ID","value":"4014"},{"id":130,"name":"Impact","value":""},{"id":150,"name":"Time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423</v>
      </c>
      <c r="B201" s="7">
        <v>4013</v>
      </c>
      <c r="C201" s="22" t="s">
        <v>217</v>
      </c>
      <c r="D201" s="22" t="s">
        <v>774</v>
      </c>
      <c r="E201" s="13">
        <v>42697.756319444445</v>
      </c>
      <c r="F201" s="13">
        <v>42697.7578587963</v>
      </c>
      <c r="G201" s="7">
        <v>1</v>
      </c>
      <c r="H201" s="22" t="s">
        <v>391</v>
      </c>
      <c r="I201" s="13">
        <v>42697.771087962959</v>
      </c>
      <c r="J201" s="7">
        <v>1</v>
      </c>
      <c r="K201" s="109" t="str">
        <f t="shared" si="36"/>
        <v>4013/4014</v>
      </c>
      <c r="L201" s="22" t="str">
        <f>VLOOKUP(A201,'Trips&amp;Operators'!$C$1:$E$10000,3,FALSE)</f>
        <v>DAVIDSON</v>
      </c>
      <c r="M201" s="6">
        <f t="shared" si="37"/>
        <v>1.3229166659584735E-2</v>
      </c>
      <c r="N201" s="7">
        <f t="shared" si="38"/>
        <v>19.049999989802018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17:09:06-700',mode:absolute,to:'2016-11-23 19:30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1" s="52" t="str">
        <f t="shared" si="42"/>
        <v>N</v>
      </c>
      <c r="X201" s="177">
        <f t="shared" si="43"/>
        <v>1</v>
      </c>
      <c r="Y201" s="67">
        <f t="shared" si="44"/>
        <v>5.8659999999999997</v>
      </c>
      <c r="Z201" s="67">
        <f t="shared" si="45"/>
        <v>6.8400000000000002E-2</v>
      </c>
      <c r="AA201" s="67">
        <f t="shared" si="46"/>
        <v>5.7976000000000001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47"/>
        <v>0836-23</v>
      </c>
      <c r="AE201" s="91" t="str">
        <f t="shared" si="48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201" s="88" t="str">
        <f t="shared" si="49"/>
        <v>"C:\Program Files (x86)\AstroGrep\AstroGrep.exe" /spath="%USERPROFILE%\AppData\Local\Temp\OnboardLogs" /stypes="app*4013*20161124*" /stext=" 01:.+((SYSTEM_STATE.+slice.+state.+changed )|(ment ac)|(multiple cpu faults)|(system.+state.+changed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836-23 --locoid 4013 --swversion DE.1.0.8.0 --startMP 300:58660 --initTime 2016-11-23T18:09:06 --startdatetime 2016-11-23T18:11:19 --delay 1 --endMP 204:684 --enddatetime 2016-11-23T18:30:22 --enforcementcount 1 &gt;&gt;C:\Users\stu\Documents\GitHub\eaglep3-reporting\EC\2016-11-23-refined-times.txt</v>
      </c>
      <c r="AI201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{"issue":{"subject":"","project_id":79,"tracker_id":40,"status_id":1,"priority_id":2,"assigned_to_id":23,"start_date":"2016-11-23","description":"","custom_fields":[{"id":1,"name":"Subdivision","value":"NW"},{"id":4,"name":"Milepost","value":"0.0684"},{"id":17,"name":"Train ID","value":"836-23"},{"id":16,"name":"Locomotive ID","value":"4013"},{"id":130,"name":"Impact","value":""},{"id":150,"name":"Time of Event (Mountain Time)","value":"18:30:22"},{"id":151,"name":"Denver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424</v>
      </c>
      <c r="B202" s="7">
        <v>4044</v>
      </c>
      <c r="C202" s="22" t="s">
        <v>217</v>
      </c>
      <c r="D202" s="22" t="s">
        <v>761</v>
      </c>
      <c r="E202" s="13">
        <v>42697.760821759257</v>
      </c>
      <c r="F202" s="13">
        <v>42697.764861111114</v>
      </c>
      <c r="G202" s="7">
        <v>1</v>
      </c>
      <c r="H202" s="22" t="s">
        <v>775</v>
      </c>
      <c r="I202" s="13">
        <v>42697.776493055557</v>
      </c>
      <c r="J202" s="7">
        <v>0</v>
      </c>
      <c r="K202" s="109" t="str">
        <f t="shared" si="36"/>
        <v>4043/4044</v>
      </c>
      <c r="L202" s="22" t="str">
        <f>VLOOKUP(A202,'Trips&amp;Operators'!$C$1:$E$10000,3,FALSE)</f>
        <v>MOSES</v>
      </c>
      <c r="M202" s="6">
        <f t="shared" si="37"/>
        <v>1.1631944442342501E-2</v>
      </c>
      <c r="N202" s="7">
        <f t="shared" si="38"/>
        <v>16.749999996973202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17:15:35-700',mode:absolute,to:'2016-11-23 19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2" s="52" t="str">
        <f t="shared" si="42"/>
        <v>N</v>
      </c>
      <c r="X202" s="177">
        <f t="shared" si="43"/>
        <v>1</v>
      </c>
      <c r="Y202" s="67">
        <f t="shared" si="44"/>
        <v>9.5699999999999993E-2</v>
      </c>
      <c r="Z202" s="67">
        <v>5.89</v>
      </c>
      <c r="AA202" s="67">
        <f t="shared" si="46"/>
        <v>5.7942999999999998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47"/>
        <v>0837-23</v>
      </c>
      <c r="AE202" s="91" t="str">
        <f t="shared" si="48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202" s="88" t="str">
        <f t="shared" si="49"/>
        <v>"C:\Program Files (x86)\AstroGrep\AstroGrep.exe" /spath="%USERPROFILE%\AppData\Local\Temp\OnboardLogs" /stypes="app*4044*20161124*" /stext=" 01:.+((SYSTEM_STATE.+slice.+state.+changed )|(ment ac)|(multiple cpu faults)|(system.+state.+changed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837-23 --locoid 4044 --swversion DE.1.0.8.0 --startMP 204:957 --initTime 2016-11-23T18:15:35 --startdatetime 2016-11-23T18:21:24 --delay 1 --endMP 300:27364 --enddatetime 2016-11-23T18:38:09 --enforcementcount 0 &gt;&gt;C:\Users\stu\Documents\GitHub\eaglep3-reporting\EC\2016-11-23-refined-times.txt</v>
      </c>
      <c r="AI202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{"issue":{"subject":"","project_id":79,"tracker_id":40,"status_id":1,"priority_id":2,"assigned_to_id":23,"start_date":"2016-11-23","description":"","custom_fields":[{"id":1,"name":"Subdivision","value":"NW"},{"id":4,"name":"Milepost","value":"5.89"},{"id":17,"name":"Train ID","value":"837-23"},{"id":16,"name":"Locomotive ID","value":"4044"},{"id":130,"name":"Impact","value":""},{"id":150,"name":"Time of Event (Mountain Time)","value":"18:38:09"},{"id":151,"name":"Denver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588</v>
      </c>
      <c r="B203" s="7">
        <v>4043</v>
      </c>
      <c r="C203" s="22" t="s">
        <v>217</v>
      </c>
      <c r="D203" s="22" t="s">
        <v>769</v>
      </c>
      <c r="E203" s="13">
        <v>42697.777962962966</v>
      </c>
      <c r="F203" s="13">
        <v>42697.780543981484</v>
      </c>
      <c r="G203" s="7">
        <v>1</v>
      </c>
      <c r="H203" s="22" t="s">
        <v>280</v>
      </c>
      <c r="I203" s="13">
        <v>42697.791134259256</v>
      </c>
      <c r="J203" s="7">
        <v>0</v>
      </c>
      <c r="K203" s="109" t="str">
        <f t="shared" si="36"/>
        <v>4043/4044</v>
      </c>
      <c r="L203" s="22" t="str">
        <f>VLOOKUP(A203,'Trips&amp;Operators'!$C$1:$E$10000,3,FALSE)</f>
        <v>MOSES</v>
      </c>
      <c r="M203" s="6">
        <f t="shared" si="37"/>
        <v>1.0590277772280388E-2</v>
      </c>
      <c r="N203" s="7">
        <f t="shared" si="38"/>
        <v>15.249999992083758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17:40:16-700',mode:absolute,to:'2016-11-23 19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3" s="52" t="str">
        <f t="shared" si="42"/>
        <v>N</v>
      </c>
      <c r="X203" s="177">
        <f t="shared" si="43"/>
        <v>1</v>
      </c>
      <c r="Y203" s="67">
        <f t="shared" si="44"/>
        <v>5.8654999999999999</v>
      </c>
      <c r="Z203" s="67">
        <f t="shared" si="45"/>
        <v>6.8900000000000003E-2</v>
      </c>
      <c r="AA203" s="67">
        <f t="shared" si="46"/>
        <v>5.7965999999999998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47"/>
        <v>0838-23</v>
      </c>
      <c r="AE203" s="91" t="str">
        <f t="shared" si="48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03" s="88" t="str">
        <f t="shared" si="49"/>
        <v>"C:\Program Files (x86)\AstroGrep\AstroGrep.exe" /spath="%USERPROFILE%\AppData\Local\Temp\OnboardLogs" /stypes="app*4043*20161124*" /stext=" 01:.+((SYSTEM_STATE.+slice.+state.+changed )|(ment ac)|(multiple cpu faults)|(system.+state.+changed )|(\[timeout)|(PRM\|1\|D)|(kpr)|(kdp)|(\|lc)|(penalty))" /e /r /s</v>
      </c>
      <c r="AG203" s="1" t="str">
        <f t="shared" si="50"/>
        <v>NW</v>
      </c>
      <c r="AH203" s="92" t="str">
        <f t="shared" si="51"/>
        <v>"%USERPROFILE%\Documents\GitHub\eaglep3\Utilities\RefineRTDCRunTimes.py" --tripid 838-23 --locoid 4043 --swversion DE.1.0.8.0 --startMP 300:58655 --initTime 2016-11-23T18:40:16 --startdatetime 2016-11-23T18:43:59 --delay 1 --endMP 204:689 --enddatetime 2016-11-23T18:59:14 --enforcementcount 0 &gt;&gt;C:\Users\stu\Documents\GitHub\eaglep3-reporting\EC\2016-11-23-refined-times.txt</v>
      </c>
      <c r="AI203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{"issue":{"subject":"","project_id":79,"tracker_id":40,"status_id":1,"priority_id":2,"assigned_to_id":23,"start_date":"2016-11-23","description":"","custom_fields":[{"id":1,"name":"Subdivision","value":"NW"},{"id":4,"name":"Milepost","value":"0.0689"},{"id":17,"name":"Train ID","value":"838-23"},{"id":16,"name":"Locomotive ID","value":"4043"},{"id":130,"name":"Impact","value":""},{"id":150,"name":"Time of Event (Mountain Time)","value":"18:59:14"},{"id":151,"name":"Denver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590</v>
      </c>
      <c r="B204" s="7">
        <v>4014</v>
      </c>
      <c r="C204" s="22" t="s">
        <v>217</v>
      </c>
      <c r="D204" s="22" t="s">
        <v>776</v>
      </c>
      <c r="E204" s="13">
        <v>42697.78365740741</v>
      </c>
      <c r="F204" s="13">
        <v>42697.785567129627</v>
      </c>
      <c r="G204" s="7">
        <v>1</v>
      </c>
      <c r="H204" s="22" t="s">
        <v>766</v>
      </c>
      <c r="I204" s="13">
        <v>42697.796168981484</v>
      </c>
      <c r="J204" s="7">
        <v>0</v>
      </c>
      <c r="K204" s="109" t="str">
        <f t="shared" si="36"/>
        <v>4013/4014</v>
      </c>
      <c r="L204" s="22" t="str">
        <f>VLOOKUP(A204,'Trips&amp;Operators'!$C$1:$E$10000,3,FALSE)</f>
        <v>DAVIDSON</v>
      </c>
      <c r="M204" s="6">
        <f t="shared" si="37"/>
        <v>1.0601851856335998E-2</v>
      </c>
      <c r="N204" s="7">
        <f t="shared" si="38"/>
        <v>15.266666673123837</v>
      </c>
      <c r="O204" s="7"/>
      <c r="P204" s="7"/>
      <c r="Q204" s="23"/>
      <c r="R204" s="23"/>
      <c r="S204" s="35">
        <f t="shared" si="39"/>
        <v>1</v>
      </c>
      <c r="T204" s="50" t="str">
        <f t="shared" si="4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https://search-rtdc-monitor-bjffxe2xuh6vdkpspy63sjmuny.us-east-1.es.amazonaws.com/_plugin/kibana/#/discover/Steve-Slow-Train-Analysis-(2080s-and-2083s)?_g=(refreshInterval:(display:Off,section:0,value:0),time:(from:'2016-11-23 17:48:28-700',mode:absolute,to:'2016-11-23 20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 t="shared" si="42"/>
        <v>N</v>
      </c>
      <c r="X204" s="177">
        <f t="shared" si="43"/>
        <v>1</v>
      </c>
      <c r="Y204" s="67">
        <f t="shared" si="44"/>
        <v>9.8299999999999998E-2</v>
      </c>
      <c r="Z204" s="67">
        <f t="shared" si="45"/>
        <v>5.8967000000000001</v>
      </c>
      <c r="AA204" s="67">
        <f t="shared" si="46"/>
        <v>5.7984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47"/>
        <v>0839-23</v>
      </c>
      <c r="AE204" s="91" t="str">
        <f t="shared" si="48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204" s="88" t="str">
        <f t="shared" si="49"/>
        <v>"C:\Program Files (x86)\AstroGrep\AstroGrep.exe" /spath="%USERPROFILE%\AppData\Local\Temp\OnboardLogs" /stypes="app*4014*20161124*" /stext=" 02:.+((SYSTEM_STATE.+slice.+state.+changed )|(ment ac)|(multiple cpu faults)|(system.+state.+changed )|(\[timeout)|(PRM\|1\|D)|(kpr)|(kdp)|(\|lc)|(penalty))" /e /r /s</v>
      </c>
      <c r="AG204" s="1" t="str">
        <f t="shared" si="50"/>
        <v>NW</v>
      </c>
      <c r="AH204" s="92" t="str">
        <f t="shared" si="51"/>
        <v>"%USERPROFILE%\Documents\GitHub\eaglep3\Utilities\RefineRTDCRunTimes.py" --tripid 839-23 --locoid 4014 --swversion DE.1.0.8.0 --startMP 204:983 --initTime 2016-11-23T18:48:28 --startdatetime 2016-11-23T18:51:13 --delay 1 --endMP 300:58967 --enddatetime 2016-11-23T19:06:29 --enforcementcount 0 &gt;&gt;C:\Users\stu\Documents\GitHub\eaglep3-reporting\EC\2016-11-23-refined-times.txt</v>
      </c>
      <c r="AI204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{"issue":{"subject":"","project_id":79,"tracker_id":40,"status_id":1,"priority_id":2,"assigned_to_id":23,"start_date":"2016-11-23","description":"","custom_fields":[{"id":1,"name":"Subdivision","value":"NW"},{"id":4,"name":"Milepost","value":"5.8967"},{"id":17,"name":"Train ID","value":"839-23"},{"id":16,"name":"Locomotive ID","value":"4014"},{"id":130,"name":"Impact","value":""},{"id":150,"name":"Time of Event (Mountain Time)","value":"19:06:29"},{"id":151,"name":"Denver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428</v>
      </c>
      <c r="B205" s="7">
        <v>4043</v>
      </c>
      <c r="C205" s="22" t="s">
        <v>217</v>
      </c>
      <c r="D205" s="22" t="s">
        <v>763</v>
      </c>
      <c r="E205" s="13">
        <v>42697.819143518522</v>
      </c>
      <c r="F205" s="13">
        <v>42697.821087962962</v>
      </c>
      <c r="G205" s="7">
        <v>1</v>
      </c>
      <c r="H205" s="22" t="s">
        <v>361</v>
      </c>
      <c r="I205" s="13">
        <v>42697.831342592595</v>
      </c>
      <c r="J205" s="7">
        <v>2</v>
      </c>
      <c r="K205" s="109" t="str">
        <f t="shared" ref="K205:K253" si="53">IF(ISEVEN(B205),(B205-1)&amp;"/"&amp;B205,B205&amp;"/"&amp;(B205+1))</f>
        <v>4043/4044</v>
      </c>
      <c r="L205" s="22" t="str">
        <f>VLOOKUP(A205,'Trips&amp;Operators'!$C$1:$E$10000,3,FALSE)</f>
        <v>MOSES</v>
      </c>
      <c r="M205" s="6">
        <f t="shared" ref="M205:M253" si="54">I205-F205</f>
        <v>1.025462963298196E-2</v>
      </c>
      <c r="N205" s="7">
        <f t="shared" ref="N205:N253" si="55">24*60*SUM($M205:$M205)</f>
        <v>14.766666671494022</v>
      </c>
      <c r="O205" s="7"/>
      <c r="P205" s="7"/>
      <c r="Q205" s="23"/>
      <c r="R205" s="23"/>
      <c r="S205" s="35">
        <f t="shared" ref="S205:S253" si="56">SUM(U205:U205)/IF(AG205="EC",12,1)</f>
        <v>1</v>
      </c>
      <c r="T205" s="50" t="str">
        <f t="shared" ref="T205:T253" si="57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53" si="58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https://search-rtdc-monitor-bjffxe2xuh6vdkpspy63sjmuny.us-east-1.es.amazonaws.com/_plugin/kibana/#/discover/Steve-Slow-Train-Analysis-(2080s-and-2083s)?_g=(refreshInterval:(display:Off,section:0,value:0),time:(from:'2016-11-23 18:39:34-700',mode:absolute,to:'2016-11-23 20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5" s="52" t="str">
        <f t="shared" ref="W205:W253" si="59">IF(AA205&lt;IF(AG205="EC",23,5.65),"Y","N")</f>
        <v>N</v>
      </c>
      <c r="X205" s="177">
        <f t="shared" ref="X205:X253" si="60">VALUE(LEFT(AD205,4))-VALUE(LEFT(AD204,4))</f>
        <v>1</v>
      </c>
      <c r="Y205" s="67">
        <f t="shared" ref="Y205:Y253" si="61">RIGHT(D205,LEN(D205)-4)/10000</f>
        <v>5.8674999999999997</v>
      </c>
      <c r="Z205" s="67">
        <f t="shared" ref="Z205:Z253" si="62">RIGHT(H205,LEN(H205)-4)/10000</f>
        <v>7.5899999999999995E-2</v>
      </c>
      <c r="AA205" s="67">
        <f t="shared" ref="AA205:AA253" si="63">ABS(Z205-Y205)</f>
        <v>5.7915999999999999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53" si="64">IF(LEN(A205)=6,"0"&amp;A205,A205)</f>
        <v>0840-23</v>
      </c>
      <c r="AE205" s="91" t="str">
        <f t="shared" ref="AE205:AE253" si="6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05" s="88" t="str">
        <f t="shared" ref="AF205:AF253" si="6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/stypes="app*4043*20161124*" /stext=" 02:.+((SYSTEM_STATE.+slice.+state.+changed )|(ment ac)|(multiple cpu faults)|(system.+state.+changed )|(\[timeout)|(PRM\|1\|D)|(kpr)|(kdp)|(\|lc)|(penalty))" /e /r /s</v>
      </c>
      <c r="AG205" s="1" t="str">
        <f t="shared" ref="AG205:AG253" si="67">IFERROR(IF(VALUE(LEFT(AD205,2))&lt;=2,"EC",IF(OR(VALUE(LEFT(AD205,2))=8,VALUE(LEFT(AD205,2))=18),"NW","Other")),"Other")</f>
        <v>NW</v>
      </c>
      <c r="AH205" s="92" t="str">
        <f t="shared" si="51"/>
        <v>"%USERPROFILE%\Documents\GitHub\eaglep3\Utilities\RefineRTDCRunTimes.py" --tripid 840-23 --locoid 4043 --swversion DE.1.0.8.0 --startMP 300:58675 --initTime 2016-11-23T19:39:34 --startdatetime 2016-11-23T19:42:22 --delay 1 --endMP 204:759 --enddatetime 2016-11-23T19:57:08 --enforcementcount 2 &gt;&gt;C:\Users\stu\Documents\GitHub\eaglep3-reporting\EC\2016-11-23-refined-times.txt</v>
      </c>
      <c r="AI205" s="119" t="str">
        <f t="shared" si="52"/>
        <v>echo {"issue":{"subject":"","project_id":79,"tracker_id":40,"status_id":1,"priority_id":2,"assigned_to_id":23,"start_date":"2016-11-23","description":"","custom_fields":[{"id":1,"name":"Subdivision","value":"NW"},{"id":4,"name":"Milepost","value":"0.0759"},{"id":17,"name":"Train ID","value":"840-23"},{"id":16,"name":"Locomotive ID","value":"4043"},{"id":130,"name":"Impact","value":""},{"id":150,"name":"Time of Event (Mountain Time)","value":"19:57:08"},{"id":151,"name":"Denver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595</v>
      </c>
      <c r="B206" s="7">
        <v>4044</v>
      </c>
      <c r="C206" s="22" t="s">
        <v>217</v>
      </c>
      <c r="D206" s="22" t="s">
        <v>777</v>
      </c>
      <c r="E206" s="13">
        <v>42697.803842592592</v>
      </c>
      <c r="F206" s="13">
        <v>42697.806597222225</v>
      </c>
      <c r="G206" s="7">
        <v>1</v>
      </c>
      <c r="H206" s="22" t="s">
        <v>778</v>
      </c>
      <c r="I206" s="13">
        <v>42697.816863425927</v>
      </c>
      <c r="J206" s="7">
        <v>0</v>
      </c>
      <c r="K206" s="109" t="str">
        <f t="shared" si="53"/>
        <v>4043/4044</v>
      </c>
      <c r="L206" s="22" t="str">
        <f>VLOOKUP(A206,'Trips&amp;Operators'!$C$1:$E$10000,3,FALSE)</f>
        <v>MOSES</v>
      </c>
      <c r="M206" s="6">
        <f t="shared" si="54"/>
        <v>1.0266203702485655E-2</v>
      </c>
      <c r="N206" s="7">
        <f t="shared" si="55"/>
        <v>14.783333331579342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18:17:32-700',mode:absolute,to:'2016-11-23 20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6" s="52" t="str">
        <f t="shared" si="59"/>
        <v>N</v>
      </c>
      <c r="X206" s="177">
        <f t="shared" si="60"/>
        <v>1</v>
      </c>
      <c r="Y206" s="67">
        <f t="shared" si="61"/>
        <v>9.7900000000000001E-2</v>
      </c>
      <c r="Z206" s="67">
        <f t="shared" si="62"/>
        <v>5.8983999999999996</v>
      </c>
      <c r="AA206" s="67">
        <f t="shared" si="63"/>
        <v>5.8004999999999995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0841-23</v>
      </c>
      <c r="AE206" s="91" t="str">
        <f t="shared" si="65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206" s="88" t="str">
        <f t="shared" si="66"/>
        <v>"C:\Program Files (x86)\AstroGrep\AstroGrep.exe" /spath="%USERPROFILE%\AppData\Local\Temp\OnboardLogs" /stypes="app*4044*20161124*" /stext=" 02:.+((SYSTEM_STATE.+slice.+state.+changed )|(ment ac)|(multiple cpu faults)|(system.+state.+changed )|(\[timeout)|(PRM\|1\|D)|(kpr)|(kdp)|(\|lc)|(penalty))" /e /r /s</v>
      </c>
      <c r="AG206" s="1" t="str">
        <f t="shared" si="67"/>
        <v>NW</v>
      </c>
      <c r="AH206" s="92" t="str">
        <f t="shared" ref="AH206:AH253" si="6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841-23 --locoid 4044 --swversion DE.1.0.8.0 --startMP 204:979 --initTime 2016-11-23T19:17:32 --startdatetime 2016-11-23T19:21:30 --delay 1 --endMP 300:58984 --enddatetime 2016-11-23T19:36:17 --enforcementcount 0 &gt;&gt;C:\Users\stu\Documents\GitHub\eaglep3-reporting\EC\2016-11-23-refined-times.txt</v>
      </c>
      <c r="AI206" s="119" t="str">
        <f t="shared" ref="AI206:AI253" si="6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{"issue":{"subject":"","project_id":79,"tracker_id":40,"status_id":1,"priority_id":2,"assigned_to_id":23,"start_date":"2016-11-23","description":"","custom_fields":[{"id":1,"name":"Subdivision","value":"NW"},{"id":4,"name":"Milepost","value":"5.8984"},{"id":17,"name":"Train ID","value":"841-23"},{"id":16,"name":"Locomotive ID","value":"4044"},{"id":130,"name":"Impact","value":""},{"id":150,"name":"Time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604</v>
      </c>
      <c r="B207" s="7">
        <v>4043</v>
      </c>
      <c r="C207" s="22" t="s">
        <v>217</v>
      </c>
      <c r="D207" s="22" t="s">
        <v>307</v>
      </c>
      <c r="E207" s="13">
        <v>42697.859768518516</v>
      </c>
      <c r="F207" s="13">
        <v>42697.862037037034</v>
      </c>
      <c r="G207" s="7">
        <v>1</v>
      </c>
      <c r="H207" s="22" t="s">
        <v>779</v>
      </c>
      <c r="I207" s="13">
        <v>42697.871805555558</v>
      </c>
      <c r="J207" s="7">
        <v>0</v>
      </c>
      <c r="K207" s="109" t="str">
        <f t="shared" si="53"/>
        <v>4043/4044</v>
      </c>
      <c r="L207" s="22" t="str">
        <f>VLOOKUP(A207,'Trips&amp;Operators'!$C$1:$E$10000,3,FALSE)</f>
        <v>MOSES</v>
      </c>
      <c r="M207" s="6">
        <f t="shared" si="54"/>
        <v>9.7685185246518813E-3</v>
      </c>
      <c r="N207" s="7">
        <f t="shared" si="55"/>
        <v>14.066666675498709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19:38:04-700',mode:absolute,to:'2016-11-23 21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7" s="52" t="str">
        <f t="shared" si="59"/>
        <v>N</v>
      </c>
      <c r="X207" s="177">
        <f t="shared" si="60"/>
        <v>1</v>
      </c>
      <c r="Y207" s="67">
        <f t="shared" si="61"/>
        <v>5.8651</v>
      </c>
      <c r="Z207" s="67">
        <f t="shared" si="62"/>
        <v>6.9900000000000004E-2</v>
      </c>
      <c r="AA207" s="67">
        <f t="shared" si="63"/>
        <v>5.7952000000000004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0842-23</v>
      </c>
      <c r="AE207" s="91" t="str">
        <f t="shared" si="65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07" s="88" t="str">
        <f t="shared" si="66"/>
        <v>"C:\Program Files (x86)\AstroGrep\AstroGrep.exe" /spath="%USERPROFILE%\AppData\Local\Temp\OnboardLogs" /stypes="app*4043*20161124*" /stext=" 03:.+((SYSTEM_STATE.+slice.+state.+changed )|(ment ac)|(multiple cpu faults)|(system.+state.+changed )|(\[timeout)|(PRM\|1\|D)|(kpr)|(kdp)|(\|lc)|(penalty))" /e /r /s</v>
      </c>
      <c r="AG207" s="1" t="str">
        <f t="shared" si="67"/>
        <v>NW</v>
      </c>
      <c r="AH207" s="92" t="str">
        <f t="shared" si="68"/>
        <v>"%USERPROFILE%\Documents\GitHub\eaglep3\Utilities\RefineRTDCRunTimes.py" --tripid 842-23 --locoid 4043 --swversion DE.1.0.8.0 --startMP 300:58651 --initTime 2016-11-23T20:38:04 --startdatetime 2016-11-23T20:41:20 --delay 1 --endMP 204:699 --enddatetime 2016-11-23T20:55:24 --enforcementcount 0 &gt;&gt;C:\Users\stu\Documents\GitHub\eaglep3-reporting\EC\2016-11-23-refined-times.txt</v>
      </c>
      <c r="AI207" s="119" t="str">
        <f t="shared" si="69"/>
        <v>echo {"issue":{"subject":"","project_id":79,"tracker_id":40,"status_id":1,"priority_id":2,"assigned_to_id":23,"start_date":"2016-11-23","description":"","custom_fields":[{"id":1,"name":"Subdivision","value":"NW"},{"id":4,"name":"Milepost","value":"0.0699"},{"id":17,"name":"Train ID","value":"842-23"},{"id":16,"name":"Locomotive ID","value":"4043"},{"id":130,"name":"Impact","value":""},{"id":150,"name":"Time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601</v>
      </c>
      <c r="B208" s="7">
        <v>4044</v>
      </c>
      <c r="C208" s="22" t="s">
        <v>217</v>
      </c>
      <c r="D208" s="22" t="s">
        <v>780</v>
      </c>
      <c r="E208" s="13">
        <v>42697.843726851854</v>
      </c>
      <c r="F208" s="13">
        <v>42697.848541666666</v>
      </c>
      <c r="G208" s="7">
        <v>1</v>
      </c>
      <c r="H208" s="22" t="s">
        <v>345</v>
      </c>
      <c r="I208" s="13">
        <v>42697.858483796299</v>
      </c>
      <c r="J208" s="7">
        <v>0</v>
      </c>
      <c r="K208" s="109" t="str">
        <f t="shared" si="53"/>
        <v>4043/4044</v>
      </c>
      <c r="L208" s="22" t="str">
        <f>VLOOKUP(A208,'Trips&amp;Operators'!$C$1:$E$10000,3,FALSE)</f>
        <v>MOSES</v>
      </c>
      <c r="M208" s="6">
        <f t="shared" si="54"/>
        <v>9.9421296326909214E-3</v>
      </c>
      <c r="N208" s="7">
        <f t="shared" si="55"/>
        <v>14.316666671074927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19:14:58-700',mode:absolute,to:'2016-11-23 21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8" s="52" t="str">
        <f t="shared" si="59"/>
        <v>N</v>
      </c>
      <c r="X208" s="177">
        <f t="shared" si="60"/>
        <v>1</v>
      </c>
      <c r="Y208" s="67">
        <f t="shared" si="61"/>
        <v>0.10349999999999999</v>
      </c>
      <c r="Z208" s="67">
        <f t="shared" si="62"/>
        <v>5.8964999999999996</v>
      </c>
      <c r="AA208" s="67">
        <f t="shared" si="63"/>
        <v>5.7929999999999993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0843-23</v>
      </c>
      <c r="AE208" s="91" t="str">
        <f t="shared" si="65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208" s="88" t="str">
        <f t="shared" si="66"/>
        <v>"C:\Program Files (x86)\AstroGrep\AstroGrep.exe" /spath="%USERPROFILE%\AppData\Local\Temp\OnboardLogs" /stypes="app*4044*20161124*" /stext=" 03:.+((SYSTEM_STATE.+slice.+state.+changed )|(ment ac)|(multiple cpu faults)|(system.+state.+changed )|(\[timeout)|(PRM\|1\|D)|(kpr)|(kdp)|(\|lc)|(penalty))" /e /r /s</v>
      </c>
      <c r="AG208" s="1" t="str">
        <f t="shared" si="67"/>
        <v>NW</v>
      </c>
      <c r="AH208" s="92" t="str">
        <f t="shared" si="68"/>
        <v>"%USERPROFILE%\Documents\GitHub\eaglep3\Utilities\RefineRTDCRunTimes.py" --tripid 843-23 --locoid 4044 --swversion DE.1.0.8.0 --startMP 204:1035 --initTime 2016-11-23T20:14:58 --startdatetime 2016-11-23T20:21:54 --delay 1 --endMP 300:58965 --enddatetime 2016-11-23T20:36:13 --enforcementcount 0 &gt;&gt;C:\Users\stu\Documents\GitHub\eaglep3-reporting\EC\2016-11-23-refined-times.txt</v>
      </c>
      <c r="AI208" s="119" t="str">
        <f t="shared" si="69"/>
        <v>echo {"issue":{"subject":"","project_id":79,"tracker_id":40,"status_id":1,"priority_id":2,"assigned_to_id":23,"start_date":"2016-11-23","description":"","custom_fields":[{"id":1,"name":"Subdivision","value":"NW"},{"id":4,"name":"Milepost","value":"5.8965"},{"id":17,"name":"Train ID","value":"843-23"},{"id":16,"name":"Locomotive ID","value":"4044"},{"id":130,"name":"Impact","value":""},{"id":150,"name":"Time of Event (Mountain Time)","value":"20:36:13"},{"id":151,"name":"Denver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609</v>
      </c>
      <c r="B209" s="7">
        <v>4043</v>
      </c>
      <c r="C209" s="22" t="s">
        <v>217</v>
      </c>
      <c r="D209" s="22" t="s">
        <v>378</v>
      </c>
      <c r="E209" s="13">
        <v>42697.901354166665</v>
      </c>
      <c r="F209" s="13">
        <v>42697.903680555559</v>
      </c>
      <c r="G209" s="7">
        <v>1</v>
      </c>
      <c r="H209" s="22" t="s">
        <v>748</v>
      </c>
      <c r="I209" s="13">
        <v>42697.9140162037</v>
      </c>
      <c r="J209" s="7">
        <v>0</v>
      </c>
      <c r="K209" s="109" t="str">
        <f t="shared" si="53"/>
        <v>4043/4044</v>
      </c>
      <c r="L209" s="22" t="str">
        <f>VLOOKUP(A209,'Trips&amp;Operators'!$C$1:$E$10000,3,FALSE)</f>
        <v>DAVIDSON</v>
      </c>
      <c r="M209" s="6">
        <f t="shared" si="54"/>
        <v>1.0335648141335696E-2</v>
      </c>
      <c r="N209" s="7">
        <f t="shared" si="55"/>
        <v>14.883333323523402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20:37:57-700',mode:absolute,to:'2016-11-23 22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 t="shared" si="59"/>
        <v>N</v>
      </c>
      <c r="X209" s="177">
        <f t="shared" si="60"/>
        <v>1</v>
      </c>
      <c r="Y209" s="67">
        <f t="shared" si="61"/>
        <v>5.8635999999999999</v>
      </c>
      <c r="Z209" s="67">
        <f t="shared" si="62"/>
        <v>7.0300000000000001E-2</v>
      </c>
      <c r="AA209" s="67">
        <f t="shared" si="63"/>
        <v>5.7933000000000003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0844-23</v>
      </c>
      <c r="AE209" s="91" t="str">
        <f t="shared" si="65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09" s="88" t="str">
        <f t="shared" si="66"/>
        <v>"C:\Program Files (x86)\AstroGrep\AstroGrep.exe" /spath="%USERPROFILE%\AppData\Local\Temp\OnboardLogs" /stypes="app*4043*20161124*" /stext=" 04:.+((SYSTEM_STATE.+slice.+state.+changed )|(ment ac)|(multiple cpu faults)|(system.+state.+changed )|(\[timeout)|(PRM\|1\|D)|(kpr)|(kdp)|(\|lc)|(penalty))" /e /r /s</v>
      </c>
      <c r="AG209" s="1" t="str">
        <f t="shared" si="67"/>
        <v>NW</v>
      </c>
      <c r="AH209" s="92" t="str">
        <f t="shared" si="68"/>
        <v>"%USERPROFILE%\Documents\GitHub\eaglep3\Utilities\RefineRTDCRunTimes.py" --tripid 844-23 --locoid 4043 --swversion DE.1.0.8.0 --startMP 300:58636 --initTime 2016-11-23T21:37:57 --startdatetime 2016-11-23T21:41:18 --delay 1 --endMP 204:703 --enddatetime 2016-11-23T21:56:11 --enforcementcount 0 &gt;&gt;C:\Users\stu\Documents\GitHub\eaglep3-reporting\EC\2016-11-23-refined-times.txt</v>
      </c>
      <c r="AI209" s="119" t="str">
        <f t="shared" si="69"/>
        <v>echo {"issue":{"subject":"","project_id":79,"tracker_id":40,"status_id":1,"priority_id":2,"assigned_to_id":23,"start_date":"2016-11-23","description":"","custom_fields":[{"id":1,"name":"Subdivision","value":"NW"},{"id":4,"name":"Milepost","value":"0.0703"},{"id":17,"name":"Train ID","value":"844-23"},{"id":16,"name":"Locomotive ID","value":"4043"},{"id":130,"name":"Impact","value":""},{"id":150,"name":"Time of Event (Mountain Time)","value":"21:56:11"},{"id":151,"name":"Denver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606</v>
      </c>
      <c r="B210" s="7">
        <v>4044</v>
      </c>
      <c r="C210" s="22" t="s">
        <v>217</v>
      </c>
      <c r="D210" s="22" t="s">
        <v>781</v>
      </c>
      <c r="E210" s="13">
        <v>42697.877280092594</v>
      </c>
      <c r="F210" s="13">
        <v>42697.889791666668</v>
      </c>
      <c r="G210" s="7">
        <v>2</v>
      </c>
      <c r="H210" s="22" t="s">
        <v>782</v>
      </c>
      <c r="I210" s="13">
        <v>42697.900092592594</v>
      </c>
      <c r="J210" s="7">
        <v>0</v>
      </c>
      <c r="K210" s="109" t="str">
        <f t="shared" si="53"/>
        <v>4043/4044</v>
      </c>
      <c r="L210" s="22" t="str">
        <f>VLOOKUP(A210,'Trips&amp;Operators'!$C$1:$E$10000,3,FALSE)</f>
        <v>DAVIDSON</v>
      </c>
      <c r="M210" s="6">
        <f t="shared" si="54"/>
        <v>1.0300925925548654E-2</v>
      </c>
      <c r="N210" s="7">
        <f t="shared" si="55"/>
        <v>14.833333332790062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20:03:17-700',mode:absolute,to:'2016-11-23 22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0" s="52" t="str">
        <f t="shared" si="59"/>
        <v>N</v>
      </c>
      <c r="X210" s="177">
        <f t="shared" si="60"/>
        <v>1</v>
      </c>
      <c r="Y210" s="67">
        <f t="shared" si="61"/>
        <v>0.1013</v>
      </c>
      <c r="Z210" s="67">
        <f t="shared" si="62"/>
        <v>5.8952</v>
      </c>
      <c r="AA210" s="67">
        <f t="shared" si="63"/>
        <v>5.7938999999999998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0845-23</v>
      </c>
      <c r="AE210" s="91" t="str">
        <f t="shared" si="65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210" s="88" t="str">
        <f t="shared" si="66"/>
        <v>"C:\Program Files (x86)\AstroGrep\AstroGrep.exe" /spath="%USERPROFILE%\AppData\Local\Temp\OnboardLogs" /stypes="app*4044*20161124*" /stext=" 04:.+((SYSTEM_STATE.+slice.+state.+changed )|(ment ac)|(multiple cpu faults)|(system.+state.+changed )|(\[timeout)|(PRM\|1\|D)|(kpr)|(kdp)|(\|lc)|(penalty))" /e /r /s</v>
      </c>
      <c r="AG210" s="1" t="str">
        <f t="shared" si="67"/>
        <v>NW</v>
      </c>
      <c r="AH210" s="92" t="str">
        <f t="shared" si="68"/>
        <v>"%USERPROFILE%\Documents\GitHub\eaglep3\Utilities\RefineRTDCRunTimes.py" --tripid 845-23 --locoid 4044 --swversion DE.1.0.8.0 --startMP 204:1013 --initTime 2016-11-23T21:03:17 --startdatetime 2016-11-23T21:21:18 --delay 2 --endMP 300:58952 --enddatetime 2016-11-23T21:36:08 --enforcementcount 0 &gt;&gt;C:\Users\stu\Documents\GitHub\eaglep3-reporting\EC\2016-11-23-refined-times.txt</v>
      </c>
      <c r="AI210" s="119" t="str">
        <f t="shared" si="69"/>
        <v>echo {"issue":{"subject":"","project_id":79,"tracker_id":40,"status_id":1,"priority_id":2,"assigned_to_id":23,"start_date":"2016-11-23","description":"","custom_fields":[{"id":1,"name":"Subdivision","value":"NW"},{"id":4,"name":"Milepost","value":"5.8952"},{"id":17,"name":"Train ID","value":"845-23"},{"id":16,"name":"Locomotive ID","value":"4044"},{"id":130,"name":"Impact","value":""},{"id":150,"name":"Time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613</v>
      </c>
      <c r="B211" s="7">
        <v>4044</v>
      </c>
      <c r="C211" s="22" t="s">
        <v>217</v>
      </c>
      <c r="D211" s="22" t="s">
        <v>776</v>
      </c>
      <c r="E211" s="13">
        <v>42697.926458333335</v>
      </c>
      <c r="F211" s="13">
        <v>42697.931493055556</v>
      </c>
      <c r="G211" s="7">
        <v>1</v>
      </c>
      <c r="H211" s="22" t="s">
        <v>742</v>
      </c>
      <c r="I211" s="13">
        <v>42697.94153935185</v>
      </c>
      <c r="J211" s="7">
        <v>0</v>
      </c>
      <c r="K211" s="109" t="str">
        <f t="shared" si="53"/>
        <v>4043/4044</v>
      </c>
      <c r="L211" s="22" t="str">
        <f>VLOOKUP(A211,'Trips&amp;Operators'!$C$1:$E$10000,3,FALSE)</f>
        <v>DAVIDSON</v>
      </c>
      <c r="M211" s="6">
        <f t="shared" si="54"/>
        <v>1.0046296294603962E-2</v>
      </c>
      <c r="N211" s="7">
        <f t="shared" si="55"/>
        <v>14.466666664229706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21:14:06-700',mode:absolute,to:'2016-11-23 23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59"/>
        <v>N</v>
      </c>
      <c r="X211" s="177">
        <f t="shared" si="60"/>
        <v>2</v>
      </c>
      <c r="Y211" s="67">
        <f t="shared" si="61"/>
        <v>9.8299999999999998E-2</v>
      </c>
      <c r="Z211" s="67">
        <f t="shared" si="62"/>
        <v>5.8956</v>
      </c>
      <c r="AA211" s="67">
        <f t="shared" si="63"/>
        <v>5.7972999999999999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0847-23</v>
      </c>
      <c r="AE211" s="91" t="str">
        <f t="shared" si="65"/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AF211" s="88" t="str">
        <f t="shared" si="66"/>
        <v>"C:\Program Files (x86)\AstroGrep\AstroGrep.exe" /spath="%USERPROFILE%\AppData\Local\Temp\OnboardLogs" /stypes="app*4044*20161124*" /stext=" 05:.+((SYSTEM_STATE.+slice.+state.+changed )|(ment ac)|(multiple cpu faults)|(system.+state.+changed )|(\[timeout)|(PRM\|1\|D)|(kpr)|(kdp)|(\|lc)|(penalty))" /e /r /s</v>
      </c>
      <c r="AG211" s="1" t="str">
        <f t="shared" si="67"/>
        <v>NW</v>
      </c>
      <c r="AH211" s="92" t="str">
        <f t="shared" si="68"/>
        <v>"%USERPROFILE%\Documents\GitHub\eaglep3\Utilities\RefineRTDCRunTimes.py" --tripid 847-23 --locoid 4044 --swversion DE.1.0.8.0 --startMP 204:983 --initTime 2016-11-23T22:14:06 --startdatetime 2016-11-23T22:21:21 --delay 1 --endMP 300:58956 --enddatetime 2016-11-23T22:35:49 --enforcementcount 0 &gt;&gt;C:\Users\stu\Documents\GitHub\eaglep3-reporting\EC\2016-11-23-refined-times.txt</v>
      </c>
      <c r="AI211" s="119" t="str">
        <f t="shared" si="69"/>
        <v>echo {"issue":{"subject":"","project_id":79,"tracker_id":40,"status_id":1,"priority_id":2,"assigned_to_id":23,"start_date":"2016-11-23","description":"","custom_fields":[{"id":1,"name":"Subdivision","value":"NW"},{"id":4,"name":"Milepost","value":"5.8956"},{"id":17,"name":"Train ID","value":"847-23"},{"id":16,"name":"Locomotive ID","value":"4044"},{"id":130,"name":"Impact","value":""},{"id":150,"name":"Time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393</v>
      </c>
      <c r="B212" s="7">
        <v>4008</v>
      </c>
      <c r="C212" s="22" t="s">
        <v>217</v>
      </c>
      <c r="D212" s="22" t="s">
        <v>713</v>
      </c>
      <c r="E212" s="13">
        <v>42697.123611111114</v>
      </c>
      <c r="F212" s="13">
        <v>42697.125601851854</v>
      </c>
      <c r="G212" s="7">
        <v>2</v>
      </c>
      <c r="H212" s="22" t="s">
        <v>175</v>
      </c>
      <c r="I212" s="13">
        <v>42697.132777777777</v>
      </c>
      <c r="J212" s="7">
        <v>2</v>
      </c>
      <c r="K212" s="109" t="str">
        <f t="shared" si="53"/>
        <v>4007/4008</v>
      </c>
      <c r="L212" s="22" t="str">
        <f>VLOOKUP(A212,'Trips&amp;Operators'!$C$1:$E$10000,3,FALSE)</f>
        <v>MAELZER</v>
      </c>
      <c r="M212" s="6">
        <f t="shared" si="54"/>
        <v>7.175925922638271E-3</v>
      </c>
      <c r="N212" s="7">
        <f t="shared" si="55"/>
        <v>10.33333332859911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01:58:00-700',mode:absolute,to:'2016-11-23 04:11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2" s="52" t="str">
        <f t="shared" si="59"/>
        <v>Y</v>
      </c>
      <c r="X212" s="177">
        <f t="shared" si="60"/>
        <v>-545</v>
      </c>
      <c r="Y212" s="67">
        <f t="shared" si="61"/>
        <v>1.9293</v>
      </c>
      <c r="Z212" s="67">
        <f t="shared" si="62"/>
        <v>1.52E-2</v>
      </c>
      <c r="AA212" s="67">
        <f t="shared" si="63"/>
        <v>1.9140999999999999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0302-23</v>
      </c>
      <c r="AE212" s="91" t="str">
        <f t="shared" si="65"/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AF212" s="88" t="str">
        <f t="shared" si="66"/>
        <v>"C:\Program Files (x86)\AstroGrep\AstroGrep.exe" /spath="%USERPROFILE%\AppData\Local\Temp\OnboardLogs" /stypes="app*4008*20161123*" /stext=" 10:.+((SYSTEM_STATE.+slice.+state.+changed )|(ment ac)|(multiple cpu faults)|(system.+state.+changed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302-23 --locoid 4008 --swversion DE.1.0.8.0 --startMP 300:19293 --initTime 2016-11-23T02:58:00 --startdatetime 2016-11-23T03:00:52 --delay 2 --endMP 204:152 --enddatetime 2016-11-23T03:11:12 --enforcementcount 2 &gt;&gt;C:\Users\stu\Documents\GitHub\eaglep3-reporting\EC\2016-11-23-refined-times.txt</v>
      </c>
      <c r="AI212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{"issue":{"subject":"","project_id":79,"tracker_id":40,"status_id":1,"priority_id":2,"assigned_to_id":23,"start_date":"2016-11-23","description":"","custom_fields":[{"id":1,"name":"Subdivision","value":"Other"},{"id":4,"name":"Milepost","value":"0.0152"},{"id":17,"name":"Train ID","value":"302-23"},{"id":16,"name":"Locomotive ID","value":"4008"},{"id":130,"name":"Impact","value":""},{"id":150,"name":"Time of Event (Mountain Time)","value":"03:11:12"},{"id":151,"name":"Denver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434</v>
      </c>
      <c r="B213" s="7">
        <v>4026</v>
      </c>
      <c r="C213" s="22" t="s">
        <v>217</v>
      </c>
      <c r="D213" s="22" t="s">
        <v>714</v>
      </c>
      <c r="E213" s="13">
        <v>42697.140416666669</v>
      </c>
      <c r="F213" s="13">
        <v>42697.141793981478</v>
      </c>
      <c r="G213" s="7">
        <v>1</v>
      </c>
      <c r="H213" s="22" t="s">
        <v>715</v>
      </c>
      <c r="I213" s="13">
        <v>42697.147928240738</v>
      </c>
      <c r="J213" s="7">
        <v>0</v>
      </c>
      <c r="K213" s="109" t="str">
        <f t="shared" si="53"/>
        <v>4025/4026</v>
      </c>
      <c r="L213" s="22" t="str">
        <f>VLOOKUP(A213,'Trips&amp;Operators'!$C$1:$E$10000,3,FALSE)</f>
        <v>ACKERMAN</v>
      </c>
      <c r="M213" s="6">
        <f t="shared" si="54"/>
        <v>6.1342592598521151E-3</v>
      </c>
      <c r="N213" s="7">
        <f t="shared" si="55"/>
        <v>8.8333333341870457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02:22:12-700',mode:absolute,to:'2016-11-23 04:33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3" s="52" t="str">
        <f t="shared" si="59"/>
        <v>Y</v>
      </c>
      <c r="X213" s="177">
        <f t="shared" si="60"/>
        <v>2</v>
      </c>
      <c r="Y213" s="67">
        <f t="shared" si="61"/>
        <v>2.2343999999999999</v>
      </c>
      <c r="Z213" s="67">
        <f t="shared" si="62"/>
        <v>1.01E-2</v>
      </c>
      <c r="AA213" s="67">
        <f t="shared" si="63"/>
        <v>2.2242999999999999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0304-23</v>
      </c>
      <c r="AE213" s="91" t="str">
        <f t="shared" si="65"/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AF213" s="88" t="str">
        <f t="shared" si="66"/>
        <v>"C:\Program Files (x86)\AstroGrep\AstroGrep.exe" /spath="%USERPROFILE%\AppData\Local\Temp\OnboardLogs" /stypes="app*4026*20161123*" /stext=" 10:.+((SYSTEM_STATE.+slice.+state.+changed )|(ment ac)|(multiple cpu faults)|(system.+state.+changed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304-23 --locoid 4026 --swversion DE.1.0.8.0 --startMP 300:22344 --initTime 2016-11-23T03:22:12 --startdatetime 2016-11-23T03:24:11 --delay 1 --endMP 204:101 --enddatetime 2016-11-23T03:33:01 --enforcementcount 0 &gt;&gt;C:\Users\stu\Documents\GitHub\eaglep3-reporting\EC\2016-11-23-refined-times.txt</v>
      </c>
      <c r="AI213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{"issue":{"subject":"","project_id":79,"tracker_id":40,"status_id":1,"priority_id":2,"assigned_to_id":23,"start_date":"2016-11-23","description":"","custom_fields":[{"id":1,"name":"Subdivision","value":"Other"},{"id":4,"name":"Milepost","value":"0.0101"},{"id":17,"name":"Train ID","value":"304-23"},{"id":16,"name":"Locomotive ID","value":"4026"},{"id":130,"name":"Impact","value":""},{"id":150,"name":"Time of Event (Mountain Time)","value":"03:33:01"},{"id":151,"name":"Denver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594</v>
      </c>
      <c r="B214" s="7">
        <v>4007</v>
      </c>
      <c r="C214" s="22" t="s">
        <v>217</v>
      </c>
      <c r="D214" s="22" t="s">
        <v>214</v>
      </c>
      <c r="E214" s="13">
        <v>42697.799456018518</v>
      </c>
      <c r="F214" s="13">
        <v>42697.802314814813</v>
      </c>
      <c r="G214" s="7">
        <v>1</v>
      </c>
      <c r="H214" s="22" t="s">
        <v>716</v>
      </c>
      <c r="I214" s="13">
        <v>42697.808229166665</v>
      </c>
      <c r="J214" s="7">
        <v>0</v>
      </c>
      <c r="K214" s="109" t="str">
        <f t="shared" si="53"/>
        <v>4007/4008</v>
      </c>
      <c r="L214" s="22" t="str">
        <f>VLOOKUP(A214,'Trips&amp;Operators'!$C$1:$E$10000,3,FALSE)</f>
        <v>YOUNG</v>
      </c>
      <c r="M214" s="6">
        <f t="shared" si="54"/>
        <v>5.914351851970423E-3</v>
      </c>
      <c r="N214" s="7">
        <f t="shared" si="55"/>
        <v>8.5166666668374091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18:11:13-700',mode:absolute,to:'2016-11-23 20:23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2" t="str">
        <f t="shared" si="59"/>
        <v>Y</v>
      </c>
      <c r="X214" s="177">
        <f t="shared" si="60"/>
        <v>1</v>
      </c>
      <c r="Y214" s="67">
        <f t="shared" si="61"/>
        <v>4.6199999999999998E-2</v>
      </c>
      <c r="Z214" s="67">
        <f t="shared" si="62"/>
        <v>2.286</v>
      </c>
      <c r="AA214" s="67">
        <f t="shared" si="63"/>
        <v>2.2398000000000002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0305-23</v>
      </c>
      <c r="AE214" s="91" t="str">
        <f t="shared" si="65"/>
        <v>aws s3 cp s3://rtdc.mdm.uploadarchive.raw/RTDC4007/ "%USERPROFILE%\AppData\Local\Temp\OnboardLogs"\RTDC4007\2016-11-23 --exclude "*" --recursive --include "*20161123*" &amp; "%USERPROFILE%\Documents\GitHub\mrs-test-scripts\Headless Mode &amp; Sideloading\WalkAndUnGZ.bat" "%USERPROFILE%\AppData\Local\Temp\OnboardLogs"\RTDC4007\2016-11-23 &amp; 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</v>
      </c>
      <c r="AF214" s="88" t="str">
        <f t="shared" si="66"/>
        <v>"C:\Program Files (x86)\AstroGrep\AstroGrep.exe" /spath="%USERPROFILE%\AppData\Local\Temp\OnboardLogs" /stypes="app*4007*20161124*" /stext=" 02:.+((SYSTEM_STATE.+slice.+state.+changed )|(ment ac)|(multiple cpu faults)|(system.+state.+changed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305-23 --locoid 4007 --swversion DE.1.0.8.0 --startMP 204:462 --initTime 2016-11-23T19:11:13 --startdatetime 2016-11-23T19:15:20 --delay 1 --endMP 300:22860 --enddatetime 2016-11-23T19:23:51 --enforcementcount 0 &gt;&gt;C:\Users\stu\Documents\GitHub\eaglep3-reporting\EC\2016-11-23-refined-times.txt</v>
      </c>
      <c r="AI214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{"issue":{"subject":"","project_id":79,"tracker_id":40,"status_id":1,"priority_id":2,"assigned_to_id":23,"start_date":"2016-11-23","description":"","custom_fields":[{"id":1,"name":"Subdivision","value":"Other"},{"id":4,"name":"Milepost","value":"2.286"},{"id":17,"name":"Train ID","value":"305-23"},{"id":16,"name":"Locomotive ID","value":"4007"},{"id":130,"name":"Impact","value":""},{"id":150,"name":"Time of Event (Mountain Time)","value":"19:23:51"},{"id":151,"name":"Denver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439</v>
      </c>
      <c r="B215" s="7">
        <v>4030</v>
      </c>
      <c r="C215" s="22" t="s">
        <v>217</v>
      </c>
      <c r="D215" s="22" t="s">
        <v>717</v>
      </c>
      <c r="E215" s="13">
        <v>42697.16578703704</v>
      </c>
      <c r="F215" s="13">
        <v>42697.166944444441</v>
      </c>
      <c r="G215" s="7">
        <v>1</v>
      </c>
      <c r="H215" s="22" t="s">
        <v>227</v>
      </c>
      <c r="I215" s="13">
        <v>42697.173125000001</v>
      </c>
      <c r="J215" s="7">
        <v>0</v>
      </c>
      <c r="K215" s="109" t="str">
        <f t="shared" si="53"/>
        <v>4029/4030</v>
      </c>
      <c r="L215" s="22" t="str">
        <f>VLOOKUP(A215,'Trips&amp;Operators'!$C$1:$E$10000,3,FALSE)</f>
        <v>SANTIZO</v>
      </c>
      <c r="M215" s="6">
        <f t="shared" si="54"/>
        <v>6.180555559694767E-3</v>
      </c>
      <c r="N215" s="7">
        <f t="shared" si="55"/>
        <v>8.9000000059604645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02:58:44-700',mode:absolute,to:'2016-11-23 05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5" s="52" t="str">
        <f t="shared" si="59"/>
        <v>Y</v>
      </c>
      <c r="X215" s="177">
        <f t="shared" si="60"/>
        <v>1</v>
      </c>
      <c r="Y215" s="67">
        <f t="shared" si="61"/>
        <v>2.0331000000000001</v>
      </c>
      <c r="Z215" s="67">
        <f t="shared" si="62"/>
        <v>1.4999999999999999E-2</v>
      </c>
      <c r="AA215" s="67">
        <f t="shared" si="63"/>
        <v>2.0181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4"/>
        <v>0306-23</v>
      </c>
      <c r="AE215" s="91" t="str">
        <f t="shared" si="65"/>
        <v>aws s3 cp s3://rtdc.mdm.uploadarchive.raw/RTDC4030/ "%USERPROFILE%\AppData\Local\Temp\OnboardLogs"\RTDC4030\2016-11-23 --exclude "*" --recursive --include "*20161123*" &amp; "%USERPROFILE%\Documents\GitHub\mrs-test-scripts\Headless Mode &amp; Sideloading\WalkAndUnGZ.bat" "%USERPROFILE%\AppData\Local\Temp\OnboardLogs"\RTDC4030\2016-11-23 &amp; aws s3 cp s3://rtdc.mdm.uploadarchive.raw/RTDC4030/ "%USERPROFILE%\AppData\Local\Temp\OnboardLogs"\RTDC4030\2016-11-24 --exclude "*" --recursive --include "*20161124*" &amp; "%USERPROFILE%\Documents\GitHub\mrs-test-scripts\Headless Mode &amp; Sideloading\WalkAndUnGZ.bat" "%USERPROFILE%\AppData\Local\Temp\OnboardLogs"\RTDC4030\2016-11-24</v>
      </c>
      <c r="AF215" s="88" t="str">
        <f t="shared" si="66"/>
        <v>"C:\Program Files (x86)\AstroGrep\AstroGrep.exe" /spath="%USERPROFILE%\AppData\Local\Temp\OnboardLogs" /stypes="app*4030*20161123*" /stext=" 11:.+((SYSTEM_STATE.+slice.+state.+changed )|(ment ac)|(multiple cpu faults)|(system.+state.+changed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306-23 --locoid 4030 --swversion DE.1.0.8.0 --startMP 300:20331 --initTime 2016-11-23T03:58:44 --startdatetime 2016-11-23T04:00:24 --delay 1 --endMP 204:150 --enddatetime 2016-11-23T04:09:18 --enforcementcount 0 &gt;&gt;C:\Users\stu\Documents\GitHub\eaglep3-reporting\EC\2016-11-23-refined-times.txt</v>
      </c>
      <c r="AI215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{"issue":{"subject":"","project_id":79,"tracker_id":40,"status_id":1,"priority_id":2,"assigned_to_id":23,"start_date":"2016-11-23","description":"","custom_fields":[{"id":1,"name":"Subdivision","value":"Other"},{"id":4,"name":"Milepost","value":"0.015"},{"id":17,"name":"Train ID","value":"306-23"},{"id":16,"name":"Locomotive ID","value":"4030"},{"id":130,"name":"Impact","value":""},{"id":150,"name":"Time of Event (Mountain Time)","value":"04:09:18"},{"id":151,"name":"Denver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597</v>
      </c>
      <c r="B216" s="7">
        <v>4042</v>
      </c>
      <c r="C216" s="22" t="s">
        <v>217</v>
      </c>
      <c r="D216" s="22" t="s">
        <v>294</v>
      </c>
      <c r="E216" s="13">
        <v>42697.817835648151</v>
      </c>
      <c r="F216" s="13">
        <v>25568.708333333332</v>
      </c>
      <c r="G216" s="7">
        <v>1</v>
      </c>
      <c r="H216" s="22" t="s">
        <v>376</v>
      </c>
      <c r="I216" s="13">
        <v>25568.708333333332</v>
      </c>
      <c r="J216" s="7">
        <v>0</v>
      </c>
      <c r="K216" s="109" t="str">
        <f t="shared" si="53"/>
        <v>4041/4042</v>
      </c>
      <c r="L216" s="22" t="str">
        <f>VLOOKUP(A216,'Trips&amp;Operators'!$C$1:$E$10000,3,FALSE)</f>
        <v>STORY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18:37:41-700',mode:absolute,to:'1969-12-31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59"/>
        <v>Y</v>
      </c>
      <c r="X216" s="177">
        <f t="shared" si="60"/>
        <v>1</v>
      </c>
      <c r="Y216" s="67">
        <f t="shared" si="61"/>
        <v>4.7100000000000003E-2</v>
      </c>
      <c r="Z216" s="67">
        <f t="shared" si="62"/>
        <v>2.3304</v>
      </c>
      <c r="AA216" s="67">
        <f t="shared" si="63"/>
        <v>2.2833000000000001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4"/>
        <v>0307-23</v>
      </c>
      <c r="AE216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6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307-23 --locoid 4042 --swversion DE.1.0.8.0 --startMP 204:471 --initTime 2016-11-23T19:37:41 --startdatetime 1969-12-31T17:00:00 --delay 1 --endMP 300:23304 --enddatetime 1969-12-31T17:00:00 --enforcementcount 0 &gt;&gt;C:\Users\stu\Documents\GitHub\eaglep3-reporting\EC\2016-11-23-refined-times.txt</v>
      </c>
      <c r="AI21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441</v>
      </c>
      <c r="B217" s="7">
        <v>4045</v>
      </c>
      <c r="C217" s="22" t="s">
        <v>217</v>
      </c>
      <c r="D217" s="22" t="s">
        <v>718</v>
      </c>
      <c r="E217" s="13">
        <v>42697.171689814815</v>
      </c>
      <c r="F217" s="13">
        <v>42697.173020833332</v>
      </c>
      <c r="G217" s="7">
        <v>1</v>
      </c>
      <c r="H217" s="22" t="s">
        <v>302</v>
      </c>
      <c r="I217" s="13">
        <v>42697.178888888891</v>
      </c>
      <c r="J217" s="7">
        <v>0</v>
      </c>
      <c r="K217" s="109" t="str">
        <f t="shared" si="53"/>
        <v>4045/4046</v>
      </c>
      <c r="L217" s="22" t="str">
        <f>VLOOKUP(A217,'Trips&amp;Operators'!$C$1:$E$10000,3,FALSE)</f>
        <v>SPECTOR</v>
      </c>
      <c r="M217" s="6">
        <f t="shared" si="54"/>
        <v>5.8680555594037287E-3</v>
      </c>
      <c r="N217" s="7">
        <f t="shared" si="55"/>
        <v>8.4500000055413693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03:07:14-700',mode:absolute,to:'2016-11-23 05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7" s="52" t="str">
        <f t="shared" si="59"/>
        <v>Y</v>
      </c>
      <c r="X217" s="177">
        <f t="shared" si="60"/>
        <v>1</v>
      </c>
      <c r="Y217" s="67">
        <f t="shared" si="61"/>
        <v>2.3262</v>
      </c>
      <c r="Z217" s="67">
        <f t="shared" si="62"/>
        <v>1.38E-2</v>
      </c>
      <c r="AA217" s="67">
        <f t="shared" si="63"/>
        <v>2.3124000000000002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4"/>
        <v>0308-23</v>
      </c>
      <c r="AE217" s="91" t="str">
        <f t="shared" si="65"/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AF217" s="88" t="str">
        <f t="shared" si="66"/>
        <v>"C:\Program Files (x86)\AstroGrep\AstroGrep.exe" /spath="%USERPROFILE%\AppData\Local\Temp\OnboardLogs" /stypes="app*4045*20161123*" /stext=" 11:.+((SYSTEM_STATE.+slice.+state.+changed )|(ment ac)|(multiple cpu faults)|(system.+state.+changed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308-23 --locoid 4045 --swversion DE.1.0.8.0 --startMP 300:23262 --initTime 2016-11-23T04:07:14 --startdatetime 2016-11-23T04:09:09 --delay 1 --endMP 204:138 --enddatetime 2016-11-23T04:17:36 --enforcementcount 0 &gt;&gt;C:\Users\stu\Documents\GitHub\eaglep3-reporting\EC\2016-11-23-refined-times.txt</v>
      </c>
      <c r="AI217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{"issue":{"subject":"","project_id":79,"tracker_id":40,"status_id":1,"priority_id":2,"assigned_to_id":23,"start_date":"2016-11-23","description":"","custom_fields":[{"id":1,"name":"Subdivision","value":"Other"},{"id":4,"name":"Milepost","value":"0.0138"},{"id":17,"name":"Train ID","value":"308-23"},{"id":16,"name":"Locomotive ID","value":"4045"},{"id":130,"name":"Impact","value":""},{"id":150,"name":"Time of Event (Mountain Time)","value":"04:17:36"},{"id":151,"name":"Denver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442</v>
      </c>
      <c r="B218" s="7">
        <v>4021</v>
      </c>
      <c r="C218" s="22" t="s">
        <v>217</v>
      </c>
      <c r="D218" s="22" t="s">
        <v>719</v>
      </c>
      <c r="E218" s="13">
        <v>42697.180659722224</v>
      </c>
      <c r="F218" s="13">
        <v>42697.181967592594</v>
      </c>
      <c r="G218" s="7">
        <v>1</v>
      </c>
      <c r="H218" s="22" t="s">
        <v>175</v>
      </c>
      <c r="I218" s="13">
        <v>42697.188217592593</v>
      </c>
      <c r="J218" s="7">
        <v>0</v>
      </c>
      <c r="K218" s="109" t="str">
        <f t="shared" si="53"/>
        <v>4021/4022</v>
      </c>
      <c r="L218" s="22" t="str">
        <f>VLOOKUP(A218,'Trips&amp;Operators'!$C$1:$E$10000,3,FALSE)</f>
        <v>KILLION</v>
      </c>
      <c r="M218" s="6">
        <f t="shared" si="54"/>
        <v>6.2499999985448085E-3</v>
      </c>
      <c r="N218" s="7">
        <f t="shared" si="55"/>
        <v>8.9999999979045242</v>
      </c>
      <c r="O218" s="7"/>
      <c r="P218" s="7"/>
      <c r="Q218" s="23"/>
      <c r="R218" s="23"/>
      <c r="S218" s="35">
        <f t="shared" si="56"/>
        <v>1</v>
      </c>
      <c r="T218" s="50" t="str">
        <f t="shared" si="57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03:20:09-700',mode:absolute,to:'2016-11-23 05:31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8" s="52" t="str">
        <f t="shared" si="59"/>
        <v>Y</v>
      </c>
      <c r="X218" s="177">
        <f t="shared" si="60"/>
        <v>2</v>
      </c>
      <c r="Y218" s="67">
        <f t="shared" si="61"/>
        <v>2.2864</v>
      </c>
      <c r="Z218" s="67">
        <f t="shared" si="62"/>
        <v>1.52E-2</v>
      </c>
      <c r="AA218" s="67">
        <f t="shared" si="63"/>
        <v>2.2711999999999999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4"/>
        <v>0310-23</v>
      </c>
      <c r="AE218" s="91" t="str">
        <f t="shared" si="65"/>
        <v>aws s3 cp s3://rtdc.mdm.uploadarchive.raw/RTDC4021/ "%USERPROFILE%\AppData\Local\Temp\OnboardLogs"\RTDC4021\2016-11-23 --exclude "*" --recursive --include "*20161123*" &amp; "%USERPROFILE%\Documents\GitHub\mrs-test-scripts\Headless Mode &amp; Sideloading\WalkAndUnGZ.bat" "%USERPROFILE%\AppData\Local\Temp\OnboardLogs"\RTDC4021\2016-11-23 &amp; 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</v>
      </c>
      <c r="AF218" s="88" t="str">
        <f t="shared" si="66"/>
        <v>"C:\Program Files (x86)\AstroGrep\AstroGrep.exe" /spath="%USERPROFILE%\AppData\Local\Temp\OnboardLogs" /stypes="app*4021*20161123*" /stext=" 11:.+((SYSTEM_STATE.+slice.+state.+changed )|(ment ac)|(multiple cpu faults)|(system.+state.+changed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310-23 --locoid 4021 --swversion DE.1.0.8.0 --startMP 300:22864 --initTime 2016-11-23T04:20:09 --startdatetime 2016-11-23T04:22:02 --delay 1 --endMP 204:152 --enddatetime 2016-11-23T04:31:02 --enforcementcount 0 &gt;&gt;C:\Users\stu\Documents\GitHub\eaglep3-reporting\EC\2016-11-23-refined-times.txt</v>
      </c>
      <c r="AI218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{"issue":{"subject":"","project_id":79,"tracker_id":40,"status_id":1,"priority_id":2,"assigned_to_id":23,"start_date":"2016-11-23","description":"","custom_fields":[{"id":1,"name":"Subdivision","value":"Other"},{"id":4,"name":"Milepost","value":"0.0152"},{"id":17,"name":"Train ID","value":"310-23"},{"id":16,"name":"Locomotive ID","value":"4021"},{"id":130,"name":"Impact","value":""},{"id":150,"name":"Time of Event (Mountain Time)","value":"04:31:02"},{"id":151,"name":"Denver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625</v>
      </c>
      <c r="B219" s="7">
        <v>4029</v>
      </c>
      <c r="C219" s="22" t="s">
        <v>217</v>
      </c>
      <c r="D219" s="22" t="s">
        <v>285</v>
      </c>
      <c r="E219" s="13">
        <v>42698.045474537037</v>
      </c>
      <c r="F219" s="13">
        <v>25568.708333333332</v>
      </c>
      <c r="G219" s="7">
        <v>1</v>
      </c>
      <c r="H219" s="22" t="s">
        <v>720</v>
      </c>
      <c r="I219" s="13">
        <v>25568.708333333332</v>
      </c>
      <c r="J219" s="7">
        <v>0</v>
      </c>
      <c r="K219" s="109" t="str">
        <f t="shared" si="53"/>
        <v>4029/4030</v>
      </c>
      <c r="L219" s="22" t="str">
        <f>VLOOKUP(A219,'Trips&amp;Operators'!$C$1:$E$10000,3,FALSE)</f>
        <v>SAFIEF</v>
      </c>
      <c r="M219" s="6">
        <f t="shared" si="54"/>
        <v>0</v>
      </c>
      <c r="N219" s="7">
        <f t="shared" si="55"/>
        <v>0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00:05:29-700',mode:absolute,to:'1969-12-31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9" s="52" t="str">
        <f t="shared" si="59"/>
        <v>Y</v>
      </c>
      <c r="X219" s="177">
        <f t="shared" si="60"/>
        <v>1</v>
      </c>
      <c r="Y219" s="67">
        <f t="shared" si="61"/>
        <v>4.5999999999999999E-2</v>
      </c>
      <c r="Z219" s="67">
        <f t="shared" si="62"/>
        <v>2.3079000000000001</v>
      </c>
      <c r="AA219" s="67">
        <f t="shared" si="63"/>
        <v>2.2619000000000002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4"/>
        <v>0311-23</v>
      </c>
      <c r="AE219" s="91" t="str">
        <f t="shared" si="6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9" s="88" t="str">
        <f t="shared" si="6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311-23 --locoid 4029 --swversion DE.1.0.8.0 --startMP 204:460 --initTime 2016-11-24T01:05:29 --startdatetime 1969-12-31T17:00:00 --delay 1 --endMP 300:23079 --enddatetime 1969-12-31T17:00:00 --enforcementcount 0 &gt;&gt;C:\Users\stu\Documents\GitHub\eaglep3-reporting\EC\2016-11-23-refined-times.txt</v>
      </c>
      <c r="AI219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{"issue":{"subject":"","project_id":79,"tracker_id":40,"status_id":1,"priority_id":2,"assigned_to_id":23,"start_date":"1969-12-31","description":"","custom_fields":[{"id":1,"name":"Subdivision","value":"Other"},{"id":4,"name":"Milepost","value":"2.3079"},{"id":17,"name":"Train ID","value":"311-23"},{"id":16,"name":"Locomotive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626</v>
      </c>
      <c r="B220" s="7">
        <v>4025</v>
      </c>
      <c r="C220" s="22" t="s">
        <v>217</v>
      </c>
      <c r="D220" s="22" t="s">
        <v>249</v>
      </c>
      <c r="E220" s="13">
        <v>42698.06994212963</v>
      </c>
      <c r="F220" s="13">
        <v>25568.708333333332</v>
      </c>
      <c r="G220" s="7">
        <v>1</v>
      </c>
      <c r="H220" s="22" t="s">
        <v>721</v>
      </c>
      <c r="I220" s="13">
        <v>25568.708333333332</v>
      </c>
      <c r="J220" s="7">
        <v>0</v>
      </c>
      <c r="K220" s="109" t="str">
        <f t="shared" si="53"/>
        <v>4025/4026</v>
      </c>
      <c r="L220" s="22" t="str">
        <f>VLOOKUP(A220,'Trips&amp;Operators'!$C$1:$E$10000,3,FALSE)</f>
        <v>LEVIN</v>
      </c>
      <c r="M220" s="6">
        <f t="shared" si="54"/>
        <v>0</v>
      </c>
      <c r="N220" s="7">
        <f t="shared" si="55"/>
        <v>0</v>
      </c>
      <c r="O220" s="7"/>
      <c r="P220" s="7"/>
      <c r="Q220" s="23"/>
      <c r="R220" s="23"/>
      <c r="S220" s="35">
        <f t="shared" si="56"/>
        <v>1</v>
      </c>
      <c r="T220" s="50" t="str">
        <f t="shared" si="57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00:40:43-700',mode:absolute,to:'1969-12-31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0" s="52" t="str">
        <f t="shared" si="59"/>
        <v>Y</v>
      </c>
      <c r="X220" s="177">
        <f t="shared" si="60"/>
        <v>2</v>
      </c>
      <c r="Y220" s="67">
        <f t="shared" si="61"/>
        <v>4.4900000000000002E-2</v>
      </c>
      <c r="Z220" s="67">
        <f t="shared" si="62"/>
        <v>2.3306</v>
      </c>
      <c r="AA220" s="67">
        <f t="shared" si="63"/>
        <v>2.2856999999999998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4"/>
        <v>0313-23</v>
      </c>
      <c r="AE220" s="91" t="str">
        <f t="shared" si="6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0" s="88" t="str">
        <f t="shared" si="6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313-23 --locoid 4025 --swversion DE.1.0.8.0 --startMP 204:449 --initTime 2016-11-24T01:40:43 --startdatetime 1969-12-31T17:00:00 --delay 1 --endMP 300:23306 --enddatetime 1969-12-31T17:00:00 --enforcementcount 0 &gt;&gt;C:\Users\stu\Documents\GitHub\eaglep3-reporting\EC\2016-11-23-refined-times.txt</v>
      </c>
      <c r="AI22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358</v>
      </c>
      <c r="B221" s="7">
        <v>4002</v>
      </c>
      <c r="C221" s="22" t="s">
        <v>217</v>
      </c>
      <c r="D221" s="22" t="s">
        <v>249</v>
      </c>
      <c r="E221" s="13">
        <v>42697.089907407404</v>
      </c>
      <c r="F221" s="13">
        <v>25568.708333333332</v>
      </c>
      <c r="G221" s="7">
        <v>1</v>
      </c>
      <c r="H221" s="22" t="s">
        <v>377</v>
      </c>
      <c r="I221" s="13">
        <v>25568.708333333332</v>
      </c>
      <c r="J221" s="7">
        <v>0</v>
      </c>
      <c r="K221" s="109" t="str">
        <f t="shared" si="53"/>
        <v>4001/4002</v>
      </c>
      <c r="L221" s="22" t="str">
        <f>VLOOKUP(A221,'Trips&amp;Operators'!$C$1:$E$10000,3,FALSE)</f>
        <v>NICHOLSON</v>
      </c>
      <c r="M221" s="6">
        <f t="shared" si="54"/>
        <v>0</v>
      </c>
      <c r="N221" s="7">
        <f t="shared" si="55"/>
        <v>0</v>
      </c>
      <c r="O221" s="7"/>
      <c r="P221" s="7"/>
      <c r="Q221" s="23"/>
      <c r="R221" s="23"/>
      <c r="S221" s="35">
        <f t="shared" si="56"/>
        <v>1</v>
      </c>
      <c r="T221" s="50" t="str">
        <f t="shared" si="57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01:09:28-700',mode:absolute,to:'1969-12-31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1" s="52" t="str">
        <f t="shared" si="59"/>
        <v>Y</v>
      </c>
      <c r="X221" s="177">
        <f t="shared" si="60"/>
        <v>2</v>
      </c>
      <c r="Y221" s="67">
        <f t="shared" si="61"/>
        <v>4.4900000000000002E-2</v>
      </c>
      <c r="Z221" s="67">
        <f t="shared" si="62"/>
        <v>2.3298999999999999</v>
      </c>
      <c r="AA221" s="67">
        <f t="shared" si="63"/>
        <v>2.2849999999999997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4"/>
        <v>0315-22</v>
      </c>
      <c r="AE221" s="91" t="str">
        <f t="shared" si="6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1" s="88" t="str">
        <f t="shared" si="66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315-22 --locoid 4002 --swversion DE.1.0.8.0 --startMP 204:449 --initTime 2016-11-23T02:09:28 --startdatetime 1969-12-31T17:00:00 --delay 1 --endMP 300:23299 --enddatetime 1969-12-31T17:00:00 --enforcementcount 0 &gt;&gt;C:\Users\stu\Documents\GitHub\eaglep3-reporting\EC\2016-11-23-refined-times.txt</v>
      </c>
      <c r="AI221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499</v>
      </c>
      <c r="B222" s="7">
        <v>4028</v>
      </c>
      <c r="C222" s="22" t="s">
        <v>217</v>
      </c>
      <c r="D222" s="22" t="s">
        <v>722</v>
      </c>
      <c r="E222" s="13">
        <v>42697.439305555556</v>
      </c>
      <c r="F222" s="13">
        <v>42697.440659722219</v>
      </c>
      <c r="G222" s="7">
        <v>1</v>
      </c>
      <c r="H222" s="22" t="s">
        <v>723</v>
      </c>
      <c r="I222" s="13">
        <v>42697.446064814816</v>
      </c>
      <c r="J222" s="7">
        <v>0</v>
      </c>
      <c r="K222" s="109" t="str">
        <f t="shared" si="53"/>
        <v>4027/4028</v>
      </c>
      <c r="L222" s="22" t="str">
        <f>VLOOKUP(A222,'Trips&amp;Operators'!$C$1:$E$10000,3,FALSE)</f>
        <v>CRAYTON</v>
      </c>
      <c r="M222" s="6">
        <f t="shared" si="54"/>
        <v>5.4050925973569974E-3</v>
      </c>
      <c r="N222" s="7">
        <f t="shared" si="55"/>
        <v>7.7833333401940763</v>
      </c>
      <c r="O222" s="7"/>
      <c r="P222" s="7"/>
      <c r="Q222" s="23"/>
      <c r="R222" s="23"/>
      <c r="S222" s="35">
        <f t="shared" si="56"/>
        <v>0</v>
      </c>
      <c r="T222" s="50" t="e">
        <f t="shared" si="57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09:32:36-700',mode:absolute,to:'2016-11-23 11:42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2" s="52" t="str">
        <f t="shared" si="59"/>
        <v>Y</v>
      </c>
      <c r="X222" s="177" t="e">
        <f t="shared" si="60"/>
        <v>#VALUE!</v>
      </c>
      <c r="Y222" s="67">
        <f t="shared" si="61"/>
        <v>2.1901000000000002</v>
      </c>
      <c r="Z222" s="67">
        <f t="shared" si="62"/>
        <v>1.4200000000000001E-2</v>
      </c>
      <c r="AA222" s="67">
        <f t="shared" si="63"/>
        <v>2.1758999999999999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4"/>
        <v>50-23</v>
      </c>
      <c r="AE222" s="91" t="str">
        <f t="shared" si="65"/>
        <v>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 &amp; aws s3 cp s3://rtdc.mdm.uploadarchive.raw/RTDC4028/ "%USERPROFILE%\AppData\Local\Temp\OnboardLogs"\RTDC4028\2016-11-24 --exclude "*" --recursive --include "*20161124*" &amp; "%USERPROFILE%\Documents\GitHub\mrs-test-scripts\Headless Mode &amp; Sideloading\WalkAndUnGZ.bat" "%USERPROFILE%\AppData\Local\Temp\OnboardLogs"\RTDC4028\2016-11-24</v>
      </c>
      <c r="AF222" s="88" t="str">
        <f t="shared" si="66"/>
        <v>"C:\Program Files (x86)\AstroGrep\AstroGrep.exe" /spath="%USERPROFILE%\AppData\Local\Temp\OnboardLogs" /stypes="app*4028*20161123*" /stext=" 17:.+((SYSTEM_STATE.+slice.+state.+changed )|(ment ac)|(multiple cpu faults)|(system.+state.+changed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50-23 --locoid 4028 --swversion DE.1.0.8.0 --startMP 300:21901 --initTime 2016-11-23T10:32:36 --startdatetime 2016-11-23T10:34:33 --delay 1 --endMP 204:142 --enddatetime 2016-11-23T10:42:20 --enforcementcount 0 &gt;&gt;C:\Users\stu\Documents\GitHub\eaglep3-reporting\EC\2016-11-23-refined-times.txt</v>
      </c>
      <c r="AI222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{"issue":{"subject":"","project_id":79,"tracker_id":40,"status_id":1,"priority_id":2,"assigned_to_id":23,"start_date":"2016-11-23","description":"","custom_fields":[{"id":1,"name":"Subdivision","value":"Other"},{"id":4,"name":"Milepost","value":"0.0142"},{"id":17,"name":"Train ID","value":"50-23"},{"id":16,"name":"Locomotive ID","value":"4028"},{"id":130,"name":"Impact","value":""},{"id":150,"name":"Time of Event (Mountain Time)","value":"10:42:20"},{"id":151,"name":"Denver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421</v>
      </c>
      <c r="B223" s="7">
        <v>4037</v>
      </c>
      <c r="C223" s="22" t="s">
        <v>217</v>
      </c>
      <c r="D223" s="22" t="s">
        <v>724</v>
      </c>
      <c r="E223" s="13">
        <v>42697.751157407409</v>
      </c>
      <c r="F223" s="13">
        <v>42697.752442129633</v>
      </c>
      <c r="G223" s="7">
        <v>1</v>
      </c>
      <c r="H223" s="22" t="s">
        <v>725</v>
      </c>
      <c r="I223" s="13">
        <v>42697.758391203701</v>
      </c>
      <c r="J223" s="7">
        <v>1</v>
      </c>
      <c r="K223" s="109" t="str">
        <f t="shared" si="53"/>
        <v>4037/4038</v>
      </c>
      <c r="L223" s="22" t="str">
        <f>VLOOKUP(A223,'Trips&amp;Operators'!$C$1:$E$10000,3,FALSE)</f>
        <v>COOLAHAN</v>
      </c>
      <c r="M223" s="6">
        <f t="shared" si="54"/>
        <v>5.9490740677574649E-3</v>
      </c>
      <c r="N223" s="7">
        <f t="shared" si="55"/>
        <v>8.5666666575707495</v>
      </c>
      <c r="O223" s="7"/>
      <c r="P223" s="7"/>
      <c r="Q223" s="23"/>
      <c r="R223" s="23"/>
      <c r="S223" s="35">
        <f t="shared" si="56"/>
        <v>0</v>
      </c>
      <c r="T223" s="50" t="e">
        <f t="shared" si="57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17:01:40-700',mode:absolute,to:'2016-11-23 19:12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3" s="52" t="str">
        <f t="shared" si="59"/>
        <v>Y</v>
      </c>
      <c r="X223" s="177" t="e">
        <f t="shared" si="60"/>
        <v>#VALUE!</v>
      </c>
      <c r="Y223" s="67">
        <f t="shared" si="61"/>
        <v>2.2162999999999999</v>
      </c>
      <c r="Z223" s="67">
        <f t="shared" si="62"/>
        <v>9.1700000000000004E-2</v>
      </c>
      <c r="AA223" s="67">
        <f t="shared" si="63"/>
        <v>2.1246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4"/>
        <v>52-23</v>
      </c>
      <c r="AE223" s="91" t="str">
        <f t="shared" si="65"/>
        <v>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 &amp; 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</v>
      </c>
      <c r="AF223" s="88" t="str">
        <f t="shared" si="66"/>
        <v>"C:\Program Files (x86)\AstroGrep\AstroGrep.exe" /spath="%USERPROFILE%\AppData\Local\Temp\OnboardLogs" /stypes="app*4037*20161124*" /stext=" 01:.+((SYSTEM_STATE.+slice.+state.+changed )|(ment ac)|(multiple cpu faults)|(system.+state.+changed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52-23 --locoid 4037 --swversion DE.1.0.8.0 --startMP 300:22163 --initTime 2016-11-23T18:01:40 --startdatetime 2016-11-23T18:03:31 --delay 1 --endMP 204:917 --enddatetime 2016-11-23T18:12:05 --enforcementcount 1 &gt;&gt;C:\Users\stu\Documents\GitHub\eaglep3-reporting\EC\2016-11-23-refined-times.txt</v>
      </c>
      <c r="AI223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{"issue":{"subject":"","project_id":79,"tracker_id":40,"status_id":1,"priority_id":2,"assigned_to_id":23,"start_date":"2016-11-23","description":"","custom_fields":[{"id":1,"name":"Subdivision","value":"Other"},{"id":4,"name":"Milepost","value":"0.0917"},{"id":17,"name":"Train ID","value":"52-23"},{"id":16,"name":"Locomotive ID","value":"4037"},{"id":130,"name":"Impact","value":""},{"id":150,"name":"Time of Event (Mountain Time)","value":"18:12:05"},{"id":151,"name":"Denver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514</v>
      </c>
      <c r="B224" s="7">
        <v>4027</v>
      </c>
      <c r="C224" s="22" t="s">
        <v>217</v>
      </c>
      <c r="D224" s="22" t="s">
        <v>726</v>
      </c>
      <c r="E224" s="13">
        <v>42697.493090277778</v>
      </c>
      <c r="F224" s="13">
        <v>25568.708333333332</v>
      </c>
      <c r="G224" s="7">
        <v>1</v>
      </c>
      <c r="H224" s="22" t="s">
        <v>377</v>
      </c>
      <c r="I224" s="13">
        <v>25568.708333333332</v>
      </c>
      <c r="J224" s="7">
        <v>0</v>
      </c>
      <c r="K224" s="109" t="str">
        <f t="shared" si="53"/>
        <v>4027/4028</v>
      </c>
      <c r="L224" s="22" t="str">
        <f>VLOOKUP(A224,'Trips&amp;Operators'!$C$1:$E$10000,3,FALSE)</f>
        <v>KILLION</v>
      </c>
      <c r="M224" s="6">
        <f t="shared" si="54"/>
        <v>0</v>
      </c>
      <c r="N224" s="7">
        <f t="shared" si="55"/>
        <v>0</v>
      </c>
      <c r="O224" s="7"/>
      <c r="P224" s="7"/>
      <c r="Q224" s="23"/>
      <c r="R224" s="23"/>
      <c r="S224" s="35">
        <f t="shared" si="56"/>
        <v>0</v>
      </c>
      <c r="T224" s="50" t="e">
        <f t="shared" si="57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10:50:03-700',mode:absolute,to:'1969-12-31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4" s="52" t="str">
        <f t="shared" si="59"/>
        <v>Y</v>
      </c>
      <c r="X224" s="177" t="e">
        <f t="shared" si="60"/>
        <v>#VALUE!</v>
      </c>
      <c r="Y224" s="67">
        <f t="shared" si="61"/>
        <v>4.3900000000000002E-2</v>
      </c>
      <c r="Z224" s="67">
        <f t="shared" si="62"/>
        <v>2.3298999999999999</v>
      </c>
      <c r="AA224" s="67">
        <f t="shared" si="63"/>
        <v>2.286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4"/>
        <v>53-23</v>
      </c>
      <c r="AE224" s="91" t="str">
        <f t="shared" si="6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4" s="88" t="str">
        <f t="shared" si="66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53-23 --locoid 4027 --swversion DE.1.0.8.0 --startMP 204:439 --initTime 2016-11-23T11:50:03 --startdatetime 1969-12-31T17:00:00 --delay 1 --endMP 300:23299 --enddatetime 1969-12-31T17:00:00 --enforcementcount 0 &gt;&gt;C:\Users\stu\Documents\GitHub\eaglep3-reporting\EC\2016-11-23-refined-times.txt</v>
      </c>
      <c r="AI22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ID","value":"53-23"},{"id":16,"name":"Locomotive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420</v>
      </c>
      <c r="B225" s="7">
        <v>4040</v>
      </c>
      <c r="C225" s="22" t="s">
        <v>217</v>
      </c>
      <c r="D225" s="22" t="s">
        <v>727</v>
      </c>
      <c r="E225" s="13">
        <v>42697.708553240744</v>
      </c>
      <c r="F225" s="13">
        <v>25568.708333333332</v>
      </c>
      <c r="G225" s="7">
        <v>1</v>
      </c>
      <c r="H225" s="22" t="s">
        <v>728</v>
      </c>
      <c r="I225" s="13">
        <v>25568.708333333332</v>
      </c>
      <c r="J225" s="7">
        <v>1</v>
      </c>
      <c r="K225" s="109" t="str">
        <f t="shared" si="53"/>
        <v>4039/4040</v>
      </c>
      <c r="L225" s="22" t="str">
        <f>VLOOKUP(A225,'Trips&amp;Operators'!$C$1:$E$10000,3,FALSE)</f>
        <v>CRAYTON</v>
      </c>
      <c r="M225" s="6">
        <f t="shared" si="54"/>
        <v>0</v>
      </c>
      <c r="N225" s="7">
        <f t="shared" si="55"/>
        <v>0</v>
      </c>
      <c r="O225" s="7"/>
      <c r="P225" s="7"/>
      <c r="Q225" s="23"/>
      <c r="R225" s="23"/>
      <c r="S225" s="35">
        <f t="shared" si="56"/>
        <v>0</v>
      </c>
      <c r="T225" s="50" t="e">
        <f t="shared" si="5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16:00:19-700',mode:absolute,to:'1969-12-31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5" s="52" t="str">
        <f t="shared" si="59"/>
        <v>Y</v>
      </c>
      <c r="X225" s="177" t="e">
        <f t="shared" si="60"/>
        <v>#VALUE!</v>
      </c>
      <c r="Y225" s="67">
        <f t="shared" si="61"/>
        <v>0.14979999999999999</v>
      </c>
      <c r="Z225" s="67">
        <f t="shared" si="62"/>
        <v>0.186</v>
      </c>
      <c r="AA225" s="67">
        <f t="shared" si="63"/>
        <v>3.620000000000001E-2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4"/>
        <v>73-23</v>
      </c>
      <c r="AE225" s="91" t="str">
        <f t="shared" si="6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5" s="88" t="str">
        <f t="shared" si="66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73-23 --locoid 4040 --swversion DE.1.0.8.0 --startMP 204:1498 --initTime 2016-11-23T17:00:19 --startdatetime 1969-12-31T17:00:00 --delay 1 --endMP 204:1860 --enddatetime 1969-12-31T17:00:00 --enforcementcount 1 &gt;&gt;C:\Users\stu\Documents\GitHub\eaglep3-reporting\EC\2016-11-23-refined-times.txt</v>
      </c>
      <c r="AI22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{"issue":{"subject":"","project_id":79,"tracker_id":40,"status_id":1,"priority_id":2,"assigned_to_id":23,"start_date":"1969-12-31","description":"","custom_fields":[{"id":1,"name":"Subdivision","value":"Other"},{"id":4,"name":"Milepost","value":"0.186"},{"id":17,"name":"Train ID","value":"73-23"},{"id":16,"name":"Locomotive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420</v>
      </c>
      <c r="B226" s="7">
        <v>4040</v>
      </c>
      <c r="C226" s="22" t="s">
        <v>217</v>
      </c>
      <c r="D226" s="22" t="s">
        <v>729</v>
      </c>
      <c r="E226" s="13">
        <v>42697.729583333334</v>
      </c>
      <c r="F226" s="13">
        <v>25568.708333333332</v>
      </c>
      <c r="G226" s="7">
        <v>0</v>
      </c>
      <c r="H226" s="22" t="s">
        <v>730</v>
      </c>
      <c r="I226" s="13">
        <v>25568.708333333332</v>
      </c>
      <c r="J226" s="7">
        <v>0</v>
      </c>
      <c r="K226" s="109" t="str">
        <f t="shared" si="53"/>
        <v>4039/4040</v>
      </c>
      <c r="L226" s="22" t="str">
        <f>VLOOKUP(A226,'Trips&amp;Operators'!$C$1:$E$10000,3,FALSE)</f>
        <v>CRAYTON</v>
      </c>
      <c r="M226" s="6">
        <f t="shared" si="54"/>
        <v>0</v>
      </c>
      <c r="N226" s="7">
        <f t="shared" si="55"/>
        <v>0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16:30:36-700',mode:absolute,to:'1969-12-31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6" s="52" t="str">
        <f t="shared" si="59"/>
        <v>Y</v>
      </c>
      <c r="X226" s="177" t="e">
        <f t="shared" si="60"/>
        <v>#VALUE!</v>
      </c>
      <c r="Y226" s="67">
        <f t="shared" si="61"/>
        <v>0.74339999999999995</v>
      </c>
      <c r="Z226" s="67">
        <f t="shared" si="62"/>
        <v>2.3068</v>
      </c>
      <c r="AA226" s="67">
        <f t="shared" si="63"/>
        <v>1.5634000000000001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4"/>
        <v>73-23</v>
      </c>
      <c r="AE226" s="91" t="str">
        <f t="shared" si="6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6" s="88" t="str">
        <f t="shared" si="66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73-23 --locoid 4040 --swversion DE.1.0.8.0 --startMP 300:7434 --initTime 2016-11-23T17:30:36 --startdatetime 1969-12-31T17:00:00 --delay 0 --endMP 300:23068 --enddatetime 1969-12-31T17:00:00 --enforcementcount 0 &gt;&gt;C:\Users\stu\Documents\GitHub\eaglep3-reporting\EC\2016-11-23-refined-times.txt</v>
      </c>
      <c r="AI22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{"issue":{"subject":"","project_id":79,"tracker_id":40,"status_id":1,"priority_id":2,"assigned_to_id":23,"start_date":"1969-12-31","description":"","custom_fields":[{"id":1,"name":"Subdivision","value":"Other"},{"id":4,"name":"Milepost","value":"2.3068"},{"id":17,"name":"Train ID","value":"73-23"},{"id":16,"name":"Locomotive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575</v>
      </c>
      <c r="B227" s="7">
        <v>4028</v>
      </c>
      <c r="C227" s="22" t="s">
        <v>217</v>
      </c>
      <c r="D227" s="22" t="s">
        <v>731</v>
      </c>
      <c r="E227" s="13">
        <v>42697.737291666665</v>
      </c>
      <c r="F227" s="13">
        <v>42697.738402777781</v>
      </c>
      <c r="G227" s="7">
        <v>1</v>
      </c>
      <c r="H227" s="22" t="s">
        <v>732</v>
      </c>
      <c r="I227" s="13">
        <v>42697.744062500002</v>
      </c>
      <c r="J227" s="7">
        <v>0</v>
      </c>
      <c r="K227" s="109" t="str">
        <f t="shared" si="53"/>
        <v>4027/4028</v>
      </c>
      <c r="L227" s="22" t="str">
        <f>VLOOKUP(A227,'Trips&amp;Operators'!$C$1:$E$10000,3,FALSE)</f>
        <v>LEVIN</v>
      </c>
      <c r="M227" s="6">
        <f t="shared" si="54"/>
        <v>5.6597222210257314E-3</v>
      </c>
      <c r="N227" s="7">
        <f t="shared" si="55"/>
        <v>8.1499999982770532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16:41:42-700',mode:absolute,to:'2016-11-23 18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7" s="52" t="str">
        <f t="shared" si="59"/>
        <v>Y</v>
      </c>
      <c r="X227" s="177" t="e">
        <f t="shared" si="60"/>
        <v>#VALUE!</v>
      </c>
      <c r="Y227" s="67">
        <f t="shared" si="61"/>
        <v>2.2176</v>
      </c>
      <c r="Z227" s="67">
        <f t="shared" si="62"/>
        <v>8.6E-3</v>
      </c>
      <c r="AA227" s="67">
        <f t="shared" si="63"/>
        <v>2.2090000000000001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64"/>
        <v>76-23</v>
      </c>
      <c r="AE227" s="91" t="str">
        <f t="shared" si="65"/>
        <v>aws s3 cp s3://rtdc.mdm.uploadarchive.raw/RTDC4028/ "%USERPROFILE%\AppData\Local\Temp\OnboardLogs"\RTDC4028\2016-11-23 --exclude "*" --recursive --include "*20161123*" &amp; "%USERPROFILE%\Documents\GitHub\mrs-test-scripts\Headless Mode &amp; Sideloading\WalkAndUnGZ.bat" "%USERPROFILE%\AppData\Local\Temp\OnboardLogs"\RTDC4028\2016-11-23 &amp; aws s3 cp s3://rtdc.mdm.uploadarchive.raw/RTDC4028/ "%USERPROFILE%\AppData\Local\Temp\OnboardLogs"\RTDC4028\2016-11-24 --exclude "*" --recursive --include "*20161124*" &amp; "%USERPROFILE%\Documents\GitHub\mrs-test-scripts\Headless Mode &amp; Sideloading\WalkAndUnGZ.bat" "%USERPROFILE%\AppData\Local\Temp\OnboardLogs"\RTDC4028\2016-11-24</v>
      </c>
      <c r="AF227" s="88" t="str">
        <f t="shared" si="66"/>
        <v>"C:\Program Files (x86)\AstroGrep\AstroGrep.exe" /spath="%USERPROFILE%\AppData\Local\Temp\OnboardLogs" /stypes="app*4028*20161124*" /stext=" 00:.+((SYSTEM_STATE.+slice.+state.+changed )|(ment ac)|(multiple cpu faults)|(system.+state.+changed )|(\[timeout)|(PRM\|1\|D)|(kpr)|(kdp)|(\|lc)|(penalty))"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76-23 --locoid 4028 --swversion DE.1.0.8.0 --startMP 300:22176 --initTime 2016-11-23T17:41:42 --startdatetime 2016-11-23T17:43:18 --delay 1 --endMP 204:86 --enddatetime 2016-11-23T17:51:27 --enforcementcount 0 &gt;&gt;C:\Users\stu\Documents\GitHub\eaglep3-reporting\EC\2016-11-23-refined-times.txt</v>
      </c>
      <c r="AI227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{"issue":{"subject":"","project_id":79,"tracker_id":40,"status_id":1,"priority_id":2,"assigned_to_id":23,"start_date":"2016-11-23","description":"","custom_fields":[{"id":1,"name":"Subdivision","value":"Other"},{"id":4,"name":"Milepost","value":"0.0086"},{"id":17,"name":"Train ID","value":"76-23"},{"id":16,"name":"Locomotive ID","value":"4028"},{"id":130,"name":"Impact","value":""},{"id":150,"name":"Time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581</v>
      </c>
      <c r="B228" s="7">
        <v>4027</v>
      </c>
      <c r="C228" s="22" t="s">
        <v>217</v>
      </c>
      <c r="D228" s="22" t="s">
        <v>733</v>
      </c>
      <c r="E228" s="13">
        <v>42697.757708333331</v>
      </c>
      <c r="F228" s="13">
        <v>42697.774942129632</v>
      </c>
      <c r="G228" s="7">
        <v>2</v>
      </c>
      <c r="H228" s="22" t="s">
        <v>377</v>
      </c>
      <c r="I228" s="13">
        <v>42697.780694444446</v>
      </c>
      <c r="J228" s="7">
        <v>0</v>
      </c>
      <c r="K228" s="109" t="str">
        <f t="shared" si="53"/>
        <v>4027/4028</v>
      </c>
      <c r="L228" s="22" t="str">
        <f>VLOOKUP(A228,'Trips&amp;Operators'!$C$1:$E$10000,3,FALSE)</f>
        <v>PERKINS</v>
      </c>
      <c r="M228" s="6">
        <f t="shared" si="54"/>
        <v>5.7523148134350777E-3</v>
      </c>
      <c r="N228" s="7">
        <f t="shared" si="55"/>
        <v>8.2833333313465118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17:11:06-700',mode:absolute,to:'2016-11-23 19:44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8" s="52" t="str">
        <f t="shared" si="59"/>
        <v>Y</v>
      </c>
      <c r="X228" s="177" t="e">
        <f t="shared" si="60"/>
        <v>#VALUE!</v>
      </c>
      <c r="Y228" s="67">
        <f t="shared" si="61"/>
        <v>4.0300000000000002E-2</v>
      </c>
      <c r="Z228" s="67">
        <f t="shared" si="62"/>
        <v>2.3298999999999999</v>
      </c>
      <c r="AA228" s="67">
        <f t="shared" si="63"/>
        <v>2.2896000000000001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64"/>
        <v>77-23</v>
      </c>
      <c r="AE228" s="91" t="str">
        <f t="shared" si="65"/>
        <v>aws s3 cp s3://rtdc.mdm.uploadarchive.raw/RTDC4027/ "%USERPROFILE%\AppData\Local\Temp\OnboardLogs"\RTDC4027\2016-11-23 --exclude "*" --recursive --include "*20161123*" &amp; "%USERPROFILE%\Documents\GitHub\mrs-test-scripts\Headless Mode &amp; Sideloading\WalkAndUnGZ.bat" "%USERPROFILE%\AppData\Local\Temp\OnboardLogs"\RTDC4027\2016-11-23 &amp; aws s3 cp s3://rtdc.mdm.uploadarchive.raw/RTDC4027/ "%USERPROFILE%\AppData\Local\Temp\OnboardLogs"\RTDC4027\2016-11-24 --exclude "*" --recursive --include "*20161124*" &amp; "%USERPROFILE%\Documents\GitHub\mrs-test-scripts\Headless Mode &amp; Sideloading\WalkAndUnGZ.bat" "%USERPROFILE%\AppData\Local\Temp\OnboardLogs"\RTDC4027\2016-11-24</v>
      </c>
      <c r="AF228" s="88" t="str">
        <f t="shared" si="66"/>
        <v>"C:\Program Files (x86)\AstroGrep\AstroGrep.exe" /spath="%USERPROFILE%\AppData\Local\Temp\OnboardLogs" /stypes="app*4027*20161124*" /stext=" 01:.+((SYSTEM_STATE.+slice.+state.+changed )|(ment ac)|(multiple cpu faults)|(system.+state.+changed )|(\[timeout)|(PRM\|1\|D)|(kpr)|(kdp)|(\|lc)|(penalty))"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77-23 --locoid 4027 --swversion DE.1.0.8.0 --startMP 204:403 --initTime 2016-11-23T18:11:06 --startdatetime 2016-11-23T18:35:55 --delay 2 --endMP 300:23299 --enddatetime 2016-11-23T18:44:12 --enforcementcount 0 &gt;&gt;C:\Users\stu\Documents\GitHub\eaglep3-reporting\EC\2016-11-23-refined-times.txt</v>
      </c>
      <c r="AI228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{"issue":{"subject":"","project_id":79,"tracker_id":40,"status_id":1,"priority_id":2,"assigned_to_id":23,"start_date":"2016-11-23","description":"","custom_fields":[{"id":1,"name":"Subdivision","value":"Other"},{"id":4,"name":"Milepost","value":"2.3299"},{"id":17,"name":"Train ID","value":"77-23"},{"id":16,"name":"Locomotive ID","value":"4027"},{"id":130,"name":"Impact","value":""},{"id":150,"name":"Time of Event (Mountain Time)","value":"18:44:12"},{"id":151,"name":"Denver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582</v>
      </c>
      <c r="B229" s="7">
        <v>4032</v>
      </c>
      <c r="C229" s="22" t="s">
        <v>217</v>
      </c>
      <c r="D229" s="22" t="s">
        <v>734</v>
      </c>
      <c r="E229" s="13">
        <v>42697.760092592594</v>
      </c>
      <c r="F229" s="13">
        <v>42697.762083333335</v>
      </c>
      <c r="G229" s="7">
        <v>1</v>
      </c>
      <c r="H229" s="22" t="s">
        <v>735</v>
      </c>
      <c r="I229" s="13">
        <v>42697.768784722219</v>
      </c>
      <c r="J229" s="7">
        <v>0</v>
      </c>
      <c r="K229" s="109" t="str">
        <f t="shared" si="53"/>
        <v>4031/4032</v>
      </c>
      <c r="L229" s="22" t="str">
        <f>VLOOKUP(A229,'Trips&amp;Operators'!$C$1:$E$10000,3,FALSE)</f>
        <v>JACKSON</v>
      </c>
      <c r="M229" s="6">
        <f t="shared" si="54"/>
        <v>6.7013888838118874E-3</v>
      </c>
      <c r="N229" s="7">
        <f t="shared" si="55"/>
        <v>9.6499999926891178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17:14:32-700',mode:absolute,to:'2016-11-23 19:27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9" s="52" t="str">
        <f t="shared" si="59"/>
        <v>Y</v>
      </c>
      <c r="X229" s="177" t="e">
        <f t="shared" si="60"/>
        <v>#VALUE!</v>
      </c>
      <c r="Y229" s="67">
        <f t="shared" si="61"/>
        <v>2.1966000000000001</v>
      </c>
      <c r="Z229" s="67">
        <f t="shared" si="62"/>
        <v>9.5600000000000004E-2</v>
      </c>
      <c r="AA229" s="67">
        <f t="shared" si="63"/>
        <v>2.101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64"/>
        <v>78-23</v>
      </c>
      <c r="AE229" s="91" t="str">
        <f t="shared" si="65"/>
        <v>aws s3 cp s3://rtdc.mdm.uploadarchive.raw/RTDC4032/ "%USERPROFILE%\AppData\Local\Temp\OnboardLogs"\RTDC4032\2016-11-23 --exclude "*" --recursive --include "*20161123*" &amp; "%USERPROFILE%\Documents\GitHub\mrs-test-scripts\Headless Mode &amp; Sideloading\WalkAndUnGZ.bat" "%USERPROFILE%\AppData\Local\Temp\OnboardLogs"\RTDC4032\2016-11-23 &amp; aws s3 cp s3://rtdc.mdm.uploadarchive.raw/RTDC4032/ "%USERPROFILE%\AppData\Local\Temp\OnboardLogs"\RTDC4032\2016-11-24 --exclude "*" --recursive --include "*20161124*" &amp; "%USERPROFILE%\Documents\GitHub\mrs-test-scripts\Headless Mode &amp; Sideloading\WalkAndUnGZ.bat" "%USERPROFILE%\AppData\Local\Temp\OnboardLogs"\RTDC4032\2016-11-24</v>
      </c>
      <c r="AF229" s="88" t="str">
        <f t="shared" si="66"/>
        <v>"C:\Program Files (x86)\AstroGrep\AstroGrep.exe" /spath="%USERPROFILE%\AppData\Local\Temp\OnboardLogs" /stypes="app*4032*20161124*" /stext=" 01:.+((SYSTEM_STATE.+slice.+state.+changed )|(ment ac)|(multiple cpu faults)|(system.+state.+changed )|(\[timeout)|(PRM\|1\|D)|(kpr)|(kdp)|(\|lc)|(penalty))" /e /r /s</v>
      </c>
      <c r="AG229" s="1" t="str">
        <f t="shared" si="67"/>
        <v>Other</v>
      </c>
      <c r="AH229" s="92" t="str">
        <f t="shared" si="68"/>
        <v>"%USERPROFILE%\Documents\GitHub\eaglep3\Utilities\RefineRTDCRunTimes.py" --tripid 78-23 --locoid 4032 --swversion DE.1.0.8.0 --startMP 300:21966 --initTime 2016-11-23T18:14:32 --startdatetime 2016-11-23T18:17:24 --delay 1 --endMP 204:956 --enddatetime 2016-11-23T18:27:03 --enforcementcount 0 &gt;&gt;C:\Users\stu\Documents\GitHub\eaglep3-reporting\EC\2016-11-23-refined-times.txt</v>
      </c>
      <c r="AI229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{"issue":{"subject":"","project_id":79,"tracker_id":40,"status_id":1,"priority_id":2,"assigned_to_id":23,"start_date":"2016-11-23","description":"","custom_fields":[{"id":1,"name":"Subdivision","value":"Other"},{"id":4,"name":"Milepost","value":"0.0956"},{"id":17,"name":"Train ID","value":"78-23"},{"id":16,"name":"Locomotive ID","value":"4032"},{"id":130,"name":"Impact","value":""},{"id":150,"name":"Time of Event (Mountain Time)","value":"18:27:03"},{"id":151,"name":"Denver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587</v>
      </c>
      <c r="B230" s="7">
        <v>4038</v>
      </c>
      <c r="C230" s="22" t="s">
        <v>217</v>
      </c>
      <c r="D230" s="22" t="s">
        <v>736</v>
      </c>
      <c r="E230" s="13">
        <v>42697.772372685184</v>
      </c>
      <c r="F230" s="13">
        <v>25568.708333333332</v>
      </c>
      <c r="G230" s="7">
        <v>1</v>
      </c>
      <c r="H230" s="22" t="s">
        <v>737</v>
      </c>
      <c r="I230" s="13">
        <v>25568.708333333332</v>
      </c>
      <c r="J230" s="7">
        <v>0</v>
      </c>
      <c r="K230" s="109" t="str">
        <f t="shared" si="53"/>
        <v>4037/4038</v>
      </c>
      <c r="L230" s="22" t="str">
        <f>VLOOKUP(A230,'Trips&amp;Operators'!$C$1:$E$10000,3,FALSE)</f>
        <v>HELVIE</v>
      </c>
      <c r="M230" s="6">
        <f t="shared" si="54"/>
        <v>0</v>
      </c>
      <c r="N230" s="7">
        <f t="shared" si="55"/>
        <v>0</v>
      </c>
      <c r="O230" s="7"/>
      <c r="P230" s="7"/>
      <c r="Q230" s="23"/>
      <c r="R230" s="23"/>
      <c r="S230" s="35">
        <f t="shared" si="56"/>
        <v>0</v>
      </c>
      <c r="T230" s="50" t="e">
        <f t="shared" si="57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17:32:13-700',mode:absolute,to:'1969-12-31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0" s="52" t="str">
        <f t="shared" si="59"/>
        <v>Y</v>
      </c>
      <c r="X230" s="177" t="e">
        <f t="shared" si="60"/>
        <v>#VALUE!</v>
      </c>
      <c r="Y230" s="67">
        <f t="shared" si="61"/>
        <v>0.1222</v>
      </c>
      <c r="Z230" s="67">
        <f t="shared" si="62"/>
        <v>2.3315999999999999</v>
      </c>
      <c r="AA230" s="67">
        <f t="shared" si="63"/>
        <v>2.2094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64"/>
        <v>79-23</v>
      </c>
      <c r="AE230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30" s="88" t="str">
        <f t="shared" si="66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30" s="1" t="str">
        <f t="shared" si="67"/>
        <v>Other</v>
      </c>
      <c r="AH230" s="92" t="str">
        <f t="shared" si="68"/>
        <v>"%USERPROFILE%\Documents\GitHub\eaglep3\Utilities\RefineRTDCRunTimes.py" --tripid 79-23 --locoid 4038 --swversion DE.1.0.8.0 --startMP 204:1222 --initTime 2016-11-23T18:32:13 --startdatetime 1969-12-31T17:00:00 --delay 1 --endMP 300:23316 --enddatetime 1969-12-31T17:00:00 --enforcementcount 0 &gt;&gt;C:\Users\stu\Documents\GitHub\eaglep3-reporting\EC\2016-11-23-refined-times.txt</v>
      </c>
      <c r="AI23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ID","value":"79-23"},{"id":16,"name":"Locomotive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445</v>
      </c>
      <c r="B231" s="7">
        <v>4014</v>
      </c>
      <c r="C231" s="22" t="s">
        <v>217</v>
      </c>
      <c r="D231" s="22" t="s">
        <v>783</v>
      </c>
      <c r="E231" s="13">
        <v>42697.200752314813</v>
      </c>
      <c r="F231" s="13">
        <v>42697.205625000002</v>
      </c>
      <c r="G231" s="7">
        <v>6</v>
      </c>
      <c r="H231" s="22" t="s">
        <v>784</v>
      </c>
      <c r="I231" s="13">
        <v>42697.211076388892</v>
      </c>
      <c r="J231" s="7">
        <v>0</v>
      </c>
      <c r="K231" s="109" t="str">
        <f t="shared" si="53"/>
        <v>4013/4014</v>
      </c>
      <c r="L231" s="22" t="str">
        <f>VLOOKUP(A231,'Trips&amp;Operators'!$C$1:$E$10000,3,FALSE)</f>
        <v>STARKS</v>
      </c>
      <c r="M231" s="6">
        <f t="shared" si="54"/>
        <v>5.4513888899236917E-3</v>
      </c>
      <c r="N231" s="7">
        <f t="shared" si="55"/>
        <v>7.8500000014901161</v>
      </c>
      <c r="O231" s="7"/>
      <c r="P231" s="7"/>
      <c r="Q231" s="23"/>
      <c r="R231" s="23"/>
      <c r="S231" s="35">
        <f t="shared" si="56"/>
        <v>0</v>
      </c>
      <c r="T231" s="50" t="str">
        <f t="shared" si="57"/>
        <v>NorthBound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03:49:05-700',mode:absolute,to:'2016-11-23 06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1" s="52" t="str">
        <f t="shared" si="59"/>
        <v>Y</v>
      </c>
      <c r="X231" s="177" t="e">
        <f t="shared" si="60"/>
        <v>#VALUE!</v>
      </c>
      <c r="Y231" s="67">
        <f t="shared" si="61"/>
        <v>2.9893000000000001</v>
      </c>
      <c r="Z231" s="67">
        <f t="shared" si="62"/>
        <v>5.8958000000000004</v>
      </c>
      <c r="AA231" s="67">
        <f t="shared" si="63"/>
        <v>2.9065000000000003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64"/>
        <v>0901-23</v>
      </c>
      <c r="AE231" s="91" t="str">
        <f t="shared" si="65"/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AF231" s="88" t="str">
        <f t="shared" si="66"/>
        <v>"C:\Program Files (x86)\AstroGrep\AstroGrep.exe" /spath="%USERPROFILE%\AppData\Local\Temp\OnboardLogs" /stypes="app*4014*20161123*" /stext=" 12:.+((SYSTEM_STATE.+slice.+state.+changed )|(ment ac)|(multiple cpu faults)|(system.+state.+changed )|(\[timeout)|(PRM\|1\|D)|(kpr)|(kdp)|(\|lc)|(penalty))" /e /r /s</v>
      </c>
      <c r="AG231" s="1" t="str">
        <f t="shared" si="67"/>
        <v>Other</v>
      </c>
      <c r="AH231" s="92" t="str">
        <f t="shared" si="68"/>
        <v>"%USERPROFILE%\Documents\GitHub\eaglep3\Utilities\RefineRTDCRunTimes.py" --tripid 901-23 --locoid 4014 --swversion DE.1.0.8.0 --startMP 300:29893 --initTime 2016-11-23T04:49:05 --startdatetime 2016-11-23T04:56:06 --delay 6 --endMP 300:58958 --enddatetime 2016-11-23T05:03:57 --enforcementcount 0 &gt;&gt;C:\Users\stu\Documents\GitHub\eaglep3-reporting\EC\2016-11-23-refined-times.txt</v>
      </c>
      <c r="AI231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{"issue":{"subject":"","project_id":79,"tracker_id":40,"status_id":1,"priority_id":2,"assigned_to_id":23,"start_date":"2016-11-23","description":"","custom_fields":[{"id":1,"name":"Subdivision","value":"Other"},{"id":4,"name":"Milepost","value":"5.8958"},{"id":17,"name":"Train ID","value":"901-23"},{"id":16,"name":"Locomotive ID","value":"4014"},{"id":130,"name":"Impact","value":""},{"id":150,"name":"Time of Event (Mountain Time)","value":"05:03:57"},{"id":151,"name":"Denver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457</v>
      </c>
      <c r="B232" s="7">
        <v>4043</v>
      </c>
      <c r="C232" s="22" t="s">
        <v>217</v>
      </c>
      <c r="D232" s="22" t="s">
        <v>785</v>
      </c>
      <c r="E232" s="13">
        <v>42697.246724537035</v>
      </c>
      <c r="F232" s="13">
        <v>42697.248101851852</v>
      </c>
      <c r="G232" s="7">
        <v>1</v>
      </c>
      <c r="H232" s="22" t="s">
        <v>786</v>
      </c>
      <c r="I232" s="13">
        <v>42697.254155092596</v>
      </c>
      <c r="J232" s="7">
        <v>0</v>
      </c>
      <c r="K232" s="109" t="str">
        <f t="shared" si="53"/>
        <v>4043/4044</v>
      </c>
      <c r="L232" s="22" t="str">
        <f>VLOOKUP(A232,'Trips&amp;Operators'!$C$1:$E$10000,3,FALSE)</f>
        <v>DE LA ROSA</v>
      </c>
      <c r="M232" s="6">
        <f t="shared" si="54"/>
        <v>6.0532407442224212E-3</v>
      </c>
      <c r="N232" s="7">
        <f t="shared" si="55"/>
        <v>8.7166666716802865</v>
      </c>
      <c r="O232" s="7"/>
      <c r="P232" s="7"/>
      <c r="Q232" s="23"/>
      <c r="R232" s="23"/>
      <c r="S232" s="35">
        <f t="shared" si="56"/>
        <v>1</v>
      </c>
      <c r="T232" s="50" t="str">
        <f t="shared" si="57"/>
        <v>Southbound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04:55:17-700',mode:absolute,to:'2016-11-23 07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32" s="52" t="str">
        <f t="shared" si="59"/>
        <v>Y</v>
      </c>
      <c r="X232" s="177">
        <f t="shared" si="60"/>
        <v>1</v>
      </c>
      <c r="Y232" s="67">
        <f t="shared" si="61"/>
        <v>2.3249</v>
      </c>
      <c r="Z232" s="67">
        <f t="shared" si="62"/>
        <v>7.3599999999999999E-2</v>
      </c>
      <c r="AA232" s="67">
        <f t="shared" si="63"/>
        <v>2.2513000000000001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64"/>
        <v>0902-23</v>
      </c>
      <c r="AE232" s="91" t="str">
        <f t="shared" si="65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32" s="88" t="str">
        <f t="shared" si="66"/>
        <v>"C:\Program Files (x86)\AstroGrep\AstroGrep.exe" /spath="%USERPROFILE%\AppData\Local\Temp\OnboardLogs" /stypes="app*4043*20161123*" /stext=" 13:.+((SYSTEM_STATE.+slice.+state.+changed )|(ment ac)|(multiple cpu faults)|(system.+state.+changed )|(\[timeout)|(PRM\|1\|D)|(kpr)|(kdp)|(\|lc)|(penalty))" /e /r /s</v>
      </c>
      <c r="AG232" s="1" t="str">
        <f t="shared" si="67"/>
        <v>Other</v>
      </c>
      <c r="AH232" s="92" t="str">
        <f t="shared" si="68"/>
        <v>"%USERPROFILE%\Documents\GitHub\eaglep3\Utilities\RefineRTDCRunTimes.py" --tripid 902-23 --locoid 4043 --swversion DE.1.0.8.0 --startMP 300:23249 --initTime 2016-11-23T05:55:17 --startdatetime 2016-11-23T05:57:16 --delay 1 --endMP 204:736 --enddatetime 2016-11-23T06:05:59 --enforcementcount 0 &gt;&gt;C:\Users\stu\Documents\GitHub\eaglep3-reporting\EC\2016-11-23-refined-times.txt</v>
      </c>
      <c r="AI232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{"issue":{"subject":"","project_id":79,"tracker_id":40,"status_id":1,"priority_id":2,"assigned_to_id":23,"start_date":"2016-11-23","description":"","custom_fields":[{"id":1,"name":"Subdivision","value":"Other"},{"id":4,"name":"Milepost","value":"0.0736"},{"id":17,"name":"Train ID","value":"902-23"},{"id":16,"name":"Locomotive ID","value":"4043"},{"id":130,"name":"Impact","value":""},{"id":150,"name":"Time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548</v>
      </c>
      <c r="B233" s="7">
        <v>4013</v>
      </c>
      <c r="C233" s="22" t="s">
        <v>217</v>
      </c>
      <c r="D233" s="22" t="s">
        <v>787</v>
      </c>
      <c r="E233" s="13">
        <v>42697.641701388886</v>
      </c>
      <c r="F233" s="13">
        <v>42697.643090277779</v>
      </c>
      <c r="G233" s="7">
        <v>1</v>
      </c>
      <c r="H233" s="22" t="s">
        <v>788</v>
      </c>
      <c r="I233" s="13">
        <v>42697.649016203701</v>
      </c>
      <c r="J233" s="7">
        <v>0</v>
      </c>
      <c r="K233" s="109" t="str">
        <f t="shared" si="53"/>
        <v>4013/4014</v>
      </c>
      <c r="L233" s="22" t="str">
        <f>VLOOKUP(A233,'Trips&amp;Operators'!$C$1:$E$10000,3,FALSE)</f>
        <v>DAVIDSON</v>
      </c>
      <c r="M233" s="6">
        <f t="shared" si="54"/>
        <v>5.9259259214741178E-3</v>
      </c>
      <c r="N233" s="7">
        <f t="shared" si="55"/>
        <v>8.5333333269227296</v>
      </c>
      <c r="O233" s="7"/>
      <c r="P233" s="7"/>
      <c r="Q233" s="23"/>
      <c r="R233" s="23"/>
      <c r="S233" s="35">
        <f t="shared" si="56"/>
        <v>1</v>
      </c>
      <c r="T233" s="50" t="str">
        <f t="shared" si="57"/>
        <v>Southbound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14:24:03-700',mode:absolute,to:'2016-11-23 16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3" s="52" t="str">
        <f t="shared" si="59"/>
        <v>Y</v>
      </c>
      <c r="X233" s="177">
        <f t="shared" si="60"/>
        <v>2</v>
      </c>
      <c r="Y233" s="67">
        <f t="shared" si="61"/>
        <v>2.3290000000000002</v>
      </c>
      <c r="Z233" s="67">
        <f t="shared" si="62"/>
        <v>6.7500000000000004E-2</v>
      </c>
      <c r="AA233" s="67">
        <f t="shared" si="63"/>
        <v>2.2615000000000003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64"/>
        <v>0904-23</v>
      </c>
      <c r="AE233" s="91" t="str">
        <f t="shared" si="65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233" s="88" t="str">
        <f t="shared" si="66"/>
        <v>"C:\Program Files (x86)\AstroGrep\AstroGrep.exe" /spath="%USERPROFILE%\AppData\Local\Temp\OnboardLogs" /stypes="app*4013*20161123*" /stext=" 22:.+((SYSTEM_STATE.+slice.+state.+changed )|(ment ac)|(multiple cpu faults)|(system.+state.+changed )|(\[timeout)|(PRM\|1\|D)|(kpr)|(kdp)|(\|lc)|(penalty))" /e /r /s</v>
      </c>
      <c r="AG233" s="1" t="str">
        <f t="shared" si="67"/>
        <v>Other</v>
      </c>
      <c r="AH233" s="92" t="str">
        <f t="shared" si="68"/>
        <v>"%USERPROFILE%\Documents\GitHub\eaglep3\Utilities\RefineRTDCRunTimes.py" --tripid 904-23 --locoid 4013 --swversion DE.1.0.8.0 --startMP 300:23290 --initTime 2016-11-23T15:24:03 --startdatetime 2016-11-23T15:26:03 --delay 1 --endMP 204:675 --enddatetime 2016-11-23T15:34:35 --enforcementcount 0 &gt;&gt;C:\Users\stu\Documents\GitHub\eaglep3-reporting\EC\2016-11-23-refined-times.txt</v>
      </c>
      <c r="AI233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{"issue":{"subject":"","project_id":79,"tracker_id":40,"status_id":1,"priority_id":2,"assigned_to_id":23,"start_date":"2016-11-23","description":"","custom_fields":[{"id":1,"name":"Subdivision","value":"Other"},{"id":4,"name":"Milepost","value":"0.0675"},{"id":17,"name":"Train ID","value":"904-23"},{"id":16,"name":"Locomotive ID","value":"4013"},{"id":130,"name":"Impact","value":""},{"id":150,"name":"Time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593</v>
      </c>
      <c r="B234" s="7">
        <v>4013</v>
      </c>
      <c r="C234" s="22" t="s">
        <v>217</v>
      </c>
      <c r="D234" s="22" t="s">
        <v>381</v>
      </c>
      <c r="E234" s="13">
        <v>42697.797534722224</v>
      </c>
      <c r="F234" s="13">
        <v>42697.799212962964</v>
      </c>
      <c r="G234" s="7">
        <v>1</v>
      </c>
      <c r="H234" s="22" t="s">
        <v>789</v>
      </c>
      <c r="I234" s="13">
        <v>42697.805254629631</v>
      </c>
      <c r="J234" s="7">
        <v>0</v>
      </c>
      <c r="K234" s="109" t="str">
        <f t="shared" si="53"/>
        <v>4013/4014</v>
      </c>
      <c r="L234" s="22" t="str">
        <f>VLOOKUP(A234,'Trips&amp;Operators'!$C$1:$E$10000,3,FALSE)</f>
        <v>DAVIDSON</v>
      </c>
      <c r="M234" s="6">
        <f t="shared" si="54"/>
        <v>6.0416666674427688E-3</v>
      </c>
      <c r="N234" s="7">
        <f t="shared" si="55"/>
        <v>8.7000000011175871</v>
      </c>
      <c r="O234" s="7"/>
      <c r="P234" s="7"/>
      <c r="Q234" s="23"/>
      <c r="R234" s="23"/>
      <c r="S234" s="35">
        <f t="shared" si="56"/>
        <v>0</v>
      </c>
      <c r="T234" s="50" t="str">
        <f t="shared" si="57"/>
        <v>Southbound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18:08:27-700',mode:absolute,to:'2016-11-23 20:19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4" s="52" t="str">
        <f t="shared" si="59"/>
        <v>Y</v>
      </c>
      <c r="X234" s="177">
        <f t="shared" si="60"/>
        <v>2</v>
      </c>
      <c r="Y234" s="67">
        <f t="shared" si="61"/>
        <v>5.8647</v>
      </c>
      <c r="Z234" s="67">
        <f t="shared" si="62"/>
        <v>2.8753000000000002</v>
      </c>
      <c r="AA234" s="67">
        <f t="shared" si="63"/>
        <v>2.9893999999999998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64"/>
        <v>0906-23</v>
      </c>
      <c r="AE234" s="91" t="str">
        <f t="shared" si="65"/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AF234" s="88" t="str">
        <f t="shared" si="66"/>
        <v>"C:\Program Files (x86)\AstroGrep\AstroGrep.exe" /spath="%USERPROFILE%\AppData\Local\Temp\OnboardLogs" /stypes="app*4013*20161124*" /stext=" 02:.+((SYSTEM_STATE.+slice.+state.+changed )|(ment ac)|(multiple cpu faults)|(system.+state.+changed )|(\[timeout)|(PRM\|1\|D)|(kpr)|(kdp)|(\|lc)|(penalty))" /e /r /s</v>
      </c>
      <c r="AG234" s="1" t="str">
        <f t="shared" si="67"/>
        <v>Other</v>
      </c>
      <c r="AH234" s="92" t="str">
        <f t="shared" si="68"/>
        <v>"%USERPROFILE%\Documents\GitHub\eaglep3\Utilities\RefineRTDCRunTimes.py" --tripid 906-23 --locoid 4013 --swversion DE.1.0.8.0 --startMP 300:58647 --initTime 2016-11-23T19:08:27 --startdatetime 2016-11-23T19:10:52 --delay 1 --endMP 300:28753 --enddatetime 2016-11-23T19:19:34 --enforcementcount 0 &gt;&gt;C:\Users\stu\Documents\GitHub\eaglep3-reporting\EC\2016-11-23-refined-times.txt</v>
      </c>
      <c r="AI234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{"issue":{"subject":"","project_id":79,"tracker_id":40,"status_id":1,"priority_id":2,"assigned_to_id":23,"start_date":"2016-11-23","description":"","custom_fields":[{"id":1,"name":"Subdivision","value":"Other"},{"id":4,"name":"Milepost","value":"2.8753"},{"id":17,"name":"Train ID","value":"906-23"},{"id":16,"name":"Locomotive ID","value":"4013"},{"id":130,"name":"Impact","value":""},{"id":150,"name":"Time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615</v>
      </c>
      <c r="B235" s="7">
        <v>4043</v>
      </c>
      <c r="C235" s="22" t="s">
        <v>217</v>
      </c>
      <c r="D235" s="22" t="s">
        <v>790</v>
      </c>
      <c r="E235" s="13">
        <v>42697.942847222221</v>
      </c>
      <c r="F235" s="13">
        <v>42697.944502314815</v>
      </c>
      <c r="G235" s="7">
        <v>1</v>
      </c>
      <c r="H235" s="22" t="s">
        <v>791</v>
      </c>
      <c r="I235" s="13">
        <v>42697.949918981481</v>
      </c>
      <c r="J235" s="7">
        <v>0</v>
      </c>
      <c r="K235" s="109" t="str">
        <f t="shared" si="53"/>
        <v>4043/4044</v>
      </c>
      <c r="L235" s="22" t="str">
        <f>VLOOKUP(A235,'Trips&amp;Operators'!$C$1:$E$10000,3,FALSE)</f>
        <v>DAVIDSON</v>
      </c>
      <c r="M235" s="6">
        <f t="shared" si="54"/>
        <v>5.4166666668606922E-3</v>
      </c>
      <c r="N235" s="7">
        <f t="shared" si="55"/>
        <v>7.8000000002793968</v>
      </c>
      <c r="O235" s="7"/>
      <c r="P235" s="7"/>
      <c r="Q235" s="23"/>
      <c r="R235" s="23"/>
      <c r="S235" s="35">
        <f t="shared" si="56"/>
        <v>0</v>
      </c>
      <c r="T235" s="50" t="str">
        <f t="shared" si="57"/>
        <v>Southbound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21:37:42-700',mode:absolute,to:'2016-11-23 23:47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35" s="52" t="str">
        <f t="shared" si="59"/>
        <v>Y</v>
      </c>
      <c r="X235" s="177">
        <f t="shared" si="60"/>
        <v>2</v>
      </c>
      <c r="Y235" s="67">
        <f t="shared" si="61"/>
        <v>5.8643000000000001</v>
      </c>
      <c r="Z235" s="67">
        <f t="shared" si="62"/>
        <v>2.1869000000000001</v>
      </c>
      <c r="AA235" s="67">
        <f t="shared" si="63"/>
        <v>3.6774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64"/>
        <v>0908-23</v>
      </c>
      <c r="AE235" s="91" t="str">
        <f t="shared" si="65"/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AF235" s="88" t="str">
        <f t="shared" si="66"/>
        <v>"C:\Program Files (x86)\AstroGrep\AstroGrep.exe" /spath="%USERPROFILE%\AppData\Local\Temp\OnboardLogs" /stypes="app*4043*20161124*" /stext=" 05:.+((SYSTEM_STATE.+slice.+state.+changed )|(ment ac)|(multiple cpu faults)|(system.+state.+changed )|(\[timeout)|(PRM\|1\|D)|(kpr)|(kdp)|(\|lc)|(penalty))" /e /r /s</v>
      </c>
      <c r="AG235" s="1" t="str">
        <f t="shared" si="67"/>
        <v>Other</v>
      </c>
      <c r="AH235" s="92" t="str">
        <f t="shared" si="68"/>
        <v>"%USERPROFILE%\Documents\GitHub\eaglep3\Utilities\RefineRTDCRunTimes.py" --tripid 908-23 --locoid 4043 --swversion DE.1.0.8.0 --startMP 300:58643 --initTime 2016-11-23T22:37:42 --startdatetime 2016-11-23T22:40:05 --delay 1 --endMP 300:21869 --enddatetime 2016-11-23T22:47:53 --enforcementcount 0 &gt;&gt;C:\Users\stu\Documents\GitHub\eaglep3-reporting\EC\2016-11-23-refined-times.txt</v>
      </c>
      <c r="AI235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{"issue":{"subject":"","project_id":79,"tracker_id":40,"status_id":1,"priority_id":2,"assigned_to_id":23,"start_date":"2016-11-23","description":"","custom_fields":[{"id":1,"name":"Subdivision","value":"Other"},{"id":4,"name":"Milepost","value":"2.1869"},{"id":17,"name":"Train ID","value":"908-23"},{"id":16,"name":"Locomotive ID","value":"4043"},{"id":130,"name":"Impact","value":""},{"id":150,"name":"Time of Event (Mountain Time)","value":"22:47:53"},{"id":151,"name":"Denver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427</v>
      </c>
      <c r="B236" s="7">
        <v>4052</v>
      </c>
      <c r="C236" s="22" t="s">
        <v>217</v>
      </c>
      <c r="D236" s="22" t="s">
        <v>792</v>
      </c>
      <c r="E236" s="13">
        <v>42698.083680555559</v>
      </c>
      <c r="F236" s="13">
        <v>42698.11681712963</v>
      </c>
      <c r="G236" s="7">
        <v>1</v>
      </c>
      <c r="H236" s="22" t="s">
        <v>793</v>
      </c>
      <c r="I236" s="13">
        <v>42698.130173611113</v>
      </c>
      <c r="J236" s="7">
        <v>0</v>
      </c>
      <c r="K236" s="109" t="str">
        <f t="shared" si="53"/>
        <v>4051/4052</v>
      </c>
      <c r="L236" s="22" t="str">
        <f>VLOOKUP(A236,'Trips&amp;Operators'!$C$1:$E$10000,3,FALSE)</f>
        <v>LOPES</v>
      </c>
      <c r="M236" s="6">
        <f t="shared" si="54"/>
        <v>1.3356481482333038E-2</v>
      </c>
      <c r="N236" s="7">
        <f t="shared" si="55"/>
        <v>19.233333334559575</v>
      </c>
      <c r="O236" s="7"/>
      <c r="P236" s="7"/>
      <c r="Q236" s="23"/>
      <c r="R236" s="23"/>
      <c r="S236" s="35">
        <f t="shared" si="56"/>
        <v>0</v>
      </c>
      <c r="T236" s="50" t="e">
        <f t="shared" si="57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01:00:30-700',mode:absolute,to:'2016-11-24 04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6" s="52" t="str">
        <f t="shared" si="59"/>
        <v>N</v>
      </c>
      <c r="X236" s="177" t="e">
        <f t="shared" si="60"/>
        <v>#VALUE!</v>
      </c>
      <c r="Y236" s="67">
        <f t="shared" si="61"/>
        <v>12.8575</v>
      </c>
      <c r="Z236" s="67">
        <f t="shared" si="62"/>
        <v>1.0325</v>
      </c>
      <c r="AA236" s="67">
        <f t="shared" si="63"/>
        <v>11.824999999999999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64"/>
        <v>AJAX-23</v>
      </c>
      <c r="AE236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36" s="88" t="str">
        <f t="shared" si="66"/>
        <v>"C:\Program Files (x86)\AstroGrep\AstroGrep.exe" /spath="%USERPROFILE%\AppData\Local\Temp\OnboardLogs" /stypes="app*4052*20161124*" /stext=" 10:.+((SYSTEM_STATE.+slice.+state.+changed )|(ment ac)|(multiple cpu faults)|(system.+state.+changed )|(\[timeout)|(PRM\|1\|D)|(kpr)|(kdp)|(\|lc)|(penalty))" /e /r /s</v>
      </c>
      <c r="AG236" s="1" t="str">
        <f t="shared" si="67"/>
        <v>Other</v>
      </c>
      <c r="AH236" s="92" t="str">
        <f t="shared" si="68"/>
        <v>"%USERPROFILE%\Documents\GitHub\eaglep3\Utilities\RefineRTDCRunTimes.py" --tripid AJAX-23 --locoid 4052 --swversion DE.1.0.8.0 --startMP 204:128575 --initTime 2016-11-24T02:00:30 --startdatetime 2016-11-24T02:48:13 --delay 1 --endMP 204:10325 --enddatetime 2016-11-24T03:07:27 --enforcementcount 0 &gt;&gt;C:\Users\stu\Documents\GitHub\eaglep3-reporting\EC\2016-11-23-refined-times.txt</v>
      </c>
      <c r="AI236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{"issue":{"subject":"","project_id":79,"tracker_id":40,"status_id":1,"priority_id":2,"assigned_to_id":23,"start_date":"2016-11-24","description":"","custom_fields":[{"id":1,"name":"Subdivision","value":"Other"},{"id":4,"name":"Milepost","value":"1.0325"},{"id":17,"name":"Train ID","value":"AJAX-23"},{"id":16,"name":"Locomotive ID","value":"4052"},{"id":130,"name":"Impact","value":""},{"id":150,"name":"Time of Event (Mountain Time)","value":"03:07:27"},{"id":151,"name":"Denver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427</v>
      </c>
      <c r="B237" s="7">
        <v>4052</v>
      </c>
      <c r="C237" s="22" t="s">
        <v>217</v>
      </c>
      <c r="D237" s="22" t="s">
        <v>794</v>
      </c>
      <c r="E237" s="13">
        <v>42697.817025462966</v>
      </c>
      <c r="F237" s="13">
        <v>42697.830636574072</v>
      </c>
      <c r="G237" s="7">
        <v>1</v>
      </c>
      <c r="H237" s="22" t="s">
        <v>795</v>
      </c>
      <c r="I237" s="13">
        <v>42697.842766203707</v>
      </c>
      <c r="J237" s="7">
        <v>1</v>
      </c>
      <c r="K237" s="109" t="str">
        <f t="shared" si="53"/>
        <v>4051/4052</v>
      </c>
      <c r="L237" s="22" t="str">
        <f>VLOOKUP(A237,'Trips&amp;Operators'!$C$1:$E$10000,3,FALSE)</f>
        <v>LOPES</v>
      </c>
      <c r="M237" s="6">
        <f t="shared" si="54"/>
        <v>1.212962963472819E-2</v>
      </c>
      <c r="N237" s="7">
        <f t="shared" si="55"/>
        <v>17.466666674008593</v>
      </c>
      <c r="O237" s="7"/>
      <c r="P237" s="7"/>
      <c r="Q237" s="23"/>
      <c r="R237" s="23"/>
      <c r="S237" s="35">
        <f t="shared" si="56"/>
        <v>0</v>
      </c>
      <c r="T237" s="50" t="e">
        <f t="shared" si="57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18:36:31-700',mode:absolute,to:'2016-11-23 21:13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 t="shared" si="59"/>
        <v>Y</v>
      </c>
      <c r="X237" s="177" t="e">
        <f t="shared" si="60"/>
        <v>#VALUE!</v>
      </c>
      <c r="Y237" s="67">
        <f t="shared" si="61"/>
        <v>12.874000000000001</v>
      </c>
      <c r="Z237" s="67">
        <f t="shared" si="62"/>
        <v>12.7918</v>
      </c>
      <c r="AA237" s="67">
        <f t="shared" si="63"/>
        <v>8.2200000000000273E-2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64"/>
        <v>AJAX-23</v>
      </c>
      <c r="AE237" s="91" t="str">
        <f t="shared" si="65"/>
        <v>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 &amp; 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</v>
      </c>
      <c r="AF237" s="88" t="str">
        <f t="shared" si="66"/>
        <v>"C:\Program Files (x86)\AstroGrep\AstroGrep.exe" /spath="%USERPROFILE%\AppData\Local\Temp\OnboardLogs" /stypes="app*4052*20161124*" /stext=" 03:.+((SYSTEM_STATE.+slice.+state.+changed )|(ment ac)|(multiple cpu faults)|(system.+state.+changed )|(\[timeout)|(PRM\|1\|D)|(kpr)|(kdp)|(\|lc)|(penalty))" /e /r /s</v>
      </c>
      <c r="AG237" s="1" t="str">
        <f t="shared" si="67"/>
        <v>Other</v>
      </c>
      <c r="AH237" s="92" t="str">
        <f t="shared" si="68"/>
        <v>"%USERPROFILE%\Documents\GitHub\eaglep3\Utilities\RefineRTDCRunTimes.py" --tripid AJAX-23 --locoid 4052 --swversion DE.1.0.8.0 --startMP 204:128740 --initTime 2016-11-23T19:36:31 --startdatetime 2016-11-23T19:56:07 --delay 1 --endMP 204:127918 --enddatetime 2016-11-23T20:13:35 --enforcementcount 1 &gt;&gt;C:\Users\stu\Documents\GitHub\eaglep3-reporting\EC\2016-11-23-refined-times.txt</v>
      </c>
      <c r="AI237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{"issue":{"subject":"","project_id":79,"tracker_id":40,"status_id":1,"priority_id":2,"assigned_to_id":23,"start_date":"2016-11-23","description":"","custom_fields":[{"id":1,"name":"Subdivision","value":"Other"},{"id":4,"name":"Milepost","value":"12.7918"},{"id":17,"name":"Train ID","value":"AJAX-23"},{"id":16,"name":"Locomotive ID","value":"4052"},{"id":130,"name":"Impact","value":""},{"id":150,"name":"Time of Event (Mountain Time)","value":"20:13:35"},{"id":151,"name":"Denver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427</v>
      </c>
      <c r="B238" s="7">
        <v>4052</v>
      </c>
      <c r="C238" s="22" t="s">
        <v>217</v>
      </c>
      <c r="D238" s="22" t="s">
        <v>796</v>
      </c>
      <c r="E238" s="13">
        <v>42697.89675925926</v>
      </c>
      <c r="F238" s="13">
        <v>42697.904363425929</v>
      </c>
      <c r="G238" s="7">
        <v>1</v>
      </c>
      <c r="H238" s="22" t="s">
        <v>212</v>
      </c>
      <c r="I238" s="13">
        <v>42697.92528935185</v>
      </c>
      <c r="J238" s="7">
        <v>0</v>
      </c>
      <c r="K238" s="109" t="str">
        <f t="shared" si="53"/>
        <v>4051/4052</v>
      </c>
      <c r="L238" s="22" t="str">
        <f>VLOOKUP(A238,'Trips&amp;Operators'!$C$1:$E$10000,3,FALSE)</f>
        <v>LOPES</v>
      </c>
      <c r="M238" s="6">
        <f t="shared" si="54"/>
        <v>2.0925925920892041E-2</v>
      </c>
      <c r="N238" s="7">
        <f t="shared" si="55"/>
        <v>30.133333326084539</v>
      </c>
      <c r="O238" s="7"/>
      <c r="P238" s="7"/>
      <c r="Q238" s="23"/>
      <c r="R238" s="23"/>
      <c r="S238" s="35">
        <f t="shared" si="56"/>
        <v>0</v>
      </c>
      <c r="T238" s="50" t="e">
        <f t="shared" si="57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20:31:20-700',mode:absolute,to:'2016-11-23 23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 t="shared" si="59"/>
        <v>N</v>
      </c>
      <c r="X238" s="177" t="e">
        <f t="shared" si="60"/>
        <v>#VALUE!</v>
      </c>
      <c r="Y238" s="67">
        <f t="shared" si="61"/>
        <v>12.8805</v>
      </c>
      <c r="Z238" s="67">
        <f t="shared" si="62"/>
        <v>1.5599999999999999E-2</v>
      </c>
      <c r="AA238" s="67">
        <f t="shared" si="63"/>
        <v>12.8649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64"/>
        <v>AJAX-23</v>
      </c>
      <c r="AE238" s="91" t="str">
        <f t="shared" si="65"/>
        <v>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 &amp; 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</v>
      </c>
      <c r="AF238" s="88" t="str">
        <f t="shared" si="66"/>
        <v>"C:\Program Files (x86)\AstroGrep\AstroGrep.exe" /spath="%USERPROFILE%\AppData\Local\Temp\OnboardLogs" /stypes="app*4052*20161124*" /stext=" 05:.+((SYSTEM_STATE.+slice.+state.+changed )|(ment ac)|(multiple cpu faults)|(system.+state.+changed )|(\[timeout)|(PRM\|1\|D)|(kpr)|(kdp)|(\|lc)|(penalty))" /e /r /s</v>
      </c>
      <c r="AG238" s="1" t="str">
        <f t="shared" si="67"/>
        <v>Other</v>
      </c>
      <c r="AH238" s="92" t="str">
        <f t="shared" si="68"/>
        <v>"%USERPROFILE%\Documents\GitHub\eaglep3\Utilities\RefineRTDCRunTimes.py" --tripid AJAX-23 --locoid 4052 --swversion DE.1.0.8.0 --startMP 204:128805 --initTime 2016-11-23T21:31:20 --startdatetime 2016-11-23T21:42:17 --delay 1 --endMP 204:156 --enddatetime 2016-11-23T22:12:25 --enforcementcount 0 &gt;&gt;C:\Users\stu\Documents\GitHub\eaglep3-reporting\EC\2016-11-23-refined-times.txt</v>
      </c>
      <c r="AI238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{"issue":{"subject":"","project_id":79,"tracker_id":40,"status_id":1,"priority_id":2,"assigned_to_id":23,"start_date":"2016-11-23","description":"","custom_fields":[{"id":1,"name":"Subdivision","value":"Other"},{"id":4,"name":"Milepost","value":"0.0156"},{"id":17,"name":"Train ID","value":"AJAX-23"},{"id":16,"name":"Locomotive ID","value":"4052"},{"id":130,"name":"Impact","value":""},{"id":150,"name":"Time of Event (Mountain Time)","value":"22:12:25"},{"id":151,"name":"Denver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427</v>
      </c>
      <c r="B239" s="7">
        <v>4052</v>
      </c>
      <c r="C239" s="22" t="s">
        <v>217</v>
      </c>
      <c r="D239" s="22" t="s">
        <v>797</v>
      </c>
      <c r="E239" s="13">
        <v>42697.859803240739</v>
      </c>
      <c r="F239" s="13">
        <v>42697.904363425929</v>
      </c>
      <c r="G239" s="7">
        <v>1</v>
      </c>
      <c r="H239" s="22" t="s">
        <v>798</v>
      </c>
      <c r="I239" s="13">
        <v>42697.92528935185</v>
      </c>
      <c r="J239" s="7">
        <v>0</v>
      </c>
      <c r="K239" s="109" t="str">
        <f t="shared" si="53"/>
        <v>4051/4052</v>
      </c>
      <c r="L239" s="22" t="str">
        <f>VLOOKUP(A239,'Trips&amp;Operators'!$C$1:$E$10000,3,FALSE)</f>
        <v>LOPES</v>
      </c>
      <c r="M239" s="6">
        <f t="shared" si="54"/>
        <v>2.0925925920892041E-2</v>
      </c>
      <c r="N239" s="7">
        <f t="shared" si="55"/>
        <v>30.133333326084539</v>
      </c>
      <c r="O239" s="7"/>
      <c r="P239" s="7"/>
      <c r="Q239" s="23"/>
      <c r="R239" s="23"/>
      <c r="S239" s="35">
        <f t="shared" si="56"/>
        <v>0</v>
      </c>
      <c r="T239" s="50" t="e">
        <f t="shared" si="57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19:38:07-700',mode:absolute,to:'2016-11-23 23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9" s="52" t="str">
        <f t="shared" si="59"/>
        <v>N</v>
      </c>
      <c r="X239" s="177" t="e">
        <f t="shared" si="60"/>
        <v>#VALUE!</v>
      </c>
      <c r="Y239" s="67">
        <f t="shared" si="61"/>
        <v>12.8848</v>
      </c>
      <c r="Z239" s="67">
        <f t="shared" si="62"/>
        <v>1.0006999999999999</v>
      </c>
      <c r="AA239" s="67">
        <f t="shared" si="63"/>
        <v>11.8841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64"/>
        <v>AJAX-23</v>
      </c>
      <c r="AE239" s="91" t="str">
        <f t="shared" si="65"/>
        <v>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 &amp; 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</v>
      </c>
      <c r="AF239" s="88" t="str">
        <f t="shared" si="66"/>
        <v>"C:\Program Files (x86)\AstroGrep\AstroGrep.exe" /spath="%USERPROFILE%\AppData\Local\Temp\OnboardLogs" /stypes="app*4052*20161124*" /stext=" 05:.+((SYSTEM_STATE.+slice.+state.+changed )|(ment ac)|(multiple cpu faults)|(system.+state.+changed )|(\[timeout)|(PRM\|1\|D)|(kpr)|(kdp)|(\|lc)|(penalty))" /e /r /s</v>
      </c>
      <c r="AG239" s="1" t="str">
        <f t="shared" si="67"/>
        <v>Other</v>
      </c>
      <c r="AH239" s="92" t="str">
        <f t="shared" si="68"/>
        <v>"%USERPROFILE%\Documents\GitHub\eaglep3\Utilities\RefineRTDCRunTimes.py" --tripid AJAX-23 --locoid 4052 --swversion DE.1.0.8.0 --startMP 204:128848 --initTime 2016-11-23T20:38:07 --startdatetime 2016-11-23T21:42:17 --delay 1 --endMP 204:10007 --enddatetime 2016-11-23T22:12:25 --enforcementcount 0 &gt;&gt;C:\Users\stu\Documents\GitHub\eaglep3-reporting\EC\2016-11-23-refined-times.txt</v>
      </c>
      <c r="AI239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{"issue":{"subject":"","project_id":79,"tracker_id":40,"status_id":1,"priority_id":2,"assigned_to_id":23,"start_date":"2016-11-23","description":"","custom_fields":[{"id":1,"name":"Subdivision","value":"Other"},{"id":4,"name":"Milepost","value":"1.0007"},{"id":17,"name":"Train ID","value":"AJAX-23"},{"id":16,"name":"Locomotive ID","value":"4052"},{"id":130,"name":"Impact","value":""},{"id":150,"name":"Time of Event (Mountain Time)","value":"22:12:25"},{"id":151,"name":"Denver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427</v>
      </c>
      <c r="B240" s="7">
        <v>4052</v>
      </c>
      <c r="C240" s="22" t="s">
        <v>217</v>
      </c>
      <c r="D240" s="22" t="s">
        <v>799</v>
      </c>
      <c r="E240" s="13">
        <v>42698.044016203705</v>
      </c>
      <c r="F240" s="13">
        <v>42698.085138888891</v>
      </c>
      <c r="G240" s="7">
        <v>1</v>
      </c>
      <c r="H240" s="22" t="s">
        <v>800</v>
      </c>
      <c r="I240" s="13">
        <v>42698.096655092595</v>
      </c>
      <c r="J240" s="7">
        <v>0</v>
      </c>
      <c r="K240" s="109" t="str">
        <f t="shared" si="53"/>
        <v>4051/4052</v>
      </c>
      <c r="L240" s="22" t="str">
        <f>VLOOKUP(A240,'Trips&amp;Operators'!$C$1:$E$10000,3,FALSE)</f>
        <v>LOPES</v>
      </c>
      <c r="M240" s="6">
        <f t="shared" si="54"/>
        <v>1.1516203703649808E-2</v>
      </c>
      <c r="N240" s="7">
        <f t="shared" si="55"/>
        <v>16.583333333255723</v>
      </c>
      <c r="O240" s="7"/>
      <c r="P240" s="7"/>
      <c r="Q240" s="23"/>
      <c r="R240" s="23"/>
      <c r="S240" s="35">
        <f t="shared" si="56"/>
        <v>0</v>
      </c>
      <c r="T240" s="50" t="e">
        <f t="shared" si="57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00:03:23-700',mode:absolute,to:'2016-11-24 03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0" s="52" t="str">
        <f t="shared" si="59"/>
        <v>N</v>
      </c>
      <c r="X240" s="177" t="e">
        <f t="shared" si="60"/>
        <v>#VALUE!</v>
      </c>
      <c r="Y240" s="67">
        <f t="shared" si="61"/>
        <v>12.8851</v>
      </c>
      <c r="Z240" s="67">
        <f t="shared" si="62"/>
        <v>1.8100000000000002E-2</v>
      </c>
      <c r="AA240" s="67">
        <f t="shared" si="63"/>
        <v>12.866999999999999</v>
      </c>
      <c r="AB240" s="64" t="e">
        <f>VLOOKUP(A240,Enforcements!$C$7:$K$20,8,0)</f>
        <v>#N/A</v>
      </c>
      <c r="AC240" s="60" t="e">
        <f>VLOOKUP(A240,Enforcements!$C$7:$E$20,3,0)</f>
        <v>#N/A</v>
      </c>
      <c r="AD240" s="61" t="str">
        <f t="shared" si="64"/>
        <v>AJAX-23</v>
      </c>
      <c r="AE240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40" s="88" t="str">
        <f t="shared" si="66"/>
        <v>"C:\Program Files (x86)\AstroGrep\AstroGrep.exe" /spath="%USERPROFILE%\AppData\Local\Temp\OnboardLogs" /stypes="app*4052*20161124*" /stext=" 09:.+((SYSTEM_STATE.+slice.+state.+changed )|(ment ac)|(multiple cpu faults)|(system.+state.+changed )|(\[timeout)|(PRM\|1\|D)|(kpr)|(kdp)|(\|lc)|(penalty))" /e /r /s</v>
      </c>
      <c r="AG240" s="1" t="str">
        <f t="shared" si="67"/>
        <v>Other</v>
      </c>
      <c r="AH240" s="92" t="str">
        <f t="shared" si="68"/>
        <v>"%USERPROFILE%\Documents\GitHub\eaglep3\Utilities\RefineRTDCRunTimes.py" --tripid AJAX-23 --locoid 4052 --swversion DE.1.0.8.0 --startMP 204:128851 --initTime 2016-11-24T01:03:23 --startdatetime 2016-11-24T02:02:36 --delay 1 --endMP 204:181 --enddatetime 2016-11-24T02:19:11 --enforcementcount 0 &gt;&gt;C:\Users\stu\Documents\GitHub\eaglep3-reporting\EC\2016-11-23-refined-times.txt</v>
      </c>
      <c r="AI240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{"issue":{"subject":"","project_id":79,"tracker_id":40,"status_id":1,"priority_id":2,"assigned_to_id":23,"start_date":"2016-11-24","description":"","custom_fields":[{"id":1,"name":"Subdivision","value":"Other"},{"id":4,"name":"Milepost","value":"0.0181"},{"id":17,"name":"Train ID","value":"AJAX-23"},{"id":16,"name":"Locomotive ID","value":"4052"},{"id":130,"name":"Impact","value":""},{"id":150,"name":"Time of Event (Mountain Time)","value":"02:19:11"},{"id":151,"name":"Denver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427</v>
      </c>
      <c r="B241" s="7">
        <v>4052</v>
      </c>
      <c r="C241" s="22" t="s">
        <v>217</v>
      </c>
      <c r="D241" s="22" t="s">
        <v>801</v>
      </c>
      <c r="E241" s="13">
        <v>42698.002106481479</v>
      </c>
      <c r="F241" s="13">
        <v>42698.045231481483</v>
      </c>
      <c r="G241" s="7">
        <v>1</v>
      </c>
      <c r="H241" s="22" t="s">
        <v>802</v>
      </c>
      <c r="I241" s="13">
        <v>42698.063310185185</v>
      </c>
      <c r="J241" s="7">
        <v>0</v>
      </c>
      <c r="K241" s="109" t="str">
        <f t="shared" si="53"/>
        <v>4051/4052</v>
      </c>
      <c r="L241" s="22" t="str">
        <f>VLOOKUP(A241,'Trips&amp;Operators'!$C$1:$E$10000,3,FALSE)</f>
        <v>LOPES</v>
      </c>
      <c r="M241" s="6">
        <f t="shared" si="54"/>
        <v>1.8078703702485655E-2</v>
      </c>
      <c r="N241" s="7">
        <f t="shared" si="55"/>
        <v>26.033333331579342</v>
      </c>
      <c r="O241" s="7"/>
      <c r="P241" s="7"/>
      <c r="Q241" s="23"/>
      <c r="R241" s="23"/>
      <c r="S241" s="35">
        <f t="shared" si="56"/>
        <v>0</v>
      </c>
      <c r="T241" s="50" t="e">
        <f t="shared" si="57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23:03:02-700',mode:absolute,to:'2016-11-24 02:31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1" s="52" t="str">
        <f t="shared" si="59"/>
        <v>N</v>
      </c>
      <c r="X241" s="177" t="e">
        <f t="shared" si="60"/>
        <v>#VALUE!</v>
      </c>
      <c r="Y241" s="67">
        <f t="shared" si="61"/>
        <v>12.8895</v>
      </c>
      <c r="Z241" s="67">
        <f t="shared" si="62"/>
        <v>1.0224</v>
      </c>
      <c r="AA241" s="67">
        <f t="shared" si="63"/>
        <v>11.867100000000001</v>
      </c>
      <c r="AB241" s="64" t="e">
        <f>VLOOKUP(A241,Enforcements!$C$7:$K$20,8,0)</f>
        <v>#N/A</v>
      </c>
      <c r="AC241" s="60" t="e">
        <f>VLOOKUP(A241,Enforcements!$C$7:$E$20,3,0)</f>
        <v>#N/A</v>
      </c>
      <c r="AD241" s="61" t="str">
        <f t="shared" si="64"/>
        <v>AJAX-23</v>
      </c>
      <c r="AE241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41" s="88" t="str">
        <f t="shared" si="66"/>
        <v>"C:\Program Files (x86)\AstroGrep\AstroGrep.exe" /spath="%USERPROFILE%\AppData\Local\Temp\OnboardLogs" /stypes="app*4052*20161124*" /stext=" 08:.+((SYSTEM_STATE.+slice.+state.+changed )|(ment ac)|(multiple cpu faults)|(system.+state.+changed )|(\[timeout)|(PRM\|1\|D)|(kpr)|(kdp)|(\|lc)|(penalty))" /e /r /s</v>
      </c>
      <c r="AG241" s="1" t="str">
        <f t="shared" si="67"/>
        <v>Other</v>
      </c>
      <c r="AH241" s="92" t="str">
        <f t="shared" si="68"/>
        <v>"%USERPROFILE%\Documents\GitHub\eaglep3\Utilities\RefineRTDCRunTimes.py" --tripid AJAX-23 --locoid 4052 --swversion DE.1.0.8.0 --startMP 204:128895 --initTime 2016-11-24T00:03:02 --startdatetime 2016-11-24T01:05:08 --delay 1 --endMP 204:10224 --enddatetime 2016-11-24T01:31:10 --enforcementcount 0 &gt;&gt;C:\Users\stu\Documents\GitHub\eaglep3-reporting\EC\2016-11-23-refined-times.txt</v>
      </c>
      <c r="AI241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{"issue":{"subject":"","project_id":79,"tracker_id":40,"status_id":1,"priority_id":2,"assigned_to_id":23,"start_date":"2016-11-24","description":"","custom_fields":[{"id":1,"name":"Subdivision","value":"Other"},{"id":4,"name":"Milepost","value":"1.0224"},{"id":17,"name":"Train ID","value":"AJAX-23"},{"id":16,"name":"Locomotive ID","value":"4052"},{"id":130,"name":"Impact","value":""},{"id":150,"name":"Time of Event (Mountain Time)","value":"01:31:10"},{"id":151,"name":"Denver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427</v>
      </c>
      <c r="B242" s="7">
        <v>4052</v>
      </c>
      <c r="C242" s="22" t="s">
        <v>217</v>
      </c>
      <c r="D242" s="22" t="s">
        <v>803</v>
      </c>
      <c r="E242" s="13">
        <v>42697.959467592591</v>
      </c>
      <c r="F242" s="13">
        <v>42698.010127314818</v>
      </c>
      <c r="G242" s="7">
        <v>1</v>
      </c>
      <c r="H242" s="22" t="s">
        <v>804</v>
      </c>
      <c r="I242" s="13">
        <v>42698.024837962963</v>
      </c>
      <c r="J242" s="7">
        <v>0</v>
      </c>
      <c r="K242" s="109" t="str">
        <f t="shared" si="53"/>
        <v>4051/4052</v>
      </c>
      <c r="L242" s="22" t="str">
        <f>VLOOKUP(A242,'Trips&amp;Operators'!$C$1:$E$10000,3,FALSE)</f>
        <v>LOPES</v>
      </c>
      <c r="M242" s="6">
        <f t="shared" si="54"/>
        <v>1.4710648145410232E-2</v>
      </c>
      <c r="N242" s="7">
        <f t="shared" si="55"/>
        <v>21.183333329390734</v>
      </c>
      <c r="O242" s="7"/>
      <c r="P242" s="7"/>
      <c r="Q242" s="23"/>
      <c r="R242" s="23"/>
      <c r="S242" s="35">
        <f t="shared" si="56"/>
        <v>0</v>
      </c>
      <c r="T242" s="50" t="e">
        <f t="shared" si="57"/>
        <v>#VALUE!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22:01:38-700',mode:absolute,to:'2016-11-24 01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2" s="52" t="str">
        <f t="shared" si="59"/>
        <v>N</v>
      </c>
      <c r="X242" s="177" t="e">
        <f t="shared" si="60"/>
        <v>#VALUE!</v>
      </c>
      <c r="Y242" s="67">
        <f t="shared" si="61"/>
        <v>12.8995</v>
      </c>
      <c r="Z242" s="67">
        <f t="shared" si="62"/>
        <v>1.0135000000000001</v>
      </c>
      <c r="AA242" s="67">
        <f t="shared" si="63"/>
        <v>11.885999999999999</v>
      </c>
      <c r="AB242" s="64" t="e">
        <f>VLOOKUP(A242,Enforcements!$C$7:$K$20,8,0)</f>
        <v>#N/A</v>
      </c>
      <c r="AC242" s="60" t="e">
        <f>VLOOKUP(A242,Enforcements!$C$7:$E$20,3,0)</f>
        <v>#N/A</v>
      </c>
      <c r="AD242" s="61" t="str">
        <f t="shared" si="64"/>
        <v>AJAX-23</v>
      </c>
      <c r="AE242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42" s="88" t="str">
        <f t="shared" si="66"/>
        <v>"C:\Program Files (x86)\AstroGrep\AstroGrep.exe" /spath="%USERPROFILE%\AppData\Local\Temp\OnboardLogs" /stypes="app*4052*20161124*" /stext=" 07:.+((SYSTEM_STATE.+slice.+state.+changed )|(ment ac)|(multiple cpu faults)|(system.+state.+changed )|(\[timeout)|(PRM\|1\|D)|(kpr)|(kdp)|(\|lc)|(penalty))" /e /r /s</v>
      </c>
      <c r="AG242" s="1" t="str">
        <f t="shared" si="67"/>
        <v>Other</v>
      </c>
      <c r="AH242" s="92" t="str">
        <f t="shared" si="68"/>
        <v>"%USERPROFILE%\Documents\GitHub\eaglep3\Utilities\RefineRTDCRunTimes.py" --tripid AJAX-23 --locoid 4052 --swversion DE.1.0.8.0 --startMP 204:128995 --initTime 2016-11-23T23:01:38 --startdatetime 2016-11-24T00:14:35 --delay 1 --endMP 204:10135 --enddatetime 2016-11-24T00:35:46 --enforcementcount 0 &gt;&gt;C:\Users\stu\Documents\GitHub\eaglep3-reporting\EC\2016-11-23-refined-times.txt</v>
      </c>
      <c r="AI242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{"issue":{"subject":"","project_id":79,"tracker_id":40,"status_id":1,"priority_id":2,"assigned_to_id":23,"start_date":"2016-11-24","description":"","custom_fields":[{"id":1,"name":"Subdivision","value":"Other"},{"id":4,"name":"Milepost","value":"1.0135"},{"id":17,"name":"Train ID","value":"AJAX-23"},{"id":16,"name":"Locomotive ID","value":"4052"},{"id":130,"name":"Impact","value":""},{"id":150,"name":"Time of Event (Mountain Time)","value":"00:35:46"},{"id":151,"name":"Denver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 s="37" t="s">
        <v>427</v>
      </c>
      <c r="B243" s="7">
        <v>4052</v>
      </c>
      <c r="C243" s="22" t="s">
        <v>217</v>
      </c>
      <c r="D243" s="22" t="s">
        <v>339</v>
      </c>
      <c r="E243" s="13">
        <v>42697.826354166667</v>
      </c>
      <c r="F243" s="13">
        <v>25568.708333333332</v>
      </c>
      <c r="G243" s="7">
        <v>5</v>
      </c>
      <c r="H243" s="22" t="s">
        <v>805</v>
      </c>
      <c r="I243" s="13">
        <v>25568.708333333332</v>
      </c>
      <c r="J243" s="7">
        <v>0</v>
      </c>
      <c r="K243" s="109" t="str">
        <f t="shared" si="53"/>
        <v>4051/4052</v>
      </c>
      <c r="L243" s="22" t="str">
        <f>VLOOKUP(A243,'Trips&amp;Operators'!$C$1:$E$10000,3,FALSE)</f>
        <v>LOPES</v>
      </c>
      <c r="M243" s="6">
        <f t="shared" si="54"/>
        <v>0</v>
      </c>
      <c r="N243" s="7">
        <f t="shared" si="55"/>
        <v>0</v>
      </c>
      <c r="O243" s="7"/>
      <c r="P243" s="7"/>
      <c r="Q243" s="23"/>
      <c r="R243" s="23"/>
      <c r="S243" s="35">
        <f t="shared" si="56"/>
        <v>0</v>
      </c>
      <c r="T243" s="50" t="e">
        <f t="shared" si="57"/>
        <v>#VALUE!</v>
      </c>
      <c r="U243" s="17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18:49:57-700',mode:absolute,to:'1969-12-31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3" s="52" t="str">
        <f t="shared" si="59"/>
        <v>N</v>
      </c>
      <c r="X243" s="177" t="e">
        <f t="shared" si="60"/>
        <v>#VALUE!</v>
      </c>
      <c r="Y243" s="67">
        <f t="shared" si="61"/>
        <v>8.6353000000000009</v>
      </c>
      <c r="Z243" s="67">
        <f t="shared" si="62"/>
        <v>1.0099</v>
      </c>
      <c r="AA243" s="67">
        <f t="shared" si="63"/>
        <v>7.6254000000000008</v>
      </c>
      <c r="AB243" s="64" t="e">
        <f>VLOOKUP(A243,Enforcements!$C$7:$K$20,8,0)</f>
        <v>#N/A</v>
      </c>
      <c r="AC243" s="60" t="e">
        <f>VLOOKUP(A243,Enforcements!$C$7:$E$20,3,0)</f>
        <v>#N/A</v>
      </c>
      <c r="AD243" s="61" t="str">
        <f t="shared" si="64"/>
        <v>AJAX-23</v>
      </c>
      <c r="AE243" s="91" t="str">
        <f t="shared" si="65"/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43" s="88" t="str">
        <f t="shared" si="66"/>
        <v>"C:\Program Files (x86)\AstroGrep\AstroGrep.exe" /spath="%USERPROFILE%\AppData\Local\Temp\OnboardLogs" /stypes="app*4052*19700101*" /stext=" 00:.+((SYSTEM_STATE.+slice.+state.+changed )|(ment ac)|(multiple cpu faults)|(system.+state.+changed )|(\[timeout)|(PRM\|1\|D)|(kpr)|(kdp)|(\|lc)|(penalty))" /e /r /s</v>
      </c>
      <c r="AG243" s="1" t="str">
        <f t="shared" si="67"/>
        <v>Other</v>
      </c>
      <c r="AH243" s="92" t="str">
        <f t="shared" si="68"/>
        <v>"%USERPROFILE%\Documents\GitHub\eaglep3\Utilities\RefineRTDCRunTimes.py" --tripid AJAX-23 --locoid 4052 --swversion DE.1.0.8.0 --startMP 204:86353 --initTime 2016-11-23T19:49:57 --startdatetime 1969-12-31T17:00:00 --delay 5 --endMP 204:10099 --enddatetime 1969-12-31T17:00:00 --enforcementcount 0 &gt;&gt;C:\Users\stu\Documents\GitHub\eaglep3-reporting\EC\2016-11-23-refined-times.txt</v>
      </c>
      <c r="AI24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{"issue":{"subject":"","project_id":79,"tracker_id":40,"status_id":1,"priority_id":2,"assigned_to_id":23,"start_date":"1969-12-31","description":"","custom_fields":[{"id":1,"name":"Subdivision","value":"Other"},{"id":4,"name":"Milepost","value":"1.0099"},{"id":17,"name":"Train ID","value":"AJAX-23"},{"id":16,"name":"Locomotive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3"/>
      <c r="AK243" s="53"/>
      <c r="AL243" s="53"/>
    </row>
    <row r="244" spans="1:38" x14ac:dyDescent="0.25">
      <c r="A244" s="37" t="s">
        <v>427</v>
      </c>
      <c r="B244" s="7">
        <v>4052</v>
      </c>
      <c r="C244" s="22" t="s">
        <v>217</v>
      </c>
      <c r="D244" s="22" t="s">
        <v>806</v>
      </c>
      <c r="E244" s="13">
        <v>42697.738136574073</v>
      </c>
      <c r="F244" s="13">
        <v>42697.76525462963</v>
      </c>
      <c r="G244" s="7">
        <v>38</v>
      </c>
      <c r="H244" s="22" t="s">
        <v>807</v>
      </c>
      <c r="I244" s="13">
        <v>42697.774918981479</v>
      </c>
      <c r="J244" s="7">
        <v>0</v>
      </c>
      <c r="K244" s="109" t="str">
        <f t="shared" si="53"/>
        <v>4051/4052</v>
      </c>
      <c r="L244" s="22" t="str">
        <f>VLOOKUP(A244,'Trips&amp;Operators'!$C$1:$E$10000,3,FALSE)</f>
        <v>LOPES</v>
      </c>
      <c r="M244" s="6">
        <f t="shared" si="54"/>
        <v>9.6643518481869251E-3</v>
      </c>
      <c r="N244" s="7">
        <f t="shared" si="55"/>
        <v>13.916666661389172</v>
      </c>
      <c r="O244" s="7"/>
      <c r="P244" s="7"/>
      <c r="Q244" s="23"/>
      <c r="R244" s="23"/>
      <c r="S244" s="35">
        <f t="shared" si="56"/>
        <v>0</v>
      </c>
      <c r="T244" s="50" t="e">
        <f t="shared" si="57"/>
        <v>#VALUE!</v>
      </c>
      <c r="U244" s="17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16:42:55-700',mode:absolute,to:'2016-11-23 19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4" s="52" t="str">
        <f t="shared" si="59"/>
        <v>Y</v>
      </c>
      <c r="X244" s="177" t="e">
        <f t="shared" si="60"/>
        <v>#VALUE!</v>
      </c>
      <c r="Y244" s="67">
        <f t="shared" si="61"/>
        <v>2.3159999999999998</v>
      </c>
      <c r="Z244" s="67">
        <f t="shared" si="62"/>
        <v>0.12920000000000001</v>
      </c>
      <c r="AA244" s="67">
        <f t="shared" si="63"/>
        <v>2.1867999999999999</v>
      </c>
      <c r="AB244" s="64" t="e">
        <f>VLOOKUP(A244,Enforcements!$C$7:$K$20,8,0)</f>
        <v>#N/A</v>
      </c>
      <c r="AC244" s="60" t="e">
        <f>VLOOKUP(A244,Enforcements!$C$7:$E$20,3,0)</f>
        <v>#N/A</v>
      </c>
      <c r="AD244" s="61" t="str">
        <f t="shared" si="64"/>
        <v>AJAX-23</v>
      </c>
      <c r="AE244" s="91" t="str">
        <f t="shared" si="65"/>
        <v>aws s3 cp s3://rtdc.mdm.uploadarchive.raw/RTDC4052/ "%USERPROFILE%\AppData\Local\Temp\OnboardLogs"\RTDC4052\2016-11-23 --exclude "*" --recursive --include "*20161123*" &amp; "%USERPROFILE%\Documents\GitHub\mrs-test-scripts\Headless Mode &amp; Sideloading\WalkAndUnGZ.bat" "%USERPROFILE%\AppData\Local\Temp\OnboardLogs"\RTDC4052\2016-11-23 &amp; 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</v>
      </c>
      <c r="AF244" s="88" t="str">
        <f t="shared" si="66"/>
        <v>"C:\Program Files (x86)\AstroGrep\AstroGrep.exe" /spath="%USERPROFILE%\AppData\Local\Temp\OnboardLogs" /stypes="app*4052*20161124*" /stext=" 01:.+((SYSTEM_STATE.+slice.+state.+changed )|(ment ac)|(multiple cpu faults)|(system.+state.+changed )|(\[timeout)|(PRM\|1\|D)|(kpr)|(kdp)|(\|lc)|(penalty))" /e /r /s</v>
      </c>
      <c r="AG244" s="1" t="str">
        <f t="shared" si="67"/>
        <v>Other</v>
      </c>
      <c r="AH244" s="92" t="str">
        <f t="shared" si="68"/>
        <v>"%USERPROFILE%\Documents\GitHub\eaglep3\Utilities\RefineRTDCRunTimes.py" --tripid AJAX-23 --locoid 4052 --swversion DE.1.0.8.0 --startMP 300:23160 --initTime 2016-11-23T17:42:55 --startdatetime 2016-11-23T18:21:58 --delay 38 --endMP 204:1292 --enddatetime 2016-11-23T18:35:53 --enforcementcount 0 &gt;&gt;C:\Users\stu\Documents\GitHub\eaglep3-reporting\EC\2016-11-23-refined-times.txt</v>
      </c>
      <c r="AI244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{"issue":{"subject":"","project_id":79,"tracker_id":40,"status_id":1,"priority_id":2,"assigned_to_id":23,"start_date":"2016-11-23","description":"","custom_fields":[{"id":1,"name":"Subdivision","value":"Other"},{"id":4,"name":"Milepost","value":"0.1292"},{"id":17,"name":"Train ID","value":"AJAX-23"},{"id":16,"name":"Locomotive ID","value":"4052"},{"id":130,"name":"Impact","value":""},{"id":150,"name":"Time of Event (Mountain Time)","value":"18:35:53"},{"id":151,"name":"Denver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3"/>
      <c r="AK244" s="53"/>
      <c r="AL244" s="53"/>
    </row>
    <row r="245" spans="1:38" x14ac:dyDescent="0.25">
      <c r="A245" s="37" t="s">
        <v>430</v>
      </c>
      <c r="B245" s="7">
        <v>4051</v>
      </c>
      <c r="C245" s="22" t="s">
        <v>217</v>
      </c>
      <c r="D245" s="22" t="s">
        <v>808</v>
      </c>
      <c r="E245" s="13">
        <v>42697.879675925928</v>
      </c>
      <c r="F245" s="13">
        <v>42697.881041666667</v>
      </c>
      <c r="G245" s="7">
        <v>1</v>
      </c>
      <c r="H245" s="22" t="s">
        <v>809</v>
      </c>
      <c r="I245" s="13">
        <v>42697.895497685182</v>
      </c>
      <c r="J245" s="7">
        <v>1</v>
      </c>
      <c r="K245" s="109" t="str">
        <f t="shared" si="53"/>
        <v>4051/4052</v>
      </c>
      <c r="L245" s="22" t="str">
        <f>VLOOKUP(A245,'Trips&amp;Operators'!$C$1:$E$10000,3,FALSE)</f>
        <v>LOPES</v>
      </c>
      <c r="M245" s="6">
        <f t="shared" si="54"/>
        <v>1.4456018514465541E-2</v>
      </c>
      <c r="N245" s="7">
        <f t="shared" si="55"/>
        <v>20.816666660830379</v>
      </c>
      <c r="O245" s="7"/>
      <c r="P245" s="7"/>
      <c r="Q245" s="23"/>
      <c r="R245" s="23"/>
      <c r="S245" s="35">
        <f t="shared" si="56"/>
        <v>0</v>
      </c>
      <c r="T245" s="50" t="e">
        <f t="shared" si="57"/>
        <v>#VALUE!</v>
      </c>
      <c r="U245" s="17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20:06:44-700',mode:absolute,to:'2016-11-23 22:29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5" s="52" t="str">
        <f t="shared" si="59"/>
        <v>N</v>
      </c>
      <c r="X245" s="177" t="e">
        <f t="shared" si="60"/>
        <v>#VALUE!</v>
      </c>
      <c r="Y245" s="67">
        <f t="shared" si="61"/>
        <v>1.0238</v>
      </c>
      <c r="Z245" s="67">
        <f t="shared" si="62"/>
        <v>12.918200000000001</v>
      </c>
      <c r="AA245" s="67">
        <f t="shared" si="63"/>
        <v>11.894400000000001</v>
      </c>
      <c r="AB245" s="64" t="e">
        <f>VLOOKUP(A245,Enforcements!$C$7:$K$20,8,0)</f>
        <v>#N/A</v>
      </c>
      <c r="AC245" s="60" t="e">
        <f>VLOOKUP(A245,Enforcements!$C$7:$E$20,3,0)</f>
        <v>#N/A</v>
      </c>
      <c r="AD245" s="61" t="str">
        <f t="shared" si="64"/>
        <v>COMET-23</v>
      </c>
      <c r="AE245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45" s="88" t="str">
        <f t="shared" si="66"/>
        <v>"C:\Program Files (x86)\AstroGrep\AstroGrep.exe" /spath="%USERPROFILE%\AppData\Local\Temp\OnboardLogs" /stypes="app*4051*20161124*" /stext=" 04:.+((SYSTEM_STATE.+slice.+state.+changed )|(ment ac)|(multiple cpu faults)|(system.+state.+changed )|(\[timeout)|(PRM\|1\|D)|(kpr)|(kdp)|(\|lc)|(penalty))" /e /r /s</v>
      </c>
      <c r="AG245" s="1" t="str">
        <f t="shared" si="67"/>
        <v>Other</v>
      </c>
      <c r="AH245" s="92" t="str">
        <f t="shared" si="68"/>
        <v>"%USERPROFILE%\Documents\GitHub\eaglep3\Utilities\RefineRTDCRunTimes.py" --tripid COMET-23 --locoid 4051 --swversion DE.1.0.8.0 --startMP 204:10238 --initTime 2016-11-23T21:06:44 --startdatetime 2016-11-23T21:08:42 --delay 1 --endMP 204:129182 --enddatetime 2016-11-23T21:29:31 --enforcementcount 1 &gt;&gt;C:\Users\stu\Documents\GitHub\eaglep3-reporting\EC\2016-11-23-refined-times.txt</v>
      </c>
      <c r="AI245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{"issue":{"subject":"","project_id":79,"tracker_id":40,"status_id":1,"priority_id":2,"assigned_to_id":23,"start_date":"2016-11-23","description":"","custom_fields":[{"id":1,"name":"Subdivision","value":"Other"},{"id":4,"name":"Milepost","value":"12.9182"},{"id":17,"name":"Train ID","value":"COMET-23"},{"id":16,"name":"Locomotive ID","value":"4051"},{"id":130,"name":"Impact","value":""},{"id":150,"name":"Time of Event (Mountain Time)","value":"21:29:31"},{"id":151,"name":"Denver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3"/>
      <c r="AK245" s="53"/>
      <c r="AL245" s="53"/>
    </row>
    <row r="246" spans="1:38" x14ac:dyDescent="0.25">
      <c r="A246" s="37" t="s">
        <v>430</v>
      </c>
      <c r="B246" s="7">
        <v>4051</v>
      </c>
      <c r="C246" s="22" t="s">
        <v>217</v>
      </c>
      <c r="D246" s="22" t="s">
        <v>810</v>
      </c>
      <c r="E246" s="13">
        <v>42697.843518518515</v>
      </c>
      <c r="F246" s="13">
        <v>42697.84479166667</v>
      </c>
      <c r="G246" s="7">
        <v>1</v>
      </c>
      <c r="H246" s="22" t="s">
        <v>811</v>
      </c>
      <c r="I246" s="13">
        <v>42697.859131944446</v>
      </c>
      <c r="J246" s="7">
        <v>0</v>
      </c>
      <c r="K246" s="109" t="str">
        <f t="shared" si="53"/>
        <v>4051/4052</v>
      </c>
      <c r="L246" s="22" t="str">
        <f>VLOOKUP(A246,'Trips&amp;Operators'!$C$1:$E$10000,3,FALSE)</f>
        <v>LOPES</v>
      </c>
      <c r="M246" s="6">
        <f t="shared" si="54"/>
        <v>1.4340277775772847E-2</v>
      </c>
      <c r="N246" s="7">
        <f t="shared" si="55"/>
        <v>20.6499999971129</v>
      </c>
      <c r="O246" s="7"/>
      <c r="P246" s="7"/>
      <c r="Q246" s="23"/>
      <c r="R246" s="23"/>
      <c r="S246" s="35">
        <f t="shared" si="56"/>
        <v>0</v>
      </c>
      <c r="T246" s="50" t="e">
        <f t="shared" si="57"/>
        <v>#VALUE!</v>
      </c>
      <c r="U246" s="17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19:14:40-700',mode:absolute,to:'2016-11-23 21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6" s="52" t="str">
        <f t="shared" si="59"/>
        <v>N</v>
      </c>
      <c r="X246" s="177" t="e">
        <f t="shared" si="60"/>
        <v>#VALUE!</v>
      </c>
      <c r="Y246" s="67">
        <f t="shared" si="61"/>
        <v>1.0331999999999999</v>
      </c>
      <c r="Z246" s="67">
        <f t="shared" si="62"/>
        <v>12.9229</v>
      </c>
      <c r="AA246" s="67">
        <f t="shared" si="63"/>
        <v>11.889700000000001</v>
      </c>
      <c r="AB246" s="64" t="e">
        <f>VLOOKUP(A246,Enforcements!$C$7:$K$20,8,0)</f>
        <v>#N/A</v>
      </c>
      <c r="AC246" s="60" t="e">
        <f>VLOOKUP(A246,Enforcements!$C$7:$E$20,3,0)</f>
        <v>#N/A</v>
      </c>
      <c r="AD246" s="61" t="str">
        <f t="shared" si="64"/>
        <v>COMET-23</v>
      </c>
      <c r="AE246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46" s="88" t="str">
        <f t="shared" si="66"/>
        <v>"C:\Program Files (x86)\AstroGrep\AstroGrep.exe" /spath="%USERPROFILE%\AppData\Local\Temp\OnboardLogs" /stypes="app*4051*20161124*" /stext=" 03:.+((SYSTEM_STATE.+slice.+state.+changed )|(ment ac)|(multiple cpu faults)|(system.+state.+changed )|(\[timeout)|(PRM\|1\|D)|(kpr)|(kdp)|(\|lc)|(penalty))" /e /r /s</v>
      </c>
      <c r="AG246" s="1" t="str">
        <f t="shared" si="67"/>
        <v>Other</v>
      </c>
      <c r="AH246" s="92" t="str">
        <f t="shared" si="68"/>
        <v>"%USERPROFILE%\Documents\GitHub\eaglep3\Utilities\RefineRTDCRunTimes.py" --tripid COMET-23 --locoid 4051 --swversion DE.1.0.8.0 --startMP 204:10332 --initTime 2016-11-23T20:14:40 --startdatetime 2016-11-23T20:16:30 --delay 1 --endMP 204:129229 --enddatetime 2016-11-23T20:37:09 --enforcementcount 0 &gt;&gt;C:\Users\stu\Documents\GitHub\eaglep3-reporting\EC\2016-11-23-refined-times.txt</v>
      </c>
      <c r="AI246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{"issue":{"subject":"","project_id":79,"tracker_id":40,"status_id":1,"priority_id":2,"assigned_to_id":23,"start_date":"2016-11-23","description":"","custom_fields":[{"id":1,"name":"Subdivision","value":"Other"},{"id":4,"name":"Milepost","value":"12.9229"},{"id":17,"name":"Train ID","value":"COMET-23"},{"id":16,"name":"Locomotive ID","value":"4051"},{"id":130,"name":"Impact","value":""},{"id":150,"name":"Time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3"/>
      <c r="AK246" s="53"/>
      <c r="AL246" s="53"/>
    </row>
    <row r="247" spans="1:38" x14ac:dyDescent="0.25">
      <c r="A247" s="37" t="s">
        <v>430</v>
      </c>
      <c r="B247" s="7">
        <v>4051</v>
      </c>
      <c r="C247" s="22" t="s">
        <v>217</v>
      </c>
      <c r="D247" s="22" t="s">
        <v>812</v>
      </c>
      <c r="E247" s="13">
        <v>42697.985023148147</v>
      </c>
      <c r="F247" s="13">
        <v>42697.986504629633</v>
      </c>
      <c r="G247" s="7">
        <v>1</v>
      </c>
      <c r="H247" s="22" t="s">
        <v>813</v>
      </c>
      <c r="I247" s="13">
        <v>42698.001238425924</v>
      </c>
      <c r="J247" s="7">
        <v>0</v>
      </c>
      <c r="K247" s="109" t="str">
        <f t="shared" si="53"/>
        <v>4051/4052</v>
      </c>
      <c r="L247" s="22" t="str">
        <f>VLOOKUP(A247,'Trips&amp;Operators'!$C$1:$E$10000,3,FALSE)</f>
        <v>LOPES</v>
      </c>
      <c r="M247" s="6">
        <f t="shared" si="54"/>
        <v>1.4733796291693579E-2</v>
      </c>
      <c r="N247" s="7">
        <f t="shared" si="55"/>
        <v>21.216666660038754</v>
      </c>
      <c r="O247" s="7"/>
      <c r="P247" s="7"/>
      <c r="Q247" s="23"/>
      <c r="R247" s="23"/>
      <c r="S247" s="35">
        <f t="shared" si="56"/>
        <v>0</v>
      </c>
      <c r="T247" s="50" t="e">
        <f t="shared" si="57"/>
        <v>#VALUE!</v>
      </c>
      <c r="U247" s="17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22:38:26-700',mode:absolute,to:'2016-11-24 01:01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7" s="52" t="str">
        <f t="shared" si="59"/>
        <v>N</v>
      </c>
      <c r="X247" s="177" t="e">
        <f t="shared" si="60"/>
        <v>#VALUE!</v>
      </c>
      <c r="Y247" s="67">
        <f t="shared" si="61"/>
        <v>1.0371999999999999</v>
      </c>
      <c r="Z247" s="67">
        <f t="shared" si="62"/>
        <v>12.927300000000001</v>
      </c>
      <c r="AA247" s="67">
        <f t="shared" si="63"/>
        <v>11.8901</v>
      </c>
      <c r="AB247" s="64" t="e">
        <f>VLOOKUP(A247,Enforcements!$C$7:$K$20,8,0)</f>
        <v>#N/A</v>
      </c>
      <c r="AC247" s="60" t="e">
        <f>VLOOKUP(A247,Enforcements!$C$7:$E$20,3,0)</f>
        <v>#N/A</v>
      </c>
      <c r="AD247" s="61" t="str">
        <f t="shared" si="64"/>
        <v>COMET-23</v>
      </c>
      <c r="AE247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47" s="88" t="str">
        <f t="shared" si="66"/>
        <v>"C:\Program Files (x86)\AstroGrep\AstroGrep.exe" /spath="%USERPROFILE%\AppData\Local\Temp\OnboardLogs" /stypes="app*4051*20161124*" /stext=" 07:.+((SYSTEM_STATE.+slice.+state.+changed )|(ment ac)|(multiple cpu faults)|(system.+state.+changed )|(\[timeout)|(PRM\|1\|D)|(kpr)|(kdp)|(\|lc)|(penalty))" /e /r /s</v>
      </c>
      <c r="AG247" s="1" t="str">
        <f t="shared" si="67"/>
        <v>Other</v>
      </c>
      <c r="AH247" s="92" t="str">
        <f t="shared" si="68"/>
        <v>"%USERPROFILE%\Documents\GitHub\eaglep3\Utilities\RefineRTDCRunTimes.py" --tripid COMET-23 --locoid 4051 --swversion DE.1.0.8.0 --startMP 204:10372 --initTime 2016-11-23T23:38:26 --startdatetime 2016-11-23T23:40:34 --delay 1 --endMP 204:129273 --enddatetime 2016-11-24T00:01:47 --enforcementcount 0 &gt;&gt;C:\Users\stu\Documents\GitHub\eaglep3-reporting\EC\2016-11-23-refined-times.txt</v>
      </c>
      <c r="AI247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{"issue":{"subject":"","project_id":79,"tracker_id":40,"status_id":1,"priority_id":2,"assigned_to_id":23,"start_date":"2016-11-24","description":"","custom_fields":[{"id":1,"name":"Subdivision","value":"Other"},{"id":4,"name":"Milepost","value":"12.9273"},{"id":17,"name":"Train ID","value":"COMET-23"},{"id":16,"name":"Locomotive ID","value":"4051"},{"id":130,"name":"Impact","value":""},{"id":150,"name":"Time of Event (Mountain Time)","value":"00:01:47"},{"id":151,"name":"Denver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3"/>
      <c r="AK247" s="53"/>
      <c r="AL247" s="53"/>
    </row>
    <row r="248" spans="1:38" x14ac:dyDescent="0.25">
      <c r="A248" s="37" t="s">
        <v>430</v>
      </c>
      <c r="B248" s="7">
        <v>4051</v>
      </c>
      <c r="C248" s="22" t="s">
        <v>217</v>
      </c>
      <c r="D248" s="22" t="s">
        <v>814</v>
      </c>
      <c r="E248" s="13">
        <v>42698.025671296295</v>
      </c>
      <c r="F248" s="13">
        <v>42698.027233796296</v>
      </c>
      <c r="G248" s="7">
        <v>1</v>
      </c>
      <c r="H248" s="22" t="s">
        <v>811</v>
      </c>
      <c r="I248" s="13">
        <v>42698.043136574073</v>
      </c>
      <c r="J248" s="7">
        <v>0</v>
      </c>
      <c r="K248" s="109" t="str">
        <f t="shared" si="53"/>
        <v>4051/4052</v>
      </c>
      <c r="L248" s="22" t="str">
        <f>VLOOKUP(A248,'Trips&amp;Operators'!$C$1:$E$10000,3,FALSE)</f>
        <v>LOPES</v>
      </c>
      <c r="M248" s="6">
        <f t="shared" si="54"/>
        <v>1.5902777777228039E-2</v>
      </c>
      <c r="N248" s="7">
        <f t="shared" si="55"/>
        <v>22.899999999208376</v>
      </c>
      <c r="O248" s="7"/>
      <c r="P248" s="7"/>
      <c r="Q248" s="23"/>
      <c r="R248" s="23"/>
      <c r="S248" s="35">
        <f t="shared" si="56"/>
        <v>0</v>
      </c>
      <c r="T248" s="50" t="e">
        <f t="shared" si="57"/>
        <v>#VALUE!</v>
      </c>
      <c r="U248" s="17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23:36:58-700',mode:absolute,to:'2016-11-24 02:02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8" s="52" t="str">
        <f t="shared" si="59"/>
        <v>N</v>
      </c>
      <c r="X248" s="177" t="e">
        <f t="shared" si="60"/>
        <v>#VALUE!</v>
      </c>
      <c r="Y248" s="67">
        <f t="shared" si="61"/>
        <v>1.0461</v>
      </c>
      <c r="Z248" s="67">
        <f t="shared" si="62"/>
        <v>12.9229</v>
      </c>
      <c r="AA248" s="67">
        <f t="shared" si="63"/>
        <v>11.876799999999999</v>
      </c>
      <c r="AB248" s="64" t="e">
        <f>VLOOKUP(A248,Enforcements!$C$7:$K$20,8,0)</f>
        <v>#N/A</v>
      </c>
      <c r="AC248" s="60" t="e">
        <f>VLOOKUP(A248,Enforcements!$C$7:$E$20,3,0)</f>
        <v>#N/A</v>
      </c>
      <c r="AD248" s="61" t="str">
        <f t="shared" si="64"/>
        <v>COMET-23</v>
      </c>
      <c r="AE248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48" s="88" t="str">
        <f t="shared" si="66"/>
        <v>"C:\Program Files (x86)\AstroGrep\AstroGrep.exe" /spath="%USERPROFILE%\AppData\Local\Temp\OnboardLogs" /stypes="app*4051*20161124*" /stext=" 08:.+((SYSTEM_STATE.+slice.+state.+changed )|(ment ac)|(multiple cpu faults)|(system.+state.+changed )|(\[timeout)|(PRM\|1\|D)|(kpr)|(kdp)|(\|lc)|(penalty))" /e /r /s</v>
      </c>
      <c r="AG248" s="1" t="str">
        <f t="shared" si="67"/>
        <v>Other</v>
      </c>
      <c r="AH248" s="92" t="str">
        <f t="shared" si="68"/>
        <v>"%USERPROFILE%\Documents\GitHub\eaglep3\Utilities\RefineRTDCRunTimes.py" --tripid COMET-23 --locoid 4051 --swversion DE.1.0.8.0 --startMP 204:10461 --initTime 2016-11-24T00:36:58 --startdatetime 2016-11-24T00:39:13 --delay 1 --endMP 204:129229 --enddatetime 2016-11-24T01:02:07 --enforcementcount 0 &gt;&gt;C:\Users\stu\Documents\GitHub\eaglep3-reporting\EC\2016-11-23-refined-times.txt</v>
      </c>
      <c r="AI248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{"issue":{"subject":"","project_id":79,"tracker_id":40,"status_id":1,"priority_id":2,"assigned_to_id":23,"start_date":"2016-11-24","description":"","custom_fields":[{"id":1,"name":"Subdivision","value":"Other"},{"id":4,"name":"Milepost","value":"12.9229"},{"id":17,"name":"Train ID","value":"COMET-23"},{"id":16,"name":"Locomotive ID","value":"4051"},{"id":130,"name":"Impact","value":""},{"id":150,"name":"Time of Event (Mountain Time)","value":"01:02:07"},{"id":151,"name":"Denver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53"/>
      <c r="AK248" s="53"/>
      <c r="AL248" s="53"/>
    </row>
    <row r="249" spans="1:38" x14ac:dyDescent="0.25">
      <c r="A249" s="37" t="s">
        <v>430</v>
      </c>
      <c r="B249" s="7">
        <v>4051</v>
      </c>
      <c r="C249" s="22" t="s">
        <v>217</v>
      </c>
      <c r="D249" s="22" t="s">
        <v>815</v>
      </c>
      <c r="E249" s="13">
        <v>42698.097349537034</v>
      </c>
      <c r="F249" s="13">
        <v>42698.132326388892</v>
      </c>
      <c r="G249" s="7">
        <v>1</v>
      </c>
      <c r="H249" s="22" t="s">
        <v>816</v>
      </c>
      <c r="I249" s="13">
        <v>42698.144236111111</v>
      </c>
      <c r="J249" s="7">
        <v>0</v>
      </c>
      <c r="K249" s="109" t="str">
        <f t="shared" si="53"/>
        <v>4051/4052</v>
      </c>
      <c r="L249" s="22" t="str">
        <f>VLOOKUP(A249,'Trips&amp;Operators'!$C$1:$E$10000,3,FALSE)</f>
        <v>LOPES</v>
      </c>
      <c r="M249" s="6">
        <f t="shared" si="54"/>
        <v>1.190972221957054E-2</v>
      </c>
      <c r="N249" s="7">
        <f t="shared" si="55"/>
        <v>17.149999996181577</v>
      </c>
      <c r="O249" s="7"/>
      <c r="P249" s="7"/>
      <c r="Q249" s="23"/>
      <c r="R249" s="23"/>
      <c r="S249" s="35">
        <f t="shared" si="56"/>
        <v>0</v>
      </c>
      <c r="T249" s="50" t="e">
        <f t="shared" si="57"/>
        <v>#VALUE!</v>
      </c>
      <c r="U249" s="17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01:20:11-700',mode:absolute,to:'2016-11-24 04:27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9" s="52" t="str">
        <f t="shared" si="59"/>
        <v>N</v>
      </c>
      <c r="X249" s="177" t="e">
        <f t="shared" si="60"/>
        <v>#VALUE!</v>
      </c>
      <c r="Y249" s="67">
        <f t="shared" si="61"/>
        <v>1.056</v>
      </c>
      <c r="Z249" s="67">
        <f t="shared" si="62"/>
        <v>12.8109</v>
      </c>
      <c r="AA249" s="67">
        <f t="shared" si="63"/>
        <v>11.754899999999999</v>
      </c>
      <c r="AB249" s="64" t="e">
        <f>VLOOKUP(A249,Enforcements!$C$7:$K$20,8,0)</f>
        <v>#N/A</v>
      </c>
      <c r="AC249" s="60" t="e">
        <f>VLOOKUP(A249,Enforcements!$C$7:$E$20,3,0)</f>
        <v>#N/A</v>
      </c>
      <c r="AD249" s="61" t="str">
        <f t="shared" si="64"/>
        <v>COMET-23</v>
      </c>
      <c r="AE249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49" s="88" t="str">
        <f t="shared" si="66"/>
        <v>"C:\Program Files (x86)\AstroGrep\AstroGrep.exe" /spath="%USERPROFILE%\AppData\Local\Temp\OnboardLogs" /stypes="app*4051*20161124*" /stext=" 10:.+((SYSTEM_STATE.+slice.+state.+changed )|(ment ac)|(multiple cpu faults)|(system.+state.+changed )|(\[timeout)|(PRM\|1\|D)|(kpr)|(kdp)|(\|lc)|(penalty))" /e /r /s</v>
      </c>
      <c r="AG249" s="1" t="str">
        <f t="shared" si="67"/>
        <v>Other</v>
      </c>
      <c r="AH249" s="92" t="str">
        <f t="shared" si="68"/>
        <v>"%USERPROFILE%\Documents\GitHub\eaglep3\Utilities\RefineRTDCRunTimes.py" --tripid COMET-23 --locoid 4051 --swversion DE.1.0.8.0 --startMP 204:10560 --initTime 2016-11-24T02:20:11 --startdatetime 2016-11-24T03:10:33 --delay 1 --endMP 204:128109 --enddatetime 2016-11-24T03:27:42 --enforcementcount 0 &gt;&gt;C:\Users\stu\Documents\GitHub\eaglep3-reporting\EC\2016-11-23-refined-times.txt</v>
      </c>
      <c r="AI249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{"issue":{"subject":"","project_id":79,"tracker_id":40,"status_id":1,"priority_id":2,"assigned_to_id":23,"start_date":"2016-11-24","description":"","custom_fields":[{"id":1,"name":"Subdivision","value":"Other"},{"id":4,"name":"Milepost","value":"12.8109"},{"id":17,"name":"Train ID","value":"COMET-23"},{"id":16,"name":"Locomotive ID","value":"4051"},{"id":130,"name":"Impact","value":""},{"id":150,"name":"Time of Event (Mountain Time)","value":"03:27:42"},{"id":151,"name":"Denver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53"/>
      <c r="AK249" s="53"/>
      <c r="AL249" s="53"/>
    </row>
    <row r="250" spans="1:38" x14ac:dyDescent="0.25">
      <c r="A250" s="37" t="s">
        <v>430</v>
      </c>
      <c r="B250" s="7">
        <v>4051</v>
      </c>
      <c r="C250" s="22" t="s">
        <v>217</v>
      </c>
      <c r="D250" s="22" t="s">
        <v>817</v>
      </c>
      <c r="E250" s="13">
        <v>42697.785833333335</v>
      </c>
      <c r="F250" s="13">
        <v>42697.797291666669</v>
      </c>
      <c r="G250" s="7">
        <v>1</v>
      </c>
      <c r="H250" s="22" t="s">
        <v>818</v>
      </c>
      <c r="I250" s="13">
        <v>42697.815150462964</v>
      </c>
      <c r="J250" s="7">
        <v>0</v>
      </c>
      <c r="K250" s="109" t="str">
        <f t="shared" si="53"/>
        <v>4051/4052</v>
      </c>
      <c r="L250" s="22" t="str">
        <f>VLOOKUP(A250,'Trips&amp;Operators'!$C$1:$E$10000,3,FALSE)</f>
        <v>LOPES</v>
      </c>
      <c r="M250" s="6">
        <f t="shared" si="54"/>
        <v>1.7858796294603962E-2</v>
      </c>
      <c r="N250" s="7">
        <f t="shared" si="55"/>
        <v>25.716666664229706</v>
      </c>
      <c r="O250" s="7"/>
      <c r="P250" s="7"/>
      <c r="Q250" s="23"/>
      <c r="R250" s="23"/>
      <c r="S250" s="35">
        <f t="shared" si="56"/>
        <v>0</v>
      </c>
      <c r="T250" s="50" t="e">
        <f t="shared" si="57"/>
        <v>#VALUE!</v>
      </c>
      <c r="U250" s="17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17:51:36-700',mode:absolute,to:'2016-11-23 20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0" s="52" t="str">
        <f t="shared" si="59"/>
        <v>N</v>
      </c>
      <c r="X250" s="177" t="e">
        <f t="shared" si="60"/>
        <v>#VALUE!</v>
      </c>
      <c r="Y250" s="67">
        <f t="shared" si="61"/>
        <v>0.1484</v>
      </c>
      <c r="Z250" s="67">
        <f t="shared" si="62"/>
        <v>12.9116</v>
      </c>
      <c r="AA250" s="67">
        <f t="shared" si="63"/>
        <v>12.763199999999999</v>
      </c>
      <c r="AB250" s="64" t="e">
        <f>VLOOKUP(A250,Enforcements!$C$7:$K$20,8,0)</f>
        <v>#N/A</v>
      </c>
      <c r="AC250" s="60" t="e">
        <f>VLOOKUP(A250,Enforcements!$C$7:$E$20,3,0)</f>
        <v>#N/A</v>
      </c>
      <c r="AD250" s="61" t="str">
        <f t="shared" si="64"/>
        <v>COMET-23</v>
      </c>
      <c r="AE250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50" s="88" t="str">
        <f t="shared" si="66"/>
        <v>"C:\Program Files (x86)\AstroGrep\AstroGrep.exe" /spath="%USERPROFILE%\AppData\Local\Temp\OnboardLogs" /stypes="app*4051*20161124*" /stext=" 02:.+((SYSTEM_STATE.+slice.+state.+changed )|(ment ac)|(multiple cpu faults)|(system.+state.+changed )|(\[timeout)|(PRM\|1\|D)|(kpr)|(kdp)|(\|lc)|(penalty))" /e /r /s</v>
      </c>
      <c r="AG250" s="1" t="str">
        <f t="shared" si="67"/>
        <v>Other</v>
      </c>
      <c r="AH250" s="92" t="str">
        <f t="shared" si="68"/>
        <v>"%USERPROFILE%\Documents\GitHub\eaglep3\Utilities\RefineRTDCRunTimes.py" --tripid COMET-23 --locoid 4051 --swversion DE.1.0.8.0 --startMP 204:1484 --initTime 2016-11-23T18:51:36 --startdatetime 2016-11-23T19:08:06 --delay 1 --endMP 204:129116 --enddatetime 2016-11-23T19:33:49 --enforcementcount 0 &gt;&gt;C:\Users\stu\Documents\GitHub\eaglep3-reporting\EC\2016-11-23-refined-times.txt</v>
      </c>
      <c r="AI250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{"issue":{"subject":"","project_id":79,"tracker_id":40,"status_id":1,"priority_id":2,"assigned_to_id":23,"start_date":"2016-11-23","description":"","custom_fields":[{"id":1,"name":"Subdivision","value":"Other"},{"id":4,"name":"Milepost","value":"12.9116"},{"id":17,"name":"Train ID","value":"COMET-23"},{"id":16,"name":"Locomotive ID","value":"4051"},{"id":130,"name":"Impact","value":""},{"id":150,"name":"Time of Event (Mountain Time)","value":"19:33:49"},{"id":151,"name":"Denver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53"/>
      <c r="AK250" s="53"/>
      <c r="AL250" s="53"/>
    </row>
    <row r="251" spans="1:38" x14ac:dyDescent="0.25">
      <c r="A251" s="37" t="s">
        <v>430</v>
      </c>
      <c r="B251" s="7">
        <v>4051</v>
      </c>
      <c r="C251" s="22" t="s">
        <v>217</v>
      </c>
      <c r="D251" s="22" t="s">
        <v>285</v>
      </c>
      <c r="E251" s="13">
        <v>42697.937199074076</v>
      </c>
      <c r="F251" s="13">
        <v>42697.941932870373</v>
      </c>
      <c r="G251" s="7">
        <v>1</v>
      </c>
      <c r="H251" s="22" t="s">
        <v>285</v>
      </c>
      <c r="I251" s="13">
        <v>42697.958124999997</v>
      </c>
      <c r="J251" s="7">
        <v>0</v>
      </c>
      <c r="K251" s="109" t="str">
        <f t="shared" si="53"/>
        <v>4051/4052</v>
      </c>
      <c r="L251" s="22" t="str">
        <f>VLOOKUP(A251,'Trips&amp;Operators'!$C$1:$E$10000,3,FALSE)</f>
        <v>LOPES</v>
      </c>
      <c r="M251" s="6">
        <f t="shared" si="54"/>
        <v>1.6192129623959772E-2</v>
      </c>
      <c r="N251" s="7">
        <f t="shared" si="55"/>
        <v>23.316666658502072</v>
      </c>
      <c r="O251" s="7"/>
      <c r="P251" s="7"/>
      <c r="Q251" s="23"/>
      <c r="R251" s="23"/>
      <c r="S251" s="35">
        <f t="shared" si="56"/>
        <v>0</v>
      </c>
      <c r="T251" s="50" t="e">
        <f t="shared" si="57"/>
        <v>#VALUE!</v>
      </c>
      <c r="U251" s="17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21:29:34-700',mode:absolute,to:'2016-11-23 23:59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1" s="52" t="str">
        <f t="shared" si="59"/>
        <v>Y</v>
      </c>
      <c r="X251" s="177" t="e">
        <f t="shared" si="60"/>
        <v>#VALUE!</v>
      </c>
      <c r="Y251" s="67">
        <f t="shared" si="61"/>
        <v>4.5999999999999999E-2</v>
      </c>
      <c r="Z251" s="67">
        <f t="shared" si="62"/>
        <v>4.5999999999999999E-2</v>
      </c>
      <c r="AA251" s="67">
        <f t="shared" si="63"/>
        <v>0</v>
      </c>
      <c r="AB251" s="64" t="e">
        <f>VLOOKUP(A251,Enforcements!$C$7:$K$20,8,0)</f>
        <v>#N/A</v>
      </c>
      <c r="AC251" s="60" t="e">
        <f>VLOOKUP(A251,Enforcements!$C$7:$E$20,3,0)</f>
        <v>#N/A</v>
      </c>
      <c r="AD251" s="61" t="str">
        <f t="shared" si="64"/>
        <v>COMET-23</v>
      </c>
      <c r="AE251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51" s="88" t="str">
        <f t="shared" si="66"/>
        <v>"C:\Program Files (x86)\AstroGrep\AstroGrep.exe" /spath="%USERPROFILE%\AppData\Local\Temp\OnboardLogs" /stypes="app*4051*20161124*" /stext=" 05:.+((SYSTEM_STATE.+slice.+state.+changed )|(ment ac)|(multiple cpu faults)|(system.+state.+changed )|(\[timeout)|(PRM\|1\|D)|(kpr)|(kdp)|(\|lc)|(penalty))" /e /r /s</v>
      </c>
      <c r="AG251" s="1" t="str">
        <f t="shared" si="67"/>
        <v>Other</v>
      </c>
      <c r="AH251" s="92" t="str">
        <f t="shared" si="68"/>
        <v>"%USERPROFILE%\Documents\GitHub\eaglep3\Utilities\RefineRTDCRunTimes.py" --tripid COMET-23 --locoid 4051 --swversion DE.1.0.8.0 --startMP 204:460 --initTime 2016-11-23T22:29:34 --startdatetime 2016-11-23T22:36:23 --delay 1 --endMP 204:460 --enddatetime 2016-11-23T22:59:42 --enforcementcount 0 &gt;&gt;C:\Users\stu\Documents\GitHub\eaglep3-reporting\EC\2016-11-23-refined-times.txt</v>
      </c>
      <c r="AI251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{"issue":{"subject":"","project_id":79,"tracker_id":40,"status_id":1,"priority_id":2,"assigned_to_id":23,"start_date":"2016-11-23","description":"","custom_fields":[{"id":1,"name":"Subdivision","value":"Other"},{"id":4,"name":"Milepost","value":"0.046"},{"id":17,"name":"Train ID","value":"COMET-23"},{"id":16,"name":"Locomotive ID","value":"4051"},{"id":130,"name":"Impact","value":""},{"id":150,"name":"Time of Event (Mountain Time)","value":"22:59:42"},{"id":151,"name":"Denver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53"/>
      <c r="AK251" s="53"/>
      <c r="AL251" s="53"/>
    </row>
    <row r="252" spans="1:38" x14ac:dyDescent="0.25">
      <c r="A252" s="37" t="s">
        <v>430</v>
      </c>
      <c r="B252" s="7">
        <v>4051</v>
      </c>
      <c r="C252" s="22" t="s">
        <v>217</v>
      </c>
      <c r="D252" s="22" t="s">
        <v>248</v>
      </c>
      <c r="E252" s="13">
        <v>42697.940694444442</v>
      </c>
      <c r="F252" s="13">
        <v>42697.941932870373</v>
      </c>
      <c r="G252" s="7">
        <v>1</v>
      </c>
      <c r="H252" s="22" t="s">
        <v>819</v>
      </c>
      <c r="I252" s="13">
        <v>42697.958124999997</v>
      </c>
      <c r="J252" s="7">
        <v>0</v>
      </c>
      <c r="K252" s="109" t="str">
        <f t="shared" si="53"/>
        <v>4051/4052</v>
      </c>
      <c r="L252" s="22" t="str">
        <f>VLOOKUP(A252,'Trips&amp;Operators'!$C$1:$E$10000,3,FALSE)</f>
        <v>LOPES</v>
      </c>
      <c r="M252" s="6">
        <f t="shared" si="54"/>
        <v>1.6192129623959772E-2</v>
      </c>
      <c r="N252" s="7">
        <f t="shared" si="55"/>
        <v>23.316666658502072</v>
      </c>
      <c r="O252" s="7"/>
      <c r="P252" s="7"/>
      <c r="Q252" s="23"/>
      <c r="R252" s="23"/>
      <c r="S252" s="35">
        <f t="shared" si="56"/>
        <v>0</v>
      </c>
      <c r="T252" s="50" t="e">
        <f t="shared" si="57"/>
        <v>#VALUE!</v>
      </c>
      <c r="U252" s="17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https://search-rtdc-monitor-bjffxe2xuh6vdkpspy63sjmuny.us-east-1.es.amazonaws.com/_plugin/kibana/#/discover/Steve-Slow-Train-Analysis-(2080s-and-2083s)?_g=(refreshInterval:(display:Off,section:0,value:0),time:(from:'2016-11-23 21:34:36-700',mode:absolute,to:'2016-11-23 23:59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2" s="52" t="str">
        <f t="shared" si="59"/>
        <v>N</v>
      </c>
      <c r="X252" s="177" t="e">
        <f t="shared" si="60"/>
        <v>#VALUE!</v>
      </c>
      <c r="Y252" s="67">
        <f t="shared" si="61"/>
        <v>4.6600000000000003E-2</v>
      </c>
      <c r="Z252" s="67">
        <f t="shared" si="62"/>
        <v>12.936999999999999</v>
      </c>
      <c r="AA252" s="67">
        <f t="shared" si="63"/>
        <v>12.8904</v>
      </c>
      <c r="AB252" s="64" t="e">
        <f>VLOOKUP(A252,Enforcements!$C$7:$K$20,8,0)</f>
        <v>#N/A</v>
      </c>
      <c r="AC252" s="60" t="e">
        <f>VLOOKUP(A252,Enforcements!$C$7:$E$20,3,0)</f>
        <v>#N/A</v>
      </c>
      <c r="AD252" s="61" t="str">
        <f t="shared" si="64"/>
        <v>COMET-23</v>
      </c>
      <c r="AE252" s="91" t="str">
        <f t="shared" si="65"/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AF252" s="88" t="str">
        <f t="shared" si="66"/>
        <v>"C:\Program Files (x86)\AstroGrep\AstroGrep.exe" /spath="%USERPROFILE%\AppData\Local\Temp\OnboardLogs" /stypes="app*4051*20161124*" /stext=" 05:.+((SYSTEM_STATE.+slice.+state.+changed )|(ment ac)|(multiple cpu faults)|(system.+state.+changed )|(\[timeout)|(PRM\|1\|D)|(kpr)|(kdp)|(\|lc)|(penalty))" /e /r /s</v>
      </c>
      <c r="AG252" s="1" t="str">
        <f t="shared" si="67"/>
        <v>Other</v>
      </c>
      <c r="AH252" s="92" t="str">
        <f t="shared" si="68"/>
        <v>"%USERPROFILE%\Documents\GitHub\eaglep3\Utilities\RefineRTDCRunTimes.py" --tripid COMET-23 --locoid 4051 --swversion DE.1.0.8.0 --startMP 204:466 --initTime 2016-11-23T22:34:36 --startdatetime 2016-11-23T22:36:23 --delay 1 --endMP 204:129370 --enddatetime 2016-11-23T22:59:42 --enforcementcount 0 &gt;&gt;C:\Users\stu\Documents\GitHub\eaglep3-reporting\EC\2016-11-23-refined-times.txt</v>
      </c>
      <c r="AI252" s="119" t="str">
        <f t="shared" si="69"/>
        <v>echo {"issue":{"subject":"","project_id":79,"tracker_id":40,"status_id":1,"priority_id":2,"assigned_to_id":23,"start_date":"2016-11-23","description":"","custom_fields":[{"id":1,"name":"Subdivision","value":"Other"},{"id":4,"name":"Milepost","value":"12.937"},{"id":17,"name":"Train ID","value":"COMET-23"},{"id":16,"name":"Locomotive ID","value":"4051"},{"id":130,"name":"Impact","value":""},{"id":150,"name":"Time of Event (Mountain Time)","value":"22:59:42"},{"id":151,"name":"Denver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53"/>
      <c r="AK252" s="53"/>
      <c r="AL252" s="53"/>
    </row>
    <row r="253" spans="1:38" x14ac:dyDescent="0.25">
      <c r="A253" s="37" t="s">
        <v>430</v>
      </c>
      <c r="B253" s="7">
        <v>4051</v>
      </c>
      <c r="C253" s="22" t="s">
        <v>217</v>
      </c>
      <c r="D253" s="22" t="s">
        <v>703</v>
      </c>
      <c r="E253" s="13">
        <v>42698.064444444448</v>
      </c>
      <c r="F253" s="13">
        <v>42698.102256944447</v>
      </c>
      <c r="G253" s="7">
        <v>5</v>
      </c>
      <c r="H253" s="22" t="s">
        <v>820</v>
      </c>
      <c r="I253" s="13">
        <v>42698.114293981482</v>
      </c>
      <c r="J253" s="7">
        <v>0</v>
      </c>
      <c r="K253" s="109" t="str">
        <f t="shared" si="53"/>
        <v>4051/4052</v>
      </c>
      <c r="L253" s="22" t="str">
        <f>VLOOKUP(A253,'Trips&amp;Operators'!$C$1:$E$10000,3,FALSE)</f>
        <v>LOPES</v>
      </c>
      <c r="M253" s="6">
        <f t="shared" si="54"/>
        <v>1.2037037035042886E-2</v>
      </c>
      <c r="N253" s="7">
        <f t="shared" si="55"/>
        <v>17.333333330461755</v>
      </c>
      <c r="O253" s="7"/>
      <c r="P253" s="7"/>
      <c r="Q253" s="23"/>
      <c r="R253" s="23"/>
      <c r="S253" s="35">
        <f t="shared" si="56"/>
        <v>0</v>
      </c>
      <c r="T253" s="50" t="e">
        <f t="shared" si="57"/>
        <v>#VALUE!</v>
      </c>
      <c r="U253" s="17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00:32:48-700',mode:absolute,to:'2016-11-24 03:44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3" s="52" t="str">
        <f t="shared" si="59"/>
        <v>N</v>
      </c>
      <c r="X253" s="177" t="e">
        <f t="shared" si="60"/>
        <v>#VALUE!</v>
      </c>
      <c r="Y253" s="67">
        <f t="shared" si="61"/>
        <v>4.8000000000000001E-2</v>
      </c>
      <c r="Z253" s="67">
        <f t="shared" si="62"/>
        <v>12.895300000000001</v>
      </c>
      <c r="AA253" s="67">
        <f t="shared" si="63"/>
        <v>12.847300000000001</v>
      </c>
      <c r="AB253" s="64" t="e">
        <f>VLOOKUP(A253,Enforcements!$C$7:$K$20,8,0)</f>
        <v>#N/A</v>
      </c>
      <c r="AC253" s="60" t="e">
        <f>VLOOKUP(A253,Enforcements!$C$7:$E$20,3,0)</f>
        <v>#N/A</v>
      </c>
      <c r="AD253" s="61" t="str">
        <f t="shared" si="64"/>
        <v>COMET-23</v>
      </c>
      <c r="AE253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53" s="88" t="str">
        <f t="shared" si="66"/>
        <v>"C:\Program Files (x86)\AstroGrep\AstroGrep.exe" /spath="%USERPROFILE%\AppData\Local\Temp\OnboardLogs" /stypes="app*4051*20161124*" /stext=" 09:.+((SYSTEM_STATE.+slice.+state.+changed )|(ment ac)|(multiple cpu faults)|(system.+state.+changed )|(\[timeout)|(PRM\|1\|D)|(kpr)|(kdp)|(\|lc)|(penalty))" /e /r /s</v>
      </c>
      <c r="AG253" s="1" t="str">
        <f t="shared" si="67"/>
        <v>Other</v>
      </c>
      <c r="AH253" s="92" t="str">
        <f t="shared" si="68"/>
        <v>"%USERPROFILE%\Documents\GitHub\eaglep3\Utilities\RefineRTDCRunTimes.py" --tripid COMET-23 --locoid 4051 --swversion DE.1.0.8.0 --startMP 204:480 --initTime 2016-11-24T01:32:48 --startdatetime 2016-11-24T02:27:15 --delay 5 --endMP 204:128953 --enddatetime 2016-11-24T02:44:35 --enforcementcount 0 &gt;&gt;C:\Users\stu\Documents\GitHub\eaglep3-reporting\EC\2016-11-23-refined-times.txt</v>
      </c>
      <c r="AI253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{"issue":{"subject":"","project_id":79,"tracker_id":40,"status_id":1,"priority_id":2,"assigned_to_id":23,"start_date":"2016-11-24","description":"","custom_fields":[{"id":1,"name":"Subdivision","value":"Other"},{"id":4,"name":"Milepost","value":"12.8953"},{"id":17,"name":"Train ID","value":"COMET-23"},{"id":16,"name":"Locomotive ID","value":"4051"},{"id":130,"name":"Impact","value":""},{"id":150,"name":"Time of Event (Mountain Time)","value":"02:44:35"},{"id":151,"name":"Denver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53"/>
      <c r="AK253" s="53"/>
      <c r="AL253" s="53"/>
    </row>
  </sheetData>
  <autoFilter ref="A12:AG244">
    <sortState ref="A13:AG253">
      <sortCondition ref="AG13:AG253"/>
      <sortCondition ref="AD13:AD253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44" operator="equal">
      <formula>"Y"</formula>
    </cfRule>
  </conditionalFormatting>
  <conditionalFormatting sqref="X13:X1048576">
    <cfRule type="cellIs" dxfId="9" priority="327" operator="greaterThan">
      <formula>1</formula>
    </cfRule>
  </conditionalFormatting>
  <conditionalFormatting sqref="X12:X1048576">
    <cfRule type="cellIs" dxfId="8" priority="324" operator="equal">
      <formula>0</formula>
    </cfRule>
  </conditionalFormatting>
  <conditionalFormatting sqref="A13:S253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10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AK13:AK253</xm:sqref>
        </x14:dataValidation>
        <x14:dataValidation type="list" allowBlank="1" showInputMessage="1" showErrorMessage="1">
          <x14:formula1>
            <xm:f>'Redmine List Values'!$C$2:$C$15</xm:f>
          </x14:formula1>
          <xm:sqref>AL13:AL253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opLeftCell="A2" workbookViewId="0">
      <selection activeCell="I24" sqref="I2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10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30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262</v>
      </c>
    </row>
    <row r="7" spans="1:30" s="1" customFormat="1" x14ac:dyDescent="0.25">
      <c r="A7" s="36">
        <v>42697.546365740738</v>
      </c>
      <c r="B7" s="31" t="s">
        <v>218</v>
      </c>
      <c r="C7" s="31" t="s">
        <v>412</v>
      </c>
      <c r="D7" s="31" t="s">
        <v>49</v>
      </c>
      <c r="E7" s="31" t="s">
        <v>154</v>
      </c>
      <c r="F7" s="47">
        <v>140</v>
      </c>
      <c r="G7" s="47">
        <v>209</v>
      </c>
      <c r="H7" s="47">
        <v>26654</v>
      </c>
      <c r="I7" s="47">
        <v>26949</v>
      </c>
      <c r="J7" s="31" t="s">
        <v>153</v>
      </c>
      <c r="K7" s="47">
        <v>27053</v>
      </c>
      <c r="L7" s="154" t="s">
        <v>50</v>
      </c>
      <c r="M7" s="155">
        <f t="shared" ref="M7:M46" si="0">CONVERT((I7-K7)/10000,"mi","ft")*IF(L7="Increasing Mileposts (1)",-1,1)</f>
        <v>54.911999999999999</v>
      </c>
      <c r="N7" s="156" t="str">
        <f>VLOOKUP(C7,'Trips&amp;Operators'!$C$1:$E$99999,3,FALSE)</f>
        <v>BARTLETT</v>
      </c>
      <c r="O7" s="183" t="s">
        <v>202</v>
      </c>
      <c r="P7" s="157" t="s">
        <v>853</v>
      </c>
      <c r="Q7" s="31"/>
      <c r="R7" s="100" t="str">
        <f>VLOOKUP(C7,'Train Runs'!$A$13:$AE$9988,31,0)</f>
        <v>aws s3 cp s3://rtdc.mdm.uploadarchive.raw/RTDC4040/ "%USERPROFILE%\AppData\Local\Temp\OnboardLogs"\RTDC4040\2016-11-23 --exclude "*" --recursive --include "*20161123*" &amp; "%USERPROFILE%\Documents\GitHub\mrs-test-scripts\Headless Mode &amp; Sideloading\WalkAndUnGZ.bat" "%USERPROFILE%\AppData\Local\Temp\OnboardLogs"\RTDC4040\2016-11-23 &amp; 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</v>
      </c>
      <c r="S7" s="103" t="str">
        <f>VLOOKUP(C7,'Train Runs'!$A$13:$AE$9988,22,0)</f>
        <v>https://search-rtdc-monitor-bjffxe2xuh6vdkpspy63sjmuny.us-east-1.es.amazonaws.com/_plugin/kibana/#/discover/Steve-Slow-Train-Analysis-(2080s-and-2083s)?_g=(refreshInterval:(display:Off,section:0,value:0),time:(from:'2016-11-23 11:52:51-700',mode:absolute,to:'2016-11-23 14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7" s="105" t="str">
        <f t="shared" ref="T7:T4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/stypes="*4040*201611232*" /stext=" 20:.+((SYSTEM_STATE.+slice.+state.+changed )|(ment ac)|(multiple cpu faults)|(system.+state.+changed )|(\[timeout)|(PRM\|1\|D)|(kpr)|(kdp)|(\|lc)|(penalty))" /e /r /s</v>
      </c>
      <c r="U7" s="9" t="str">
        <f t="shared" ref="U7:U46" si="2">MID(B7,13,4)</f>
        <v>4040</v>
      </c>
      <c r="V7" s="36">
        <f t="shared" ref="V7:V46" si="3">A7-utc_offset/24</f>
        <v>42697.838032407402</v>
      </c>
      <c r="W7" s="50" t="str">
        <f t="shared" ref="W7:W46" si="4">IF(VALUE(LEFT(IF(LEN(C7)=6,"0"&amp;C7,C7),2))&lt;=2,"EC",IF(OR(VALUE(LEFT(IF(LEN(C7)=6,"0"&amp;C7,C7),2))=8,VALUE(LEFT(IF(LEN(C7)=6,"0"&amp;C7,C7),2))=18),"NW","Other"))</f>
        <v>EC</v>
      </c>
      <c r="X7" s="50" t="str">
        <f t="shared" ref="X7:X46" si="5">IF(AND(E7="TRACK WARRANT AUTHORITY",G7&lt;10),"OMIT","KEEP")</f>
        <v>KEEP</v>
      </c>
      <c r="Y7" s="119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arrival","project_id":79,"tracker_id":40,"status_id":1,"priority_id":2,"assigned_to_id":23,"start_date":"2016-11-23","description":"","custom_fields":[{"id":1,"name":"Subdivision","value":"EC"},{"id":4,"name":"Milepost","value":"2.7053"},{"id":17,"name":"Train ID","value":"175-23"},{"id":16,"name":"Locomotive ID","value":"4040"},{"id":130,"name":"Impact","value":""},{"id":150,"name":"Time of Event (Mountain Time)","value":"13:06:46"},{"id":151,"name":"Denver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"%USERPROFILE%\AppData\Local\Temp\OnboardLogs"\RTDC4040\*4040*201611232*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"%USERPROFILE%\AppData\Local\Temp\OnboardLogs"\RTDC4040\*4040*201611232* &gt;&gt; 42697-slicedisagreementcheck.txt</v>
      </c>
    </row>
    <row r="8" spans="1:30" s="1" customFormat="1" x14ac:dyDescent="0.25">
      <c r="A8" s="36">
        <v>42697.75953703704</v>
      </c>
      <c r="B8" s="31" t="s">
        <v>281</v>
      </c>
      <c r="C8" s="31" t="s">
        <v>422</v>
      </c>
      <c r="D8" s="31" t="s">
        <v>98</v>
      </c>
      <c r="E8" s="31" t="s">
        <v>154</v>
      </c>
      <c r="F8" s="47">
        <v>0</v>
      </c>
      <c r="G8" s="47">
        <v>143</v>
      </c>
      <c r="H8" s="47">
        <v>27350</v>
      </c>
      <c r="I8" s="47">
        <v>27176</v>
      </c>
      <c r="J8" s="31" t="s">
        <v>153</v>
      </c>
      <c r="K8" s="47">
        <v>27350</v>
      </c>
      <c r="L8" s="154" t="s">
        <v>51</v>
      </c>
      <c r="M8" s="155">
        <f t="shared" si="0"/>
        <v>-91.872</v>
      </c>
      <c r="N8" s="156" t="str">
        <f>VLOOKUP(C8,'Trips&amp;Operators'!$C$1:$E$99999,3,FALSE)</f>
        <v>HELVIE</v>
      </c>
      <c r="O8" s="183" t="s">
        <v>202</v>
      </c>
      <c r="P8" s="157" t="s">
        <v>853</v>
      </c>
      <c r="Q8" s="31"/>
      <c r="R8" s="100" t="str">
        <f>VLOOKUP(C8,'Train Runs'!$A$13:$AE$9988,31,0)</f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S8" s="103" t="str">
        <f>VLOOKUP(C8,'Train Runs'!$A$13:$AE$9988,22,0)</f>
        <v>https://search-rtdc-monitor-bjffxe2xuh6vdkpspy63sjmuny.us-east-1.es.amazonaws.com/_plugin/kibana/#/discover/Steve-Slow-Train-Analysis-(2080s-and-2083s)?_g=(refreshInterval:(display:Off,section:0,value:0),time:(from:'2016-11-23 16:34:47-700',mode:absolute,to:'2016-11-23 19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8" s="105" t="str">
        <f t="shared" si="1"/>
        <v>"C:\Program Files (x86)\AstroGrep\AstroGrep.exe" /spath="%USERPROFILE%\AppData\Local\Temp\OnboardLogs" /stypes="*4045*201611240*" /stext=" 01:.+((SYSTEM_STATE.+slice.+state.+changed )|(ment ac)|(multiple cpu faults)|(system.+state.+changed )|(\[timeout)|(PRM\|1\|D)|(kpr)|(kdp)|(\|lc)|(penalty))" /e /r /s</v>
      </c>
      <c r="U8" s="9" t="str">
        <f t="shared" si="2"/>
        <v>4045</v>
      </c>
      <c r="V8" s="36">
        <f t="shared" si="3"/>
        <v>42698.051203703704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arrival","project_id":79,"tracker_id":40,"status_id":1,"priority_id":2,"assigned_to_id":23,"start_date":"2016-11-23","description":"","custom_fields":[{"id":1,"name":"Subdivision","value":"EC"},{"id":4,"name":"Milepost","value":"2.735"},{"id":17,"name":"Train ID","value":"206-23"},{"id":16,"name":"Locomotive ID","value":"4045"},{"id":130,"name":"Impact","value":""},{"id":150,"name":"Time of Event (Mountain Time)","value":"18:13:44"},{"id":151,"name":"Denver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"%USERPROFILE%\AppData\Local\Temp\OnboardLogs"\RTDC4045\*4045*201611240*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"%USERPROFILE%\AppData\Local\Temp\OnboardLogs"\RTDC4045\*4045*201611240* &gt;&gt; 42697-slicedisagreementcheck.txt</v>
      </c>
    </row>
    <row r="9" spans="1:30" s="1" customFormat="1" x14ac:dyDescent="0.25">
      <c r="A9" s="36">
        <v>42697.266342592593</v>
      </c>
      <c r="B9" s="31" t="s">
        <v>282</v>
      </c>
      <c r="C9" s="31" t="s">
        <v>398</v>
      </c>
      <c r="D9" s="31" t="s">
        <v>98</v>
      </c>
      <c r="E9" s="31" t="s">
        <v>154</v>
      </c>
      <c r="F9" s="47">
        <v>180</v>
      </c>
      <c r="G9" s="47">
        <v>231</v>
      </c>
      <c r="H9" s="47">
        <v>31001</v>
      </c>
      <c r="I9" s="47">
        <v>31557</v>
      </c>
      <c r="J9" s="31" t="s">
        <v>153</v>
      </c>
      <c r="K9" s="47">
        <v>30830</v>
      </c>
      <c r="L9" s="154" t="s">
        <v>50</v>
      </c>
      <c r="M9" s="155">
        <f t="shared" si="0"/>
        <v>-383.85599999999999</v>
      </c>
      <c r="N9" s="156" t="str">
        <f>VLOOKUP(C9,'Trips&amp;Operators'!$C$1:$E$99999,3,FALSE)</f>
        <v>SPECTOR</v>
      </c>
      <c r="O9" s="183" t="s">
        <v>202</v>
      </c>
      <c r="P9" s="157" t="s">
        <v>853</v>
      </c>
      <c r="Q9" s="31"/>
      <c r="R9" s="100" t="str">
        <f>VLOOKUP(C9,'Train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9" s="103" t="str">
        <f>VLOOKUP(C9,'Train Runs'!$A$13:$AE$9988,22,0)</f>
        <v>https://search-rtdc-monitor-bjffxe2xuh6vdkpspy63sjmuny.us-east-1.es.amazonaws.com/_plugin/kibana/#/discover/Steve-Slow-Train-Analysis-(2080s-and-2083s)?_g=(refreshInterval:(display:Off,section:0,value:0),time:(from:'2016-11-23 05:08:18-700',mode:absolute,to:'2016-11-23 07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9" s="105" t="str">
        <f t="shared" si="1"/>
        <v>"C:\Program Files (x86)\AstroGrep\AstroGrep.exe" /spath="%USERPROFILE%\AppData\Local\Temp\OnboardLogs" /stypes="*4046*201611231*" /stext=" 13:.+((SYSTEM_STATE.+slice.+state.+changed )|(ment ac)|(multiple cpu faults)|(system.+state.+changed )|(\[timeout)|(PRM\|1\|D)|(kpr)|(kdp)|(\|lc)|(penalty))" /e /r /s</v>
      </c>
      <c r="U9" s="9" t="str">
        <f t="shared" si="2"/>
        <v>4046</v>
      </c>
      <c r="V9" s="36">
        <f t="shared" si="3"/>
        <v>42697.558009259257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arrival","project_id":79,"tracker_id":40,"status_id":1,"priority_id":2,"assigned_to_id":23,"start_date":"2016-11-23","description":"","custom_fields":[{"id":1,"name":"Subdivision","value":"EC"},{"id":4,"name":"Milepost","value":"3.083"},{"id":17,"name":"Train ID","value":"121-23"},{"id":16,"name":"Locomotive ID","value":"4046"},{"id":130,"name":"Impact","value":""},{"id":150,"name":"Time of Event (Mountain Time)","value":"06:23:32"},{"id":151,"name":"Denver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"%USERPROFILE%\AppData\Local\Temp\OnboardLogs"\RTDC4046\*4046*201611231*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"%USERPROFILE%\AppData\Local\Temp\OnboardLogs"\RTDC4046\*4046*201611231* &gt;&gt; 42697-slicedisagreementcheck.txt</v>
      </c>
    </row>
    <row r="10" spans="1:30" s="1" customFormat="1" x14ac:dyDescent="0.25">
      <c r="A10" s="36">
        <v>42697.311967592592</v>
      </c>
      <c r="B10" s="31" t="s">
        <v>281</v>
      </c>
      <c r="C10" s="31" t="s">
        <v>400</v>
      </c>
      <c r="D10" s="31" t="s">
        <v>49</v>
      </c>
      <c r="E10" s="31" t="s">
        <v>154</v>
      </c>
      <c r="F10" s="47">
        <v>580</v>
      </c>
      <c r="G10" s="47">
        <v>632</v>
      </c>
      <c r="H10" s="47">
        <v>105013</v>
      </c>
      <c r="I10" s="47">
        <v>102355</v>
      </c>
      <c r="J10" s="31" t="s">
        <v>153</v>
      </c>
      <c r="K10" s="47">
        <v>103800</v>
      </c>
      <c r="L10" s="154" t="s">
        <v>51</v>
      </c>
      <c r="M10" s="155">
        <f t="shared" si="0"/>
        <v>-762.96</v>
      </c>
      <c r="N10" s="156" t="str">
        <f>VLOOKUP(C10,'Trips&amp;Operators'!$C$1:$E$99999,3,FALSE)</f>
        <v>SPECTOR</v>
      </c>
      <c r="O10" s="183" t="s">
        <v>202</v>
      </c>
      <c r="P10" s="157" t="s">
        <v>853</v>
      </c>
      <c r="Q10" s="31"/>
      <c r="R10" s="100" t="str">
        <f>VLOOKUP(C10,'Train Runs'!$A$13:$AE$9988,31,0)</f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S10" s="103" t="str">
        <f>VLOOKUP(C10,'Train Runs'!$A$13:$AE$9988,22,0)</f>
        <v>https://search-rtdc-monitor-bjffxe2xuh6vdkpspy63sjmuny.us-east-1.es.amazonaws.com/_plugin/kibana/#/discover/Steve-Slow-Train-Analysis-(2080s-and-2083s)?_g=(refreshInterval:(display:Off,section:0,value:0),time:(from:'2016-11-23 06:04:55-700',mode:absolute,to:'2016-11-23 08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0" s="105" t="str">
        <f t="shared" si="1"/>
        <v>"C:\Program Files (x86)\AstroGrep\AstroGrep.exe" /spath="%USERPROFILE%\AppData\Local\Temp\OnboardLogs" /stypes="*4045*201611231*" /stext=" 14:.+((SYSTEM_STATE.+slice.+state.+changed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6">
        <f t="shared" si="3"/>
        <v>42697.603634259256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arrival","project_id":79,"tracker_id":40,"status_id":1,"priority_id":2,"assigned_to_id":23,"start_date":"2016-11-23","description":"","custom_fields":[{"id":1,"name":"Subdivision","value":"EC"},{"id":4,"name":"Milepost","value":"10.38"},{"id":17,"name":"Train ID","value":"122-23"},{"id":16,"name":"Locomotive ID","value":"4045"},{"id":130,"name":"Impact","value":""},{"id":150,"name":"Time of Event (Mountain Time)","value":"07:29:14"},{"id":151,"name":"Denver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"%USERPROFILE%\AppData\Local\Temp\OnboardLogs"\RTDC4045\*4045*201611231*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"%USERPROFILE%\AppData\Local\Temp\OnboardLogs"\RTDC4045\*4045*201611231* &gt;&gt; 42697-slicedisagreementcheck.txt</v>
      </c>
    </row>
    <row r="11" spans="1:30" s="1" customFormat="1" x14ac:dyDescent="0.25">
      <c r="A11" s="36">
        <v>42697.554780092592</v>
      </c>
      <c r="B11" s="31" t="s">
        <v>282</v>
      </c>
      <c r="C11" s="31" t="s">
        <v>413</v>
      </c>
      <c r="D11" s="31" t="s">
        <v>98</v>
      </c>
      <c r="E11" s="31" t="s">
        <v>203</v>
      </c>
      <c r="F11" s="47">
        <v>200</v>
      </c>
      <c r="G11" s="47">
        <v>257</v>
      </c>
      <c r="H11" s="47">
        <v>5389</v>
      </c>
      <c r="I11" s="47">
        <v>5899</v>
      </c>
      <c r="J11" s="31" t="s">
        <v>204</v>
      </c>
      <c r="K11" s="47">
        <v>4677</v>
      </c>
      <c r="L11" s="154" t="s">
        <v>50</v>
      </c>
      <c r="M11" s="155">
        <f t="shared" si="0"/>
        <v>-645.21600000000001</v>
      </c>
      <c r="N11" s="156" t="str">
        <f>VLOOKUP(C11,'Trips&amp;Operators'!$C$1:$E$99999,3,FALSE)</f>
        <v>MALAVE</v>
      </c>
      <c r="O11" s="183" t="s">
        <v>202</v>
      </c>
      <c r="P11" s="157"/>
      <c r="Q11" s="31"/>
      <c r="R11" s="100" t="str">
        <f>VLOOKUP(C11,'Train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11" s="103" t="str">
        <f>VLOOKUP(C11,'Train Runs'!$A$13:$AE$9988,22,0)</f>
        <v>https://search-rtdc-monitor-bjffxe2xuh6vdkpspy63sjmuny.us-east-1.es.amazonaws.com/_plugin/kibana/#/discover/Steve-Slow-Train-Analysis-(2080s-and-2083s)?_g=(refreshInterval:(display:Off,section:0,value:0),time:(from:'2016-11-23 12:11:09-700',mode:absolute,to:'2016-11-23 14:57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1" s="105" t="str">
        <f t="shared" si="1"/>
        <v>"C:\Program Files (x86)\AstroGrep\AstroGrep.exe" /spath="%USERPROFILE%\AppData\Local\Temp\OnboardLogs" /stypes="*4046*201611232*" /stext=" 20:.+((SYSTEM_STATE.+slice.+state.+changed )|(ment ac)|(multiple cpu faults)|(system.+state.+changed )|(\[timeout)|(PRM\|1\|D)|(kpr)|(kdp)|(\|lc)|(penalty))" /e /r /s</v>
      </c>
      <c r="U11" s="9" t="str">
        <f t="shared" si="2"/>
        <v>4046</v>
      </c>
      <c r="V11" s="36">
        <f t="shared" si="3"/>
        <v>42697.846446759257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{"issue":{"subject":"","project_id":79,"tracker_id":40,"status_id":1,"priority_id":2,"assigned_to_id":23,"start_date":"2016-11-23","description":"","custom_fields":[{"id":1,"name":"Subdivision","value":"EC"},{"id":4,"name":"Milepost","value":"0.4677"},{"id":17,"name":"Train ID","value":"177-23"},{"id":16,"name":"Locomotive ID","value":"4046"},{"id":130,"name":"Impact","value":""},{"id":150,"name":"Time of Event (Mountain Time)","value":"13:18:53"},{"id":151,"name":"Denver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"%USERPROFILE%\AppData\Local\Temp\OnboardLogs"\RTDC4046\*4046*201611232*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"%USERPROFILE%\AppData\Local\Temp\OnboardLogs"\RTDC4046\*4046*201611232* &gt;&gt; 42697-slicedisagreementcheck.txt</v>
      </c>
    </row>
    <row r="12" spans="1:30" s="1" customFormat="1" x14ac:dyDescent="0.25">
      <c r="A12" s="36">
        <v>42697.368831018517</v>
      </c>
      <c r="B12" s="31" t="s">
        <v>394</v>
      </c>
      <c r="C12" s="31" t="s">
        <v>402</v>
      </c>
      <c r="D12" s="31" t="s">
        <v>49</v>
      </c>
      <c r="E12" s="31" t="s">
        <v>203</v>
      </c>
      <c r="F12" s="47">
        <v>400</v>
      </c>
      <c r="G12" s="47">
        <v>452</v>
      </c>
      <c r="H12" s="47">
        <v>115852</v>
      </c>
      <c r="I12" s="47">
        <v>117092</v>
      </c>
      <c r="J12" s="31" t="s">
        <v>204</v>
      </c>
      <c r="K12" s="47">
        <v>116838</v>
      </c>
      <c r="L12" s="154" t="s">
        <v>50</v>
      </c>
      <c r="M12" s="155">
        <f t="shared" si="0"/>
        <v>-134.11199999999999</v>
      </c>
      <c r="N12" s="156" t="str">
        <f>VLOOKUP(C12,'Trips&amp;Operators'!$C$1:$E$99999,3,FALSE)</f>
        <v>JOHNSON</v>
      </c>
      <c r="O12" s="183" t="s">
        <v>264</v>
      </c>
      <c r="P12" s="157" t="s">
        <v>961</v>
      </c>
      <c r="Q12" s="31"/>
      <c r="R12" s="100" t="str">
        <f>VLOOKUP(C12,'Train Runs'!$A$13:$AE$9988,31,0)</f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S12" s="103" t="str">
        <f>VLOOKUP(C12,'Train Runs'!$A$13:$AE$9988,22,0)</f>
        <v>https://search-rtdc-monitor-bjffxe2xuh6vdkpspy63sjmuny.us-east-1.es.amazonaws.com/_plugin/kibana/#/discover/Steve-Slow-Train-Analysis-(2080s-and-2083s)?_g=(refreshInterval:(display:Off,section:0,value:0),time:(from:'2016-11-23 07:22:43-700',mode:absolute,to:'2016-11-23 10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2" s="105" t="str">
        <f t="shared" si="1"/>
        <v>"C:\Program Files (x86)\AstroGrep\AstroGrep.exe" /spath="%USERPROFILE%\AppData\Local\Temp\OnboardLogs" /stypes="*4003*201611231*" /stext=" 15:.+((SYSTEM_STATE.+slice.+state.+changed )|(ment ac)|(multiple cpu faults)|(system.+state.+changed )|(\[timeout)|(PRM\|1\|D)|(kpr)|(kdp)|(\|lc)|(penalty))" /e /r /s</v>
      </c>
      <c r="U12" s="9" t="str">
        <f t="shared" si="2"/>
        <v>4003</v>
      </c>
      <c r="V12" s="36">
        <f t="shared" si="3"/>
        <v>42697.660497685181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{"issue":{"subject":"Banner without braking","project_id":79,"tracker_id":40,"status_id":1,"priority_id":2,"assigned_to_id":23,"start_date":"2016-11-23","description":"CPU1 commanded brake, others did not","custom_fields":[{"id":1,"name":"Subdivision","value":"EC"},{"id":4,"name":"Milepost","value":"11.6838"},{"id":17,"name":"Train ID","value":"139-23"},{"id":16,"name":"Locomotive ID","value":"4003"},{"id":130,"name":"Impact","value":"Others"},{"id":150,"name":"Time of Event (Mountain Time)","value":"08:51:07"},{"id":151,"name":"Denver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2" s="53" t="s">
        <v>960</v>
      </c>
      <c r="AA12" s="53" t="s">
        <v>137</v>
      </c>
      <c r="AB12" s="53" t="s">
        <v>177</v>
      </c>
      <c r="AC12" s="138" t="str">
        <f t="shared" si="7"/>
        <v>grep -hSE -A100 "Enforcement Action" "%USERPROFILE%\AppData\Local\Temp\OnboardLogs"\RTDC4003\*4003*201611231*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"%USERPROFILE%\AppData\Local\Temp\OnboardLogs"\RTDC4003\*4003*201611231* &gt;&gt; 42697-slicedisagreementcheck.txt</v>
      </c>
    </row>
    <row r="13" spans="1:30" s="1" customFormat="1" x14ac:dyDescent="0.25">
      <c r="A13" s="36">
        <v>42697.794803240744</v>
      </c>
      <c r="B13" s="31" t="s">
        <v>282</v>
      </c>
      <c r="C13" s="31" t="s">
        <v>425</v>
      </c>
      <c r="D13" s="31" t="s">
        <v>49</v>
      </c>
      <c r="E13" s="31" t="s">
        <v>203</v>
      </c>
      <c r="F13" s="47">
        <v>150</v>
      </c>
      <c r="G13" s="47">
        <v>313</v>
      </c>
      <c r="H13" s="47">
        <v>229395</v>
      </c>
      <c r="I13" s="47">
        <v>230161</v>
      </c>
      <c r="J13" s="31" t="s">
        <v>204</v>
      </c>
      <c r="K13" s="47">
        <v>230436</v>
      </c>
      <c r="L13" s="154" t="s">
        <v>50</v>
      </c>
      <c r="M13" s="155">
        <f t="shared" si="0"/>
        <v>145.19999999999999</v>
      </c>
      <c r="N13" s="156" t="str">
        <f>VLOOKUP(C13,'Trips&amp;Operators'!$C$1:$E$99999,3,FALSE)</f>
        <v>COOLAHAN</v>
      </c>
      <c r="O13" s="183" t="s">
        <v>202</v>
      </c>
      <c r="P13" s="157"/>
      <c r="Q13" s="31"/>
      <c r="R13" s="100" t="str">
        <f>VLOOKUP(C13,'Train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13" s="103" t="str">
        <f>VLOOKUP(C13,'Train Runs'!$A$13:$AE$9988,22,0)</f>
        <v>https://search-rtdc-monitor-bjffxe2xuh6vdkpspy63sjmuny.us-east-1.es.amazonaws.com/_plugin/kibana/#/discover/Steve-Slow-Train-Analysis-(2080s-and-2083s)?_g=(refreshInterval:(display:Off,section:0,value:0),time:(from:'2016-11-23 17:24:24-700',mode:absolute,to:'2016-11-23 20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3" s="105" t="str">
        <f t="shared" si="1"/>
        <v>"C:\Program Files (x86)\AstroGrep\AstroGrep.exe" /spath="%USERPROFILE%\AppData\Local\Temp\OnboardLogs" /stypes="*4046*201611240*" /stext=" 02:.+((SYSTEM_STATE.+slice.+state.+changed )|(ment ac)|(multiple cpu faults)|(system.+state.+changed )|(\[timeout)|(PRM\|1\|D)|(kpr)|(kdp)|(\|lc)|(penalty))" /e /r /s</v>
      </c>
      <c r="U13" s="9" t="str">
        <f t="shared" si="2"/>
        <v>4046</v>
      </c>
      <c r="V13" s="36">
        <f t="shared" si="3"/>
        <v>42698.086469907408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{"issue":{"subject":"","project_id":79,"tracker_id":40,"status_id":1,"priority_id":2,"assigned_to_id":23,"start_date":"2016-11-23","description":"","custom_fields":[{"id":1,"name":"Subdivision","value":"EC"},{"id":4,"name":"Milepost","value":"23.0436"},{"id":17,"name":"Train ID","value":"219-23"},{"id":16,"name":"Locomotive ID","value":"4046"},{"id":130,"name":"Impact","value":""},{"id":150,"name":"Time of Event (Mountain Time)","value":"19:04:31"},{"id":151,"name":"Denver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"%USERPROFILE%\AppData\Local\Temp\OnboardLogs"\RTDC4046\*4046*201611240*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"%USERPROFILE%\AppData\Local\Temp\OnboardLogs"\RTDC4046\*4046*201611240* &gt;&gt; 42697-slicedisagreementcheck.txt</v>
      </c>
    </row>
    <row r="14" spans="1:30" s="1" customFormat="1" x14ac:dyDescent="0.25">
      <c r="A14" s="36">
        <v>42697.817557870374</v>
      </c>
      <c r="B14" s="31" t="s">
        <v>394</v>
      </c>
      <c r="C14" s="31" t="s">
        <v>426</v>
      </c>
      <c r="D14" s="31" t="s">
        <v>49</v>
      </c>
      <c r="E14" s="31" t="s">
        <v>203</v>
      </c>
      <c r="F14" s="47">
        <v>150</v>
      </c>
      <c r="G14" s="47">
        <v>371</v>
      </c>
      <c r="H14" s="47">
        <v>228532</v>
      </c>
      <c r="I14" s="47">
        <v>229421</v>
      </c>
      <c r="J14" s="31" t="s">
        <v>204</v>
      </c>
      <c r="K14" s="47">
        <v>230436</v>
      </c>
      <c r="L14" s="154" t="s">
        <v>50</v>
      </c>
      <c r="M14" s="155">
        <f t="shared" si="0"/>
        <v>535.91999999999996</v>
      </c>
      <c r="N14" s="156" t="str">
        <f>VLOOKUP(C14,'Trips&amp;Operators'!$C$1:$E$99999,3,FALSE)</f>
        <v>STAMBAUGH</v>
      </c>
      <c r="O14" s="183" t="s">
        <v>202</v>
      </c>
      <c r="P14" s="157"/>
      <c r="Q14" s="31"/>
      <c r="R14" s="100" t="str">
        <f>VLOOKUP(C14,'Train Runs'!$A$13:$AE$9988,31,0)</f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S14" s="103" t="str">
        <f>VLOOKUP(C14,'Train Runs'!$A$13:$AE$9988,22,0)</f>
        <v>https://search-rtdc-monitor-bjffxe2xuh6vdkpspy63sjmuny.us-east-1.es.amazonaws.com/_plugin/kibana/#/discover/Steve-Slow-Train-Analysis-(2080s-and-2083s)?_g=(refreshInterval:(display:Off,section:0,value:0),time:(from:'2016-11-23 17:53:04-700',mode:absolute,to:'2016-11-23 20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5" t="str">
        <f t="shared" si="1"/>
        <v>"C:\Program Files (x86)\AstroGrep\AstroGrep.exe" /spath="%USERPROFILE%\AppData\Local\Temp\OnboardLogs" /stypes="*4003*201611240*" /stext=" 02:.+((SYSTEM_STATE.+slice.+state.+changed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6">
        <f t="shared" si="3"/>
        <v>42698.109224537038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{"issue":{"subject":"","project_id":79,"tracker_id":40,"status_id":1,"priority_id":2,"assigned_to_id":23,"start_date":"2016-11-23","description":"","custom_fields":[{"id":1,"name":"Subdivision","value":"EC"},{"id":4,"name":"Milepost","value":"23.0436"},{"id":17,"name":"Train ID","value":"221-23"},{"id":16,"name":"Locomotive ID","value":"4003"},{"id":130,"name":"Impact","value":""},{"id":150,"name":"Time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"%USERPROFILE%\AppData\Local\Temp\OnboardLogs"\RTDC4003\*4003*201611240*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"%USERPROFILE%\AppData\Local\Temp\OnboardLogs"\RTDC4003\*4003*201611240* &gt;&gt; 42697-slicedisagreementcheck.txt</v>
      </c>
    </row>
    <row r="15" spans="1:30" s="1" customFormat="1" x14ac:dyDescent="0.25">
      <c r="A15" s="36">
        <v>42697.147835648146</v>
      </c>
      <c r="B15" s="31" t="s">
        <v>394</v>
      </c>
      <c r="C15" s="31" t="s">
        <v>395</v>
      </c>
      <c r="D15" s="31" t="s">
        <v>49</v>
      </c>
      <c r="E15" s="31" t="s">
        <v>205</v>
      </c>
      <c r="F15" s="47">
        <v>0</v>
      </c>
      <c r="G15" s="47">
        <v>685</v>
      </c>
      <c r="H15" s="47">
        <v>79812</v>
      </c>
      <c r="I15" s="47">
        <v>83581</v>
      </c>
      <c r="J15" s="31" t="s">
        <v>206</v>
      </c>
      <c r="K15" s="47">
        <v>81738</v>
      </c>
      <c r="L15" s="154" t="s">
        <v>50</v>
      </c>
      <c r="M15" s="155">
        <f t="shared" si="0"/>
        <v>-973.10400000000004</v>
      </c>
      <c r="N15" s="156" t="str">
        <f>VLOOKUP(C15,'Trips&amp;Operators'!$C$1:$E$99999,3,FALSE)</f>
        <v>MAELZER</v>
      </c>
      <c r="O15" s="183" t="s">
        <v>264</v>
      </c>
      <c r="P15" s="157" t="s">
        <v>844</v>
      </c>
      <c r="Q15" s="31"/>
      <c r="R15" s="100" t="str">
        <f>VLOOKUP(C15,'Train Runs'!$A$13:$AE$9988,31,0)</f>
        <v>aws s3 cp s3://rtdc.mdm.uploadarchive.raw/RTDC4003/ "%USERPROFILE%\AppData\Local\Temp\OnboardLogs"\RTDC4003\2016-11-23 --exclude "*" --recursive --include "*20161123*" &amp; "%USERPROFILE%\Documents\GitHub\mrs-test-scripts\Headless Mode &amp; Sideloading\WalkAndUnGZ.bat" "%USERPROFILE%\AppData\Local\Temp\OnboardLogs"\RTDC4003\2016-11-23 &amp; aws s3 cp s3://rtdc.mdm.uploadarchive.raw/RTDC4003/ "%USERPROFILE%\AppData\Local\Temp\OnboardLogs"\RTDC4003\2016-11-24 --exclude "*" --recursive --include "*20161124*" &amp; "%USERPROFILE%\Documents\GitHub\mrs-test-scripts\Headless Mode &amp; Sideloading\WalkAndUnGZ.bat" "%USERPROFILE%\AppData\Local\Temp\OnboardLogs"\RTDC4003\2016-11-24</v>
      </c>
      <c r="S15" s="103" t="str">
        <f>VLOOKUP(C15,'Train Runs'!$A$13:$AE$9988,22,0)</f>
        <v>https://search-rtdc-monitor-bjffxe2xuh6vdkpspy63sjmuny.us-east-1.es.amazonaws.com/_plugin/kibana/#/discover/Steve-Slow-Train-Analysis-(2080s-and-2083s)?_g=(refreshInterval:(display:Off,section:0,value:0),time:(from:'2016-11-23 02:14:23-700',mode:absolute,to:'2016-11-23 04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5" s="105" t="str">
        <f t="shared" si="1"/>
        <v>"C:\Program Files (x86)\AstroGrep\AstroGrep.exe" /spath="%USERPROFILE%\AppData\Local\Temp\OnboardLogs" /stypes="*4003*201611231*" /stext=" 10:.+((SYSTEM_STATE.+slice.+state.+changed )|(ment ac)|(multiple cpu faults)|(system.+state.+changed )|(\[timeout)|(PRM\|1\|D)|(kpr)|(kdp)|(\|lc)|(penalty))" /e /r /s</v>
      </c>
      <c r="U15" s="9" t="str">
        <f t="shared" si="2"/>
        <v>4003</v>
      </c>
      <c r="V15" s="36">
        <f t="shared" si="3"/>
        <v>42697.43950231481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-11-23","description":"http://stevetu21.github.io/eaglep3/load_kml.html?kml=http://rtdc.gmaps-snips.s3.amazonaws.com/dd3bef2b-fb28-4c97-aede-f152050819f5.kml","custom_fields":[{"id":1,"name":"Subdivision","value":"EC"},{"id":4,"name":"Milepost","value":"8.1738"},{"id":17,"name":"Train ID","value":"101-23"},{"id":16,"name":"Locomotive ID","value":"4003"},{"id":130,"name":"Impact","value":"Enforcement"},{"id":150,"name":"Time of Event (Mountain Time)","value":"03:32:53"},{"id":151,"name":"Denver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184" t="s">
        <v>854</v>
      </c>
      <c r="AA15" s="53" t="s">
        <v>125</v>
      </c>
      <c r="AB15" s="53" t="s">
        <v>138</v>
      </c>
      <c r="AC15" s="138" t="str">
        <f t="shared" si="7"/>
        <v>grep -hSE -A100 "Enforcement Action" "%USERPROFILE%\AppData\Local\Temp\OnboardLogs"\RTDC4003\*4003*201611231*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"%USERPROFILE%\AppData\Local\Temp\OnboardLogs"\RTDC4003\*4003*201611231* &gt;&gt; 42697-slicedisagreementcheck.txt</v>
      </c>
    </row>
    <row r="16" spans="1:30" s="1" customFormat="1" x14ac:dyDescent="0.25">
      <c r="A16" s="36">
        <v>42697.658020833333</v>
      </c>
      <c r="B16" s="31" t="s">
        <v>315</v>
      </c>
      <c r="C16" s="31" t="s">
        <v>418</v>
      </c>
      <c r="D16" s="31" t="s">
        <v>49</v>
      </c>
      <c r="E16" s="31" t="s">
        <v>205</v>
      </c>
      <c r="F16" s="47">
        <v>0</v>
      </c>
      <c r="G16" s="47">
        <v>484</v>
      </c>
      <c r="H16" s="47">
        <v>83567</v>
      </c>
      <c r="I16" s="47">
        <v>81728</v>
      </c>
      <c r="J16" s="31" t="s">
        <v>206</v>
      </c>
      <c r="K16" s="47">
        <v>81751</v>
      </c>
      <c r="L16" s="154" t="s">
        <v>51</v>
      </c>
      <c r="M16" s="155">
        <f t="shared" si="0"/>
        <v>-12.144</v>
      </c>
      <c r="N16" s="156" t="str">
        <f>VLOOKUP(C16,'Trips&amp;Operators'!$C$1:$E$99999,3,FALSE)</f>
        <v>CRAYTON</v>
      </c>
      <c r="O16" s="183" t="s">
        <v>264</v>
      </c>
      <c r="P16" s="157" t="s">
        <v>844</v>
      </c>
      <c r="Q16" s="31"/>
      <c r="R16" s="100" t="str">
        <f>VLOOKUP(C16,'Train Runs'!$A$13:$AE$9988,31,0)</f>
        <v>aws s3 cp s3://rtdc.mdm.uploadarchive.raw/RTDC4041/ "%USERPROFILE%\AppData\Local\Temp\OnboardLogs"\RTDC4041\2016-11-23 --exclude "*" --recursive --include "*20161123*" &amp; "%USERPROFILE%\Documents\GitHub\mrs-test-scripts\Headless Mode &amp; Sideloading\WalkAndUnGZ.bat" "%USERPROFILE%\AppData\Local\Temp\OnboardLogs"\RTDC4041\2016-11-23 &amp; 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</v>
      </c>
      <c r="S16" s="103" t="str">
        <f>VLOOKUP(C16,'Train Runs'!$A$13:$AE$9988,22,0)</f>
        <v>https://search-rtdc-monitor-bjffxe2xuh6vdkpspy63sjmuny.us-east-1.es.amazonaws.com/_plugin/kibana/#/discover/Steve-Slow-Train-Analysis-(2080s-and-2083s)?_g=(refreshInterval:(display:Off,section:0,value:0),time:(from:'2016-11-23 14:12:58-700',mode:absolute,to:'2016-11-23 17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6" s="105" t="str">
        <f t="shared" si="1"/>
        <v>"C:\Program Files (x86)\AstroGrep\AstroGrep.exe" /spath="%USERPROFILE%\AppData\Local\Temp\OnboardLogs" /stypes="*4041*201611232*" /stext=" 22:.+((SYSTEM_STATE.+slice.+state.+changed )|(ment ac)|(multiple cpu faults)|(system.+state.+changed )|(\[timeout)|(PRM\|1\|D)|(kpr)|(kdp)|(\|lc)|(penalty))" /e /r /s</v>
      </c>
      <c r="U16" s="9" t="str">
        <f t="shared" si="2"/>
        <v>4041</v>
      </c>
      <c r="V16" s="36">
        <f t="shared" si="3"/>
        <v>42697.949687499997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-11-23","description":"http://stevetu21.github.io/eaglep3/load_kml.html?kml=http://rtdc.gmaps-snips.s3.amazonaws.com/d0ed2a09-ebaa-4a44-8331-33cc875a1299.kml","custom_fields":[{"id":1,"name":"Subdivision","value":"EC"},{"id":4,"name":"Milepost","value":"8.1751"},{"id":17,"name":"Train ID","value":"188-23"},{"id":16,"name":"Locomotive ID","value":"4041"},{"id":130,"name":"Impact","value":"Enforcement"},{"id":150,"name":"Time of Event (Mountain Time)","value":"15:47:33"},{"id":151,"name":"Denver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855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"%USERPROFILE%\AppData\Local\Temp\OnboardLogs"\RTDC4041\*4041*201611232*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"%USERPROFILE%\AppData\Local\Temp\OnboardLogs"\RTDC4041\*4041*201611232* &gt;&gt; 42697-slicedisagreementcheck.txt</v>
      </c>
    </row>
    <row r="17" spans="1:30" s="1" customFormat="1" x14ac:dyDescent="0.25">
      <c r="A17" s="36">
        <v>42697.582303240742</v>
      </c>
      <c r="B17" s="31" t="s">
        <v>396</v>
      </c>
      <c r="C17" s="31" t="s">
        <v>416</v>
      </c>
      <c r="D17" s="31" t="s">
        <v>49</v>
      </c>
      <c r="E17" s="31" t="s">
        <v>205</v>
      </c>
      <c r="F17" s="47">
        <v>0</v>
      </c>
      <c r="G17" s="47">
        <v>104</v>
      </c>
      <c r="H17" s="47">
        <v>168340</v>
      </c>
      <c r="I17" s="47">
        <v>168204</v>
      </c>
      <c r="J17" s="31" t="s">
        <v>206</v>
      </c>
      <c r="K17" s="47">
        <v>168014</v>
      </c>
      <c r="L17" s="154" t="s">
        <v>51</v>
      </c>
      <c r="M17" s="155">
        <f t="shared" si="0"/>
        <v>100.32</v>
      </c>
      <c r="N17" s="156" t="str">
        <f>VLOOKUP(C17,'Trips&amp;Operators'!$C$1:$E$99999,3,FALSE)</f>
        <v>PERKINS</v>
      </c>
      <c r="O17" s="183" t="s">
        <v>264</v>
      </c>
      <c r="P17" s="157" t="s">
        <v>840</v>
      </c>
      <c r="Q17" s="31"/>
      <c r="R17" s="100" t="str">
        <f>VLOOKUP(C17,'Train Runs'!$A$13:$AE$9988,31,0)</f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S17" s="103" t="str">
        <f>VLOOKUP(C17,'Train Runs'!$A$13:$AE$9988,22,0)</f>
        <v>https://search-rtdc-monitor-bjffxe2xuh6vdkpspy63sjmuny.us-east-1.es.amazonaws.com/_plugin/kibana/#/discover/Steve-Slow-Train-Analysis-(2080s-and-2083s)?_g=(refreshInterval:(display:Off,section:0,value:0),time:(from:'2016-11-23 13:04:42-700',mode:absolute,to:'2016-11-23 15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/stypes="*4026*201611232*" /stext=" 20:.+((SYSTEM_STATE.+slice.+state.+changed )|(ment ac)|(multiple cpu faults)|(system.+state.+changed )|(\[timeout)|(PRM\|1\|D)|(kpr)|(kdp)|(\|lc)|(penalty))" /e /r /s</v>
      </c>
      <c r="U17" s="9" t="str">
        <f t="shared" si="2"/>
        <v>4026</v>
      </c>
      <c r="V17" s="36">
        <f t="shared" si="3"/>
        <v>42697.873969907407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{"issue":{"subject":"EC1678RH 167-1T 1S aspects kept changing","project_id":79,"tracker_id":40,"status_id":1,"priority_id":2,"assigned_to_id":23,"start_date":"2016-11-23","description":"","custom_fields":[{"id":1,"name":"Subdivision","value":"EC"},{"id":4,"name":"Milepost","value":"16.8014"},{"id":17,"name":"Train ID","value":"174-23"},{"id":16,"name":"Locomotive ID","value":"4026"},{"id":130,"name":"Impact","value":""},{"id":150,"name":"Time of Event (Mountain Time)","value":"13:58:31"},{"id":151,"name":"Denver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"%USERPROFILE%\AppData\Local\Temp\OnboardLogs"\RTDC4026\*4026*201611232*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"%USERPROFILE%\AppData\Local\Temp\OnboardLogs"\RTDC4026\*4026*201611232* &gt;&gt; 42697-slicedisagreementcheck.txt</v>
      </c>
    </row>
    <row r="18" spans="1:30" s="1" customFormat="1" x14ac:dyDescent="0.25">
      <c r="A18" s="36">
        <v>42697.578645833331</v>
      </c>
      <c r="B18" s="31" t="s">
        <v>396</v>
      </c>
      <c r="C18" s="31" t="s">
        <v>416</v>
      </c>
      <c r="D18" s="31" t="s">
        <v>49</v>
      </c>
      <c r="E18" s="31" t="s">
        <v>205</v>
      </c>
      <c r="F18" s="47">
        <v>0</v>
      </c>
      <c r="G18" s="47">
        <v>696</v>
      </c>
      <c r="H18" s="47">
        <v>181679</v>
      </c>
      <c r="I18" s="47">
        <v>178107</v>
      </c>
      <c r="J18" s="31" t="s">
        <v>206</v>
      </c>
      <c r="K18" s="47">
        <v>175398</v>
      </c>
      <c r="L18" s="154" t="s">
        <v>51</v>
      </c>
      <c r="M18" s="155">
        <f t="shared" si="0"/>
        <v>1430.3519999999999</v>
      </c>
      <c r="N18" s="156" t="str">
        <f>VLOOKUP(C18,'Trips&amp;Operators'!$C$1:$E$99999,3,FALSE)</f>
        <v>PERKINS</v>
      </c>
      <c r="O18" s="183" t="s">
        <v>264</v>
      </c>
      <c r="P18" s="157" t="s">
        <v>840</v>
      </c>
      <c r="Q18" s="31"/>
      <c r="R18" s="100" t="str">
        <f>VLOOKUP(C18,'Train Runs'!$A$13:$AE$9988,31,0)</f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S18" s="103" t="str">
        <f>VLOOKUP(C18,'Train Runs'!$A$13:$AE$9988,22,0)</f>
        <v>https://search-rtdc-monitor-bjffxe2xuh6vdkpspy63sjmuny.us-east-1.es.amazonaws.com/_plugin/kibana/#/discover/Steve-Slow-Train-Analysis-(2080s-and-2083s)?_g=(refreshInterval:(display:Off,section:0,value:0),time:(from:'2016-11-23 13:04:42-700',mode:absolute,to:'2016-11-23 15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5" t="str">
        <f t="shared" si="1"/>
        <v>"C:\Program Files (x86)\AstroGrep\AstroGrep.exe" /spath="%USERPROFILE%\AppData\Local\Temp\OnboardLogs" /stypes="*4026*201611232*" /stext=" 20:.+((SYSTEM_STATE.+slice.+state.+changed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6">
        <f t="shared" si="3"/>
        <v>42697.870312499996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{"issue":{"subject":"EC1678RH 167-1T 1S aspects kept changing","project_id":79,"tracker_id":40,"status_id":1,"priority_id":2,"assigned_to_id":23,"start_date":"2016-11-23","description":"","custom_fields":[{"id":1,"name":"Subdivision","value":"EC"},{"id":4,"name":"Milepost","value":"17.5398"},{"id":17,"name":"Train ID","value":"174-23"},{"id":16,"name":"Locomotive ID","value":"4026"},{"id":130,"name":"Impact","value":""},{"id":150,"name":"Time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"%USERPROFILE%\AppData\Local\Temp\OnboardLogs"\RTDC4026\*4026*201611232*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"%USERPROFILE%\AppData\Local\Temp\OnboardLogs"\RTDC4026\*4026*201611232* &gt;&gt; 42697-slicedisagreementcheck.txt</v>
      </c>
    </row>
    <row r="19" spans="1:30" s="1" customFormat="1" x14ac:dyDescent="0.25">
      <c r="A19" s="36">
        <v>42698.064583333333</v>
      </c>
      <c r="B19" s="31" t="s">
        <v>281</v>
      </c>
      <c r="C19" s="31" t="s">
        <v>432</v>
      </c>
      <c r="D19" s="31" t="s">
        <v>49</v>
      </c>
      <c r="E19" s="31" t="s">
        <v>205</v>
      </c>
      <c r="F19" s="47">
        <v>0</v>
      </c>
      <c r="G19" s="47">
        <v>609</v>
      </c>
      <c r="H19" s="47">
        <v>183760</v>
      </c>
      <c r="I19" s="47">
        <v>180981</v>
      </c>
      <c r="J19" s="31" t="s">
        <v>206</v>
      </c>
      <c r="K19" s="47">
        <v>182920</v>
      </c>
      <c r="L19" s="154" t="s">
        <v>51</v>
      </c>
      <c r="M19" s="155">
        <f t="shared" si="0"/>
        <v>-1023.792</v>
      </c>
      <c r="N19" s="156" t="str">
        <f>VLOOKUP(C19,'Trips&amp;Operators'!$C$1:$E$99999,3,FALSE)</f>
        <v>COOLAHAN</v>
      </c>
      <c r="O19" s="183" t="s">
        <v>264</v>
      </c>
      <c r="P19" s="157" t="s">
        <v>851</v>
      </c>
      <c r="Q19" s="31"/>
      <c r="R19" s="100" t="str">
        <f>VLOOKUP(C19,'Train Runs'!$A$13:$AE$9988,31,0)</f>
        <v>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 &amp; 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</v>
      </c>
      <c r="S19" s="103" t="str">
        <f>VLOOKUP(C19,'Train Runs'!$A$13:$AE$9988,22,0)</f>
        <v>https://search-rtdc-monitor-bjffxe2xuh6vdkpspy63sjmuny.us-east-1.es.amazonaws.com/_plugin/kibana/#/discover/Steve-Slow-Train-Analysis-(2080s-and-2083s)?_g=(refreshInterval:(display:Off,section:0,value:0),time:(from:'2016-11-24 00:49:12-700',mode:absolute,to:'2016-11-24 03:13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9" s="105" t="str">
        <f t="shared" si="1"/>
        <v>"C:\Program Files (x86)\AstroGrep\AstroGrep.exe" /spath="%USERPROFILE%\AppData\Local\Temp\OnboardLogs" /stypes="*4045*201611240*" /stext=" 08:.+((SYSTEM_STATE.+slice.+state.+changed )|(ment ac)|(multiple cpu faults)|(system.+state.+changed )|(\[timeout)|(PRM\|1\|D)|(kpr)|(kdp)|(\|lc)|(penalty))" /e /r /s</v>
      </c>
      <c r="U19" s="9" t="str">
        <f t="shared" si="2"/>
        <v>4045</v>
      </c>
      <c r="V19" s="36">
        <f t="shared" si="3"/>
        <v>42698.356249999997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{"issue":{"subject":"CP 61st ELXS Failure","project_id":79,"tracker_id":40,"status_id":1,"priority_id":2,"assigned_to_id":23,"start_date":"2016-11-24","description":"","custom_fields":[{"id":1,"name":"Subdivision","value":"EC"},{"id":4,"name":"Milepost","value":"18.292"},{"id":17,"name":"Train ID","value":"244-23"},{"id":16,"name":"Locomotive ID","value":"4045"},{"id":130,"name":"Impact","value":""},{"id":150,"name":"Time of Event (Mountain Time)","value":"01:33:00"},{"id":151,"name":"Denver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"%USERPROFILE%\AppData\Local\Temp\OnboardLogs"\RTDC4045\*4045*201611240*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"%USERPROFILE%\AppData\Local\Temp\OnboardLogs"\RTDC4045\*4045*201611240* &gt;&gt; 42697-slicedisagreementcheck.txt</v>
      </c>
    </row>
    <row r="20" spans="1:30" s="1" customFormat="1" x14ac:dyDescent="0.25">
      <c r="A20" s="36">
        <v>42697.833981481483</v>
      </c>
      <c r="B20" s="31" t="s">
        <v>281</v>
      </c>
      <c r="C20" s="31" t="s">
        <v>429</v>
      </c>
      <c r="D20" s="31" t="s">
        <v>98</v>
      </c>
      <c r="E20" s="31" t="s">
        <v>265</v>
      </c>
      <c r="F20" s="47">
        <v>150</v>
      </c>
      <c r="G20" s="47">
        <v>201</v>
      </c>
      <c r="H20" s="47">
        <v>26668</v>
      </c>
      <c r="I20" s="47">
        <v>26272</v>
      </c>
      <c r="J20" s="31" t="s">
        <v>153</v>
      </c>
      <c r="K20" s="47">
        <v>27399</v>
      </c>
      <c r="L20" s="154" t="s">
        <v>51</v>
      </c>
      <c r="M20" s="155">
        <f t="shared" si="0"/>
        <v>-595.05600000000004</v>
      </c>
      <c r="N20" s="156" t="str">
        <f>VLOOKUP(C20,'Trips&amp;Operators'!$C$1:$E$99999,3,FALSE)</f>
        <v>COOLAHAN</v>
      </c>
      <c r="O20" s="183" t="s">
        <v>202</v>
      </c>
      <c r="P20" s="157"/>
      <c r="Q20" s="31"/>
      <c r="R20" s="100" t="str">
        <f>VLOOKUP(C20,'Train Runs'!$A$13:$AE$9988,31,0)</f>
        <v>aws s3 cp s3://rtdc.mdm.uploadarchive.raw/RTDC4045/ "%USERPROFILE%\AppData\Local\Temp\OnboardLogs"\RTDC4045\2016-11-23 --exclude "*" --recursive --include "*20161123*" &amp; "%USERPROFILE%\Documents\GitHub\mrs-test-scripts\Headless Mode &amp; Sideloading\WalkAndUnGZ.bat" "%USERPROFILE%\AppData\Local\Temp\OnboardLogs"\RTDC4045\2016-11-23 &amp; 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</v>
      </c>
      <c r="S20" s="103" t="str">
        <f>VLOOKUP(C20,'Train Runs'!$A$13:$AE$9988,22,0)</f>
        <v>https://search-rtdc-monitor-bjffxe2xuh6vdkpspy63sjmuny.us-east-1.es.amazonaws.com/_plugin/kibana/#/discover/Steve-Slow-Train-Analysis-(2080s-and-2083s)?_g=(refreshInterval:(display:Off,section:0,value:0),time:(from:'2016-11-23 18:20:33-700',mode:absolute,to:'2016-11-23 21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/stypes="*4045*201611240*" /stext=" 03:.+((SYSTEM_STATE.+slice.+state.+changed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6">
        <f t="shared" si="3"/>
        <v>42698.125648148147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{"issue":{"subject":"","project_id":79,"tracker_id":40,"status_id":1,"priority_id":2,"assigned_to_id":23,"start_date":"2016-11-23","description":"","custom_fields":[{"id":1,"name":"Subdivision","value":"EC"},{"id":4,"name":"Milepost","value":"2.7399"},{"id":17,"name":"Train ID","value":"220-23"},{"id":16,"name":"Locomotive ID","value":"4045"},{"id":130,"name":"Impact","value":""},{"id":150,"name":"Time of Event (Mountain Time)","value":"20:00:56"},{"id":151,"name":"Denver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"%USERPROFILE%\AppData\Local\Temp\OnboardLogs"\RTDC4045\*4045*201611240*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"%USERPROFILE%\AppData\Local\Temp\OnboardLogs"\RTDC4045\*4045*201611240* &gt;&gt; 42697-slicedisagreementcheck.txt</v>
      </c>
    </row>
    <row r="21" spans="1:30" x14ac:dyDescent="0.25">
      <c r="A21" s="36">
        <v>42697.222592592596</v>
      </c>
      <c r="B21" s="31" t="s">
        <v>396</v>
      </c>
      <c r="C21" s="31" t="s">
        <v>397</v>
      </c>
      <c r="D21" s="31" t="s">
        <v>49</v>
      </c>
      <c r="E21" s="31" t="s">
        <v>207</v>
      </c>
      <c r="F21" s="47">
        <v>0</v>
      </c>
      <c r="G21" s="47">
        <v>60</v>
      </c>
      <c r="H21" s="47">
        <v>231</v>
      </c>
      <c r="I21" s="47">
        <v>169</v>
      </c>
      <c r="J21" s="31" t="s">
        <v>208</v>
      </c>
      <c r="K21" s="47">
        <v>1</v>
      </c>
      <c r="L21" s="154" t="s">
        <v>51</v>
      </c>
      <c r="M21" s="155">
        <f t="shared" si="0"/>
        <v>88.703999999999994</v>
      </c>
      <c r="N21" s="156" t="str">
        <f>VLOOKUP(C21,'Trips&amp;Operators'!$C$1:$E$99999,3,FALSE)</f>
        <v>ACKERMAN</v>
      </c>
      <c r="O21" s="183" t="s">
        <v>202</v>
      </c>
      <c r="P21" s="157"/>
      <c r="Q21" s="31"/>
      <c r="R21" s="100" t="str">
        <f>VLOOKUP(C21,'Train Runs'!$A$13:$AE$9988,31,0)</f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S21" s="103" t="str">
        <f>VLOOKUP(C21,'Train Runs'!$A$13:$AE$9988,22,0)</f>
        <v>https://search-rtdc-monitor-bjffxe2xuh6vdkpspy63sjmuny.us-east-1.es.amazonaws.com/_plugin/kibana/#/discover/Steve-Slow-Train-Analysis-(2080s-and-2083s)?_g=(refreshInterval:(display:Off,section:0,value:0),time:(from:'2016-11-23 03:32:23-700',mode:absolute,to:'2016-11-23 06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/stypes="*4026*201611231*" /stext=" 12:.+((SYSTEM_STATE.+slice.+state.+changed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6">
        <f t="shared" si="3"/>
        <v>42697.51425925926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ID","value":"104-23"},{"id":16,"name":"Locomotive ID","value":"4026"},{"id":130,"name":"Impact","value":""},{"id":150,"name":"Time of Event (Mountain Time)","value":"05:20:32"},{"id":151,"name":"Denver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"%USERPROFILE%\AppData\Local\Temp\OnboardLogs"\RTDC4026\*4026*201611231*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"%USERPROFILE%\AppData\Local\Temp\OnboardLogs"\RTDC4026\*4026*201611231* &gt;&gt; 42697-slicedisagreementcheck.txt</v>
      </c>
    </row>
    <row r="22" spans="1:30" x14ac:dyDescent="0.25">
      <c r="A22" s="36">
        <v>42697.37809027778</v>
      </c>
      <c r="B22" s="31" t="s">
        <v>396</v>
      </c>
      <c r="C22" s="31" t="s">
        <v>403</v>
      </c>
      <c r="D22" s="31" t="s">
        <v>49</v>
      </c>
      <c r="E22" s="31" t="s">
        <v>207</v>
      </c>
      <c r="F22" s="47">
        <v>0</v>
      </c>
      <c r="G22" s="47">
        <v>45</v>
      </c>
      <c r="H22" s="47">
        <v>141</v>
      </c>
      <c r="I22" s="47">
        <v>112</v>
      </c>
      <c r="J22" s="31" t="s">
        <v>208</v>
      </c>
      <c r="K22" s="47">
        <v>1</v>
      </c>
      <c r="L22" s="154" t="s">
        <v>51</v>
      </c>
      <c r="M22" s="155">
        <f t="shared" si="0"/>
        <v>58.607999999999997</v>
      </c>
      <c r="N22" s="156" t="str">
        <f>VLOOKUP(C22,'Trips&amp;Operators'!$C$1:$E$99999,3,FALSE)</f>
        <v>ACKERMAN</v>
      </c>
      <c r="O22" s="183" t="s">
        <v>202</v>
      </c>
      <c r="P22" s="157"/>
      <c r="Q22" s="31"/>
      <c r="R22" s="100" t="str">
        <f>VLOOKUP(C22,'Train Runs'!$A$13:$AE$9988,31,0)</f>
        <v>aws s3 cp s3://rtdc.mdm.uploadarchive.raw/RTDC4026/ "%USERPROFILE%\AppData\Local\Temp\OnboardLogs"\RTDC4026\2016-11-23 --exclude "*" --recursive --include "*20161123*" &amp; "%USERPROFILE%\Documents\GitHub\mrs-test-scripts\Headless Mode &amp; Sideloading\WalkAndUnGZ.bat" "%USERPROFILE%\AppData\Local\Temp\OnboardLogs"\RTDC4026\2016-11-23 &amp; aws s3 cp s3://rtdc.mdm.uploadarchive.raw/RTDC4026/ "%USERPROFILE%\AppData\Local\Temp\OnboardLogs"\RTDC4026\2016-11-24 --exclude "*" --recursive --include "*20161124*" &amp; "%USERPROFILE%\Documents\GitHub\mrs-test-scripts\Headless Mode &amp; Sideloading\WalkAndUnGZ.bat" "%USERPROFILE%\AppData\Local\Temp\OnboardLogs"\RTDC4026\2016-11-24</v>
      </c>
      <c r="S22" s="103" t="str">
        <f>VLOOKUP(C22,'Train Runs'!$A$13:$AE$9988,22,0)</f>
        <v>https://search-rtdc-monitor-bjffxe2xuh6vdkpspy63sjmuny.us-east-1.es.amazonaws.com/_plugin/kibana/#/discover/Steve-Slow-Train-Analysis-(2080s-and-2083s)?_g=(refreshInterval:(display:Off,section:0,value:0),time:(from:'2016-11-23 07:13:51-700',mode:absolute,to:'2016-11-23 10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2" s="105" t="str">
        <f t="shared" si="1"/>
        <v>"C:\Program Files (x86)\AstroGrep\AstroGrep.exe" /spath="%USERPROFILE%\AppData\Local\Temp\OnboardLogs" /stypes="*4026*201611231*" /stext=" 16:.+((SYSTEM_STATE.+slice.+state.+changed )|(ment ac)|(multiple cpu faults)|(system.+state.+changed )|(\[timeout)|(PRM\|1\|D)|(kpr)|(kdp)|(\|lc)|(penalty))" /e /r /s</v>
      </c>
      <c r="U22" s="9" t="str">
        <f t="shared" si="2"/>
        <v>4026</v>
      </c>
      <c r="V22" s="36">
        <f t="shared" si="3"/>
        <v>42697.669756944444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ID","value":"132-23"},{"id":16,"name":"Locomotive ID","value":"4026"},{"id":130,"name":"Impact","value":""},{"id":150,"name":"Time of Event (Mountain Time)","value":"09:04:27"},{"id":151,"name":"Denver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"%USERPROFILE%\AppData\Local\Temp\OnboardLogs"\RTDC4026\*4026*201611231*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"%USERPROFILE%\AppData\Local\Temp\OnboardLogs"\RTDC4026\*4026*201611231* &gt;&gt; 42697-slicedisagreementcheck.txt</v>
      </c>
    </row>
    <row r="23" spans="1:30" x14ac:dyDescent="0.25">
      <c r="A23" s="36">
        <v>42697.387557870374</v>
      </c>
      <c r="B23" s="31" t="s">
        <v>222</v>
      </c>
      <c r="C23" s="31" t="s">
        <v>404</v>
      </c>
      <c r="D23" s="31" t="s">
        <v>49</v>
      </c>
      <c r="E23" s="31" t="s">
        <v>207</v>
      </c>
      <c r="F23" s="47">
        <v>0</v>
      </c>
      <c r="G23" s="47">
        <v>63</v>
      </c>
      <c r="H23" s="47">
        <v>234</v>
      </c>
      <c r="I23" s="47">
        <v>163</v>
      </c>
      <c r="J23" s="31" t="s">
        <v>208</v>
      </c>
      <c r="K23" s="47">
        <v>1</v>
      </c>
      <c r="L23" s="154" t="s">
        <v>51</v>
      </c>
      <c r="M23" s="155">
        <f t="shared" si="0"/>
        <v>85.536000000000001</v>
      </c>
      <c r="N23" s="156" t="str">
        <f>VLOOKUP(C23,'Trips&amp;Operators'!$C$1:$E$99999,3,FALSE)</f>
        <v>SANTIZO</v>
      </c>
      <c r="O23" s="183" t="s">
        <v>202</v>
      </c>
      <c r="P23" s="157"/>
      <c r="Q23" s="31"/>
      <c r="R23" s="100" t="str">
        <f>VLOOKUP(C23,'Train Runs'!$A$13:$AE$9988,31,0)</f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S23" s="103" t="str">
        <f>VLOOKUP(C23,'Train Runs'!$A$13:$AE$9988,22,0)</f>
        <v>https://search-rtdc-monitor-bjffxe2xuh6vdkpspy63sjmuny.us-east-1.es.amazonaws.com/_plugin/kibana/#/discover/Steve-Slow-Train-Analysis-(2080s-and-2083s)?_g=(refreshInterval:(display:Off,section:0,value:0),time:(from:'2016-11-23 07:22:21-700',mode:absolute,to:'2016-11-23 10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5" t="str">
        <f t="shared" si="1"/>
        <v>"C:\Program Files (x86)\AstroGrep\AstroGrep.exe" /spath="%USERPROFILE%\AppData\Local\Temp\OnboardLogs" /stypes="*4039*201611231*" /stext=" 16:.+((SYSTEM_STATE.+slice.+state.+changed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6">
        <f t="shared" si="3"/>
        <v>42697.679224537038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ID","value":"134-23"},{"id":16,"name":"Locomotive ID","value":"4039"},{"id":130,"name":"Impact","value":""},{"id":150,"name":"Time of Event (Mountain Time)","value":"09:18:05"},{"id":151,"name":"Denver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"%USERPROFILE%\AppData\Local\Temp\OnboardLogs"\RTDC4039\*4039*201611231*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"%USERPROFILE%\AppData\Local\Temp\OnboardLogs"\RTDC4039\*4039*201611231* &gt;&gt; 42697-slicedisagreementcheck.txt</v>
      </c>
    </row>
    <row r="24" spans="1:30" ht="15" customHeight="1" x14ac:dyDescent="0.25">
      <c r="A24" s="36">
        <v>42697.420277777775</v>
      </c>
      <c r="B24" s="31" t="s">
        <v>406</v>
      </c>
      <c r="C24" s="31" t="s">
        <v>407</v>
      </c>
      <c r="D24" s="31" t="s">
        <v>49</v>
      </c>
      <c r="E24" s="31" t="s">
        <v>207</v>
      </c>
      <c r="F24" s="47">
        <v>0</v>
      </c>
      <c r="G24" s="47">
        <v>50</v>
      </c>
      <c r="H24" s="47">
        <v>138</v>
      </c>
      <c r="I24" s="47">
        <v>101</v>
      </c>
      <c r="J24" s="31" t="s">
        <v>208</v>
      </c>
      <c r="K24" s="47">
        <v>1</v>
      </c>
      <c r="L24" s="154" t="s">
        <v>51</v>
      </c>
      <c r="M24" s="155">
        <f t="shared" si="0"/>
        <v>52.8</v>
      </c>
      <c r="N24" s="156" t="str">
        <f>VLOOKUP(C24,'Trips&amp;Operators'!$C$1:$E$99999,3,FALSE)</f>
        <v>JOHNSON</v>
      </c>
      <c r="O24" s="183" t="s">
        <v>202</v>
      </c>
      <c r="P24" s="157"/>
      <c r="Q24" s="31"/>
      <c r="R24" s="100" t="str">
        <f>VLOOKUP(C24,'Train Runs'!$A$13:$AE$9988,31,0)</f>
        <v>aws s3 cp s3://rtdc.mdm.uploadarchive.raw/RTDC4004/ "%USERPROFILE%\AppData\Local\Temp\OnboardLogs"\RTDC4004\2016-11-23 --exclude "*" --recursive --include "*20161123*" &amp; "%USERPROFILE%\Documents\GitHub\mrs-test-scripts\Headless Mode &amp; Sideloading\WalkAndUnGZ.bat" "%USERPROFILE%\AppData\Local\Temp\OnboardLogs"\RTDC4004\2016-11-23 &amp; aws s3 cp s3://rtdc.mdm.uploadarchive.raw/RTDC4004/ "%USERPROFILE%\AppData\Local\Temp\OnboardLogs"\RTDC4004\2016-11-24 --exclude "*" --recursive --include "*20161124*" &amp; "%USERPROFILE%\Documents\GitHub\mrs-test-scripts\Headless Mode &amp; Sideloading\WalkAndUnGZ.bat" "%USERPROFILE%\AppData\Local\Temp\OnboardLogs"\RTDC4004\2016-11-24</v>
      </c>
      <c r="S24" s="103" t="str">
        <f>VLOOKUP(C24,'Train Runs'!$A$13:$AE$9988,22,0)</f>
        <v>https://search-rtdc-monitor-bjffxe2xuh6vdkpspy63sjmuny.us-east-1.es.amazonaws.com/_plugin/kibana/#/discover/Steve-Slow-Train-Analysis-(2080s-and-2083s)?_g=(refreshInterval:(display:Off,section:0,value:0),time:(from:'2016-11-23 08:09:37-700',mode:absolute,to:'2016-11-23 11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4" s="105" t="str">
        <f t="shared" si="1"/>
        <v>"C:\Program Files (x86)\AstroGrep\AstroGrep.exe" /spath="%USERPROFILE%\AppData\Local\Temp\OnboardLogs" /stypes="*4004*201611231*" /stext=" 17:.+((SYSTEM_STATE.+slice.+state.+changed )|(ment ac)|(multiple cpu faults)|(system.+state.+changed )|(\[timeout)|(PRM\|1\|D)|(kpr)|(kdp)|(\|lc)|(penalty))" /e /r /s</v>
      </c>
      <c r="U24" s="9" t="str">
        <f t="shared" si="2"/>
        <v>4004</v>
      </c>
      <c r="V24" s="36">
        <f t="shared" si="3"/>
        <v>42697.71194444444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ID","value":"140-23"},{"id":16,"name":"Locomotive ID","value":"4004"},{"id":130,"name":"Impact","value":""},{"id":150,"name":"Time of Event (Mountain Time)","value":"10:05:12"},{"id":151,"name":"Denver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"%USERPROFILE%\AppData\Local\Temp\OnboardLogs"\RTDC4004\*4004*201611231*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"%USERPROFILE%\AppData\Local\Temp\OnboardLogs"\RTDC4004\*4004*201611231* &gt;&gt; 42697-slicedisagreementcheck.txt</v>
      </c>
    </row>
    <row r="25" spans="1:30" x14ac:dyDescent="0.25">
      <c r="A25" s="36">
        <v>42697.430983796294</v>
      </c>
      <c r="B25" s="31" t="s">
        <v>392</v>
      </c>
      <c r="C25" s="31" t="s">
        <v>409</v>
      </c>
      <c r="D25" s="31" t="s">
        <v>49</v>
      </c>
      <c r="E25" s="31" t="s">
        <v>207</v>
      </c>
      <c r="F25" s="47">
        <v>0</v>
      </c>
      <c r="G25" s="47">
        <v>78</v>
      </c>
      <c r="H25" s="47">
        <v>280</v>
      </c>
      <c r="I25" s="47">
        <v>147</v>
      </c>
      <c r="J25" s="31" t="s">
        <v>208</v>
      </c>
      <c r="K25" s="47">
        <v>1</v>
      </c>
      <c r="L25" s="154" t="s">
        <v>51</v>
      </c>
      <c r="M25" s="155">
        <f t="shared" si="0"/>
        <v>77.087999999999994</v>
      </c>
      <c r="N25" s="156" t="str">
        <f>VLOOKUP(C25,'Trips&amp;Operators'!$C$1:$E$99999,3,FALSE)</f>
        <v>MCREYNOLDS</v>
      </c>
      <c r="O25" s="183" t="s">
        <v>202</v>
      </c>
      <c r="P25" s="157"/>
      <c r="Q25" s="31"/>
      <c r="R25" s="100" t="str">
        <f>VLOOKUP(C25,'Train Runs'!$A$13:$AE$9988,31,0)</f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S25" s="103" t="str">
        <f>VLOOKUP(C25,'Train Runs'!$A$13:$AE$9988,22,0)</f>
        <v>https://search-rtdc-monitor-bjffxe2xuh6vdkpspy63sjmuny.us-east-1.es.amazonaws.com/_plugin/kibana/#/discover/Steve-Slow-Train-Analysis-(2080s-and-2083s)?_g=(refreshInterval:(display:Off,section:0,value:0),time:(from:'2016-11-23 08:27:06-700',mode:absolute,to:'2016-11-23 11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 t="shared" si="1"/>
        <v>"C:\Program Files (x86)\AstroGrep\AstroGrep.exe" /spath="%USERPROFILE%\AppData\Local\Temp\OnboardLogs" /stypes="*4008*201611231*" /stext=" 17:.+((SYSTEM_STATE.+slice.+state.+changed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6">
        <f t="shared" si="3"/>
        <v>42697.722650462958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ID","value":"142-23"},{"id":16,"name":"Locomotive ID","value":"4008"},{"id":130,"name":"Impact","value":""},{"id":150,"name":"Time of Event (Mountain Time)","value":"10:20:37"},{"id":151,"name":"Denver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"%USERPROFILE%\AppData\Local\Temp\OnboardLogs"\RTDC4008\*4008*201611231*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"%USERPROFILE%\AppData\Local\Temp\OnboardLogs"\RTDC4008\*4008*201611231* &gt;&gt; 42697-slicedisagreementcheck.txt</v>
      </c>
    </row>
    <row r="26" spans="1:30" x14ac:dyDescent="0.25">
      <c r="A26" s="36">
        <v>42697.4608912037</v>
      </c>
      <c r="B26" s="31" t="s">
        <v>222</v>
      </c>
      <c r="C26" s="31" t="s">
        <v>411</v>
      </c>
      <c r="D26" s="31" t="s">
        <v>49</v>
      </c>
      <c r="E26" s="31" t="s">
        <v>207</v>
      </c>
      <c r="F26" s="47">
        <v>0</v>
      </c>
      <c r="G26" s="47">
        <v>44</v>
      </c>
      <c r="H26" s="47">
        <v>123</v>
      </c>
      <c r="I26" s="47">
        <v>81</v>
      </c>
      <c r="J26" s="31" t="s">
        <v>208</v>
      </c>
      <c r="K26" s="47">
        <v>1</v>
      </c>
      <c r="L26" s="154" t="s">
        <v>51</v>
      </c>
      <c r="M26" s="155">
        <f t="shared" si="0"/>
        <v>42.24</v>
      </c>
      <c r="N26" s="156" t="str">
        <f>VLOOKUP(C26,'Trips&amp;Operators'!$C$1:$E$99999,3,FALSE)</f>
        <v>SANTIZO</v>
      </c>
      <c r="O26" s="183" t="s">
        <v>202</v>
      </c>
      <c r="P26" s="157"/>
      <c r="Q26" s="31"/>
      <c r="R26" s="100" t="str">
        <f>VLOOKUP(C26,'Train Runs'!$A$13:$AE$9988,31,0)</f>
        <v>aws s3 cp s3://rtdc.mdm.uploadarchive.raw/RTDC4039/ "%USERPROFILE%\AppData\Local\Temp\OnboardLogs"\RTDC4039\2016-11-23 --exclude "*" --recursive --include "*20161123*" &amp; "%USERPROFILE%\Documents\GitHub\mrs-test-scripts\Headless Mode &amp; Sideloading\WalkAndUnGZ.bat" "%USERPROFILE%\AppData\Local\Temp\OnboardLogs"\RTDC4039\2016-11-23 &amp; 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</v>
      </c>
      <c r="S26" s="103" t="str">
        <f>VLOOKUP(C26,'Train Runs'!$A$13:$AE$9988,22,0)</f>
        <v>https://search-rtdc-monitor-bjffxe2xuh6vdkpspy63sjmuny.us-east-1.es.amazonaws.com/_plugin/kibana/#/discover/Steve-Slow-Train-Analysis-(2080s-and-2083s)?_g=(refreshInterval:(display:Off,section:0,value:0),time:(from:'2016-11-23 09:07:48-700',mode:absolute,to:'2016-11-23 12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 t="shared" si="1"/>
        <v>"C:\Program Files (x86)\AstroGrep\AstroGrep.exe" /spath="%USERPROFILE%\AppData\Local\Temp\OnboardLogs" /stypes="*4039*201611231*" /stext=" 18:.+((SYSTEM_STATE.+slice.+state.+changed )|(ment ac)|(multiple cpu faults)|(system.+state.+changed )|(\[timeout)|(PRM\|1\|D)|(kpr)|(kdp)|(\|lc)|(penalty))" /e /r /s</v>
      </c>
      <c r="U26" s="9" t="str">
        <f t="shared" si="2"/>
        <v>4039</v>
      </c>
      <c r="V26" s="36">
        <f t="shared" si="3"/>
        <v>42697.752557870364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{"issue":{"subject":"","project_id":79,"tracker_id":40,"status_id":1,"priority_id":2,"assigned_to_id":23,"start_date":"2016-11-23","description":"","custom_fields":[{"id":1,"name":"Subdivision","value":"EC"},{"id":4,"name":"Milepost","value":"0.0001"},{"id":17,"name":"Train ID","value":"148-23"},{"id":16,"name":"Locomotive ID","value":"4039"},{"id":130,"name":"Impact","value":""},{"id":150,"name":"Time of Event (Mountain Time)","value":"11:03:41"},{"id":151,"name":"Denver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"%USERPROFILE%\AppData\Local\Temp\OnboardLogs"\RTDC4039\*4039*201611231*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"%USERPROFILE%\AppData\Local\Temp\OnboardLogs"\RTDC4039\*4039*201611231* &gt;&gt; 42697-slicedisagreementcheck.txt</v>
      </c>
    </row>
    <row r="27" spans="1:30" x14ac:dyDescent="0.25">
      <c r="A27" s="36">
        <v>42697.399594907409</v>
      </c>
      <c r="B27" s="31" t="s">
        <v>351</v>
      </c>
      <c r="C27" s="31" t="s">
        <v>405</v>
      </c>
      <c r="D27" s="31" t="s">
        <v>49</v>
      </c>
      <c r="E27" s="31" t="s">
        <v>207</v>
      </c>
      <c r="F27" s="47">
        <v>0</v>
      </c>
      <c r="G27" s="47">
        <v>71</v>
      </c>
      <c r="H27" s="47">
        <v>233220</v>
      </c>
      <c r="I27" s="47">
        <v>233289</v>
      </c>
      <c r="J27" s="31" t="s">
        <v>208</v>
      </c>
      <c r="K27" s="47">
        <v>233491</v>
      </c>
      <c r="L27" s="154" t="s">
        <v>50</v>
      </c>
      <c r="M27" s="155">
        <f t="shared" si="0"/>
        <v>106.65600000000001</v>
      </c>
      <c r="N27" s="156" t="str">
        <f>VLOOKUP(C27,'Trips&amp;Operators'!$C$1:$E$99999,3,FALSE)</f>
        <v>RICHARDSON</v>
      </c>
      <c r="O27" s="183" t="s">
        <v>202</v>
      </c>
      <c r="P27" s="157"/>
      <c r="Q27" s="31"/>
      <c r="R27" s="100" t="str">
        <f>VLOOKUP(C27,'Train Runs'!$A$13:$AE$9988,31,0)</f>
        <v>aws s3 cp s3://rtdc.mdm.uploadarchive.raw/RTDC4029/ "%USERPROFILE%\AppData\Local\Temp\OnboardLogs"\RTDC4029\2016-11-23 --exclude "*" --recursive --include "*20161123*" &amp; "%USERPROFILE%\Documents\GitHub\mrs-test-scripts\Headless Mode &amp; Sideloading\WalkAndUnGZ.bat" "%USERPROFILE%\AppData\Local\Temp\OnboardLogs"\RTDC4029\2016-11-23 &amp; aws s3 cp s3://rtdc.mdm.uploadarchive.raw/RTDC4029/ "%USERPROFILE%\AppData\Local\Temp\OnboardLogs"\RTDC4029\2016-11-24 --exclude "*" --recursive --include "*20161124*" &amp; "%USERPROFILE%\Documents\GitHub\mrs-test-scripts\Headless Mode &amp; Sideloading\WalkAndUnGZ.bat" "%USERPROFILE%\AppData\Local\Temp\OnboardLogs"\RTDC4029\2016-11-24</v>
      </c>
      <c r="S27" s="103" t="str">
        <f>VLOOKUP(C27,'Train Runs'!$A$13:$AE$9988,22,0)</f>
        <v>https://search-rtdc-monitor-bjffxe2xuh6vdkpspy63sjmuny.us-east-1.es.amazonaws.com/_plugin/kibana/#/discover/Steve-Slow-Train-Analysis-(2080s-and-2083s)?_g=(refreshInterval:(display:Off,section:0,value:0),time:(from:'2016-11-23 07:51:27-700',mode:absolute,to:'2016-11-23 10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7" s="105" t="str">
        <f t="shared" si="1"/>
        <v>"C:\Program Files (x86)\AstroGrep\AstroGrep.exe" /spath="%USERPROFILE%\AppData\Local\Temp\OnboardLogs" /stypes="*4029*201611231*" /stext=" 16:.+((SYSTEM_STATE.+slice.+state.+changed )|(ment ac)|(multiple cpu faults)|(system.+state.+changed )|(\[timeout)|(PRM\|1\|D)|(kpr)|(kdp)|(\|lc)|(penalty))" /e /r /s</v>
      </c>
      <c r="U27" s="9" t="str">
        <f t="shared" si="2"/>
        <v>4029</v>
      </c>
      <c r="V27" s="36">
        <f t="shared" si="3"/>
        <v>42697.691261574073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{"issue":{"subject":"","project_id":79,"tracker_id":40,"status_id":1,"priority_id":2,"assigned_to_id":23,"start_date":"2016-11-23","description":"","custom_fields":[{"id":1,"name":"Subdivision","value":"EC"},{"id":4,"name":"Milepost","value":"23.3491"},{"id":17,"name":"Train ID","value":"143-23"},{"id":16,"name":"Locomotive ID","value":"4029"},{"id":130,"name":"Impact","value":""},{"id":150,"name":"Time of Event (Mountain Time)","value":"09:35:25"},{"id":151,"name":"Denver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"%USERPROFILE%\AppData\Local\Temp\OnboardLogs"\RTDC4029\*4029*201611231*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"%USERPROFILE%\AppData\Local\Temp\OnboardLogs"\RTDC4029\*4029*201611231* &gt;&gt; 42697-slicedisagreementcheck.txt</v>
      </c>
    </row>
    <row r="28" spans="1:30" x14ac:dyDescent="0.25">
      <c r="A28" s="36">
        <v>42697.430868055555</v>
      </c>
      <c r="B28" s="31" t="s">
        <v>282</v>
      </c>
      <c r="C28" s="31" t="s">
        <v>408</v>
      </c>
      <c r="D28" s="31" t="s">
        <v>49</v>
      </c>
      <c r="E28" s="31" t="s">
        <v>207</v>
      </c>
      <c r="F28" s="47">
        <v>0</v>
      </c>
      <c r="G28" s="47">
        <v>81</v>
      </c>
      <c r="H28" s="47">
        <v>233178</v>
      </c>
      <c r="I28" s="47">
        <v>233257</v>
      </c>
      <c r="J28" s="31" t="s">
        <v>208</v>
      </c>
      <c r="K28" s="47">
        <v>233491</v>
      </c>
      <c r="L28" s="154" t="s">
        <v>50</v>
      </c>
      <c r="M28" s="155">
        <f t="shared" si="0"/>
        <v>123.55200000000001</v>
      </c>
      <c r="N28" s="156" t="str">
        <f>VLOOKUP(C28,'Trips&amp;Operators'!$C$1:$E$99999,3,FALSE)</f>
        <v>SPECTOR</v>
      </c>
      <c r="O28" s="183" t="s">
        <v>202</v>
      </c>
      <c r="P28" s="157"/>
      <c r="Q28" s="31"/>
      <c r="R28" s="100" t="str">
        <f>VLOOKUP(C28,'Train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28" s="103" t="str">
        <f>VLOOKUP(C28,'Train Runs'!$A$13:$AE$9988,22,0)</f>
        <v>https://search-rtdc-monitor-bjffxe2xuh6vdkpspy63sjmuny.us-east-1.es.amazonaws.com/_plugin/kibana/#/discover/Steve-Slow-Train-Analysis-(2080s-and-2083s)?_g=(refreshInterval:(display:Off,section:0,value:0),time:(from:'2016-11-23 08:37:13-700',mode:absolute,to:'2016-11-23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8" s="105" t="str">
        <f t="shared" si="1"/>
        <v>"C:\Program Files (x86)\AstroGrep\AstroGrep.exe" /spath="%USERPROFILE%\AppData\Local\Temp\OnboardLogs" /stypes="*4046*201611231*" /stext=" 17:.+((SYSTEM_STATE.+slice.+state.+changed )|(ment ac)|(multiple cpu faults)|(system.+state.+changed )|(\[timeout)|(PRM\|1\|D)|(kpr)|(kdp)|(\|lc)|(penalty))" /e /r /s</v>
      </c>
      <c r="U28" s="9" t="str">
        <f t="shared" si="2"/>
        <v>4046</v>
      </c>
      <c r="V28" s="36">
        <f t="shared" si="3"/>
        <v>42697.722534722219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{"issue":{"subject":"","project_id":79,"tracker_id":40,"status_id":1,"priority_id":2,"assigned_to_id":23,"start_date":"2016-11-23","description":"","custom_fields":[{"id":1,"name":"Subdivision","value":"EC"},{"id":4,"name":"Milepost","value":"23.3491"},{"id":17,"name":"Train ID","value":"149-23"},{"id":16,"name":"Locomotive ID","value":"4046"},{"id":130,"name":"Impact","value":""},{"id":150,"name":"Time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"%USERPROFILE%\AppData\Local\Temp\OnboardLogs"\RTDC4046\*4046*201611231*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"%USERPROFILE%\AppData\Local\Temp\OnboardLogs"\RTDC4046\*4046*201611231* &gt;&gt; 42697-slicedisagreementcheck.txt</v>
      </c>
    </row>
    <row r="29" spans="1:30" x14ac:dyDescent="0.25">
      <c r="A29" s="36">
        <v>42697.431273148148</v>
      </c>
      <c r="B29" s="31" t="s">
        <v>282</v>
      </c>
      <c r="C29" s="31" t="s">
        <v>408</v>
      </c>
      <c r="D29" s="31" t="s">
        <v>49</v>
      </c>
      <c r="E29" s="31" t="s">
        <v>207</v>
      </c>
      <c r="F29" s="47">
        <v>0</v>
      </c>
      <c r="G29" s="47">
        <v>34</v>
      </c>
      <c r="H29" s="47">
        <v>233329</v>
      </c>
      <c r="I29" s="47">
        <v>233347</v>
      </c>
      <c r="J29" s="31" t="s">
        <v>208</v>
      </c>
      <c r="K29" s="47">
        <v>233491</v>
      </c>
      <c r="L29" s="154" t="s">
        <v>50</v>
      </c>
      <c r="M29" s="155">
        <f t="shared" si="0"/>
        <v>76.031999999999996</v>
      </c>
      <c r="N29" s="156" t="str">
        <f>VLOOKUP(C29,'Trips&amp;Operators'!$C$1:$E$99999,3,FALSE)</f>
        <v>SPECTOR</v>
      </c>
      <c r="O29" s="183" t="s">
        <v>202</v>
      </c>
      <c r="P29" s="157"/>
      <c r="Q29" s="31"/>
      <c r="R29" s="100" t="str">
        <f>VLOOKUP(C29,'Train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29" s="103" t="str">
        <f>VLOOKUP(C29,'Train Runs'!$A$13:$AE$9988,22,0)</f>
        <v>https://search-rtdc-monitor-bjffxe2xuh6vdkpspy63sjmuny.us-east-1.es.amazonaws.com/_plugin/kibana/#/discover/Steve-Slow-Train-Analysis-(2080s-and-2083s)?_g=(refreshInterval:(display:Off,section:0,value:0),time:(from:'2016-11-23 08:37:13-700',mode:absolute,to:'2016-11-23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9" s="105" t="str">
        <f t="shared" si="1"/>
        <v>"C:\Program Files (x86)\AstroGrep\AstroGrep.exe" /spath="%USERPROFILE%\AppData\Local\Temp\OnboardLogs" /stypes="*4046*201611231*" /stext=" 17:.+((SYSTEM_STATE.+slice.+state.+changed )|(ment ac)|(multiple cpu faults)|(system.+state.+changed )|(\[timeout)|(PRM\|1\|D)|(kpr)|(kdp)|(\|lc)|(penalty))" /e /r /s</v>
      </c>
      <c r="U29" s="9" t="str">
        <f t="shared" si="2"/>
        <v>4046</v>
      </c>
      <c r="V29" s="36">
        <f t="shared" si="3"/>
        <v>42697.722939814812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{"issue":{"subject":"","project_id":79,"tracker_id":40,"status_id":1,"priority_id":2,"assigned_to_id":23,"start_date":"2016-11-23","description":"","custom_fields":[{"id":1,"name":"Subdivision","value":"EC"},{"id":4,"name":"Milepost","value":"23.3491"},{"id":17,"name":"Train ID","value":"149-23"},{"id":16,"name":"Locomotive ID","value":"4046"},{"id":130,"name":"Impact","value":""},{"id":150,"name":"Time of Event (Mountain Time)","value":"10:21:02"},{"id":151,"name":"Denver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"%USERPROFILE%\AppData\Local\Temp\OnboardLogs"\RTDC4046\*4046*201611231*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"%USERPROFILE%\AppData\Local\Temp\OnboardLogs"\RTDC4046\*4046*201611231* &gt;&gt; 42697-slicedisagreementcheck.txt</v>
      </c>
    </row>
    <row r="30" spans="1:30" ht="15" customHeight="1" x14ac:dyDescent="0.25">
      <c r="A30" s="36">
        <v>42697.557083333333</v>
      </c>
      <c r="B30" s="31" t="s">
        <v>414</v>
      </c>
      <c r="C30" s="31" t="s">
        <v>415</v>
      </c>
      <c r="D30" s="31" t="s">
        <v>49</v>
      </c>
      <c r="E30" s="31" t="s">
        <v>207</v>
      </c>
      <c r="F30" s="47">
        <v>0</v>
      </c>
      <c r="G30" s="47">
        <v>38</v>
      </c>
      <c r="H30" s="47">
        <v>233342</v>
      </c>
      <c r="I30" s="47">
        <v>233359</v>
      </c>
      <c r="J30" s="31" t="s">
        <v>208</v>
      </c>
      <c r="K30" s="47">
        <v>233491</v>
      </c>
      <c r="L30" s="154" t="s">
        <v>50</v>
      </c>
      <c r="M30" s="155">
        <f t="shared" si="0"/>
        <v>69.695999999999998</v>
      </c>
      <c r="N30" s="156" t="str">
        <f>VLOOKUP(C30,'Trips&amp;Operators'!$C$1:$E$99999,3,FALSE)</f>
        <v>PERKINS</v>
      </c>
      <c r="O30" s="183" t="s">
        <v>202</v>
      </c>
      <c r="P30" s="157"/>
      <c r="Q30" s="31"/>
      <c r="R30" s="100" t="str">
        <f>VLOOKUP(C30,'Train Runs'!$A$13:$AE$9988,31,0)</f>
        <v>aws s3 cp s3://rtdc.mdm.uploadarchive.raw/RTDC4025/ "%USERPROFILE%\AppData\Local\Temp\OnboardLogs"\RTDC4025\2016-11-23 --exclude "*" --recursive --include "*20161123*" &amp; "%USERPROFILE%\Documents\GitHub\mrs-test-scripts\Headless Mode &amp; Sideloading\WalkAndUnGZ.bat" "%USERPROFILE%\AppData\Local\Temp\OnboardLogs"\RTDC4025\2016-11-23 &amp; aws s3 cp s3://rtdc.mdm.uploadarchive.raw/RTDC4025/ "%USERPROFILE%\AppData\Local\Temp\OnboardLogs"\RTDC4025\2016-11-24 --exclude "*" --recursive --include "*20161124*" &amp; "%USERPROFILE%\Documents\GitHub\mrs-test-scripts\Headless Mode &amp; Sideloading\WalkAndUnGZ.bat" "%USERPROFILE%\AppData\Local\Temp\OnboardLogs"\RTDC4025\2016-11-24</v>
      </c>
      <c r="S30" s="103" t="str">
        <f>VLOOKUP(C30,'Train Runs'!$A$13:$AE$9988,22,0)</f>
        <v>https://search-rtdc-monitor-bjffxe2xuh6vdkpspy63sjmuny.us-east-1.es.amazonaws.com/_plugin/kibana/#/discover/Steve-Slow-Train-Analysis-(2080s-and-2083s)?_g=(refreshInterval:(display:Off,section:0,value:0),time:(from:'2016-11-23 11:40:52-700',mode:absolute,to:'2016-11-23 14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0" s="105" t="str">
        <f t="shared" si="1"/>
        <v>"C:\Program Files (x86)\AstroGrep\AstroGrep.exe" /spath="%USERPROFILE%\AppData\Local\Temp\OnboardLogs" /stypes="*4025*201611232*" /stext=" 20:.+((SYSTEM_STATE.+slice.+state.+changed )|(ment ac)|(multiple cpu faults)|(system.+state.+changed )|(\[timeout)|(PRM\|1\|D)|(kpr)|(kdp)|(\|lc)|(penalty))" /e /r /s</v>
      </c>
      <c r="U30" s="9" t="str">
        <f t="shared" si="2"/>
        <v>4025</v>
      </c>
      <c r="V30" s="36">
        <f t="shared" si="3"/>
        <v>42697.848749999997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{"issue":{"subject":"","project_id":79,"tracker_id":40,"status_id":1,"priority_id":2,"assigned_to_id":23,"start_date":"2016-11-23","description":"","custom_fields":[{"id":1,"name":"Subdivision","value":"EC"},{"id":4,"name":"Milepost","value":"23.3491"},{"id":17,"name":"Train ID","value":"173-23"},{"id":16,"name":"Locomotive ID","value":"4025"},{"id":130,"name":"Impact","value":""},{"id":150,"name":"Time of Event (Mountain Time)","value":"13:22:12"},{"id":151,"name":"Denver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"%USERPROFILE%\AppData\Local\Temp\OnboardLogs"\RTDC4025\*4025*201611232*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"%USERPROFILE%\AppData\Local\Temp\OnboardLogs"\RTDC4025\*4025*201611232* &gt;&gt; 42697-slicedisagreementcheck.txt</v>
      </c>
    </row>
    <row r="31" spans="1:30" ht="15" customHeight="1" x14ac:dyDescent="0.25">
      <c r="A31" s="36">
        <v>42697.962824074071</v>
      </c>
      <c r="B31" s="31" t="s">
        <v>282</v>
      </c>
      <c r="C31" s="31" t="s">
        <v>431</v>
      </c>
      <c r="D31" s="31" t="s">
        <v>49</v>
      </c>
      <c r="E31" s="31" t="s">
        <v>207</v>
      </c>
      <c r="F31" s="47">
        <v>0</v>
      </c>
      <c r="G31" s="47">
        <v>63</v>
      </c>
      <c r="H31" s="47">
        <v>233289</v>
      </c>
      <c r="I31" s="47">
        <v>233340</v>
      </c>
      <c r="J31" s="31" t="s">
        <v>208</v>
      </c>
      <c r="K31" s="47">
        <v>233491</v>
      </c>
      <c r="L31" s="154" t="s">
        <v>50</v>
      </c>
      <c r="M31" s="155">
        <f t="shared" si="0"/>
        <v>79.727999999999994</v>
      </c>
      <c r="N31" s="156" t="str">
        <f>VLOOKUP(C31,'Trips&amp;Operators'!$C$1:$E$99999,3,FALSE)</f>
        <v>COOLAHAN</v>
      </c>
      <c r="O31" s="183" t="s">
        <v>202</v>
      </c>
      <c r="P31" s="157"/>
      <c r="Q31" s="31"/>
      <c r="R31" s="100" t="str">
        <f>VLOOKUP(C31,'Train Runs'!$A$13:$AE$9988,31,0)</f>
        <v>aws s3 cp s3://rtdc.mdm.uploadarchive.raw/RTDC4046/ "%USERPROFILE%\AppData\Local\Temp\OnboardLogs"\RTDC4046\2016-11-23 --exclude "*" --recursive --include "*20161123*" &amp; "%USERPROFILE%\Documents\GitHub\mrs-test-scripts\Headless Mode &amp; Sideloading\WalkAndUnGZ.bat" "%USERPROFILE%\AppData\Local\Temp\OnboardLogs"\RTDC4046\2016-11-23 &amp; aws s3 cp s3://rtdc.mdm.uploadarchive.raw/RTDC4046/ "%USERPROFILE%\AppData\Local\Temp\OnboardLogs"\RTDC4046\2016-11-24 --exclude "*" --recursive --include "*20161124*" &amp; "%USERPROFILE%\Documents\GitHub\mrs-test-scripts\Headless Mode &amp; Sideloading\WalkAndUnGZ.bat" "%USERPROFILE%\AppData\Local\Temp\OnboardLogs"\RTDC4046\2016-11-24</v>
      </c>
      <c r="S31" s="103" t="str">
        <f>VLOOKUP(C31,'Train Runs'!$A$13:$AE$9988,22,0)</f>
        <v>https://search-rtdc-monitor-bjffxe2xuh6vdkpspy63sjmuny.us-east-1.es.amazonaws.com/_plugin/kibana/#/discover/Steve-Slow-Train-Analysis-(2080s-and-2083s)?_g=(refreshInterval:(display:Off,section:0,value:0),time:(from:'2016-11-23 21:25:38-700',mode:absolute,to:'2016-11-24 00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5" t="str">
        <f t="shared" si="1"/>
        <v>"C:\Program Files (x86)\AstroGrep\AstroGrep.exe" /spath="%USERPROFILE%\AppData\Local\Temp\OnboardLogs" /stypes="*4046*201611240*" /stext=" 06:.+((SYSTEM_STATE.+slice.+state.+changed )|(ment ac)|(multiple cpu faults)|(system.+state.+changed )|(\[timeout)|(PRM\|1\|D)|(kpr)|(kdp)|(\|lc)|(penalty))" /e /r /s</v>
      </c>
      <c r="U31" s="9" t="str">
        <f t="shared" si="2"/>
        <v>4046</v>
      </c>
      <c r="V31" s="36">
        <f t="shared" si="3"/>
        <v>42698.254490740735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{"issue":{"subject":"","project_id":79,"tracker_id":40,"status_id":1,"priority_id":2,"assigned_to_id":23,"start_date":"2016-11-23","description":"","custom_fields":[{"id":1,"name":"Subdivision","value":"EC"},{"id":4,"name":"Milepost","value":"23.3491"},{"id":17,"name":"Train ID","value":"235-23"},{"id":16,"name":"Locomotive ID","value":"4046"},{"id":130,"name":"Impact","value":""},{"id":150,"name":"Time of Event (Mountain Time)","value":"23:06:28"},{"id":151,"name":"Denver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"%USERPROFILE%\AppData\Local\Temp\OnboardLogs"\RTDC4046\*4046*201611240*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"%USERPROFILE%\AppData\Local\Temp\OnboardLogs"\RTDC4046\*4046*201611240* &gt;&gt; 42697-slicedisagreementcheck.txt</v>
      </c>
    </row>
    <row r="32" spans="1:30" x14ac:dyDescent="0.25">
      <c r="A32" s="36">
        <v>42697.326944444445</v>
      </c>
      <c r="B32" s="31" t="s">
        <v>232</v>
      </c>
      <c r="C32" s="31" t="s">
        <v>401</v>
      </c>
      <c r="D32" s="31" t="s">
        <v>49</v>
      </c>
      <c r="E32" s="31" t="s">
        <v>154</v>
      </c>
      <c r="F32" s="47">
        <v>0</v>
      </c>
      <c r="G32" s="47">
        <v>381</v>
      </c>
      <c r="H32" s="47">
        <v>16415</v>
      </c>
      <c r="I32" s="47">
        <v>15512</v>
      </c>
      <c r="J32" s="31" t="s">
        <v>153</v>
      </c>
      <c r="K32" s="47">
        <v>15777</v>
      </c>
      <c r="L32" s="154" t="s">
        <v>51</v>
      </c>
      <c r="M32" s="155">
        <f t="shared" si="0"/>
        <v>-139.91999999999999</v>
      </c>
      <c r="N32" s="156" t="str">
        <f>VLOOKUP(C32,'Trips&amp;Operators'!$C$1:$E$99999,3,FALSE)</f>
        <v>DE LA ROSA</v>
      </c>
      <c r="O32" s="183" t="s">
        <v>264</v>
      </c>
      <c r="P32" s="157" t="s">
        <v>856</v>
      </c>
      <c r="Q32" s="31"/>
      <c r="R32" s="100" t="str">
        <f>VLOOKUP(C32,'Train Runs'!$A$13:$AE$9988,31,0)</f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S32" s="103" t="str">
        <f>VLOOKUP(C32,'Train Runs'!$A$13:$AE$9988,22,0)</f>
        <v>https://search-rtdc-monitor-bjffxe2xuh6vdkpspy63sjmuny.us-east-1.es.amazonaws.com/_plugin/kibana/#/discover/Steve-Slow-Train-Analysis-(2080s-and-2083s)?_g=(refreshInterval:(display:Off,section:0,value:0),time:(from:'2016-11-23 06:36:11-700',mode:absolute,to:'2016-11-23 08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2" s="105" t="str">
        <f t="shared" si="1"/>
        <v>"C:\Program Files (x86)\AstroGrep\AstroGrep.exe" /spath="%USERPROFILE%\AppData\Local\Temp\OnboardLogs" /stypes="*4043*201611231*" /stext=" 14:.+((SYSTEM_STATE.+slice.+state.+changed )|(ment ac)|(multiple cpu faults)|(system.+state.+changed )|(\[timeout)|(PRM\|1\|D)|(kpr)|(kdp)|(\|lc)|(penalty))" /e /r /s</v>
      </c>
      <c r="U32" s="9" t="str">
        <f t="shared" si="2"/>
        <v>4043</v>
      </c>
      <c r="V32" s="36">
        <f t="shared" si="3"/>
        <v>42697.618611111109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{"issue":{"subject":"Early arrival (41st)","project_id":79,"tracker_id":40,"status_id":1,"priority_id":2,"assigned_to_id":23,"start_date":"2016-11-23","description":"","custom_fields":[{"id":1,"name":"Subdivision","value":"NW"},{"id":4,"name":"Milepost","value":"1.5777"},{"id":17,"name":"Train ID","value":"808-23"},{"id":16,"name":"Locomotive ID","value":"4043"},{"id":130,"name":"Impact","value":""},{"id":150,"name":"Time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"%USERPROFILE%\AppData\Local\Temp\OnboardLogs"\RTDC4043\*4043*201611231*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"%USERPROFILE%\AppData\Local\Temp\OnboardLogs"\RTDC4043\*4043*201611231* &gt;&gt; 42697-slicedisagreementcheck.txt</v>
      </c>
    </row>
    <row r="33" spans="1:30" x14ac:dyDescent="0.25">
      <c r="A33" s="36">
        <v>42697.301180555558</v>
      </c>
      <c r="B33" s="31" t="s">
        <v>253</v>
      </c>
      <c r="C33" s="31" t="s">
        <v>399</v>
      </c>
      <c r="D33" s="31" t="s">
        <v>98</v>
      </c>
      <c r="E33" s="31" t="s">
        <v>203</v>
      </c>
      <c r="F33" s="47">
        <v>150</v>
      </c>
      <c r="G33" s="47">
        <v>202</v>
      </c>
      <c r="H33" s="47">
        <v>56908</v>
      </c>
      <c r="I33" s="47">
        <v>56486</v>
      </c>
      <c r="J33" s="31" t="s">
        <v>204</v>
      </c>
      <c r="K33" s="47">
        <v>59050</v>
      </c>
      <c r="L33" s="154" t="s">
        <v>51</v>
      </c>
      <c r="M33" s="155">
        <f t="shared" si="0"/>
        <v>-1353.7920000000001</v>
      </c>
      <c r="N33" s="156" t="str">
        <f>VLOOKUP(C33,'Trips&amp;Operators'!$C$1:$E$99999,3,FALSE)</f>
        <v>STARKS</v>
      </c>
      <c r="O33" s="183" t="s">
        <v>202</v>
      </c>
      <c r="P33" s="157"/>
      <c r="Q33" s="31"/>
      <c r="R33" s="100" t="str">
        <f>VLOOKUP(C33,'Train Runs'!$A$13:$AE$9988,31,0)</f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S33" s="103" t="str">
        <f>VLOOKUP(C33,'Train Runs'!$A$13:$AE$9988,22,0)</f>
        <v>https://search-rtdc-monitor-bjffxe2xuh6vdkpspy63sjmuny.us-east-1.es.amazonaws.com/_plugin/kibana/#/discover/Steve-Slow-Train-Analysis-(2080s-and-2083s)?_g=(refreshInterval:(display:Off,section:0,value:0),time:(from:'2016-11-23 06:07:06-700',mode:absolute,to:'2016-11-23 08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3" s="105" t="str">
        <f t="shared" si="1"/>
        <v>"C:\Program Files (x86)\AstroGrep\AstroGrep.exe" /spath="%USERPROFILE%\AppData\Local\Temp\OnboardLogs" /stypes="*4013*201611231*" /stext=" 14:.+((SYSTEM_STATE.+slice.+state.+changed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6">
        <f t="shared" si="3"/>
        <v>42697.592847222222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{"issue":{"subject":"","project_id":79,"tracker_id":40,"status_id":1,"priority_id":2,"assigned_to_id":23,"start_date":"2016-11-23","description":"","custom_fields":[{"id":1,"name":"Subdivision","value":"NW"},{"id":4,"name":"Milepost","value":"5.905"},{"id":17,"name":"Train ID","value":"806-23"},{"id":16,"name":"Locomotive ID","value":"4013"},{"id":130,"name":"Impact","value":""},{"id":150,"name":"Time of Event (Mountain Time)","value":"07:13:42"},{"id":151,"name":"Denver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"%USERPROFILE%\AppData\Local\Temp\OnboardLogs"\RTDC4013\*4013*201611231*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"%USERPROFILE%\AppData\Local\Temp\OnboardLogs"\RTDC4013\*4013*201611231* &gt;&gt; 42697-slicedisagreementcheck.txt</v>
      </c>
    </row>
    <row r="34" spans="1:30" x14ac:dyDescent="0.25">
      <c r="A34" s="36">
        <v>42697.764710648145</v>
      </c>
      <c r="B34" s="31" t="s">
        <v>253</v>
      </c>
      <c r="C34" s="31" t="s">
        <v>423</v>
      </c>
      <c r="D34" s="31" t="s">
        <v>49</v>
      </c>
      <c r="E34" s="31" t="s">
        <v>205</v>
      </c>
      <c r="F34" s="47">
        <v>0</v>
      </c>
      <c r="G34" s="47">
        <v>272</v>
      </c>
      <c r="H34" s="47">
        <v>20248</v>
      </c>
      <c r="I34" s="47">
        <v>19800</v>
      </c>
      <c r="J34" s="31" t="s">
        <v>206</v>
      </c>
      <c r="K34" s="47">
        <v>19000</v>
      </c>
      <c r="L34" s="154" t="s">
        <v>51</v>
      </c>
      <c r="M34" s="155">
        <f t="shared" si="0"/>
        <v>422.4</v>
      </c>
      <c r="N34" s="156" t="str">
        <f>VLOOKUP(C34,'Trips&amp;Operators'!$C$1:$E$99999,3,FALSE)</f>
        <v>DAVIDSON</v>
      </c>
      <c r="O34" s="183" t="s">
        <v>202</v>
      </c>
      <c r="P34" s="157" t="s">
        <v>857</v>
      </c>
      <c r="Q34" s="31"/>
      <c r="R34" s="100" t="str">
        <f>VLOOKUP(C34,'Train Runs'!$A$13:$AE$9988,31,0)</f>
        <v>aws s3 cp s3://rtdc.mdm.uploadarchive.raw/RTDC4013/ "%USERPROFILE%\AppData\Local\Temp\OnboardLogs"\RTDC4013\2016-11-23 --exclude "*" --recursive --include "*20161123*" &amp; "%USERPROFILE%\Documents\GitHub\mrs-test-scripts\Headless Mode &amp; Sideloading\WalkAndUnGZ.bat" "%USERPROFILE%\AppData\Local\Temp\OnboardLogs"\RTDC4013\2016-11-23 &amp; 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</v>
      </c>
      <c r="S34" s="103" t="str">
        <f>VLOOKUP(C34,'Train Runs'!$A$13:$AE$9988,22,0)</f>
        <v>https://search-rtdc-monitor-bjffxe2xuh6vdkpspy63sjmuny.us-east-1.es.amazonaws.com/_plugin/kibana/#/discover/Steve-Slow-Train-Analysis-(2080s-and-2083s)?_g=(refreshInterval:(display:Off,section:0,value:0),time:(from:'2016-11-23 17:09:06-700',mode:absolute,to:'2016-11-23 19:30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4" s="105" t="str">
        <f t="shared" si="1"/>
        <v>"C:\Program Files (x86)\AstroGrep\AstroGrep.exe" /spath="%USERPROFILE%\AppData\Local\Temp\OnboardLogs" /stypes="*4013*201611240*" /stext=" 01:.+((SYSTEM_STATE.+slice.+state.+changed )|(ment ac)|(multiple cpu faults)|(system.+state.+changed )|(\[timeout)|(PRM\|1\|D)|(kpr)|(kdp)|(\|lc)|(penalty))" /e /r /s</v>
      </c>
      <c r="U34" s="9" t="str">
        <f t="shared" si="2"/>
        <v>4013</v>
      </c>
      <c r="V34" s="36">
        <f t="shared" si="3"/>
        <v>42698.05637731481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{"issue":{"subject":"RESTRICTING aspect","project_id":79,"tracker_id":40,"status_id":1,"priority_id":2,"assigned_to_id":23,"start_date":"2016-11-23","description":"","custom_fields":[{"id":1,"name":"Subdivision","value":"NW"},{"id":4,"name":"Milepost","value":"1.9"},{"id":17,"name":"Train ID","value":"836-23"},{"id":16,"name":"Locomotive ID","value":"4013"},{"id":130,"name":"Impact","value":""},{"id":150,"name":"Time of Event (Mountain Time)","value":"18:21:11"},{"id":151,"name":"Denver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"%USERPROFILE%\AppData\Local\Temp\OnboardLogs"\RTDC4013\*4013*201611240*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"%USERPROFILE%\AppData\Local\Temp\OnboardLogs"\RTDC4013\*4013*201611240* &gt;&gt; 42697-slicedisagreementcheck.txt</v>
      </c>
    </row>
    <row r="35" spans="1:30" x14ac:dyDescent="0.25">
      <c r="A35" s="36">
        <v>42697.70820601852</v>
      </c>
      <c r="B35" s="31" t="s">
        <v>252</v>
      </c>
      <c r="C35" s="31" t="s">
        <v>419</v>
      </c>
      <c r="D35" s="31" t="s">
        <v>49</v>
      </c>
      <c r="E35" s="31" t="s">
        <v>205</v>
      </c>
      <c r="F35" s="47">
        <v>0</v>
      </c>
      <c r="G35" s="47">
        <v>378</v>
      </c>
      <c r="H35" s="47">
        <v>35570</v>
      </c>
      <c r="I35" s="47">
        <v>37011</v>
      </c>
      <c r="J35" s="31" t="s">
        <v>206</v>
      </c>
      <c r="K35" s="47">
        <v>37575</v>
      </c>
      <c r="L35" s="154" t="s">
        <v>50</v>
      </c>
      <c r="M35" s="155">
        <f t="shared" si="0"/>
        <v>297.79199999999997</v>
      </c>
      <c r="N35" s="156" t="str">
        <f>VLOOKUP(C35,'Trips&amp;Operators'!$C$1:$E$99999,3,FALSE)</f>
        <v>DAVIDSON</v>
      </c>
      <c r="O35" s="183" t="s">
        <v>264</v>
      </c>
      <c r="P35" s="157" t="s">
        <v>844</v>
      </c>
      <c r="Q35" s="31"/>
      <c r="R35" s="100" t="str">
        <f>VLOOKUP(C35,'Train Runs'!$A$13:$AE$9988,31,0)</f>
        <v>aws s3 cp s3://rtdc.mdm.uploadarchive.raw/RTDC4014/ "%USERPROFILE%\AppData\Local\Temp\OnboardLogs"\RTDC4014\2016-11-23 --exclude "*" --recursive --include "*20161123*" &amp; "%USERPROFILE%\Documents\GitHub\mrs-test-scripts\Headless Mode &amp; Sideloading\WalkAndUnGZ.bat" "%USERPROFILE%\AppData\Local\Temp\OnboardLogs"\RTDC4014\2016-11-23 &amp; 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</v>
      </c>
      <c r="S35" s="103" t="str">
        <f>VLOOKUP(C35,'Train Runs'!$A$13:$AE$9988,22,0)</f>
        <v>https://search-rtdc-monitor-bjffxe2xuh6vdkpspy63sjmuny.us-east-1.es.amazonaws.com/_plugin/kibana/#/discover/Steve-Slow-Train-Analysis-(2080s-and-2083s)?_g=(refreshInterval:(display:Off,section:0,value:0),time:(from:'2016-11-23 15:42:43-700',mode:absolute,to:'2016-11-23 18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5" s="105" t="str">
        <f t="shared" si="1"/>
        <v>"C:\Program Files (x86)\AstroGrep\AstroGrep.exe" /spath="%USERPROFILE%\AppData\Local\Temp\OnboardLogs" /stypes="*4014*201611232*" /stext=" 23:.+((SYSTEM_STATE.+slice.+state.+changed )|(ment ac)|(multiple cpu faults)|(system.+state.+changed )|(\[timeout)|(PRM\|1\|D)|(kpr)|(kdp)|(\|lc)|(penalty))" /e /r /s</v>
      </c>
      <c r="U35" s="9" t="str">
        <f t="shared" si="2"/>
        <v>4014</v>
      </c>
      <c r="V35" s="36">
        <f t="shared" si="3"/>
        <v>42697.999872685185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{"issue":{"subject":"Wi-MAX data drop","project_id":79,"tracker_id":40,"status_id":1,"priority_id":2,"assigned_to_id":23,"start_date":"2016-11-23","description":"http://stevetu21.github.io/eaglep3/load_kml.html?kml=http://rtdc.gmaps-snips.s3.amazonaws.com/cbe8847f-e90e-4989-93c2-1c1bba57d43c.kml","custom_fields":[{"id":1,"name":"Subdivision","value":"NW"},{"id":4,"name":"Milepost","value":"3.7575"},{"id":17,"name":"Train ID","value":"831-23"},{"id":16,"name":"Locomotive ID","value":"4014"},{"id":130,"name":"Impact","value":"Enforcement"},{"id":150,"name":"Time of Event (Mountain Time)","value":"16:59:49"},{"id":151,"name":"Denver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5" s="53" t="s">
        <v>858</v>
      </c>
      <c r="AA35" s="53" t="s">
        <v>125</v>
      </c>
      <c r="AB35" s="53" t="s">
        <v>138</v>
      </c>
      <c r="AC35" s="138" t="str">
        <f t="shared" si="7"/>
        <v>grep -hSE -A100 "Enforcement Action" "%USERPROFILE%\AppData\Local\Temp\OnboardLogs"\RTDC4014\*4014*201611232*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"%USERPROFILE%\AppData\Local\Temp\OnboardLogs"\RTDC4014\*4014*201611232* &gt;&gt; 42697-slicedisagreementcheck.txt</v>
      </c>
    </row>
    <row r="36" spans="1:30" x14ac:dyDescent="0.25">
      <c r="A36" s="36">
        <v>42697.827407407407</v>
      </c>
      <c r="B36" s="31" t="s">
        <v>232</v>
      </c>
      <c r="C36" s="31" t="s">
        <v>428</v>
      </c>
      <c r="D36" s="31" t="s">
        <v>98</v>
      </c>
      <c r="E36" s="31" t="s">
        <v>347</v>
      </c>
      <c r="F36" s="47">
        <v>0</v>
      </c>
      <c r="G36" s="47">
        <v>336</v>
      </c>
      <c r="H36" s="47">
        <v>14146</v>
      </c>
      <c r="I36" s="47">
        <v>13375</v>
      </c>
      <c r="J36" s="31" t="s">
        <v>348</v>
      </c>
      <c r="K36" s="47">
        <v>14177</v>
      </c>
      <c r="L36" s="154" t="s">
        <v>51</v>
      </c>
      <c r="M36" s="155">
        <f t="shared" si="0"/>
        <v>-423.45600000000002</v>
      </c>
      <c r="N36" s="156" t="str">
        <f>VLOOKUP(C36,'Trips&amp;Operators'!$C$1:$E$99999,3,FALSE)</f>
        <v>MOSES</v>
      </c>
      <c r="O36" s="183" t="s">
        <v>264</v>
      </c>
      <c r="P36" s="157" t="s">
        <v>844</v>
      </c>
      <c r="Q36" s="31"/>
      <c r="R36" s="100" t="str">
        <f>VLOOKUP(C36,'Train Runs'!$A$13:$AE$9988,31,0)</f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S36" s="103" t="str">
        <f>VLOOKUP(C36,'Train Runs'!$A$13:$AE$9988,22,0)</f>
        <v>https://search-rtdc-monitor-bjffxe2xuh6vdkpspy63sjmuny.us-east-1.es.amazonaws.com/_plugin/kibana/#/discover/Steve-Slow-Train-Analysis-(2080s-and-2083s)?_g=(refreshInterval:(display:Off,section:0,value:0),time:(from:'2016-11-23 18:39:34-700',mode:absolute,to:'2016-11-23 20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6" s="105" t="str">
        <f t="shared" si="1"/>
        <v>"C:\Program Files (x86)\AstroGrep\AstroGrep.exe" /spath="%USERPROFILE%\AppData\Local\Temp\OnboardLogs" /stypes="*4043*201611240*" /stext=" 02:.+((SYSTEM_STATE.+slice.+state.+changed )|(ment ac)|(multiple cpu faults)|(system.+state.+changed )|(\[timeout)|(PRM\|1\|D)|(kpr)|(kdp)|(\|lc)|(penalty))" /e /r /s</v>
      </c>
      <c r="U36" s="9" t="str">
        <f t="shared" si="2"/>
        <v>4043</v>
      </c>
      <c r="V36" s="36">
        <f t="shared" si="3"/>
        <v>42698.119074074071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{"issue":{"subject":"Wi-MAX data drop","project_id":79,"tracker_id":40,"status_id":1,"priority_id":2,"assigned_to_id":23,"start_date":"2016-11-23","description":"http://stevetu21.github.io/eaglep3/load_kml.html?kml=http://rtdc.gmaps-snips.s3.amazonaws.com/e0b23ebc-b282-41e6-b265-b78a04cbaa52.kml","custom_fields":[{"id":1,"name":"Subdivision","value":"NW"},{"id":4,"name":"Milepost","value":"1.4177"},{"id":17,"name":"Train ID","value":"840-23"},{"id":16,"name":"Locomotive ID","value":"4043"},{"id":130,"name":"Impact","value":"Enforcement"},{"id":150,"name":"Time of Event (Mountain Time)","value":"19:51:28"},{"id":151,"name":"Denver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s="184" t="s">
        <v>859</v>
      </c>
      <c r="AA36" s="53" t="s">
        <v>125</v>
      </c>
      <c r="AB36" s="53" t="s">
        <v>138</v>
      </c>
      <c r="AC36" s="138" t="str">
        <f t="shared" si="7"/>
        <v>grep -hSE -A100 "Enforcement Action" "%USERPROFILE%\AppData\Local\Temp\OnboardLogs"\RTDC4043\*4043*201611240*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"%USERPROFILE%\AppData\Local\Temp\OnboardLogs"\RTDC4043\*4043*201611240* &gt;&gt; 42697-slicedisagreementcheck.txt</v>
      </c>
    </row>
    <row r="37" spans="1:30" x14ac:dyDescent="0.25">
      <c r="A37" s="36">
        <v>42697.449560185189</v>
      </c>
      <c r="B37" s="31" t="s">
        <v>232</v>
      </c>
      <c r="C37" s="31" t="s">
        <v>410</v>
      </c>
      <c r="D37" s="31" t="s">
        <v>49</v>
      </c>
      <c r="E37" s="31" t="s">
        <v>347</v>
      </c>
      <c r="F37" s="47">
        <v>0</v>
      </c>
      <c r="G37" s="47">
        <v>492</v>
      </c>
      <c r="H37" s="47">
        <v>34041</v>
      </c>
      <c r="I37" s="47">
        <v>32188</v>
      </c>
      <c r="J37" s="31" t="s">
        <v>348</v>
      </c>
      <c r="K37" s="47">
        <v>30521</v>
      </c>
      <c r="L37" s="154" t="s">
        <v>51</v>
      </c>
      <c r="M37" s="155">
        <f t="shared" si="0"/>
        <v>880.17600000000004</v>
      </c>
      <c r="N37" s="156" t="str">
        <f>VLOOKUP(C37,'Trips&amp;Operators'!$C$1:$E$99999,3,FALSE)</f>
        <v>DE LA ROSA</v>
      </c>
      <c r="O37" s="183" t="s">
        <v>264</v>
      </c>
      <c r="P37" s="157" t="s">
        <v>844</v>
      </c>
      <c r="Q37" s="31"/>
      <c r="R37" s="100" t="str">
        <f>VLOOKUP(C37,'Train Runs'!$A$13:$AE$9988,31,0)</f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S37" s="103" t="str">
        <f>VLOOKUP(C37,'Train Runs'!$A$13:$AE$9988,22,0)</f>
        <v>https://search-rtdc-monitor-bjffxe2xuh6vdkpspy63sjmuny.us-east-1.es.amazonaws.com/_plugin/kibana/#/discover/Steve-Slow-Train-Analysis-(2080s-and-2083s)?_g=(refreshInterval:(display:Off,section:0,value:0),time:(from:'2016-11-23 09:36:22-700',mode:absolute,to:'2016-11-23 11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7" s="105" t="str">
        <f t="shared" si="1"/>
        <v>"C:\Program Files (x86)\AstroGrep\AstroGrep.exe" /spath="%USERPROFILE%\AppData\Local\Temp\OnboardLogs" /stypes="*4043*201611231*" /stext=" 17:.+((SYSTEM_STATE.+slice.+state.+changed )|(ment ac)|(multiple cpu faults)|(system.+state.+changed )|(\[timeout)|(PRM\|1\|D)|(kpr)|(kdp)|(\|lc)|(penalty))" /e /r /s</v>
      </c>
      <c r="U37" s="9" t="str">
        <f t="shared" si="2"/>
        <v>4043</v>
      </c>
      <c r="V37" s="36">
        <f t="shared" si="3"/>
        <v>42697.741226851853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{"issue":{"subject":"Wi-MAX data drop","project_id":79,"tracker_id":40,"status_id":1,"priority_id":2,"assigned_to_id":23,"start_date":"2016-11-23","description":"http://stevetu21.github.io/eaglep3/load_kml.html?kml=http://rtdc.gmaps-snips.s3.amazonaws.com/dc1e244b-d543-43bb-96ae-bb026ed22971.kml","custom_fields":[{"id":1,"name":"Subdivision","value":"NW"},{"id":4,"name":"Milepost","value":"3.0521"},{"id":17,"name":"Train ID","value":"816-23"},{"id":16,"name":"Locomotive ID","value":"4043"},{"id":130,"name":"Impact","value":"Enforcement"},{"id":150,"name":"Time of Event (Mountain Time)","value":"10:47:22"},{"id":151,"name":"Denver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7" s="184" t="s">
        <v>860</v>
      </c>
      <c r="AA37" s="53" t="s">
        <v>125</v>
      </c>
      <c r="AB37" s="53" t="s">
        <v>138</v>
      </c>
      <c r="AC37" s="138" t="str">
        <f t="shared" si="7"/>
        <v>grep -hSE -A100 "Enforcement Action" "%USERPROFILE%\AppData\Local\Temp\OnboardLogs"\RTDC4043\*4043*201611231*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"%USERPROFILE%\AppData\Local\Temp\OnboardLogs"\RTDC4043\*4043*201611231* &gt;&gt; 42697-slicedisagreementcheck.txt</v>
      </c>
    </row>
    <row r="38" spans="1:30" x14ac:dyDescent="0.25">
      <c r="A38" s="36">
        <v>42697.831342592595</v>
      </c>
      <c r="B38" s="31" t="s">
        <v>232</v>
      </c>
      <c r="C38" s="31" t="s">
        <v>428</v>
      </c>
      <c r="D38" s="31" t="s">
        <v>49</v>
      </c>
      <c r="E38" s="31" t="s">
        <v>207</v>
      </c>
      <c r="F38" s="47">
        <v>0</v>
      </c>
      <c r="G38" s="47">
        <v>63</v>
      </c>
      <c r="H38" s="47">
        <v>782</v>
      </c>
      <c r="I38" s="47">
        <v>727</v>
      </c>
      <c r="J38" s="31" t="s">
        <v>208</v>
      </c>
      <c r="K38" s="47">
        <v>575</v>
      </c>
      <c r="L38" s="154" t="s">
        <v>51</v>
      </c>
      <c r="M38" s="155">
        <f t="shared" si="0"/>
        <v>80.256</v>
      </c>
      <c r="N38" s="156" t="str">
        <f>VLOOKUP(C38,'Trips&amp;Operators'!$C$1:$E$99999,3,FALSE)</f>
        <v>MOSES</v>
      </c>
      <c r="O38" s="183" t="s">
        <v>202</v>
      </c>
      <c r="P38" s="157"/>
      <c r="Q38" s="31"/>
      <c r="R38" s="100" t="str">
        <f>VLOOKUP(C38,'Train Runs'!$A$13:$AE$9988,31,0)</f>
        <v>aws s3 cp s3://rtdc.mdm.uploadarchive.raw/RTDC4043/ "%USERPROFILE%\AppData\Local\Temp\OnboardLogs"\RTDC4043\2016-11-23 --exclude "*" --recursive --include "*20161123*" &amp; "%USERPROFILE%\Documents\GitHub\mrs-test-scripts\Headless Mode &amp; Sideloading\WalkAndUnGZ.bat" "%USERPROFILE%\AppData\Local\Temp\OnboardLogs"\RTDC4043\2016-11-23 &amp; 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</v>
      </c>
      <c r="S38" s="103" t="str">
        <f>VLOOKUP(C38,'Train Runs'!$A$13:$AE$9988,22,0)</f>
        <v>https://search-rtdc-monitor-bjffxe2xuh6vdkpspy63sjmuny.us-east-1.es.amazonaws.com/_plugin/kibana/#/discover/Steve-Slow-Train-Analysis-(2080s-and-2083s)?_g=(refreshInterval:(display:Off,section:0,value:0),time:(from:'2016-11-23 18:39:34-700',mode:absolute,to:'2016-11-23 20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8" s="105" t="str">
        <f t="shared" si="1"/>
        <v>"C:\Program Files (x86)\AstroGrep\AstroGrep.exe" /spath="%USERPROFILE%\AppData\Local\Temp\OnboardLogs" /stypes="*4043*201611240*" /stext=" 02:.+((SYSTEM_STATE.+slice.+state.+changed )|(ment ac)|(multiple cpu faults)|(system.+state.+changed )|(\[timeout)|(PRM\|1\|D)|(kpr)|(kdp)|(\|lc)|(penalty))" /e /r /s</v>
      </c>
      <c r="U38" s="9" t="str">
        <f t="shared" si="2"/>
        <v>4043</v>
      </c>
      <c r="V38" s="36">
        <f t="shared" si="3"/>
        <v>42698.12300925926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{"issue":{"subject":"","project_id":79,"tracker_id":40,"status_id":1,"priority_id":2,"assigned_to_id":23,"start_date":"2016-11-23","description":"","custom_fields":[{"id":1,"name":"Subdivision","value":"NW"},{"id":4,"name":"Milepost","value":"0.0575"},{"id":17,"name":"Train ID","value":"840-23"},{"id":16,"name":"Locomotive ID","value":"4043"},{"id":130,"name":"Impact","value":""},{"id":150,"name":"Time of Event (Mountain Time)","value":"19:57:08"},{"id":151,"name":"Denver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"%USERPROFILE%\AppData\Local\Temp\OnboardLogs"\RTDC4043\*4043*201611240*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"%USERPROFILE%\AppData\Local\Temp\OnboardLogs"\RTDC4043\*4043*201611240* &gt;&gt; 42697-slicedisagreementcheck.txt</v>
      </c>
    </row>
    <row r="39" spans="1:30" x14ac:dyDescent="0.25">
      <c r="A39" s="36">
        <v>42697.649837962963</v>
      </c>
      <c r="B39" s="31" t="s">
        <v>188</v>
      </c>
      <c r="C39" s="31" t="s">
        <v>417</v>
      </c>
      <c r="D39" s="31" t="s">
        <v>49</v>
      </c>
      <c r="E39" s="31" t="s">
        <v>207</v>
      </c>
      <c r="F39" s="47">
        <v>0</v>
      </c>
      <c r="G39" s="47">
        <v>150</v>
      </c>
      <c r="H39" s="47">
        <v>57886</v>
      </c>
      <c r="I39" s="47">
        <v>58156</v>
      </c>
      <c r="J39" s="31" t="s">
        <v>208</v>
      </c>
      <c r="K39" s="47">
        <v>59048</v>
      </c>
      <c r="L39" s="154" t="s">
        <v>50</v>
      </c>
      <c r="M39" s="155">
        <f t="shared" si="0"/>
        <v>470.976</v>
      </c>
      <c r="N39" s="156" t="str">
        <f>VLOOKUP(C39,'Trips&amp;Operators'!$C$1:$E$99999,3,FALSE)</f>
        <v>MOSES</v>
      </c>
      <c r="O39" s="183" t="s">
        <v>202</v>
      </c>
      <c r="P39" s="157"/>
      <c r="Q39" s="31"/>
      <c r="R39" s="100" t="str">
        <f>VLOOKUP(C39,'Train Runs'!$A$13:$AE$9988,31,0)</f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S39" s="103" t="str">
        <f>VLOOKUP(C39,'Train Runs'!$A$13:$AE$9988,22,0)</f>
        <v>https://search-rtdc-monitor-bjffxe2xuh6vdkpspy63sjmuny.us-east-1.es.amazonaws.com/_plugin/kibana/#/discover/Steve-Slow-Train-Analysis-(2080s-and-2083s)?_g=(refreshInterval:(display:Off,section:0,value:0),time:(from:'2016-11-23 14:17:05-700',mode:absolute,to:'2016-11-23 16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9" s="105" t="str">
        <f t="shared" si="1"/>
        <v>"C:\Program Files (x86)\AstroGrep\AstroGrep.exe" /spath="%USERPROFILE%\AppData\Local\Temp\OnboardLogs" /stypes="*4044*201611232*" /stext=" 22:.+((SYSTEM_STATE.+slice.+state.+changed )|(ment ac)|(multiple cpu faults)|(system.+state.+changed )|(\[timeout)|(PRM\|1\|D)|(kpr)|(kdp)|(\|lc)|(penalty))" /e /r /s</v>
      </c>
      <c r="U39" s="9" t="str">
        <f t="shared" si="2"/>
        <v>4044</v>
      </c>
      <c r="V39" s="36">
        <f t="shared" si="3"/>
        <v>42697.941504629627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{"issue":{"subject":"","project_id":79,"tracker_id":40,"status_id":1,"priority_id":2,"assigned_to_id":23,"start_date":"2016-11-23","description":"","custom_fields":[{"id":1,"name":"Subdivision","value":"NW"},{"id":4,"name":"Milepost","value":"5.9048"},{"id":17,"name":"Train ID","value":"825-23"},{"id":16,"name":"Locomotive ID","value":"4044"},{"id":130,"name":"Impact","value":""},{"id":150,"name":"Time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"%USERPROFILE%\AppData\Local\Temp\OnboardLogs"\RTDC4044\*4044*201611232*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"%USERPROFILE%\AppData\Local\Temp\OnboardLogs"\RTDC4044\*4044*201611232* &gt;&gt; 42697-slicedisagreementcheck.txt</v>
      </c>
    </row>
    <row r="40" spans="1:30" x14ac:dyDescent="0.25">
      <c r="A40" s="36">
        <v>42697.776493055557</v>
      </c>
      <c r="B40" s="31" t="s">
        <v>188</v>
      </c>
      <c r="C40" s="31" t="s">
        <v>424</v>
      </c>
      <c r="D40" s="31" t="s">
        <v>49</v>
      </c>
      <c r="E40" s="31" t="s">
        <v>207</v>
      </c>
      <c r="F40" s="47">
        <v>0</v>
      </c>
      <c r="G40" s="47">
        <v>27</v>
      </c>
      <c r="H40" s="47">
        <v>58978</v>
      </c>
      <c r="I40" s="47">
        <v>59003</v>
      </c>
      <c r="J40" s="31" t="s">
        <v>208</v>
      </c>
      <c r="K40" s="47">
        <v>59048</v>
      </c>
      <c r="L40" s="154" t="s">
        <v>50</v>
      </c>
      <c r="M40" s="155">
        <f t="shared" si="0"/>
        <v>23.76</v>
      </c>
      <c r="N40" s="156" t="str">
        <f>VLOOKUP(C40,'Trips&amp;Operators'!$C$1:$E$99999,3,FALSE)</f>
        <v>MOSES</v>
      </c>
      <c r="O40" s="183" t="s">
        <v>202</v>
      </c>
      <c r="P40" s="157"/>
      <c r="Q40" s="31"/>
      <c r="R40" s="100" t="str">
        <f>VLOOKUP(C40,'Train Runs'!$A$13:$AE$9988,31,0)</f>
        <v>aws s3 cp s3://rtdc.mdm.uploadarchive.raw/RTDC4044/ "%USERPROFILE%\AppData\Local\Temp\OnboardLogs"\RTDC4044\2016-11-23 --exclude "*" --recursive --include "*20161123*" &amp; "%USERPROFILE%\Documents\GitHub\mrs-test-scripts\Headless Mode &amp; Sideloading\WalkAndUnGZ.bat" "%USERPROFILE%\AppData\Local\Temp\OnboardLogs"\RTDC4044\2016-11-23 &amp; 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</v>
      </c>
      <c r="S40" s="103" t="str">
        <f>VLOOKUP(C40,'Train Runs'!$A$13:$AE$9988,22,0)</f>
        <v>https://search-rtdc-monitor-bjffxe2xuh6vdkpspy63sjmuny.us-east-1.es.amazonaws.com/_plugin/kibana/#/discover/Steve-Slow-Train-Analysis-(2080s-and-2083s)?_g=(refreshInterval:(display:Off,section:0,value:0),time:(from:'2016-11-23 17:15:35-700',mode:absolute,to:'2016-11-23 19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0" s="105" t="str">
        <f t="shared" si="1"/>
        <v>"C:\Program Files (x86)\AstroGrep\AstroGrep.exe" /spath="%USERPROFILE%\AppData\Local\Temp\OnboardLogs" /stypes="*4044*201611240*" /stext=" 01:.+((SYSTEM_STATE.+slice.+state.+changed )|(ment ac)|(multiple cpu faults)|(system.+state.+changed )|(\[timeout)|(PRM\|1\|D)|(kpr)|(kdp)|(\|lc)|(penalty))" /e /r /s</v>
      </c>
      <c r="U40" s="9" t="str">
        <f t="shared" si="2"/>
        <v>4044</v>
      </c>
      <c r="V40" s="36">
        <f t="shared" si="3"/>
        <v>42698.068159722221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{"issue":{"subject":"","project_id":79,"tracker_id":40,"status_id":1,"priority_id":2,"assigned_to_id":23,"start_date":"2016-11-23","description":"","custom_fields":[{"id":1,"name":"Subdivision","value":"NW"},{"id":4,"name":"Milepost","value":"5.9048"},{"id":17,"name":"Train ID","value":"837-23"},{"id":16,"name":"Locomotive ID","value":"4044"},{"id":130,"name":"Impact","value":""},{"id":150,"name":"Time of Event (Mountain Time)","value":"18:38:09"},{"id":151,"name":"Denver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"%USERPROFILE%\AppData\Local\Temp\OnboardLogs"\RTDC4044\*4044*201611240*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"%USERPROFILE%\AppData\Local\Temp\OnboardLogs"\RTDC4044\*4044*201611240* &gt;&gt; 42697-slicedisagreementcheck.txt</v>
      </c>
    </row>
    <row r="41" spans="1:30" x14ac:dyDescent="0.25">
      <c r="A41" s="36">
        <v>42697.728101851855</v>
      </c>
      <c r="B41" s="31" t="s">
        <v>218</v>
      </c>
      <c r="C41" s="31" t="s">
        <v>420</v>
      </c>
      <c r="D41" s="31" t="s">
        <v>98</v>
      </c>
      <c r="E41" s="31" t="s">
        <v>205</v>
      </c>
      <c r="F41" s="47">
        <v>0</v>
      </c>
      <c r="G41" s="47">
        <v>58</v>
      </c>
      <c r="H41" s="47">
        <v>1792</v>
      </c>
      <c r="I41" s="47">
        <v>1895</v>
      </c>
      <c r="J41" s="31" t="s">
        <v>206</v>
      </c>
      <c r="K41" s="47">
        <v>1692</v>
      </c>
      <c r="L41" s="154" t="s">
        <v>50</v>
      </c>
      <c r="M41" s="155">
        <f t="shared" si="0"/>
        <v>-107.184</v>
      </c>
      <c r="N41" s="156" t="str">
        <f>VLOOKUP(C41,'Trips&amp;Operators'!$C$1:$E$99999,3,FALSE)</f>
        <v>CRAYTON</v>
      </c>
      <c r="O41" s="183" t="s">
        <v>202</v>
      </c>
      <c r="P41" s="157"/>
      <c r="Q41" s="31"/>
      <c r="R41" s="100" t="str">
        <f>VLOOKUP(C41,'Train Runs'!$A$13:$AE$9988,31,0)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S41" s="103" t="str">
        <f>VLOOKUP(C41,'Train Runs'!$A$13:$AE$9988,22,0)</f>
        <v>https://search-rtdc-monitor-bjffxe2xuh6vdkpspy63sjmuny.us-east-1.es.amazonaws.com/_plugin/kibana/#/discover/Steve-Slow-Train-Analysis-(2080s-and-2083s)?_g=(refreshInterval:(display:Off,section:0,value:0),time:(from:'2016-11-23 16:00:19-700',mode:absolute,to:'1969-12-31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1" s="105" t="str">
        <f t="shared" si="1"/>
        <v>"C:\Program Files (x86)\AstroGrep\AstroGrep.exe" /spath="%USERPROFILE%\AppData\Local\Temp\OnboardLogs" /stypes="*4040*201611240*" /stext=" 00:.+((SYSTEM_STATE.+slice.+state.+changed )|(ment ac)|(multiple cpu faults)|(system.+state.+changed )|(\[timeout)|(PRM\|1\|D)|(kpr)|(kdp)|(\|lc)|(penalty))" /e /r /s</v>
      </c>
      <c r="U41" s="9" t="str">
        <f t="shared" si="2"/>
        <v>4040</v>
      </c>
      <c r="V41" s="36">
        <f t="shared" si="3"/>
        <v>42698.019768518519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{"issue":{"subject":"","project_id":79,"tracker_id":40,"status_id":1,"priority_id":2,"assigned_to_id":23,"start_date":"2016-11-23","description":"","custom_fields":[{"id":1,"name":"Subdivision","value":"Other"},{"id":4,"name":"Milepost","value":"0.1692"},{"id":17,"name":"Train ID","value":"73-23"},{"id":16,"name":"Locomotive ID","value":"4040"},{"id":130,"name":"Impact","value":""},{"id":150,"name":"Time of Event (Mountain Time)","value":"17:28:28"},{"id":151,"name":"Denver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"%USERPROFILE%\AppData\Local\Temp\OnboardLogs"\RTDC4040\*4040*201611240*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"%USERPROFILE%\AppData\Local\Temp\OnboardLogs"\RTDC4040\*4040*201611240* &gt;&gt; 42697-slicedisagreementcheck.txt</v>
      </c>
    </row>
    <row r="42" spans="1:30" x14ac:dyDescent="0.25">
      <c r="A42" s="36">
        <v>42697.125775462962</v>
      </c>
      <c r="B42" s="31" t="s">
        <v>392</v>
      </c>
      <c r="C42" s="31" t="s">
        <v>393</v>
      </c>
      <c r="D42" s="31" t="s">
        <v>98</v>
      </c>
      <c r="E42" s="31" t="s">
        <v>205</v>
      </c>
      <c r="F42" s="47">
        <v>0</v>
      </c>
      <c r="G42" s="47">
        <v>134</v>
      </c>
      <c r="H42" s="47">
        <v>18698</v>
      </c>
      <c r="I42" s="47">
        <v>18488</v>
      </c>
      <c r="J42" s="31" t="s">
        <v>206</v>
      </c>
      <c r="K42" s="47">
        <v>19000</v>
      </c>
      <c r="L42" s="154" t="s">
        <v>51</v>
      </c>
      <c r="M42" s="155">
        <f t="shared" si="0"/>
        <v>-270.33600000000001</v>
      </c>
      <c r="N42" s="156" t="str">
        <f>VLOOKUP(C42,'Trips&amp;Operators'!$C$1:$E$99999,3,FALSE)</f>
        <v>MAELZER</v>
      </c>
      <c r="O42" s="183" t="s">
        <v>202</v>
      </c>
      <c r="P42" s="157"/>
      <c r="Q42" s="31"/>
      <c r="R42" s="100" t="str">
        <f>VLOOKUP(C42,'Train Runs'!$A$13:$AE$9988,31,0)</f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S42" s="103" t="str">
        <f>VLOOKUP(C42,'Train Runs'!$A$13:$AE$9988,22,0)</f>
        <v>https://search-rtdc-monitor-bjffxe2xuh6vdkpspy63sjmuny.us-east-1.es.amazonaws.com/_plugin/kibana/#/discover/Steve-Slow-Train-Analysis-(2080s-and-2083s)?_g=(refreshInterval:(display:Off,section:0,value:0),time:(from:'2016-11-23 01:58:00-700',mode:absolute,to:'2016-11-23 04:11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2" s="105" t="str">
        <f t="shared" si="1"/>
        <v>"C:\Program Files (x86)\AstroGrep\AstroGrep.exe" /spath="%USERPROFILE%\AppData\Local\Temp\OnboardLogs" /stypes="*4008*201611231*" /stext=" 10:.+((SYSTEM_STATE.+slice.+state.+changed )|(ment ac)|(multiple cpu faults)|(system.+state.+changed )|(\[timeout)|(PRM\|1\|D)|(kpr)|(kdp)|(\|lc)|(penalty))" /e /r /s</v>
      </c>
      <c r="U42" s="9" t="str">
        <f t="shared" si="2"/>
        <v>4008</v>
      </c>
      <c r="V42" s="36">
        <f t="shared" si="3"/>
        <v>42697.417442129627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{"issue":{"subject":"","project_id":79,"tracker_id":40,"status_id":1,"priority_id":2,"assigned_to_id":23,"start_date":"2016-11-23","description":"","custom_fields":[{"id":1,"name":"Subdivision","value":"Other"},{"id":4,"name":"Milepost","value":"1.9"},{"id":17,"name":"Train ID","value":"302-23"},{"id":16,"name":"Locomotive ID","value":"4008"},{"id":130,"name":"Impact","value":""},{"id":150,"name":"Time of Event (Mountain Time)","value":"03:01:07"},{"id":151,"name":"Denver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"%USERPROFILE%\AppData\Local\Temp\OnboardLogs"\RTDC4008\*4008*201611231*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"%USERPROFILE%\AppData\Local\Temp\OnboardLogs"\RTDC4008\*4008*201611231* &gt;&gt; 42697-slicedisagreementcheck.txt</v>
      </c>
    </row>
    <row r="43" spans="1:30" x14ac:dyDescent="0.25">
      <c r="A43" s="36">
        <v>42697.126932870371</v>
      </c>
      <c r="B43" s="31" t="s">
        <v>392</v>
      </c>
      <c r="C43" s="31" t="s">
        <v>393</v>
      </c>
      <c r="D43" s="31" t="s">
        <v>98</v>
      </c>
      <c r="E43" s="31" t="s">
        <v>205</v>
      </c>
      <c r="F43" s="47">
        <v>200</v>
      </c>
      <c r="G43" s="47">
        <v>250</v>
      </c>
      <c r="H43" s="47">
        <v>16988</v>
      </c>
      <c r="I43" s="47">
        <v>16605</v>
      </c>
      <c r="J43" s="31" t="s">
        <v>206</v>
      </c>
      <c r="K43" s="47">
        <v>19000</v>
      </c>
      <c r="L43" s="154" t="s">
        <v>51</v>
      </c>
      <c r="M43" s="155">
        <f t="shared" si="0"/>
        <v>-1264.56</v>
      </c>
      <c r="N43" s="156" t="str">
        <f>VLOOKUP(C43,'Trips&amp;Operators'!$C$1:$E$99999,3,FALSE)</f>
        <v>MAELZER</v>
      </c>
      <c r="O43" s="183" t="s">
        <v>202</v>
      </c>
      <c r="P43" s="157"/>
      <c r="Q43" s="31"/>
      <c r="R43" s="100" t="str">
        <f>VLOOKUP(C43,'Train Runs'!$A$13:$AE$9988,31,0)</f>
        <v>aws s3 cp s3://rtdc.mdm.uploadarchive.raw/RTDC4008/ "%USERPROFILE%\AppData\Local\Temp\OnboardLogs"\RTDC4008\2016-11-23 --exclude "*" --recursive --include "*20161123*" &amp; "%USERPROFILE%\Documents\GitHub\mrs-test-scripts\Headless Mode &amp; Sideloading\WalkAndUnGZ.bat" "%USERPROFILE%\AppData\Local\Temp\OnboardLogs"\RTDC4008\2016-11-23 &amp; 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</v>
      </c>
      <c r="S43" s="103" t="str">
        <f>VLOOKUP(C43,'Train Runs'!$A$13:$AE$9988,22,0)</f>
        <v>https://search-rtdc-monitor-bjffxe2xuh6vdkpspy63sjmuny.us-east-1.es.amazonaws.com/_plugin/kibana/#/discover/Steve-Slow-Train-Analysis-(2080s-and-2083s)?_g=(refreshInterval:(display:Off,section:0,value:0),time:(from:'2016-11-23 01:58:00-700',mode:absolute,to:'2016-11-23 04:11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3" s="105" t="str">
        <f t="shared" si="1"/>
        <v>"C:\Program Files (x86)\AstroGrep\AstroGrep.exe" /spath="%USERPROFILE%\AppData\Local\Temp\OnboardLogs" /stypes="*4008*201611231*" /stext=" 10:.+((SYSTEM_STATE.+slice.+state.+changed )|(ment ac)|(multiple cpu faults)|(system.+state.+changed )|(\[timeout)|(PRM\|1\|D)|(kpr)|(kdp)|(\|lc)|(penalty))" /e /r /s</v>
      </c>
      <c r="U43" s="9" t="str">
        <f t="shared" si="2"/>
        <v>4008</v>
      </c>
      <c r="V43" s="36">
        <f t="shared" si="3"/>
        <v>42697.418599537035</v>
      </c>
      <c r="W43" s="50" t="str">
        <f t="shared" si="4"/>
        <v>Other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{"issue":{"subject":"","project_id":79,"tracker_id":40,"status_id":1,"priority_id":2,"assigned_to_id":23,"start_date":"2016-11-23","description":"","custom_fields":[{"id":1,"name":"Subdivision","value":"Other"},{"id":4,"name":"Milepost","value":"1.9"},{"id":17,"name":"Train ID","value":"302-23"},{"id":16,"name":"Locomotive ID","value":"4008"},{"id":130,"name":"Impact","value":""},{"id":150,"name":"Time of Event (Mountain Time)","value":"03:02:47"},{"id":151,"name":"Denver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"%USERPROFILE%\AppData\Local\Temp\OnboardLogs"\RTDC4008\*4008*201611231*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"%USERPROFILE%\AppData\Local\Temp\OnboardLogs"\RTDC4008\*4008*201611231* &gt;&gt; 42697-slicedisagreementcheck.txt</v>
      </c>
    </row>
    <row r="44" spans="1:30" x14ac:dyDescent="0.25">
      <c r="A44" s="36">
        <v>42697.758391203701</v>
      </c>
      <c r="B44" s="31" t="s">
        <v>237</v>
      </c>
      <c r="C44" s="31" t="s">
        <v>421</v>
      </c>
      <c r="D44" s="31" t="s">
        <v>49</v>
      </c>
      <c r="E44" s="31" t="s">
        <v>207</v>
      </c>
      <c r="F44" s="47">
        <v>0</v>
      </c>
      <c r="G44" s="47">
        <v>38</v>
      </c>
      <c r="H44" s="47">
        <v>917</v>
      </c>
      <c r="I44" s="47">
        <v>885</v>
      </c>
      <c r="J44" s="31" t="s">
        <v>208</v>
      </c>
      <c r="K44" s="47">
        <v>826</v>
      </c>
      <c r="L44" s="154" t="s">
        <v>51</v>
      </c>
      <c r="M44" s="155">
        <f t="shared" si="0"/>
        <v>31.152000000000001</v>
      </c>
      <c r="N44" s="156" t="str">
        <f>VLOOKUP(C44,'Trips&amp;Operators'!$C$1:$E$99999,3,FALSE)</f>
        <v>COOLAHAN</v>
      </c>
      <c r="O44" s="183" t="s">
        <v>202</v>
      </c>
      <c r="P44" s="157"/>
      <c r="Q44" s="31"/>
      <c r="R44" s="100" t="str">
        <f>VLOOKUP(C44,'Train Runs'!$A$13:$AE$9988,31,0)</f>
        <v>aws s3 cp s3://rtdc.mdm.uploadarchive.raw/RTDC4037/ "%USERPROFILE%\AppData\Local\Temp\OnboardLogs"\RTDC4037\2016-11-23 --exclude "*" --recursive --include "*20161123*" &amp; "%USERPROFILE%\Documents\GitHub\mrs-test-scripts\Headless Mode &amp; Sideloading\WalkAndUnGZ.bat" "%USERPROFILE%\AppData\Local\Temp\OnboardLogs"\RTDC4037\2016-11-23 &amp; 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</v>
      </c>
      <c r="S44" s="103" t="str">
        <f>VLOOKUP(C44,'Train Runs'!$A$13:$AE$9988,22,0)</f>
        <v>https://search-rtdc-monitor-bjffxe2xuh6vdkpspy63sjmuny.us-east-1.es.amazonaws.com/_plugin/kibana/#/discover/Steve-Slow-Train-Analysis-(2080s-and-2083s)?_g=(refreshInterval:(display:Off,section:0,value:0),time:(from:'2016-11-23 17:01:40-700',mode:absolute,to:'2016-11-23 19:12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44" s="105" t="str">
        <f t="shared" si="1"/>
        <v>"C:\Program Files (x86)\AstroGrep\AstroGrep.exe" /spath="%USERPROFILE%\AppData\Local\Temp\OnboardLogs" /stypes="*4037*201611240*" /stext=" 01:.+((SYSTEM_STATE.+slice.+state.+changed )|(ment ac)|(multiple cpu faults)|(system.+state.+changed )|(\[timeout)|(PRM\|1\|D)|(kpr)|(kdp)|(\|lc)|(penalty))" /e /r /s</v>
      </c>
      <c r="U44" s="9" t="str">
        <f t="shared" si="2"/>
        <v>4037</v>
      </c>
      <c r="V44" s="36">
        <f t="shared" si="3"/>
        <v>42698.050057870365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{"issue":{"subject":"","project_id":79,"tracker_id":40,"status_id":1,"priority_id":2,"assigned_to_id":23,"start_date":"2016-11-23","description":"","custom_fields":[{"id":1,"name":"Subdivision","value":"Other"},{"id":4,"name":"Milepost","value":"0.0826"},{"id":17,"name":"Train ID","value":"52-23"},{"id":16,"name":"Locomotive ID","value":"4037"},{"id":130,"name":"Impact","value":""},{"id":150,"name":"Time of Event (Mountain Time)","value":"18:12:05"},{"id":151,"name":"Denver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"%USERPROFILE%\AppData\Local\Temp\OnboardLogs"\RTDC4037\*4037*201611240*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"%USERPROFILE%\AppData\Local\Temp\OnboardLogs"\RTDC4037\*4037*201611240* &gt;&gt; 42697-slicedisagreementcheck.txt</v>
      </c>
    </row>
    <row r="45" spans="1:30" x14ac:dyDescent="0.25">
      <c r="A45" s="36">
        <v>42697.885277777779</v>
      </c>
      <c r="B45" s="31" t="s">
        <v>156</v>
      </c>
      <c r="C45" s="31" t="s">
        <v>430</v>
      </c>
      <c r="D45" s="31" t="s">
        <v>49</v>
      </c>
      <c r="E45" s="31" t="s">
        <v>154</v>
      </c>
      <c r="F45" s="47">
        <v>0</v>
      </c>
      <c r="G45" s="47">
        <v>177</v>
      </c>
      <c r="H45" s="47">
        <v>30788</v>
      </c>
      <c r="I45" s="47">
        <v>30936</v>
      </c>
      <c r="J45" s="31" t="s">
        <v>153</v>
      </c>
      <c r="K45" s="47">
        <v>30830</v>
      </c>
      <c r="L45" s="154" t="s">
        <v>50</v>
      </c>
      <c r="M45" s="155">
        <f t="shared" si="0"/>
        <v>-55.968000000000004</v>
      </c>
      <c r="N45" s="156" t="str">
        <f>VLOOKUP(C45,'Trips&amp;Operators'!$C$1:$E$99999,3,FALSE)</f>
        <v>LOPES</v>
      </c>
      <c r="O45" s="183" t="s">
        <v>202</v>
      </c>
      <c r="P45" s="157"/>
      <c r="Q45" s="31"/>
      <c r="R45" s="100" t="str">
        <f>VLOOKUP(C45,'Train Runs'!$A$13:$AE$9988,31,0)</f>
        <v>aws s3 cp s3://rtdc.mdm.uploadarchive.raw/RTDC4051/ "%USERPROFILE%\AppData\Local\Temp\OnboardLogs"\RTDC4051\2016-11-23 --exclude "*" --recursive --include "*20161123*" &amp; "%USERPROFILE%\Documents\GitHub\mrs-test-scripts\Headless Mode &amp; Sideloading\WalkAndUnGZ.bat" "%USERPROFILE%\AppData\Local\Temp\OnboardLogs"\RTDC4051\2016-11-23 &amp; 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</v>
      </c>
      <c r="S45" s="103" t="str">
        <f>VLOOKUP(C45,'Train Runs'!$A$13:$AE$9988,22,0)</f>
        <v>https://search-rtdc-monitor-bjffxe2xuh6vdkpspy63sjmuny.us-east-1.es.amazonaws.com/_plugin/kibana/#/discover/Steve-Slow-Train-Analysis-(2080s-and-2083s)?_g=(refreshInterval:(display:Off,section:0,value:0),time:(from:'2016-11-23 20:06:44-700',mode:absolute,to:'2016-11-23 22:29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5" s="105" t="str">
        <f t="shared" si="1"/>
        <v>"C:\Program Files (x86)\AstroGrep\AstroGrep.exe" /spath="%USERPROFILE%\AppData\Local\Temp\OnboardLogs" /stypes="*4051*201611240*" /stext=" 04:.+((SYSTEM_STATE.+slice.+state.+changed )|(ment ac)|(multiple cpu faults)|(system.+state.+changed )|(\[timeout)|(PRM\|1\|D)|(kpr)|(kdp)|(\|lc)|(penalty))" /e /r /s</v>
      </c>
      <c r="U45" s="9" t="str">
        <f t="shared" si="2"/>
        <v>4051</v>
      </c>
      <c r="V45" s="36">
        <f t="shared" si="3"/>
        <v>42698.176944444444</v>
      </c>
      <c r="W45" s="50" t="e">
        <f t="shared" si="4"/>
        <v>#VALUE!</v>
      </c>
      <c r="X45" s="50" t="str">
        <f t="shared" si="5"/>
        <v>KEEP</v>
      </c>
      <c r="Y45" s="119" t="e">
        <f t="shared" si="6"/>
        <v>#VALUE!</v>
      </c>
      <c r="Z45" s="53"/>
      <c r="AA45" s="53"/>
      <c r="AB45" s="53"/>
      <c r="AC45" s="138" t="str">
        <f t="shared" si="7"/>
        <v>grep -hSE -A100 "Enforcement Action" "%USERPROFILE%\AppData\Local\Temp\OnboardLogs"\RTDC4051\*4051*201611240*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"%USERPROFILE%\AppData\Local\Temp\OnboardLogs"\RTDC4051\*4051*201611240* &gt;&gt; 42697-slicedisagreementcheck.txt</v>
      </c>
    </row>
    <row r="46" spans="1:30" x14ac:dyDescent="0.25">
      <c r="A46" s="36">
        <v>42697.819212962961</v>
      </c>
      <c r="B46" s="31" t="s">
        <v>157</v>
      </c>
      <c r="C46" s="31" t="s">
        <v>427</v>
      </c>
      <c r="D46" s="31" t="s">
        <v>49</v>
      </c>
      <c r="E46" s="31" t="s">
        <v>205</v>
      </c>
      <c r="F46" s="47">
        <v>0</v>
      </c>
      <c r="G46" s="47">
        <v>130</v>
      </c>
      <c r="H46" s="47">
        <v>128168</v>
      </c>
      <c r="I46" s="47">
        <v>128023</v>
      </c>
      <c r="J46" s="31" t="s">
        <v>206</v>
      </c>
      <c r="K46" s="47">
        <v>127587</v>
      </c>
      <c r="L46" s="154" t="s">
        <v>51</v>
      </c>
      <c r="M46" s="155">
        <f t="shared" si="0"/>
        <v>230.208</v>
      </c>
      <c r="N46" s="156" t="str">
        <f>VLOOKUP(C46,'Trips&amp;Operators'!$C$1:$E$99999,3,FALSE)</f>
        <v>LOPES</v>
      </c>
      <c r="O46" s="183" t="s">
        <v>202</v>
      </c>
      <c r="P46" s="157"/>
      <c r="Q46" s="31"/>
      <c r="R46" s="100" t="str">
        <f>VLOOKUP(C46,'Train Runs'!$A$13:$AE$9988,31,0)</f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S46" s="103" t="str">
        <f>VLOOKUP(C46,'Train Runs'!$A$13:$AE$9988,22,0)</f>
        <v>https://search-rtdc-monitor-bjffxe2xuh6vdkpspy63sjmuny.us-east-1.es.amazonaws.com/_plugin/kibana/#/discover/Steve-Slow-Train-Analysis-(2080s-and-2083s)?_g=(refreshInterval:(display:Off,section:0,value:0),time:(from:'2016-11-24 01:00:30-700',mode:absolute,to:'2016-11-24 04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6" s="105" t="str">
        <f t="shared" si="1"/>
        <v>"C:\Program Files (x86)\AstroGrep\AstroGrep.exe" /spath="%USERPROFILE%\AppData\Local\Temp\OnboardLogs" /stypes="*4052*201611240*" /stext=" 02:.+((SYSTEM_STATE.+slice.+state.+changed )|(ment ac)|(multiple cpu faults)|(system.+state.+changed )|(\[timeout)|(PRM\|1\|D)|(kpr)|(kdp)|(\|lc)|(penalty))" /e /r /s</v>
      </c>
      <c r="U46" s="9" t="str">
        <f t="shared" si="2"/>
        <v>4052</v>
      </c>
      <c r="V46" s="36">
        <f t="shared" si="3"/>
        <v>42698.110879629625</v>
      </c>
      <c r="W46" s="50" t="e">
        <f t="shared" si="4"/>
        <v>#VALUE!</v>
      </c>
      <c r="X46" s="50" t="str">
        <f t="shared" si="5"/>
        <v>KEEP</v>
      </c>
      <c r="Y46" s="119" t="e">
        <f t="shared" si="6"/>
        <v>#VALUE!</v>
      </c>
      <c r="Z46" s="53"/>
      <c r="AA46" s="53"/>
      <c r="AB46" s="53"/>
      <c r="AC46" s="138" t="str">
        <f t="shared" si="7"/>
        <v>grep -hSE -A100 "Enforcement Action" "%USERPROFILE%\AppData\Local\Temp\OnboardLogs"\RTDC4052\*4052*201611240*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"%USERPROFILE%\AppData\Local\Temp\OnboardLogs"\RTDC4052\*4052*201611240* &gt;&gt; 42697-slicedisagreementcheck.txt</v>
      </c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/>
  <sortState ref="A7:AD46">
    <sortCondition ref="W7:W46"/>
    <sortCondition ref="E7:E46"/>
    <sortCondition ref="K7:K46"/>
    <sortCondition ref="C7:C46"/>
    <sortCondition ref="F7:F46"/>
  </sortState>
  <mergeCells count="1">
    <mergeCell ref="A5:O5"/>
  </mergeCells>
  <conditionalFormatting sqref="O6:P6 R6 O67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hyperlinks>
    <hyperlink ref="Z15" r:id="rId1"/>
    <hyperlink ref="Z16" r:id="rId2"/>
    <hyperlink ref="Z36" r:id="rId3"/>
    <hyperlink ref="Z3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2016-11-23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-23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3" s="31" t="e">
        <f>VLOOKUP(B3,'Train Runs'!$A$13:$A$99985,1,FALSE)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-23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4" s="31" t="e">
        <f>VLOOKUP(B4,'Train Runs'!$A$13:$A$99985,1,FALSE)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-23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31" t="e">
        <f>VLOOKUP(B5,'Train Runs'!$A$13:$A$99985,1,FALSE)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-23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31" t="e">
        <f>VLOOKUP(B6,'Train Runs'!$A$13:$A$99985,1,FALSE)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-23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31" t="e">
        <f>VLOOKUP(B7,'Train Runs'!$A$13:$A$99985,1,FALSE)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42697.040902777779</v>
      </c>
      <c r="B2" s="21" t="s">
        <v>229</v>
      </c>
      <c r="C2" s="21" t="s">
        <v>354</v>
      </c>
      <c r="D2" s="21">
        <v>2460000</v>
      </c>
      <c r="E2" s="21" t="s">
        <v>353</v>
      </c>
      <c r="F2" s="21" t="str">
        <f t="shared" ref="F2:F65" si="0">B2</f>
        <v>rtdc.l.rtdc.4002:itc</v>
      </c>
      <c r="G2" s="8">
        <f t="shared" ref="G2:G65" si="1">A2</f>
        <v>42697.040902777779</v>
      </c>
    </row>
    <row r="3" spans="1:7" x14ac:dyDescent="0.25">
      <c r="A3" s="8">
        <v>42697.045983796299</v>
      </c>
      <c r="B3" s="21" t="s">
        <v>275</v>
      </c>
      <c r="C3" s="21" t="s">
        <v>355</v>
      </c>
      <c r="D3" s="21">
        <v>1290000</v>
      </c>
      <c r="E3" s="21" t="s">
        <v>301</v>
      </c>
      <c r="F3" s="21" t="str">
        <f t="shared" si="0"/>
        <v>rtdc.l.rtdc.4031:itc</v>
      </c>
      <c r="G3" s="8">
        <f t="shared" si="1"/>
        <v>42697.045983796299</v>
      </c>
    </row>
    <row r="4" spans="1:7" x14ac:dyDescent="0.25">
      <c r="A4" s="8">
        <v>42697.051481481481</v>
      </c>
      <c r="B4" s="21" t="s">
        <v>228</v>
      </c>
      <c r="C4" s="21" t="s">
        <v>356</v>
      </c>
      <c r="D4" s="21">
        <v>2460000</v>
      </c>
      <c r="E4" s="21" t="s">
        <v>353</v>
      </c>
      <c r="F4" s="21" t="str">
        <f t="shared" si="0"/>
        <v>rtdc.l.rtdc.4001:itc</v>
      </c>
      <c r="G4" s="8">
        <f t="shared" si="1"/>
        <v>42697.051481481481</v>
      </c>
    </row>
    <row r="5" spans="1:7" x14ac:dyDescent="0.25">
      <c r="A5" s="8">
        <v>42697.068391203706</v>
      </c>
      <c r="B5" s="21" t="s">
        <v>236</v>
      </c>
      <c r="C5" s="21" t="s">
        <v>357</v>
      </c>
      <c r="D5" s="21">
        <v>2630000</v>
      </c>
      <c r="E5" s="21" t="s">
        <v>322</v>
      </c>
      <c r="F5" s="21" t="str">
        <f t="shared" si="0"/>
        <v>rtdc.l.rtdc.4038:itc</v>
      </c>
      <c r="G5" s="8">
        <f t="shared" si="1"/>
        <v>42697.068391203706</v>
      </c>
    </row>
    <row r="6" spans="1:7" x14ac:dyDescent="0.25">
      <c r="A6" s="8">
        <v>42697.090381944443</v>
      </c>
      <c r="B6" s="21" t="s">
        <v>229</v>
      </c>
      <c r="C6" s="21" t="s">
        <v>358</v>
      </c>
      <c r="D6" s="21">
        <v>2460000</v>
      </c>
      <c r="E6" s="21" t="s">
        <v>353</v>
      </c>
      <c r="F6" s="21" t="str">
        <f t="shared" si="0"/>
        <v>rtdc.l.rtdc.4002:itc</v>
      </c>
      <c r="G6" s="8">
        <f t="shared" si="1"/>
        <v>42697.090381944443</v>
      </c>
    </row>
    <row r="7" spans="1:7" x14ac:dyDescent="0.25">
      <c r="A7" s="8">
        <v>42697.124039351853</v>
      </c>
      <c r="B7" s="21" t="s">
        <v>392</v>
      </c>
      <c r="C7" s="21" t="s">
        <v>393</v>
      </c>
      <c r="D7" s="21">
        <v>2010000</v>
      </c>
      <c r="E7" s="21" t="s">
        <v>433</v>
      </c>
      <c r="F7" s="21" t="str">
        <f t="shared" si="0"/>
        <v>rtdc.l.rtdc.4008:itc</v>
      </c>
      <c r="G7" s="8">
        <f t="shared" si="1"/>
        <v>42697.124039351853</v>
      </c>
    </row>
    <row r="8" spans="1:7" x14ac:dyDescent="0.25">
      <c r="A8" s="8">
        <v>42697.135358796295</v>
      </c>
      <c r="B8" s="21" t="s">
        <v>394</v>
      </c>
      <c r="C8" s="21" t="s">
        <v>395</v>
      </c>
      <c r="D8" s="21">
        <v>2010000</v>
      </c>
      <c r="E8" s="21" t="s">
        <v>433</v>
      </c>
      <c r="F8" s="21" t="str">
        <f t="shared" si="0"/>
        <v>rtdc.l.rtdc.4003:itc</v>
      </c>
      <c r="G8" s="8">
        <f t="shared" si="1"/>
        <v>42697.135358796295</v>
      </c>
    </row>
    <row r="9" spans="1:7" ht="15.75" thickBot="1" x14ac:dyDescent="0.3">
      <c r="A9" s="25">
        <v>42697.141053240739</v>
      </c>
      <c r="B9" s="21" t="s">
        <v>396</v>
      </c>
      <c r="C9" s="21" t="s">
        <v>434</v>
      </c>
      <c r="D9" s="21">
        <v>1260000</v>
      </c>
      <c r="E9" s="21" t="s">
        <v>435</v>
      </c>
      <c r="F9" s="21" t="str">
        <f t="shared" si="0"/>
        <v>rtdc.l.rtdc.4026:itc</v>
      </c>
      <c r="G9" s="8">
        <f t="shared" si="1"/>
        <v>42697.141053240739</v>
      </c>
    </row>
    <row r="10" spans="1:7" x14ac:dyDescent="0.25">
      <c r="A10" s="8">
        <v>42697.152546296296</v>
      </c>
      <c r="B10" s="21" t="s">
        <v>314</v>
      </c>
      <c r="C10" s="21" t="s">
        <v>436</v>
      </c>
      <c r="D10" s="21">
        <v>1260000</v>
      </c>
      <c r="E10" s="21" t="s">
        <v>435</v>
      </c>
      <c r="F10" s="21" t="str">
        <f t="shared" si="0"/>
        <v>rtdc.l.rtdc.4042:itc</v>
      </c>
      <c r="G10" s="8">
        <f t="shared" si="1"/>
        <v>42697.152546296296</v>
      </c>
    </row>
    <row r="11" spans="1:7" x14ac:dyDescent="0.25">
      <c r="A11" s="8">
        <v>42697.164918981478</v>
      </c>
      <c r="B11" s="21" t="s">
        <v>213</v>
      </c>
      <c r="C11" s="21" t="s">
        <v>437</v>
      </c>
      <c r="D11" s="21">
        <v>1360000</v>
      </c>
      <c r="E11" s="21" t="s">
        <v>438</v>
      </c>
      <c r="F11" s="21" t="str">
        <f t="shared" si="0"/>
        <v>rtdc.l.rtdc.4030:itc</v>
      </c>
      <c r="G11" s="8">
        <f t="shared" si="1"/>
        <v>42697.164918981478</v>
      </c>
    </row>
    <row r="12" spans="1:7" x14ac:dyDescent="0.25">
      <c r="A12" s="8">
        <v>42697.166168981479</v>
      </c>
      <c r="B12" s="21" t="s">
        <v>213</v>
      </c>
      <c r="C12" s="21" t="s">
        <v>439</v>
      </c>
      <c r="D12" s="21">
        <v>1360000</v>
      </c>
      <c r="E12" s="21" t="s">
        <v>438</v>
      </c>
      <c r="F12" s="21" t="str">
        <f t="shared" si="0"/>
        <v>rtdc.l.rtdc.4030:itc</v>
      </c>
      <c r="G12" s="8">
        <f t="shared" si="1"/>
        <v>42697.166168981479</v>
      </c>
    </row>
    <row r="13" spans="1:7" x14ac:dyDescent="0.25">
      <c r="A13" s="8">
        <v>42697.171423611115</v>
      </c>
      <c r="B13" s="21" t="s">
        <v>392</v>
      </c>
      <c r="C13" s="21" t="s">
        <v>440</v>
      </c>
      <c r="D13" s="21">
        <v>2010000</v>
      </c>
      <c r="E13" s="21" t="s">
        <v>433</v>
      </c>
      <c r="F13" s="21" t="str">
        <f t="shared" si="0"/>
        <v>rtdc.l.rtdc.4008:itc</v>
      </c>
      <c r="G13" s="8">
        <f t="shared" si="1"/>
        <v>42697.171423611115</v>
      </c>
    </row>
    <row r="14" spans="1:7" x14ac:dyDescent="0.25">
      <c r="A14" s="8">
        <v>42697.1721875</v>
      </c>
      <c r="B14" s="21" t="s">
        <v>281</v>
      </c>
      <c r="C14" s="21" t="s">
        <v>441</v>
      </c>
      <c r="D14" s="21">
        <v>1090000</v>
      </c>
      <c r="E14" s="21" t="s">
        <v>350</v>
      </c>
      <c r="F14" s="21" t="str">
        <f t="shared" si="0"/>
        <v>rtdc.l.rtdc.4045:itc</v>
      </c>
      <c r="G14" s="8">
        <f t="shared" si="1"/>
        <v>42697.1721875</v>
      </c>
    </row>
    <row r="15" spans="1:7" x14ac:dyDescent="0.25">
      <c r="A15" s="8">
        <v>42697.175636574073</v>
      </c>
      <c r="B15" s="21" t="s">
        <v>218</v>
      </c>
      <c r="C15" s="21" t="s">
        <v>437</v>
      </c>
      <c r="D15" s="21">
        <v>1360000</v>
      </c>
      <c r="E15" s="21" t="s">
        <v>438</v>
      </c>
      <c r="F15" s="21" t="str">
        <f t="shared" si="0"/>
        <v>rtdc.l.rtdc.4040:itc</v>
      </c>
      <c r="G15" s="8">
        <f t="shared" si="1"/>
        <v>42697.175636574073</v>
      </c>
    </row>
    <row r="16" spans="1:7" x14ac:dyDescent="0.25">
      <c r="A16" s="8">
        <v>42697.181145833332</v>
      </c>
      <c r="B16" s="21" t="s">
        <v>234</v>
      </c>
      <c r="C16" s="21" t="s">
        <v>442</v>
      </c>
      <c r="D16" s="21">
        <v>2030000</v>
      </c>
      <c r="E16" s="21" t="s">
        <v>349</v>
      </c>
      <c r="F16" s="21" t="str">
        <f t="shared" si="0"/>
        <v>rtdc.l.rtdc.4021:itc</v>
      </c>
      <c r="G16" s="8">
        <f t="shared" si="1"/>
        <v>42697.181145833332</v>
      </c>
    </row>
    <row r="17" spans="1:7" x14ac:dyDescent="0.25">
      <c r="A17" s="8">
        <v>42697.182395833333</v>
      </c>
      <c r="B17" s="21" t="s">
        <v>282</v>
      </c>
      <c r="C17" s="21" t="s">
        <v>443</v>
      </c>
      <c r="D17" s="21">
        <v>1090000</v>
      </c>
      <c r="E17" s="21" t="s">
        <v>350</v>
      </c>
      <c r="F17" s="21" t="str">
        <f t="shared" si="0"/>
        <v>rtdc.l.rtdc.4046:itc</v>
      </c>
      <c r="G17" s="8">
        <f t="shared" si="1"/>
        <v>42697.182395833333</v>
      </c>
    </row>
    <row r="18" spans="1:7" x14ac:dyDescent="0.25">
      <c r="A18" s="8">
        <v>42697.190266203703</v>
      </c>
      <c r="B18" s="21" t="s">
        <v>396</v>
      </c>
      <c r="C18" s="21" t="s">
        <v>397</v>
      </c>
      <c r="D18" s="21">
        <v>1260000</v>
      </c>
      <c r="E18" s="21" t="s">
        <v>435</v>
      </c>
      <c r="F18" s="21" t="str">
        <f t="shared" si="0"/>
        <v>rtdc.l.rtdc.4026:itc</v>
      </c>
      <c r="G18" s="8">
        <f t="shared" si="1"/>
        <v>42697.190266203703</v>
      </c>
    </row>
    <row r="19" spans="1:7" x14ac:dyDescent="0.25">
      <c r="A19" s="8">
        <v>42697.191030092596</v>
      </c>
      <c r="B19" s="21" t="s">
        <v>233</v>
      </c>
      <c r="C19" s="21" t="s">
        <v>444</v>
      </c>
      <c r="D19" s="21">
        <v>2030000</v>
      </c>
      <c r="E19" s="21" t="s">
        <v>349</v>
      </c>
      <c r="F19" s="21" t="str">
        <f t="shared" si="0"/>
        <v>rtdc.l.rtdc.4022:itc</v>
      </c>
      <c r="G19" s="8">
        <f t="shared" si="1"/>
        <v>42697.191030092596</v>
      </c>
    </row>
    <row r="20" spans="1:7" x14ac:dyDescent="0.25">
      <c r="A20" s="8">
        <v>42697.201284722221</v>
      </c>
      <c r="B20" s="21" t="s">
        <v>252</v>
      </c>
      <c r="C20" s="21" t="s">
        <v>445</v>
      </c>
      <c r="D20" s="21">
        <v>1110000</v>
      </c>
      <c r="E20" s="21" t="s">
        <v>299</v>
      </c>
      <c r="F20" s="21" t="str">
        <f t="shared" si="0"/>
        <v>rtdc.l.rtdc.4014:itc</v>
      </c>
      <c r="G20" s="8">
        <f t="shared" si="1"/>
        <v>42697.201284722221</v>
      </c>
    </row>
    <row r="21" spans="1:7" x14ac:dyDescent="0.25">
      <c r="A21" s="8">
        <v>42697.204953703702</v>
      </c>
      <c r="B21" s="21" t="s">
        <v>394</v>
      </c>
      <c r="C21" s="21" t="s">
        <v>446</v>
      </c>
      <c r="D21" s="21">
        <v>2430000</v>
      </c>
      <c r="E21" s="21" t="s">
        <v>318</v>
      </c>
      <c r="F21" s="21" t="str">
        <f t="shared" si="0"/>
        <v>rtdc.l.rtdc.4003:itc</v>
      </c>
      <c r="G21" s="8">
        <f t="shared" si="1"/>
        <v>42697.204953703702</v>
      </c>
    </row>
    <row r="22" spans="1:7" x14ac:dyDescent="0.25">
      <c r="A22" s="27">
        <v>42697.205405092594</v>
      </c>
      <c r="B22" s="21" t="s">
        <v>213</v>
      </c>
      <c r="C22" s="21" t="s">
        <v>447</v>
      </c>
      <c r="D22" s="21">
        <v>1360000</v>
      </c>
      <c r="E22" s="21" t="s">
        <v>438</v>
      </c>
      <c r="F22" s="21" t="str">
        <f t="shared" si="0"/>
        <v>rtdc.l.rtdc.4030:itc</v>
      </c>
      <c r="G22" s="8">
        <f t="shared" si="1"/>
        <v>42697.205405092594</v>
      </c>
    </row>
    <row r="23" spans="1:7" x14ac:dyDescent="0.25">
      <c r="A23" s="8">
        <v>42697.206076388888</v>
      </c>
      <c r="B23" s="21" t="s">
        <v>213</v>
      </c>
      <c r="C23" s="21" t="s">
        <v>447</v>
      </c>
      <c r="D23" s="21">
        <v>1360000</v>
      </c>
      <c r="E23" s="21" t="s">
        <v>438</v>
      </c>
      <c r="F23" s="21" t="str">
        <f t="shared" si="0"/>
        <v>rtdc.l.rtdc.4030:itc</v>
      </c>
      <c r="G23" s="8">
        <f t="shared" si="1"/>
        <v>42697.206076388888</v>
      </c>
    </row>
    <row r="24" spans="1:7" x14ac:dyDescent="0.25">
      <c r="A24" s="8">
        <v>42697.206608796296</v>
      </c>
      <c r="B24" s="21" t="s">
        <v>448</v>
      </c>
      <c r="C24" s="21" t="s">
        <v>449</v>
      </c>
      <c r="D24" s="21">
        <v>2010000</v>
      </c>
      <c r="E24" s="21" t="s">
        <v>433</v>
      </c>
      <c r="F24" s="21" t="str">
        <f t="shared" si="0"/>
        <v>rtdc.l.rtdc.4007:itc</v>
      </c>
      <c r="G24" s="8">
        <f t="shared" si="1"/>
        <v>42697.206608796296</v>
      </c>
    </row>
    <row r="25" spans="1:7" x14ac:dyDescent="0.25">
      <c r="A25" s="8">
        <v>42697.208506944444</v>
      </c>
      <c r="B25" s="21" t="s">
        <v>213</v>
      </c>
      <c r="C25" s="21" t="s">
        <v>447</v>
      </c>
      <c r="D25" s="21">
        <v>1360000</v>
      </c>
      <c r="E25" s="21" t="s">
        <v>438</v>
      </c>
      <c r="F25" s="21" t="str">
        <f t="shared" si="0"/>
        <v>rtdc.l.rtdc.4030:itc</v>
      </c>
      <c r="G25" s="8">
        <f t="shared" si="1"/>
        <v>42697.208506944444</v>
      </c>
    </row>
    <row r="26" spans="1:7" x14ac:dyDescent="0.25">
      <c r="A26" s="8">
        <v>42697.208738425928</v>
      </c>
      <c r="B26" s="21" t="s">
        <v>448</v>
      </c>
      <c r="C26" s="21" t="s">
        <v>449</v>
      </c>
      <c r="D26" s="21">
        <v>2010000</v>
      </c>
      <c r="E26" s="21" t="s">
        <v>433</v>
      </c>
      <c r="F26" s="21" t="str">
        <f t="shared" si="0"/>
        <v>rtdc.l.rtdc.4007:itc</v>
      </c>
      <c r="G26" s="8">
        <f t="shared" si="1"/>
        <v>42697.208738425928</v>
      </c>
    </row>
    <row r="27" spans="1:7" x14ac:dyDescent="0.25">
      <c r="A27" s="8">
        <v>42697.212939814817</v>
      </c>
      <c r="B27" s="21" t="s">
        <v>253</v>
      </c>
      <c r="C27" s="21" t="s">
        <v>450</v>
      </c>
      <c r="D27" s="21">
        <v>1110000</v>
      </c>
      <c r="E27" s="21" t="s">
        <v>299</v>
      </c>
      <c r="F27" s="21" t="str">
        <f t="shared" si="0"/>
        <v>rtdc.l.rtdc.4013:itc</v>
      </c>
      <c r="G27" s="8">
        <f t="shared" si="1"/>
        <v>42697.212939814817</v>
      </c>
    </row>
    <row r="28" spans="1:7" x14ac:dyDescent="0.25">
      <c r="A28" s="8">
        <v>42697.224351851852</v>
      </c>
      <c r="B28" s="21" t="s">
        <v>281</v>
      </c>
      <c r="C28" s="21" t="s">
        <v>451</v>
      </c>
      <c r="D28" s="21">
        <v>1090000</v>
      </c>
      <c r="E28" s="21" t="s">
        <v>350</v>
      </c>
      <c r="F28" s="21" t="str">
        <f t="shared" si="0"/>
        <v>rtdc.l.rtdc.4045:itc</v>
      </c>
      <c r="G28" s="8">
        <f t="shared" si="1"/>
        <v>42697.224351851852</v>
      </c>
    </row>
    <row r="29" spans="1:7" x14ac:dyDescent="0.25">
      <c r="A29" s="8">
        <v>42697.225590277776</v>
      </c>
      <c r="B29" s="21" t="s">
        <v>314</v>
      </c>
      <c r="C29" s="21" t="s">
        <v>452</v>
      </c>
      <c r="D29" s="21">
        <v>2380000</v>
      </c>
      <c r="E29" s="21" t="s">
        <v>317</v>
      </c>
      <c r="F29" s="21" t="str">
        <f t="shared" si="0"/>
        <v>rtdc.l.rtdc.4042:itc</v>
      </c>
      <c r="G29" s="8">
        <f t="shared" si="1"/>
        <v>42697.225590277776</v>
      </c>
    </row>
    <row r="30" spans="1:7" x14ac:dyDescent="0.25">
      <c r="A30" s="8">
        <v>42697.229664351849</v>
      </c>
      <c r="B30" s="21" t="s">
        <v>234</v>
      </c>
      <c r="C30" s="21" t="s">
        <v>453</v>
      </c>
      <c r="D30" s="21">
        <v>2030000</v>
      </c>
      <c r="E30" s="21" t="s">
        <v>349</v>
      </c>
      <c r="F30" s="21" t="str">
        <f t="shared" si="0"/>
        <v>rtdc.l.rtdc.4021:itc</v>
      </c>
      <c r="G30" s="8">
        <f t="shared" si="1"/>
        <v>42697.229664351849</v>
      </c>
    </row>
    <row r="31" spans="1:7" x14ac:dyDescent="0.25">
      <c r="A31" s="8">
        <v>42697.234606481485</v>
      </c>
      <c r="B31" s="21" t="s">
        <v>414</v>
      </c>
      <c r="C31" s="21" t="s">
        <v>454</v>
      </c>
      <c r="D31" s="21">
        <v>1260000</v>
      </c>
      <c r="E31" s="21" t="s">
        <v>435</v>
      </c>
      <c r="F31" s="21" t="str">
        <f t="shared" si="0"/>
        <v>rtdc.l.rtdc.4025:itc</v>
      </c>
      <c r="G31" s="8">
        <f t="shared" si="1"/>
        <v>42697.234606481485</v>
      </c>
    </row>
    <row r="32" spans="1:7" x14ac:dyDescent="0.25">
      <c r="A32" s="8">
        <v>42697.236203703702</v>
      </c>
      <c r="B32" s="21" t="s">
        <v>414</v>
      </c>
      <c r="C32" s="21" t="s">
        <v>454</v>
      </c>
      <c r="D32" s="21">
        <v>1260000</v>
      </c>
      <c r="E32" s="21" t="s">
        <v>435</v>
      </c>
      <c r="F32" s="21" t="str">
        <f t="shared" si="0"/>
        <v>rtdc.l.rtdc.4025:itc</v>
      </c>
      <c r="G32" s="8">
        <f t="shared" si="1"/>
        <v>42697.236203703702</v>
      </c>
    </row>
    <row r="33" spans="1:7" x14ac:dyDescent="0.25">
      <c r="A33" s="8">
        <v>42697.240312499998</v>
      </c>
      <c r="B33" s="21" t="s">
        <v>252</v>
      </c>
      <c r="C33" s="21" t="s">
        <v>455</v>
      </c>
      <c r="D33" s="21">
        <v>1110000</v>
      </c>
      <c r="E33" s="21" t="s">
        <v>299</v>
      </c>
      <c r="F33" s="21" t="str">
        <f t="shared" si="0"/>
        <v>rtdc.l.rtdc.4014:itc</v>
      </c>
      <c r="G33" s="8">
        <f t="shared" si="1"/>
        <v>42697.240312499998</v>
      </c>
    </row>
    <row r="34" spans="1:7" x14ac:dyDescent="0.25">
      <c r="A34" s="8">
        <v>42697.246724537035</v>
      </c>
      <c r="B34" s="21" t="s">
        <v>406</v>
      </c>
      <c r="C34" s="21" t="s">
        <v>456</v>
      </c>
      <c r="D34" s="21">
        <v>2430000</v>
      </c>
      <c r="E34" s="21" t="s">
        <v>318</v>
      </c>
      <c r="F34" s="21" t="str">
        <f t="shared" si="0"/>
        <v>rtdc.l.rtdc.4004:itc</v>
      </c>
      <c r="G34" s="8">
        <f t="shared" si="1"/>
        <v>42697.246724537035</v>
      </c>
    </row>
    <row r="35" spans="1:7" x14ac:dyDescent="0.25">
      <c r="A35" s="8">
        <v>42697.24726851852</v>
      </c>
      <c r="B35" s="21" t="s">
        <v>232</v>
      </c>
      <c r="C35" s="21" t="s">
        <v>457</v>
      </c>
      <c r="D35" s="21">
        <v>1780000</v>
      </c>
      <c r="E35" s="21" t="s">
        <v>458</v>
      </c>
      <c r="F35" s="21" t="str">
        <f t="shared" si="0"/>
        <v>rtdc.l.rtdc.4043:itc</v>
      </c>
      <c r="G35" s="8">
        <f t="shared" si="1"/>
        <v>42697.24726851852</v>
      </c>
    </row>
    <row r="36" spans="1:7" x14ac:dyDescent="0.25">
      <c r="A36" s="8">
        <v>42697.247476851851</v>
      </c>
      <c r="B36" s="21" t="s">
        <v>218</v>
      </c>
      <c r="C36" s="21" t="s">
        <v>459</v>
      </c>
      <c r="D36" s="21">
        <v>1360000</v>
      </c>
      <c r="E36" s="21" t="s">
        <v>438</v>
      </c>
      <c r="F36" s="21" t="str">
        <f t="shared" si="0"/>
        <v>rtdc.l.rtdc.4040:itc</v>
      </c>
      <c r="G36" s="8">
        <f t="shared" si="1"/>
        <v>42697.247476851851</v>
      </c>
    </row>
    <row r="37" spans="1:7" x14ac:dyDescent="0.25">
      <c r="A37" s="8">
        <v>42697.24900462963</v>
      </c>
      <c r="B37" s="21" t="s">
        <v>218</v>
      </c>
      <c r="C37" s="21" t="s">
        <v>459</v>
      </c>
      <c r="D37" s="21">
        <v>1360000</v>
      </c>
      <c r="E37" s="21" t="s">
        <v>438</v>
      </c>
      <c r="F37" s="21" t="str">
        <f t="shared" si="0"/>
        <v>rtdc.l.rtdc.4040:itc</v>
      </c>
      <c r="G37" s="8">
        <f t="shared" si="1"/>
        <v>42697.24900462963</v>
      </c>
    </row>
    <row r="38" spans="1:7" x14ac:dyDescent="0.25">
      <c r="A38" s="8">
        <v>42697.253807870373</v>
      </c>
      <c r="B38" s="21" t="s">
        <v>218</v>
      </c>
      <c r="C38" s="21" t="s">
        <v>459</v>
      </c>
      <c r="D38" s="21">
        <v>1360000</v>
      </c>
      <c r="E38" s="21" t="s">
        <v>438</v>
      </c>
      <c r="F38" s="21" t="str">
        <f t="shared" si="0"/>
        <v>rtdc.l.rtdc.4040:itc</v>
      </c>
      <c r="G38" s="8">
        <f t="shared" si="1"/>
        <v>42697.253807870373</v>
      </c>
    </row>
    <row r="39" spans="1:7" x14ac:dyDescent="0.25">
      <c r="A39" s="8">
        <v>42697.254374999997</v>
      </c>
      <c r="B39" s="21" t="s">
        <v>392</v>
      </c>
      <c r="C39" s="21" t="s">
        <v>460</v>
      </c>
      <c r="D39" s="21">
        <v>2010000</v>
      </c>
      <c r="E39" s="21" t="s">
        <v>433</v>
      </c>
      <c r="F39" s="21" t="str">
        <f t="shared" si="0"/>
        <v>rtdc.l.rtdc.4008:itc</v>
      </c>
      <c r="G39" s="8">
        <f t="shared" si="1"/>
        <v>42697.254374999997</v>
      </c>
    </row>
    <row r="40" spans="1:7" x14ac:dyDescent="0.25">
      <c r="A40" s="8">
        <v>42697.255416666667</v>
      </c>
      <c r="B40" s="26" t="s">
        <v>253</v>
      </c>
      <c r="C40" s="21" t="s">
        <v>461</v>
      </c>
      <c r="D40" s="21">
        <v>1110000</v>
      </c>
      <c r="E40" s="21" t="s">
        <v>299</v>
      </c>
      <c r="F40" s="21" t="str">
        <f t="shared" si="0"/>
        <v>rtdc.l.rtdc.4013:itc</v>
      </c>
      <c r="G40" s="8">
        <f t="shared" si="1"/>
        <v>42697.255416666667</v>
      </c>
    </row>
    <row r="41" spans="1:7" x14ac:dyDescent="0.25">
      <c r="A41" s="8">
        <v>42697.256342592591</v>
      </c>
      <c r="B41" s="21" t="s">
        <v>282</v>
      </c>
      <c r="C41" s="21" t="s">
        <v>398</v>
      </c>
      <c r="D41" s="21">
        <v>1090000</v>
      </c>
      <c r="E41" s="21" t="s">
        <v>350</v>
      </c>
      <c r="F41" s="21" t="str">
        <f t="shared" si="0"/>
        <v>rtdc.l.rtdc.4046:itc</v>
      </c>
      <c r="G41" s="8">
        <f t="shared" si="1"/>
        <v>42697.256342592591</v>
      </c>
    </row>
    <row r="42" spans="1:7" x14ac:dyDescent="0.25">
      <c r="A42" s="8">
        <v>42697.256932870368</v>
      </c>
      <c r="B42" s="21" t="s">
        <v>315</v>
      </c>
      <c r="C42" s="21" t="s">
        <v>462</v>
      </c>
      <c r="D42" s="21">
        <v>2380000</v>
      </c>
      <c r="E42" s="21" t="s">
        <v>317</v>
      </c>
      <c r="F42" s="21" t="str">
        <f t="shared" si="0"/>
        <v>rtdc.l.rtdc.4041:itc</v>
      </c>
      <c r="G42" s="8">
        <f t="shared" si="1"/>
        <v>42697.256932870368</v>
      </c>
    </row>
    <row r="43" spans="1:7" x14ac:dyDescent="0.25">
      <c r="A43" s="8">
        <v>42697.260798611111</v>
      </c>
      <c r="B43" s="21" t="s">
        <v>188</v>
      </c>
      <c r="C43" s="21" t="s">
        <v>463</v>
      </c>
      <c r="D43" s="21">
        <v>1780000</v>
      </c>
      <c r="E43" s="21" t="s">
        <v>458</v>
      </c>
      <c r="F43" s="21" t="str">
        <f t="shared" si="0"/>
        <v>rtdc.l.rtdc.4044:itc</v>
      </c>
      <c r="G43" s="8">
        <f t="shared" si="1"/>
        <v>42697.260798611111</v>
      </c>
    </row>
    <row r="44" spans="1:7" x14ac:dyDescent="0.25">
      <c r="A44" s="8">
        <v>42697.266979166663</v>
      </c>
      <c r="B44" s="21" t="s">
        <v>233</v>
      </c>
      <c r="C44" s="21" t="s">
        <v>464</v>
      </c>
      <c r="D44" s="21">
        <v>2030000</v>
      </c>
      <c r="E44" s="21" t="s">
        <v>349</v>
      </c>
      <c r="F44" s="21" t="str">
        <f t="shared" si="0"/>
        <v>rtdc.l.rtdc.4022:itc</v>
      </c>
      <c r="G44" s="8">
        <f t="shared" si="1"/>
        <v>42697.266979166663</v>
      </c>
    </row>
    <row r="45" spans="1:7" x14ac:dyDescent="0.25">
      <c r="A45" s="8">
        <v>42697.272812499999</v>
      </c>
      <c r="B45" s="21" t="s">
        <v>396</v>
      </c>
      <c r="C45" s="21" t="s">
        <v>465</v>
      </c>
      <c r="D45" s="21">
        <v>1260000</v>
      </c>
      <c r="E45" s="21" t="s">
        <v>435</v>
      </c>
      <c r="F45" s="21" t="str">
        <f t="shared" si="0"/>
        <v>rtdc.l.rtdc.4026:itc</v>
      </c>
      <c r="G45" s="8">
        <f t="shared" si="1"/>
        <v>42697.272812499999</v>
      </c>
    </row>
    <row r="46" spans="1:7" x14ac:dyDescent="0.25">
      <c r="A46" s="8">
        <v>42697.275335648148</v>
      </c>
      <c r="B46" s="21" t="s">
        <v>394</v>
      </c>
      <c r="C46" s="21" t="s">
        <v>466</v>
      </c>
      <c r="D46" s="21">
        <v>2430000</v>
      </c>
      <c r="E46" s="21" t="s">
        <v>318</v>
      </c>
      <c r="F46" s="21" t="str">
        <f t="shared" si="0"/>
        <v>rtdc.l.rtdc.4003:itc</v>
      </c>
      <c r="G46" s="8">
        <f t="shared" si="1"/>
        <v>42697.275335648148</v>
      </c>
    </row>
    <row r="47" spans="1:7" x14ac:dyDescent="0.25">
      <c r="A47" s="8">
        <v>42697.275960648149</v>
      </c>
      <c r="B47" s="21" t="s">
        <v>232</v>
      </c>
      <c r="C47" s="21" t="s">
        <v>467</v>
      </c>
      <c r="D47" s="21">
        <v>1780000</v>
      </c>
      <c r="E47" s="21" t="s">
        <v>458</v>
      </c>
      <c r="F47" s="21" t="str">
        <f t="shared" si="0"/>
        <v>rtdc.l.rtdc.4043:itc</v>
      </c>
      <c r="G47" s="8">
        <f t="shared" si="1"/>
        <v>42697.275960648149</v>
      </c>
    </row>
    <row r="48" spans="1:7" x14ac:dyDescent="0.25">
      <c r="A48" s="8">
        <v>42697.278067129628</v>
      </c>
      <c r="B48" s="21" t="s">
        <v>222</v>
      </c>
      <c r="C48" s="21" t="s">
        <v>468</v>
      </c>
      <c r="D48" s="21">
        <v>1360000</v>
      </c>
      <c r="E48" s="21" t="s">
        <v>438</v>
      </c>
      <c r="F48" s="21" t="str">
        <f t="shared" si="0"/>
        <v>rtdc.l.rtdc.4039:itc</v>
      </c>
      <c r="G48" s="8">
        <f t="shared" si="1"/>
        <v>42697.278067129628</v>
      </c>
    </row>
    <row r="49" spans="1:7" x14ac:dyDescent="0.25">
      <c r="A49" s="8">
        <v>42697.282094907408</v>
      </c>
      <c r="B49" s="21" t="s">
        <v>252</v>
      </c>
      <c r="C49" s="21" t="s">
        <v>469</v>
      </c>
      <c r="D49" s="21">
        <v>1110000</v>
      </c>
      <c r="E49" s="21" t="s">
        <v>299</v>
      </c>
      <c r="F49" s="21" t="str">
        <f t="shared" si="0"/>
        <v>rtdc.l.rtdc.4014:itc</v>
      </c>
      <c r="G49" s="8">
        <f t="shared" si="1"/>
        <v>42697.282094907408</v>
      </c>
    </row>
    <row r="50" spans="1:7" x14ac:dyDescent="0.25">
      <c r="A50" s="8">
        <v>42697.287893518522</v>
      </c>
      <c r="B50" s="21" t="s">
        <v>448</v>
      </c>
      <c r="C50" s="21" t="s">
        <v>470</v>
      </c>
      <c r="D50" s="21">
        <v>2010000</v>
      </c>
      <c r="E50" s="21" t="s">
        <v>433</v>
      </c>
      <c r="F50" s="21" t="str">
        <f t="shared" si="0"/>
        <v>rtdc.l.rtdc.4007:itc</v>
      </c>
      <c r="G50" s="8">
        <f t="shared" si="1"/>
        <v>42697.287893518522</v>
      </c>
    </row>
    <row r="51" spans="1:7" x14ac:dyDescent="0.25">
      <c r="A51" s="8">
        <v>42697.295439814814</v>
      </c>
      <c r="B51" s="21" t="s">
        <v>281</v>
      </c>
      <c r="C51" s="21" t="s">
        <v>400</v>
      </c>
      <c r="D51" s="21">
        <v>1090000</v>
      </c>
      <c r="E51" s="21" t="s">
        <v>350</v>
      </c>
      <c r="F51" s="21" t="str">
        <f t="shared" si="0"/>
        <v>rtdc.l.rtdc.4045:itc</v>
      </c>
      <c r="G51" s="8">
        <f t="shared" si="1"/>
        <v>42697.295439814814</v>
      </c>
    </row>
    <row r="52" spans="1:7" x14ac:dyDescent="0.25">
      <c r="A52" s="8">
        <v>42697.297233796293</v>
      </c>
      <c r="B52" s="21" t="s">
        <v>253</v>
      </c>
      <c r="C52" s="21" t="s">
        <v>399</v>
      </c>
      <c r="D52" s="21">
        <v>1110000</v>
      </c>
      <c r="E52" s="21" t="s">
        <v>299</v>
      </c>
      <c r="F52" s="21" t="str">
        <f t="shared" si="0"/>
        <v>rtdc.l.rtdc.4013:itc</v>
      </c>
      <c r="G52" s="8">
        <f t="shared" si="1"/>
        <v>42697.297233796293</v>
      </c>
    </row>
    <row r="53" spans="1:7" x14ac:dyDescent="0.25">
      <c r="A53" s="8">
        <v>42697.300439814811</v>
      </c>
      <c r="B53" s="21" t="s">
        <v>188</v>
      </c>
      <c r="C53" s="21" t="s">
        <v>471</v>
      </c>
      <c r="D53" s="21">
        <v>1780000</v>
      </c>
      <c r="E53" s="21" t="s">
        <v>458</v>
      </c>
      <c r="F53" s="21" t="str">
        <f t="shared" si="0"/>
        <v>rtdc.l.rtdc.4044:itc</v>
      </c>
      <c r="G53" s="8">
        <f t="shared" si="1"/>
        <v>42697.300439814811</v>
      </c>
    </row>
    <row r="54" spans="1:7" x14ac:dyDescent="0.25">
      <c r="A54" s="8">
        <v>42697.301064814812</v>
      </c>
      <c r="B54" s="21" t="s">
        <v>351</v>
      </c>
      <c r="C54" s="21" t="s">
        <v>472</v>
      </c>
      <c r="D54" s="21">
        <v>2380000</v>
      </c>
      <c r="E54" s="21" t="s">
        <v>317</v>
      </c>
      <c r="F54" s="21" t="str">
        <f t="shared" si="0"/>
        <v>rtdc.l.rtdc.4029:itc</v>
      </c>
      <c r="G54" s="8">
        <f t="shared" si="1"/>
        <v>42697.301064814812</v>
      </c>
    </row>
    <row r="55" spans="1:7" x14ac:dyDescent="0.25">
      <c r="A55" s="8">
        <v>42697.307164351849</v>
      </c>
      <c r="B55" s="21" t="s">
        <v>414</v>
      </c>
      <c r="C55" s="21" t="s">
        <v>473</v>
      </c>
      <c r="D55" s="21">
        <v>1260000</v>
      </c>
      <c r="E55" s="21" t="s">
        <v>435</v>
      </c>
      <c r="F55" s="21" t="str">
        <f t="shared" si="0"/>
        <v>rtdc.l.rtdc.4025:itc</v>
      </c>
      <c r="G55" s="8">
        <f t="shared" si="1"/>
        <v>42697.307164351849</v>
      </c>
    </row>
    <row r="56" spans="1:7" x14ac:dyDescent="0.25">
      <c r="A56" s="8">
        <v>42697.308576388888</v>
      </c>
      <c r="B56" s="21" t="s">
        <v>234</v>
      </c>
      <c r="C56" s="21" t="s">
        <v>474</v>
      </c>
      <c r="D56" s="21">
        <v>2030000</v>
      </c>
      <c r="E56" s="21" t="s">
        <v>349</v>
      </c>
      <c r="F56" s="21" t="str">
        <f t="shared" si="0"/>
        <v>rtdc.l.rtdc.4021:itc</v>
      </c>
      <c r="G56" s="8">
        <f t="shared" si="1"/>
        <v>42697.308576388888</v>
      </c>
    </row>
    <row r="57" spans="1:7" x14ac:dyDescent="0.25">
      <c r="A57" s="8">
        <v>42697.313206018516</v>
      </c>
      <c r="B57" s="21" t="s">
        <v>406</v>
      </c>
      <c r="C57" s="21" t="s">
        <v>475</v>
      </c>
      <c r="D57" s="21">
        <v>2430000</v>
      </c>
      <c r="E57" s="21" t="s">
        <v>318</v>
      </c>
      <c r="F57" s="21" t="str">
        <f t="shared" si="0"/>
        <v>rtdc.l.rtdc.4004:itc</v>
      </c>
      <c r="G57" s="8">
        <f t="shared" si="1"/>
        <v>42697.313206018516</v>
      </c>
    </row>
    <row r="58" spans="1:7" x14ac:dyDescent="0.25">
      <c r="A58" s="8">
        <v>42697.317326388889</v>
      </c>
      <c r="B58" s="21" t="s">
        <v>232</v>
      </c>
      <c r="C58" s="21" t="s">
        <v>401</v>
      </c>
      <c r="D58" s="21">
        <v>1780000</v>
      </c>
      <c r="E58" s="21" t="s">
        <v>458</v>
      </c>
      <c r="F58" s="21" t="str">
        <f t="shared" si="0"/>
        <v>rtdc.l.rtdc.4043:itc</v>
      </c>
      <c r="G58" s="8">
        <f t="shared" si="1"/>
        <v>42697.317326388889</v>
      </c>
    </row>
    <row r="59" spans="1:7" x14ac:dyDescent="0.25">
      <c r="A59" s="8">
        <v>42697.320347222223</v>
      </c>
      <c r="B59" s="21" t="s">
        <v>218</v>
      </c>
      <c r="C59" s="21" t="s">
        <v>476</v>
      </c>
      <c r="D59" s="21">
        <v>1360000</v>
      </c>
      <c r="E59" s="21" t="s">
        <v>438</v>
      </c>
      <c r="F59" s="21" t="str">
        <f t="shared" si="0"/>
        <v>rtdc.l.rtdc.4040:itc</v>
      </c>
      <c r="G59" s="8">
        <f t="shared" si="1"/>
        <v>42697.320347222223</v>
      </c>
    </row>
    <row r="60" spans="1:7" x14ac:dyDescent="0.25">
      <c r="A60" s="8">
        <v>42697.322083333333</v>
      </c>
      <c r="B60" s="21" t="s">
        <v>392</v>
      </c>
      <c r="C60" s="21" t="s">
        <v>477</v>
      </c>
      <c r="D60" s="21">
        <v>2010000</v>
      </c>
      <c r="E60" s="21" t="s">
        <v>433</v>
      </c>
      <c r="F60" s="21" t="str">
        <f t="shared" si="0"/>
        <v>rtdc.l.rtdc.4008:itc</v>
      </c>
      <c r="G60" s="8">
        <f t="shared" si="1"/>
        <v>42697.322083333333</v>
      </c>
    </row>
    <row r="61" spans="1:7" x14ac:dyDescent="0.25">
      <c r="A61" s="8">
        <v>42697.324097222219</v>
      </c>
      <c r="B61" s="21" t="s">
        <v>252</v>
      </c>
      <c r="C61" s="21" t="s">
        <v>478</v>
      </c>
      <c r="D61" s="21">
        <v>1110000</v>
      </c>
      <c r="E61" s="21" t="s">
        <v>299</v>
      </c>
      <c r="F61" s="21" t="str">
        <f t="shared" si="0"/>
        <v>rtdc.l.rtdc.4014:itc</v>
      </c>
      <c r="G61" s="8">
        <f t="shared" si="1"/>
        <v>42697.324097222219</v>
      </c>
    </row>
    <row r="62" spans="1:7" x14ac:dyDescent="0.25">
      <c r="A62" s="8">
        <v>42697.329409722224</v>
      </c>
      <c r="B62" s="21" t="s">
        <v>282</v>
      </c>
      <c r="C62" s="21" t="s">
        <v>479</v>
      </c>
      <c r="D62" s="21">
        <v>1090000</v>
      </c>
      <c r="E62" s="21" t="s">
        <v>350</v>
      </c>
      <c r="F62" s="21" t="str">
        <f t="shared" si="0"/>
        <v>rtdc.l.rtdc.4046:itc</v>
      </c>
      <c r="G62" s="8">
        <f t="shared" si="1"/>
        <v>42697.329409722224</v>
      </c>
    </row>
    <row r="63" spans="1:7" x14ac:dyDescent="0.25">
      <c r="A63" s="8">
        <v>42697.333738425928</v>
      </c>
      <c r="B63" s="21" t="s">
        <v>213</v>
      </c>
      <c r="C63" s="21" t="s">
        <v>480</v>
      </c>
      <c r="D63" s="21">
        <v>2380000</v>
      </c>
      <c r="E63" s="21" t="s">
        <v>317</v>
      </c>
      <c r="F63" s="21" t="str">
        <f t="shared" si="0"/>
        <v>rtdc.l.rtdc.4030:itc</v>
      </c>
      <c r="G63" s="8">
        <f t="shared" si="1"/>
        <v>42697.333738425928</v>
      </c>
    </row>
    <row r="64" spans="1:7" x14ac:dyDescent="0.25">
      <c r="A64" s="27">
        <v>42697.338009259256</v>
      </c>
      <c r="B64" s="21" t="s">
        <v>233</v>
      </c>
      <c r="C64" s="21" t="s">
        <v>481</v>
      </c>
      <c r="D64" s="21">
        <v>2030000</v>
      </c>
      <c r="E64" s="21" t="s">
        <v>349</v>
      </c>
      <c r="F64" s="21" t="str">
        <f t="shared" si="0"/>
        <v>rtdc.l.rtdc.4022:itc</v>
      </c>
      <c r="G64" s="8">
        <f t="shared" si="1"/>
        <v>42697.338009259256</v>
      </c>
    </row>
    <row r="65" spans="1:7" x14ac:dyDescent="0.25">
      <c r="A65" s="8">
        <v>42697.33866898148</v>
      </c>
      <c r="B65" s="21" t="s">
        <v>253</v>
      </c>
      <c r="C65" s="21" t="s">
        <v>482</v>
      </c>
      <c r="D65" s="21">
        <v>1110000</v>
      </c>
      <c r="E65" s="21" t="s">
        <v>299</v>
      </c>
      <c r="F65" s="21" t="str">
        <f t="shared" si="0"/>
        <v>rtdc.l.rtdc.4013:itc</v>
      </c>
      <c r="G65" s="8">
        <f t="shared" si="1"/>
        <v>42697.33866898148</v>
      </c>
    </row>
    <row r="66" spans="1:7" x14ac:dyDescent="0.25">
      <c r="A66" s="8">
        <v>42697.340983796297</v>
      </c>
      <c r="B66" s="21" t="s">
        <v>188</v>
      </c>
      <c r="C66" s="21" t="s">
        <v>483</v>
      </c>
      <c r="D66" s="21">
        <v>1780000</v>
      </c>
      <c r="E66" s="21" t="s">
        <v>458</v>
      </c>
      <c r="F66" s="21" t="str">
        <f t="shared" ref="F66:F129" si="2">B66</f>
        <v>rtdc.l.rtdc.4044:itc</v>
      </c>
      <c r="G66" s="8">
        <f t="shared" ref="G66:G129" si="3">A66</f>
        <v>42697.340983796297</v>
      </c>
    </row>
    <row r="67" spans="1:7" x14ac:dyDescent="0.25">
      <c r="A67" s="8">
        <v>42697.343668981484</v>
      </c>
      <c r="B67" s="21" t="s">
        <v>396</v>
      </c>
      <c r="C67" s="21" t="s">
        <v>403</v>
      </c>
      <c r="D67" s="21">
        <v>1260000</v>
      </c>
      <c r="E67" s="21" t="s">
        <v>435</v>
      </c>
      <c r="F67" s="21" t="str">
        <f t="shared" si="2"/>
        <v>rtdc.l.rtdc.4026:itc</v>
      </c>
      <c r="G67" s="8">
        <f t="shared" si="3"/>
        <v>42697.343668981484</v>
      </c>
    </row>
    <row r="68" spans="1:7" x14ac:dyDescent="0.25">
      <c r="A68" s="8">
        <v>42697.349224537036</v>
      </c>
      <c r="B68" s="21" t="s">
        <v>222</v>
      </c>
      <c r="C68" s="21" t="s">
        <v>404</v>
      </c>
      <c r="D68" s="21">
        <v>1360000</v>
      </c>
      <c r="E68" s="21" t="s">
        <v>438</v>
      </c>
      <c r="F68" s="21" t="str">
        <f t="shared" si="2"/>
        <v>rtdc.l.rtdc.4039:itc</v>
      </c>
      <c r="G68" s="8">
        <f t="shared" si="3"/>
        <v>42697.349224537036</v>
      </c>
    </row>
    <row r="69" spans="1:7" x14ac:dyDescent="0.25">
      <c r="A69" s="8">
        <v>42697.349618055552</v>
      </c>
      <c r="B69" s="21" t="s">
        <v>394</v>
      </c>
      <c r="C69" s="21" t="s">
        <v>402</v>
      </c>
      <c r="D69" s="21">
        <v>2430000</v>
      </c>
      <c r="E69" s="21" t="s">
        <v>318</v>
      </c>
      <c r="F69" s="21" t="str">
        <f t="shared" si="2"/>
        <v>rtdc.l.rtdc.4003:itc</v>
      </c>
      <c r="G69" s="8">
        <f t="shared" si="3"/>
        <v>42697.349618055552</v>
      </c>
    </row>
    <row r="70" spans="1:7" x14ac:dyDescent="0.25">
      <c r="A70" s="8">
        <v>42697.355011574073</v>
      </c>
      <c r="B70" s="21" t="s">
        <v>252</v>
      </c>
      <c r="C70" s="21" t="s">
        <v>484</v>
      </c>
      <c r="D70" s="21">
        <v>1110000</v>
      </c>
      <c r="E70" s="21" t="s">
        <v>299</v>
      </c>
      <c r="F70" s="21" t="str">
        <f t="shared" si="2"/>
        <v>rtdc.l.rtdc.4014:itc</v>
      </c>
      <c r="G70" s="8">
        <f t="shared" si="3"/>
        <v>42697.355011574073</v>
      </c>
    </row>
    <row r="71" spans="1:7" x14ac:dyDescent="0.25">
      <c r="A71" s="8">
        <v>42697.359131944446</v>
      </c>
      <c r="B71" s="21" t="s">
        <v>232</v>
      </c>
      <c r="C71" s="21" t="s">
        <v>485</v>
      </c>
      <c r="D71" s="21">
        <v>1780000</v>
      </c>
      <c r="E71" s="21" t="s">
        <v>458</v>
      </c>
      <c r="F71" s="21" t="str">
        <f t="shared" si="2"/>
        <v>rtdc.l.rtdc.4043:itc</v>
      </c>
      <c r="G71" s="8">
        <f t="shared" si="3"/>
        <v>42697.359131944446</v>
      </c>
    </row>
    <row r="72" spans="1:7" x14ac:dyDescent="0.25">
      <c r="A72" s="8">
        <v>42697.36273148148</v>
      </c>
      <c r="B72" s="21" t="s">
        <v>448</v>
      </c>
      <c r="C72" s="21" t="s">
        <v>486</v>
      </c>
      <c r="D72" s="21">
        <v>2540000</v>
      </c>
      <c r="E72" s="21" t="s">
        <v>258</v>
      </c>
      <c r="F72" s="21" t="str">
        <f t="shared" si="2"/>
        <v>rtdc.l.rtdc.4007:itc</v>
      </c>
      <c r="G72" s="8">
        <f t="shared" si="3"/>
        <v>42697.36273148148</v>
      </c>
    </row>
    <row r="73" spans="1:7" x14ac:dyDescent="0.25">
      <c r="A73" s="8">
        <v>42697.369467592594</v>
      </c>
      <c r="B73" s="21" t="s">
        <v>351</v>
      </c>
      <c r="C73" s="21" t="s">
        <v>405</v>
      </c>
      <c r="D73" s="21">
        <v>2380000</v>
      </c>
      <c r="E73" s="21" t="s">
        <v>317</v>
      </c>
      <c r="F73" s="21" t="str">
        <f t="shared" si="2"/>
        <v>rtdc.l.rtdc.4029:itc</v>
      </c>
      <c r="G73" s="8">
        <f t="shared" si="3"/>
        <v>42697.369467592594</v>
      </c>
    </row>
    <row r="74" spans="1:7" x14ac:dyDescent="0.25">
      <c r="A74" s="8">
        <v>42697.369618055556</v>
      </c>
      <c r="B74" s="21" t="s">
        <v>281</v>
      </c>
      <c r="C74" s="21" t="s">
        <v>487</v>
      </c>
      <c r="D74" s="21">
        <v>1090000</v>
      </c>
      <c r="E74" s="21" t="s">
        <v>350</v>
      </c>
      <c r="F74" s="21" t="str">
        <f t="shared" si="2"/>
        <v>rtdc.l.rtdc.4045:itc</v>
      </c>
      <c r="G74" s="8">
        <f t="shared" si="3"/>
        <v>42697.369618055556</v>
      </c>
    </row>
    <row r="75" spans="1:7" x14ac:dyDescent="0.25">
      <c r="A75" s="8">
        <v>42697.377812500003</v>
      </c>
      <c r="B75" s="21" t="s">
        <v>234</v>
      </c>
      <c r="C75" s="21" t="s">
        <v>488</v>
      </c>
      <c r="D75" s="21">
        <v>2030000</v>
      </c>
      <c r="E75" s="21" t="s">
        <v>349</v>
      </c>
      <c r="F75" s="21" t="str">
        <f t="shared" si="2"/>
        <v>rtdc.l.rtdc.4021:itc</v>
      </c>
      <c r="G75" s="8">
        <f t="shared" si="3"/>
        <v>42697.377812500003</v>
      </c>
    </row>
    <row r="76" spans="1:7" x14ac:dyDescent="0.25">
      <c r="A76" s="8">
        <v>42697.380266203705</v>
      </c>
      <c r="B76" s="21" t="s">
        <v>414</v>
      </c>
      <c r="C76" s="21" t="s">
        <v>489</v>
      </c>
      <c r="D76" s="21">
        <v>1260000</v>
      </c>
      <c r="E76" s="21" t="s">
        <v>435</v>
      </c>
      <c r="F76" s="21" t="str">
        <f t="shared" si="2"/>
        <v>rtdc.l.rtdc.4025:itc</v>
      </c>
      <c r="G76" s="8">
        <f t="shared" si="3"/>
        <v>42697.380266203705</v>
      </c>
    </row>
    <row r="77" spans="1:7" x14ac:dyDescent="0.25">
      <c r="A77" s="8">
        <v>42697.38244212963</v>
      </c>
      <c r="B77" s="21" t="s">
        <v>406</v>
      </c>
      <c r="C77" s="21" t="s">
        <v>407</v>
      </c>
      <c r="D77" s="21">
        <v>2430000</v>
      </c>
      <c r="E77" s="21" t="s">
        <v>318</v>
      </c>
      <c r="F77" s="21" t="str">
        <f t="shared" si="2"/>
        <v>rtdc.l.rtdc.4004:itc</v>
      </c>
      <c r="G77" s="8">
        <f t="shared" si="3"/>
        <v>42697.38244212963</v>
      </c>
    </row>
    <row r="78" spans="1:7" x14ac:dyDescent="0.25">
      <c r="A78" s="8">
        <v>42697.386273148149</v>
      </c>
      <c r="B78" s="21" t="s">
        <v>188</v>
      </c>
      <c r="C78" s="21" t="s">
        <v>490</v>
      </c>
      <c r="D78" s="21">
        <v>1780000</v>
      </c>
      <c r="E78" s="21" t="s">
        <v>458</v>
      </c>
      <c r="F78" s="21" t="str">
        <f t="shared" si="2"/>
        <v>rtdc.l.rtdc.4044:itc</v>
      </c>
      <c r="G78" s="8">
        <f t="shared" si="3"/>
        <v>42697.386273148149</v>
      </c>
    </row>
    <row r="79" spans="1:7" x14ac:dyDescent="0.25">
      <c r="A79" s="8">
        <v>42697.388773148145</v>
      </c>
      <c r="B79" s="21" t="s">
        <v>218</v>
      </c>
      <c r="C79" s="21" t="s">
        <v>491</v>
      </c>
      <c r="D79" s="21">
        <v>1360000</v>
      </c>
      <c r="E79" s="21" t="s">
        <v>438</v>
      </c>
      <c r="F79" s="21" t="str">
        <f t="shared" si="2"/>
        <v>rtdc.l.rtdc.4040:itc</v>
      </c>
      <c r="G79" s="8">
        <f t="shared" si="3"/>
        <v>42697.388773148145</v>
      </c>
    </row>
    <row r="80" spans="1:7" x14ac:dyDescent="0.25">
      <c r="A80" s="8">
        <v>42697.394861111112</v>
      </c>
      <c r="B80" s="21" t="s">
        <v>392</v>
      </c>
      <c r="C80" s="21" t="s">
        <v>409</v>
      </c>
      <c r="D80" s="21">
        <v>2540000</v>
      </c>
      <c r="E80" s="21" t="s">
        <v>258</v>
      </c>
      <c r="F80" s="21" t="str">
        <f t="shared" si="2"/>
        <v>rtdc.l.rtdc.4008:itc</v>
      </c>
      <c r="G80" s="8">
        <f t="shared" si="3"/>
        <v>42697.394861111112</v>
      </c>
    </row>
    <row r="81" spans="1:7" x14ac:dyDescent="0.25">
      <c r="A81" s="8">
        <v>42697.401099537034</v>
      </c>
      <c r="B81" s="21" t="s">
        <v>232</v>
      </c>
      <c r="C81" s="21" t="s">
        <v>492</v>
      </c>
      <c r="D81" s="21">
        <v>1780000</v>
      </c>
      <c r="E81" s="21" t="s">
        <v>458</v>
      </c>
      <c r="F81" s="21" t="str">
        <f t="shared" si="2"/>
        <v>rtdc.l.rtdc.4043:itc</v>
      </c>
      <c r="G81" s="8">
        <f t="shared" si="3"/>
        <v>42697.401099537034</v>
      </c>
    </row>
    <row r="82" spans="1:7" x14ac:dyDescent="0.25">
      <c r="A82" s="8">
        <v>42697.401180555556</v>
      </c>
      <c r="B82" s="21" t="s">
        <v>282</v>
      </c>
      <c r="C82" s="21" t="s">
        <v>408</v>
      </c>
      <c r="D82" s="21">
        <v>1090000</v>
      </c>
      <c r="E82" s="21" t="s">
        <v>350</v>
      </c>
      <c r="F82" s="21" t="str">
        <f t="shared" si="2"/>
        <v>rtdc.l.rtdc.4046:itc</v>
      </c>
      <c r="G82" s="8">
        <f t="shared" si="3"/>
        <v>42697.401180555556</v>
      </c>
    </row>
    <row r="83" spans="1:7" x14ac:dyDescent="0.25">
      <c r="A83" s="8">
        <v>42697.406643518516</v>
      </c>
      <c r="B83" s="21" t="s">
        <v>213</v>
      </c>
      <c r="C83" s="21" t="s">
        <v>493</v>
      </c>
      <c r="D83" s="21">
        <v>2380000</v>
      </c>
      <c r="E83" s="21" t="s">
        <v>317</v>
      </c>
      <c r="F83" s="21" t="str">
        <f t="shared" si="2"/>
        <v>rtdc.l.rtdc.4030:itc</v>
      </c>
      <c r="G83" s="8">
        <f t="shared" si="3"/>
        <v>42697.406643518516</v>
      </c>
    </row>
    <row r="84" spans="1:7" x14ac:dyDescent="0.25">
      <c r="A84" s="8">
        <v>42697.413645833331</v>
      </c>
      <c r="B84" s="21" t="s">
        <v>233</v>
      </c>
      <c r="C84" s="21" t="s">
        <v>494</v>
      </c>
      <c r="D84" s="21">
        <v>2030000</v>
      </c>
      <c r="E84" s="21" t="s">
        <v>349</v>
      </c>
      <c r="F84" s="21" t="str">
        <f t="shared" si="2"/>
        <v>rtdc.l.rtdc.4022:itc</v>
      </c>
      <c r="G84" s="8">
        <f t="shared" si="3"/>
        <v>42697.413645833331</v>
      </c>
    </row>
    <row r="85" spans="1:7" x14ac:dyDescent="0.25">
      <c r="A85" s="8">
        <v>42697.417673611111</v>
      </c>
      <c r="B85" s="21" t="s">
        <v>396</v>
      </c>
      <c r="C85" s="21" t="s">
        <v>495</v>
      </c>
      <c r="D85" s="21">
        <v>1260000</v>
      </c>
      <c r="E85" s="21" t="s">
        <v>435</v>
      </c>
      <c r="F85" s="21" t="str">
        <f t="shared" si="2"/>
        <v>rtdc.l.rtdc.4026:itc</v>
      </c>
      <c r="G85" s="8">
        <f t="shared" si="3"/>
        <v>42697.417673611111</v>
      </c>
    </row>
    <row r="86" spans="1:7" x14ac:dyDescent="0.25">
      <c r="A86" s="8">
        <v>42697.42224537037</v>
      </c>
      <c r="B86" s="21" t="s">
        <v>394</v>
      </c>
      <c r="C86" s="21" t="s">
        <v>496</v>
      </c>
      <c r="D86" s="21">
        <v>2430000</v>
      </c>
      <c r="E86" s="21" t="s">
        <v>318</v>
      </c>
      <c r="F86" s="21" t="str">
        <f t="shared" si="2"/>
        <v>rtdc.l.rtdc.4003:itc</v>
      </c>
      <c r="G86" s="8">
        <f t="shared" si="3"/>
        <v>42697.42224537037</v>
      </c>
    </row>
    <row r="87" spans="1:7" x14ac:dyDescent="0.25">
      <c r="A87" s="8">
        <v>42697.422430555554</v>
      </c>
      <c r="B87" s="21" t="s">
        <v>222</v>
      </c>
      <c r="C87" s="21" t="s">
        <v>411</v>
      </c>
      <c r="D87" s="21">
        <v>1360000</v>
      </c>
      <c r="E87" s="21" t="s">
        <v>438</v>
      </c>
      <c r="F87" s="21" t="str">
        <f t="shared" si="2"/>
        <v>rtdc.l.rtdc.4039:itc</v>
      </c>
      <c r="G87" s="8">
        <f t="shared" si="3"/>
        <v>42697.422430555554</v>
      </c>
    </row>
    <row r="88" spans="1:7" x14ac:dyDescent="0.25">
      <c r="A88" s="8">
        <v>42697.428368055553</v>
      </c>
      <c r="B88" s="21" t="s">
        <v>188</v>
      </c>
      <c r="C88" s="21" t="s">
        <v>497</v>
      </c>
      <c r="D88" s="21">
        <v>1780000</v>
      </c>
      <c r="E88" s="21" t="s">
        <v>458</v>
      </c>
      <c r="F88" s="21" t="str">
        <f t="shared" si="2"/>
        <v>rtdc.l.rtdc.4044:itc</v>
      </c>
      <c r="G88" s="8">
        <f t="shared" si="3"/>
        <v>42697.428368055553</v>
      </c>
    </row>
    <row r="89" spans="1:7" x14ac:dyDescent="0.25">
      <c r="A89" s="8">
        <v>42697.435358796298</v>
      </c>
      <c r="B89" s="21" t="s">
        <v>448</v>
      </c>
      <c r="C89" s="21" t="s">
        <v>498</v>
      </c>
      <c r="D89" s="21">
        <v>1110000</v>
      </c>
      <c r="E89" s="21" t="s">
        <v>299</v>
      </c>
      <c r="F89" s="21" t="str">
        <f t="shared" si="2"/>
        <v>rtdc.l.rtdc.4007:itc</v>
      </c>
      <c r="G89" s="8">
        <f t="shared" si="3"/>
        <v>42697.435358796298</v>
      </c>
    </row>
    <row r="90" spans="1:7" x14ac:dyDescent="0.25">
      <c r="A90" s="8">
        <v>42697.439687500002</v>
      </c>
      <c r="B90" s="21" t="s">
        <v>316</v>
      </c>
      <c r="C90" s="21" t="s">
        <v>499</v>
      </c>
      <c r="D90" s="21">
        <v>2250000</v>
      </c>
      <c r="E90" s="21" t="s">
        <v>352</v>
      </c>
      <c r="F90" s="21" t="str">
        <f t="shared" si="2"/>
        <v>rtdc.l.rtdc.4028:itc</v>
      </c>
      <c r="G90" s="8">
        <f t="shared" si="3"/>
        <v>42697.439687500002</v>
      </c>
    </row>
    <row r="91" spans="1:7" x14ac:dyDescent="0.25">
      <c r="A91" s="8">
        <v>42697.442025462966</v>
      </c>
      <c r="B91" s="21" t="s">
        <v>351</v>
      </c>
      <c r="C91" s="21" t="s">
        <v>500</v>
      </c>
      <c r="D91" s="21">
        <v>2380000</v>
      </c>
      <c r="E91" s="21" t="s">
        <v>317</v>
      </c>
      <c r="F91" s="21" t="str">
        <f t="shared" si="2"/>
        <v>rtdc.l.rtdc.4029:itc</v>
      </c>
      <c r="G91" s="8">
        <f t="shared" si="3"/>
        <v>42697.442025462966</v>
      </c>
    </row>
    <row r="92" spans="1:7" x14ac:dyDescent="0.25">
      <c r="A92" s="8">
        <v>42697.442395833335</v>
      </c>
      <c r="B92" s="21" t="s">
        <v>232</v>
      </c>
      <c r="C92" s="21" t="s">
        <v>410</v>
      </c>
      <c r="D92" s="21">
        <v>1780000</v>
      </c>
      <c r="E92" s="21" t="s">
        <v>458</v>
      </c>
      <c r="F92" s="21" t="str">
        <f t="shared" si="2"/>
        <v>rtdc.l.rtdc.4043:itc</v>
      </c>
      <c r="G92" s="8">
        <f t="shared" si="3"/>
        <v>42697.442395833335</v>
      </c>
    </row>
    <row r="93" spans="1:7" x14ac:dyDescent="0.25">
      <c r="A93" s="8">
        <v>42697.442789351851</v>
      </c>
      <c r="B93" s="21" t="s">
        <v>281</v>
      </c>
      <c r="C93" s="21" t="s">
        <v>501</v>
      </c>
      <c r="D93" s="21">
        <v>1090000</v>
      </c>
      <c r="E93" s="21" t="s">
        <v>350</v>
      </c>
      <c r="F93" s="21" t="str">
        <f t="shared" si="2"/>
        <v>rtdc.l.rtdc.4045:itc</v>
      </c>
      <c r="G93" s="8">
        <f t="shared" si="3"/>
        <v>42697.442789351851</v>
      </c>
    </row>
    <row r="94" spans="1:7" x14ac:dyDescent="0.25">
      <c r="A94" s="8">
        <v>42697.450243055559</v>
      </c>
      <c r="B94" s="21" t="s">
        <v>234</v>
      </c>
      <c r="C94" s="21" t="s">
        <v>502</v>
      </c>
      <c r="D94" s="21">
        <v>2030000</v>
      </c>
      <c r="E94" s="21" t="s">
        <v>349</v>
      </c>
      <c r="F94" s="21" t="str">
        <f t="shared" si="2"/>
        <v>rtdc.l.rtdc.4021:itc</v>
      </c>
      <c r="G94" s="8">
        <f t="shared" si="3"/>
        <v>42697.450243055559</v>
      </c>
    </row>
    <row r="95" spans="1:7" x14ac:dyDescent="0.25">
      <c r="A95" s="8">
        <v>42697.452916666669</v>
      </c>
      <c r="B95" s="21" t="s">
        <v>414</v>
      </c>
      <c r="C95" s="21" t="s">
        <v>503</v>
      </c>
      <c r="D95" s="21">
        <v>2620000</v>
      </c>
      <c r="E95" s="21" t="s">
        <v>259</v>
      </c>
      <c r="F95" s="21" t="str">
        <f t="shared" si="2"/>
        <v>rtdc.l.rtdc.4025:itc</v>
      </c>
      <c r="G95" s="8">
        <f t="shared" si="3"/>
        <v>42697.452916666669</v>
      </c>
    </row>
    <row r="96" spans="1:7" x14ac:dyDescent="0.25">
      <c r="A96" s="8">
        <v>42697.464212962965</v>
      </c>
      <c r="B96" s="21" t="s">
        <v>406</v>
      </c>
      <c r="C96" s="21" t="s">
        <v>504</v>
      </c>
      <c r="D96" s="21">
        <v>2430000</v>
      </c>
      <c r="E96" s="21" t="s">
        <v>318</v>
      </c>
      <c r="F96" s="21" t="str">
        <f t="shared" si="2"/>
        <v>rtdc.l.rtdc.4004:itc</v>
      </c>
      <c r="G96" s="8">
        <f t="shared" si="3"/>
        <v>42697.464212962965</v>
      </c>
    </row>
    <row r="97" spans="1:7" x14ac:dyDescent="0.25">
      <c r="A97" s="8">
        <v>42697.465624999997</v>
      </c>
      <c r="B97" s="21" t="s">
        <v>218</v>
      </c>
      <c r="C97" s="21" t="s">
        <v>505</v>
      </c>
      <c r="D97" s="21">
        <v>1280000</v>
      </c>
      <c r="E97" s="21" t="s">
        <v>288</v>
      </c>
      <c r="F97" s="21" t="str">
        <f t="shared" si="2"/>
        <v>rtdc.l.rtdc.4040:itc</v>
      </c>
      <c r="G97" s="8">
        <f t="shared" si="3"/>
        <v>42697.465624999997</v>
      </c>
    </row>
    <row r="98" spans="1:7" x14ac:dyDescent="0.25">
      <c r="A98" s="8">
        <v>42697.470833333333</v>
      </c>
      <c r="B98" s="21" t="s">
        <v>188</v>
      </c>
      <c r="C98" s="21" t="s">
        <v>506</v>
      </c>
      <c r="D98" s="21">
        <v>2540000</v>
      </c>
      <c r="E98" s="21" t="s">
        <v>258</v>
      </c>
      <c r="F98" s="21" t="str">
        <f t="shared" si="2"/>
        <v>rtdc.l.rtdc.4044:itc</v>
      </c>
      <c r="G98" s="8">
        <f t="shared" si="3"/>
        <v>42697.470833333333</v>
      </c>
    </row>
    <row r="99" spans="1:7" x14ac:dyDescent="0.25">
      <c r="A99" s="8">
        <v>42697.475023148145</v>
      </c>
      <c r="B99" s="21" t="s">
        <v>282</v>
      </c>
      <c r="C99" s="21" t="s">
        <v>507</v>
      </c>
      <c r="D99" s="21">
        <v>1540000</v>
      </c>
      <c r="E99" s="21" t="s">
        <v>319</v>
      </c>
      <c r="F99" s="21" t="str">
        <f t="shared" si="2"/>
        <v>rtdc.l.rtdc.4046:itc</v>
      </c>
      <c r="G99" s="8">
        <f t="shared" si="3"/>
        <v>42697.475023148145</v>
      </c>
    </row>
    <row r="100" spans="1:7" x14ac:dyDescent="0.25">
      <c r="A100" s="8">
        <v>42697.475729166668</v>
      </c>
      <c r="B100" s="21" t="s">
        <v>392</v>
      </c>
      <c r="C100" s="21" t="s">
        <v>508</v>
      </c>
      <c r="D100" s="21">
        <v>1110000</v>
      </c>
      <c r="E100" s="21" t="s">
        <v>299</v>
      </c>
      <c r="F100" s="21" t="str">
        <f t="shared" si="2"/>
        <v>rtdc.l.rtdc.4008:itc</v>
      </c>
      <c r="G100" s="8">
        <f t="shared" si="3"/>
        <v>42697.475729166668</v>
      </c>
    </row>
    <row r="101" spans="1:7" x14ac:dyDescent="0.25">
      <c r="A101" s="8">
        <v>42697.483032407406</v>
      </c>
      <c r="B101" s="21" t="s">
        <v>213</v>
      </c>
      <c r="C101" s="21" t="s">
        <v>509</v>
      </c>
      <c r="D101" s="21">
        <v>2380000</v>
      </c>
      <c r="E101" s="21" t="s">
        <v>317</v>
      </c>
      <c r="F101" s="21" t="str">
        <f t="shared" si="2"/>
        <v>rtdc.l.rtdc.4030:itc</v>
      </c>
      <c r="G101" s="8">
        <f t="shared" si="3"/>
        <v>42697.483032407406</v>
      </c>
    </row>
    <row r="102" spans="1:7" x14ac:dyDescent="0.25">
      <c r="A102" s="8">
        <v>42697.486111111109</v>
      </c>
      <c r="B102" s="21" t="s">
        <v>232</v>
      </c>
      <c r="C102" s="21" t="s">
        <v>510</v>
      </c>
      <c r="D102" s="21">
        <v>2540000</v>
      </c>
      <c r="E102" s="21" t="s">
        <v>258</v>
      </c>
      <c r="F102" s="21" t="str">
        <f t="shared" si="2"/>
        <v>rtdc.l.rtdc.4043:itc</v>
      </c>
      <c r="G102" s="8">
        <f t="shared" si="3"/>
        <v>42697.486111111109</v>
      </c>
    </row>
    <row r="103" spans="1:7" x14ac:dyDescent="0.25">
      <c r="A103" s="8">
        <v>42697.487870370373</v>
      </c>
      <c r="B103" s="21" t="s">
        <v>233</v>
      </c>
      <c r="C103" s="21" t="s">
        <v>511</v>
      </c>
      <c r="D103" s="21">
        <v>2370000</v>
      </c>
      <c r="E103" s="21" t="s">
        <v>512</v>
      </c>
      <c r="F103" s="21" t="str">
        <f t="shared" si="2"/>
        <v>rtdc.l.rtdc.4022:itc</v>
      </c>
      <c r="G103" s="8">
        <f t="shared" si="3"/>
        <v>42697.487870370373</v>
      </c>
    </row>
    <row r="104" spans="1:7" x14ac:dyDescent="0.25">
      <c r="A104" s="8">
        <v>42697.491736111115</v>
      </c>
      <c r="B104" s="21" t="s">
        <v>396</v>
      </c>
      <c r="C104" s="21" t="s">
        <v>513</v>
      </c>
      <c r="D104" s="21">
        <v>2620000</v>
      </c>
      <c r="E104" s="21" t="s">
        <v>259</v>
      </c>
      <c r="F104" s="21" t="str">
        <f t="shared" si="2"/>
        <v>rtdc.l.rtdc.4026:itc</v>
      </c>
      <c r="G104" s="8">
        <f t="shared" si="3"/>
        <v>42697.491736111115</v>
      </c>
    </row>
    <row r="105" spans="1:7" x14ac:dyDescent="0.25">
      <c r="A105" s="8">
        <v>42697.493657407409</v>
      </c>
      <c r="B105" s="21" t="s">
        <v>320</v>
      </c>
      <c r="C105" s="21" t="s">
        <v>514</v>
      </c>
      <c r="D105" s="21">
        <v>2030000</v>
      </c>
      <c r="E105" s="21" t="s">
        <v>349</v>
      </c>
      <c r="F105" s="21" t="str">
        <f t="shared" si="2"/>
        <v>rtdc.l.rtdc.4027:itc</v>
      </c>
      <c r="G105" s="8">
        <f t="shared" si="3"/>
        <v>42697.493657407409</v>
      </c>
    </row>
    <row r="106" spans="1:7" x14ac:dyDescent="0.25">
      <c r="A106" s="8">
        <v>42697.499884259261</v>
      </c>
      <c r="B106" s="21" t="s">
        <v>394</v>
      </c>
      <c r="C106" s="21" t="s">
        <v>515</v>
      </c>
      <c r="D106" s="21">
        <v>1140000</v>
      </c>
      <c r="E106" s="21" t="s">
        <v>300</v>
      </c>
      <c r="F106" s="21" t="str">
        <f t="shared" si="2"/>
        <v>rtdc.l.rtdc.4003:itc</v>
      </c>
      <c r="G106" s="8">
        <f t="shared" si="3"/>
        <v>42697.499884259261</v>
      </c>
    </row>
    <row r="107" spans="1:7" x14ac:dyDescent="0.25">
      <c r="A107" s="8">
        <v>42697.50271990741</v>
      </c>
      <c r="B107" s="21" t="s">
        <v>222</v>
      </c>
      <c r="C107" s="21" t="s">
        <v>516</v>
      </c>
      <c r="D107" s="21">
        <v>1280000</v>
      </c>
      <c r="E107" s="21" t="s">
        <v>288</v>
      </c>
      <c r="F107" s="21" t="str">
        <f t="shared" si="2"/>
        <v>rtdc.l.rtdc.4039:itc</v>
      </c>
      <c r="G107" s="8">
        <f t="shared" si="3"/>
        <v>42697.50271990741</v>
      </c>
    </row>
    <row r="108" spans="1:7" x14ac:dyDescent="0.25">
      <c r="A108" s="8">
        <v>42697.511620370373</v>
      </c>
      <c r="B108" s="21" t="s">
        <v>281</v>
      </c>
      <c r="C108" s="21" t="s">
        <v>517</v>
      </c>
      <c r="D108" s="21">
        <v>1540000</v>
      </c>
      <c r="E108" s="21" t="s">
        <v>319</v>
      </c>
      <c r="F108" s="21" t="str">
        <f t="shared" si="2"/>
        <v>rtdc.l.rtdc.4045:itc</v>
      </c>
      <c r="G108" s="8">
        <f t="shared" si="3"/>
        <v>42697.511620370373</v>
      </c>
    </row>
    <row r="109" spans="1:7" x14ac:dyDescent="0.25">
      <c r="A109" s="8">
        <v>42697.511990740742</v>
      </c>
      <c r="B109" s="21" t="s">
        <v>188</v>
      </c>
      <c r="C109" s="21" t="s">
        <v>518</v>
      </c>
      <c r="D109" s="21">
        <v>1780000</v>
      </c>
      <c r="E109" s="21" t="s">
        <v>458</v>
      </c>
      <c r="F109" s="21" t="str">
        <f t="shared" si="2"/>
        <v>rtdc.l.rtdc.4044:itc</v>
      </c>
      <c r="G109" s="8">
        <f t="shared" si="3"/>
        <v>42697.511990740742</v>
      </c>
    </row>
    <row r="110" spans="1:7" x14ac:dyDescent="0.25">
      <c r="A110" s="8">
        <v>42697.514189814814</v>
      </c>
      <c r="B110" s="21" t="s">
        <v>448</v>
      </c>
      <c r="C110" s="21" t="s">
        <v>519</v>
      </c>
      <c r="D110" s="21">
        <v>2610000</v>
      </c>
      <c r="E110" s="21" t="s">
        <v>231</v>
      </c>
      <c r="F110" s="21" t="str">
        <f t="shared" si="2"/>
        <v>rtdc.l.rtdc.4007:itc</v>
      </c>
      <c r="G110" s="8">
        <f t="shared" si="3"/>
        <v>42697.514189814814</v>
      </c>
    </row>
    <row r="111" spans="1:7" x14ac:dyDescent="0.25">
      <c r="A111" s="8">
        <v>42697.51966435185</v>
      </c>
      <c r="B111" s="21" t="s">
        <v>351</v>
      </c>
      <c r="C111" s="21" t="s">
        <v>520</v>
      </c>
      <c r="D111" s="21">
        <v>1740000</v>
      </c>
      <c r="E111" s="21" t="s">
        <v>521</v>
      </c>
      <c r="F111" s="21" t="str">
        <f t="shared" si="2"/>
        <v>rtdc.l.rtdc.4029:itc</v>
      </c>
      <c r="G111" s="8">
        <f t="shared" si="3"/>
        <v>42697.51966435185</v>
      </c>
    </row>
    <row r="112" spans="1:7" x14ac:dyDescent="0.25">
      <c r="A112" s="8">
        <v>42697.52449074074</v>
      </c>
      <c r="B112" s="21" t="s">
        <v>234</v>
      </c>
      <c r="C112" s="21" t="s">
        <v>522</v>
      </c>
      <c r="D112" s="21">
        <v>2370000</v>
      </c>
      <c r="E112" s="21" t="s">
        <v>512</v>
      </c>
      <c r="F112" s="21" t="str">
        <f t="shared" si="2"/>
        <v>rtdc.l.rtdc.4021:itc</v>
      </c>
      <c r="G112" s="8">
        <f t="shared" si="3"/>
        <v>42697.52449074074</v>
      </c>
    </row>
    <row r="113" spans="1:7" x14ac:dyDescent="0.25">
      <c r="A113" s="8">
        <v>42697.525694444441</v>
      </c>
      <c r="B113" s="21" t="s">
        <v>232</v>
      </c>
      <c r="C113" s="21" t="s">
        <v>523</v>
      </c>
      <c r="D113" s="21">
        <v>1780000</v>
      </c>
      <c r="E113" s="21" t="s">
        <v>458</v>
      </c>
      <c r="F113" s="21" t="str">
        <f t="shared" si="2"/>
        <v>rtdc.l.rtdc.4043:itc</v>
      </c>
      <c r="G113" s="8">
        <f t="shared" si="3"/>
        <v>42697.525694444441</v>
      </c>
    </row>
    <row r="114" spans="1:7" x14ac:dyDescent="0.25">
      <c r="A114" s="8">
        <v>42697.528796296298</v>
      </c>
      <c r="B114" s="21" t="s">
        <v>414</v>
      </c>
      <c r="C114" s="21" t="s">
        <v>415</v>
      </c>
      <c r="D114" s="21">
        <v>2620000</v>
      </c>
      <c r="E114" s="21" t="s">
        <v>259</v>
      </c>
      <c r="F114" s="21" t="str">
        <f t="shared" si="2"/>
        <v>rtdc.l.rtdc.4025:itc</v>
      </c>
      <c r="G114" s="8">
        <f t="shared" si="3"/>
        <v>42697.528796296298</v>
      </c>
    </row>
    <row r="115" spans="1:7" x14ac:dyDescent="0.25">
      <c r="A115" s="8">
        <v>42697.531770833331</v>
      </c>
      <c r="B115" s="21" t="s">
        <v>406</v>
      </c>
      <c r="C115" s="21" t="s">
        <v>524</v>
      </c>
      <c r="D115" s="21">
        <v>1140000</v>
      </c>
      <c r="E115" s="21" t="s">
        <v>300</v>
      </c>
      <c r="F115" s="21" t="str">
        <f t="shared" si="2"/>
        <v>rtdc.l.rtdc.4004:itc</v>
      </c>
      <c r="G115" s="8">
        <f t="shared" si="3"/>
        <v>42697.531770833331</v>
      </c>
    </row>
    <row r="116" spans="1:7" x14ac:dyDescent="0.25">
      <c r="A116" s="8">
        <v>42697.537222222221</v>
      </c>
      <c r="B116" s="21" t="s">
        <v>218</v>
      </c>
      <c r="C116" s="21" t="s">
        <v>412</v>
      </c>
      <c r="D116" s="21">
        <v>1280000</v>
      </c>
      <c r="E116" s="21" t="s">
        <v>288</v>
      </c>
      <c r="F116" s="21" t="str">
        <f t="shared" si="2"/>
        <v>rtdc.l.rtdc.4040:itc</v>
      </c>
      <c r="G116" s="8">
        <f t="shared" si="3"/>
        <v>42697.537222222221</v>
      </c>
    </row>
    <row r="117" spans="1:7" x14ac:dyDescent="0.25">
      <c r="A117" s="8">
        <v>42697.546712962961</v>
      </c>
      <c r="B117" s="21" t="s">
        <v>392</v>
      </c>
      <c r="C117" s="21" t="s">
        <v>525</v>
      </c>
      <c r="D117" s="21">
        <v>2610000</v>
      </c>
      <c r="E117" s="21" t="s">
        <v>231</v>
      </c>
      <c r="F117" s="21" t="str">
        <f t="shared" si="2"/>
        <v>rtdc.l.rtdc.4008:itc</v>
      </c>
      <c r="G117" s="8">
        <f t="shared" si="3"/>
        <v>42697.546712962961</v>
      </c>
    </row>
    <row r="118" spans="1:7" x14ac:dyDescent="0.25">
      <c r="A118" s="8">
        <v>42697.55091435185</v>
      </c>
      <c r="B118" s="21" t="s">
        <v>282</v>
      </c>
      <c r="C118" s="21" t="s">
        <v>413</v>
      </c>
      <c r="D118" s="21">
        <v>1310000</v>
      </c>
      <c r="E118" s="21" t="s">
        <v>526</v>
      </c>
      <c r="F118" s="21" t="str">
        <f t="shared" si="2"/>
        <v>rtdc.l.rtdc.4046:itc</v>
      </c>
      <c r="G118" s="8">
        <f t="shared" si="3"/>
        <v>42697.55091435185</v>
      </c>
    </row>
    <row r="119" spans="1:7" x14ac:dyDescent="0.25">
      <c r="A119" s="8">
        <v>42697.552858796298</v>
      </c>
      <c r="B119" s="21" t="s">
        <v>188</v>
      </c>
      <c r="C119" s="21" t="s">
        <v>527</v>
      </c>
      <c r="D119" s="21">
        <v>2040000</v>
      </c>
      <c r="E119" s="21" t="s">
        <v>528</v>
      </c>
      <c r="F119" s="21" t="str">
        <f t="shared" si="2"/>
        <v>rtdc.l.rtdc.4044:itc</v>
      </c>
      <c r="G119" s="8">
        <f t="shared" si="3"/>
        <v>42697.552858796298</v>
      </c>
    </row>
    <row r="120" spans="1:7" x14ac:dyDescent="0.25">
      <c r="A120" s="8">
        <v>42697.558541666665</v>
      </c>
      <c r="B120" s="21" t="s">
        <v>213</v>
      </c>
      <c r="C120" s="21" t="s">
        <v>529</v>
      </c>
      <c r="D120" s="21">
        <v>1740000</v>
      </c>
      <c r="E120" s="21" t="s">
        <v>521</v>
      </c>
      <c r="F120" s="21" t="str">
        <f t="shared" si="2"/>
        <v>rtdc.l.rtdc.4030:itc</v>
      </c>
      <c r="G120" s="8">
        <f t="shared" si="3"/>
        <v>42697.558541666665</v>
      </c>
    </row>
    <row r="121" spans="1:7" x14ac:dyDescent="0.25">
      <c r="A121" s="8">
        <v>42697.560150462959</v>
      </c>
      <c r="B121" s="21" t="s">
        <v>233</v>
      </c>
      <c r="C121" s="21" t="s">
        <v>530</v>
      </c>
      <c r="D121" s="21">
        <v>2370000</v>
      </c>
      <c r="E121" s="21" t="s">
        <v>512</v>
      </c>
      <c r="F121" s="21" t="str">
        <f t="shared" si="2"/>
        <v>rtdc.l.rtdc.4022:itc</v>
      </c>
      <c r="G121" s="8">
        <f t="shared" si="3"/>
        <v>42697.560150462959</v>
      </c>
    </row>
    <row r="122" spans="1:7" x14ac:dyDescent="0.25">
      <c r="A122" s="8">
        <v>42697.562326388892</v>
      </c>
      <c r="B122" s="26" t="s">
        <v>396</v>
      </c>
      <c r="C122" s="21" t="s">
        <v>416</v>
      </c>
      <c r="D122" s="21">
        <v>2620000</v>
      </c>
      <c r="E122" s="21" t="s">
        <v>259</v>
      </c>
      <c r="F122" s="21" t="str">
        <f t="shared" si="2"/>
        <v>rtdc.l.rtdc.4026:itc</v>
      </c>
      <c r="G122" s="8">
        <f t="shared" si="3"/>
        <v>42697.562326388892</v>
      </c>
    </row>
    <row r="123" spans="1:7" x14ac:dyDescent="0.25">
      <c r="A123" s="8">
        <v>42697.569108796299</v>
      </c>
      <c r="B123" s="21" t="s">
        <v>232</v>
      </c>
      <c r="C123" s="21" t="s">
        <v>531</v>
      </c>
      <c r="D123" s="21">
        <v>2040000</v>
      </c>
      <c r="E123" s="21" t="s">
        <v>528</v>
      </c>
      <c r="F123" s="21" t="str">
        <f t="shared" si="2"/>
        <v>rtdc.l.rtdc.4043:itc</v>
      </c>
      <c r="G123" s="8">
        <f t="shared" si="3"/>
        <v>42697.569108796299</v>
      </c>
    </row>
    <row r="124" spans="1:7" x14ac:dyDescent="0.25">
      <c r="A124" s="8">
        <v>42697.569224537037</v>
      </c>
      <c r="B124" s="21" t="s">
        <v>394</v>
      </c>
      <c r="C124" s="21" t="s">
        <v>532</v>
      </c>
      <c r="D124" s="21">
        <v>1140000</v>
      </c>
      <c r="E124" s="21" t="s">
        <v>300</v>
      </c>
      <c r="F124" s="21" t="str">
        <f t="shared" si="2"/>
        <v>rtdc.l.rtdc.4003:itc</v>
      </c>
      <c r="G124" s="8">
        <f t="shared" si="3"/>
        <v>42697.569224537037</v>
      </c>
    </row>
    <row r="125" spans="1:7" x14ac:dyDescent="0.25">
      <c r="A125" s="8">
        <v>42697.570949074077</v>
      </c>
      <c r="B125" s="21" t="s">
        <v>222</v>
      </c>
      <c r="C125" s="21" t="s">
        <v>533</v>
      </c>
      <c r="D125" s="21">
        <v>1280000</v>
      </c>
      <c r="E125" s="21" t="s">
        <v>288</v>
      </c>
      <c r="F125" s="21" t="str">
        <f t="shared" si="2"/>
        <v>rtdc.l.rtdc.4039:itc</v>
      </c>
      <c r="G125" s="8">
        <f t="shared" si="3"/>
        <v>42697.570949074077</v>
      </c>
    </row>
    <row r="126" spans="1:7" x14ac:dyDescent="0.25">
      <c r="A126" s="8">
        <v>42697.578333333331</v>
      </c>
      <c r="B126" s="21" t="s">
        <v>448</v>
      </c>
      <c r="C126" s="21" t="s">
        <v>534</v>
      </c>
      <c r="D126" s="21">
        <v>2610000</v>
      </c>
      <c r="E126" s="21" t="s">
        <v>231</v>
      </c>
      <c r="F126" s="21" t="str">
        <f t="shared" si="2"/>
        <v>rtdc.l.rtdc.4007:itc</v>
      </c>
      <c r="G126" s="8">
        <f t="shared" si="3"/>
        <v>42697.578333333331</v>
      </c>
    </row>
    <row r="127" spans="1:7" x14ac:dyDescent="0.25">
      <c r="A127" s="8">
        <v>42697.586782407408</v>
      </c>
      <c r="B127" s="21" t="s">
        <v>396</v>
      </c>
      <c r="C127" s="21" t="s">
        <v>416</v>
      </c>
      <c r="D127" s="21">
        <v>2620000</v>
      </c>
      <c r="E127" s="21" t="s">
        <v>259</v>
      </c>
      <c r="F127" s="21" t="str">
        <f t="shared" si="2"/>
        <v>rtdc.l.rtdc.4026:itc</v>
      </c>
      <c r="G127" s="8">
        <f t="shared" si="3"/>
        <v>42697.586782407408</v>
      </c>
    </row>
    <row r="128" spans="1:7" x14ac:dyDescent="0.25">
      <c r="A128" s="8">
        <v>42697.588773148149</v>
      </c>
      <c r="B128" s="21" t="s">
        <v>281</v>
      </c>
      <c r="C128" s="21" t="s">
        <v>535</v>
      </c>
      <c r="D128" s="21">
        <v>920000</v>
      </c>
      <c r="E128" s="21" t="s">
        <v>283</v>
      </c>
      <c r="F128" s="21" t="str">
        <f t="shared" si="2"/>
        <v>rtdc.l.rtdc.4045:itc</v>
      </c>
      <c r="G128" s="8">
        <f t="shared" si="3"/>
        <v>42697.588773148149</v>
      </c>
    </row>
    <row r="129" spans="1:7" x14ac:dyDescent="0.25">
      <c r="A129" s="8">
        <v>42697.591979166667</v>
      </c>
      <c r="B129" s="21" t="s">
        <v>233</v>
      </c>
      <c r="C129" s="21" t="s">
        <v>530</v>
      </c>
      <c r="D129" s="21">
        <v>2370000</v>
      </c>
      <c r="E129" s="21" t="s">
        <v>512</v>
      </c>
      <c r="F129" s="21" t="str">
        <f t="shared" si="2"/>
        <v>rtdc.l.rtdc.4022:itc</v>
      </c>
      <c r="G129" s="8">
        <f t="shared" si="3"/>
        <v>42697.591979166667</v>
      </c>
    </row>
    <row r="130" spans="1:7" x14ac:dyDescent="0.25">
      <c r="A130" s="8">
        <v>42697.593217592592</v>
      </c>
      <c r="B130" s="21" t="s">
        <v>351</v>
      </c>
      <c r="C130" s="21" t="s">
        <v>536</v>
      </c>
      <c r="D130" s="21">
        <v>2220000</v>
      </c>
      <c r="E130" s="21" t="s">
        <v>537</v>
      </c>
      <c r="F130" s="21" t="str">
        <f t="shared" ref="F130:F193" si="4">B130</f>
        <v>rtdc.l.rtdc.4029:itc</v>
      </c>
      <c r="G130" s="8">
        <f t="shared" ref="G130:G193" si="5">A130</f>
        <v>42697.593217592592</v>
      </c>
    </row>
    <row r="131" spans="1:7" x14ac:dyDescent="0.25">
      <c r="A131" s="8">
        <v>42697.595590277779</v>
      </c>
      <c r="B131" s="21" t="s">
        <v>188</v>
      </c>
      <c r="C131" s="21" t="s">
        <v>538</v>
      </c>
      <c r="D131" s="21">
        <v>2040000</v>
      </c>
      <c r="E131" s="21" t="s">
        <v>528</v>
      </c>
      <c r="F131" s="21" t="str">
        <f t="shared" si="4"/>
        <v>rtdc.l.rtdc.4044:itc</v>
      </c>
      <c r="G131" s="8">
        <f t="shared" si="5"/>
        <v>42697.595590277779</v>
      </c>
    </row>
    <row r="132" spans="1:7" x14ac:dyDescent="0.25">
      <c r="A132" s="8">
        <v>42697.599421296298</v>
      </c>
      <c r="B132" s="21" t="s">
        <v>314</v>
      </c>
      <c r="C132" s="21" t="s">
        <v>539</v>
      </c>
      <c r="D132" s="21">
        <v>2250000</v>
      </c>
      <c r="E132" s="21" t="s">
        <v>352</v>
      </c>
      <c r="F132" s="21" t="str">
        <f t="shared" si="4"/>
        <v>rtdc.l.rtdc.4042:itc</v>
      </c>
      <c r="G132" s="8">
        <f t="shared" si="5"/>
        <v>42697.599421296298</v>
      </c>
    </row>
    <row r="133" spans="1:7" x14ac:dyDescent="0.25">
      <c r="A133" s="8">
        <v>42697.6016087963</v>
      </c>
      <c r="B133" s="21" t="s">
        <v>234</v>
      </c>
      <c r="C133" s="21" t="s">
        <v>540</v>
      </c>
      <c r="D133" s="21">
        <v>2370000</v>
      </c>
      <c r="E133" s="21" t="s">
        <v>512</v>
      </c>
      <c r="F133" s="21" t="str">
        <f t="shared" si="4"/>
        <v>rtdc.l.rtdc.4021:itc</v>
      </c>
      <c r="G133" s="8">
        <f t="shared" si="5"/>
        <v>42697.6016087963</v>
      </c>
    </row>
    <row r="134" spans="1:7" x14ac:dyDescent="0.25">
      <c r="A134" s="8">
        <v>42697.6091087963</v>
      </c>
      <c r="B134" s="21" t="s">
        <v>406</v>
      </c>
      <c r="C134" s="21" t="s">
        <v>541</v>
      </c>
      <c r="D134" s="21">
        <v>1140000</v>
      </c>
      <c r="E134" s="21" t="s">
        <v>300</v>
      </c>
      <c r="F134" s="21" t="str">
        <f t="shared" si="4"/>
        <v>rtdc.l.rtdc.4004:itc</v>
      </c>
      <c r="G134" s="8">
        <f t="shared" si="5"/>
        <v>42697.6091087963</v>
      </c>
    </row>
    <row r="135" spans="1:7" x14ac:dyDescent="0.25">
      <c r="A135" s="8">
        <v>42697.611377314817</v>
      </c>
      <c r="B135" s="21" t="s">
        <v>232</v>
      </c>
      <c r="C135" s="21" t="s">
        <v>542</v>
      </c>
      <c r="D135" s="21">
        <v>2040000</v>
      </c>
      <c r="E135" s="21" t="s">
        <v>528</v>
      </c>
      <c r="F135" s="21" t="str">
        <f t="shared" si="4"/>
        <v>rtdc.l.rtdc.4043:itc</v>
      </c>
      <c r="G135" s="8">
        <f t="shared" si="5"/>
        <v>42697.611377314817</v>
      </c>
    </row>
    <row r="136" spans="1:7" x14ac:dyDescent="0.25">
      <c r="A136" s="8">
        <v>42697.613321759258</v>
      </c>
      <c r="B136" s="21" t="s">
        <v>414</v>
      </c>
      <c r="C136" s="21" t="s">
        <v>543</v>
      </c>
      <c r="D136" s="21">
        <v>2620000</v>
      </c>
      <c r="E136" s="21" t="s">
        <v>259</v>
      </c>
      <c r="F136" s="21" t="str">
        <f t="shared" si="4"/>
        <v>rtdc.l.rtdc.4025:itc</v>
      </c>
      <c r="G136" s="8">
        <f t="shared" si="5"/>
        <v>42697.613321759258</v>
      </c>
    </row>
    <row r="137" spans="1:7" x14ac:dyDescent="0.25">
      <c r="A137" s="8">
        <v>42697.617951388886</v>
      </c>
      <c r="B137" s="21" t="s">
        <v>392</v>
      </c>
      <c r="C137" s="21" t="s">
        <v>544</v>
      </c>
      <c r="D137" s="21">
        <v>2610000</v>
      </c>
      <c r="E137" s="21" t="s">
        <v>231</v>
      </c>
      <c r="F137" s="21" t="str">
        <f t="shared" si="4"/>
        <v>rtdc.l.rtdc.4008:itc</v>
      </c>
      <c r="G137" s="8">
        <f t="shared" si="5"/>
        <v>42697.617951388886</v>
      </c>
    </row>
    <row r="138" spans="1:7" x14ac:dyDescent="0.25">
      <c r="A138" s="8">
        <v>42697.621180555558</v>
      </c>
      <c r="B138" s="21" t="s">
        <v>213</v>
      </c>
      <c r="C138" s="21" t="s">
        <v>545</v>
      </c>
      <c r="D138" s="21">
        <v>2220000</v>
      </c>
      <c r="E138" s="21" t="s">
        <v>537</v>
      </c>
      <c r="F138" s="21" t="str">
        <f t="shared" si="4"/>
        <v>rtdc.l.rtdc.4030:itc</v>
      </c>
      <c r="G138" s="8">
        <f t="shared" si="5"/>
        <v>42697.621180555558</v>
      </c>
    </row>
    <row r="139" spans="1:7" x14ac:dyDescent="0.25">
      <c r="A139" s="8">
        <v>42697.624224537038</v>
      </c>
      <c r="B139" s="21" t="s">
        <v>282</v>
      </c>
      <c r="C139" s="21" t="s">
        <v>546</v>
      </c>
      <c r="D139" s="21">
        <v>1540000</v>
      </c>
      <c r="E139" s="21" t="s">
        <v>319</v>
      </c>
      <c r="F139" s="21" t="str">
        <f t="shared" si="4"/>
        <v>rtdc.l.rtdc.4046:itc</v>
      </c>
      <c r="G139" s="8">
        <f t="shared" si="5"/>
        <v>42697.624224537038</v>
      </c>
    </row>
    <row r="140" spans="1:7" x14ac:dyDescent="0.25">
      <c r="A140" s="8">
        <v>42697.633148148147</v>
      </c>
      <c r="B140" s="21" t="s">
        <v>233</v>
      </c>
      <c r="C140" s="21" t="s">
        <v>547</v>
      </c>
      <c r="D140" s="21">
        <v>2370000</v>
      </c>
      <c r="E140" s="21" t="s">
        <v>512</v>
      </c>
      <c r="F140" s="21" t="str">
        <f t="shared" si="4"/>
        <v>rtdc.l.rtdc.4022:itc</v>
      </c>
      <c r="G140" s="8">
        <f t="shared" si="5"/>
        <v>42697.633148148147</v>
      </c>
    </row>
    <row r="141" spans="1:7" x14ac:dyDescent="0.25">
      <c r="A141" s="8">
        <v>42697.634733796294</v>
      </c>
      <c r="B141" s="21" t="s">
        <v>315</v>
      </c>
      <c r="C141" s="21" t="s">
        <v>418</v>
      </c>
      <c r="D141" s="21">
        <v>2250000</v>
      </c>
      <c r="E141" s="21" t="s">
        <v>352</v>
      </c>
      <c r="F141" s="21" t="str">
        <f t="shared" si="4"/>
        <v>rtdc.l.rtdc.4041:itc</v>
      </c>
      <c r="G141" s="8">
        <f t="shared" si="5"/>
        <v>42697.634733796294</v>
      </c>
    </row>
    <row r="142" spans="1:7" x14ac:dyDescent="0.25">
      <c r="A142" s="8">
        <v>42697.637349537035</v>
      </c>
      <c r="B142" s="21" t="s">
        <v>188</v>
      </c>
      <c r="C142" s="21" t="s">
        <v>417</v>
      </c>
      <c r="D142" s="21">
        <v>2040000</v>
      </c>
      <c r="E142" s="21" t="s">
        <v>528</v>
      </c>
      <c r="F142" s="21" t="str">
        <f t="shared" si="4"/>
        <v>rtdc.l.rtdc.4044:itc</v>
      </c>
      <c r="G142" s="8">
        <f t="shared" si="5"/>
        <v>42697.637349537035</v>
      </c>
    </row>
    <row r="143" spans="1:7" x14ac:dyDescent="0.25">
      <c r="A143" s="8">
        <v>42697.642268518517</v>
      </c>
      <c r="B143" s="21" t="s">
        <v>253</v>
      </c>
      <c r="C143" s="21" t="s">
        <v>548</v>
      </c>
      <c r="D143" s="21">
        <v>2600000</v>
      </c>
      <c r="E143" s="21" t="s">
        <v>321</v>
      </c>
      <c r="F143" s="21" t="str">
        <f t="shared" si="4"/>
        <v>rtdc.l.rtdc.4013:itc</v>
      </c>
      <c r="G143" s="8">
        <f t="shared" si="5"/>
        <v>42697.642268518517</v>
      </c>
    </row>
    <row r="144" spans="1:7" x14ac:dyDescent="0.25">
      <c r="A144" s="8">
        <v>42697.642939814818</v>
      </c>
      <c r="B144" s="21" t="s">
        <v>394</v>
      </c>
      <c r="C144" s="21" t="s">
        <v>549</v>
      </c>
      <c r="D144" s="21">
        <v>1140000</v>
      </c>
      <c r="E144" s="21" t="s">
        <v>300</v>
      </c>
      <c r="F144" s="21" t="str">
        <f t="shared" si="4"/>
        <v>rtdc.l.rtdc.4003:itc</v>
      </c>
      <c r="G144" s="8">
        <f t="shared" si="5"/>
        <v>42697.642939814818</v>
      </c>
    </row>
    <row r="145" spans="1:7" x14ac:dyDescent="0.25">
      <c r="A145" s="8">
        <v>42697.645057870373</v>
      </c>
      <c r="B145" s="21" t="s">
        <v>396</v>
      </c>
      <c r="C145" s="21" t="s">
        <v>550</v>
      </c>
      <c r="D145" s="21">
        <v>2620000</v>
      </c>
      <c r="E145" s="21" t="s">
        <v>259</v>
      </c>
      <c r="F145" s="21" t="str">
        <f t="shared" si="4"/>
        <v>rtdc.l.rtdc.4026:itc</v>
      </c>
      <c r="G145" s="8">
        <f t="shared" si="5"/>
        <v>42697.645057870373</v>
      </c>
    </row>
    <row r="146" spans="1:7" x14ac:dyDescent="0.25">
      <c r="A146" s="8">
        <v>42697.651805555557</v>
      </c>
      <c r="B146" s="21" t="s">
        <v>448</v>
      </c>
      <c r="C146" s="21" t="s">
        <v>551</v>
      </c>
      <c r="D146" s="21">
        <v>2610000</v>
      </c>
      <c r="E146" s="21" t="s">
        <v>231</v>
      </c>
      <c r="F146" s="21" t="str">
        <f t="shared" si="4"/>
        <v>rtdc.l.rtdc.4007:itc</v>
      </c>
      <c r="G146" s="8">
        <f t="shared" si="5"/>
        <v>42697.651805555557</v>
      </c>
    </row>
    <row r="147" spans="1:7" x14ac:dyDescent="0.25">
      <c r="A147" s="8">
        <v>42697.652372685188</v>
      </c>
      <c r="B147" s="21" t="s">
        <v>252</v>
      </c>
      <c r="C147" s="21" t="s">
        <v>552</v>
      </c>
      <c r="D147" s="21">
        <v>2600000</v>
      </c>
      <c r="E147" s="21" t="s">
        <v>321</v>
      </c>
      <c r="F147" s="21" t="str">
        <f t="shared" si="4"/>
        <v>rtdc.l.rtdc.4014:itc</v>
      </c>
      <c r="G147" s="8">
        <f t="shared" si="5"/>
        <v>42697.652372685188</v>
      </c>
    </row>
    <row r="148" spans="1:7" x14ac:dyDescent="0.25">
      <c r="A148" s="8">
        <v>42697.653194444443</v>
      </c>
      <c r="B148" s="21" t="s">
        <v>232</v>
      </c>
      <c r="C148" s="21" t="s">
        <v>553</v>
      </c>
      <c r="D148" s="21">
        <v>2040000</v>
      </c>
      <c r="E148" s="21" t="s">
        <v>528</v>
      </c>
      <c r="F148" s="21" t="str">
        <f t="shared" si="4"/>
        <v>rtdc.l.rtdc.4043:itc</v>
      </c>
      <c r="G148" s="8">
        <f t="shared" si="5"/>
        <v>42697.653194444443</v>
      </c>
    </row>
    <row r="149" spans="1:7" x14ac:dyDescent="0.25">
      <c r="A149" s="8">
        <v>42697.660428240742</v>
      </c>
      <c r="B149" s="21" t="s">
        <v>281</v>
      </c>
      <c r="C149" s="21" t="s">
        <v>554</v>
      </c>
      <c r="D149" s="21">
        <v>1540000</v>
      </c>
      <c r="E149" s="21" t="s">
        <v>319</v>
      </c>
      <c r="F149" s="21" t="str">
        <f t="shared" si="4"/>
        <v>rtdc.l.rtdc.4045:itc</v>
      </c>
      <c r="G149" s="8">
        <f t="shared" si="5"/>
        <v>42697.660428240742</v>
      </c>
    </row>
    <row r="150" spans="1:7" x14ac:dyDescent="0.25">
      <c r="A150" s="8">
        <v>42697.661793981482</v>
      </c>
      <c r="B150" s="21" t="s">
        <v>351</v>
      </c>
      <c r="C150" s="21" t="s">
        <v>555</v>
      </c>
      <c r="D150" s="21">
        <v>2220000</v>
      </c>
      <c r="E150" s="21" t="s">
        <v>537</v>
      </c>
      <c r="F150" s="21" t="str">
        <f t="shared" si="4"/>
        <v>rtdc.l.rtdc.4029:itc</v>
      </c>
      <c r="G150" s="8">
        <f t="shared" si="5"/>
        <v>42697.661793981482</v>
      </c>
    </row>
    <row r="151" spans="1:7" x14ac:dyDescent="0.25">
      <c r="A151" s="8">
        <v>42697.670694444445</v>
      </c>
      <c r="B151" s="21" t="s">
        <v>234</v>
      </c>
      <c r="C151" s="21" t="s">
        <v>556</v>
      </c>
      <c r="D151" s="21">
        <v>2370000</v>
      </c>
      <c r="E151" s="21" t="s">
        <v>512</v>
      </c>
      <c r="F151" s="21" t="str">
        <f t="shared" si="4"/>
        <v>rtdc.l.rtdc.4021:itc</v>
      </c>
      <c r="G151" s="8">
        <f t="shared" si="5"/>
        <v>42697.670694444445</v>
      </c>
    </row>
    <row r="152" spans="1:7" x14ac:dyDescent="0.25">
      <c r="A152" s="8">
        <v>42697.672951388886</v>
      </c>
      <c r="B152" s="21" t="s">
        <v>253</v>
      </c>
      <c r="C152" s="21" t="s">
        <v>557</v>
      </c>
      <c r="D152" s="21">
        <v>2600000</v>
      </c>
      <c r="E152" s="21" t="s">
        <v>321</v>
      </c>
      <c r="F152" s="21" t="str">
        <f t="shared" si="4"/>
        <v>rtdc.l.rtdc.4013:itc</v>
      </c>
      <c r="G152" s="8">
        <f t="shared" si="5"/>
        <v>42697.672951388886</v>
      </c>
    </row>
    <row r="153" spans="1:7" x14ac:dyDescent="0.25">
      <c r="A153" s="8">
        <v>42697.675949074073</v>
      </c>
      <c r="B153" s="21" t="s">
        <v>281</v>
      </c>
      <c r="C153" s="21" t="s">
        <v>554</v>
      </c>
      <c r="D153" s="21">
        <v>1540000</v>
      </c>
      <c r="E153" s="21" t="s">
        <v>319</v>
      </c>
      <c r="F153" s="21" t="str">
        <f t="shared" si="4"/>
        <v>rtdc.l.rtdc.4045:itc</v>
      </c>
      <c r="G153" s="8">
        <f t="shared" si="5"/>
        <v>42697.675949074073</v>
      </c>
    </row>
    <row r="154" spans="1:7" x14ac:dyDescent="0.25">
      <c r="A154" s="8">
        <v>42697.676030092596</v>
      </c>
      <c r="B154" s="21" t="s">
        <v>314</v>
      </c>
      <c r="C154" s="21" t="s">
        <v>558</v>
      </c>
      <c r="D154" s="21">
        <v>1280000</v>
      </c>
      <c r="E154" s="21" t="s">
        <v>288</v>
      </c>
      <c r="F154" s="21" t="str">
        <f t="shared" si="4"/>
        <v>rtdc.l.rtdc.4042:itc</v>
      </c>
      <c r="G154" s="8">
        <f t="shared" si="5"/>
        <v>42697.676030092596</v>
      </c>
    </row>
    <row r="155" spans="1:7" x14ac:dyDescent="0.25">
      <c r="A155" s="8">
        <v>42697.676365740743</v>
      </c>
      <c r="B155" s="21" t="s">
        <v>406</v>
      </c>
      <c r="C155" s="21" t="s">
        <v>559</v>
      </c>
      <c r="D155" s="21">
        <v>1140000</v>
      </c>
      <c r="E155" s="21" t="s">
        <v>300</v>
      </c>
      <c r="F155" s="21" t="str">
        <f t="shared" si="4"/>
        <v>rtdc.l.rtdc.4004:itc</v>
      </c>
      <c r="G155" s="8">
        <f t="shared" si="5"/>
        <v>42697.676365740743</v>
      </c>
    </row>
    <row r="156" spans="1:7" x14ac:dyDescent="0.25">
      <c r="A156" s="8">
        <v>42697.677256944444</v>
      </c>
      <c r="B156" s="21" t="s">
        <v>188</v>
      </c>
      <c r="C156" s="21" t="s">
        <v>560</v>
      </c>
      <c r="D156" s="21">
        <v>2040000</v>
      </c>
      <c r="E156" s="21" t="s">
        <v>528</v>
      </c>
      <c r="F156" s="21" t="str">
        <f t="shared" si="4"/>
        <v>rtdc.l.rtdc.4044:itc</v>
      </c>
      <c r="G156" s="8">
        <f t="shared" si="5"/>
        <v>42697.677256944444</v>
      </c>
    </row>
    <row r="157" spans="1:7" x14ac:dyDescent="0.25">
      <c r="A157" s="8">
        <v>42697.683206018519</v>
      </c>
      <c r="B157" s="21" t="s">
        <v>414</v>
      </c>
      <c r="C157" s="21" t="s">
        <v>561</v>
      </c>
      <c r="D157" s="21">
        <v>2620000</v>
      </c>
      <c r="E157" s="21" t="s">
        <v>259</v>
      </c>
      <c r="F157" s="21" t="str">
        <f t="shared" si="4"/>
        <v>rtdc.l.rtdc.4025:itc</v>
      </c>
      <c r="G157" s="8">
        <f t="shared" si="5"/>
        <v>42697.683206018519</v>
      </c>
    </row>
    <row r="158" spans="1:7" x14ac:dyDescent="0.25">
      <c r="A158" s="8">
        <v>42697.691736111112</v>
      </c>
      <c r="B158" s="21" t="s">
        <v>392</v>
      </c>
      <c r="C158" s="21" t="s">
        <v>562</v>
      </c>
      <c r="D158" s="21">
        <v>2610000</v>
      </c>
      <c r="E158" s="21" t="s">
        <v>231</v>
      </c>
      <c r="F158" s="21" t="str">
        <f t="shared" si="4"/>
        <v>rtdc.l.rtdc.4008:itc</v>
      </c>
      <c r="G158" s="8">
        <f t="shared" si="5"/>
        <v>42697.691736111112</v>
      </c>
    </row>
    <row r="159" spans="1:7" x14ac:dyDescent="0.25">
      <c r="A159" s="8">
        <v>42697.69358796296</v>
      </c>
      <c r="B159" s="21" t="s">
        <v>213</v>
      </c>
      <c r="C159" s="21" t="s">
        <v>563</v>
      </c>
      <c r="D159" s="21">
        <v>2220000</v>
      </c>
      <c r="E159" s="21" t="s">
        <v>537</v>
      </c>
      <c r="F159" s="21" t="str">
        <f t="shared" si="4"/>
        <v>rtdc.l.rtdc.4030:itc</v>
      </c>
      <c r="G159" s="8">
        <f t="shared" si="5"/>
        <v>42697.69358796296</v>
      </c>
    </row>
    <row r="160" spans="1:7" x14ac:dyDescent="0.25">
      <c r="A160" s="8">
        <v>42697.694710648146</v>
      </c>
      <c r="B160" s="21" t="s">
        <v>232</v>
      </c>
      <c r="C160" s="21" t="s">
        <v>564</v>
      </c>
      <c r="D160" s="21">
        <v>2040000</v>
      </c>
      <c r="E160" s="21" t="s">
        <v>528</v>
      </c>
      <c r="F160" s="21" t="str">
        <f t="shared" si="4"/>
        <v>rtdc.l.rtdc.4043:itc</v>
      </c>
      <c r="G160" s="8">
        <f t="shared" si="5"/>
        <v>42697.694710648146</v>
      </c>
    </row>
    <row r="161" spans="1:7" x14ac:dyDescent="0.25">
      <c r="A161" s="8">
        <v>42697.696956018517</v>
      </c>
      <c r="B161" s="21" t="s">
        <v>282</v>
      </c>
      <c r="C161" s="21" t="s">
        <v>565</v>
      </c>
      <c r="D161" s="21">
        <v>1540000</v>
      </c>
      <c r="E161" s="21" t="s">
        <v>319</v>
      </c>
      <c r="F161" s="21" t="str">
        <f t="shared" si="4"/>
        <v>rtdc.l.rtdc.4046:itc</v>
      </c>
      <c r="G161" s="8">
        <f t="shared" si="5"/>
        <v>42697.696956018517</v>
      </c>
    </row>
    <row r="162" spans="1:7" x14ac:dyDescent="0.25">
      <c r="A162" s="8">
        <v>42697.697025462963</v>
      </c>
      <c r="B162" s="21" t="s">
        <v>252</v>
      </c>
      <c r="C162" s="21" t="s">
        <v>419</v>
      </c>
      <c r="D162" s="21">
        <v>2600000</v>
      </c>
      <c r="E162" s="21" t="s">
        <v>321</v>
      </c>
      <c r="F162" s="21" t="str">
        <f t="shared" si="4"/>
        <v>rtdc.l.rtdc.4014:itc</v>
      </c>
      <c r="G162" s="8">
        <f t="shared" si="5"/>
        <v>42697.697025462963</v>
      </c>
    </row>
    <row r="163" spans="1:7" x14ac:dyDescent="0.25">
      <c r="A163" s="8">
        <v>42697.704548611109</v>
      </c>
      <c r="B163" s="21" t="s">
        <v>233</v>
      </c>
      <c r="C163" s="21" t="s">
        <v>566</v>
      </c>
      <c r="D163" s="21">
        <v>2370000</v>
      </c>
      <c r="E163" s="21" t="s">
        <v>512</v>
      </c>
      <c r="F163" s="21" t="str">
        <f t="shared" si="4"/>
        <v>rtdc.l.rtdc.4022:itc</v>
      </c>
      <c r="G163" s="8">
        <f t="shared" si="5"/>
        <v>42697.704548611109</v>
      </c>
    </row>
    <row r="164" spans="1:7" x14ac:dyDescent="0.25">
      <c r="A164" s="8">
        <v>42697.706192129626</v>
      </c>
      <c r="B164" s="21" t="s">
        <v>315</v>
      </c>
      <c r="C164" s="21" t="s">
        <v>567</v>
      </c>
      <c r="D164" s="21">
        <v>1280000</v>
      </c>
      <c r="E164" s="21" t="s">
        <v>288</v>
      </c>
      <c r="F164" s="21" t="str">
        <f t="shared" si="4"/>
        <v>rtdc.l.rtdc.4041:itc</v>
      </c>
      <c r="G164" s="8">
        <f t="shared" si="5"/>
        <v>42697.706192129626</v>
      </c>
    </row>
    <row r="165" spans="1:7" x14ac:dyDescent="0.25">
      <c r="A165" s="8">
        <v>42697.709293981483</v>
      </c>
      <c r="B165" s="21" t="s">
        <v>218</v>
      </c>
      <c r="C165" s="21" t="s">
        <v>420</v>
      </c>
      <c r="D165" s="21">
        <v>2250000</v>
      </c>
      <c r="E165" s="21" t="s">
        <v>352</v>
      </c>
      <c r="F165" s="21" t="str">
        <f t="shared" si="4"/>
        <v>rtdc.l.rtdc.4040:itc</v>
      </c>
      <c r="G165" s="8">
        <f t="shared" si="5"/>
        <v>42697.709293981483</v>
      </c>
    </row>
    <row r="166" spans="1:7" x14ac:dyDescent="0.25">
      <c r="A166" s="8">
        <v>42697.714837962965</v>
      </c>
      <c r="B166" s="21" t="s">
        <v>253</v>
      </c>
      <c r="C166" s="21" t="s">
        <v>568</v>
      </c>
      <c r="D166" s="21">
        <v>2600000</v>
      </c>
      <c r="E166" s="21" t="s">
        <v>321</v>
      </c>
      <c r="F166" s="21" t="str">
        <f t="shared" si="4"/>
        <v>rtdc.l.rtdc.4013:itc</v>
      </c>
      <c r="G166" s="8">
        <f t="shared" si="5"/>
        <v>42697.714837962965</v>
      </c>
    </row>
    <row r="167" spans="1:7" x14ac:dyDescent="0.25">
      <c r="A167" s="8">
        <v>42697.71634259259</v>
      </c>
      <c r="B167" s="21" t="s">
        <v>394</v>
      </c>
      <c r="C167" s="21" t="s">
        <v>569</v>
      </c>
      <c r="D167" s="21">
        <v>2000000</v>
      </c>
      <c r="E167" s="21" t="s">
        <v>224</v>
      </c>
      <c r="F167" s="21" t="str">
        <f t="shared" si="4"/>
        <v>rtdc.l.rtdc.4003:itc</v>
      </c>
      <c r="G167" s="8">
        <f t="shared" si="5"/>
        <v>42697.71634259259</v>
      </c>
    </row>
    <row r="168" spans="1:7" x14ac:dyDescent="0.25">
      <c r="A168" s="8">
        <v>42697.716585648152</v>
      </c>
      <c r="B168" s="21" t="s">
        <v>396</v>
      </c>
      <c r="C168" s="21" t="s">
        <v>570</v>
      </c>
      <c r="D168" s="21">
        <v>2620000</v>
      </c>
      <c r="E168" s="21" t="s">
        <v>259</v>
      </c>
      <c r="F168" s="21" t="str">
        <f t="shared" si="4"/>
        <v>rtdc.l.rtdc.4026:itc</v>
      </c>
      <c r="G168" s="8">
        <f t="shared" si="5"/>
        <v>42697.716585648152</v>
      </c>
    </row>
    <row r="169" spans="1:7" x14ac:dyDescent="0.25">
      <c r="A169" s="8">
        <v>42697.720034722224</v>
      </c>
      <c r="B169" s="21" t="s">
        <v>188</v>
      </c>
      <c r="C169" s="21" t="s">
        <v>571</v>
      </c>
      <c r="D169" s="21">
        <v>2040000</v>
      </c>
      <c r="E169" s="21" t="s">
        <v>528</v>
      </c>
      <c r="F169" s="21" t="str">
        <f t="shared" si="4"/>
        <v>rtdc.l.rtdc.4044:itc</v>
      </c>
      <c r="G169" s="8">
        <f t="shared" si="5"/>
        <v>42697.720034722224</v>
      </c>
    </row>
    <row r="170" spans="1:7" x14ac:dyDescent="0.25">
      <c r="A170" s="8">
        <v>42697.726087962961</v>
      </c>
      <c r="B170" s="21" t="s">
        <v>448</v>
      </c>
      <c r="C170" s="21" t="s">
        <v>572</v>
      </c>
      <c r="D170" s="21">
        <v>1140000</v>
      </c>
      <c r="E170" s="21" t="s">
        <v>300</v>
      </c>
      <c r="F170" s="21" t="str">
        <f t="shared" si="4"/>
        <v>rtdc.l.rtdc.4007:itc</v>
      </c>
      <c r="G170" s="8">
        <f t="shared" si="5"/>
        <v>42697.726087962961</v>
      </c>
    </row>
    <row r="171" spans="1:7" x14ac:dyDescent="0.25">
      <c r="A171" s="8">
        <v>42697.729745370372</v>
      </c>
      <c r="B171" s="21" t="s">
        <v>218</v>
      </c>
      <c r="C171" s="21" t="s">
        <v>420</v>
      </c>
      <c r="D171" s="21">
        <v>2250000</v>
      </c>
      <c r="E171" s="21" t="s">
        <v>352</v>
      </c>
      <c r="F171" s="21" t="str">
        <f t="shared" si="4"/>
        <v>rtdc.l.rtdc.4040:itc</v>
      </c>
      <c r="G171" s="8">
        <f t="shared" si="5"/>
        <v>42697.729745370372</v>
      </c>
    </row>
    <row r="172" spans="1:7" x14ac:dyDescent="0.25">
      <c r="A172" s="8">
        <v>42697.732858796298</v>
      </c>
      <c r="B172" s="21" t="s">
        <v>281</v>
      </c>
      <c r="C172" s="21" t="s">
        <v>422</v>
      </c>
      <c r="D172" s="21">
        <v>1540000</v>
      </c>
      <c r="E172" s="21" t="s">
        <v>319</v>
      </c>
      <c r="F172" s="21" t="str">
        <f t="shared" si="4"/>
        <v>rtdc.l.rtdc.4045:itc</v>
      </c>
      <c r="G172" s="8">
        <f t="shared" si="5"/>
        <v>42697.732858796298</v>
      </c>
    </row>
    <row r="173" spans="1:7" x14ac:dyDescent="0.25">
      <c r="A173" s="8">
        <v>42697.737037037034</v>
      </c>
      <c r="B173" s="21" t="s">
        <v>232</v>
      </c>
      <c r="C173" s="21" t="s">
        <v>573</v>
      </c>
      <c r="D173" s="21">
        <v>2040000</v>
      </c>
      <c r="E173" s="21" t="s">
        <v>528</v>
      </c>
      <c r="F173" s="21" t="str">
        <f t="shared" si="4"/>
        <v>rtdc.l.rtdc.4043:itc</v>
      </c>
      <c r="G173" s="8">
        <f t="shared" si="5"/>
        <v>42697.737037037034</v>
      </c>
    </row>
    <row r="174" spans="1:7" x14ac:dyDescent="0.25">
      <c r="A174" s="8">
        <v>42697.737303240741</v>
      </c>
      <c r="B174" s="21" t="s">
        <v>351</v>
      </c>
      <c r="C174" s="21" t="s">
        <v>574</v>
      </c>
      <c r="D174" s="21">
        <v>2630000</v>
      </c>
      <c r="E174" s="21" t="s">
        <v>322</v>
      </c>
      <c r="F174" s="21" t="str">
        <f t="shared" si="4"/>
        <v>rtdc.l.rtdc.4029:itc</v>
      </c>
      <c r="G174" s="8">
        <f t="shared" si="5"/>
        <v>42697.737303240741</v>
      </c>
    </row>
    <row r="175" spans="1:7" x14ac:dyDescent="0.25">
      <c r="A175" s="8">
        <v>42697.737754629627</v>
      </c>
      <c r="B175" s="21" t="s">
        <v>316</v>
      </c>
      <c r="C175" s="21" t="s">
        <v>575</v>
      </c>
      <c r="D175" s="21">
        <v>1300000</v>
      </c>
      <c r="E175" s="21" t="s">
        <v>113</v>
      </c>
      <c r="F175" s="21" t="str">
        <f t="shared" si="4"/>
        <v>rtdc.l.rtdc.4028:itc</v>
      </c>
      <c r="G175" s="8">
        <f t="shared" si="5"/>
        <v>42697.737754629627</v>
      </c>
    </row>
    <row r="176" spans="1:7" x14ac:dyDescent="0.25">
      <c r="A176" s="8">
        <v>42697.740057870367</v>
      </c>
      <c r="B176" s="21" t="s">
        <v>252</v>
      </c>
      <c r="C176" s="21" t="s">
        <v>576</v>
      </c>
      <c r="D176" s="21">
        <v>2600000</v>
      </c>
      <c r="E176" s="21" t="s">
        <v>321</v>
      </c>
      <c r="F176" s="21" t="str">
        <f t="shared" si="4"/>
        <v>rtdc.l.rtdc.4014:itc</v>
      </c>
      <c r="G176" s="8">
        <f t="shared" si="5"/>
        <v>42697.740057870367</v>
      </c>
    </row>
    <row r="177" spans="1:7" x14ac:dyDescent="0.25">
      <c r="A177" s="8">
        <v>42697.741296296299</v>
      </c>
      <c r="B177" s="21" t="s">
        <v>234</v>
      </c>
      <c r="C177" s="21" t="s">
        <v>577</v>
      </c>
      <c r="D177" s="21">
        <v>2370000</v>
      </c>
      <c r="E177" s="21" t="s">
        <v>512</v>
      </c>
      <c r="F177" s="21" t="str">
        <f t="shared" si="4"/>
        <v>rtdc.l.rtdc.4021:itc</v>
      </c>
      <c r="G177" s="8">
        <f t="shared" si="5"/>
        <v>42697.741296296299</v>
      </c>
    </row>
    <row r="178" spans="1:7" x14ac:dyDescent="0.25">
      <c r="A178" s="8">
        <v>42697.745393518519</v>
      </c>
      <c r="B178" s="21" t="s">
        <v>314</v>
      </c>
      <c r="C178" s="21" t="s">
        <v>578</v>
      </c>
      <c r="D178" s="21">
        <v>1740000</v>
      </c>
      <c r="E178" s="21" t="s">
        <v>521</v>
      </c>
      <c r="F178" s="21" t="str">
        <f t="shared" si="4"/>
        <v>rtdc.l.rtdc.4042:itc</v>
      </c>
      <c r="G178" s="8">
        <f t="shared" si="5"/>
        <v>42697.745393518519</v>
      </c>
    </row>
    <row r="179" spans="1:7" x14ac:dyDescent="0.25">
      <c r="A179" s="8">
        <v>42697.751736111109</v>
      </c>
      <c r="B179" s="21" t="s">
        <v>237</v>
      </c>
      <c r="C179" s="21" t="s">
        <v>421</v>
      </c>
      <c r="D179" s="21">
        <v>1290000</v>
      </c>
      <c r="E179" s="21" t="s">
        <v>301</v>
      </c>
      <c r="F179" s="21" t="str">
        <f t="shared" si="4"/>
        <v>rtdc.l.rtdc.4037:itc</v>
      </c>
      <c r="G179" s="8">
        <f t="shared" si="5"/>
        <v>42697.751736111109</v>
      </c>
    </row>
    <row r="180" spans="1:7" x14ac:dyDescent="0.25">
      <c r="A180" s="8">
        <v>42697.754618055558</v>
      </c>
      <c r="B180" s="21" t="s">
        <v>406</v>
      </c>
      <c r="C180" s="21" t="s">
        <v>579</v>
      </c>
      <c r="D180" s="21">
        <v>2000000</v>
      </c>
      <c r="E180" s="21" t="s">
        <v>224</v>
      </c>
      <c r="F180" s="21" t="str">
        <f t="shared" si="4"/>
        <v>rtdc.l.rtdc.4004:itc</v>
      </c>
      <c r="G180" s="8">
        <f t="shared" si="5"/>
        <v>42697.754618055558</v>
      </c>
    </row>
    <row r="181" spans="1:7" x14ac:dyDescent="0.25">
      <c r="A181" s="8">
        <v>42697.756898148145</v>
      </c>
      <c r="B181" s="21" t="s">
        <v>253</v>
      </c>
      <c r="C181" s="21" t="s">
        <v>423</v>
      </c>
      <c r="D181" s="21">
        <v>2600000</v>
      </c>
      <c r="E181" s="21" t="s">
        <v>321</v>
      </c>
      <c r="F181" s="21" t="str">
        <f t="shared" si="4"/>
        <v>rtdc.l.rtdc.4013:itc</v>
      </c>
      <c r="G181" s="8">
        <f t="shared" si="5"/>
        <v>42697.756898148145</v>
      </c>
    </row>
    <row r="182" spans="1:7" x14ac:dyDescent="0.25">
      <c r="A182" s="8">
        <v>42697.75744212963</v>
      </c>
      <c r="B182" s="21" t="s">
        <v>414</v>
      </c>
      <c r="C182" s="21" t="s">
        <v>580</v>
      </c>
      <c r="D182" s="21">
        <v>1300000</v>
      </c>
      <c r="E182" s="21" t="s">
        <v>113</v>
      </c>
      <c r="F182" s="21" t="str">
        <f t="shared" si="4"/>
        <v>rtdc.l.rtdc.4025:itc</v>
      </c>
      <c r="G182" s="8">
        <f t="shared" si="5"/>
        <v>42697.75744212963</v>
      </c>
    </row>
    <row r="183" spans="1:7" x14ac:dyDescent="0.25">
      <c r="A183" s="8">
        <v>42697.75922453704</v>
      </c>
      <c r="B183" s="21" t="s">
        <v>320</v>
      </c>
      <c r="C183" s="21" t="s">
        <v>581</v>
      </c>
      <c r="D183" s="21">
        <v>2620000</v>
      </c>
      <c r="E183" s="21" t="s">
        <v>259</v>
      </c>
      <c r="F183" s="21" t="str">
        <f t="shared" si="4"/>
        <v>rtdc.l.rtdc.4027:itc</v>
      </c>
      <c r="G183" s="8">
        <f t="shared" si="5"/>
        <v>42697.75922453704</v>
      </c>
    </row>
    <row r="184" spans="1:7" x14ac:dyDescent="0.25">
      <c r="A184" s="8">
        <v>42697.760960648149</v>
      </c>
      <c r="B184" s="21" t="s">
        <v>276</v>
      </c>
      <c r="C184" s="21" t="s">
        <v>582</v>
      </c>
      <c r="D184" s="21">
        <v>970000</v>
      </c>
      <c r="E184" s="21" t="s">
        <v>583</v>
      </c>
      <c r="F184" s="21" t="str">
        <f t="shared" si="4"/>
        <v>rtdc.l.rtdc.4032:itc</v>
      </c>
      <c r="G184" s="8">
        <f t="shared" si="5"/>
        <v>42697.760960648149</v>
      </c>
    </row>
    <row r="185" spans="1:7" x14ac:dyDescent="0.25">
      <c r="A185" s="8">
        <v>42697.761319444442</v>
      </c>
      <c r="B185" s="21" t="s">
        <v>188</v>
      </c>
      <c r="C185" s="21" t="s">
        <v>424</v>
      </c>
      <c r="D185" s="21">
        <v>2040000</v>
      </c>
      <c r="E185" s="21" t="s">
        <v>528</v>
      </c>
      <c r="F185" s="21" t="str">
        <f t="shared" si="4"/>
        <v>rtdc.l.rtdc.4044:itc</v>
      </c>
      <c r="G185" s="8">
        <f t="shared" si="5"/>
        <v>42697.761319444442</v>
      </c>
    </row>
    <row r="186" spans="1:7" x14ac:dyDescent="0.25">
      <c r="A186" s="8">
        <v>42697.761979166666</v>
      </c>
      <c r="B186" s="21" t="s">
        <v>392</v>
      </c>
      <c r="C186" s="21" t="s">
        <v>584</v>
      </c>
      <c r="D186" s="21">
        <v>1140000</v>
      </c>
      <c r="E186" s="21" t="s">
        <v>300</v>
      </c>
      <c r="F186" s="21" t="str">
        <f t="shared" si="4"/>
        <v>rtdc.l.rtdc.4008:itc</v>
      </c>
      <c r="G186" s="8">
        <f t="shared" si="5"/>
        <v>42697.761979166666</v>
      </c>
    </row>
    <row r="187" spans="1:7" x14ac:dyDescent="0.25">
      <c r="A187" s="8">
        <v>42697.764502314814</v>
      </c>
      <c r="B187" s="21" t="s">
        <v>157</v>
      </c>
      <c r="C187" s="21" t="s">
        <v>427</v>
      </c>
      <c r="D187" s="21">
        <v>2440000</v>
      </c>
      <c r="E187" s="21" t="s">
        <v>585</v>
      </c>
      <c r="F187" s="21" t="str">
        <f t="shared" si="4"/>
        <v>rtdc.l.rtdc.4052:itc</v>
      </c>
      <c r="G187" s="8">
        <f t="shared" si="5"/>
        <v>42697.764502314814</v>
      </c>
    </row>
    <row r="188" spans="1:7" x14ac:dyDescent="0.25">
      <c r="A188" s="8">
        <v>42697.76766203704</v>
      </c>
      <c r="B188" s="21" t="s">
        <v>282</v>
      </c>
      <c r="C188" s="21" t="s">
        <v>425</v>
      </c>
      <c r="D188" s="21">
        <v>1290000</v>
      </c>
      <c r="E188" s="21" t="s">
        <v>301</v>
      </c>
      <c r="F188" s="21" t="str">
        <f t="shared" si="4"/>
        <v>rtdc.l.rtdc.4046:itc</v>
      </c>
      <c r="G188" s="8">
        <f t="shared" si="5"/>
        <v>42697.76766203704</v>
      </c>
    </row>
    <row r="189" spans="1:7" x14ac:dyDescent="0.25">
      <c r="A189" s="8">
        <v>42697.769583333335</v>
      </c>
      <c r="B189" s="21" t="s">
        <v>213</v>
      </c>
      <c r="C189" s="21" t="s">
        <v>586</v>
      </c>
      <c r="D189" s="21">
        <v>2630000</v>
      </c>
      <c r="E189" s="21" t="s">
        <v>322</v>
      </c>
      <c r="F189" s="21" t="str">
        <f t="shared" si="4"/>
        <v>rtdc.l.rtdc.4030:itc</v>
      </c>
      <c r="G189" s="8">
        <f t="shared" si="5"/>
        <v>42697.769583333335</v>
      </c>
    </row>
    <row r="190" spans="1:7" x14ac:dyDescent="0.25">
      <c r="A190" s="8">
        <v>42697.77275462963</v>
      </c>
      <c r="B190" s="21" t="s">
        <v>236</v>
      </c>
      <c r="C190" s="21" t="s">
        <v>587</v>
      </c>
      <c r="D190" s="21">
        <v>1540000</v>
      </c>
      <c r="E190" s="21" t="s">
        <v>319</v>
      </c>
      <c r="F190" s="21" t="str">
        <f t="shared" si="4"/>
        <v>rtdc.l.rtdc.4038:itc</v>
      </c>
      <c r="G190" s="8">
        <f t="shared" si="5"/>
        <v>42697.77275462963</v>
      </c>
    </row>
    <row r="191" spans="1:7" x14ac:dyDescent="0.25">
      <c r="A191" s="8">
        <v>42697.778773148151</v>
      </c>
      <c r="B191" s="21" t="s">
        <v>232</v>
      </c>
      <c r="C191" s="21" t="s">
        <v>588</v>
      </c>
      <c r="D191" s="21">
        <v>2040000</v>
      </c>
      <c r="E191" s="21" t="s">
        <v>528</v>
      </c>
      <c r="F191" s="21" t="str">
        <f t="shared" si="4"/>
        <v>rtdc.l.rtdc.4043:itc</v>
      </c>
      <c r="G191" s="8">
        <f t="shared" si="5"/>
        <v>42697.778773148151</v>
      </c>
    </row>
    <row r="192" spans="1:7" x14ac:dyDescent="0.25">
      <c r="A192" s="8">
        <v>42697.780543981484</v>
      </c>
      <c r="B192" s="21" t="s">
        <v>233</v>
      </c>
      <c r="C192" s="21" t="s">
        <v>589</v>
      </c>
      <c r="D192" s="21">
        <v>2370000</v>
      </c>
      <c r="E192" s="21" t="s">
        <v>512</v>
      </c>
      <c r="F192" s="21" t="str">
        <f t="shared" si="4"/>
        <v>rtdc.l.rtdc.4022:itc</v>
      </c>
      <c r="G192" s="8">
        <f t="shared" si="5"/>
        <v>42697.780543981484</v>
      </c>
    </row>
    <row r="193" spans="1:7" x14ac:dyDescent="0.25">
      <c r="A193" s="8">
        <v>42697.784143518518</v>
      </c>
      <c r="B193" s="21" t="s">
        <v>252</v>
      </c>
      <c r="C193" s="21" t="s">
        <v>590</v>
      </c>
      <c r="D193" s="21">
        <v>2600000</v>
      </c>
      <c r="E193" s="21" t="s">
        <v>321</v>
      </c>
      <c r="F193" s="21" t="str">
        <f t="shared" si="4"/>
        <v>rtdc.l.rtdc.4014:itc</v>
      </c>
      <c r="G193" s="8">
        <f t="shared" si="5"/>
        <v>42697.784143518518</v>
      </c>
    </row>
    <row r="194" spans="1:7" x14ac:dyDescent="0.25">
      <c r="A194" s="8">
        <v>42697.785983796297</v>
      </c>
      <c r="B194" s="21" t="s">
        <v>315</v>
      </c>
      <c r="C194" s="21" t="s">
        <v>591</v>
      </c>
      <c r="D194" s="21">
        <v>1740000</v>
      </c>
      <c r="E194" s="21" t="s">
        <v>521</v>
      </c>
      <c r="F194" s="21" t="str">
        <f t="shared" ref="F194:F235" si="6">B194</f>
        <v>rtdc.l.rtdc.4041:itc</v>
      </c>
      <c r="G194" s="8">
        <f t="shared" ref="G194:G235" si="7">A194</f>
        <v>42697.785983796297</v>
      </c>
    </row>
    <row r="195" spans="1:7" x14ac:dyDescent="0.25">
      <c r="A195" s="8">
        <v>42697.786689814813</v>
      </c>
      <c r="B195" s="21" t="s">
        <v>156</v>
      </c>
      <c r="C195" s="21" t="s">
        <v>430</v>
      </c>
      <c r="D195" s="21">
        <v>2440000</v>
      </c>
      <c r="E195" s="21" t="s">
        <v>585</v>
      </c>
      <c r="F195" s="21" t="str">
        <f t="shared" si="6"/>
        <v>rtdc.l.rtdc.4051:itc</v>
      </c>
      <c r="G195" s="8">
        <f t="shared" si="7"/>
        <v>42697.786689814813</v>
      </c>
    </row>
    <row r="196" spans="1:7" x14ac:dyDescent="0.25">
      <c r="A196" s="8">
        <v>42697.787326388891</v>
      </c>
      <c r="B196" s="21" t="s">
        <v>394</v>
      </c>
      <c r="C196" s="21" t="s">
        <v>426</v>
      </c>
      <c r="D196" s="21">
        <v>2000000</v>
      </c>
      <c r="E196" s="21" t="s">
        <v>224</v>
      </c>
      <c r="F196" s="21" t="str">
        <f t="shared" si="6"/>
        <v>rtdc.l.rtdc.4003:itc</v>
      </c>
      <c r="G196" s="8">
        <f t="shared" si="7"/>
        <v>42697.787326388891</v>
      </c>
    </row>
    <row r="197" spans="1:7" x14ac:dyDescent="0.25">
      <c r="A197" s="8">
        <v>42697.793506944443</v>
      </c>
      <c r="B197" s="21" t="s">
        <v>394</v>
      </c>
      <c r="C197" s="21" t="s">
        <v>426</v>
      </c>
      <c r="D197" s="21">
        <v>2000000</v>
      </c>
      <c r="E197" s="21" t="s">
        <v>224</v>
      </c>
      <c r="F197" s="21" t="str">
        <f t="shared" si="6"/>
        <v>rtdc.l.rtdc.4003:itc</v>
      </c>
      <c r="G197" s="8">
        <f t="shared" si="7"/>
        <v>42697.793506944443</v>
      </c>
    </row>
    <row r="198" spans="1:7" x14ac:dyDescent="0.25">
      <c r="A198" s="8">
        <v>42697.796655092592</v>
      </c>
      <c r="B198" s="21" t="s">
        <v>396</v>
      </c>
      <c r="C198" s="21" t="s">
        <v>592</v>
      </c>
      <c r="D198" s="21">
        <v>1300000</v>
      </c>
      <c r="E198" s="21" t="s">
        <v>113</v>
      </c>
      <c r="F198" s="21" t="str">
        <f t="shared" si="6"/>
        <v>rtdc.l.rtdc.4026:itc</v>
      </c>
      <c r="G198" s="8">
        <f t="shared" si="7"/>
        <v>42697.796655092592</v>
      </c>
    </row>
    <row r="199" spans="1:7" x14ac:dyDescent="0.25">
      <c r="A199" s="8">
        <v>42697.798055555555</v>
      </c>
      <c r="B199" s="21" t="s">
        <v>253</v>
      </c>
      <c r="C199" s="21" t="s">
        <v>593</v>
      </c>
      <c r="D199" s="21">
        <v>2600000</v>
      </c>
      <c r="E199" s="21" t="s">
        <v>321</v>
      </c>
      <c r="F199" s="21" t="str">
        <f t="shared" si="6"/>
        <v>rtdc.l.rtdc.4013:itc</v>
      </c>
      <c r="G199" s="8">
        <f t="shared" si="7"/>
        <v>42697.798055555555</v>
      </c>
    </row>
    <row r="200" spans="1:7" x14ac:dyDescent="0.25">
      <c r="A200" s="8">
        <v>42697.799780092595</v>
      </c>
      <c r="B200" s="21" t="s">
        <v>448</v>
      </c>
      <c r="C200" s="21" t="s">
        <v>594</v>
      </c>
      <c r="D200" s="21">
        <v>1140000</v>
      </c>
      <c r="E200" s="21" t="s">
        <v>300</v>
      </c>
      <c r="F200" s="21" t="str">
        <f t="shared" si="6"/>
        <v>rtdc.l.rtdc.4007:itc</v>
      </c>
      <c r="G200" s="8">
        <f t="shared" si="7"/>
        <v>42697.799780092595</v>
      </c>
    </row>
    <row r="201" spans="1:7" x14ac:dyDescent="0.25">
      <c r="A201" s="8">
        <v>42697.804212962961</v>
      </c>
      <c r="B201" s="21" t="s">
        <v>188</v>
      </c>
      <c r="C201" s="21" t="s">
        <v>595</v>
      </c>
      <c r="D201" s="21">
        <v>2040000</v>
      </c>
      <c r="E201" s="21" t="s">
        <v>528</v>
      </c>
      <c r="F201" s="21" t="str">
        <f t="shared" si="6"/>
        <v>rtdc.l.rtdc.4044:itc</v>
      </c>
      <c r="G201" s="8">
        <f t="shared" si="7"/>
        <v>42697.804212962961</v>
      </c>
    </row>
    <row r="202" spans="1:7" x14ac:dyDescent="0.25">
      <c r="A202" s="27">
        <v>42697.80673611111</v>
      </c>
      <c r="B202" s="21" t="s">
        <v>281</v>
      </c>
      <c r="C202" s="21" t="s">
        <v>429</v>
      </c>
      <c r="D202" s="21">
        <v>1290000</v>
      </c>
      <c r="E202" s="21" t="s">
        <v>301</v>
      </c>
      <c r="F202" s="21" t="str">
        <f t="shared" si="6"/>
        <v>rtdc.l.rtdc.4045:itc</v>
      </c>
      <c r="G202" s="8">
        <f t="shared" si="7"/>
        <v>42697.80673611111</v>
      </c>
    </row>
    <row r="203" spans="1:7" x14ac:dyDescent="0.25">
      <c r="A203" s="8">
        <v>42697.809027777781</v>
      </c>
      <c r="B203" s="21" t="s">
        <v>351</v>
      </c>
      <c r="C203" s="21" t="s">
        <v>596</v>
      </c>
      <c r="D203" s="21">
        <v>2630000</v>
      </c>
      <c r="E203" s="21" t="s">
        <v>322</v>
      </c>
      <c r="F203" s="21" t="str">
        <f t="shared" si="6"/>
        <v>rtdc.l.rtdc.4029:itc</v>
      </c>
      <c r="G203" s="8">
        <f t="shared" si="7"/>
        <v>42697.809027777781</v>
      </c>
    </row>
    <row r="204" spans="1:7" x14ac:dyDescent="0.25">
      <c r="A204" s="8">
        <v>42697.817696759259</v>
      </c>
      <c r="B204" s="21" t="s">
        <v>157</v>
      </c>
      <c r="C204" s="21" t="s">
        <v>427</v>
      </c>
      <c r="D204" s="21">
        <v>2440000</v>
      </c>
      <c r="E204" s="21" t="s">
        <v>585</v>
      </c>
      <c r="F204" s="21" t="str">
        <f t="shared" si="6"/>
        <v>rtdc.l.rtdc.4052:itc</v>
      </c>
      <c r="G204" s="8">
        <f t="shared" si="7"/>
        <v>42697.817696759259</v>
      </c>
    </row>
    <row r="205" spans="1:7" x14ac:dyDescent="0.25">
      <c r="A205" s="8">
        <v>42697.818124999998</v>
      </c>
      <c r="B205" s="21" t="s">
        <v>314</v>
      </c>
      <c r="C205" s="21" t="s">
        <v>597</v>
      </c>
      <c r="D205" s="21">
        <v>1740000</v>
      </c>
      <c r="E205" s="21" t="s">
        <v>521</v>
      </c>
      <c r="F205" s="21" t="str">
        <f t="shared" si="6"/>
        <v>rtdc.l.rtdc.4042:itc</v>
      </c>
      <c r="G205" s="8">
        <f t="shared" si="7"/>
        <v>42697.818124999998</v>
      </c>
    </row>
    <row r="206" spans="1:7" x14ac:dyDescent="0.25">
      <c r="A206" s="8">
        <v>42697.819722222222</v>
      </c>
      <c r="B206" s="21" t="s">
        <v>232</v>
      </c>
      <c r="C206" s="21" t="s">
        <v>428</v>
      </c>
      <c r="D206" s="21">
        <v>2040000</v>
      </c>
      <c r="E206" s="21" t="s">
        <v>528</v>
      </c>
      <c r="F206" s="21" t="str">
        <f t="shared" si="6"/>
        <v>rtdc.l.rtdc.4043:itc</v>
      </c>
      <c r="G206" s="8">
        <f t="shared" si="7"/>
        <v>42697.819722222222</v>
      </c>
    </row>
    <row r="207" spans="1:7" x14ac:dyDescent="0.25">
      <c r="A207" s="8">
        <v>42697.826539351852</v>
      </c>
      <c r="B207" s="21" t="s">
        <v>157</v>
      </c>
      <c r="C207" s="21" t="s">
        <v>427</v>
      </c>
      <c r="D207" s="21">
        <v>2440000</v>
      </c>
      <c r="E207" s="21" t="s">
        <v>585</v>
      </c>
      <c r="F207" s="21" t="str">
        <f t="shared" si="6"/>
        <v>rtdc.l.rtdc.4052:itc</v>
      </c>
      <c r="G207" s="8">
        <f t="shared" si="7"/>
        <v>42697.826539351852</v>
      </c>
    </row>
    <row r="208" spans="1:7" x14ac:dyDescent="0.25">
      <c r="A208" s="8">
        <v>42697.8283912037</v>
      </c>
      <c r="B208" s="21" t="s">
        <v>406</v>
      </c>
      <c r="C208" s="21" t="s">
        <v>598</v>
      </c>
      <c r="D208" s="21">
        <v>2000000</v>
      </c>
      <c r="E208" s="21" t="s">
        <v>224</v>
      </c>
      <c r="F208" s="21" t="str">
        <f t="shared" si="6"/>
        <v>rtdc.l.rtdc.4004:itc</v>
      </c>
      <c r="G208" s="8">
        <f t="shared" si="7"/>
        <v>42697.8283912037</v>
      </c>
    </row>
    <row r="209" spans="1:7" x14ac:dyDescent="0.25">
      <c r="A209" s="8">
        <v>42697.831550925926</v>
      </c>
      <c r="B209" s="21" t="s">
        <v>414</v>
      </c>
      <c r="C209" s="21" t="s">
        <v>599</v>
      </c>
      <c r="D209" s="21">
        <v>1300000</v>
      </c>
      <c r="E209" s="21" t="s">
        <v>113</v>
      </c>
      <c r="F209" s="21" t="str">
        <f t="shared" si="6"/>
        <v>rtdc.l.rtdc.4025:itc</v>
      </c>
      <c r="G209" s="8">
        <f t="shared" si="7"/>
        <v>42697.831550925926</v>
      </c>
    </row>
    <row r="210" spans="1:7" x14ac:dyDescent="0.25">
      <c r="A210" s="8">
        <v>42697.84306712963</v>
      </c>
      <c r="B210" s="21" t="s">
        <v>213</v>
      </c>
      <c r="C210" s="21" t="s">
        <v>600</v>
      </c>
      <c r="D210" s="21">
        <v>2630000</v>
      </c>
      <c r="E210" s="21" t="s">
        <v>322</v>
      </c>
      <c r="F210" s="21" t="str">
        <f t="shared" si="6"/>
        <v>rtdc.l.rtdc.4030:itc</v>
      </c>
      <c r="G210" s="8">
        <f t="shared" si="7"/>
        <v>42697.84306712963</v>
      </c>
    </row>
    <row r="211" spans="1:7" x14ac:dyDescent="0.25">
      <c r="A211" s="8">
        <v>42697.843912037039</v>
      </c>
      <c r="B211" s="21" t="s">
        <v>156</v>
      </c>
      <c r="C211" s="21" t="s">
        <v>430</v>
      </c>
      <c r="D211" s="21">
        <v>2440000</v>
      </c>
      <c r="E211" s="21" t="s">
        <v>585</v>
      </c>
      <c r="F211" s="21" t="str">
        <f t="shared" si="6"/>
        <v>rtdc.l.rtdc.4051:itc</v>
      </c>
      <c r="G211" s="8">
        <f t="shared" si="7"/>
        <v>42697.843912037039</v>
      </c>
    </row>
    <row r="212" spans="1:7" x14ac:dyDescent="0.25">
      <c r="A212" s="8">
        <v>42697.844085648147</v>
      </c>
      <c r="B212" s="21" t="s">
        <v>188</v>
      </c>
      <c r="C212" s="21" t="s">
        <v>601</v>
      </c>
      <c r="D212" s="21">
        <v>2040000</v>
      </c>
      <c r="E212" s="21" t="s">
        <v>528</v>
      </c>
      <c r="F212" s="21" t="str">
        <f t="shared" si="6"/>
        <v>rtdc.l.rtdc.4044:itc</v>
      </c>
      <c r="G212" s="8">
        <f t="shared" si="7"/>
        <v>42697.844085648147</v>
      </c>
    </row>
    <row r="213" spans="1:7" x14ac:dyDescent="0.25">
      <c r="A213" s="8">
        <v>42697.851331018515</v>
      </c>
      <c r="B213" s="21" t="s">
        <v>282</v>
      </c>
      <c r="C213" s="21" t="s">
        <v>602</v>
      </c>
      <c r="D213" s="21">
        <v>1290000</v>
      </c>
      <c r="E213" s="21" t="s">
        <v>301</v>
      </c>
      <c r="F213" s="21" t="str">
        <f t="shared" si="6"/>
        <v>rtdc.l.rtdc.4046:itc</v>
      </c>
      <c r="G213" s="8">
        <f t="shared" si="7"/>
        <v>42697.851331018515</v>
      </c>
    </row>
    <row r="214" spans="1:7" x14ac:dyDescent="0.25">
      <c r="A214" s="8">
        <v>42697.860069444447</v>
      </c>
      <c r="B214" s="21" t="s">
        <v>394</v>
      </c>
      <c r="C214" s="21" t="s">
        <v>603</v>
      </c>
      <c r="D214" s="21">
        <v>2000000</v>
      </c>
      <c r="E214" s="21" t="s">
        <v>224</v>
      </c>
      <c r="F214" s="21" t="str">
        <f t="shared" si="6"/>
        <v>rtdc.l.rtdc.4003:itc</v>
      </c>
      <c r="G214" s="8">
        <f t="shared" si="7"/>
        <v>42697.860069444447</v>
      </c>
    </row>
    <row r="215" spans="1:7" x14ac:dyDescent="0.25">
      <c r="A215" s="8">
        <v>42697.860196759262</v>
      </c>
      <c r="B215" s="21" t="s">
        <v>157</v>
      </c>
      <c r="C215" s="21" t="s">
        <v>427</v>
      </c>
      <c r="D215" s="21">
        <v>2440000</v>
      </c>
      <c r="E215" s="21" t="s">
        <v>585</v>
      </c>
      <c r="F215" s="21" t="str">
        <f t="shared" si="6"/>
        <v>rtdc.l.rtdc.4052:itc</v>
      </c>
      <c r="G215" s="8">
        <f t="shared" si="7"/>
        <v>42697.860196759262</v>
      </c>
    </row>
    <row r="216" spans="1:7" x14ac:dyDescent="0.25">
      <c r="A216" s="8">
        <v>42697.860254629632</v>
      </c>
      <c r="B216" s="21" t="s">
        <v>232</v>
      </c>
      <c r="C216" s="21" t="s">
        <v>604</v>
      </c>
      <c r="D216" s="21">
        <v>2040000</v>
      </c>
      <c r="E216" s="21" t="s">
        <v>528</v>
      </c>
      <c r="F216" s="21" t="str">
        <f t="shared" si="6"/>
        <v>rtdc.l.rtdc.4043:itc</v>
      </c>
      <c r="G216" s="8">
        <f t="shared" si="7"/>
        <v>42697.860254629632</v>
      </c>
    </row>
    <row r="217" spans="1:7" x14ac:dyDescent="0.25">
      <c r="A217" s="8">
        <v>42697.869166666664</v>
      </c>
      <c r="B217" s="21" t="s">
        <v>396</v>
      </c>
      <c r="C217" s="21" t="s">
        <v>605</v>
      </c>
      <c r="D217" s="21">
        <v>1300000</v>
      </c>
      <c r="E217" s="21" t="s">
        <v>113</v>
      </c>
      <c r="F217" s="21" t="str">
        <f t="shared" si="6"/>
        <v>rtdc.l.rtdc.4026:itc</v>
      </c>
      <c r="G217" s="8">
        <f t="shared" si="7"/>
        <v>42697.869166666664</v>
      </c>
    </row>
    <row r="218" spans="1:7" x14ac:dyDescent="0.25">
      <c r="A218" s="8">
        <v>42697.878287037034</v>
      </c>
      <c r="B218" s="21" t="s">
        <v>188</v>
      </c>
      <c r="C218" s="21" t="s">
        <v>606</v>
      </c>
      <c r="D218" s="21">
        <v>2600000</v>
      </c>
      <c r="E218" s="21" t="s">
        <v>321</v>
      </c>
      <c r="F218" s="21" t="str">
        <f t="shared" si="6"/>
        <v>rtdc.l.rtdc.4044:itc</v>
      </c>
      <c r="G218" s="8">
        <f t="shared" si="7"/>
        <v>42697.878287037034</v>
      </c>
    </row>
    <row r="219" spans="1:7" x14ac:dyDescent="0.25">
      <c r="A219" s="8">
        <v>42697.880057870374</v>
      </c>
      <c r="B219" s="21" t="s">
        <v>156</v>
      </c>
      <c r="C219" s="21" t="s">
        <v>430</v>
      </c>
      <c r="D219" s="21">
        <v>2440000</v>
      </c>
      <c r="E219" s="21" t="s">
        <v>585</v>
      </c>
      <c r="F219" s="21" t="str">
        <f t="shared" si="6"/>
        <v>rtdc.l.rtdc.4051:itc</v>
      </c>
      <c r="G219" s="8">
        <f t="shared" si="7"/>
        <v>42697.880057870374</v>
      </c>
    </row>
    <row r="220" spans="1:7" x14ac:dyDescent="0.25">
      <c r="A220" s="8">
        <v>42697.88009259259</v>
      </c>
      <c r="B220" s="21" t="s">
        <v>351</v>
      </c>
      <c r="C220" s="21" t="s">
        <v>607</v>
      </c>
      <c r="D220" s="21">
        <v>2630000</v>
      </c>
      <c r="E220" s="21" t="s">
        <v>322</v>
      </c>
      <c r="F220" s="21" t="str">
        <f t="shared" si="6"/>
        <v>rtdc.l.rtdc.4029:itc</v>
      </c>
      <c r="G220" s="8">
        <f t="shared" si="7"/>
        <v>42697.88009259259</v>
      </c>
    </row>
    <row r="221" spans="1:7" x14ac:dyDescent="0.25">
      <c r="A221" s="8">
        <v>42697.885752314818</v>
      </c>
      <c r="B221" s="21" t="s">
        <v>281</v>
      </c>
      <c r="C221" s="21" t="s">
        <v>608</v>
      </c>
      <c r="D221" s="21">
        <v>1290000</v>
      </c>
      <c r="E221" s="21" t="s">
        <v>301</v>
      </c>
      <c r="F221" s="21" t="str">
        <f t="shared" si="6"/>
        <v>rtdc.l.rtdc.4045:itc</v>
      </c>
      <c r="G221" s="8">
        <f t="shared" si="7"/>
        <v>42697.885752314818</v>
      </c>
    </row>
    <row r="222" spans="1:7" x14ac:dyDescent="0.25">
      <c r="A222" s="8">
        <v>42697.897141203706</v>
      </c>
      <c r="B222" s="21" t="s">
        <v>157</v>
      </c>
      <c r="C222" s="21" t="s">
        <v>427</v>
      </c>
      <c r="D222" s="21">
        <v>2440000</v>
      </c>
      <c r="E222" s="21" t="s">
        <v>585</v>
      </c>
      <c r="F222" s="21" t="str">
        <f t="shared" si="6"/>
        <v>rtdc.l.rtdc.4052:itc</v>
      </c>
      <c r="G222" s="8">
        <f t="shared" si="7"/>
        <v>42697.897141203706</v>
      </c>
    </row>
    <row r="223" spans="1:7" x14ac:dyDescent="0.25">
      <c r="A223" s="8">
        <v>42697.90215277778</v>
      </c>
      <c r="B223" s="21" t="s">
        <v>232</v>
      </c>
      <c r="C223" s="21" t="s">
        <v>609</v>
      </c>
      <c r="D223" s="21">
        <v>2600000</v>
      </c>
      <c r="E223" s="21" t="s">
        <v>321</v>
      </c>
      <c r="F223" s="21" t="str">
        <f t="shared" si="6"/>
        <v>rtdc.l.rtdc.4043:itc</v>
      </c>
      <c r="G223" s="8">
        <f t="shared" si="7"/>
        <v>42697.90215277778</v>
      </c>
    </row>
    <row r="224" spans="1:7" x14ac:dyDescent="0.25">
      <c r="A224" s="8">
        <v>42697.909780092596</v>
      </c>
      <c r="B224" t="s">
        <v>414</v>
      </c>
      <c r="C224" t="s">
        <v>610</v>
      </c>
      <c r="D224">
        <v>1300000</v>
      </c>
      <c r="E224" t="s">
        <v>113</v>
      </c>
      <c r="F224" s="21" t="str">
        <f t="shared" si="6"/>
        <v>rtdc.l.rtdc.4025:itc</v>
      </c>
      <c r="G224" s="8">
        <f t="shared" si="7"/>
        <v>42697.909780092596</v>
      </c>
    </row>
    <row r="225" spans="1:7" x14ac:dyDescent="0.25">
      <c r="A225" s="8">
        <v>42697.911041666666</v>
      </c>
      <c r="B225" t="s">
        <v>406</v>
      </c>
      <c r="C225" t="s">
        <v>611</v>
      </c>
      <c r="D225">
        <v>2000000</v>
      </c>
      <c r="E225" t="s">
        <v>224</v>
      </c>
      <c r="F225" s="21" t="str">
        <f t="shared" si="6"/>
        <v>rtdc.l.rtdc.4004:itc</v>
      </c>
      <c r="G225" s="8">
        <f t="shared" si="7"/>
        <v>42697.911041666666</v>
      </c>
    </row>
    <row r="226" spans="1:7" x14ac:dyDescent="0.25">
      <c r="A226" s="8">
        <v>42697.922893518517</v>
      </c>
      <c r="B226" t="s">
        <v>213</v>
      </c>
      <c r="C226" t="s">
        <v>612</v>
      </c>
      <c r="D226">
        <v>2630000</v>
      </c>
      <c r="E226" t="s">
        <v>322</v>
      </c>
      <c r="F226" s="21" t="str">
        <f t="shared" si="6"/>
        <v>rtdc.l.rtdc.4030:itc</v>
      </c>
      <c r="G226" s="8">
        <f t="shared" si="7"/>
        <v>42697.922893518517</v>
      </c>
    </row>
    <row r="227" spans="1:7" x14ac:dyDescent="0.25">
      <c r="A227" s="8">
        <v>42697.926898148151</v>
      </c>
      <c r="B227" t="s">
        <v>188</v>
      </c>
      <c r="C227" t="s">
        <v>613</v>
      </c>
      <c r="D227">
        <v>2600000</v>
      </c>
      <c r="E227" t="s">
        <v>321</v>
      </c>
      <c r="F227" s="21" t="str">
        <f t="shared" si="6"/>
        <v>rtdc.l.rtdc.4044:itc</v>
      </c>
      <c r="G227" s="8">
        <f t="shared" si="7"/>
        <v>42697.926898148151</v>
      </c>
    </row>
    <row r="228" spans="1:7" x14ac:dyDescent="0.25">
      <c r="A228" s="8">
        <v>42697.935046296298</v>
      </c>
      <c r="B228" t="s">
        <v>282</v>
      </c>
      <c r="C228" t="s">
        <v>431</v>
      </c>
      <c r="D228">
        <v>1290000</v>
      </c>
      <c r="E228" t="s">
        <v>301</v>
      </c>
      <c r="F228" s="21" t="str">
        <f t="shared" si="6"/>
        <v>rtdc.l.rtdc.4046:itc</v>
      </c>
      <c r="G228" s="8">
        <f t="shared" si="7"/>
        <v>42697.935046296298</v>
      </c>
    </row>
    <row r="229" spans="1:7" x14ac:dyDescent="0.25">
      <c r="A229" s="8">
        <v>42697.937604166669</v>
      </c>
      <c r="B229" t="s">
        <v>156</v>
      </c>
      <c r="C229" t="s">
        <v>430</v>
      </c>
      <c r="D229">
        <v>2440000</v>
      </c>
      <c r="E229" t="s">
        <v>585</v>
      </c>
      <c r="F229" s="21" t="str">
        <f t="shared" si="6"/>
        <v>rtdc.l.rtdc.4051:itc</v>
      </c>
      <c r="G229" s="8">
        <f t="shared" si="7"/>
        <v>42697.937604166669</v>
      </c>
    </row>
    <row r="230" spans="1:7" x14ac:dyDescent="0.25">
      <c r="A230" s="8">
        <v>42697.941168981481</v>
      </c>
      <c r="B230" t="s">
        <v>156</v>
      </c>
      <c r="C230" t="s">
        <v>430</v>
      </c>
      <c r="D230">
        <v>2440000</v>
      </c>
      <c r="E230" t="s">
        <v>585</v>
      </c>
      <c r="F230" s="21" t="str">
        <f t="shared" si="6"/>
        <v>rtdc.l.rtdc.4051:itc</v>
      </c>
      <c r="G230" s="8">
        <f t="shared" si="7"/>
        <v>42697.941168981481</v>
      </c>
    </row>
    <row r="231" spans="1:7" x14ac:dyDescent="0.25">
      <c r="A231" s="8">
        <v>42697.942743055559</v>
      </c>
      <c r="B231" t="s">
        <v>394</v>
      </c>
      <c r="C231" t="s">
        <v>614</v>
      </c>
      <c r="D231">
        <v>2000000</v>
      </c>
      <c r="E231" t="s">
        <v>224</v>
      </c>
      <c r="F231" s="21" t="str">
        <f t="shared" si="6"/>
        <v>rtdc.l.rtdc.4003:itc</v>
      </c>
      <c r="G231" s="8">
        <f t="shared" si="7"/>
        <v>42697.942743055559</v>
      </c>
    </row>
    <row r="232" spans="1:7" x14ac:dyDescent="0.25">
      <c r="A232" s="8">
        <v>42697.943414351852</v>
      </c>
      <c r="B232" t="s">
        <v>232</v>
      </c>
      <c r="C232" t="s">
        <v>615</v>
      </c>
      <c r="D232">
        <v>2600000</v>
      </c>
      <c r="E232" t="s">
        <v>321</v>
      </c>
      <c r="F232" s="21" t="str">
        <f t="shared" si="6"/>
        <v>rtdc.l.rtdc.4043:itc</v>
      </c>
      <c r="G232" s="8">
        <f t="shared" si="7"/>
        <v>42697.943414351852</v>
      </c>
    </row>
    <row r="233" spans="1:7" x14ac:dyDescent="0.25">
      <c r="A233" s="8">
        <v>42697.950162037036</v>
      </c>
      <c r="B233" t="s">
        <v>396</v>
      </c>
      <c r="C233" t="s">
        <v>616</v>
      </c>
      <c r="D233">
        <v>1300000</v>
      </c>
      <c r="E233" t="s">
        <v>113</v>
      </c>
      <c r="F233" s="21" t="str">
        <f t="shared" si="6"/>
        <v>rtdc.l.rtdc.4026:itc</v>
      </c>
      <c r="G233" s="8">
        <f t="shared" si="7"/>
        <v>42697.950162037036</v>
      </c>
    </row>
    <row r="234" spans="1:7" x14ac:dyDescent="0.25">
      <c r="A234" s="8">
        <v>42697.95988425926</v>
      </c>
      <c r="B234" t="s">
        <v>157</v>
      </c>
      <c r="C234" t="s">
        <v>427</v>
      </c>
      <c r="D234">
        <v>2440000</v>
      </c>
      <c r="E234" t="s">
        <v>585</v>
      </c>
      <c r="F234" s="21" t="str">
        <f t="shared" si="6"/>
        <v>rtdc.l.rtdc.4052:itc</v>
      </c>
      <c r="G234" s="8">
        <f t="shared" si="7"/>
        <v>42697.95988425926</v>
      </c>
    </row>
    <row r="235" spans="1:7" x14ac:dyDescent="0.25">
      <c r="A235" s="8">
        <v>42697.963194444441</v>
      </c>
      <c r="B235" t="s">
        <v>351</v>
      </c>
      <c r="C235" t="s">
        <v>617</v>
      </c>
      <c r="D235">
        <v>2630000</v>
      </c>
      <c r="E235" t="s">
        <v>322</v>
      </c>
      <c r="F235" s="21" t="str">
        <f t="shared" si="6"/>
        <v>rtdc.l.rtdc.4029:itc</v>
      </c>
      <c r="G235" s="8">
        <f t="shared" si="7"/>
        <v>42697.963194444441</v>
      </c>
    </row>
    <row r="236" spans="1:7" x14ac:dyDescent="0.25">
      <c r="A236" s="8">
        <v>42697.971377314818</v>
      </c>
      <c r="B236" t="s">
        <v>281</v>
      </c>
      <c r="C236" t="s">
        <v>618</v>
      </c>
      <c r="D236">
        <v>1290000</v>
      </c>
      <c r="E236" t="s">
        <v>301</v>
      </c>
      <c r="F236" s="21" t="str">
        <f t="shared" ref="F236:F265" si="8">B236</f>
        <v>rtdc.l.rtdc.4045:itc</v>
      </c>
      <c r="G236" s="8">
        <f t="shared" ref="G236:G265" si="9">A236</f>
        <v>42697.971377314818</v>
      </c>
    </row>
    <row r="237" spans="1:7" x14ac:dyDescent="0.25">
      <c r="A237" s="8">
        <v>42697.984699074077</v>
      </c>
      <c r="B237" t="s">
        <v>281</v>
      </c>
      <c r="C237" t="s">
        <v>618</v>
      </c>
      <c r="D237">
        <v>1290000</v>
      </c>
      <c r="E237" t="s">
        <v>301</v>
      </c>
      <c r="F237" s="21" t="str">
        <f t="shared" si="8"/>
        <v>rtdc.l.rtdc.4045:itc</v>
      </c>
      <c r="G237" s="8">
        <f t="shared" si="9"/>
        <v>42697.984699074077</v>
      </c>
    </row>
    <row r="238" spans="1:7" x14ac:dyDescent="0.25">
      <c r="A238" s="8">
        <v>42697.985509259262</v>
      </c>
      <c r="B238" t="s">
        <v>156</v>
      </c>
      <c r="C238" t="s">
        <v>430</v>
      </c>
      <c r="D238">
        <v>2440000</v>
      </c>
      <c r="E238" t="s">
        <v>585</v>
      </c>
      <c r="F238" s="21" t="str">
        <f t="shared" si="8"/>
        <v>rtdc.l.rtdc.4051:itc</v>
      </c>
      <c r="G238" s="8">
        <f t="shared" si="9"/>
        <v>42697.985509259262</v>
      </c>
    </row>
    <row r="239" spans="1:7" x14ac:dyDescent="0.25">
      <c r="A239" s="8">
        <v>42697.985995370371</v>
      </c>
      <c r="B239" t="s">
        <v>281</v>
      </c>
      <c r="C239" t="s">
        <v>618</v>
      </c>
      <c r="D239">
        <v>1290000</v>
      </c>
      <c r="E239" t="s">
        <v>301</v>
      </c>
      <c r="F239" s="21" t="str">
        <f t="shared" si="8"/>
        <v>rtdc.l.rtdc.4045:itc</v>
      </c>
      <c r="G239" s="8">
        <f t="shared" si="9"/>
        <v>42697.985995370371</v>
      </c>
    </row>
    <row r="240" spans="1:7" x14ac:dyDescent="0.25">
      <c r="A240" s="8">
        <v>42697.993078703701</v>
      </c>
      <c r="B240" t="s">
        <v>406</v>
      </c>
      <c r="C240" t="s">
        <v>619</v>
      </c>
      <c r="D240">
        <v>2000000</v>
      </c>
      <c r="E240" t="s">
        <v>224</v>
      </c>
      <c r="F240" s="21" t="str">
        <f t="shared" si="8"/>
        <v>rtdc.l.rtdc.4004:itc</v>
      </c>
      <c r="G240" s="8">
        <f t="shared" si="9"/>
        <v>42697.993078703701</v>
      </c>
    </row>
    <row r="241" spans="1:7" x14ac:dyDescent="0.25">
      <c r="A241" s="8">
        <v>42697.996342592596</v>
      </c>
      <c r="B241" t="s">
        <v>414</v>
      </c>
      <c r="C241" t="s">
        <v>620</v>
      </c>
      <c r="D241">
        <v>1300000</v>
      </c>
      <c r="E241" t="s">
        <v>113</v>
      </c>
      <c r="F241" s="21" t="str">
        <f t="shared" si="8"/>
        <v>rtdc.l.rtdc.4025:itc</v>
      </c>
      <c r="G241" s="8">
        <f t="shared" si="9"/>
        <v>42697.996342592596</v>
      </c>
    </row>
    <row r="242" spans="1:7" x14ac:dyDescent="0.25">
      <c r="A242" s="8">
        <v>42698.002546296295</v>
      </c>
      <c r="B242" t="s">
        <v>157</v>
      </c>
      <c r="C242" t="s">
        <v>427</v>
      </c>
      <c r="D242">
        <v>2440000</v>
      </c>
      <c r="E242" t="s">
        <v>585</v>
      </c>
      <c r="F242" s="21" t="str">
        <f t="shared" si="8"/>
        <v>rtdc.l.rtdc.4052:itc</v>
      </c>
      <c r="G242" s="8">
        <f t="shared" si="9"/>
        <v>42698.002546296295</v>
      </c>
    </row>
    <row r="243" spans="1:7" x14ac:dyDescent="0.25">
      <c r="A243" s="8">
        <v>42698.007418981484</v>
      </c>
      <c r="B243" t="s">
        <v>213</v>
      </c>
      <c r="C243" t="s">
        <v>621</v>
      </c>
      <c r="D243">
        <v>2630000</v>
      </c>
      <c r="E243" t="s">
        <v>322</v>
      </c>
      <c r="F243" s="21" t="str">
        <f t="shared" si="8"/>
        <v>rtdc.l.rtdc.4030:itc</v>
      </c>
      <c r="G243" s="8">
        <f t="shared" si="9"/>
        <v>42698.007418981484</v>
      </c>
    </row>
    <row r="244" spans="1:7" x14ac:dyDescent="0.25">
      <c r="A244" s="8">
        <v>42698.009652777779</v>
      </c>
      <c r="B244" t="s">
        <v>282</v>
      </c>
      <c r="C244" t="s">
        <v>622</v>
      </c>
      <c r="D244">
        <v>1290000</v>
      </c>
      <c r="E244" t="s">
        <v>301</v>
      </c>
      <c r="F244" s="21" t="str">
        <f t="shared" si="8"/>
        <v>rtdc.l.rtdc.4046:itc</v>
      </c>
      <c r="G244" s="8">
        <f t="shared" si="9"/>
        <v>42698.009652777779</v>
      </c>
    </row>
    <row r="245" spans="1:7" x14ac:dyDescent="0.25">
      <c r="A245" s="8">
        <v>42698.025682870371</v>
      </c>
      <c r="B245" t="s">
        <v>394</v>
      </c>
      <c r="C245" t="s">
        <v>623</v>
      </c>
      <c r="D245">
        <v>2000000</v>
      </c>
      <c r="E245" t="s">
        <v>224</v>
      </c>
      <c r="F245" s="21" t="str">
        <f t="shared" si="8"/>
        <v>rtdc.l.rtdc.4003:itc</v>
      </c>
      <c r="G245" s="8">
        <f t="shared" si="9"/>
        <v>42698.025682870371</v>
      </c>
    </row>
    <row r="246" spans="1:7" x14ac:dyDescent="0.25">
      <c r="A246" s="8">
        <v>42698.026203703703</v>
      </c>
      <c r="B246" t="s">
        <v>156</v>
      </c>
      <c r="C246" t="s">
        <v>430</v>
      </c>
      <c r="D246">
        <v>2440000</v>
      </c>
      <c r="E246" t="s">
        <v>585</v>
      </c>
      <c r="F246" s="21" t="str">
        <f t="shared" si="8"/>
        <v>rtdc.l.rtdc.4051:itc</v>
      </c>
      <c r="G246" s="8">
        <f t="shared" si="9"/>
        <v>42698.026203703703</v>
      </c>
    </row>
    <row r="247" spans="1:7" x14ac:dyDescent="0.25">
      <c r="A247" s="8">
        <v>42698.026365740741</v>
      </c>
      <c r="B247" t="s">
        <v>394</v>
      </c>
      <c r="C247" t="s">
        <v>623</v>
      </c>
      <c r="D247">
        <v>2000000</v>
      </c>
      <c r="E247" t="s">
        <v>224</v>
      </c>
      <c r="F247" s="21" t="str">
        <f t="shared" si="8"/>
        <v>rtdc.l.rtdc.4003:itc</v>
      </c>
      <c r="G247" s="8">
        <f t="shared" si="9"/>
        <v>42698.026365740741</v>
      </c>
    </row>
    <row r="248" spans="1:7" x14ac:dyDescent="0.25">
      <c r="A248" s="8">
        <v>42698.02715277778</v>
      </c>
      <c r="B248" t="s">
        <v>394</v>
      </c>
      <c r="C248" t="s">
        <v>623</v>
      </c>
      <c r="D248">
        <v>2000000</v>
      </c>
      <c r="E248" t="s">
        <v>224</v>
      </c>
      <c r="F248" s="21" t="str">
        <f t="shared" si="8"/>
        <v>rtdc.l.rtdc.4003:itc</v>
      </c>
      <c r="G248" s="8">
        <f t="shared" si="9"/>
        <v>42698.02715277778</v>
      </c>
    </row>
    <row r="249" spans="1:7" x14ac:dyDescent="0.25">
      <c r="A249" s="8">
        <v>42698.035254629627</v>
      </c>
      <c r="B249" t="s">
        <v>396</v>
      </c>
      <c r="C249" t="s">
        <v>624</v>
      </c>
      <c r="D249">
        <v>1300000</v>
      </c>
      <c r="E249" t="s">
        <v>113</v>
      </c>
      <c r="F249" s="21" t="str">
        <f t="shared" si="8"/>
        <v>rtdc.l.rtdc.4026:itc</v>
      </c>
      <c r="G249" s="8">
        <f t="shared" si="9"/>
        <v>42698.035254629627</v>
      </c>
    </row>
    <row r="250" spans="1:7" x14ac:dyDescent="0.25">
      <c r="A250" s="8">
        <v>42698.044363425928</v>
      </c>
      <c r="B250" t="s">
        <v>157</v>
      </c>
      <c r="C250" t="s">
        <v>427</v>
      </c>
      <c r="D250">
        <v>2440000</v>
      </c>
      <c r="E250" t="s">
        <v>585</v>
      </c>
      <c r="F250" s="21" t="str">
        <f t="shared" si="8"/>
        <v>rtdc.l.rtdc.4052:itc</v>
      </c>
      <c r="G250" s="8">
        <f t="shared" si="9"/>
        <v>42698.044363425928</v>
      </c>
    </row>
    <row r="251" spans="1:7" x14ac:dyDescent="0.25">
      <c r="A251" s="8">
        <v>42698.04582175926</v>
      </c>
      <c r="B251" t="s">
        <v>351</v>
      </c>
      <c r="C251" t="s">
        <v>625</v>
      </c>
      <c r="D251">
        <v>2630000</v>
      </c>
      <c r="E251" t="s">
        <v>322</v>
      </c>
      <c r="F251" s="21" t="str">
        <f t="shared" si="8"/>
        <v>rtdc.l.rtdc.4029:itc</v>
      </c>
      <c r="G251" s="8">
        <f t="shared" si="9"/>
        <v>42698.04582175926</v>
      </c>
    </row>
    <row r="252" spans="1:7" x14ac:dyDescent="0.25">
      <c r="A252" s="8">
        <v>42698.054895833331</v>
      </c>
      <c r="B252" t="s">
        <v>281</v>
      </c>
      <c r="C252" t="s">
        <v>432</v>
      </c>
      <c r="D252">
        <v>1290000</v>
      </c>
      <c r="E252" t="s">
        <v>301</v>
      </c>
      <c r="F252" s="21" t="str">
        <f t="shared" si="8"/>
        <v>rtdc.l.rtdc.4045:itc</v>
      </c>
      <c r="G252" s="8">
        <f t="shared" si="9"/>
        <v>42698.054895833331</v>
      </c>
    </row>
    <row r="253" spans="1:7" x14ac:dyDescent="0.25">
      <c r="A253" s="8">
        <v>42698.067395833335</v>
      </c>
      <c r="B253" t="s">
        <v>156</v>
      </c>
      <c r="C253" t="s">
        <v>430</v>
      </c>
      <c r="D253">
        <v>2440000</v>
      </c>
      <c r="E253" t="s">
        <v>585</v>
      </c>
      <c r="F253" s="21" t="str">
        <f t="shared" si="8"/>
        <v>rtdc.l.rtdc.4051:itc</v>
      </c>
      <c r="G253" s="8">
        <f t="shared" si="9"/>
        <v>42698.067395833335</v>
      </c>
    </row>
    <row r="254" spans="1:7" x14ac:dyDescent="0.25">
      <c r="A254" s="8">
        <v>42698.070439814815</v>
      </c>
      <c r="B254" t="s">
        <v>414</v>
      </c>
      <c r="C254" t="s">
        <v>626</v>
      </c>
      <c r="D254">
        <v>1300000</v>
      </c>
      <c r="E254" t="s">
        <v>113</v>
      </c>
      <c r="F254" s="21" t="str">
        <f t="shared" si="8"/>
        <v>rtdc.l.rtdc.4025:itc</v>
      </c>
      <c r="G254" s="8">
        <f t="shared" si="9"/>
        <v>42698.070439814815</v>
      </c>
    </row>
    <row r="255" spans="1:7" x14ac:dyDescent="0.25">
      <c r="A255" s="8">
        <v>42698.075995370367</v>
      </c>
      <c r="B255" t="s">
        <v>281</v>
      </c>
      <c r="C255" t="s">
        <v>432</v>
      </c>
      <c r="D255">
        <v>1290000</v>
      </c>
      <c r="E255" t="s">
        <v>301</v>
      </c>
      <c r="F255" s="21" t="str">
        <f t="shared" si="8"/>
        <v>rtdc.l.rtdc.4045:itc</v>
      </c>
      <c r="G255" s="8">
        <f t="shared" si="9"/>
        <v>42698.075995370367</v>
      </c>
    </row>
    <row r="256" spans="1:7" x14ac:dyDescent="0.25">
      <c r="A256" s="8">
        <v>42698.084062499998</v>
      </c>
      <c r="B256" t="s">
        <v>157</v>
      </c>
      <c r="C256" t="s">
        <v>427</v>
      </c>
      <c r="D256">
        <v>2440000</v>
      </c>
      <c r="E256" t="s">
        <v>585</v>
      </c>
      <c r="F256" s="21" t="str">
        <f t="shared" si="8"/>
        <v>rtdc.l.rtdc.4052:itc</v>
      </c>
      <c r="G256" s="8">
        <f t="shared" si="9"/>
        <v>42698.084062499998</v>
      </c>
    </row>
    <row r="257" spans="1:7" x14ac:dyDescent="0.25">
      <c r="A257" s="8">
        <v>42698.09578703704</v>
      </c>
      <c r="B257" t="s">
        <v>282</v>
      </c>
      <c r="C257" t="s">
        <v>627</v>
      </c>
      <c r="D257">
        <v>1290000</v>
      </c>
      <c r="E257" t="s">
        <v>301</v>
      </c>
      <c r="F257" s="21" t="str">
        <f t="shared" si="8"/>
        <v>rtdc.l.rtdc.4046:itc</v>
      </c>
      <c r="G257" s="8">
        <f t="shared" si="9"/>
        <v>42698.09578703704</v>
      </c>
    </row>
    <row r="258" spans="1:7" x14ac:dyDescent="0.25">
      <c r="A258" s="8">
        <v>42698.096898148149</v>
      </c>
      <c r="B258" t="s">
        <v>282</v>
      </c>
      <c r="C258" t="s">
        <v>627</v>
      </c>
      <c r="D258">
        <v>1290000</v>
      </c>
      <c r="E258" t="s">
        <v>301</v>
      </c>
      <c r="F258" s="21" t="str">
        <f t="shared" si="8"/>
        <v>rtdc.l.rtdc.4046:itc</v>
      </c>
      <c r="G258" s="8">
        <f t="shared" si="9"/>
        <v>42698.096898148149</v>
      </c>
    </row>
    <row r="259" spans="1:7" x14ac:dyDescent="0.25">
      <c r="A259" s="8">
        <v>42698.097696759258</v>
      </c>
      <c r="B259" t="s">
        <v>156</v>
      </c>
      <c r="C259" t="s">
        <v>430</v>
      </c>
      <c r="D259">
        <v>2440000</v>
      </c>
      <c r="E259" t="s">
        <v>585</v>
      </c>
      <c r="F259" s="21" t="str">
        <f t="shared" si="8"/>
        <v>rtdc.l.rtdc.4051:itc</v>
      </c>
      <c r="G259" s="8">
        <f t="shared" si="9"/>
        <v>42698.097696759258</v>
      </c>
    </row>
    <row r="260" spans="1:7" x14ac:dyDescent="0.25">
      <c r="A260" s="8">
        <v>42684.992002314815</v>
      </c>
      <c r="B260" t="s">
        <v>234</v>
      </c>
      <c r="C260" t="s">
        <v>238</v>
      </c>
      <c r="D260">
        <v>2550000</v>
      </c>
      <c r="E260" t="s">
        <v>230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236</v>
      </c>
      <c r="C261" t="s">
        <v>239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228</v>
      </c>
      <c r="C262" t="s">
        <v>240</v>
      </c>
      <c r="D262">
        <v>2420000</v>
      </c>
      <c r="E262" t="s">
        <v>235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215</v>
      </c>
      <c r="C263" t="s">
        <v>241</v>
      </c>
      <c r="D263">
        <v>2000000</v>
      </c>
      <c r="E263" t="s">
        <v>224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233</v>
      </c>
      <c r="C264" t="s">
        <v>242</v>
      </c>
      <c r="D264">
        <v>2550000</v>
      </c>
      <c r="E264" t="s">
        <v>230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237</v>
      </c>
      <c r="C265" t="s">
        <v>243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229</v>
      </c>
      <c r="C266" t="s">
        <v>244</v>
      </c>
      <c r="D266">
        <v>2420000</v>
      </c>
      <c r="E266" t="s">
        <v>235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225</v>
      </c>
      <c r="C267" t="s">
        <v>245</v>
      </c>
      <c r="D267">
        <v>2000000</v>
      </c>
      <c r="E267" t="s">
        <v>224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236</v>
      </c>
      <c r="C268" t="s">
        <v>246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34.93</v>
      </c>
      <c r="B2" s="165">
        <v>0.12</v>
      </c>
      <c r="C2" s="165">
        <v>28.71</v>
      </c>
      <c r="D2" s="8">
        <v>42697</v>
      </c>
      <c r="E2" s="165">
        <v>0.78</v>
      </c>
      <c r="F2" s="165" t="s">
        <v>359</v>
      </c>
      <c r="G2" s="165">
        <v>256.82</v>
      </c>
      <c r="H2" s="165">
        <v>0</v>
      </c>
      <c r="I2" s="165">
        <v>0</v>
      </c>
      <c r="J2" s="165">
        <v>1023.74</v>
      </c>
      <c r="K2" s="165" t="s">
        <v>360</v>
      </c>
      <c r="L2" s="165">
        <v>34.93</v>
      </c>
      <c r="M2" s="165">
        <v>1479884400</v>
      </c>
      <c r="N2" s="165">
        <v>5.56</v>
      </c>
      <c r="O2" s="165">
        <v>176</v>
      </c>
      <c r="P2" s="165">
        <v>2.98</v>
      </c>
      <c r="Q2"/>
      <c r="R2"/>
    </row>
    <row r="3" spans="1:18" x14ac:dyDescent="0.25">
      <c r="A3" s="165">
        <v>33.770000000000003</v>
      </c>
      <c r="B3" s="165">
        <v>0.18</v>
      </c>
      <c r="C3" s="165">
        <v>28.49</v>
      </c>
      <c r="D3" s="8">
        <v>42697.041666666664</v>
      </c>
      <c r="E3" s="165">
        <v>0.81</v>
      </c>
      <c r="F3" s="165" t="s">
        <v>359</v>
      </c>
      <c r="G3" s="165">
        <v>255.37</v>
      </c>
      <c r="H3" s="165">
        <v>0</v>
      </c>
      <c r="I3" s="165">
        <v>0</v>
      </c>
      <c r="J3" s="165">
        <v>1024.19</v>
      </c>
      <c r="K3" s="165" t="s">
        <v>360</v>
      </c>
      <c r="L3" s="165">
        <v>33.770000000000003</v>
      </c>
      <c r="M3" s="165">
        <v>1479888000</v>
      </c>
      <c r="N3" s="165">
        <v>5.25</v>
      </c>
      <c r="O3" s="165">
        <v>171</v>
      </c>
      <c r="P3" s="165">
        <v>2.91</v>
      </c>
      <c r="Q3"/>
      <c r="R3"/>
    </row>
    <row r="4" spans="1:18" x14ac:dyDescent="0.25">
      <c r="A4" s="165">
        <v>32.03</v>
      </c>
      <c r="B4" s="165">
        <v>0.17</v>
      </c>
      <c r="C4" s="165">
        <v>27.28</v>
      </c>
      <c r="D4" s="8">
        <v>42697.083333333336</v>
      </c>
      <c r="E4" s="165">
        <v>0.82</v>
      </c>
      <c r="F4" s="165" t="s">
        <v>359</v>
      </c>
      <c r="G4" s="165">
        <v>253.92</v>
      </c>
      <c r="H4" s="165">
        <v>0</v>
      </c>
      <c r="I4" s="165">
        <v>0</v>
      </c>
      <c r="J4" s="165">
        <v>1024.58</v>
      </c>
      <c r="K4" s="165" t="s">
        <v>360</v>
      </c>
      <c r="L4" s="165">
        <v>32.03</v>
      </c>
      <c r="M4" s="165">
        <v>1479891600</v>
      </c>
      <c r="N4" s="165">
        <v>4.2300000000000004</v>
      </c>
      <c r="O4" s="165">
        <v>185</v>
      </c>
      <c r="P4" s="165">
        <v>2.85</v>
      </c>
      <c r="Q4"/>
      <c r="R4"/>
    </row>
    <row r="5" spans="1:18" x14ac:dyDescent="0.25">
      <c r="A5" s="165">
        <v>31.76</v>
      </c>
      <c r="B5" s="165">
        <v>0.22</v>
      </c>
      <c r="C5" s="165">
        <v>26.9</v>
      </c>
      <c r="D5" s="8">
        <v>42697.125</v>
      </c>
      <c r="E5" s="165">
        <v>0.82</v>
      </c>
      <c r="F5" s="165" t="s">
        <v>359</v>
      </c>
      <c r="G5" s="165">
        <v>252.36</v>
      </c>
      <c r="H5" s="165">
        <v>0</v>
      </c>
      <c r="I5" s="165">
        <v>0</v>
      </c>
      <c r="J5" s="165">
        <v>1024.8699999999999</v>
      </c>
      <c r="K5" s="165" t="s">
        <v>360</v>
      </c>
      <c r="L5" s="165">
        <v>31.76</v>
      </c>
      <c r="M5" s="165">
        <v>1479895200</v>
      </c>
      <c r="N5" s="165">
        <v>3.67</v>
      </c>
      <c r="O5" s="165">
        <v>189</v>
      </c>
      <c r="P5" s="165">
        <v>2.81</v>
      </c>
      <c r="Q5"/>
      <c r="R5"/>
    </row>
    <row r="6" spans="1:18" x14ac:dyDescent="0.25">
      <c r="A6" s="165">
        <v>30.31</v>
      </c>
      <c r="B6" s="165">
        <v>0.28000000000000003</v>
      </c>
      <c r="C6" s="165">
        <v>25.85</v>
      </c>
      <c r="D6" s="8">
        <v>42697.166666666664</v>
      </c>
      <c r="E6" s="165">
        <v>0.83</v>
      </c>
      <c r="F6" s="165" t="s">
        <v>266</v>
      </c>
      <c r="G6" s="165">
        <v>250.79</v>
      </c>
      <c r="H6" s="165">
        <v>0</v>
      </c>
      <c r="I6" s="165">
        <v>0</v>
      </c>
      <c r="J6" s="165">
        <v>1025.02</v>
      </c>
      <c r="K6" s="165" t="s">
        <v>220</v>
      </c>
      <c r="L6" s="165">
        <v>30.31</v>
      </c>
      <c r="M6" s="165">
        <v>1479898800</v>
      </c>
      <c r="N6" s="165">
        <v>3.88</v>
      </c>
      <c r="O6" s="165">
        <v>168</v>
      </c>
      <c r="P6" s="165">
        <v>2.4900000000000002</v>
      </c>
      <c r="Q6"/>
      <c r="R6"/>
    </row>
    <row r="7" spans="1:18" x14ac:dyDescent="0.25">
      <c r="A7" s="165">
        <v>29.13</v>
      </c>
      <c r="B7" s="165">
        <v>0.28999999999999998</v>
      </c>
      <c r="C7" s="165">
        <v>25.03</v>
      </c>
      <c r="D7" s="8">
        <v>42697.208333333336</v>
      </c>
      <c r="E7" s="165">
        <v>0.84</v>
      </c>
      <c r="F7" s="165" t="s">
        <v>266</v>
      </c>
      <c r="G7" s="165">
        <v>249.62</v>
      </c>
      <c r="H7" s="165">
        <v>0</v>
      </c>
      <c r="I7" s="165">
        <v>0</v>
      </c>
      <c r="J7" s="165">
        <v>1024.9000000000001</v>
      </c>
      <c r="K7" s="165" t="s">
        <v>220</v>
      </c>
      <c r="L7" s="165">
        <v>29.13</v>
      </c>
      <c r="M7" s="165">
        <v>1479902400</v>
      </c>
      <c r="N7" s="165">
        <v>5.56</v>
      </c>
      <c r="O7" s="165">
        <v>181</v>
      </c>
      <c r="P7" s="165">
        <v>2.69</v>
      </c>
      <c r="Q7"/>
      <c r="R7"/>
    </row>
    <row r="8" spans="1:18" x14ac:dyDescent="0.25">
      <c r="A8" s="165">
        <v>28.5</v>
      </c>
      <c r="B8" s="165">
        <v>0.18</v>
      </c>
      <c r="C8" s="165">
        <v>24.44</v>
      </c>
      <c r="D8" s="8">
        <v>42697.25</v>
      </c>
      <c r="E8" s="165">
        <v>0.85</v>
      </c>
      <c r="F8" s="165" t="s">
        <v>359</v>
      </c>
      <c r="G8" s="165">
        <v>248.9</v>
      </c>
      <c r="H8" s="165">
        <v>0</v>
      </c>
      <c r="I8" s="165">
        <v>0</v>
      </c>
      <c r="J8" s="165">
        <v>1024.3800000000001</v>
      </c>
      <c r="K8" s="165" t="s">
        <v>360</v>
      </c>
      <c r="L8" s="165">
        <v>28.5</v>
      </c>
      <c r="M8" s="165">
        <v>1479906000</v>
      </c>
      <c r="N8" s="165">
        <v>3.75</v>
      </c>
      <c r="O8" s="165">
        <v>157</v>
      </c>
      <c r="P8" s="165">
        <v>2.33</v>
      </c>
      <c r="Q8"/>
      <c r="R8"/>
    </row>
    <row r="9" spans="1:18" x14ac:dyDescent="0.25">
      <c r="A9" s="165">
        <v>28.41</v>
      </c>
      <c r="B9" s="165">
        <v>0.13</v>
      </c>
      <c r="C9" s="165">
        <v>24.15</v>
      </c>
      <c r="D9" s="8">
        <v>42697.291666666664</v>
      </c>
      <c r="E9" s="165">
        <v>0.84</v>
      </c>
      <c r="F9" s="165" t="s">
        <v>628</v>
      </c>
      <c r="G9" s="165">
        <v>248.57</v>
      </c>
      <c r="H9" s="165">
        <v>0</v>
      </c>
      <c r="I9" s="165">
        <v>0</v>
      </c>
      <c r="J9" s="165">
        <v>1023.53</v>
      </c>
      <c r="K9" s="165" t="s">
        <v>360</v>
      </c>
      <c r="L9" s="165">
        <v>28.41</v>
      </c>
      <c r="M9" s="165">
        <v>1479909600</v>
      </c>
      <c r="N9" s="165">
        <v>3.11</v>
      </c>
      <c r="O9" s="165">
        <v>157</v>
      </c>
      <c r="P9" s="165">
        <v>1.94</v>
      </c>
      <c r="Q9"/>
      <c r="R9"/>
    </row>
    <row r="10" spans="1:18" x14ac:dyDescent="0.25">
      <c r="A10" s="165">
        <v>29.49</v>
      </c>
      <c r="B10" s="165">
        <v>0.09</v>
      </c>
      <c r="C10" s="165">
        <v>25.12</v>
      </c>
      <c r="D10" s="8">
        <v>42697.333333333336</v>
      </c>
      <c r="E10" s="165">
        <v>0.83</v>
      </c>
      <c r="F10" s="165" t="s">
        <v>628</v>
      </c>
      <c r="G10" s="165">
        <v>248.86</v>
      </c>
      <c r="H10" s="165">
        <v>0</v>
      </c>
      <c r="I10" s="165">
        <v>0</v>
      </c>
      <c r="J10" s="165">
        <v>1022.39</v>
      </c>
      <c r="K10" s="165" t="s">
        <v>360</v>
      </c>
      <c r="L10" s="165">
        <v>29.49</v>
      </c>
      <c r="M10" s="165">
        <v>1479913200</v>
      </c>
      <c r="N10" s="165">
        <v>2.91</v>
      </c>
      <c r="O10" s="165">
        <v>217</v>
      </c>
      <c r="P10" s="165">
        <v>1.75</v>
      </c>
      <c r="Q10"/>
      <c r="R10"/>
    </row>
    <row r="11" spans="1:18" x14ac:dyDescent="0.25">
      <c r="A11" s="165">
        <v>33.979999999999997</v>
      </c>
      <c r="B11" s="165">
        <v>0.14000000000000001</v>
      </c>
      <c r="C11" s="165">
        <v>28.2</v>
      </c>
      <c r="D11" s="8">
        <v>42697.375</v>
      </c>
      <c r="E11" s="165">
        <v>0.79</v>
      </c>
      <c r="F11" s="165" t="s">
        <v>628</v>
      </c>
      <c r="G11" s="165">
        <v>250.26</v>
      </c>
      <c r="H11" s="165">
        <v>0</v>
      </c>
      <c r="I11" s="165">
        <v>0</v>
      </c>
      <c r="J11" s="165">
        <v>1020.72</v>
      </c>
      <c r="K11" s="165" t="s">
        <v>360</v>
      </c>
      <c r="L11" s="165">
        <v>33.979999999999997</v>
      </c>
      <c r="M11" s="165">
        <v>1479916800</v>
      </c>
      <c r="N11" s="165">
        <v>2.68</v>
      </c>
      <c r="O11" s="165">
        <v>228</v>
      </c>
      <c r="P11" s="165">
        <v>2.0699999999999998</v>
      </c>
      <c r="Q11"/>
      <c r="R11"/>
    </row>
    <row r="12" spans="1:18" x14ac:dyDescent="0.25">
      <c r="A12" s="165">
        <v>38.46</v>
      </c>
      <c r="B12" s="165">
        <v>0.22</v>
      </c>
      <c r="C12" s="165">
        <v>29.71</v>
      </c>
      <c r="D12" s="8">
        <v>42697.416666666664</v>
      </c>
      <c r="E12" s="165">
        <v>0.71</v>
      </c>
      <c r="F12" s="165" t="s">
        <v>628</v>
      </c>
      <c r="G12" s="165">
        <v>252.27</v>
      </c>
      <c r="H12" s="165">
        <v>0</v>
      </c>
      <c r="I12" s="165">
        <v>0</v>
      </c>
      <c r="J12" s="165">
        <v>1018.87</v>
      </c>
      <c r="K12" s="165" t="s">
        <v>360</v>
      </c>
      <c r="L12" s="165">
        <v>38.46</v>
      </c>
      <c r="M12" s="165">
        <v>1479920400</v>
      </c>
      <c r="N12" s="165">
        <v>2.72</v>
      </c>
      <c r="O12" s="165">
        <v>177</v>
      </c>
      <c r="P12" s="165">
        <v>0.43</v>
      </c>
      <c r="Q12"/>
      <c r="R12"/>
    </row>
    <row r="13" spans="1:18" x14ac:dyDescent="0.25">
      <c r="A13" s="165">
        <v>42.8</v>
      </c>
      <c r="B13" s="165">
        <v>0.24</v>
      </c>
      <c r="C13" s="165">
        <v>27.62</v>
      </c>
      <c r="D13" s="8">
        <v>42697.458333333336</v>
      </c>
      <c r="E13" s="165">
        <v>0.55000000000000004</v>
      </c>
      <c r="F13" s="165" t="s">
        <v>628</v>
      </c>
      <c r="G13" s="165">
        <v>253.66</v>
      </c>
      <c r="H13" s="165">
        <v>0</v>
      </c>
      <c r="I13" s="165">
        <v>0</v>
      </c>
      <c r="J13" s="165">
        <v>1017.06</v>
      </c>
      <c r="K13" s="165" t="s">
        <v>360</v>
      </c>
      <c r="L13" s="165">
        <v>42.8</v>
      </c>
      <c r="M13" s="165">
        <v>1479924000</v>
      </c>
      <c r="N13" s="165">
        <v>2.72</v>
      </c>
      <c r="O13" s="165">
        <v>176</v>
      </c>
      <c r="P13" s="165">
        <v>0.2</v>
      </c>
      <c r="Q13"/>
      <c r="R13"/>
    </row>
    <row r="14" spans="1:18" x14ac:dyDescent="0.25">
      <c r="A14" s="165">
        <v>46.51</v>
      </c>
      <c r="B14" s="165">
        <v>0.26</v>
      </c>
      <c r="C14" s="165">
        <v>25.33</v>
      </c>
      <c r="D14" s="8">
        <v>42697.5</v>
      </c>
      <c r="E14" s="165">
        <v>0.43</v>
      </c>
      <c r="F14" s="165" t="s">
        <v>289</v>
      </c>
      <c r="G14" s="165">
        <v>253.98</v>
      </c>
      <c r="H14" s="165">
        <v>0</v>
      </c>
      <c r="I14" s="165">
        <v>0</v>
      </c>
      <c r="J14" s="165">
        <v>1015.56</v>
      </c>
      <c r="K14" s="165" t="s">
        <v>220</v>
      </c>
      <c r="L14" s="165">
        <v>46.51</v>
      </c>
      <c r="M14" s="165">
        <v>1479927600</v>
      </c>
      <c r="N14" s="165">
        <v>2.72</v>
      </c>
      <c r="O14" s="165">
        <v>35</v>
      </c>
      <c r="P14" s="165">
        <v>1.61</v>
      </c>
      <c r="Q14"/>
      <c r="R14"/>
    </row>
    <row r="15" spans="1:18" x14ac:dyDescent="0.25">
      <c r="A15" s="165">
        <v>48.35</v>
      </c>
      <c r="B15" s="165">
        <v>0.2</v>
      </c>
      <c r="C15" s="165">
        <v>25.1</v>
      </c>
      <c r="D15" s="8">
        <v>42697.541666666664</v>
      </c>
      <c r="E15" s="165">
        <v>0.4</v>
      </c>
      <c r="F15" s="165" t="s">
        <v>628</v>
      </c>
      <c r="G15" s="165">
        <v>253.67</v>
      </c>
      <c r="H15" s="165">
        <v>0</v>
      </c>
      <c r="I15" s="165">
        <v>0</v>
      </c>
      <c r="J15" s="165">
        <v>1014.27</v>
      </c>
      <c r="K15" s="165" t="s">
        <v>360</v>
      </c>
      <c r="L15" s="165">
        <v>48.35</v>
      </c>
      <c r="M15" s="165">
        <v>1479931200</v>
      </c>
      <c r="N15" s="165">
        <v>10</v>
      </c>
      <c r="O15" s="165">
        <v>24</v>
      </c>
      <c r="P15" s="165">
        <v>2.09</v>
      </c>
      <c r="Q15"/>
      <c r="R15"/>
    </row>
    <row r="16" spans="1:18" x14ac:dyDescent="0.25">
      <c r="A16" s="165">
        <v>49.1</v>
      </c>
      <c r="B16" s="165">
        <v>0.16</v>
      </c>
      <c r="C16" s="165">
        <v>26.48</v>
      </c>
      <c r="D16" s="8">
        <v>42697.583333333336</v>
      </c>
      <c r="E16" s="165">
        <v>0.4</v>
      </c>
      <c r="F16" s="165" t="s">
        <v>628</v>
      </c>
      <c r="G16" s="165">
        <v>252.82</v>
      </c>
      <c r="H16" s="165">
        <v>0</v>
      </c>
      <c r="I16" s="165">
        <v>0</v>
      </c>
      <c r="J16" s="165">
        <v>1013.42</v>
      </c>
      <c r="K16" s="165" t="s">
        <v>360</v>
      </c>
      <c r="L16" s="165">
        <v>49.6</v>
      </c>
      <c r="M16" s="165">
        <v>1479934800</v>
      </c>
      <c r="N16" s="165">
        <v>2.74</v>
      </c>
      <c r="O16" s="165">
        <v>25</v>
      </c>
      <c r="P16" s="165">
        <v>3.14</v>
      </c>
      <c r="Q16"/>
      <c r="R16"/>
    </row>
    <row r="17" spans="1:18" x14ac:dyDescent="0.25">
      <c r="A17" s="165">
        <v>48.32</v>
      </c>
      <c r="B17" s="165">
        <v>0.16</v>
      </c>
      <c r="C17" s="165">
        <v>26.08</v>
      </c>
      <c r="D17" s="8">
        <v>42697.625</v>
      </c>
      <c r="E17" s="165">
        <v>0.41</v>
      </c>
      <c r="F17" s="165" t="s">
        <v>628</v>
      </c>
      <c r="G17" s="165">
        <v>251.08</v>
      </c>
      <c r="H17" s="165">
        <v>0</v>
      </c>
      <c r="I17" s="165">
        <v>0</v>
      </c>
      <c r="J17" s="165">
        <v>1013.16</v>
      </c>
      <c r="K17" s="165" t="s">
        <v>360</v>
      </c>
      <c r="L17" s="165">
        <v>48.91</v>
      </c>
      <c r="M17" s="165">
        <v>1479938400</v>
      </c>
      <c r="N17" s="165">
        <v>2.84</v>
      </c>
      <c r="O17" s="165">
        <v>21</v>
      </c>
      <c r="P17" s="165">
        <v>3.13</v>
      </c>
      <c r="Q17"/>
      <c r="R17"/>
    </row>
    <row r="18" spans="1:18" x14ac:dyDescent="0.25">
      <c r="A18" s="165">
        <v>47.77</v>
      </c>
      <c r="B18" s="165">
        <v>0.19</v>
      </c>
      <c r="C18" s="165">
        <v>26.45</v>
      </c>
      <c r="D18" s="8">
        <v>42697.666666666664</v>
      </c>
      <c r="E18" s="165">
        <v>0.43</v>
      </c>
      <c r="F18" s="165" t="s">
        <v>628</v>
      </c>
      <c r="G18" s="165">
        <v>248.81</v>
      </c>
      <c r="H18" s="165">
        <v>0</v>
      </c>
      <c r="I18" s="165">
        <v>0</v>
      </c>
      <c r="J18" s="165">
        <v>1013.36</v>
      </c>
      <c r="K18" s="165" t="s">
        <v>360</v>
      </c>
      <c r="L18" s="165">
        <v>47.77</v>
      </c>
      <c r="M18" s="165">
        <v>1479942000</v>
      </c>
      <c r="N18" s="165">
        <v>4.97</v>
      </c>
      <c r="O18" s="165">
        <v>13</v>
      </c>
      <c r="P18" s="165">
        <v>2.7</v>
      </c>
      <c r="Q18"/>
      <c r="R18"/>
    </row>
    <row r="19" spans="1:18" x14ac:dyDescent="0.25">
      <c r="A19" s="165">
        <v>42.59</v>
      </c>
      <c r="B19" s="165">
        <v>0.14000000000000001</v>
      </c>
      <c r="C19" s="165">
        <v>25.41</v>
      </c>
      <c r="D19" s="8">
        <v>42697.708333333336</v>
      </c>
      <c r="E19" s="165">
        <v>0.48</v>
      </c>
      <c r="F19" s="165" t="s">
        <v>359</v>
      </c>
      <c r="G19" s="165">
        <v>247.12</v>
      </c>
      <c r="H19" s="165">
        <v>0</v>
      </c>
      <c r="I19" s="165">
        <v>0</v>
      </c>
      <c r="J19" s="165">
        <v>1013.58</v>
      </c>
      <c r="K19" s="165" t="s">
        <v>360</v>
      </c>
      <c r="L19" s="165">
        <v>43.83</v>
      </c>
      <c r="M19" s="165">
        <v>1479945600</v>
      </c>
      <c r="N19" s="165">
        <v>5.43</v>
      </c>
      <c r="O19" s="165">
        <v>359</v>
      </c>
      <c r="P19" s="165">
        <v>3.1</v>
      </c>
      <c r="Q19"/>
      <c r="R19"/>
    </row>
    <row r="20" spans="1:18" x14ac:dyDescent="0.25">
      <c r="A20" s="165">
        <v>40.29</v>
      </c>
      <c r="B20" s="165">
        <v>0.1</v>
      </c>
      <c r="C20" s="165">
        <v>24.76</v>
      </c>
      <c r="D20" s="8">
        <v>42697.75</v>
      </c>
      <c r="E20" s="165">
        <v>0.54</v>
      </c>
      <c r="F20" s="165" t="s">
        <v>359</v>
      </c>
      <c r="G20" s="165">
        <v>246.38</v>
      </c>
      <c r="H20" s="165">
        <v>0</v>
      </c>
      <c r="I20" s="165">
        <v>0</v>
      </c>
      <c r="J20" s="165">
        <v>1014.11</v>
      </c>
      <c r="K20" s="165" t="s">
        <v>360</v>
      </c>
      <c r="L20" s="165">
        <v>40.29</v>
      </c>
      <c r="M20" s="165">
        <v>1479949200</v>
      </c>
      <c r="N20" s="165">
        <v>6.11</v>
      </c>
      <c r="O20" s="165">
        <v>346</v>
      </c>
      <c r="P20" s="165">
        <v>1.73</v>
      </c>
      <c r="Q20"/>
      <c r="R20"/>
    </row>
    <row r="21" spans="1:18" x14ac:dyDescent="0.25">
      <c r="A21" s="165">
        <v>38.32</v>
      </c>
      <c r="B21" s="165">
        <v>7.0000000000000007E-2</v>
      </c>
      <c r="C21" s="165">
        <v>25.91</v>
      </c>
      <c r="D21" s="8">
        <v>42697.791666666664</v>
      </c>
      <c r="E21" s="165">
        <v>0.61</v>
      </c>
      <c r="F21" s="165" t="s">
        <v>359</v>
      </c>
      <c r="G21" s="165">
        <v>246.23</v>
      </c>
      <c r="H21" s="165">
        <v>0</v>
      </c>
      <c r="I21" s="165">
        <v>0</v>
      </c>
      <c r="J21" s="165">
        <v>1014.83</v>
      </c>
      <c r="K21" s="165" t="s">
        <v>360</v>
      </c>
      <c r="L21" s="165">
        <v>38.32</v>
      </c>
      <c r="M21" s="165">
        <v>1479952800</v>
      </c>
      <c r="N21" s="165">
        <v>7.05</v>
      </c>
      <c r="O21" s="165">
        <v>319</v>
      </c>
      <c r="P21" s="165">
        <v>0.71</v>
      </c>
      <c r="Q21"/>
      <c r="R21"/>
    </row>
    <row r="22" spans="1:18" x14ac:dyDescent="0.25">
      <c r="A22" s="165">
        <v>36.75</v>
      </c>
      <c r="B22" s="165">
        <v>0.05</v>
      </c>
      <c r="C22" s="165">
        <v>26.81</v>
      </c>
      <c r="D22" s="8">
        <v>42697.833333333336</v>
      </c>
      <c r="E22" s="165">
        <v>0.67</v>
      </c>
      <c r="F22" s="165" t="s">
        <v>359</v>
      </c>
      <c r="G22" s="165">
        <v>246.67</v>
      </c>
      <c r="H22" s="165">
        <v>0</v>
      </c>
      <c r="I22" s="165">
        <v>0</v>
      </c>
      <c r="J22" s="165">
        <v>1015.47</v>
      </c>
      <c r="K22" s="165" t="s">
        <v>360</v>
      </c>
      <c r="L22" s="165">
        <v>36.75</v>
      </c>
      <c r="M22" s="165">
        <v>1479956400</v>
      </c>
      <c r="N22" s="165">
        <v>6.91</v>
      </c>
      <c r="O22" s="165">
        <v>265</v>
      </c>
      <c r="P22" s="165">
        <v>1.47</v>
      </c>
      <c r="Q22"/>
      <c r="R22"/>
    </row>
    <row r="23" spans="1:18" x14ac:dyDescent="0.25">
      <c r="A23" s="165">
        <v>35.51</v>
      </c>
      <c r="B23" s="165">
        <v>0.08</v>
      </c>
      <c r="C23" s="165">
        <v>26.94</v>
      </c>
      <c r="D23" s="8">
        <v>42697.875</v>
      </c>
      <c r="E23" s="165">
        <v>0.71</v>
      </c>
      <c r="F23" s="165" t="s">
        <v>359</v>
      </c>
      <c r="G23" s="165">
        <v>247.91</v>
      </c>
      <c r="H23" s="165">
        <v>0</v>
      </c>
      <c r="I23" s="165">
        <v>0</v>
      </c>
      <c r="J23" s="165">
        <v>1015.82</v>
      </c>
      <c r="K23" s="165" t="s">
        <v>360</v>
      </c>
      <c r="L23" s="165">
        <v>35.51</v>
      </c>
      <c r="M23" s="165">
        <v>1479960000</v>
      </c>
      <c r="N23" s="165">
        <v>6.42</v>
      </c>
      <c r="O23" s="165">
        <v>310</v>
      </c>
      <c r="P23" s="165">
        <v>1.36</v>
      </c>
      <c r="Q23"/>
      <c r="R23"/>
    </row>
    <row r="24" spans="1:18" x14ac:dyDescent="0.25">
      <c r="A24" s="165">
        <v>34.200000000000003</v>
      </c>
      <c r="B24" s="165">
        <v>0.11</v>
      </c>
      <c r="C24" s="165">
        <v>26.39</v>
      </c>
      <c r="D24" s="8">
        <v>42697.916666666664</v>
      </c>
      <c r="E24" s="165">
        <v>0.73</v>
      </c>
      <c r="F24" s="165" t="s">
        <v>359</v>
      </c>
      <c r="G24" s="165">
        <v>249.75</v>
      </c>
      <c r="H24" s="165">
        <v>0</v>
      </c>
      <c r="I24" s="165">
        <v>0</v>
      </c>
      <c r="J24" s="165">
        <v>1015.98</v>
      </c>
      <c r="K24" s="165" t="s">
        <v>360</v>
      </c>
      <c r="L24" s="165">
        <v>34.200000000000003</v>
      </c>
      <c r="M24" s="165">
        <v>1479963600</v>
      </c>
      <c r="N24" s="165">
        <v>6.67</v>
      </c>
      <c r="O24" s="165">
        <v>305</v>
      </c>
      <c r="P24" s="165">
        <v>1.74</v>
      </c>
      <c r="Q24"/>
      <c r="R24"/>
    </row>
    <row r="25" spans="1:18" x14ac:dyDescent="0.25">
      <c r="A25" s="165">
        <v>32.83</v>
      </c>
      <c r="B25" s="165">
        <v>0.14000000000000001</v>
      </c>
      <c r="C25" s="165">
        <v>25.51</v>
      </c>
      <c r="D25" s="8">
        <v>42697.958333333336</v>
      </c>
      <c r="E25" s="165">
        <v>0.74</v>
      </c>
      <c r="F25" s="165" t="s">
        <v>359</v>
      </c>
      <c r="G25" s="165">
        <v>251.62</v>
      </c>
      <c r="H25" s="165">
        <v>0</v>
      </c>
      <c r="I25" s="165">
        <v>0</v>
      </c>
      <c r="J25" s="165">
        <v>1016.13</v>
      </c>
      <c r="K25" s="165" t="s">
        <v>360</v>
      </c>
      <c r="L25" s="165">
        <v>32.83</v>
      </c>
      <c r="M25" s="165">
        <v>1479967200</v>
      </c>
      <c r="N25" s="165">
        <v>7.29</v>
      </c>
      <c r="O25" s="165">
        <v>275</v>
      </c>
      <c r="P25" s="165">
        <v>1.1499999999999999</v>
      </c>
      <c r="Q25"/>
      <c r="R25"/>
    </row>
    <row r="26" spans="1:18" x14ac:dyDescent="0.25">
      <c r="A26" s="165">
        <v>32.770000000000003</v>
      </c>
      <c r="B26" s="165">
        <v>0.15</v>
      </c>
      <c r="C26" s="165">
        <v>25.82</v>
      </c>
      <c r="D26" s="8">
        <v>42698</v>
      </c>
      <c r="E26" s="165">
        <v>0.75</v>
      </c>
      <c r="F26" s="165" t="s">
        <v>359</v>
      </c>
      <c r="G26" s="165">
        <v>253.35</v>
      </c>
      <c r="H26" s="165">
        <v>0</v>
      </c>
      <c r="I26" s="165">
        <v>0</v>
      </c>
      <c r="J26" s="165">
        <v>1016.43</v>
      </c>
      <c r="K26" s="165" t="s">
        <v>360</v>
      </c>
      <c r="L26" s="165">
        <v>32.770000000000003</v>
      </c>
      <c r="M26" s="165">
        <v>1479970800</v>
      </c>
      <c r="N26" s="165">
        <v>7.22</v>
      </c>
      <c r="O26" s="165">
        <v>261</v>
      </c>
      <c r="P26" s="165">
        <v>1.34</v>
      </c>
      <c r="Q26"/>
      <c r="R26"/>
    </row>
    <row r="27" spans="1:18" x14ac:dyDescent="0.25">
      <c r="A27" s="165">
        <v>31.54</v>
      </c>
      <c r="B27" s="165">
        <v>0.08</v>
      </c>
      <c r="C27" s="165">
        <v>25.42</v>
      </c>
      <c r="D27" s="8">
        <v>42698.041666666664</v>
      </c>
      <c r="E27" s="165">
        <v>0.78</v>
      </c>
      <c r="F27" s="165" t="s">
        <v>359</v>
      </c>
      <c r="G27" s="165">
        <v>255.09</v>
      </c>
      <c r="H27" s="165">
        <v>0</v>
      </c>
      <c r="I27" s="165">
        <v>0</v>
      </c>
      <c r="J27" s="165">
        <v>1016.74</v>
      </c>
      <c r="K27" s="165" t="s">
        <v>360</v>
      </c>
      <c r="L27" s="165">
        <v>31.54</v>
      </c>
      <c r="M27" s="165">
        <v>1479974400</v>
      </c>
      <c r="N27" s="165">
        <v>7.33</v>
      </c>
      <c r="O27" s="165">
        <v>220</v>
      </c>
      <c r="P27" s="165">
        <v>1.69</v>
      </c>
      <c r="Q27"/>
      <c r="R27"/>
    </row>
    <row r="28" spans="1:18" x14ac:dyDescent="0.25">
      <c r="A28" s="165">
        <v>31.99</v>
      </c>
      <c r="B28" s="165">
        <v>0.03</v>
      </c>
      <c r="C28" s="165">
        <v>26.07</v>
      </c>
      <c r="D28" s="8">
        <v>42698.083333333336</v>
      </c>
      <c r="E28" s="165">
        <v>0.78</v>
      </c>
      <c r="F28" s="165" t="s">
        <v>359</v>
      </c>
      <c r="G28" s="165">
        <v>256.83</v>
      </c>
      <c r="H28" s="165">
        <v>0</v>
      </c>
      <c r="I28" s="165">
        <v>0</v>
      </c>
      <c r="J28" s="165">
        <v>1017.07</v>
      </c>
      <c r="K28" s="165" t="s">
        <v>360</v>
      </c>
      <c r="L28" s="165">
        <v>31.99</v>
      </c>
      <c r="M28" s="165">
        <v>1479978000</v>
      </c>
      <c r="N28" s="165">
        <v>6.7</v>
      </c>
      <c r="O28" s="165">
        <v>253</v>
      </c>
      <c r="P28" s="165">
        <v>2.11</v>
      </c>
      <c r="Q28"/>
      <c r="R28"/>
    </row>
    <row r="29" spans="1:18" x14ac:dyDescent="0.25">
      <c r="A29" s="165">
        <v>31.5</v>
      </c>
      <c r="B29" s="165">
        <v>0.04</v>
      </c>
      <c r="C29" s="165">
        <v>25.91</v>
      </c>
      <c r="D29" s="8">
        <v>42698.125</v>
      </c>
      <c r="E29" s="165">
        <v>0.8</v>
      </c>
      <c r="F29" s="165" t="s">
        <v>359</v>
      </c>
      <c r="G29" s="165">
        <v>258.74</v>
      </c>
      <c r="H29" s="165">
        <v>0</v>
      </c>
      <c r="I29" s="165">
        <v>0</v>
      </c>
      <c r="J29" s="165">
        <v>1017.7</v>
      </c>
      <c r="K29" s="165" t="s">
        <v>360</v>
      </c>
      <c r="L29" s="165">
        <v>31.5</v>
      </c>
      <c r="M29" s="165">
        <v>1479981600</v>
      </c>
      <c r="N29" s="165">
        <v>5.9</v>
      </c>
      <c r="O29" s="165">
        <v>243</v>
      </c>
      <c r="P29" s="165">
        <v>1.83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67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821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822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822</v>
      </c>
      <c r="J20" t="s">
        <v>87</v>
      </c>
      <c r="M20" s="68" t="s">
        <v>849</v>
      </c>
    </row>
    <row r="21" spans="3:13" x14ac:dyDescent="0.25">
      <c r="C21" t="s">
        <v>823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823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824</v>
      </c>
      <c r="J23" s="29" t="s">
        <v>95</v>
      </c>
      <c r="K23" s="21"/>
      <c r="M23" s="69">
        <v>-7</v>
      </c>
    </row>
    <row r="24" spans="3:13" x14ac:dyDescent="0.25">
      <c r="C24" t="s">
        <v>824</v>
      </c>
      <c r="J24" s="21" t="s">
        <v>108</v>
      </c>
      <c r="K24" s="21"/>
      <c r="M24" s="68" t="s">
        <v>110</v>
      </c>
    </row>
    <row r="25" spans="3:13" x14ac:dyDescent="0.25">
      <c r="C25" t="s">
        <v>825</v>
      </c>
      <c r="J25" t="s">
        <v>151</v>
      </c>
      <c r="M25" s="68" t="b">
        <v>1</v>
      </c>
    </row>
    <row r="26" spans="3:13" x14ac:dyDescent="0.25">
      <c r="C26" t="s">
        <v>825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C:\Users\stu\Documents\GitHub\eaglep3-reporting\EC\2016-11-23-refined-times.txt</v>
      </c>
    </row>
    <row r="27" spans="3:13" x14ac:dyDescent="0.25">
      <c r="C27" t="s">
        <v>826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C:\Users\stu\Documents\GitHub\eaglep3-reporting\EC\2016-11-23-Enforcements.txt</v>
      </c>
    </row>
    <row r="28" spans="3:13" x14ac:dyDescent="0.25">
      <c r="C28" t="s">
        <v>825</v>
      </c>
      <c r="J28" t="s">
        <v>193</v>
      </c>
      <c r="M28" s="106" t="str">
        <f>"C:\Users\stu\Documents\GitHub\eaglep3-reporting\EC\"&amp;TEXT(A2,"YYYY-MM-DD")&amp;"-Runs.txt"</f>
        <v>C:\Users\stu\Documents\GitHub\eaglep3-reporting\EC\2016-11-23-Runs.txt</v>
      </c>
    </row>
    <row r="29" spans="3:13" x14ac:dyDescent="0.25">
      <c r="C29" t="s">
        <v>825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C:\Users\stu\Documents\GitHub\eaglep3-reporting\EC\2016-11-23-Trips.txt</v>
      </c>
    </row>
    <row r="30" spans="3:13" x14ac:dyDescent="0.25">
      <c r="C30" t="s">
        <v>825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C:\Users\stu\Documents\GitHub\eaglep3-reporting\EC\2016-11-23-Weather.txt</v>
      </c>
    </row>
    <row r="31" spans="3:13" x14ac:dyDescent="0.25">
      <c r="C31" t="s">
        <v>827</v>
      </c>
    </row>
    <row r="32" spans="3:13" x14ac:dyDescent="0.25">
      <c r="C32" t="s">
        <v>827</v>
      </c>
    </row>
    <row r="33" spans="3:3" x14ac:dyDescent="0.25">
      <c r="C33" t="s">
        <v>828</v>
      </c>
    </row>
    <row r="34" spans="3:3" x14ac:dyDescent="0.25">
      <c r="C34" t="s">
        <v>822</v>
      </c>
    </row>
    <row r="35" spans="3:3" x14ac:dyDescent="0.25">
      <c r="C35" t="s">
        <v>825</v>
      </c>
    </row>
    <row r="36" spans="3:3" x14ac:dyDescent="0.25">
      <c r="C36" t="s">
        <v>821</v>
      </c>
    </row>
    <row r="37" spans="3:3" x14ac:dyDescent="0.25">
      <c r="C37" t="s">
        <v>825</v>
      </c>
    </row>
    <row r="38" spans="3:3" x14ac:dyDescent="0.25">
      <c r="C38" t="s">
        <v>821</v>
      </c>
    </row>
    <row r="39" spans="3:3" x14ac:dyDescent="0.25">
      <c r="C39" t="s">
        <v>826</v>
      </c>
    </row>
    <row r="40" spans="3:3" x14ac:dyDescent="0.25">
      <c r="C40" t="s">
        <v>821</v>
      </c>
    </row>
    <row r="41" spans="3:3" x14ac:dyDescent="0.25">
      <c r="C41" t="s">
        <v>826</v>
      </c>
    </row>
    <row r="42" spans="3:3" x14ac:dyDescent="0.25">
      <c r="C42" t="s">
        <v>826</v>
      </c>
    </row>
    <row r="43" spans="3:3" x14ac:dyDescent="0.25">
      <c r="C43" t="s">
        <v>829</v>
      </c>
    </row>
    <row r="44" spans="3:3" x14ac:dyDescent="0.25">
      <c r="C44" t="s">
        <v>823</v>
      </c>
    </row>
    <row r="45" spans="3:3" x14ac:dyDescent="0.25">
      <c r="C45" t="s">
        <v>823</v>
      </c>
    </row>
    <row r="46" spans="3:3" x14ac:dyDescent="0.25">
      <c r="C46" t="s">
        <v>827</v>
      </c>
    </row>
    <row r="47" spans="3:3" x14ac:dyDescent="0.25">
      <c r="C47" t="s">
        <v>825</v>
      </c>
    </row>
    <row r="48" spans="3:3" x14ac:dyDescent="0.25">
      <c r="C48" t="s">
        <v>823</v>
      </c>
    </row>
    <row r="49" spans="3:3" x14ac:dyDescent="0.25">
      <c r="C49" t="s">
        <v>823</v>
      </c>
    </row>
    <row r="50" spans="3:3" x14ac:dyDescent="0.25">
      <c r="C50" t="s">
        <v>830</v>
      </c>
    </row>
    <row r="51" spans="3:3" x14ac:dyDescent="0.25">
      <c r="C51" t="s">
        <v>831</v>
      </c>
    </row>
    <row r="52" spans="3:3" x14ac:dyDescent="0.25">
      <c r="C52" t="s">
        <v>832</v>
      </c>
    </row>
    <row r="53" spans="3:3" x14ac:dyDescent="0.25">
      <c r="C53" t="s">
        <v>830</v>
      </c>
    </row>
    <row r="54" spans="3:3" x14ac:dyDescent="0.25">
      <c r="C54" t="s">
        <v>833</v>
      </c>
    </row>
    <row r="55" spans="3:3" x14ac:dyDescent="0.25">
      <c r="C55" t="s">
        <v>821</v>
      </c>
    </row>
    <row r="56" spans="3:3" x14ac:dyDescent="0.25">
      <c r="C56" t="s">
        <v>821</v>
      </c>
    </row>
    <row r="57" spans="3:3" x14ac:dyDescent="0.25">
      <c r="C57" t="s">
        <v>834</v>
      </c>
    </row>
    <row r="58" spans="3:3" x14ac:dyDescent="0.25">
      <c r="C58" t="s">
        <v>821</v>
      </c>
    </row>
    <row r="59" spans="3:3" x14ac:dyDescent="0.25">
      <c r="C59" t="s">
        <v>835</v>
      </c>
    </row>
    <row r="60" spans="3:3" x14ac:dyDescent="0.25">
      <c r="C60" t="s">
        <v>836</v>
      </c>
    </row>
    <row r="61" spans="3:3" x14ac:dyDescent="0.25">
      <c r="C61" t="s">
        <v>836</v>
      </c>
    </row>
    <row r="62" spans="3:3" x14ac:dyDescent="0.25">
      <c r="C62" t="s">
        <v>837</v>
      </c>
    </row>
    <row r="63" spans="3:3" x14ac:dyDescent="0.25">
      <c r="C63" t="s">
        <v>835</v>
      </c>
    </row>
    <row r="64" spans="3:3" x14ac:dyDescent="0.25">
      <c r="C64" t="s">
        <v>835</v>
      </c>
    </row>
    <row r="65" spans="3:3" x14ac:dyDescent="0.25">
      <c r="C65" t="s">
        <v>835</v>
      </c>
    </row>
    <row r="66" spans="3:3" x14ac:dyDescent="0.25">
      <c r="C66" t="s">
        <v>828</v>
      </c>
    </row>
    <row r="67" spans="3:3" x14ac:dyDescent="0.25">
      <c r="C67" t="s">
        <v>828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C77" sqref="C7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861</v>
      </c>
      <c r="B1" t="str">
        <f t="shared" ref="B1:B64" si="0">MID(A1,6,23)</f>
        <v>2016/11/23 10:00:55.992</v>
      </c>
      <c r="C1" t="e">
        <f>ABS(B1-#REF!)</f>
        <v>#REF!</v>
      </c>
    </row>
    <row r="2" spans="1:3" x14ac:dyDescent="0.25">
      <c r="A2" t="s">
        <v>862</v>
      </c>
      <c r="B2" s="21" t="str">
        <f t="shared" si="0"/>
        <v>2016/11/23 10:00:56.428</v>
      </c>
      <c r="C2">
        <f>ABS(B2-B1)</f>
        <v>5.0462913350202143E-6</v>
      </c>
    </row>
    <row r="3" spans="1:3" x14ac:dyDescent="0.25">
      <c r="A3" t="s">
        <v>863</v>
      </c>
      <c r="B3" s="21" t="str">
        <f t="shared" si="0"/>
        <v>2016/11/23 10:00:57.434</v>
      </c>
      <c r="C3" s="21">
        <f t="shared" ref="C3:C66" si="1">ABS(B3-B2)</f>
        <v>1.1643518519122154E-5</v>
      </c>
    </row>
    <row r="4" spans="1:3" x14ac:dyDescent="0.25">
      <c r="A4" t="s">
        <v>864</v>
      </c>
      <c r="B4" s="21" t="str">
        <f t="shared" si="0"/>
        <v>2016/11/23 10:02:35.001</v>
      </c>
      <c r="C4" s="21">
        <f t="shared" si="1"/>
        <v>1.1292476847302169E-3</v>
      </c>
    </row>
    <row r="5" spans="1:3" x14ac:dyDescent="0.25">
      <c r="A5" t="s">
        <v>865</v>
      </c>
      <c r="B5" s="21" t="str">
        <f t="shared" si="0"/>
        <v>2016/11/23 10:02:35.382</v>
      </c>
      <c r="C5" s="21">
        <f t="shared" si="1"/>
        <v>4.4097250793129206E-6</v>
      </c>
    </row>
    <row r="6" spans="1:3" x14ac:dyDescent="0.25">
      <c r="A6" t="s">
        <v>866</v>
      </c>
      <c r="B6" s="21" t="str">
        <f t="shared" si="0"/>
        <v>2016/11/23 10:02:35.422</v>
      </c>
      <c r="C6" s="21">
        <f t="shared" si="1"/>
        <v>4.6296190703287721E-7</v>
      </c>
    </row>
    <row r="7" spans="1:3" x14ac:dyDescent="0.25">
      <c r="A7" t="s">
        <v>867</v>
      </c>
      <c r="B7" s="21" t="str">
        <f t="shared" si="0"/>
        <v>2016/11/23 10:32:20.305</v>
      </c>
      <c r="C7" s="21">
        <f t="shared" si="1"/>
        <v>2.0658368055592291E-2</v>
      </c>
    </row>
    <row r="8" spans="1:3" x14ac:dyDescent="0.25">
      <c r="A8" t="s">
        <v>868</v>
      </c>
      <c r="B8" s="21" t="str">
        <f t="shared" si="0"/>
        <v>2016/11/23 10:32:20.500</v>
      </c>
      <c r="C8" s="21">
        <f t="shared" si="1"/>
        <v>2.2569438442587852E-6</v>
      </c>
    </row>
    <row r="9" spans="1:3" x14ac:dyDescent="0.25">
      <c r="A9" t="s">
        <v>869</v>
      </c>
      <c r="B9" s="21" t="str">
        <f t="shared" si="0"/>
        <v>2016/11/23 10:32:20.706</v>
      </c>
      <c r="C9" s="21">
        <f t="shared" si="1"/>
        <v>2.3842585505917668E-6</v>
      </c>
    </row>
    <row r="10" spans="1:3" x14ac:dyDescent="0.25">
      <c r="A10" t="s">
        <v>870</v>
      </c>
      <c r="B10" s="21" t="str">
        <f t="shared" si="0"/>
        <v>2016/11/23 10:32:55.320</v>
      </c>
      <c r="C10" s="21">
        <f t="shared" si="1"/>
        <v>4.0062500193016604E-4</v>
      </c>
    </row>
    <row r="11" spans="1:3" x14ac:dyDescent="0.25">
      <c r="A11" t="s">
        <v>871</v>
      </c>
      <c r="B11" s="21" t="str">
        <f t="shared" si="0"/>
        <v>2016/11/23 12:20:24.601</v>
      </c>
      <c r="C11" s="21">
        <f t="shared" si="1"/>
        <v>7.4644456020905636E-2</v>
      </c>
    </row>
    <row r="12" spans="1:3" x14ac:dyDescent="0.25">
      <c r="A12" t="s">
        <v>872</v>
      </c>
      <c r="B12" s="21" t="str">
        <f t="shared" si="0"/>
        <v>2016/11/23 12:20:25.121</v>
      </c>
      <c r="C12" s="21">
        <f t="shared" si="1"/>
        <v>6.0185193433426321E-6</v>
      </c>
    </row>
    <row r="13" spans="1:3" x14ac:dyDescent="0.25">
      <c r="A13" t="s">
        <v>873</v>
      </c>
      <c r="B13" s="21" t="str">
        <f t="shared" si="0"/>
        <v>2016/11/23 13:23:18.388</v>
      </c>
      <c r="C13" s="21">
        <f t="shared" si="1"/>
        <v>4.367207175528165E-2</v>
      </c>
    </row>
    <row r="14" spans="1:3" x14ac:dyDescent="0.25">
      <c r="A14" t="s">
        <v>874</v>
      </c>
      <c r="B14" s="21" t="str">
        <f t="shared" si="0"/>
        <v>2016/11/23 13:23:18.954</v>
      </c>
      <c r="C14" s="21">
        <f t="shared" si="1"/>
        <v>6.5509302658028901E-6</v>
      </c>
    </row>
    <row r="15" spans="1:3" x14ac:dyDescent="0.25">
      <c r="A15" t="s">
        <v>875</v>
      </c>
      <c r="B15" s="21" t="str">
        <f t="shared" si="0"/>
        <v>2016/11/23 14:13:29.710</v>
      </c>
      <c r="C15" s="21">
        <f t="shared" si="1"/>
        <v>3.4846712958824355E-2</v>
      </c>
    </row>
    <row r="16" spans="1:3" x14ac:dyDescent="0.25">
      <c r="A16" t="s">
        <v>876</v>
      </c>
      <c r="B16" s="21" t="str">
        <f t="shared" si="0"/>
        <v>2016/11/23 14:13:30.407</v>
      </c>
      <c r="C16" s="21">
        <f t="shared" si="1"/>
        <v>8.0671306932345033E-6</v>
      </c>
    </row>
    <row r="17" spans="1:3" x14ac:dyDescent="0.25">
      <c r="A17" t="s">
        <v>877</v>
      </c>
      <c r="B17" s="21" t="str">
        <f t="shared" si="0"/>
        <v>2016/11/23 14:13:30.811</v>
      </c>
      <c r="C17" s="21">
        <f t="shared" si="1"/>
        <v>4.6759232645854354E-6</v>
      </c>
    </row>
    <row r="18" spans="1:3" x14ac:dyDescent="0.25">
      <c r="A18" t="s">
        <v>878</v>
      </c>
      <c r="B18" s="21" t="str">
        <f t="shared" si="0"/>
        <v>2016/11/23 14:28:43.826</v>
      </c>
      <c r="C18" s="21">
        <f t="shared" si="1"/>
        <v>1.056730324489763E-2</v>
      </c>
    </row>
    <row r="19" spans="1:3" x14ac:dyDescent="0.25">
      <c r="A19" t="s">
        <v>879</v>
      </c>
      <c r="B19" s="21" t="str">
        <f t="shared" si="0"/>
        <v>2016/11/23 14:28:44.125</v>
      </c>
      <c r="C19" s="21">
        <f t="shared" si="1"/>
        <v>3.4606491681188345E-6</v>
      </c>
    </row>
    <row r="20" spans="1:3" x14ac:dyDescent="0.25">
      <c r="A20" t="s">
        <v>880</v>
      </c>
      <c r="B20" s="21" t="str">
        <f t="shared" si="0"/>
        <v>2016/11/23 14:50:30.992</v>
      </c>
      <c r="C20" s="21">
        <f t="shared" si="1"/>
        <v>1.5125775462365709E-2</v>
      </c>
    </row>
    <row r="21" spans="1:3" x14ac:dyDescent="0.25">
      <c r="A21" t="s">
        <v>881</v>
      </c>
      <c r="B21" s="21" t="str">
        <f t="shared" si="0"/>
        <v>2016/11/23 14:50:31.148</v>
      </c>
      <c r="C21" s="21">
        <f t="shared" si="1"/>
        <v>1.8055507098324597E-6</v>
      </c>
    </row>
    <row r="22" spans="1:3" x14ac:dyDescent="0.25">
      <c r="A22" t="s">
        <v>882</v>
      </c>
      <c r="B22" s="21" t="str">
        <f t="shared" si="0"/>
        <v>2016/11/23 15:50:48.154</v>
      </c>
      <c r="C22" s="21">
        <f t="shared" si="1"/>
        <v>4.186349537485512E-2</v>
      </c>
    </row>
    <row r="23" spans="1:3" x14ac:dyDescent="0.25">
      <c r="A23" t="s">
        <v>883</v>
      </c>
      <c r="B23" s="21" t="str">
        <f t="shared" si="0"/>
        <v>2016/11/23 16:04:21.602</v>
      </c>
      <c r="C23" s="21">
        <f t="shared" si="1"/>
        <v>9.4149074066081084E-3</v>
      </c>
    </row>
    <row r="24" spans="1:3" x14ac:dyDescent="0.25">
      <c r="A24" t="s">
        <v>884</v>
      </c>
      <c r="B24" s="21" t="str">
        <f t="shared" si="0"/>
        <v>2016/11/23 16:04:22.119</v>
      </c>
      <c r="C24" s="21">
        <f t="shared" si="1"/>
        <v>5.9837984736077487E-6</v>
      </c>
    </row>
    <row r="25" spans="1:3" x14ac:dyDescent="0.25">
      <c r="A25" t="s">
        <v>885</v>
      </c>
      <c r="B25" s="21" t="str">
        <f t="shared" si="0"/>
        <v>2016/11/23 16:04:22.314</v>
      </c>
      <c r="C25" s="21">
        <f t="shared" si="1"/>
        <v>2.2569438442587852E-6</v>
      </c>
    </row>
    <row r="26" spans="1:3" x14ac:dyDescent="0.25">
      <c r="A26" t="s">
        <v>886</v>
      </c>
      <c r="B26" s="21" t="str">
        <f t="shared" si="0"/>
        <v>2016/11/23 16:17:58.490</v>
      </c>
      <c r="C26" s="21">
        <f t="shared" si="1"/>
        <v>9.4464814828825183E-3</v>
      </c>
    </row>
    <row r="27" spans="1:3" x14ac:dyDescent="0.25">
      <c r="A27" t="s">
        <v>887</v>
      </c>
      <c r="B27" s="21" t="str">
        <f t="shared" si="0"/>
        <v>2016/11/23 16:17:58.765</v>
      </c>
      <c r="C27" s="21">
        <f t="shared" si="1"/>
        <v>3.1828676583245397E-6</v>
      </c>
    </row>
    <row r="28" spans="1:3" x14ac:dyDescent="0.25">
      <c r="A28" t="s">
        <v>888</v>
      </c>
      <c r="B28" s="21" t="str">
        <f t="shared" si="0"/>
        <v>2016/11/23 16:17:58.849</v>
      </c>
      <c r="C28" s="21">
        <f t="shared" si="1"/>
        <v>9.7222073236480355E-7</v>
      </c>
    </row>
    <row r="29" spans="1:3" x14ac:dyDescent="0.25">
      <c r="A29" t="s">
        <v>889</v>
      </c>
      <c r="B29" s="21" t="str">
        <f t="shared" si="0"/>
        <v>2016/11/23 16:35:18.135</v>
      </c>
      <c r="C29" s="21">
        <f t="shared" si="1"/>
        <v>1.2028773147903848E-2</v>
      </c>
    </row>
    <row r="30" spans="1:3" x14ac:dyDescent="0.25">
      <c r="A30" t="s">
        <v>890</v>
      </c>
      <c r="B30" s="21" t="str">
        <f t="shared" si="0"/>
        <v>2016/11/23 16:35:18.830</v>
      </c>
      <c r="C30" s="21">
        <f t="shared" si="1"/>
        <v>8.0439858720637858E-6</v>
      </c>
    </row>
    <row r="31" spans="1:3" x14ac:dyDescent="0.25">
      <c r="A31" t="s">
        <v>891</v>
      </c>
      <c r="B31" s="21" t="str">
        <f t="shared" si="0"/>
        <v>2016/11/23 16:35:19.094</v>
      </c>
      <c r="C31" s="21">
        <f t="shared" si="1"/>
        <v>3.0555529519915581E-6</v>
      </c>
    </row>
    <row r="32" spans="1:3" x14ac:dyDescent="0.25">
      <c r="A32" t="s">
        <v>892</v>
      </c>
      <c r="B32" s="21" t="str">
        <f t="shared" si="0"/>
        <v>2016/11/23 17:05:05.970</v>
      </c>
      <c r="C32" s="21">
        <f t="shared" si="1"/>
        <v>2.0681435184087604E-2</v>
      </c>
    </row>
    <row r="33" spans="1:3" x14ac:dyDescent="0.25">
      <c r="A33" t="s">
        <v>893</v>
      </c>
      <c r="B33" s="21" t="str">
        <f t="shared" si="0"/>
        <v>2016/11/23 17:05:05.992</v>
      </c>
      <c r="C33" s="21">
        <f t="shared" si="1"/>
        <v>2.5462941266596317E-7</v>
      </c>
    </row>
    <row r="34" spans="1:3" x14ac:dyDescent="0.25">
      <c r="A34" t="s">
        <v>894</v>
      </c>
      <c r="B34" s="21" t="str">
        <f t="shared" si="0"/>
        <v>2016/11/23 17:05:06.293</v>
      </c>
      <c r="C34" s="21">
        <f t="shared" si="1"/>
        <v>3.483793989289552E-6</v>
      </c>
    </row>
    <row r="35" spans="1:3" x14ac:dyDescent="0.25">
      <c r="A35" t="s">
        <v>895</v>
      </c>
      <c r="B35" s="21" t="str">
        <f t="shared" si="0"/>
        <v>2016/11/23 17:20:15.982</v>
      </c>
      <c r="C35" s="21">
        <f t="shared" si="1"/>
        <v>1.0528807870286983E-2</v>
      </c>
    </row>
    <row r="36" spans="1:3" x14ac:dyDescent="0.25">
      <c r="A36" t="s">
        <v>896</v>
      </c>
      <c r="B36" s="21" t="str">
        <f t="shared" si="0"/>
        <v>2016/11/23 17:20:20.533</v>
      </c>
      <c r="C36" s="21">
        <f t="shared" si="1"/>
        <v>5.2673611207865179E-5</v>
      </c>
    </row>
    <row r="37" spans="1:3" x14ac:dyDescent="0.25">
      <c r="A37" t="s">
        <v>897</v>
      </c>
      <c r="B37" s="21" t="str">
        <f t="shared" si="0"/>
        <v>2016/11/23 17:20:20.950</v>
      </c>
      <c r="C37" s="21">
        <f t="shared" si="1"/>
        <v>4.8263900680467486E-6</v>
      </c>
    </row>
    <row r="38" spans="1:3" x14ac:dyDescent="0.25">
      <c r="A38" t="s">
        <v>898</v>
      </c>
      <c r="B38" s="21" t="str">
        <f t="shared" si="0"/>
        <v>2016/11/23 17:20:58.377</v>
      </c>
      <c r="C38" s="21">
        <f t="shared" si="1"/>
        <v>4.331828749855049E-4</v>
      </c>
    </row>
    <row r="39" spans="1:3" x14ac:dyDescent="0.25">
      <c r="A39" t="s">
        <v>899</v>
      </c>
      <c r="B39" s="21" t="str">
        <f t="shared" si="0"/>
        <v>2016/11/23 17:20:58.531</v>
      </c>
      <c r="C39" s="21">
        <f t="shared" si="1"/>
        <v>1.7824058886617422E-6</v>
      </c>
    </row>
    <row r="40" spans="1:3" x14ac:dyDescent="0.25">
      <c r="A40" t="s">
        <v>900</v>
      </c>
      <c r="B40" s="21" t="str">
        <f t="shared" si="0"/>
        <v>2016/11/23 17:20:58.944</v>
      </c>
      <c r="C40" s="21">
        <f t="shared" si="1"/>
        <v>4.7800931497476995E-6</v>
      </c>
    </row>
    <row r="41" spans="1:3" x14ac:dyDescent="0.25">
      <c r="A41" t="s">
        <v>901</v>
      </c>
      <c r="B41" s="21" t="str">
        <f t="shared" si="0"/>
        <v>2016/11/23 17:46:56.149</v>
      </c>
      <c r="C41" s="21">
        <f t="shared" si="1"/>
        <v>1.8023206015641335E-2</v>
      </c>
    </row>
    <row r="42" spans="1:3" x14ac:dyDescent="0.25">
      <c r="A42" t="s">
        <v>902</v>
      </c>
      <c r="B42" s="21" t="str">
        <f t="shared" si="0"/>
        <v>2016/11/23 17:46:56.159</v>
      </c>
      <c r="C42" s="21">
        <f t="shared" si="1"/>
        <v>1.1573865776881576E-7</v>
      </c>
    </row>
    <row r="43" spans="1:3" x14ac:dyDescent="0.25">
      <c r="A43" t="s">
        <v>903</v>
      </c>
      <c r="B43" s="21" t="str">
        <f t="shared" si="0"/>
        <v>2016/11/23 17:46:56.204</v>
      </c>
      <c r="C43" s="21">
        <f t="shared" si="1"/>
        <v>5.2083487389609218E-7</v>
      </c>
    </row>
    <row r="44" spans="1:3" x14ac:dyDescent="0.25">
      <c r="A44" t="s">
        <v>904</v>
      </c>
      <c r="B44" s="21" t="str">
        <f t="shared" si="0"/>
        <v>2016/11/23 18:03:35.503</v>
      </c>
      <c r="C44" s="21">
        <f t="shared" si="1"/>
        <v>1.1565960652660578E-2</v>
      </c>
    </row>
    <row r="45" spans="1:3" x14ac:dyDescent="0.25">
      <c r="A45" t="s">
        <v>905</v>
      </c>
      <c r="B45" s="21" t="str">
        <f t="shared" si="0"/>
        <v>2016/11/23 18:03:35.762</v>
      </c>
      <c r="C45" s="21">
        <f t="shared" si="1"/>
        <v>2.9976799851283431E-6</v>
      </c>
    </row>
    <row r="46" spans="1:3" x14ac:dyDescent="0.25">
      <c r="A46" t="s">
        <v>906</v>
      </c>
      <c r="B46" s="21" t="str">
        <f t="shared" si="0"/>
        <v>2016/11/23 18:03:35.851</v>
      </c>
      <c r="C46" s="21">
        <f t="shared" si="1"/>
        <v>1.0300936992280185E-6</v>
      </c>
    </row>
    <row r="47" spans="1:3" x14ac:dyDescent="0.25">
      <c r="A47" t="s">
        <v>907</v>
      </c>
      <c r="B47" s="21" t="str">
        <f t="shared" si="0"/>
        <v>2016/11/23 20:06:35.570</v>
      </c>
      <c r="C47" s="21">
        <f t="shared" si="1"/>
        <v>8.541341435193317E-2</v>
      </c>
    </row>
    <row r="48" spans="1:3" x14ac:dyDescent="0.25">
      <c r="A48" t="s">
        <v>908</v>
      </c>
      <c r="B48" s="21" t="str">
        <f t="shared" si="0"/>
        <v>2016/11/23 20:06:35.584</v>
      </c>
      <c r="C48" s="21">
        <f t="shared" si="1"/>
        <v>1.6203557606786489E-7</v>
      </c>
    </row>
    <row r="49" spans="1:3" x14ac:dyDescent="0.25">
      <c r="A49" t="s">
        <v>909</v>
      </c>
      <c r="B49" s="21" t="str">
        <f t="shared" si="0"/>
        <v>2016/11/23 20:06:36.195</v>
      </c>
      <c r="C49" s="21">
        <f t="shared" si="1"/>
        <v>7.0717578637413681E-6</v>
      </c>
    </row>
    <row r="50" spans="1:3" x14ac:dyDescent="0.25">
      <c r="A50" t="s">
        <v>910</v>
      </c>
      <c r="B50" s="21" t="str">
        <f t="shared" si="0"/>
        <v>2016/11/23 20:06:36.210</v>
      </c>
      <c r="C50" s="21">
        <f t="shared" si="1"/>
        <v>1.7361162463203073E-7</v>
      </c>
    </row>
    <row r="51" spans="1:3" x14ac:dyDescent="0.25">
      <c r="A51" t="s">
        <v>911</v>
      </c>
      <c r="B51" s="21" t="str">
        <f t="shared" si="0"/>
        <v>2016/11/23 20:06:36.390</v>
      </c>
      <c r="C51" s="21">
        <f t="shared" si="1"/>
        <v>2.0833394955843687E-6</v>
      </c>
    </row>
    <row r="52" spans="1:3" x14ac:dyDescent="0.25">
      <c r="A52" t="s">
        <v>912</v>
      </c>
      <c r="B52" s="21" t="str">
        <f t="shared" si="0"/>
        <v>2016/11/23 20:06:36.417</v>
      </c>
      <c r="C52" s="21">
        <f t="shared" si="1"/>
        <v>3.1249510357156396E-7</v>
      </c>
    </row>
    <row r="53" spans="1:3" x14ac:dyDescent="0.25">
      <c r="A53" t="s">
        <v>913</v>
      </c>
      <c r="B53" s="21" t="str">
        <f t="shared" si="0"/>
        <v>2016/11/23 20:18:39.959</v>
      </c>
      <c r="C53" s="21">
        <f t="shared" si="1"/>
        <v>8.3743287032120861E-3</v>
      </c>
    </row>
    <row r="54" spans="1:3" x14ac:dyDescent="0.25">
      <c r="A54" t="s">
        <v>914</v>
      </c>
      <c r="B54" s="21" t="str">
        <f t="shared" si="0"/>
        <v>2016/11/23 20:18:40.376</v>
      </c>
      <c r="C54" s="21">
        <f t="shared" si="1"/>
        <v>4.8263900680467486E-6</v>
      </c>
    </row>
    <row r="55" spans="1:3" x14ac:dyDescent="0.25">
      <c r="A55" t="s">
        <v>915</v>
      </c>
      <c r="B55" s="21" t="str">
        <f t="shared" si="0"/>
        <v>2016/11/23 20:18:40.546</v>
      </c>
      <c r="C55" s="21">
        <f t="shared" si="1"/>
        <v>1.9675935618579388E-6</v>
      </c>
    </row>
    <row r="56" spans="1:3" x14ac:dyDescent="0.25">
      <c r="A56" t="s">
        <v>916</v>
      </c>
      <c r="B56" s="21" t="str">
        <f t="shared" si="0"/>
        <v>2016/11/23 20:22:07.827</v>
      </c>
      <c r="C56" s="21">
        <f t="shared" si="1"/>
        <v>2.3990856498130597E-3</v>
      </c>
    </row>
    <row r="57" spans="1:3" x14ac:dyDescent="0.25">
      <c r="A57" t="s">
        <v>917</v>
      </c>
      <c r="B57" s="21" t="str">
        <f t="shared" si="0"/>
        <v>2016/11/23 20:22:07.875</v>
      </c>
      <c r="C57" s="21">
        <f t="shared" si="1"/>
        <v>5.5555574363097548E-7</v>
      </c>
    </row>
    <row r="58" spans="1:3" x14ac:dyDescent="0.25">
      <c r="A58" t="s">
        <v>918</v>
      </c>
      <c r="B58" s="21" t="str">
        <f t="shared" si="0"/>
        <v>2016/11/23 20:52:40.630</v>
      </c>
      <c r="C58" s="21">
        <f t="shared" si="1"/>
        <v>2.1212442130490672E-2</v>
      </c>
    </row>
    <row r="59" spans="1:3" x14ac:dyDescent="0.25">
      <c r="A59" t="s">
        <v>919</v>
      </c>
      <c r="B59" s="21" t="str">
        <f t="shared" si="0"/>
        <v>2016/11/23 20:52:41.136</v>
      </c>
      <c r="C59" s="21">
        <f t="shared" si="1"/>
        <v>5.856476491317153E-6</v>
      </c>
    </row>
    <row r="60" spans="1:3" x14ac:dyDescent="0.25">
      <c r="A60" t="s">
        <v>920</v>
      </c>
      <c r="B60" s="21" t="str">
        <f t="shared" si="0"/>
        <v>2016/11/23 20:52:41.336</v>
      </c>
      <c r="C60" s="21">
        <f t="shared" si="1"/>
        <v>2.3148168111220002E-6</v>
      </c>
    </row>
    <row r="61" spans="1:3" x14ac:dyDescent="0.25">
      <c r="A61" t="s">
        <v>921</v>
      </c>
      <c r="B61" s="21" t="str">
        <f t="shared" si="0"/>
        <v>2016/11/23 20:58:21.609</v>
      </c>
      <c r="C61" s="21">
        <f t="shared" si="1"/>
        <v>3.938344911148306E-3</v>
      </c>
    </row>
    <row r="62" spans="1:3" x14ac:dyDescent="0.25">
      <c r="A62" t="s">
        <v>922</v>
      </c>
      <c r="B62" s="21" t="str">
        <f t="shared" si="0"/>
        <v>2016/11/23 20:58:22.121</v>
      </c>
      <c r="C62" s="21">
        <f t="shared" si="1"/>
        <v>5.9259255067445338E-6</v>
      </c>
    </row>
    <row r="63" spans="1:3" x14ac:dyDescent="0.25">
      <c r="A63" t="s">
        <v>923</v>
      </c>
      <c r="B63" s="21" t="str">
        <f t="shared" si="0"/>
        <v>2016/11/23 20:58:22.318</v>
      </c>
      <c r="C63" s="21">
        <f t="shared" si="1"/>
        <v>2.2800886654295027E-6</v>
      </c>
    </row>
    <row r="64" spans="1:3" x14ac:dyDescent="0.25">
      <c r="A64" t="s">
        <v>924</v>
      </c>
      <c r="B64" s="21" t="str">
        <f t="shared" si="0"/>
        <v>2016/11/23 22:35:35.983</v>
      </c>
      <c r="C64" s="21">
        <f t="shared" si="1"/>
        <v>6.7519270836783107E-2</v>
      </c>
    </row>
    <row r="65" spans="1:3" x14ac:dyDescent="0.25">
      <c r="A65" t="s">
        <v>925</v>
      </c>
      <c r="B65" s="21" t="str">
        <f t="shared" ref="B65:B75" si="2">MID(A65,6,23)</f>
        <v>2016/11/23 22:35:38.764</v>
      </c>
      <c r="C65" s="21">
        <f t="shared" si="1"/>
        <v>3.2187497708946466E-5</v>
      </c>
    </row>
    <row r="66" spans="1:3" x14ac:dyDescent="0.25">
      <c r="A66" t="s">
        <v>926</v>
      </c>
      <c r="B66" s="21" t="str">
        <f t="shared" si="2"/>
        <v>2016/11/23 22:35:38.926</v>
      </c>
      <c r="C66" s="21">
        <f t="shared" si="1"/>
        <v>1.8749997252598405E-6</v>
      </c>
    </row>
    <row r="67" spans="1:3" x14ac:dyDescent="0.25">
      <c r="A67" t="s">
        <v>927</v>
      </c>
      <c r="B67" s="21" t="str">
        <f t="shared" si="2"/>
        <v>2016/11/23 22:47:08.653</v>
      </c>
      <c r="C67" s="21">
        <f t="shared" ref="C67:C75" si="3">ABS(B67-B66)</f>
        <v>7.9829513924778439E-3</v>
      </c>
    </row>
    <row r="68" spans="1:3" x14ac:dyDescent="0.25">
      <c r="A68" t="s">
        <v>928</v>
      </c>
      <c r="B68" s="21" t="str">
        <f t="shared" si="2"/>
        <v>2016/11/23 22:47:08.684</v>
      </c>
      <c r="C68" s="21">
        <f t="shared" si="3"/>
        <v>3.587920218706131E-7</v>
      </c>
    </row>
    <row r="69" spans="1:3" x14ac:dyDescent="0.25">
      <c r="A69" t="s">
        <v>929</v>
      </c>
      <c r="B69" s="21" t="str">
        <f t="shared" si="2"/>
        <v>2016/11/23 22:47:08.878</v>
      </c>
      <c r="C69" s="21">
        <f t="shared" si="3"/>
        <v>2.2453677956946194E-6</v>
      </c>
    </row>
    <row r="70" spans="1:3" x14ac:dyDescent="0.25">
      <c r="A70" t="s">
        <v>930</v>
      </c>
      <c r="B70" s="21" t="str">
        <f t="shared" si="2"/>
        <v>2016/11/23 23:59:22.842</v>
      </c>
      <c r="C70" s="21">
        <f t="shared" si="3"/>
        <v>5.0161620376456995E-2</v>
      </c>
    </row>
    <row r="71" spans="1:3" x14ac:dyDescent="0.25">
      <c r="A71" t="s">
        <v>931</v>
      </c>
      <c r="B71" s="21" t="str">
        <f t="shared" si="2"/>
        <v>2016/11/23 23:59:23.050</v>
      </c>
      <c r="C71" s="21">
        <f t="shared" si="3"/>
        <v>2.4074033717624843E-6</v>
      </c>
    </row>
    <row r="72" spans="1:3" x14ac:dyDescent="0.25">
      <c r="A72" t="s">
        <v>932</v>
      </c>
      <c r="B72" s="21" t="str">
        <f t="shared" si="2"/>
        <v>2016/11/24 01:13:32.819</v>
      </c>
      <c r="C72" s="21">
        <f t="shared" si="3"/>
        <v>5.1501956018910278E-2</v>
      </c>
    </row>
    <row r="73" spans="1:3" x14ac:dyDescent="0.25">
      <c r="A73" t="s">
        <v>933</v>
      </c>
      <c r="B73" s="21" t="str">
        <f t="shared" si="2"/>
        <v>2016/11/24 01:13:33.098</v>
      </c>
      <c r="C73" s="21">
        <f t="shared" si="3"/>
        <v>3.2291645766235888E-6</v>
      </c>
    </row>
    <row r="74" spans="1:3" x14ac:dyDescent="0.25">
      <c r="A74" t="s">
        <v>934</v>
      </c>
      <c r="B74" s="21" t="str">
        <f t="shared" si="2"/>
        <v>2016/11/24 01:20:59.694</v>
      </c>
      <c r="C74" s="21">
        <f t="shared" si="3"/>
        <v>5.1689351894310676E-3</v>
      </c>
    </row>
    <row r="75" spans="1:3" x14ac:dyDescent="0.25">
      <c r="A75" t="s">
        <v>935</v>
      </c>
      <c r="B75" s="21" t="str">
        <f t="shared" si="2"/>
        <v>2016/11/24 01:20:59.786</v>
      </c>
      <c r="C75" s="21">
        <f t="shared" si="3"/>
        <v>1.0648145689629018E-6</v>
      </c>
    </row>
    <row r="76" spans="1:3" x14ac:dyDescent="0.25">
      <c r="A76" t="s">
        <v>936</v>
      </c>
      <c r="B76" s="21" t="str">
        <f t="shared" ref="B76:B99" si="4">MID(A76,6,23)</f>
        <v>2016/11/24 01:21:00.379</v>
      </c>
      <c r="C76" s="21">
        <f t="shared" ref="C76:C99" si="5">ABS(B76-B75)</f>
        <v>6.863425369374454E-6</v>
      </c>
    </row>
    <row r="77" spans="1:3" x14ac:dyDescent="0.25">
      <c r="A77" t="s">
        <v>937</v>
      </c>
      <c r="B77" s="21" t="str">
        <f t="shared" si="4"/>
        <v>2016/11/24 01:27:12.002</v>
      </c>
      <c r="C77" s="21">
        <f t="shared" si="5"/>
        <v>4.3011921297875233E-3</v>
      </c>
    </row>
    <row r="78" spans="1:3" x14ac:dyDescent="0.25">
      <c r="A78" t="s">
        <v>938</v>
      </c>
      <c r="B78" s="21" t="str">
        <f t="shared" si="4"/>
        <v>2016/11/24 01:38:02.756</v>
      </c>
      <c r="C78" s="21">
        <f t="shared" si="5"/>
        <v>7.5318750023143366E-3</v>
      </c>
    </row>
    <row r="79" spans="1:3" x14ac:dyDescent="0.25">
      <c r="A79" t="s">
        <v>939</v>
      </c>
      <c r="B79" s="21" t="str">
        <f t="shared" si="4"/>
        <v>2016/11/24 01:38:02.886</v>
      </c>
      <c r="C79" s="21">
        <f t="shared" si="5"/>
        <v>1.5046243788674474E-6</v>
      </c>
    </row>
    <row r="80" spans="1:3" x14ac:dyDescent="0.25">
      <c r="A80" t="s">
        <v>940</v>
      </c>
      <c r="B80" s="21" t="str">
        <f t="shared" si="4"/>
        <v>2016/11/24 01:38:02.926</v>
      </c>
      <c r="C80" s="21">
        <f t="shared" si="5"/>
        <v>4.6296190703287721E-7</v>
      </c>
    </row>
    <row r="81" spans="1:3" x14ac:dyDescent="0.25">
      <c r="A81" t="s">
        <v>941</v>
      </c>
      <c r="B81" s="21" t="str">
        <f t="shared" si="4"/>
        <v>2016/11/24 02:04:16.536</v>
      </c>
      <c r="C81" s="21">
        <f t="shared" si="5"/>
        <v>1.8213078707049135E-2</v>
      </c>
    </row>
    <row r="82" spans="1:3" x14ac:dyDescent="0.25">
      <c r="A82" t="s">
        <v>942</v>
      </c>
      <c r="B82" s="21" t="str">
        <f t="shared" si="4"/>
        <v>2016/11/24 02:04:16.942</v>
      </c>
      <c r="C82" s="21">
        <f t="shared" si="5"/>
        <v>4.6990753617137671E-6</v>
      </c>
    </row>
    <row r="83" spans="1:3" x14ac:dyDescent="0.25">
      <c r="A83" t="s">
        <v>943</v>
      </c>
      <c r="B83" s="21" t="str">
        <f t="shared" si="4"/>
        <v>2016/11/24 02:04:17.372</v>
      </c>
      <c r="C83" s="21">
        <f t="shared" si="5"/>
        <v>4.9768495955504477E-6</v>
      </c>
    </row>
    <row r="84" spans="1:3" x14ac:dyDescent="0.25">
      <c r="A84" t="s">
        <v>944</v>
      </c>
      <c r="B84" s="21" t="str">
        <f t="shared" si="4"/>
        <v>2016/11/24 02:36:59.250</v>
      </c>
      <c r="C84" s="21">
        <f t="shared" si="5"/>
        <v>2.2706921299686655E-2</v>
      </c>
    </row>
    <row r="85" spans="1:3" x14ac:dyDescent="0.25">
      <c r="A85" t="s">
        <v>945</v>
      </c>
      <c r="B85" s="21" t="str">
        <f t="shared" si="4"/>
        <v>2016/11/24 02:36:59.704</v>
      </c>
      <c r="C85" s="21">
        <f t="shared" si="5"/>
        <v>5.2546238293871284E-6</v>
      </c>
    </row>
    <row r="86" spans="1:3" x14ac:dyDescent="0.25">
      <c r="A86" t="s">
        <v>946</v>
      </c>
      <c r="B86" s="21" t="str">
        <f t="shared" si="4"/>
        <v>2016/11/24 02:51:11.116</v>
      </c>
      <c r="C86" s="21">
        <f t="shared" si="5"/>
        <v>9.8543055573827587E-3</v>
      </c>
    </row>
    <row r="87" spans="1:3" x14ac:dyDescent="0.25">
      <c r="A87" t="s">
        <v>947</v>
      </c>
      <c r="B87" s="21" t="str">
        <f t="shared" si="4"/>
        <v>2016/11/24 02:51:11.148</v>
      </c>
      <c r="C87" s="21">
        <f t="shared" si="5"/>
        <v>3.7037534639239311E-7</v>
      </c>
    </row>
    <row r="88" spans="1:3" x14ac:dyDescent="0.25">
      <c r="A88" t="s">
        <v>948</v>
      </c>
      <c r="B88" s="21" t="str">
        <f t="shared" si="4"/>
        <v>2016/11/24 02:51:11.152</v>
      </c>
      <c r="C88" s="21">
        <f t="shared" si="5"/>
        <v>4.6289642341434956E-8</v>
      </c>
    </row>
    <row r="89" spans="1:3" x14ac:dyDescent="0.25">
      <c r="A89" t="s">
        <v>949</v>
      </c>
      <c r="B89" s="21" t="str">
        <f t="shared" si="4"/>
        <v>2016/11/24 02:57:00.983</v>
      </c>
      <c r="C89" s="21">
        <f t="shared" si="5"/>
        <v>4.0489699094905518E-3</v>
      </c>
    </row>
    <row r="90" spans="1:3" x14ac:dyDescent="0.25">
      <c r="A90" t="s">
        <v>950</v>
      </c>
      <c r="B90" s="21" t="str">
        <f t="shared" si="4"/>
        <v>2016/11/24 02:57:01.110</v>
      </c>
      <c r="C90" s="21">
        <f t="shared" si="5"/>
        <v>1.4699107850901783E-6</v>
      </c>
    </row>
    <row r="91" spans="1:3" x14ac:dyDescent="0.25">
      <c r="A91" t="s">
        <v>951</v>
      </c>
      <c r="B91" s="21" t="str">
        <f t="shared" si="4"/>
        <v>2016/11/24 02:57:01.134</v>
      </c>
      <c r="C91" s="21">
        <f t="shared" si="5"/>
        <v>2.7777423383668065E-7</v>
      </c>
    </row>
    <row r="92" spans="1:3" x14ac:dyDescent="0.25">
      <c r="A92" t="s">
        <v>952</v>
      </c>
      <c r="B92" s="21" t="str">
        <f t="shared" si="4"/>
        <v>2016/11/24 03:00:42.805</v>
      </c>
      <c r="C92" s="21">
        <f t="shared" si="5"/>
        <v>2.5656365760369226E-3</v>
      </c>
    </row>
    <row r="93" spans="1:3" x14ac:dyDescent="0.25">
      <c r="A93" t="s">
        <v>953</v>
      </c>
      <c r="B93" s="21" t="str">
        <f t="shared" si="4"/>
        <v>2016/11/24 03:00:43.098</v>
      </c>
      <c r="C93" s="21">
        <f t="shared" si="5"/>
        <v>3.3912001526914537E-6</v>
      </c>
    </row>
    <row r="94" spans="1:3" x14ac:dyDescent="0.25">
      <c r="A94" t="s">
        <v>954</v>
      </c>
      <c r="B94" s="21" t="str">
        <f t="shared" si="4"/>
        <v>2016/11/24 06:06:21.936</v>
      </c>
      <c r="C94" s="21">
        <f t="shared" si="5"/>
        <v>0.12892173611180624</v>
      </c>
    </row>
    <row r="95" spans="1:3" x14ac:dyDescent="0.25">
      <c r="A95" t="s">
        <v>955</v>
      </c>
      <c r="B95" s="21" t="str">
        <f t="shared" si="4"/>
        <v>2016/11/24 06:06:22.372</v>
      </c>
      <c r="C95" s="21">
        <f t="shared" si="5"/>
        <v>5.0462986109778285E-6</v>
      </c>
    </row>
    <row r="96" spans="1:3" x14ac:dyDescent="0.25">
      <c r="A96" t="s">
        <v>956</v>
      </c>
      <c r="B96" s="21" t="str">
        <f t="shared" si="4"/>
        <v>2016/11/24 06:06:22.531</v>
      </c>
      <c r="C96" s="21">
        <f t="shared" si="5"/>
        <v>1.8402788555249572E-6</v>
      </c>
    </row>
    <row r="97" spans="1:3" x14ac:dyDescent="0.25">
      <c r="A97" t="s">
        <v>957</v>
      </c>
      <c r="B97" s="21" t="str">
        <f t="shared" si="4"/>
        <v>2016/11/24 08:32:31.080</v>
      </c>
      <c r="C97" s="21">
        <f t="shared" si="5"/>
        <v>0.10148783564363839</v>
      </c>
    </row>
    <row r="98" spans="1:3" x14ac:dyDescent="0.25">
      <c r="A98" t="s">
        <v>958</v>
      </c>
      <c r="B98" s="21" t="str">
        <f t="shared" si="4"/>
        <v>2016/11/24 08:32:31.247</v>
      </c>
      <c r="C98" s="21">
        <f t="shared" si="5"/>
        <v>1.9328726921230555E-6</v>
      </c>
    </row>
    <row r="99" spans="1:3" x14ac:dyDescent="0.25">
      <c r="A99" t="s">
        <v>959</v>
      </c>
      <c r="B99" s="21" t="str">
        <f t="shared" si="4"/>
        <v>2016/11/24 08:32:31.551</v>
      </c>
      <c r="C99" s="21">
        <f t="shared" si="5"/>
        <v>3.5185221349820495E-6</v>
      </c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2016-11-28T16:42:11Z</dcterms:modified>
</cp:coreProperties>
</file>