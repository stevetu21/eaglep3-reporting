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Trips'!$A$2:$J$40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2" i="1" l="1"/>
  <c r="X173" i="1"/>
  <c r="X174" i="1"/>
  <c r="X175" i="1"/>
  <c r="X176" i="1"/>
  <c r="X177" i="1"/>
  <c r="X178" i="1"/>
  <c r="X17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R19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26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R10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20" i="3" s="1"/>
  <c r="Y60" i="1"/>
  <c r="Z60" i="1"/>
  <c r="AB60" i="1"/>
  <c r="AC60" i="1"/>
  <c r="AD60" i="1"/>
  <c r="T60" i="1" s="1"/>
  <c r="AE60" i="1"/>
  <c r="R20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17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S22" i="3" s="1"/>
  <c r="Y70" i="1"/>
  <c r="Z70" i="1"/>
  <c r="AB70" i="1"/>
  <c r="AC70" i="1"/>
  <c r="AD70" i="1"/>
  <c r="T70" i="1" s="1"/>
  <c r="AE70" i="1"/>
  <c r="R22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R18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83" i="1"/>
  <c r="AM83" i="1"/>
  <c r="AN83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4" i="1"/>
  <c r="AM84" i="1"/>
  <c r="AN84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5" i="1"/>
  <c r="AM85" i="1"/>
  <c r="AN85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6" i="1"/>
  <c r="AM86" i="1"/>
  <c r="AN86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7" i="1"/>
  <c r="AM87" i="1"/>
  <c r="AN87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8" i="1"/>
  <c r="AM88" i="1"/>
  <c r="AN88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9" i="1"/>
  <c r="AM89" i="1"/>
  <c r="AN89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90" i="1"/>
  <c r="AM90" i="1"/>
  <c r="AN90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R13" i="3" s="1"/>
  <c r="AF90" i="1"/>
  <c r="AH91" i="1"/>
  <c r="AM91" i="1"/>
  <c r="AN91" i="1"/>
  <c r="K91" i="1"/>
  <c r="L91" i="1"/>
  <c r="M91" i="1"/>
  <c r="N91" i="1" s="1"/>
  <c r="T91" i="1"/>
  <c r="V91" i="1"/>
  <c r="Y91" i="1"/>
  <c r="Z91" i="1"/>
  <c r="AB91" i="1"/>
  <c r="AC91" i="1"/>
  <c r="AD91" i="1"/>
  <c r="AE91" i="1"/>
  <c r="AF91" i="1"/>
  <c r="AH92" i="1"/>
  <c r="AM92" i="1"/>
  <c r="AN92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K163" i="1"/>
  <c r="L163" i="1"/>
  <c r="M163" i="1"/>
  <c r="N163" i="1" s="1"/>
  <c r="V163" i="1"/>
  <c r="S31" i="3" s="1"/>
  <c r="Y163" i="1"/>
  <c r="Z163" i="1"/>
  <c r="AB163" i="1"/>
  <c r="AC163" i="1"/>
  <c r="AD163" i="1"/>
  <c r="X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AH102" i="1"/>
  <c r="AM102" i="1"/>
  <c r="AN102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X169" i="1" s="1"/>
  <c r="AE168" i="1"/>
  <c r="AF168" i="1"/>
  <c r="AH104" i="1"/>
  <c r="AM104" i="1"/>
  <c r="AN10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5" i="1"/>
  <c r="AM105" i="1"/>
  <c r="AN105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0" i="1"/>
  <c r="AM110" i="1"/>
  <c r="AN110" i="1"/>
  <c r="K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AN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94" i="1"/>
  <c r="L94" i="1"/>
  <c r="M94" i="1"/>
  <c r="N94" i="1" s="1"/>
  <c r="V94" i="1"/>
  <c r="S14" i="3" s="1"/>
  <c r="Y94" i="1"/>
  <c r="Z94" i="1"/>
  <c r="AB94" i="1"/>
  <c r="AC94" i="1"/>
  <c r="AD94" i="1"/>
  <c r="AE94" i="1"/>
  <c r="R14" i="3" s="1"/>
  <c r="AF94" i="1"/>
  <c r="AH116" i="1"/>
  <c r="AM116" i="1"/>
  <c r="AN11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7" i="1"/>
  <c r="AM117" i="1"/>
  <c r="AN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AM118" i="1"/>
  <c r="AN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0" i="1"/>
  <c r="AM130" i="1"/>
  <c r="AN130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1" i="1"/>
  <c r="AM131" i="1"/>
  <c r="AN131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2" i="1"/>
  <c r="AM132" i="1"/>
  <c r="AN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N107" i="1" s="1"/>
  <c r="V107" i="1"/>
  <c r="S27" i="3" s="1"/>
  <c r="Y107" i="1"/>
  <c r="Z107" i="1"/>
  <c r="AB107" i="1"/>
  <c r="AC107" i="1"/>
  <c r="AD107" i="1"/>
  <c r="T107" i="1" s="1"/>
  <c r="AE107" i="1"/>
  <c r="R27" i="3" s="1"/>
  <c r="AF107" i="1"/>
  <c r="AH143" i="1"/>
  <c r="AM143" i="1"/>
  <c r="AN143" i="1"/>
  <c r="K108" i="1"/>
  <c r="L108" i="1"/>
  <c r="M108" i="1"/>
  <c r="P108" i="1" s="1"/>
  <c r="V108" i="1"/>
  <c r="S23" i="3" s="1"/>
  <c r="Y108" i="1"/>
  <c r="Z108" i="1"/>
  <c r="AB108" i="1"/>
  <c r="AC108" i="1"/>
  <c r="AD108" i="1"/>
  <c r="T108" i="1" s="1"/>
  <c r="AE108" i="1"/>
  <c r="R23" i="3" s="1"/>
  <c r="AF108" i="1"/>
  <c r="AH144" i="1"/>
  <c r="AM144" i="1"/>
  <c r="AN144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S28" i="3" s="1"/>
  <c r="Y110" i="1"/>
  <c r="Z110" i="1"/>
  <c r="AB110" i="1"/>
  <c r="AC110" i="1"/>
  <c r="AD110" i="1"/>
  <c r="AE110" i="1"/>
  <c r="R28" i="3" s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S11" i="3" s="1"/>
  <c r="Y115" i="1"/>
  <c r="Z115" i="1"/>
  <c r="AB115" i="1"/>
  <c r="AC115" i="1"/>
  <c r="AD115" i="1"/>
  <c r="T115" i="1" s="1"/>
  <c r="AE115" i="1"/>
  <c r="AF115" i="1"/>
  <c r="AH151" i="1"/>
  <c r="AM151" i="1"/>
  <c r="AN151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6" i="1"/>
  <c r="AM156" i="1"/>
  <c r="AN156" i="1"/>
  <c r="AH157" i="1"/>
  <c r="AM157" i="1"/>
  <c r="AN157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8" i="1"/>
  <c r="AM158" i="1"/>
  <c r="AN158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R16" i="3" s="1"/>
  <c r="AF122" i="1"/>
  <c r="AH159" i="1"/>
  <c r="AM159" i="1"/>
  <c r="AN159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29" i="3" s="1"/>
  <c r="AF124" i="1"/>
  <c r="AH161" i="1"/>
  <c r="AM161" i="1"/>
  <c r="AN161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2" i="1"/>
  <c r="AM162" i="1"/>
  <c r="AN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3" i="1"/>
  <c r="AM163" i="1"/>
  <c r="AN163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4" i="1"/>
  <c r="AM164" i="1"/>
  <c r="AN164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5" i="1"/>
  <c r="AM165" i="1"/>
  <c r="AN165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6" i="1"/>
  <c r="AM166" i="1"/>
  <c r="AN16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S8" i="3" s="1"/>
  <c r="Y141" i="1"/>
  <c r="Z141" i="1"/>
  <c r="AB141" i="1"/>
  <c r="AC141" i="1"/>
  <c r="AD141" i="1"/>
  <c r="T141" i="1" s="1"/>
  <c r="AE141" i="1"/>
  <c r="R8" i="3" s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S30" i="3" s="1"/>
  <c r="Y146" i="1"/>
  <c r="Z146" i="1"/>
  <c r="AB146" i="1"/>
  <c r="AC146" i="1"/>
  <c r="AD146" i="1"/>
  <c r="T146" i="1" s="1"/>
  <c r="AE146" i="1"/>
  <c r="R30" i="3" s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5" i="1"/>
  <c r="AM185" i="1"/>
  <c r="AN185" i="1"/>
  <c r="K151" i="1"/>
  <c r="L151" i="1"/>
  <c r="M151" i="1"/>
  <c r="N151" i="1" s="1"/>
  <c r="V151" i="1"/>
  <c r="S24" i="3" s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M189" i="1"/>
  <c r="AN189" i="1"/>
  <c r="K155" i="1"/>
  <c r="L155" i="1"/>
  <c r="M155" i="1"/>
  <c r="N155" i="1" s="1"/>
  <c r="V155" i="1"/>
  <c r="S9" i="3" s="1"/>
  <c r="Y155" i="1"/>
  <c r="Z155" i="1"/>
  <c r="AB155" i="1"/>
  <c r="AC155" i="1"/>
  <c r="AD155" i="1"/>
  <c r="T155" i="1" s="1"/>
  <c r="AE155" i="1"/>
  <c r="R9" i="3" s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AH194" i="1"/>
  <c r="AM194" i="1"/>
  <c r="AN194" i="1"/>
  <c r="K159" i="1"/>
  <c r="L159" i="1"/>
  <c r="M159" i="1"/>
  <c r="N159" i="1" s="1"/>
  <c r="V159" i="1"/>
  <c r="S7" i="3" s="1"/>
  <c r="Y159" i="1"/>
  <c r="Z159" i="1"/>
  <c r="AB159" i="1"/>
  <c r="AC159" i="1"/>
  <c r="AD159" i="1"/>
  <c r="T159" i="1" s="1"/>
  <c r="AE159" i="1"/>
  <c r="R7" i="3" s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T199" i="1"/>
  <c r="V199" i="1"/>
  <c r="Y199" i="1"/>
  <c r="Z199" i="1"/>
  <c r="AB199" i="1"/>
  <c r="AC199" i="1"/>
  <c r="AD199" i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R32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T225" i="1"/>
  <c r="V225" i="1"/>
  <c r="Y225" i="1"/>
  <c r="Z225" i="1"/>
  <c r="AB225" i="1"/>
  <c r="AC225" i="1"/>
  <c r="AD225" i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29" i="1"/>
  <c r="AM229" i="1"/>
  <c r="AN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6" i="1"/>
  <c r="AM236" i="1"/>
  <c r="AN236" i="1"/>
  <c r="M19" i="3"/>
  <c r="S19" i="3"/>
  <c r="U19" i="3"/>
  <c r="T19" i="3" s="1"/>
  <c r="V19" i="3"/>
  <c r="X19" i="3"/>
  <c r="M26" i="3"/>
  <c r="S26" i="3"/>
  <c r="U26" i="3"/>
  <c r="AC26" i="3" s="1"/>
  <c r="V26" i="3"/>
  <c r="X26" i="3"/>
  <c r="M31" i="3"/>
  <c r="R31" i="3"/>
  <c r="U31" i="3"/>
  <c r="AC31" i="3" s="1"/>
  <c r="V31" i="3"/>
  <c r="X31" i="3"/>
  <c r="M10" i="3"/>
  <c r="S10" i="3"/>
  <c r="U10" i="3"/>
  <c r="AC10" i="3" s="1"/>
  <c r="V10" i="3"/>
  <c r="X10" i="3"/>
  <c r="M17" i="3"/>
  <c r="S17" i="3"/>
  <c r="U17" i="3"/>
  <c r="V17" i="3"/>
  <c r="X17" i="3"/>
  <c r="M20" i="3"/>
  <c r="U20" i="3"/>
  <c r="V20" i="3"/>
  <c r="X20" i="3"/>
  <c r="M21" i="3"/>
  <c r="R21" i="3"/>
  <c r="U21" i="3"/>
  <c r="AC21" i="3" s="1"/>
  <c r="V21" i="3"/>
  <c r="X21" i="3"/>
  <c r="M22" i="3"/>
  <c r="U22" i="3"/>
  <c r="AC22" i="3" s="1"/>
  <c r="V22" i="3"/>
  <c r="X22" i="3"/>
  <c r="M18" i="3"/>
  <c r="S18" i="3"/>
  <c r="U18" i="3"/>
  <c r="T18" i="3" s="1"/>
  <c r="V18" i="3"/>
  <c r="X18" i="3"/>
  <c r="M13" i="3"/>
  <c r="S13" i="3"/>
  <c r="U13" i="3"/>
  <c r="V13" i="3"/>
  <c r="X13" i="3"/>
  <c r="M12" i="3"/>
  <c r="S12" i="3"/>
  <c r="U12" i="3"/>
  <c r="AC12" i="3" s="1"/>
  <c r="V12" i="3"/>
  <c r="X12" i="3"/>
  <c r="M14" i="3"/>
  <c r="U14" i="3"/>
  <c r="AC14" i="3" s="1"/>
  <c r="V14" i="3"/>
  <c r="X14" i="3"/>
  <c r="AE19" i="3"/>
  <c r="M27" i="3"/>
  <c r="U27" i="3"/>
  <c r="V27" i="3"/>
  <c r="X27" i="3"/>
  <c r="M28" i="3"/>
  <c r="U28" i="3"/>
  <c r="AC28" i="3" s="1"/>
  <c r="V28" i="3"/>
  <c r="X28" i="3"/>
  <c r="M15" i="3"/>
  <c r="U15" i="3"/>
  <c r="AC15" i="3" s="1"/>
  <c r="V15" i="3"/>
  <c r="X15" i="3"/>
  <c r="M23" i="3"/>
  <c r="U23" i="3"/>
  <c r="AC23" i="3" s="1"/>
  <c r="V23" i="3"/>
  <c r="X23" i="3"/>
  <c r="M11" i="3"/>
  <c r="R11" i="3"/>
  <c r="U11" i="3"/>
  <c r="T11" i="3" s="1"/>
  <c r="V11" i="3"/>
  <c r="X11" i="3"/>
  <c r="M16" i="3"/>
  <c r="S16" i="3"/>
  <c r="U16" i="3"/>
  <c r="AD16" i="3" s="1"/>
  <c r="V16" i="3"/>
  <c r="X16" i="3"/>
  <c r="M29" i="3"/>
  <c r="S29" i="3"/>
  <c r="U29" i="3"/>
  <c r="AC29" i="3" s="1"/>
  <c r="V29" i="3"/>
  <c r="X29" i="3"/>
  <c r="M32" i="3"/>
  <c r="U32" i="3"/>
  <c r="V32" i="3"/>
  <c r="X32" i="3"/>
  <c r="M33" i="3"/>
  <c r="U33" i="3"/>
  <c r="T33" i="3" s="1"/>
  <c r="V33" i="3"/>
  <c r="X33" i="3"/>
  <c r="M8" i="3"/>
  <c r="U8" i="3"/>
  <c r="AC8" i="3" s="1"/>
  <c r="V8" i="3"/>
  <c r="X8" i="3"/>
  <c r="M30" i="3"/>
  <c r="U30" i="3"/>
  <c r="AC30" i="3" s="1"/>
  <c r="V30" i="3"/>
  <c r="X30" i="3"/>
  <c r="M24" i="3"/>
  <c r="R24" i="3"/>
  <c r="U24" i="3"/>
  <c r="V24" i="3"/>
  <c r="X24" i="3"/>
  <c r="M9" i="3"/>
  <c r="U9" i="3"/>
  <c r="T9" i="3" s="1"/>
  <c r="V9" i="3"/>
  <c r="X9" i="3"/>
  <c r="M7" i="3"/>
  <c r="U7" i="3"/>
  <c r="V7" i="3"/>
  <c r="X7" i="3"/>
  <c r="AG28" i="1"/>
  <c r="AG44" i="1"/>
  <c r="AG19" i="1"/>
  <c r="AG35" i="1"/>
  <c r="AG51" i="1"/>
  <c r="AG26" i="1"/>
  <c r="AG42" i="1"/>
  <c r="AG21" i="1"/>
  <c r="AG37" i="1"/>
  <c r="AG56" i="1"/>
  <c r="AG72" i="1"/>
  <c r="AG55" i="1"/>
  <c r="AG71" i="1"/>
  <c r="AG54" i="1"/>
  <c r="AG70" i="1"/>
  <c r="AG53" i="1"/>
  <c r="AG84" i="1"/>
  <c r="AG180" i="1"/>
  <c r="AG176" i="1"/>
  <c r="AG16" i="1"/>
  <c r="AG32" i="1"/>
  <c r="AG48" i="1"/>
  <c r="AG23" i="1"/>
  <c r="AG39" i="1"/>
  <c r="AG14" i="1"/>
  <c r="AG30" i="1"/>
  <c r="AG46" i="1"/>
  <c r="AG25" i="1"/>
  <c r="AG41" i="1"/>
  <c r="AG60" i="1"/>
  <c r="AG76" i="1"/>
  <c r="AG59" i="1"/>
  <c r="AG75" i="1"/>
  <c r="AG58" i="1"/>
  <c r="AG74" i="1"/>
  <c r="AG57" i="1"/>
  <c r="AG73" i="1"/>
  <c r="AG89" i="1"/>
  <c r="AG93" i="1"/>
  <c r="AG184" i="1"/>
  <c r="AG167" i="1"/>
  <c r="AG94" i="1"/>
  <c r="AG91" i="1"/>
  <c r="AG171" i="1"/>
  <c r="AG186" i="1"/>
  <c r="AG165" i="1"/>
  <c r="AG178" i="1"/>
  <c r="AG192" i="1"/>
  <c r="AG109" i="1"/>
  <c r="AG191" i="1"/>
  <c r="AG108" i="1"/>
  <c r="AG190" i="1"/>
  <c r="AG107" i="1"/>
  <c r="AG187" i="1"/>
  <c r="AG211" i="1"/>
  <c r="AG117" i="1"/>
  <c r="AG132" i="1"/>
  <c r="AG148" i="1"/>
  <c r="AG197" i="1"/>
  <c r="AG215" i="1"/>
  <c r="AG135" i="1"/>
  <c r="AG151" i="1"/>
  <c r="AG200" i="1"/>
  <c r="AG218" i="1"/>
  <c r="AG126" i="1"/>
  <c r="AG142" i="1"/>
  <c r="AG158" i="1"/>
  <c r="AG207" i="1"/>
  <c r="AG225" i="1"/>
  <c r="AG133" i="1"/>
  <c r="AG149" i="1"/>
  <c r="AG198" i="1"/>
  <c r="AG216" i="1"/>
  <c r="AG232" i="1"/>
  <c r="AG230" i="1"/>
  <c r="AG24" i="1"/>
  <c r="AG40" i="1"/>
  <c r="AG15" i="1"/>
  <c r="AG31" i="1"/>
  <c r="AG47" i="1"/>
  <c r="AG22" i="1"/>
  <c r="AG38" i="1"/>
  <c r="AG17" i="1"/>
  <c r="AG33" i="1"/>
  <c r="AG49" i="1"/>
  <c r="AG68" i="1"/>
  <c r="AG83" i="1"/>
  <c r="AG67" i="1"/>
  <c r="AG210" i="1"/>
  <c r="AG66" i="1"/>
  <c r="AG82" i="1"/>
  <c r="AG65" i="1"/>
  <c r="AG81" i="1"/>
  <c r="AG164" i="1"/>
  <c r="AG177" i="1"/>
  <c r="AG92" i="1"/>
  <c r="AG172" i="1"/>
  <c r="AG85" i="1"/>
  <c r="AG166" i="1"/>
  <c r="AG179" i="1"/>
  <c r="AG90" i="1"/>
  <c r="AG170" i="1"/>
  <c r="AG185" i="1"/>
  <c r="AG102" i="1"/>
  <c r="AG116" i="1"/>
  <c r="AG101" i="1"/>
  <c r="AG100" i="1"/>
  <c r="AG115" i="1"/>
  <c r="AG193" i="1"/>
  <c r="AG110" i="1"/>
  <c r="AG124" i="1"/>
  <c r="AG140" i="1"/>
  <c r="AG156" i="1"/>
  <c r="AG205" i="1"/>
  <c r="AG223" i="1"/>
  <c r="AG127" i="1"/>
  <c r="AG143" i="1"/>
  <c r="AG208" i="1"/>
  <c r="AG226" i="1"/>
  <c r="AG134" i="1"/>
  <c r="AG150" i="1"/>
  <c r="AG199" i="1"/>
  <c r="AG217" i="1"/>
  <c r="AG125" i="1"/>
  <c r="AG141" i="1"/>
  <c r="AG157" i="1"/>
  <c r="AG206" i="1"/>
  <c r="AG224" i="1"/>
  <c r="AG231" i="1"/>
  <c r="AG229" i="1"/>
  <c r="AG69" i="1"/>
  <c r="AG163" i="1"/>
  <c r="AG36" i="1"/>
  <c r="AG18" i="1"/>
  <c r="AG45" i="1"/>
  <c r="AG79" i="1"/>
  <c r="AG77" i="1"/>
  <c r="AG168" i="1"/>
  <c r="AG161" i="1"/>
  <c r="AG189" i="1"/>
  <c r="AG188" i="1"/>
  <c r="AG118" i="1"/>
  <c r="AG209" i="1"/>
  <c r="AG196" i="1"/>
  <c r="AG154" i="1"/>
  <c r="AG145" i="1"/>
  <c r="AG235" i="1"/>
  <c r="AG34" i="1"/>
  <c r="AG62" i="1"/>
  <c r="AG183" i="1"/>
  <c r="AG175" i="1"/>
  <c r="AG97" i="1"/>
  <c r="AG96" i="1"/>
  <c r="AG120" i="1"/>
  <c r="AG219" i="1"/>
  <c r="AG130" i="1"/>
  <c r="AG153" i="1"/>
  <c r="AG204" i="1"/>
  <c r="AG220" i="1"/>
  <c r="AG27" i="1"/>
  <c r="AG50" i="1"/>
  <c r="AG80" i="1"/>
  <c r="AG78" i="1"/>
  <c r="AG174" i="1"/>
  <c r="AG87" i="1"/>
  <c r="AG182" i="1"/>
  <c r="AG173" i="1"/>
  <c r="AG105" i="1"/>
  <c r="AG104" i="1"/>
  <c r="AG103" i="1"/>
  <c r="AG99" i="1"/>
  <c r="AG128" i="1"/>
  <c r="AG159" i="1"/>
  <c r="AG227" i="1"/>
  <c r="AG147" i="1"/>
  <c r="AG214" i="1"/>
  <c r="AG138" i="1"/>
  <c r="AG203" i="1"/>
  <c r="AG129" i="1"/>
  <c r="AG194" i="1"/>
  <c r="AG228" i="1"/>
  <c r="AG233" i="1"/>
  <c r="AG169" i="1"/>
  <c r="AG119" i="1"/>
  <c r="AG144" i="1"/>
  <c r="AG131" i="1"/>
  <c r="AG122" i="1"/>
  <c r="AG221" i="1"/>
  <c r="AG212" i="1"/>
  <c r="AG20" i="1"/>
  <c r="AG43" i="1"/>
  <c r="AG29" i="1"/>
  <c r="AG63" i="1"/>
  <c r="AG61" i="1"/>
  <c r="AG88" i="1"/>
  <c r="AG162" i="1"/>
  <c r="AG86" i="1"/>
  <c r="AG181" i="1"/>
  <c r="AG113" i="1"/>
  <c r="AG112" i="1"/>
  <c r="AG111" i="1"/>
  <c r="AG106" i="1"/>
  <c r="AG136" i="1"/>
  <c r="AG201" i="1"/>
  <c r="AG123" i="1"/>
  <c r="AG155" i="1"/>
  <c r="AG222" i="1"/>
  <c r="AG146" i="1"/>
  <c r="AG213" i="1"/>
  <c r="AG137" i="1"/>
  <c r="AG202" i="1"/>
  <c r="AG236" i="1"/>
  <c r="AG114" i="1"/>
  <c r="AG52" i="1"/>
  <c r="AG64" i="1"/>
  <c r="AG160" i="1"/>
  <c r="AG98" i="1"/>
  <c r="AG95" i="1"/>
  <c r="AG152" i="1"/>
  <c r="AG139" i="1"/>
  <c r="AG195" i="1"/>
  <c r="AG121" i="1"/>
  <c r="AG234" i="1"/>
  <c r="W26" i="3"/>
  <c r="W16" i="3"/>
  <c r="W21" i="3"/>
  <c r="W30" i="3"/>
  <c r="W33" i="3"/>
  <c r="W23" i="3"/>
  <c r="W17" i="3"/>
  <c r="W20" i="3"/>
  <c r="W8" i="3"/>
  <c r="W12" i="3"/>
  <c r="W14" i="3"/>
  <c r="W9" i="3"/>
  <c r="W32" i="3"/>
  <c r="W18" i="3"/>
  <c r="W13" i="3"/>
  <c r="W7" i="3"/>
  <c r="W15" i="3"/>
  <c r="W27" i="3"/>
  <c r="W10" i="3"/>
  <c r="W24" i="3"/>
  <c r="W28" i="3"/>
  <c r="W31" i="3"/>
  <c r="W29" i="3"/>
  <c r="W11" i="3"/>
  <c r="W22" i="3"/>
  <c r="W19" i="3"/>
  <c r="X119" i="1" l="1"/>
  <c r="X77" i="1"/>
  <c r="AA28" i="1"/>
  <c r="X168" i="1"/>
  <c r="X123" i="1"/>
  <c r="S15" i="3"/>
  <c r="X95" i="1"/>
  <c r="AA95" i="1"/>
  <c r="X162" i="1"/>
  <c r="X160" i="1"/>
  <c r="X167" i="1"/>
  <c r="AA206" i="1"/>
  <c r="AA131" i="1"/>
  <c r="T77" i="1"/>
  <c r="AA55" i="1"/>
  <c r="W55" i="1" s="1"/>
  <c r="AA19" i="1"/>
  <c r="X170" i="1"/>
  <c r="AA225" i="1"/>
  <c r="W225" i="1" s="1"/>
  <c r="AA128" i="1"/>
  <c r="AA126" i="1"/>
  <c r="AA116" i="1"/>
  <c r="W116" i="1" s="1"/>
  <c r="AA164" i="1"/>
  <c r="W164" i="1" s="1"/>
  <c r="AA47" i="1"/>
  <c r="AA35" i="1"/>
  <c r="AA31" i="1"/>
  <c r="W31" i="1" s="1"/>
  <c r="X161" i="1"/>
  <c r="X159" i="1"/>
  <c r="AA149" i="1"/>
  <c r="AA137" i="1"/>
  <c r="AA133" i="1"/>
  <c r="W133" i="1" s="1"/>
  <c r="X100" i="1"/>
  <c r="AA98" i="1"/>
  <c r="AA192" i="1"/>
  <c r="X180" i="1"/>
  <c r="X158" i="1"/>
  <c r="X122" i="1"/>
  <c r="AA175" i="1"/>
  <c r="X164" i="1"/>
  <c r="AA210" i="1"/>
  <c r="AA16" i="1"/>
  <c r="X121" i="1"/>
  <c r="AD19" i="3"/>
  <c r="X93" i="1"/>
  <c r="AE31" i="3"/>
  <c r="AE27" i="3"/>
  <c r="X225" i="1"/>
  <c r="AA196" i="1"/>
  <c r="X150" i="1"/>
  <c r="X94" i="1"/>
  <c r="AA178" i="1"/>
  <c r="W178" i="1" s="1"/>
  <c r="AA176" i="1"/>
  <c r="AA167" i="1"/>
  <c r="AA165" i="1"/>
  <c r="W165" i="1" s="1"/>
  <c r="X91" i="1"/>
  <c r="AA83" i="1"/>
  <c r="X61" i="1"/>
  <c r="X57" i="1"/>
  <c r="X29" i="1"/>
  <c r="X124" i="1"/>
  <c r="X120" i="1"/>
  <c r="AC19" i="3"/>
  <c r="R33" i="3"/>
  <c r="X221" i="1"/>
  <c r="X217" i="1"/>
  <c r="X213" i="1"/>
  <c r="AA157" i="1"/>
  <c r="W157" i="1" s="1"/>
  <c r="AA105" i="1"/>
  <c r="AA180" i="1"/>
  <c r="T164" i="1"/>
  <c r="AA161" i="1"/>
  <c r="W161" i="1" s="1"/>
  <c r="AA92" i="1"/>
  <c r="AA51" i="1"/>
  <c r="S21" i="3"/>
  <c r="X89" i="1"/>
  <c r="X81" i="1"/>
  <c r="X69" i="1"/>
  <c r="X53" i="1"/>
  <c r="X37" i="1"/>
  <c r="AD23" i="3"/>
  <c r="AA111" i="1"/>
  <c r="W111" i="1" s="1"/>
  <c r="T100" i="1"/>
  <c r="U100" i="1" s="1"/>
  <c r="S100" i="1" s="1"/>
  <c r="AA173" i="1"/>
  <c r="W173" i="1" s="1"/>
  <c r="T168" i="1"/>
  <c r="U168" i="1" s="1"/>
  <c r="S168" i="1" s="1"/>
  <c r="AA91" i="1"/>
  <c r="W91" i="1" s="1"/>
  <c r="AA79" i="1"/>
  <c r="W79" i="1" s="1"/>
  <c r="T61" i="1"/>
  <c r="U61" i="1" s="1"/>
  <c r="S61" i="1" s="1"/>
  <c r="X51" i="1"/>
  <c r="X44" i="1"/>
  <c r="X41" i="1"/>
  <c r="X116" i="1"/>
  <c r="AD33" i="3"/>
  <c r="R15" i="3"/>
  <c r="X45" i="1"/>
  <c r="X40" i="1"/>
  <c r="X117" i="1"/>
  <c r="AC16" i="3"/>
  <c r="T23" i="3"/>
  <c r="T213" i="1"/>
  <c r="U213" i="1" s="1"/>
  <c r="S213" i="1" s="1"/>
  <c r="X199" i="1"/>
  <c r="T150" i="1"/>
  <c r="U150" i="1" s="1"/>
  <c r="S150" i="1" s="1"/>
  <c r="X142" i="1"/>
  <c r="AA226" i="1"/>
  <c r="W226" i="1" s="1"/>
  <c r="AA213" i="1"/>
  <c r="AA200" i="1"/>
  <c r="W200" i="1" s="1"/>
  <c r="AA145" i="1"/>
  <c r="X138" i="1"/>
  <c r="X99" i="1"/>
  <c r="T180" i="1"/>
  <c r="AA168" i="1"/>
  <c r="AA89" i="1"/>
  <c r="T81" i="1"/>
  <c r="AA75" i="1"/>
  <c r="AA71" i="1"/>
  <c r="W71" i="1" s="1"/>
  <c r="T69" i="1"/>
  <c r="U69" i="1" s="1"/>
  <c r="S69" i="1" s="1"/>
  <c r="AA52" i="1"/>
  <c r="AA50" i="1"/>
  <c r="W50" i="1" s="1"/>
  <c r="AA48" i="1"/>
  <c r="AA42" i="1"/>
  <c r="W42" i="1" s="1"/>
  <c r="AA40" i="1"/>
  <c r="AA36" i="1"/>
  <c r="AA34" i="1"/>
  <c r="W34" i="1" s="1"/>
  <c r="AA20" i="1"/>
  <c r="W20" i="1" s="1"/>
  <c r="X115" i="1"/>
  <c r="T17" i="3"/>
  <c r="AC17" i="3"/>
  <c r="T182" i="1"/>
  <c r="U182" i="1" s="1"/>
  <c r="S182" i="1" s="1"/>
  <c r="X182" i="1"/>
  <c r="AC7" i="3"/>
  <c r="AC32" i="3"/>
  <c r="T32" i="3"/>
  <c r="R12" i="3"/>
  <c r="AD17" i="3"/>
  <c r="T195" i="1"/>
  <c r="U195" i="1" s="1"/>
  <c r="S195" i="1" s="1"/>
  <c r="X195" i="1"/>
  <c r="T17" i="1"/>
  <c r="X17" i="1"/>
  <c r="T135" i="1"/>
  <c r="U135" i="1" s="1"/>
  <c r="S135" i="1" s="1"/>
  <c r="X135" i="1"/>
  <c r="S32" i="3"/>
  <c r="S33" i="3"/>
  <c r="AD32" i="3"/>
  <c r="AC24" i="3"/>
  <c r="T24" i="3"/>
  <c r="T27" i="3"/>
  <c r="AC27" i="3"/>
  <c r="AD27" i="3"/>
  <c r="AA198" i="1"/>
  <c r="W198" i="1" s="1"/>
  <c r="AA146" i="1"/>
  <c r="AA141" i="1"/>
  <c r="W141" i="1" s="1"/>
  <c r="X125" i="1"/>
  <c r="AA125" i="1"/>
  <c r="AA102" i="1"/>
  <c r="AA80" i="1"/>
  <c r="AA72" i="1"/>
  <c r="W72" i="1" s="1"/>
  <c r="AD31" i="3"/>
  <c r="AA235" i="1"/>
  <c r="W235" i="1" s="1"/>
  <c r="X154" i="1"/>
  <c r="X141" i="1"/>
  <c r="AA185" i="1"/>
  <c r="W185" i="1" s="1"/>
  <c r="AA64" i="1"/>
  <c r="W64" i="1" s="1"/>
  <c r="AA56" i="1"/>
  <c r="AA39" i="1"/>
  <c r="W39" i="1" s="1"/>
  <c r="X31" i="1"/>
  <c r="AA63" i="1"/>
  <c r="W63" i="1" s="1"/>
  <c r="AA229" i="1"/>
  <c r="AA202" i="1"/>
  <c r="W202" i="1" s="1"/>
  <c r="X139" i="1"/>
  <c r="AA130" i="1"/>
  <c r="W130" i="1" s="1"/>
  <c r="AA121" i="1"/>
  <c r="W121" i="1" s="1"/>
  <c r="AD29" i="3"/>
  <c r="AD28" i="3"/>
  <c r="T10" i="3"/>
  <c r="AA232" i="1"/>
  <c r="W232" i="1" s="1"/>
  <c r="AA216" i="1"/>
  <c r="AA214" i="1"/>
  <c r="W214" i="1" s="1"/>
  <c r="AA155" i="1"/>
  <c r="AA153" i="1"/>
  <c r="W153" i="1" s="1"/>
  <c r="X137" i="1"/>
  <c r="AA135" i="1"/>
  <c r="W135" i="1" s="1"/>
  <c r="X126" i="1"/>
  <c r="AA124" i="1"/>
  <c r="W124" i="1" s="1"/>
  <c r="AA122" i="1"/>
  <c r="W122" i="1" s="1"/>
  <c r="AA118" i="1"/>
  <c r="W118" i="1" s="1"/>
  <c r="AA97" i="1"/>
  <c r="W97" i="1" s="1"/>
  <c r="AA186" i="1"/>
  <c r="W186" i="1" s="1"/>
  <c r="AA182" i="1"/>
  <c r="W182" i="1" s="1"/>
  <c r="AA181" i="1"/>
  <c r="W181" i="1" s="1"/>
  <c r="AA170" i="1"/>
  <c r="W170" i="1" s="1"/>
  <c r="AA169" i="1"/>
  <c r="AA88" i="1"/>
  <c r="W88" i="1" s="1"/>
  <c r="X73" i="1"/>
  <c r="AA67" i="1"/>
  <c r="W67" i="1" s="1"/>
  <c r="AA59" i="1"/>
  <c r="AA44" i="1"/>
  <c r="W44" i="1" s="1"/>
  <c r="X32" i="1"/>
  <c r="AA25" i="1"/>
  <c r="X19" i="1"/>
  <c r="AA17" i="1"/>
  <c r="W17" i="1" s="1"/>
  <c r="AA236" i="1"/>
  <c r="X233" i="1"/>
  <c r="AA231" i="1"/>
  <c r="AA221" i="1"/>
  <c r="W221" i="1" s="1"/>
  <c r="T221" i="1"/>
  <c r="AA217" i="1"/>
  <c r="W217" i="1" s="1"/>
  <c r="T217" i="1"/>
  <c r="U217" i="1" s="1"/>
  <c r="S217" i="1" s="1"/>
  <c r="AA212" i="1"/>
  <c r="W212" i="1" s="1"/>
  <c r="AA208" i="1"/>
  <c r="X207" i="1"/>
  <c r="AA204" i="1"/>
  <c r="X203" i="1"/>
  <c r="AA194" i="1"/>
  <c r="AA154" i="1"/>
  <c r="W154" i="1" s="1"/>
  <c r="AA139" i="1"/>
  <c r="T139" i="1"/>
  <c r="U139" i="1" s="1"/>
  <c r="S139" i="1" s="1"/>
  <c r="T138" i="1"/>
  <c r="U138" i="1" s="1"/>
  <c r="S138" i="1" s="1"/>
  <c r="X134" i="1"/>
  <c r="X129" i="1"/>
  <c r="AA117" i="1"/>
  <c r="W117" i="1" s="1"/>
  <c r="AA115" i="1"/>
  <c r="AA113" i="1"/>
  <c r="W113" i="1" s="1"/>
  <c r="X107" i="1"/>
  <c r="AA96" i="1"/>
  <c r="W96" i="1" s="1"/>
  <c r="X190" i="1"/>
  <c r="AA189" i="1"/>
  <c r="W189" i="1" s="1"/>
  <c r="AA187" i="1"/>
  <c r="X186" i="1"/>
  <c r="X183" i="1"/>
  <c r="AA94" i="1"/>
  <c r="AA172" i="1"/>
  <c r="AA171" i="1"/>
  <c r="W171" i="1" s="1"/>
  <c r="X166" i="1"/>
  <c r="AA163" i="1"/>
  <c r="T84" i="1"/>
  <c r="AA76" i="1"/>
  <c r="W76" i="1" s="1"/>
  <c r="T73" i="1"/>
  <c r="U73" i="1" s="1"/>
  <c r="S73" i="1" s="1"/>
  <c r="X65" i="1"/>
  <c r="AA60" i="1"/>
  <c r="T57" i="1"/>
  <c r="U57" i="1" s="1"/>
  <c r="S57" i="1" s="1"/>
  <c r="AA49" i="1"/>
  <c r="W49" i="1" s="1"/>
  <c r="AA43" i="1"/>
  <c r="AA27" i="1"/>
  <c r="X25" i="1"/>
  <c r="AA23" i="1"/>
  <c r="X16" i="1"/>
  <c r="X15" i="1"/>
  <c r="X157" i="1"/>
  <c r="X133" i="1"/>
  <c r="T119" i="1"/>
  <c r="AA24" i="1"/>
  <c r="AA233" i="1"/>
  <c r="W233" i="1" s="1"/>
  <c r="AA224" i="1"/>
  <c r="W224" i="1" s="1"/>
  <c r="AA222" i="1"/>
  <c r="AA218" i="1"/>
  <c r="AA207" i="1"/>
  <c r="W207" i="1" s="1"/>
  <c r="AA195" i="1"/>
  <c r="W195" i="1" s="1"/>
  <c r="X149" i="1"/>
  <c r="AA147" i="1"/>
  <c r="X146" i="1"/>
  <c r="T134" i="1"/>
  <c r="U134" i="1" s="1"/>
  <c r="S134" i="1" s="1"/>
  <c r="X131" i="1"/>
  <c r="AA129" i="1"/>
  <c r="AA119" i="1"/>
  <c r="W119" i="1" s="1"/>
  <c r="AA112" i="1"/>
  <c r="AA109" i="1"/>
  <c r="AA106" i="1"/>
  <c r="W106" i="1" s="1"/>
  <c r="AA103" i="1"/>
  <c r="W103" i="1" s="1"/>
  <c r="X187" i="1"/>
  <c r="AA183" i="1"/>
  <c r="AA166" i="1"/>
  <c r="X85" i="1"/>
  <c r="AA68" i="1"/>
  <c r="X48" i="1"/>
  <c r="X43" i="1"/>
  <c r="AA41" i="1"/>
  <c r="W41" i="1" s="1"/>
  <c r="X35" i="1"/>
  <c r="AA33" i="1"/>
  <c r="X27" i="1"/>
  <c r="X21" i="1"/>
  <c r="AA15" i="1"/>
  <c r="AA32" i="1"/>
  <c r="W32" i="1" s="1"/>
  <c r="X28" i="1"/>
  <c r="X24" i="1"/>
  <c r="T228" i="1"/>
  <c r="U228" i="1" s="1"/>
  <c r="S228" i="1" s="1"/>
  <c r="X229" i="1"/>
  <c r="X235" i="1"/>
  <c r="X234" i="1"/>
  <c r="X231" i="1"/>
  <c r="X230" i="1"/>
  <c r="AA228" i="1"/>
  <c r="AA223" i="1"/>
  <c r="W223" i="1" s="1"/>
  <c r="X220" i="1"/>
  <c r="AA215" i="1"/>
  <c r="X212" i="1"/>
  <c r="AA205" i="1"/>
  <c r="W205" i="1" s="1"/>
  <c r="X202" i="1"/>
  <c r="AA199" i="1"/>
  <c r="W199" i="1" s="1"/>
  <c r="AA197" i="1"/>
  <c r="W197" i="1" s="1"/>
  <c r="X194" i="1"/>
  <c r="AA158" i="1"/>
  <c r="AA156" i="1"/>
  <c r="X153" i="1"/>
  <c r="AA150" i="1"/>
  <c r="W150" i="1" s="1"/>
  <c r="AA148" i="1"/>
  <c r="X145" i="1"/>
  <c r="AA142" i="1"/>
  <c r="AA140" i="1"/>
  <c r="W140" i="1" s="1"/>
  <c r="AA138" i="1"/>
  <c r="AA136" i="1"/>
  <c r="W136" i="1" s="1"/>
  <c r="AA134" i="1"/>
  <c r="AA132" i="1"/>
  <c r="W132" i="1" s="1"/>
  <c r="AA120" i="1"/>
  <c r="W120" i="1" s="1"/>
  <c r="X110" i="1"/>
  <c r="T110" i="1"/>
  <c r="X96" i="1"/>
  <c r="T96" i="1"/>
  <c r="T154" i="1"/>
  <c r="U154" i="1" s="1"/>
  <c r="S154" i="1" s="1"/>
  <c r="AA151" i="1"/>
  <c r="AA143" i="1"/>
  <c r="W143" i="1" s="1"/>
  <c r="X130" i="1"/>
  <c r="X127" i="1"/>
  <c r="T125" i="1"/>
  <c r="AA123" i="1"/>
  <c r="W123" i="1" s="1"/>
  <c r="T123" i="1"/>
  <c r="U123" i="1" s="1"/>
  <c r="S123" i="1" s="1"/>
  <c r="X118" i="1"/>
  <c r="X114" i="1"/>
  <c r="T103" i="1"/>
  <c r="U103" i="1" s="1"/>
  <c r="S103" i="1" s="1"/>
  <c r="X103" i="1"/>
  <c r="AA234" i="1"/>
  <c r="W234" i="1" s="1"/>
  <c r="AA230" i="1"/>
  <c r="AA227" i="1"/>
  <c r="W227" i="1" s="1"/>
  <c r="X224" i="1"/>
  <c r="AA219" i="1"/>
  <c r="W219" i="1" s="1"/>
  <c r="X216" i="1"/>
  <c r="AA209" i="1"/>
  <c r="W209" i="1" s="1"/>
  <c r="X206" i="1"/>
  <c r="AA203" i="1"/>
  <c r="AA201" i="1"/>
  <c r="X198" i="1"/>
  <c r="AA159" i="1"/>
  <c r="W159" i="1" s="1"/>
  <c r="AA152" i="1"/>
  <c r="AA144" i="1"/>
  <c r="W144" i="1" s="1"/>
  <c r="X111" i="1"/>
  <c r="T111" i="1"/>
  <c r="X106" i="1"/>
  <c r="X193" i="1"/>
  <c r="T193" i="1"/>
  <c r="AA127" i="1"/>
  <c r="AA114" i="1"/>
  <c r="T211" i="1"/>
  <c r="X211" i="1"/>
  <c r="T166" i="1"/>
  <c r="X92" i="1"/>
  <c r="T51" i="1"/>
  <c r="T48" i="1"/>
  <c r="U48" i="1" s="1"/>
  <c r="S48" i="1" s="1"/>
  <c r="T35" i="1"/>
  <c r="U35" i="1" s="1"/>
  <c r="S35" i="1" s="1"/>
  <c r="T32" i="1"/>
  <c r="T19" i="1"/>
  <c r="U19" i="1" s="1"/>
  <c r="S19" i="1" s="1"/>
  <c r="AA18" i="1"/>
  <c r="W18" i="1" s="1"/>
  <c r="T16" i="1"/>
  <c r="AA110" i="1"/>
  <c r="W110" i="1" s="1"/>
  <c r="AA108" i="1"/>
  <c r="AA107" i="1"/>
  <c r="W107" i="1" s="1"/>
  <c r="AA193" i="1"/>
  <c r="AA191" i="1"/>
  <c r="AA190" i="1"/>
  <c r="T95" i="1"/>
  <c r="U95" i="1" s="1"/>
  <c r="S95" i="1" s="1"/>
  <c r="AA188" i="1"/>
  <c r="X184" i="1"/>
  <c r="T94" i="1"/>
  <c r="U94" i="1" s="1"/>
  <c r="S94" i="1" s="1"/>
  <c r="AA179" i="1"/>
  <c r="W179" i="1" s="1"/>
  <c r="T179" i="1"/>
  <c r="AA177" i="1"/>
  <c r="W177" i="1" s="1"/>
  <c r="T177" i="1"/>
  <c r="U177" i="1" s="1"/>
  <c r="S177" i="1" s="1"/>
  <c r="T171" i="1"/>
  <c r="U171" i="1" s="1"/>
  <c r="S171" i="1" s="1"/>
  <c r="AA93" i="1"/>
  <c r="W93" i="1" s="1"/>
  <c r="T93" i="1"/>
  <c r="U93" i="1" s="1"/>
  <c r="S93" i="1" s="1"/>
  <c r="T163" i="1"/>
  <c r="AA162" i="1"/>
  <c r="T162" i="1"/>
  <c r="U162" i="1" s="1"/>
  <c r="S162" i="1" s="1"/>
  <c r="AA160" i="1"/>
  <c r="T160" i="1"/>
  <c r="U160" i="1" s="1"/>
  <c r="S160" i="1" s="1"/>
  <c r="X88" i="1"/>
  <c r="X87" i="1"/>
  <c r="AA86" i="1"/>
  <c r="W86" i="1" s="1"/>
  <c r="X83" i="1"/>
  <c r="X80" i="1"/>
  <c r="X76" i="1"/>
  <c r="X72" i="1"/>
  <c r="X68" i="1"/>
  <c r="X64" i="1"/>
  <c r="X60" i="1"/>
  <c r="X56" i="1"/>
  <c r="X52" i="1"/>
  <c r="X49" i="1"/>
  <c r="AA46" i="1"/>
  <c r="W46" i="1" s="1"/>
  <c r="AA45" i="1"/>
  <c r="T41" i="1"/>
  <c r="X39" i="1"/>
  <c r="X36" i="1"/>
  <c r="X33" i="1"/>
  <c r="AA30" i="1"/>
  <c r="W30" i="1" s="1"/>
  <c r="AA29" i="1"/>
  <c r="W29" i="1" s="1"/>
  <c r="X23" i="1"/>
  <c r="X20" i="1"/>
  <c r="AA14" i="1"/>
  <c r="W14" i="1" s="1"/>
  <c r="T43" i="1"/>
  <c r="U43" i="1" s="1"/>
  <c r="S43" i="1" s="1"/>
  <c r="AA26" i="1"/>
  <c r="W26" i="1" s="1"/>
  <c r="AA21" i="1"/>
  <c r="W21" i="1" s="1"/>
  <c r="AA211" i="1"/>
  <c r="AA101" i="1"/>
  <c r="W101" i="1" s="1"/>
  <c r="AA100" i="1"/>
  <c r="W100" i="1" s="1"/>
  <c r="T186" i="1"/>
  <c r="AA184" i="1"/>
  <c r="W184" i="1" s="1"/>
  <c r="AA174" i="1"/>
  <c r="W174" i="1" s="1"/>
  <c r="AA87" i="1"/>
  <c r="AA84" i="1"/>
  <c r="AA82" i="1"/>
  <c r="W82" i="1" s="1"/>
  <c r="AA81" i="1"/>
  <c r="W81" i="1" s="1"/>
  <c r="AA78" i="1"/>
  <c r="AA77" i="1"/>
  <c r="AA74" i="1"/>
  <c r="W74" i="1" s="1"/>
  <c r="AA73" i="1"/>
  <c r="AA70" i="1"/>
  <c r="AA69" i="1"/>
  <c r="AA66" i="1"/>
  <c r="W66" i="1" s="1"/>
  <c r="AA65" i="1"/>
  <c r="W65" i="1" s="1"/>
  <c r="AA62" i="1"/>
  <c r="AA61" i="1"/>
  <c r="AA58" i="1"/>
  <c r="W58" i="1" s="1"/>
  <c r="AA57" i="1"/>
  <c r="W57" i="1" s="1"/>
  <c r="AA54" i="1"/>
  <c r="AA53" i="1"/>
  <c r="X47" i="1"/>
  <c r="AA38" i="1"/>
  <c r="W38" i="1" s="1"/>
  <c r="AA37" i="1"/>
  <c r="W37" i="1" s="1"/>
  <c r="AA22" i="1"/>
  <c r="AI233" i="1"/>
  <c r="U233" i="1"/>
  <c r="S233" i="1" s="1"/>
  <c r="AI229" i="1"/>
  <c r="U229" i="1"/>
  <c r="S229" i="1" s="1"/>
  <c r="AI234" i="1"/>
  <c r="U234" i="1"/>
  <c r="S234" i="1" s="1"/>
  <c r="AI230" i="1"/>
  <c r="U230" i="1"/>
  <c r="S230" i="1" s="1"/>
  <c r="U235" i="1"/>
  <c r="S235" i="1" s="1"/>
  <c r="AI235" i="1"/>
  <c r="U231" i="1"/>
  <c r="S231" i="1" s="1"/>
  <c r="AI231" i="1"/>
  <c r="U236" i="1"/>
  <c r="S236" i="1" s="1"/>
  <c r="AI236" i="1"/>
  <c r="U232" i="1"/>
  <c r="S232" i="1" s="1"/>
  <c r="AI232" i="1"/>
  <c r="AI228" i="1"/>
  <c r="AI224" i="1"/>
  <c r="U224" i="1"/>
  <c r="S224" i="1" s="1"/>
  <c r="AI220" i="1"/>
  <c r="U220" i="1"/>
  <c r="S220" i="1" s="1"/>
  <c r="AI216" i="1"/>
  <c r="U216" i="1"/>
  <c r="S216" i="1" s="1"/>
  <c r="AI212" i="1"/>
  <c r="U212" i="1"/>
  <c r="S212" i="1" s="1"/>
  <c r="AI208" i="1"/>
  <c r="U206" i="1"/>
  <c r="S206" i="1" s="1"/>
  <c r="AI204" i="1"/>
  <c r="U202" i="1"/>
  <c r="S202" i="1" s="1"/>
  <c r="AI200" i="1"/>
  <c r="U198" i="1"/>
  <c r="S198" i="1" s="1"/>
  <c r="AI196" i="1"/>
  <c r="U194" i="1"/>
  <c r="S194" i="1" s="1"/>
  <c r="AI192" i="1"/>
  <c r="U157" i="1"/>
  <c r="S157" i="1" s="1"/>
  <c r="AI188" i="1"/>
  <c r="U153" i="1"/>
  <c r="S153" i="1" s="1"/>
  <c r="AI184" i="1"/>
  <c r="U149" i="1"/>
  <c r="S149" i="1" s="1"/>
  <c r="AI180" i="1"/>
  <c r="U145" i="1"/>
  <c r="S145" i="1" s="1"/>
  <c r="AI176" i="1"/>
  <c r="U141" i="1"/>
  <c r="S141" i="1" s="1"/>
  <c r="AI172" i="1"/>
  <c r="U137" i="1"/>
  <c r="S137" i="1" s="1"/>
  <c r="AI168" i="1"/>
  <c r="U133" i="1"/>
  <c r="S133" i="1" s="1"/>
  <c r="AI166" i="1"/>
  <c r="U129" i="1"/>
  <c r="S129" i="1" s="1"/>
  <c r="AI162" i="1"/>
  <c r="U125" i="1"/>
  <c r="S125" i="1" s="1"/>
  <c r="U121" i="1"/>
  <c r="S121" i="1" s="1"/>
  <c r="AI225" i="1"/>
  <c r="U225" i="1"/>
  <c r="S225" i="1" s="1"/>
  <c r="AI221" i="1"/>
  <c r="U221" i="1"/>
  <c r="S221" i="1" s="1"/>
  <c r="AI217" i="1"/>
  <c r="AI213" i="1"/>
  <c r="AI209" i="1"/>
  <c r="U207" i="1"/>
  <c r="S207" i="1" s="1"/>
  <c r="AI205" i="1"/>
  <c r="U203" i="1"/>
  <c r="S203" i="1" s="1"/>
  <c r="AI201" i="1"/>
  <c r="U199" i="1"/>
  <c r="S199" i="1" s="1"/>
  <c r="AI197" i="1"/>
  <c r="AI193" i="1"/>
  <c r="U158" i="1"/>
  <c r="S158" i="1" s="1"/>
  <c r="AI189" i="1"/>
  <c r="AI185" i="1"/>
  <c r="AI181" i="1"/>
  <c r="U146" i="1"/>
  <c r="S146" i="1" s="1"/>
  <c r="AI177" i="1"/>
  <c r="U142" i="1"/>
  <c r="S142" i="1" s="1"/>
  <c r="AI174" i="1"/>
  <c r="AI169" i="1"/>
  <c r="AI167" i="1"/>
  <c r="U130" i="1"/>
  <c r="S130" i="1" s="1"/>
  <c r="AI163" i="1"/>
  <c r="U126" i="1"/>
  <c r="S126" i="1" s="1"/>
  <c r="AI159" i="1"/>
  <c r="U122" i="1"/>
  <c r="S122" i="1" s="1"/>
  <c r="U226" i="1"/>
  <c r="S226" i="1" s="1"/>
  <c r="AI226" i="1"/>
  <c r="U222" i="1"/>
  <c r="S222" i="1" s="1"/>
  <c r="AI222" i="1"/>
  <c r="U218" i="1"/>
  <c r="S218" i="1" s="1"/>
  <c r="AI218" i="1"/>
  <c r="U214" i="1"/>
  <c r="S214" i="1" s="1"/>
  <c r="AI214" i="1"/>
  <c r="U208" i="1"/>
  <c r="S208" i="1" s="1"/>
  <c r="AI210" i="1"/>
  <c r="U204" i="1"/>
  <c r="S204" i="1" s="1"/>
  <c r="AI206" i="1"/>
  <c r="U200" i="1"/>
  <c r="S200" i="1" s="1"/>
  <c r="AI202" i="1"/>
  <c r="U196" i="1"/>
  <c r="S196" i="1" s="1"/>
  <c r="AI198" i="1"/>
  <c r="AI194" i="1"/>
  <c r="U155" i="1"/>
  <c r="S155" i="1" s="1"/>
  <c r="AI190" i="1"/>
  <c r="U151" i="1"/>
  <c r="S151" i="1" s="1"/>
  <c r="AI186" i="1"/>
  <c r="U147" i="1"/>
  <c r="S147" i="1" s="1"/>
  <c r="AI182" i="1"/>
  <c r="U143" i="1"/>
  <c r="S143" i="1" s="1"/>
  <c r="AI178" i="1"/>
  <c r="AI173" i="1"/>
  <c r="AI170" i="1"/>
  <c r="U131" i="1"/>
  <c r="S131" i="1" s="1"/>
  <c r="U127" i="1"/>
  <c r="S127" i="1" s="1"/>
  <c r="AI164" i="1"/>
  <c r="AI160" i="1"/>
  <c r="AI157" i="1"/>
  <c r="AI227" i="1"/>
  <c r="U223" i="1"/>
  <c r="S223" i="1" s="1"/>
  <c r="AI223" i="1"/>
  <c r="U219" i="1"/>
  <c r="S219" i="1" s="1"/>
  <c r="AI219" i="1"/>
  <c r="U215" i="1"/>
  <c r="S215" i="1" s="1"/>
  <c r="AI215" i="1"/>
  <c r="U209" i="1"/>
  <c r="S209" i="1" s="1"/>
  <c r="AI211" i="1"/>
  <c r="U205" i="1"/>
  <c r="S205" i="1" s="1"/>
  <c r="AI207" i="1"/>
  <c r="U201" i="1"/>
  <c r="S201" i="1" s="1"/>
  <c r="AI203" i="1"/>
  <c r="U197" i="1"/>
  <c r="S197" i="1" s="1"/>
  <c r="AI199" i="1"/>
  <c r="U159" i="1"/>
  <c r="S159" i="1" s="1"/>
  <c r="AI195" i="1"/>
  <c r="U156" i="1"/>
  <c r="S156" i="1" s="1"/>
  <c r="AI191" i="1"/>
  <c r="U152" i="1"/>
  <c r="S152" i="1" s="1"/>
  <c r="AI187" i="1"/>
  <c r="U148" i="1"/>
  <c r="S148" i="1" s="1"/>
  <c r="AI183" i="1"/>
  <c r="U144" i="1"/>
  <c r="S144" i="1" s="1"/>
  <c r="AI179" i="1"/>
  <c r="U140" i="1"/>
  <c r="S140" i="1" s="1"/>
  <c r="AI175" i="1"/>
  <c r="U136" i="1"/>
  <c r="S136" i="1" s="1"/>
  <c r="AI171" i="1"/>
  <c r="U132" i="1"/>
  <c r="S132" i="1" s="1"/>
  <c r="U128" i="1"/>
  <c r="S128" i="1" s="1"/>
  <c r="AI165" i="1"/>
  <c r="U124" i="1"/>
  <c r="S124" i="1" s="1"/>
  <c r="AI161" i="1"/>
  <c r="U120" i="1"/>
  <c r="S120" i="1" s="1"/>
  <c r="AI158" i="1"/>
  <c r="AI154" i="1"/>
  <c r="U117" i="1"/>
  <c r="S117" i="1" s="1"/>
  <c r="AI150" i="1"/>
  <c r="U114" i="1"/>
  <c r="S114" i="1" s="1"/>
  <c r="AI146" i="1"/>
  <c r="U110" i="1"/>
  <c r="S110" i="1" s="1"/>
  <c r="AI142" i="1"/>
  <c r="U106" i="1"/>
  <c r="S106" i="1" s="1"/>
  <c r="AI138" i="1"/>
  <c r="U211" i="1"/>
  <c r="S211" i="1" s="1"/>
  <c r="AI134" i="1"/>
  <c r="U99" i="1"/>
  <c r="S99" i="1" s="1"/>
  <c r="AI130" i="1"/>
  <c r="U193" i="1"/>
  <c r="S193" i="1" s="1"/>
  <c r="AI126" i="1"/>
  <c r="AI123" i="1"/>
  <c r="U187" i="1"/>
  <c r="S187" i="1" s="1"/>
  <c r="U118" i="1"/>
  <c r="S118" i="1" s="1"/>
  <c r="AI155" i="1"/>
  <c r="AI151" i="1"/>
  <c r="U115" i="1"/>
  <c r="S115" i="1" s="1"/>
  <c r="AI147" i="1"/>
  <c r="U111" i="1"/>
  <c r="S111" i="1" s="1"/>
  <c r="AI143" i="1"/>
  <c r="U107" i="1"/>
  <c r="S107" i="1" s="1"/>
  <c r="AI139" i="1"/>
  <c r="AI135" i="1"/>
  <c r="AI131" i="1"/>
  <c r="U96" i="1"/>
  <c r="S96" i="1" s="1"/>
  <c r="AI127" i="1"/>
  <c r="U190" i="1"/>
  <c r="S190" i="1" s="1"/>
  <c r="U119" i="1"/>
  <c r="S119" i="1" s="1"/>
  <c r="AI156" i="1"/>
  <c r="AI152" i="1"/>
  <c r="U112" i="1"/>
  <c r="S112" i="1" s="1"/>
  <c r="AI148" i="1"/>
  <c r="U108" i="1"/>
  <c r="AI144" i="1"/>
  <c r="U104" i="1"/>
  <c r="S104" i="1" s="1"/>
  <c r="AI140" i="1"/>
  <c r="U101" i="1"/>
  <c r="S101" i="1" s="1"/>
  <c r="AI136" i="1"/>
  <c r="U97" i="1"/>
  <c r="S97" i="1" s="1"/>
  <c r="AI132" i="1"/>
  <c r="U191" i="1"/>
  <c r="S191" i="1" s="1"/>
  <c r="AI128" i="1"/>
  <c r="U188" i="1"/>
  <c r="S188" i="1" s="1"/>
  <c r="AI124" i="1"/>
  <c r="U116" i="1"/>
  <c r="S116" i="1" s="1"/>
  <c r="AI153" i="1"/>
  <c r="U113" i="1"/>
  <c r="S113" i="1" s="1"/>
  <c r="AI149" i="1"/>
  <c r="U109" i="1"/>
  <c r="AI145" i="1"/>
  <c r="U105" i="1"/>
  <c r="S105" i="1" s="1"/>
  <c r="AI141" i="1"/>
  <c r="U102" i="1"/>
  <c r="S102" i="1" s="1"/>
  <c r="AI137" i="1"/>
  <c r="U98" i="1"/>
  <c r="S98" i="1" s="1"/>
  <c r="AI133" i="1"/>
  <c r="U192" i="1"/>
  <c r="S192" i="1" s="1"/>
  <c r="AI129" i="1"/>
  <c r="U189" i="1"/>
  <c r="S189" i="1" s="1"/>
  <c r="AI125" i="1"/>
  <c r="U185" i="1"/>
  <c r="S185" i="1" s="1"/>
  <c r="AI121" i="1"/>
  <c r="AI118" i="1"/>
  <c r="U181" i="1"/>
  <c r="S181" i="1" s="1"/>
  <c r="AI115" i="1"/>
  <c r="U178" i="1"/>
  <c r="S178" i="1" s="1"/>
  <c r="AI111" i="1"/>
  <c r="U173" i="1"/>
  <c r="S173" i="1" s="1"/>
  <c r="AI107" i="1"/>
  <c r="U170" i="1"/>
  <c r="S170" i="1" s="1"/>
  <c r="AI103" i="1"/>
  <c r="AI99" i="1"/>
  <c r="U165" i="1"/>
  <c r="S165" i="1" s="1"/>
  <c r="AI95" i="1"/>
  <c r="U161" i="1"/>
  <c r="S161" i="1" s="1"/>
  <c r="AI91" i="1"/>
  <c r="U90" i="1"/>
  <c r="S90" i="1" s="1"/>
  <c r="AI87" i="1"/>
  <c r="U86" i="1"/>
  <c r="S86" i="1" s="1"/>
  <c r="U186" i="1"/>
  <c r="S186" i="1" s="1"/>
  <c r="AI122" i="1"/>
  <c r="AI119" i="1"/>
  <c r="U179" i="1"/>
  <c r="S179" i="1" s="1"/>
  <c r="AI112" i="1"/>
  <c r="U175" i="1"/>
  <c r="S175" i="1" s="1"/>
  <c r="AI108" i="1"/>
  <c r="AI104" i="1"/>
  <c r="AI100" i="1"/>
  <c r="U166" i="1"/>
  <c r="S166" i="1" s="1"/>
  <c r="AI96" i="1"/>
  <c r="AI92" i="1"/>
  <c r="U91" i="1"/>
  <c r="S91" i="1" s="1"/>
  <c r="AI88" i="1"/>
  <c r="U87" i="1"/>
  <c r="S87" i="1" s="1"/>
  <c r="AI86" i="1"/>
  <c r="U183" i="1"/>
  <c r="S183" i="1" s="1"/>
  <c r="AI116" i="1"/>
  <c r="U176" i="1"/>
  <c r="S176" i="1" s="1"/>
  <c r="AI113" i="1"/>
  <c r="U172" i="1"/>
  <c r="S172" i="1" s="1"/>
  <c r="AI109" i="1"/>
  <c r="U169" i="1"/>
  <c r="S169" i="1" s="1"/>
  <c r="AI105" i="1"/>
  <c r="U167" i="1"/>
  <c r="S167" i="1" s="1"/>
  <c r="AI101" i="1"/>
  <c r="U163" i="1"/>
  <c r="S163" i="1" s="1"/>
  <c r="AI97" i="1"/>
  <c r="U92" i="1"/>
  <c r="S92" i="1" s="1"/>
  <c r="AI93" i="1"/>
  <c r="U88" i="1"/>
  <c r="S88" i="1" s="1"/>
  <c r="AI89" i="1"/>
  <c r="U184" i="1"/>
  <c r="S184" i="1" s="1"/>
  <c r="AI120" i="1"/>
  <c r="U180" i="1"/>
  <c r="S180" i="1" s="1"/>
  <c r="AI117" i="1"/>
  <c r="AI114" i="1"/>
  <c r="U174" i="1"/>
  <c r="S174" i="1" s="1"/>
  <c r="AI110" i="1"/>
  <c r="AI106" i="1"/>
  <c r="AI102" i="1"/>
  <c r="U164" i="1"/>
  <c r="S164" i="1" s="1"/>
  <c r="AI98" i="1"/>
  <c r="AI94" i="1"/>
  <c r="U89" i="1"/>
  <c r="S89" i="1" s="1"/>
  <c r="AI90" i="1"/>
  <c r="U84" i="1"/>
  <c r="S84" i="1" s="1"/>
  <c r="AI85" i="1"/>
  <c r="AI81" i="1"/>
  <c r="U81" i="1"/>
  <c r="S81" i="1" s="1"/>
  <c r="AI77" i="1"/>
  <c r="U77" i="1"/>
  <c r="S77" i="1" s="1"/>
  <c r="AI73" i="1"/>
  <c r="AI69" i="1"/>
  <c r="AI65" i="1"/>
  <c r="U65" i="1"/>
  <c r="S65" i="1" s="1"/>
  <c r="AI61" i="1"/>
  <c r="AI57" i="1"/>
  <c r="U53" i="1"/>
  <c r="S53" i="1" s="1"/>
  <c r="AI53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210" i="1"/>
  <c r="S210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83" i="1"/>
  <c r="S83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AI43" i="1"/>
  <c r="U39" i="1"/>
  <c r="S39" i="1" s="1"/>
  <c r="AI39" i="1"/>
  <c r="AI35" i="1"/>
  <c r="U31" i="1"/>
  <c r="S31" i="1" s="1"/>
  <c r="AI31" i="1"/>
  <c r="U27" i="1"/>
  <c r="S27" i="1" s="1"/>
  <c r="AI27" i="1"/>
  <c r="U23" i="1"/>
  <c r="S23" i="1" s="1"/>
  <c r="AI23" i="1"/>
  <c r="AI19" i="1"/>
  <c r="U15" i="1"/>
  <c r="S15" i="1" s="1"/>
  <c r="AI15" i="1"/>
  <c r="U52" i="1"/>
  <c r="S52" i="1" s="1"/>
  <c r="AI52" i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30" i="1"/>
  <c r="W236" i="1"/>
  <c r="W231" i="1"/>
  <c r="W229" i="1"/>
  <c r="W228" i="1"/>
  <c r="X236" i="1"/>
  <c r="X232" i="1"/>
  <c r="X228" i="1"/>
  <c r="W220" i="1"/>
  <c r="W218" i="1"/>
  <c r="W213" i="1"/>
  <c r="W208" i="1"/>
  <c r="W194" i="1"/>
  <c r="W151" i="1"/>
  <c r="W145" i="1"/>
  <c r="W203" i="1"/>
  <c r="W201" i="1"/>
  <c r="W152" i="1"/>
  <c r="W146" i="1"/>
  <c r="W222" i="1"/>
  <c r="W216" i="1"/>
  <c r="W206" i="1"/>
  <c r="W204" i="1"/>
  <c r="W196" i="1"/>
  <c r="W155" i="1"/>
  <c r="W149" i="1"/>
  <c r="W147" i="1"/>
  <c r="W139" i="1"/>
  <c r="W137" i="1"/>
  <c r="W131" i="1"/>
  <c r="W129" i="1"/>
  <c r="W127" i="1"/>
  <c r="W126" i="1"/>
  <c r="T227" i="1"/>
  <c r="U227" i="1" s="1"/>
  <c r="S227" i="1" s="1"/>
  <c r="X227" i="1"/>
  <c r="W215" i="1"/>
  <c r="W158" i="1"/>
  <c r="W156" i="1"/>
  <c r="W148" i="1"/>
  <c r="W142" i="1"/>
  <c r="W138" i="1"/>
  <c r="W134" i="1"/>
  <c r="W128" i="1"/>
  <c r="W125" i="1"/>
  <c r="X223" i="1"/>
  <c r="X219" i="1"/>
  <c r="X215" i="1"/>
  <c r="X209" i="1"/>
  <c r="X205" i="1"/>
  <c r="X201" i="1"/>
  <c r="X197" i="1"/>
  <c r="X156" i="1"/>
  <c r="X152" i="1"/>
  <c r="X148" i="1"/>
  <c r="X144" i="1"/>
  <c r="X140" i="1"/>
  <c r="X136" i="1"/>
  <c r="X132" i="1"/>
  <c r="X128" i="1"/>
  <c r="W104" i="1"/>
  <c r="W102" i="1"/>
  <c r="W95" i="1"/>
  <c r="W108" i="1"/>
  <c r="W105" i="1"/>
  <c r="W193" i="1"/>
  <c r="W191" i="1"/>
  <c r="W190" i="1"/>
  <c r="W188" i="1"/>
  <c r="W114" i="1"/>
  <c r="W112" i="1"/>
  <c r="W109" i="1"/>
  <c r="W99" i="1"/>
  <c r="W192" i="1"/>
  <c r="X226" i="1"/>
  <c r="X222" i="1"/>
  <c r="X218" i="1"/>
  <c r="X214" i="1"/>
  <c r="X208" i="1"/>
  <c r="X204" i="1"/>
  <c r="X200" i="1"/>
  <c r="X196" i="1"/>
  <c r="X155" i="1"/>
  <c r="X151" i="1"/>
  <c r="X147" i="1"/>
  <c r="X143" i="1"/>
  <c r="W115" i="1"/>
  <c r="W211" i="1"/>
  <c r="W98" i="1"/>
  <c r="W187" i="1"/>
  <c r="X113" i="1"/>
  <c r="X109" i="1"/>
  <c r="X105" i="1"/>
  <c r="X102" i="1"/>
  <c r="X98" i="1"/>
  <c r="X192" i="1"/>
  <c r="X189" i="1"/>
  <c r="W180" i="1"/>
  <c r="W94" i="1"/>
  <c r="W163" i="1"/>
  <c r="W176" i="1"/>
  <c r="W169" i="1"/>
  <c r="W162" i="1"/>
  <c r="W160" i="1"/>
  <c r="W92" i="1"/>
  <c r="W175" i="1"/>
  <c r="W168" i="1"/>
  <c r="W167" i="1"/>
  <c r="W89" i="1"/>
  <c r="X112" i="1"/>
  <c r="X108" i="1"/>
  <c r="X104" i="1"/>
  <c r="X101" i="1"/>
  <c r="X97" i="1"/>
  <c r="X191" i="1"/>
  <c r="X188" i="1"/>
  <c r="W183" i="1"/>
  <c r="W172" i="1"/>
  <c r="W166" i="1"/>
  <c r="W90" i="1"/>
  <c r="W87" i="1"/>
  <c r="T85" i="1"/>
  <c r="U85" i="1" s="1"/>
  <c r="S85" i="1" s="1"/>
  <c r="W210" i="1"/>
  <c r="W75" i="1"/>
  <c r="W59" i="1"/>
  <c r="X185" i="1"/>
  <c r="X181" i="1"/>
  <c r="X165" i="1"/>
  <c r="X90" i="1"/>
  <c r="X86" i="1"/>
  <c r="W83" i="1"/>
  <c r="W80" i="1"/>
  <c r="W68" i="1"/>
  <c r="W60" i="1"/>
  <c r="W56" i="1"/>
  <c r="AA85" i="1"/>
  <c r="W85" i="1" s="1"/>
  <c r="W84" i="1"/>
  <c r="W78" i="1"/>
  <c r="W77" i="1"/>
  <c r="W73" i="1"/>
  <c r="W70" i="1"/>
  <c r="W69" i="1"/>
  <c r="W62" i="1"/>
  <c r="W61" i="1"/>
  <c r="W54" i="1"/>
  <c r="W53" i="1"/>
  <c r="W47" i="1"/>
  <c r="W33" i="1"/>
  <c r="W28" i="1"/>
  <c r="W15" i="1"/>
  <c r="W52" i="1"/>
  <c r="W45" i="1"/>
  <c r="W43" i="1"/>
  <c r="W40" i="1"/>
  <c r="W27" i="1"/>
  <c r="W24" i="1"/>
  <c r="X82" i="1"/>
  <c r="X78" i="1"/>
  <c r="X74" i="1"/>
  <c r="X70" i="1"/>
  <c r="X66" i="1"/>
  <c r="X62" i="1"/>
  <c r="X58" i="1"/>
  <c r="X54" i="1"/>
  <c r="W36" i="1"/>
  <c r="W25" i="1"/>
  <c r="W23" i="1"/>
  <c r="X210" i="1"/>
  <c r="X79" i="1"/>
  <c r="X75" i="1"/>
  <c r="X71" i="1"/>
  <c r="X67" i="1"/>
  <c r="X63" i="1"/>
  <c r="X59" i="1"/>
  <c r="X55" i="1"/>
  <c r="W51" i="1"/>
  <c r="W48" i="1"/>
  <c r="W35" i="1"/>
  <c r="W22" i="1"/>
  <c r="W19" i="1"/>
  <c r="W16" i="1"/>
  <c r="X50" i="1"/>
  <c r="X46" i="1"/>
  <c r="X42" i="1"/>
  <c r="X38" i="1"/>
  <c r="X34" i="1"/>
  <c r="X30" i="1"/>
  <c r="X26" i="1"/>
  <c r="X22" i="1"/>
  <c r="X18" i="1"/>
  <c r="AD13" i="3"/>
  <c r="AE23" i="3"/>
  <c r="T14" i="3"/>
  <c r="AC13" i="3"/>
  <c r="AD15" i="3"/>
  <c r="T22" i="3"/>
  <c r="AC20" i="3"/>
  <c r="AD12" i="3"/>
  <c r="AD21" i="3"/>
  <c r="AE11" i="3"/>
  <c r="AD9" i="3"/>
  <c r="AD24" i="3"/>
  <c r="AD20" i="3"/>
  <c r="AE15" i="3"/>
  <c r="AD11" i="3"/>
  <c r="AD8" i="3"/>
  <c r="AC9" i="3"/>
  <c r="AC11" i="3"/>
  <c r="AC18" i="3"/>
  <c r="AC33" i="3"/>
  <c r="Y18" i="3"/>
  <c r="Y17" i="3"/>
  <c r="Y19" i="3"/>
  <c r="Y24" i="3"/>
  <c r="Y32" i="3"/>
  <c r="Y23" i="3"/>
  <c r="Y22" i="3"/>
  <c r="Y10" i="3"/>
  <c r="Y9" i="3"/>
  <c r="Y33" i="3"/>
  <c r="Y11" i="3"/>
  <c r="Y27" i="3"/>
  <c r="Y14" i="3"/>
  <c r="Y30" i="3"/>
  <c r="Y29" i="3"/>
  <c r="Y15" i="3"/>
  <c r="Y12" i="3"/>
  <c r="Y21" i="3"/>
  <c r="Y31" i="3"/>
  <c r="Y7" i="3"/>
  <c r="Y8" i="3"/>
  <c r="Y16" i="3"/>
  <c r="Y28" i="3"/>
  <c r="Y13" i="3"/>
  <c r="Y20" i="3"/>
  <c r="Y26" i="3"/>
  <c r="T15" i="3"/>
  <c r="AE14" i="3"/>
  <c r="T21" i="3"/>
  <c r="AE10" i="3"/>
  <c r="T31" i="3"/>
  <c r="AE26" i="3"/>
  <c r="AE33" i="3"/>
  <c r="T7" i="3"/>
  <c r="AD30" i="3"/>
  <c r="AE29" i="3"/>
  <c r="T8" i="3"/>
  <c r="AD26" i="3"/>
  <c r="T16" i="3"/>
  <c r="AD22" i="3"/>
  <c r="AE21" i="3"/>
  <c r="T28" i="3"/>
  <c r="AD18" i="3"/>
  <c r="AE17" i="3"/>
  <c r="T13" i="3"/>
  <c r="AD14" i="3"/>
  <c r="AE13" i="3"/>
  <c r="T20" i="3"/>
  <c r="AD10" i="3"/>
  <c r="AE9" i="3"/>
  <c r="T26" i="3"/>
  <c r="AE30" i="3"/>
  <c r="T30" i="3"/>
  <c r="T29" i="3"/>
  <c r="AE22" i="3"/>
  <c r="AE18" i="3"/>
  <c r="T12" i="3"/>
  <c r="AE32" i="3"/>
  <c r="AE28" i="3"/>
  <c r="AE24" i="3"/>
  <c r="AE20" i="3"/>
  <c r="AE16" i="3"/>
  <c r="AE12" i="3"/>
  <c r="AE8" i="3"/>
  <c r="R25" i="3"/>
  <c r="M25" i="3"/>
  <c r="S25" i="3"/>
  <c r="U25" i="3"/>
  <c r="T25" i="3" s="1"/>
  <c r="V25" i="3"/>
  <c r="X25" i="3"/>
  <c r="W25" i="3"/>
  <c r="S108" i="1" l="1"/>
  <c r="AE25" i="3"/>
  <c r="AD25" i="3"/>
  <c r="AC25" i="3"/>
  <c r="Y2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19" i="3" s="1"/>
  <c r="G38" i="4"/>
  <c r="G39" i="4"/>
  <c r="G40" i="4"/>
  <c r="G41" i="4"/>
  <c r="G42" i="4"/>
  <c r="G43" i="4"/>
  <c r="G44" i="4"/>
  <c r="G45" i="4"/>
  <c r="G46" i="4"/>
  <c r="G47" i="4"/>
  <c r="G48" i="4"/>
  <c r="G49" i="4"/>
  <c r="N26" i="3" s="1"/>
  <c r="G50" i="4"/>
  <c r="G51" i="4"/>
  <c r="G52" i="4"/>
  <c r="G53" i="4"/>
  <c r="N31" i="3" s="1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10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7" i="3" s="1"/>
  <c r="G88" i="4"/>
  <c r="G89" i="4"/>
  <c r="G90" i="4"/>
  <c r="G91" i="4"/>
  <c r="G92" i="4"/>
  <c r="G93" i="4"/>
  <c r="G94" i="4"/>
  <c r="G95" i="4"/>
  <c r="G96" i="4"/>
  <c r="G97" i="4"/>
  <c r="G98" i="4"/>
  <c r="G99" i="4"/>
  <c r="N22" i="3" s="1"/>
  <c r="G100" i="4"/>
  <c r="N18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14" i="3" s="1"/>
  <c r="G129" i="4"/>
  <c r="G130" i="4"/>
  <c r="G131" i="4"/>
  <c r="G132" i="4"/>
  <c r="G133" i="4"/>
  <c r="G134" i="4"/>
  <c r="G135" i="4"/>
  <c r="G136" i="4"/>
  <c r="G137" i="4"/>
  <c r="N27" i="3" s="1"/>
  <c r="G138" i="4"/>
  <c r="G139" i="4"/>
  <c r="G140" i="4"/>
  <c r="G141" i="4"/>
  <c r="N28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11" i="3" s="1"/>
  <c r="G157" i="4"/>
  <c r="G158" i="4"/>
  <c r="G159" i="4"/>
  <c r="N16" i="3" s="1"/>
  <c r="G160" i="4"/>
  <c r="G161" i="4"/>
  <c r="N29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8" i="3" s="1"/>
  <c r="G205" i="4"/>
  <c r="G206" i="4"/>
  <c r="G207" i="4"/>
  <c r="G208" i="4"/>
  <c r="G209" i="4"/>
  <c r="N30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N24" i="3" s="1"/>
  <c r="G229" i="4"/>
  <c r="G230" i="4"/>
  <c r="G231" i="4"/>
  <c r="G232" i="4"/>
  <c r="G233" i="4"/>
  <c r="N9" i="3" s="1"/>
  <c r="G234" i="4"/>
  <c r="G235" i="4"/>
  <c r="G236" i="4"/>
  <c r="G237" i="4"/>
  <c r="G238" i="4"/>
  <c r="G239" i="4"/>
  <c r="N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21" i="3"/>
  <c r="N25" i="3"/>
  <c r="N13" i="3"/>
  <c r="N12" i="3"/>
  <c r="N32" i="3"/>
  <c r="N33" i="3"/>
  <c r="N23" i="3"/>
  <c r="N1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<sst xmlns="http://schemas.openxmlformats.org/spreadsheetml/2006/main" count="2796" uniqueCount="999">
  <si>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</si>
  <si>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</si>
  <si>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</si>
  <si>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</si>
  <si>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</si>
  <si>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</si>
  <si>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</si>
  <si>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</si>
  <si>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</si>
  <si>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</si>
  <si>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</si>
  <si>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</si>
  <si>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</si>
  <si>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</si>
  <si>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</si>
  <si>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</si>
  <si>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</si>
  <si>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</si>
  <si>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</si>
  <si>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</si>
  <si>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</si>
  <si>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</si>
  <si>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</si>
  <si>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</si>
  <si>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</si>
  <si>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</si>
  <si>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</si>
  <si>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</si>
  <si>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</si>
  <si>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</si>
  <si>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</si>
  <si>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</si>
  <si>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</si>
  <si>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</si>
  <si>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</si>
  <si>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</si>
  <si>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</si>
  <si>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</si>
  <si>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</si>
  <si>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</si>
  <si>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</si>
  <si>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</si>
  <si>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</si>
  <si>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</si>
  <si>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</si>
  <si>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</si>
  <si>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</si>
  <si>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</si>
  <si>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</si>
  <si>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</si>
  <si>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</si>
  <si>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</si>
  <si>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</si>
  <si>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</si>
  <si>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</si>
  <si>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</si>
  <si>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</si>
  <si>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</si>
  <si>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</si>
  <si>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</si>
  <si>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</si>
  <si>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</si>
  <si>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</si>
  <si>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</si>
  <si>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</si>
  <si>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</si>
  <si>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</si>
  <si>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</si>
  <si>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</si>
  <si>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</si>
  <si>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</si>
  <si>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</si>
  <si>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</si>
  <si>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</si>
  <si>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</si>
  <si>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</si>
  <si>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</si>
  <si>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</si>
  <si>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</si>
  <si>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</si>
  <si>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</si>
  <si>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</si>
  <si>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</si>
  <si>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</si>
  <si>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</si>
  <si>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</si>
  <si>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</si>
  <si>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</si>
  <si>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</si>
  <si>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</si>
  <si>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</si>
  <si>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</si>
  <si>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</si>
  <si>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</si>
  <si>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</si>
  <si>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</si>
  <si>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</si>
  <si>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</si>
  <si>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</si>
  <si>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</si>
  <si>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</si>
  <si>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</si>
  <si>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</si>
  <si>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</si>
  <si>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</si>
  <si>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</si>
  <si>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</si>
  <si>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</si>
  <si>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</si>
  <si>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</si>
  <si>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</si>
  <si>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</si>
  <si>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</si>
  <si>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</si>
  <si>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</si>
  <si>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</si>
  <si>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</si>
  <si>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</si>
  <si>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</si>
  <si>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</si>
  <si>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</si>
  <si>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</si>
  <si>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</si>
  <si>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</si>
  <si>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</si>
  <si>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</si>
  <si>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</si>
  <si>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</si>
  <si>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</si>
  <si>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</si>
  <si>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</si>
  <si>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</si>
  <si>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</si>
  <si>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</si>
  <si>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</si>
  <si>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</si>
  <si>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</si>
  <si>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</si>
  <si>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</si>
  <si>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</si>
  <si>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</si>
  <si>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</si>
  <si>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</si>
  <si>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</si>
  <si>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</si>
  <si>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</si>
  <si>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</si>
  <si>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</si>
  <si>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</si>
  <si>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</si>
  <si>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</si>
  <si>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</si>
  <si>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</si>
  <si>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</si>
  <si>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</si>
  <si>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</si>
  <si>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</si>
  <si>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</si>
  <si>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</si>
  <si>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</si>
  <si>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</si>
  <si>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</si>
  <si>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</si>
  <si>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</si>
  <si>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</si>
  <si>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</si>
  <si>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</si>
  <si>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</si>
  <si>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</si>
  <si>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</si>
  <si>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</si>
  <si>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</si>
  <si>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</si>
  <si>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</si>
  <si>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</si>
  <si>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</si>
  <si>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</si>
  <si>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</si>
  <si>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</si>
  <si>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</si>
  <si>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</si>
  <si>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</si>
  <si>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</si>
  <si>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</si>
  <si>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</si>
  <si>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</si>
  <si>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</si>
  <si>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</si>
  <si>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</si>
  <si>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</si>
  <si>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</si>
  <si>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</si>
  <si>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</si>
  <si>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</si>
  <si>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</si>
  <si>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</si>
  <si>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</si>
  <si>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</si>
  <si>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</si>
  <si>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</si>
  <si>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</si>
  <si>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</si>
  <si>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</si>
  <si>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</si>
  <si>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</si>
  <si>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</si>
  <si>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</si>
  <si>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</si>
  <si>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</si>
  <si>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</si>
  <si>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</si>
  <si>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</si>
  <si>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</si>
  <si>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</si>
  <si>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</si>
  <si>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</si>
  <si>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</si>
  <si>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</si>
  <si>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</si>
  <si>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</si>
  <si>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</si>
  <si>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</si>
  <si>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</si>
  <si>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</si>
  <si>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</si>
  <si>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</si>
  <si>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</si>
  <si>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</si>
  <si>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</si>
  <si>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</si>
  <si>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</si>
  <si>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</si>
  <si>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</si>
  <si>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</si>
  <si>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</si>
  <si>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</si>
  <si>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</si>
  <si>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</si>
  <si>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</si>
  <si>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</si>
  <si>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</si>
  <si>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</si>
  <si>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</si>
  <si>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</si>
  <si>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</si>
  <si>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</si>
  <si>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</si>
  <si>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</si>
  <si>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</si>
  <si>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</si>
  <si>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</si>
  <si>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</si>
  <si>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</si>
  <si>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</si>
  <si>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</si>
  <si>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</si>
  <si>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</si>
  <si>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</si>
  <si>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</si>
  <si>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</si>
  <si>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</si>
  <si>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</si>
  <si>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</si>
  <si>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</si>
  <si>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</si>
  <si>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</si>
  <si>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</si>
  <si>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</si>
  <si>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</si>
  <si>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</si>
  <si>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</si>
  <si>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</si>
  <si>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</si>
  <si>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</si>
  <si>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</si>
  <si>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</si>
  <si>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</si>
  <si>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</si>
  <si>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</si>
  <si>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</si>
  <si>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</si>
  <si>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</si>
  <si>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</si>
  <si>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</si>
  <si>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</si>
  <si>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</si>
  <si>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</si>
  <si>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</si>
  <si>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</si>
  <si>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</si>
  <si>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</si>
  <si>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</si>
  <si>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</si>
  <si>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</si>
  <si>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</si>
  <si>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</si>
  <si>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</si>
  <si>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</si>
  <si>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</si>
  <si>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</si>
  <si>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</si>
  <si>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</si>
  <si>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</si>
  <si>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</si>
  <si>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</si>
  <si>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</si>
  <si>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</si>
  <si>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</si>
  <si>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</si>
  <si>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</si>
  <si>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</si>
  <si>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</si>
  <si>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</si>
  <si>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</si>
  <si>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</si>
  <si>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</si>
  <si>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</si>
  <si>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</si>
  <si>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</si>
  <si>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</si>
  <si>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</si>
  <si>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</si>
  <si>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</si>
  <si>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</si>
  <si>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</si>
  <si>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</si>
  <si>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</si>
  <si>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</si>
  <si>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</si>
  <si>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</si>
  <si>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</si>
  <si>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</si>
  <si>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</si>
  <si>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</si>
  <si>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</si>
  <si>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</si>
  <si>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</si>
  <si>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</si>
  <si>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</si>
  <si>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</si>
  <si>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</si>
  <si>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</si>
  <si>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</si>
  <si>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</si>
  <si>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</si>
  <si>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</si>
  <si>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</si>
  <si>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</si>
  <si>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</si>
  <si>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</si>
  <si>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</si>
  <si>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</si>
  <si>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</si>
  <si>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</si>
  <si>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</si>
  <si>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</si>
  <si>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</si>
  <si>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</si>
  <si>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</si>
  <si>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</si>
  <si>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</si>
  <si>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</si>
  <si>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</si>
  <si>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</si>
  <si>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</si>
  <si>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</si>
  <si>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</si>
  <si>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</si>
  <si>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</si>
  <si>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</si>
  <si>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</si>
  <si>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</si>
  <si>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</si>
  <si>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</si>
  <si>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</si>
  <si>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</si>
  <si>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</si>
  <si>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</si>
  <si>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</si>
  <si>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</si>
  <si>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</si>
  <si>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</si>
  <si>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</si>
  <si>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</si>
  <si>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</si>
  <si>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</si>
  <si>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</si>
  <si>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</si>
  <si>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</si>
  <si>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</si>
  <si>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</si>
  <si>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</si>
  <si>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</si>
  <si>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</si>
  <si>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</si>
  <si>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</si>
  <si>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</si>
  <si>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</si>
  <si>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</si>
  <si>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</si>
  <si>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</si>
  <si>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</si>
  <si>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</si>
  <si>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</si>
  <si>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</si>
  <si>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</si>
  <si>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</si>
  <si>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</si>
  <si>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</si>
  <si>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</si>
  <si>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</si>
  <si>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</si>
  <si>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</si>
  <si>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</si>
  <si>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</si>
  <si>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</si>
  <si>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</si>
  <si>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</si>
  <si>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</si>
  <si>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</si>
  <si>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YANG</t>
  </si>
  <si>
    <t>JAN</t>
  </si>
  <si>
    <t>204:233297</t>
  </si>
  <si>
    <t>204:233295</t>
  </si>
  <si>
    <t>204:160</t>
  </si>
  <si>
    <t>204:471</t>
  </si>
  <si>
    <t>204:232969</t>
  </si>
  <si>
    <t>204:132</t>
  </si>
  <si>
    <t>204:433</t>
  </si>
  <si>
    <t>rtdc.l.rtdc.4006:itc</t>
  </si>
  <si>
    <t>STARKS</t>
  </si>
  <si>
    <t>ANGELINA</t>
  </si>
  <si>
    <t>204:233289</t>
  </si>
  <si>
    <t>204:233301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</si>
  <si>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</si>
  <si>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</si>
  <si>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</si>
  <si>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</si>
  <si>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</si>
  <si>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</si>
  <si>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</si>
  <si>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</si>
  <si>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</si>
  <si>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</si>
  <si>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</si>
  <si>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</si>
  <si>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</si>
  <si>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</si>
  <si>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</si>
  <si>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</si>
  <si>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</si>
  <si>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</si>
  <si>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</si>
  <si>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</si>
  <si>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</si>
  <si>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</si>
  <si>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</si>
  <si>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</si>
  <si>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</si>
  <si>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</si>
  <si>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</si>
  <si>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</si>
  <si>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</si>
  <si>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</si>
  <si>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</si>
  <si>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</si>
  <si>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</si>
  <si>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</si>
  <si>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204:233299</t>
  </si>
  <si>
    <t>204:161</t>
  </si>
  <si>
    <t>rtdc.l.rtdc.4030:itc</t>
  </si>
  <si>
    <t>rtdc.l.rtdc.4016:itc</t>
  </si>
  <si>
    <t>rtdc.l.rtdc.4027:itc</t>
  </si>
  <si>
    <t>313-06</t>
  </si>
  <si>
    <t>BRANDON</t>
  </si>
  <si>
    <t>BIRKHOLZ</t>
  </si>
  <si>
    <t>NADINE</t>
  </si>
  <si>
    <t>rtdc.l.rtdc.4031:itc</t>
  </si>
  <si>
    <t>300-07</t>
  </si>
  <si>
    <t>204:232978</t>
  </si>
  <si>
    <t>204:464</t>
  </si>
  <si>
    <t>rtdc.l.rtdc.4023:itc</t>
  </si>
  <si>
    <t>SWITCH UNKNOWN</t>
  </si>
  <si>
    <t>Track device (7)</t>
  </si>
  <si>
    <t>rtdc.l.rtdc.4032:itc</t>
  </si>
  <si>
    <t>204:158</t>
  </si>
  <si>
    <t>204:475</t>
  </si>
  <si>
    <t>204:990</t>
  </si>
  <si>
    <t>rtdc.l.rtdc.4015:itc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</si>
  <si>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</si>
  <si>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</si>
  <si>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</si>
  <si>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</si>
  <si>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</si>
  <si>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</si>
  <si>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</si>
  <si>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</si>
  <si>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</si>
  <si>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Mostly Cloudy</t>
  </si>
  <si>
    <t>rain</t>
  </si>
  <si>
    <t>204:232974</t>
  </si>
  <si>
    <t>204:233302</t>
  </si>
  <si>
    <t>204:442</t>
  </si>
  <si>
    <t>204:232984</t>
  </si>
  <si>
    <t>204:232989</t>
  </si>
  <si>
    <t>204:233314</t>
  </si>
  <si>
    <t>204:232994</t>
  </si>
  <si>
    <t>204:467</t>
  </si>
  <si>
    <t>204:233008</t>
  </si>
  <si>
    <t>204:233305</t>
  </si>
  <si>
    <t>300:58617</t>
  </si>
  <si>
    <t>244-12</t>
  </si>
  <si>
    <t>WENDY</t>
  </si>
  <si>
    <t>LANGERAK</t>
  </si>
  <si>
    <t>WILLIAM</t>
  </si>
  <si>
    <t>DELGADO</t>
  </si>
  <si>
    <t>DIANAH</t>
  </si>
  <si>
    <t>SAFIEF</t>
  </si>
  <si>
    <t>AEIMEN</t>
  </si>
  <si>
    <t>307-12</t>
  </si>
  <si>
    <t>242-12</t>
  </si>
  <si>
    <t>309-12</t>
  </si>
  <si>
    <t>311-12</t>
  </si>
  <si>
    <t>313-12</t>
  </si>
  <si>
    <t>300-13</t>
  </si>
  <si>
    <t>204:232965</t>
  </si>
  <si>
    <t>204:232998</t>
  </si>
  <si>
    <t>204:233298</t>
  </si>
  <si>
    <t>204:152</t>
  </si>
  <si>
    <t>204:232987</t>
  </si>
  <si>
    <t>204:233286</t>
  </si>
  <si>
    <t>204:232975</t>
  </si>
  <si>
    <t>204:233303</t>
  </si>
  <si>
    <t>204:233000</t>
  </si>
  <si>
    <t>204:127</t>
  </si>
  <si>
    <t>204:232990</t>
  </si>
  <si>
    <t>204:440</t>
  </si>
  <si>
    <t>204:232992</t>
  </si>
  <si>
    <t>204:233318</t>
  </si>
  <si>
    <t>300:58619</t>
  </si>
  <si>
    <t>204:974</t>
  </si>
  <si>
    <t>204:673</t>
  </si>
  <si>
    <t>204:971</t>
  </si>
  <si>
    <t>300:58596</t>
  </si>
  <si>
    <t>Wi-MAX data drop</t>
  </si>
  <si>
    <t>rtdc.l.rtdc.4021:itc</t>
  </si>
  <si>
    <t>rtdc.l.rtdc.4043:itc</t>
  </si>
  <si>
    <t>rtdc.l.rtdc.4012:itc</t>
  </si>
  <si>
    <t>rtdc.l.rtdc.4044:itc</t>
  </si>
  <si>
    <t>rtdc.l.rtdc.4011:itc</t>
  </si>
  <si>
    <t>rtdc.l.rtdc.4024:itc</t>
  </si>
  <si>
    <t>SULLIVAN</t>
  </si>
  <si>
    <t>rtdc.l.rtdc.4053:itc</t>
  </si>
  <si>
    <t>HUFFSMITH</t>
  </si>
  <si>
    <t>MONTY</t>
  </si>
  <si>
    <t>PERKINS</t>
  </si>
  <si>
    <t>DARREN</t>
  </si>
  <si>
    <t>clear-night</t>
  </si>
  <si>
    <t>Clear</t>
  </si>
  <si>
    <t>204:233291</t>
  </si>
  <si>
    <t>204:233310</t>
  </si>
  <si>
    <t>204:233023</t>
  </si>
  <si>
    <t>204:233272</t>
  </si>
  <si>
    <t>204:233284</t>
  </si>
  <si>
    <t>204:232991</t>
  </si>
  <si>
    <t>204:478</t>
  </si>
  <si>
    <t>204:233332</t>
  </si>
  <si>
    <t>204:233389</t>
  </si>
  <si>
    <t>204:233068</t>
  </si>
  <si>
    <t>204:233038</t>
  </si>
  <si>
    <t>204:460</t>
  </si>
  <si>
    <t>204:233051</t>
  </si>
  <si>
    <t>204:233011</t>
  </si>
  <si>
    <t>204:438</t>
  </si>
  <si>
    <t>204:233387</t>
  </si>
  <si>
    <t>204:233311</t>
  </si>
  <si>
    <t>204:233368</t>
  </si>
  <si>
    <t>204:233341</t>
  </si>
  <si>
    <t>204:233307</t>
  </si>
  <si>
    <t>300:23304</t>
  </si>
  <si>
    <t>300:23299</t>
  </si>
  <si>
    <t>300:58937</t>
  </si>
  <si>
    <t>204:967</t>
  </si>
  <si>
    <t>300:58609</t>
  </si>
  <si>
    <t>204:675</t>
  </si>
  <si>
    <t>300:58939</t>
  </si>
  <si>
    <t>204:682</t>
  </si>
  <si>
    <t>rtdc.l.rtdc.4056:itc</t>
  </si>
  <si>
    <t>109-15</t>
  </si>
  <si>
    <t>rtdc.l.rtdc.4055:itc</t>
  </si>
  <si>
    <t>110-15</t>
  </si>
  <si>
    <t>125-15</t>
  </si>
  <si>
    <t>1803-15</t>
  </si>
  <si>
    <t>134-15</t>
  </si>
  <si>
    <t>155-15</t>
  </si>
  <si>
    <t>148-15</t>
  </si>
  <si>
    <t>158-15</t>
  </si>
  <si>
    <t>160-15</t>
  </si>
  <si>
    <t>178-15</t>
  </si>
  <si>
    <t>182-15</t>
  </si>
  <si>
    <t>195-15</t>
  </si>
  <si>
    <t>197-15</t>
  </si>
  <si>
    <t>196-15</t>
  </si>
  <si>
    <t>202-15</t>
  </si>
  <si>
    <t>209-15</t>
  </si>
  <si>
    <t>211-15</t>
  </si>
  <si>
    <t>rtdc.l.rtdc.4025:itc</t>
  </si>
  <si>
    <t>55-15</t>
  </si>
  <si>
    <t>228-15</t>
  </si>
  <si>
    <t>233-15</t>
  </si>
  <si>
    <t>238-15</t>
  </si>
  <si>
    <t>242-15</t>
  </si>
  <si>
    <t>246-15</t>
  </si>
  <si>
    <t>307-14</t>
  </si>
  <si>
    <t>244-14</t>
  </si>
  <si>
    <t>309-14</t>
  </si>
  <si>
    <t>246-14</t>
  </si>
  <si>
    <t>311-14</t>
  </si>
  <si>
    <t>313-14</t>
  </si>
  <si>
    <t>300-15</t>
  </si>
  <si>
    <t>MAELZER</t>
  </si>
  <si>
    <t>KURT</t>
  </si>
  <si>
    <t>101-15</t>
  </si>
  <si>
    <t>302-15</t>
  </si>
  <si>
    <t>YORK</t>
  </si>
  <si>
    <t>EDGAR</t>
  </si>
  <si>
    <t>51-15</t>
  </si>
  <si>
    <t>CHANDLER</t>
  </si>
  <si>
    <t>KELVIN</t>
  </si>
  <si>
    <t>52-15</t>
  </si>
  <si>
    <t>103-15</t>
  </si>
  <si>
    <t>304-15</t>
  </si>
  <si>
    <t>102-15</t>
  </si>
  <si>
    <t>105-15</t>
  </si>
  <si>
    <t>306-15</t>
  </si>
  <si>
    <t>GEBRETEKLE</t>
  </si>
  <si>
    <t>DAGNEW</t>
  </si>
  <si>
    <t>308-15</t>
  </si>
  <si>
    <t>BROWN</t>
  </si>
  <si>
    <t>JACOB</t>
  </si>
  <si>
    <t>104-15</t>
  </si>
  <si>
    <t>rtdc.l.rtdc.4054:itc</t>
  </si>
  <si>
    <t>107-15</t>
  </si>
  <si>
    <t>310-15</t>
  </si>
  <si>
    <t>DAVIDSON</t>
  </si>
  <si>
    <t>DAVID</t>
  </si>
  <si>
    <t>111-15</t>
  </si>
  <si>
    <t>113-15</t>
  </si>
  <si>
    <t>53-15</t>
  </si>
  <si>
    <t>108-15</t>
  </si>
  <si>
    <t>rtdc.l.rtdc.4049:itc</t>
  </si>
  <si>
    <t>1702-15</t>
  </si>
  <si>
    <t>NEWELL</t>
  </si>
  <si>
    <t>106-15</t>
  </si>
  <si>
    <t>54-15</t>
  </si>
  <si>
    <t>312-15</t>
  </si>
  <si>
    <t>1901-15</t>
  </si>
  <si>
    <t>MACDONALD</t>
  </si>
  <si>
    <t>115-15</t>
  </si>
  <si>
    <t>1703-15</t>
  </si>
  <si>
    <t>ROCHA</t>
  </si>
  <si>
    <t>YAOTL</t>
  </si>
  <si>
    <t>117-15</t>
  </si>
  <si>
    <t>1800-15</t>
  </si>
  <si>
    <t>112-15</t>
  </si>
  <si>
    <t>119-15</t>
  </si>
  <si>
    <t>114-15</t>
  </si>
  <si>
    <t>1801-15</t>
  </si>
  <si>
    <t>121-15</t>
  </si>
  <si>
    <t>116-15</t>
  </si>
  <si>
    <t>118-15</t>
  </si>
  <si>
    <t>123-15</t>
  </si>
  <si>
    <t>1802-15</t>
  </si>
  <si>
    <t>122-15</t>
  </si>
  <si>
    <t>120-15</t>
  </si>
  <si>
    <t>127-15</t>
  </si>
  <si>
    <t>129-15</t>
  </si>
  <si>
    <t>124-15</t>
  </si>
  <si>
    <t>131-15</t>
  </si>
  <si>
    <t>126-15</t>
  </si>
  <si>
    <t>1804-15</t>
  </si>
  <si>
    <t>128-15</t>
  </si>
  <si>
    <t>133-15</t>
  </si>
  <si>
    <t>135-15</t>
  </si>
  <si>
    <t>1805-15</t>
  </si>
  <si>
    <t>130-15</t>
  </si>
  <si>
    <t>132-15</t>
  </si>
  <si>
    <t>137-15</t>
  </si>
  <si>
    <t>139-15</t>
  </si>
  <si>
    <t>1806-15</t>
  </si>
  <si>
    <t>136-15</t>
  </si>
  <si>
    <t>141-15</t>
  </si>
  <si>
    <t>143-15</t>
  </si>
  <si>
    <t>1807-15</t>
  </si>
  <si>
    <t>138-15</t>
  </si>
  <si>
    <t>145-15</t>
  </si>
  <si>
    <t>140-15</t>
  </si>
  <si>
    <t>147-15</t>
  </si>
  <si>
    <t>142-15</t>
  </si>
  <si>
    <t>144-15</t>
  </si>
  <si>
    <t>1808-15</t>
  </si>
  <si>
    <t>149-15</t>
  </si>
  <si>
    <t>146-15</t>
  </si>
  <si>
    <t>151-15</t>
  </si>
  <si>
    <t>1809-15</t>
  </si>
  <si>
    <t>153-15</t>
  </si>
  <si>
    <t>150-15</t>
  </si>
  <si>
    <t>1810-15</t>
  </si>
  <si>
    <t>157-15</t>
  </si>
  <si>
    <t>STEWART</t>
  </si>
  <si>
    <t>152-15</t>
  </si>
  <si>
    <t>159-15</t>
  </si>
  <si>
    <t>1811-15</t>
  </si>
  <si>
    <t>154-15</t>
  </si>
  <si>
    <t>156-15</t>
  </si>
  <si>
    <t>161-15</t>
  </si>
  <si>
    <t>163-15</t>
  </si>
  <si>
    <t>THOMPSON</t>
  </si>
  <si>
    <t>LESTER</t>
  </si>
  <si>
    <t>1812-15</t>
  </si>
  <si>
    <t>165-15</t>
  </si>
  <si>
    <t>BRUDER</t>
  </si>
  <si>
    <t>RICHARD</t>
  </si>
  <si>
    <t>167-15</t>
  </si>
  <si>
    <t>169-15</t>
  </si>
  <si>
    <t>162-15</t>
  </si>
  <si>
    <t>1815-15</t>
  </si>
  <si>
    <t>164-15</t>
  </si>
  <si>
    <t>171-15</t>
  </si>
  <si>
    <t>1814-15</t>
  </si>
  <si>
    <t>166-15</t>
  </si>
  <si>
    <t>173-15</t>
  </si>
  <si>
    <t>DUNCAN</t>
  </si>
  <si>
    <t>SHEILA</t>
  </si>
  <si>
    <t>168-15</t>
  </si>
  <si>
    <t>175-15</t>
  </si>
  <si>
    <t>170-15</t>
  </si>
  <si>
    <t>177-15</t>
  </si>
  <si>
    <t>179-15</t>
  </si>
  <si>
    <t>172-15</t>
  </si>
  <si>
    <t>174-15</t>
  </si>
  <si>
    <t>1816-15</t>
  </si>
  <si>
    <t>181-15</t>
  </si>
  <si>
    <t>176-15</t>
  </si>
  <si>
    <t>183-15</t>
  </si>
  <si>
    <t>1817-15</t>
  </si>
  <si>
    <t>MCREYNOLDS</t>
  </si>
  <si>
    <t>KYLE</t>
  </si>
  <si>
    <t>185-15</t>
  </si>
  <si>
    <t>180-15</t>
  </si>
  <si>
    <t>187-15</t>
  </si>
  <si>
    <t>1818-15</t>
  </si>
  <si>
    <t>189-15</t>
  </si>
  <si>
    <t>184-15</t>
  </si>
  <si>
    <t>191-15</t>
  </si>
  <si>
    <t>1819-15</t>
  </si>
  <si>
    <t>193-15</t>
  </si>
  <si>
    <t>186-15</t>
  </si>
  <si>
    <t>188-15</t>
  </si>
  <si>
    <t>1820-15</t>
  </si>
  <si>
    <t>190-15</t>
  </si>
  <si>
    <t>192-15</t>
  </si>
  <si>
    <t>199-15</t>
  </si>
  <si>
    <t>1821-15</t>
  </si>
  <si>
    <t>194-15</t>
  </si>
  <si>
    <t>201-15</t>
  </si>
  <si>
    <t>203-15</t>
  </si>
  <si>
    <t>198-15</t>
  </si>
  <si>
    <t>1822-15</t>
  </si>
  <si>
    <t>205-15</t>
  </si>
  <si>
    <t>rtdc.l.rtdc.4050:itc</t>
  </si>
  <si>
    <t>88-15</t>
  </si>
  <si>
    <t>LOPES</t>
  </si>
  <si>
    <t>KIMBERLY</t>
  </si>
  <si>
    <t>200-15</t>
  </si>
  <si>
    <t>207-15</t>
  </si>
  <si>
    <t>1823-15</t>
  </si>
  <si>
    <t>204-15</t>
  </si>
  <si>
    <t>89-15</t>
  </si>
  <si>
    <t>1824-15</t>
  </si>
  <si>
    <t>206-15</t>
  </si>
  <si>
    <t>213-15</t>
  </si>
  <si>
    <t>208-15</t>
  </si>
  <si>
    <t>215-15</t>
  </si>
  <si>
    <t>1825-15</t>
  </si>
  <si>
    <t>210-15</t>
  </si>
  <si>
    <t>217-15</t>
  </si>
  <si>
    <t>212-15</t>
  </si>
  <si>
    <t>219-15</t>
  </si>
  <si>
    <t>214-15</t>
  </si>
  <si>
    <t>301-15</t>
  </si>
  <si>
    <t>1826-15</t>
  </si>
  <si>
    <t>216-15</t>
  </si>
  <si>
    <t>221-15</t>
  </si>
  <si>
    <t>218-15</t>
  </si>
  <si>
    <t>1827-15</t>
  </si>
  <si>
    <t>303-15</t>
  </si>
  <si>
    <t>220-15</t>
  </si>
  <si>
    <t>rtdc.l.rtdc.4035:itc</t>
  </si>
  <si>
    <t>60-15</t>
  </si>
  <si>
    <t>223-15</t>
  </si>
  <si>
    <t>rtdc.l.rtdc.4036:itc</t>
  </si>
  <si>
    <t>305-15</t>
  </si>
  <si>
    <t>1828-15</t>
  </si>
  <si>
    <t>62-15</t>
  </si>
  <si>
    <t>222-15</t>
  </si>
  <si>
    <t>225-15</t>
  </si>
  <si>
    <t>224-15</t>
  </si>
  <si>
    <t>1829-15</t>
  </si>
  <si>
    <t>227-15</t>
  </si>
  <si>
    <t>84-15</t>
  </si>
  <si>
    <t>1830-15</t>
  </si>
  <si>
    <t>226-15</t>
  </si>
  <si>
    <t>229-15</t>
  </si>
  <si>
    <t>1831-15</t>
  </si>
  <si>
    <t>231-15</t>
  </si>
  <si>
    <t>1832-15</t>
  </si>
  <si>
    <t>230-15</t>
  </si>
  <si>
    <t>1833-15</t>
  </si>
  <si>
    <t>235-15</t>
  </si>
  <si>
    <t>232-15</t>
  </si>
  <si>
    <t>1902-15</t>
  </si>
  <si>
    <t>237-15</t>
  </si>
  <si>
    <t>234-15</t>
  </si>
  <si>
    <t>239-15</t>
  </si>
  <si>
    <t>236-15</t>
  </si>
  <si>
    <t>241-15</t>
  </si>
  <si>
    <t>243-15</t>
  </si>
  <si>
    <t>240-15</t>
  </si>
  <si>
    <t>245-15</t>
  </si>
  <si>
    <t>244-15</t>
  </si>
  <si>
    <t>307-15</t>
  </si>
  <si>
    <t>309-15</t>
  </si>
  <si>
    <t>311-15</t>
  </si>
  <si>
    <t>313-15</t>
  </si>
  <si>
    <t>204:752</t>
  </si>
  <si>
    <t>204:233321</t>
  </si>
  <si>
    <t>204:233002</t>
  </si>
  <si>
    <t>204:232982</t>
  </si>
  <si>
    <t>204:232993</t>
  </si>
  <si>
    <t>204:232988</t>
  </si>
  <si>
    <t>204:134</t>
  </si>
  <si>
    <t>204:488</t>
  </si>
  <si>
    <t>204:482</t>
  </si>
  <si>
    <t>204:418</t>
  </si>
  <si>
    <t>204:165</t>
  </si>
  <si>
    <t>204:437</t>
  </si>
  <si>
    <t>204:232986</t>
  </si>
  <si>
    <t>204:449</t>
  </si>
  <si>
    <t>204:232970</t>
  </si>
  <si>
    <t>204:233001</t>
  </si>
  <si>
    <t>204:233319</t>
  </si>
  <si>
    <t>204:233309</t>
  </si>
  <si>
    <t>204:233003</t>
  </si>
  <si>
    <t>204:233005</t>
  </si>
  <si>
    <t>204:480</t>
  </si>
  <si>
    <t>204:489</t>
  </si>
  <si>
    <t>204:233300</t>
  </si>
  <si>
    <t>204:233372</t>
  </si>
  <si>
    <t>204:233060</t>
  </si>
  <si>
    <t>204:232976</t>
  </si>
  <si>
    <t>204:169</t>
  </si>
  <si>
    <t>204:232980</t>
  </si>
  <si>
    <t>204:477</t>
  </si>
  <si>
    <t>204:232972</t>
  </si>
  <si>
    <t>204:233330</t>
  </si>
  <si>
    <t>204:233026</t>
  </si>
  <si>
    <t>204:233381</t>
  </si>
  <si>
    <t>204:233085</t>
  </si>
  <si>
    <t>300:22346</t>
  </si>
  <si>
    <t>204:1262</t>
  </si>
  <si>
    <t>204:232977</t>
  </si>
  <si>
    <t>204:232983</t>
  </si>
  <si>
    <t>204:233328</t>
  </si>
  <si>
    <t>300:58590</t>
  </si>
  <si>
    <t>204:1049</t>
  </si>
  <si>
    <t>300:58905</t>
  </si>
  <si>
    <t>300:58583</t>
  </si>
  <si>
    <t>300:58918</t>
  </si>
  <si>
    <t>204:806</t>
  </si>
  <si>
    <t>204:1112</t>
  </si>
  <si>
    <t>300:58594</t>
  </si>
  <si>
    <t>204:976</t>
  </si>
  <si>
    <t>300:58907</t>
  </si>
  <si>
    <t>204:822</t>
  </si>
  <si>
    <t>204:1100</t>
  </si>
  <si>
    <t>300:58592</t>
  </si>
  <si>
    <t>204:754</t>
  </si>
  <si>
    <t>204:1044</t>
  </si>
  <si>
    <t>300:58909</t>
  </si>
  <si>
    <t>300:58589</t>
  </si>
  <si>
    <t>204:668</t>
  </si>
  <si>
    <t>204:710</t>
  </si>
  <si>
    <t>300:58920</t>
  </si>
  <si>
    <t>204:988</t>
  </si>
  <si>
    <t>300:58587</t>
  </si>
  <si>
    <t>204:743</t>
  </si>
  <si>
    <t>204:1020</t>
  </si>
  <si>
    <t>204:684</t>
  </si>
  <si>
    <t>204:985</t>
  </si>
  <si>
    <t>300:58946</t>
  </si>
  <si>
    <t>204:233047</t>
  </si>
  <si>
    <t>300:58634</t>
  </si>
  <si>
    <t>204:678</t>
  </si>
  <si>
    <t>300:58628</t>
  </si>
  <si>
    <t>204:969</t>
  </si>
  <si>
    <t>300:58943</t>
  </si>
  <si>
    <t>300:58626</t>
  </si>
  <si>
    <t>204:680</t>
  </si>
  <si>
    <t>204:981</t>
  </si>
  <si>
    <t>204:719</t>
  </si>
  <si>
    <t>204:431</t>
  </si>
  <si>
    <t>300:58636</t>
  </si>
  <si>
    <t>204:696</t>
  </si>
  <si>
    <t>300:58971</t>
  </si>
  <si>
    <t>204:232962</t>
  </si>
  <si>
    <t>204:233408</t>
  </si>
  <si>
    <t>300:29744</t>
  </si>
  <si>
    <t>204:233306</t>
  </si>
  <si>
    <t>204:233382</t>
  </si>
  <si>
    <t>204:49009</t>
  </si>
  <si>
    <t>204:36791</t>
  </si>
  <si>
    <t>204:233066</t>
  </si>
  <si>
    <t>204:233278</t>
  </si>
  <si>
    <t>204:233355</t>
  </si>
  <si>
    <t>204:473</t>
  </si>
  <si>
    <t>204:233349</t>
  </si>
  <si>
    <t>204:233045</t>
  </si>
  <si>
    <t>204:233395</t>
  </si>
  <si>
    <t>204:233072</t>
  </si>
  <si>
    <t>204:233406</t>
  </si>
  <si>
    <t>204:233347</t>
  </si>
  <si>
    <t>204:130</t>
  </si>
  <si>
    <t>204:233288</t>
  </si>
  <si>
    <t>204:232967</t>
  </si>
  <si>
    <t>204:109</t>
  </si>
  <si>
    <t>204:422</t>
  </si>
  <si>
    <t>204:233322</t>
  </si>
  <si>
    <t>204:232948</t>
  </si>
  <si>
    <t>204:426</t>
  </si>
  <si>
    <t>204:98</t>
  </si>
  <si>
    <t>300:22830</t>
  </si>
  <si>
    <t>300:23306</t>
  </si>
  <si>
    <t>300:23546</t>
  </si>
  <si>
    <t>300:23303</t>
  </si>
  <si>
    <t>300:23739</t>
  </si>
  <si>
    <t>300:23293</t>
  </si>
  <si>
    <t>300:23394</t>
  </si>
  <si>
    <t>300:23379</t>
  </si>
  <si>
    <t>300:23517</t>
  </si>
  <si>
    <t>204:3423</t>
  </si>
  <si>
    <t>204:2987</t>
  </si>
  <si>
    <t>204:1184</t>
  </si>
  <si>
    <t>204:1481</t>
  </si>
  <si>
    <t>204:3399</t>
  </si>
  <si>
    <t>204:3044</t>
  </si>
  <si>
    <t>300:22070</t>
  </si>
  <si>
    <t>204:881</t>
  </si>
  <si>
    <t>300:23235</t>
  </si>
  <si>
    <t>204:176</t>
  </si>
  <si>
    <t>204:189648</t>
  </si>
  <si>
    <t>204:189679</t>
  </si>
  <si>
    <t>204:189811</t>
  </si>
  <si>
    <t>204:189902</t>
  </si>
  <si>
    <t>204:189957</t>
  </si>
  <si>
    <t>204:189993</t>
  </si>
  <si>
    <t>204:190029</t>
  </si>
  <si>
    <t>204:189369</t>
  </si>
  <si>
    <t>204:189533</t>
  </si>
  <si>
    <t>204:232979</t>
  </si>
  <si>
    <t>204:189575</t>
  </si>
  <si>
    <t>204:189724</t>
  </si>
  <si>
    <t>204:189681</t>
  </si>
  <si>
    <t>204:1028</t>
  </si>
  <si>
    <t>204:189644</t>
  </si>
  <si>
    <t>204:189330</t>
  </si>
  <si>
    <t>204:1342</t>
  </si>
  <si>
    <t>204:1469</t>
  </si>
  <si>
    <t>204:1145</t>
  </si>
  <si>
    <t>300:23308</t>
  </si>
  <si>
    <t>start /low /b %USERPROFILE%\Documents\GitHub\eaglep3\Utilities\DownloadLogsFromS3.py --loco 4015 --day 2017-07-15</t>
  </si>
  <si>
    <t>start /low /b %USERPROFILE%\Documents\GitHub\eaglep3\Utilities\DownloadLogsFromS3.py --loco 4013 --day 2017-07-15</t>
  </si>
  <si>
    <t>start /low /b %USERPROFILE%\Documents\GitHub\eaglep3\Utilities\DownloadLogsFromS3.py --loco 4015 --day 2017-07-16</t>
  </si>
  <si>
    <t>start /low /b %USERPROFILE%\Documents\GitHub\eaglep3\Utilities\DownloadLogsFromS3.py --loco 4053 --day 2017-07-16</t>
  </si>
  <si>
    <t>start /low /b %USERPROFILE%\Documents\GitHub\eaglep3\Utilities\DownloadLogsFromS3.py --loco 4031 --day 2017-07-16</t>
  </si>
  <si>
    <t>start /low /b %USERPROFILE%\Documents\GitHub\eaglep3\Utilities\DownloadLogsFromS3.py --loco 4031 --day 2017-07-15</t>
  </si>
  <si>
    <t>start /low /b %USERPROFILE%\Documents\GitHub\eaglep3\Utilities\DownloadLogsFromS3.py --loco 4053 --day 2017-07-15</t>
  </si>
  <si>
    <t>start /low /b %USERPROFILE%\Documents\GitHub\eaglep3\Utilities\DownloadLogsFromS3.py --loco 4016 --day 2017-07-15</t>
  </si>
  <si>
    <t>start /low /b %USERPROFILE%\Documents\GitHub\eaglep3\Utilities\DownloadLogsFromS3.py --loco 4022 --day 2017-07-15</t>
  </si>
  <si>
    <t>start /low /b %USERPROFILE%\Documents\GitHub\eaglep3\Utilities\DownloadLogsFromS3.py --loco 4055 --day 2017-07-15</t>
  </si>
  <si>
    <t>start /low /b %USERPROFILE%\Documents\GitHub\eaglep3\Utilities\DownloadLogsFromS3.py --loco 4023 --day 2017-07-15</t>
  </si>
  <si>
    <t>start /low /b %USERPROFILE%\Documents\GitHub\eaglep3\Utilities\DownloadLogsFromS3.py --loco 4056 --day 2017-07-15</t>
  </si>
  <si>
    <t>start /low /b %USERPROFILE%\Documents\GitHub\eaglep3\Utilities\DownloadLogsFromS3.py --loco 4022 --day 2017-07-16</t>
  </si>
  <si>
    <t>start /low /b %USERPROFILE%\Documents\GitHub\eaglep3\Utilities\DownloadLogsFromS3.py --loco 4032 --day 2017-07-16</t>
  </si>
  <si>
    <t>start /low /b %USERPROFILE%\Documents\GitHub\eaglep3\Utilities\DownloadLogsFromS3.py --loco 4012 --day 2017-07-15</t>
  </si>
  <si>
    <t>Onboard in-route failure on first init, recovered without delay</t>
  </si>
  <si>
    <t>Ran as 1815-15</t>
  </si>
  <si>
    <t>1813-15</t>
  </si>
  <si>
    <t>MACDONALD 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</si>
</sst>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topLeftCell="A65" workbookViewId="0">
      <selection activeCell="V66" sqref="V6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COUNTIFS($N$13:$N$9316,"&gt;0",$AG$13:$AG$9316,I1)</f>
        <v>145</v>
      </c>
      <c r="K5" s="39"/>
      <c r="L5" s="39"/>
      <c r="M5" s="40">
        <f>AVERAGEIFS($N$13:$N$9316,$AG$13:$AG$9316,I1)</f>
        <v>37.681264368110689</v>
      </c>
      <c r="N5" s="38">
        <f t="array" ref="N5">MIN(IF($AG$13:$AG$9316=I1,IF(ISNUMBER($N$13:$N$9316),IF($N$13:$N$9316&gt;0,$N$13:$N$9316))))</f>
        <v>34.283333332277834</v>
      </c>
      <c r="O5" s="3">
        <f t="array" ref="O5">MAX(IF($AG$13:$AG$9316=I1,IF(ISNUMBER($N$13:$N$9316),IF($N$13:$N$9316&gt;0,$N$13:$N$9316))))</f>
        <v>41.799999995855615</v>
      </c>
      <c r="P5" s="2"/>
      <c r="R5" s="166" t="s">
        <v>17</v>
      </c>
      <c r="S5" s="186">
        <f>COUNTIFS($N$13:$N$9316,"&gt;0",$AG$13:$AG$9316,R1)</f>
        <v>34</v>
      </c>
      <c r="T5" s="187"/>
      <c r="U5" s="187"/>
      <c r="V5" s="183">
        <f>AVERAGEIFS($N$13:$N$9316,$AG$13:$AG$9316,R1)</f>
        <v>14.772549019338946</v>
      </c>
      <c r="W5" s="184">
        <f t="array" ref="W5">MIN(IF($AG$13:$AG$9316=R1,IF(ISNUMBER($N$13:$N$9316),IF($N$13:$N$9316&gt;0,$N$13:$N$9316))))</f>
        <v>13.283333337167278</v>
      </c>
      <c r="X5" s="185">
        <f t="array" ref="X5">MAX(IF($AG$13:$AG$9316=R1,IF(ISNUMBER($N$13:$N$9316),IF($N$13:$N$9316&gt;0,$N$13:$N$9316))))</f>
        <v>16.88333333004266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COUNTIFS($P$13:$P$9316,"&gt;0",$AG$13:$AG$9316,I1)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COUNTIFS($P$13:$P$9316,"&gt;0",$AG$13:$AG$9316,R1)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39"/>
      <c r="M8" s="40">
        <f>M5</f>
        <v>37.681264368110689</v>
      </c>
      <c r="N8" s="38">
        <f>N5</f>
        <v>34.283333332277834</v>
      </c>
      <c r="O8" s="3">
        <f>O5</f>
        <v>41.799999995855615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14.772549019338946</v>
      </c>
      <c r="W8" s="184">
        <f>W5</f>
        <v>13.283333337167278</v>
      </c>
      <c r="X8" s="185">
        <f>X5</f>
        <v>16.88333333004266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0.99315068493150682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622</v>
      </c>
      <c r="B13" s="7">
        <v>4016</v>
      </c>
      <c r="C13" s="21" t="s">
        <v>199</v>
      </c>
      <c r="D13" s="21" t="s">
        <v>835</v>
      </c>
      <c r="E13" s="13">
        <v>42931.133125</v>
      </c>
      <c r="F13" s="13">
        <v>42931.135972222219</v>
      </c>
      <c r="G13" s="7">
        <v>2</v>
      </c>
      <c r="H13" s="21" t="s">
        <v>836</v>
      </c>
      <c r="I13" s="13">
        <v>42931.160752314812</v>
      </c>
      <c r="J13" s="7">
        <v>0</v>
      </c>
      <c r="K13" s="89" t="str">
        <f t="shared" ref="K13:K76" si="0">IF(ISEVEN(B13),(B13-1)&amp;"/"&amp;B13,B13&amp;"/"&amp;(B13+1))</f>
        <v>4015/4016</v>
      </c>
      <c r="L13" s="21" t="str">
        <f>VLOOKUP(A13,'Trips&amp;Operators'!$C$1:$G$99999,5,FALSE)</f>
        <v>MAELZER KURT</v>
      </c>
      <c r="M13" s="6">
        <f t="shared" ref="M13:M76" si="1">I13-F13</f>
        <v>2.4780092593573499E-2</v>
      </c>
      <c r="N13" s="7">
        <f t="shared" ref="N13:N44" si="2">24*60*SUM($M13:$M13)</f>
        <v>35.683333334745839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-15T02:11:42-0600',mode:absolute,to:'2017-07-15T04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7.5200000000000003E-2</v>
      </c>
      <c r="Z13" s="197">
        <f t="shared" ref="Z13:Z76" si="8">RIGHT(H13,LEN(H13)-4)/10000</f>
        <v>23.332100000000001</v>
      </c>
      <c r="AA13" s="197">
        <f t="shared" ref="AA13:AA76" si="9">ABS(Z13-Y13)</f>
        <v>23.256900000000002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/stypes="app*4016*20170715*"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4016 --swversion DE.1.0.9.0 --startMP 204:752 --initTime 2017-07-15T03:11:42 --startdatetime 2017-07-15T03:15:48 --delay 2 --endMP 204:233321 --enddatetime 2017-07-15T03:51:29 --enforcementcount 0 &gt;&gt;C:\Users\stu\Documents\GitHub\eaglep3-reporting\EC\2017-07-15-refined-times.txt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{"issue":{"subject":"","project_id":79,"tracker_id":40,"status_id":1,"priority_id":2,"assigned_to_id":23,"start_date":"2017-07-15","description":"","custom_fields":[{"id":1,"name":"Subdivision","value":"EC"},{"id":4,"name":"Milepost","value":"23.3321"},{"id":17,"name":"Train ID","value":"101-15"},{"id":16,"name":"Locomotive ID","value":"4016"},{"id":130,"name":"Impact","value":""},{"id":150,"name":"Time of Event (Mountain Time)","value":"03:51:29"},{"id":151,"name":"Denver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4016 --day 2017-07-15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09:51:29"},{"id":29,"name":"Sharepoint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632</v>
      </c>
      <c r="B14" s="7">
        <v>4015</v>
      </c>
      <c r="C14" s="21" t="s">
        <v>199</v>
      </c>
      <c r="D14" s="21" t="s">
        <v>837</v>
      </c>
      <c r="E14" s="13">
        <v>42931.16542824074</v>
      </c>
      <c r="F14" s="13">
        <v>42931.175162037034</v>
      </c>
      <c r="G14" s="7">
        <v>1</v>
      </c>
      <c r="H14" s="21" t="s">
        <v>351</v>
      </c>
      <c r="I14" s="13">
        <v>42931.20244212963</v>
      </c>
      <c r="J14" s="7">
        <v>0</v>
      </c>
      <c r="K14" s="89" t="str">
        <f t="shared" si="0"/>
        <v>4015/4016</v>
      </c>
      <c r="L14" s="21" t="str">
        <f>VLOOKUP(A14,'Trips&amp;Operators'!$C$1:$G$99999,5,FALSE)</f>
        <v>MAELZER KURT</v>
      </c>
      <c r="M14" s="6">
        <f t="shared" si="1"/>
        <v>2.7280092595901806E-2</v>
      </c>
      <c r="N14" s="7">
        <f t="shared" si="2"/>
        <v>39.283333338098601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-15T02:58:13-0600',mode:absolute,to:'2017-07-15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23.3002</v>
      </c>
      <c r="Z14" s="197">
        <f t="shared" si="8"/>
        <v>1.3899999999999999E-2</v>
      </c>
      <c r="AA14" s="197">
        <f t="shared" si="9"/>
        <v>23.286300000000001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4" s="74" t="str">
        <f t="shared" si="12"/>
        <v>"C:\Program Files (x86)\AstroGrep\AstroGrep.exe" /e /r /s /spath="%USERPROFILE%\AppData\Local\Temp\OnboardLogs" /stypes="app*4015*20170715*"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4015 --swversion DE.1.0.9.0 --startMP 204:233002 --initTime 2017-07-15T03:58:13 --startdatetime 2017-07-15T04:12:14 --delay 1 --endMP 204:139 --enddatetime 2017-07-15T04:51:31 --enforcementcount 0 &gt;&gt;C:\Users\stu\Documents\GitHub\eaglep3-reporting\EC\2017-07-15-refined-times.txt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{"issue":{"subject":"","project_id":79,"tracker_id":40,"status_id":1,"priority_id":2,"assigned_to_id":23,"start_date":"2017-07-15","description":"","custom_fields":[{"id":1,"name":"Subdivision","value":"EC"},{"id":4,"name":"Milepost","value":"0.0139"},{"id":17,"name":"Train ID","value":"102-15"},{"id":16,"name":"Locomotive ID","value":"4015"},{"id":130,"name":"Impact","value":""},{"id":150,"name":"Time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4015 --day 2017-07-15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630</v>
      </c>
      <c r="B15" s="7">
        <v>4042</v>
      </c>
      <c r="C15" s="21" t="s">
        <v>199</v>
      </c>
      <c r="D15" s="21" t="s">
        <v>502</v>
      </c>
      <c r="E15" s="13">
        <v>42931.151388888888</v>
      </c>
      <c r="F15" s="13">
        <v>42931.156851851854</v>
      </c>
      <c r="G15" s="7">
        <v>1</v>
      </c>
      <c r="H15" s="21" t="s">
        <v>432</v>
      </c>
      <c r="I15" s="13">
        <v>42931.180659722224</v>
      </c>
      <c r="J15" s="7">
        <v>0</v>
      </c>
      <c r="K15" s="89" t="str">
        <f t="shared" si="0"/>
        <v>4041/4042</v>
      </c>
      <c r="L15" s="21" t="str">
        <f>VLOOKUP(A15,'Trips&amp;Operators'!$C$1:$G$99999,5,FALSE)</f>
        <v>YORK EDGAR</v>
      </c>
      <c r="M15" s="6">
        <f t="shared" si="1"/>
        <v>2.3807870369637385E-2</v>
      </c>
      <c r="N15" s="7">
        <f t="shared" si="2"/>
        <v>34.283333332277834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-15T02:38:00-0600',mode:absolute,to:'2017-07-15T05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4.4200000000000003E-2</v>
      </c>
      <c r="Z15" s="197">
        <f t="shared" si="8"/>
        <v>23.328900000000001</v>
      </c>
      <c r="AA15" s="197">
        <f t="shared" si="9"/>
        <v>23.284700000000001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s3://rtdc.mdm.uploadarchive.raw/RTDC4042/ "%USERPROFILE%\AppData\Local\Temp\OnboardLogs"\RTDC4042\2017-07-15 --exclude "*" --recursive --include "*20170715*" &amp; "%USERPROFILE%\Documents\GitHub\mrs-test-scripts\Headless Mode &amp; Sideloading\WalkAndUnGZ.bat" "%USERPROFILE%\AppData\Local\Temp\OnboardLogs"\RTDC4042\2017-07-15 &amp; 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</v>
      </c>
      <c r="AF15" s="74" t="str">
        <f t="shared" si="12"/>
        <v>"C:\Program Files (x86)\AstroGrep\AstroGrep.exe" /e /r /s /spath="%USERPROFILE%\AppData\Local\Temp\OnboardLogs" /stypes="app*4042*20170715*"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103-15 --locoid 4042 --swversion DE.1.0.9.0 --startMP 204:442 --initTime 2017-07-15T03:38:00 --startdatetime 2017-07-15T03:45:52 --delay 1 --endMP 204:233289 --enddatetime 2017-07-15T04:20:09 --enforcementcount 0 &gt;&gt;C:\Users\stu\Documents\GitHub\eaglep3-reporting\EC\2017-07-15-refined-times.txt</v>
      </c>
      <c r="AI1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{"issue":{"subject":"","project_id":79,"tracker_id":40,"status_id":1,"priority_id":2,"assigned_to_id":23,"start_date":"2017-07-15","description":"","custom_fields":[{"id":1,"name":"Subdivision","value":"EC"},{"id":4,"name":"Milepost","value":"23.3289"},{"id":17,"name":"Train ID","value":"103-15"},{"id":16,"name":"Locomotive ID","value":"4042"},{"id":130,"name":"Impact","value":""},{"id":150,"name":"Time of Event (Mountain Time)","value":"04:20:09"},{"id":151,"name":"Denver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4042 --day 2017-07-15</v>
      </c>
      <c r="AN1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640</v>
      </c>
      <c r="B16" s="7">
        <v>4041</v>
      </c>
      <c r="C16" s="21" t="s">
        <v>199</v>
      </c>
      <c r="D16" s="21" t="s">
        <v>838</v>
      </c>
      <c r="E16" s="13">
        <v>42931.181701388887</v>
      </c>
      <c r="F16" s="13">
        <v>42931.196342592593</v>
      </c>
      <c r="G16" s="7">
        <v>0</v>
      </c>
      <c r="H16" s="21" t="s">
        <v>344</v>
      </c>
      <c r="I16" s="13">
        <v>42931.223773148151</v>
      </c>
      <c r="J16" s="7">
        <v>0</v>
      </c>
      <c r="K16" s="89" t="str">
        <f t="shared" si="0"/>
        <v>4041/4042</v>
      </c>
      <c r="L16" s="21" t="str">
        <f>VLOOKUP(A16,'Trips&amp;Operators'!$C$1:$G$99999,5,FALSE)</f>
        <v>YORK EDGAR</v>
      </c>
      <c r="M16" s="6">
        <f t="shared" si="1"/>
        <v>2.7430555557657499E-2</v>
      </c>
      <c r="N16" s="7">
        <f t="shared" si="2"/>
        <v>39.500000003026798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-15T03:21:39-0600',mode:absolute,to:'2017-07-15T06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23.298200000000001</v>
      </c>
      <c r="Z16" s="197">
        <f t="shared" si="8"/>
        <v>1.49E-2</v>
      </c>
      <c r="AA16" s="197">
        <f t="shared" si="9"/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s3://rtdc.mdm.uploadarchive.raw/RTDC4041/ "%USERPROFILE%\AppData\Local\Temp\OnboardLogs"\RTDC4041\2017-07-15 --exclude "*" --recursive --include "*20170715*" &amp; "%USERPROFILE%\Documents\GitHub\mrs-test-scripts\Headless Mode &amp; Sideloading\WalkAndUnGZ.bat" "%USERPROFILE%\AppData\Local\Temp\OnboardLogs"\RTDC4041\2017-07-15 &amp; 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</v>
      </c>
      <c r="AF16" s="74" t="str">
        <f t="shared" si="12"/>
        <v>"C:\Program Files (x86)\AstroGrep\AstroGrep.exe" /e /r /s /spath="%USERPROFILE%\AppData\Local\Temp\OnboardLogs" /stypes="app*4041*20170715*"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104-15 --locoid 4041 --swversion DE.1.0.9.0 --startMP 204:232982 --initTime 2017-07-15T04:21:39 --startdatetime 2017-07-15T04:42:44 --delay 0 --endMP 204:149 --enddatetime 2017-07-15T05:22:14 --enforcementcount 0 &gt;&gt;C:\Users\stu\Documents\GitHub\eaglep3-reporting\EC\2017-07-15-refined-times.txt</v>
      </c>
      <c r="AI1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ID","value":"104-15"},{"id":16,"name":"Locomotive ID","value":"4041"},{"id":130,"name":"Impact","value":""},{"id":150,"name":"Time of Event (Mountain Time)","value":"05:22:14"},{"id":151,"name":"Denver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4041 --day 2017-07-15</v>
      </c>
      <c r="AN1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633</v>
      </c>
      <c r="B17" s="7">
        <v>4032</v>
      </c>
      <c r="C17" s="21" t="s">
        <v>199</v>
      </c>
      <c r="D17" s="21" t="s">
        <v>397</v>
      </c>
      <c r="E17" s="13">
        <v>42931.168541666666</v>
      </c>
      <c r="F17" s="13">
        <v>42931.177604166667</v>
      </c>
      <c r="G17" s="7">
        <v>1</v>
      </c>
      <c r="H17" s="21" t="s">
        <v>416</v>
      </c>
      <c r="I17" s="13">
        <v>42931.20385416667</v>
      </c>
      <c r="J17" s="7">
        <v>0</v>
      </c>
      <c r="K17" s="89" t="str">
        <f t="shared" si="0"/>
        <v>4031/4032</v>
      </c>
      <c r="L17" s="21" t="str">
        <f>VLOOKUP(A17,'Trips&amp;Operators'!$C$1:$G$99999,5,FALSE)</f>
        <v>DAVIS WENDY</v>
      </c>
      <c r="M17" s="6">
        <f t="shared" si="1"/>
        <v>2.6250000002619345E-2</v>
      </c>
      <c r="N17" s="7">
        <f t="shared" si="2"/>
        <v>37.800000003771856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-15T03:02:42-0600',mode:absolute,to:'2017-07-15T05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4.6899999999999997E-2</v>
      </c>
      <c r="Z17" s="197">
        <f t="shared" si="8"/>
        <v>23.331199999999999</v>
      </c>
      <c r="AA17" s="197">
        <f t="shared" si="9"/>
        <v>23.284299999999998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17" s="74" t="str">
        <f t="shared" si="12"/>
        <v>"C:\Program Files (x86)\AstroGrep\AstroGrep.exe" /e /r /s /spath="%USERPROFILE%\AppData\Local\Temp\OnboardLogs" /stypes="app*4032*20170715*"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105-15 --locoid 4032 --swversion DE.1.0.9.0 --startMP 204:469 --initTime 2017-07-15T04:02:42 --startdatetime 2017-07-15T04:15:45 --delay 1 --endMP 204:233312 --enddatetime 2017-07-15T04:53:33 --enforcementcount 0 &gt;&gt;C:\Users\stu\Documents\GitHub\eaglep3-reporting\EC\2017-07-15-refined-times.txt</v>
      </c>
      <c r="AI1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{"issue":{"subject":"","project_id":79,"tracker_id":40,"status_id":1,"priority_id":2,"assigned_to_id":23,"start_date":"2017-07-15","description":"","custom_fields":[{"id":1,"name":"Subdivision","value":"EC"},{"id":4,"name":"Milepost","value":"23.3312"},{"id":17,"name":"Train ID","value":"105-15"},{"id":16,"name":"Locomotive ID","value":"4032"},{"id":130,"name":"Impact","value":""},{"id":150,"name":"Time of Event (Mountain Time)","value":"04:53:33"},{"id":151,"name":"Denver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4032 --day 2017-07-15</v>
      </c>
      <c r="AN1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10:53:33"},{"id":29,"name":"Sharepoint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653</v>
      </c>
      <c r="B18" s="7">
        <v>4031</v>
      </c>
      <c r="C18" s="21" t="s">
        <v>199</v>
      </c>
      <c r="D18" s="21" t="s">
        <v>839</v>
      </c>
      <c r="E18" s="13">
        <v>42931.21402777778</v>
      </c>
      <c r="F18" s="13">
        <v>42931.216805555552</v>
      </c>
      <c r="G18" s="7">
        <v>1</v>
      </c>
      <c r="H18" s="21" t="s">
        <v>528</v>
      </c>
      <c r="I18" s="13">
        <v>42931.244166666664</v>
      </c>
      <c r="J18" s="7">
        <v>0</v>
      </c>
      <c r="K18" s="89" t="str">
        <f t="shared" si="0"/>
        <v>4031/4032</v>
      </c>
      <c r="L18" s="21" t="str">
        <f>VLOOKUP(A18,'Trips&amp;Operators'!$C$1:$G$99999,5,FALSE)</f>
        <v>DAVIS WENDY</v>
      </c>
      <c r="M18" s="6">
        <f t="shared" si="1"/>
        <v>2.73611111115315E-2</v>
      </c>
      <c r="N18" s="7">
        <f t="shared" si="2"/>
        <v>39.40000000060536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-15T04:08:12-0600',mode:absolute,to:'2017-07-15T06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23.299299999999999</v>
      </c>
      <c r="Z18" s="197">
        <f t="shared" si="8"/>
        <v>1.52E-2</v>
      </c>
      <c r="AA18" s="197">
        <f t="shared" si="9"/>
        <v>23.284099999999999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8" s="74" t="str">
        <f t="shared" si="12"/>
        <v>"C:\Program Files (x86)\AstroGrep\AstroGrep.exe" /e /r /s /spath="%USERPROFILE%\AppData\Local\Temp\OnboardLogs" /stypes="app*4031*20170715*"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106-15 --locoid 4031 --swversion DE.1.0.9.0 --startMP 204:232993 --initTime 2017-07-15T05:08:12 --startdatetime 2017-07-15T05:12:12 --delay 1 --endMP 204:152 --enddatetime 2017-07-15T05:51:36 --enforcementcount 0 &gt;&gt;C:\Users\stu\Documents\GitHub\eaglep3-reporting\EC\2017-07-15-refined-times.txt</v>
      </c>
      <c r="AI18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{"issue":{"subject":"","project_id":79,"tracker_id":40,"status_id":1,"priority_id":2,"assigned_to_id":23,"start_date":"2017-07-15","description":"","custom_fields":[{"id":1,"name":"Subdivision","value":"EC"},{"id":4,"name":"Milepost","value":"0.0152"},{"id":17,"name":"Train ID","value":"106-15"},{"id":16,"name":"Locomotive ID","value":"4031"},{"id":130,"name":"Impact","value":""},{"id":150,"name":"Time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4031 --day 2017-07-15</v>
      </c>
      <c r="AN18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642</v>
      </c>
      <c r="B19" s="7">
        <v>4054</v>
      </c>
      <c r="C19" s="21" t="s">
        <v>199</v>
      </c>
      <c r="D19" s="21" t="s">
        <v>350</v>
      </c>
      <c r="E19" s="13">
        <v>42931.184907407405</v>
      </c>
      <c r="F19" s="13">
        <v>42931.188078703701</v>
      </c>
      <c r="G19" s="7">
        <v>1</v>
      </c>
      <c r="H19" s="21" t="s">
        <v>423</v>
      </c>
      <c r="I19" s="13">
        <v>42931.212372685186</v>
      </c>
      <c r="J19" s="7">
        <v>0</v>
      </c>
      <c r="K19" s="89" t="str">
        <f t="shared" si="0"/>
        <v>4053/4054</v>
      </c>
      <c r="L19" s="21" t="str">
        <f>VLOOKUP(A19,'Trips&amp;Operators'!$C$1:$G$99999,5,FALSE)</f>
        <v>GEBRETEKLE DAGNEW</v>
      </c>
      <c r="M19" s="6">
        <f t="shared" si="1"/>
        <v>2.4293981485243421E-2</v>
      </c>
      <c r="N19" s="7">
        <f t="shared" si="2"/>
        <v>34.983333338750526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-15T03:26:16-0600',mode:absolute,to:'2017-07-15T06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4.4699999999999997E-2</v>
      </c>
      <c r="Z19" s="197">
        <f t="shared" si="8"/>
        <v>23.329499999999999</v>
      </c>
      <c r="AA19" s="197">
        <f t="shared" si="9"/>
        <v>23.284800000000001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19" s="74" t="str">
        <f t="shared" si="12"/>
        <v>"C:\Program Files (x86)\AstroGrep\AstroGrep.exe" /e /r /s /spath="%USERPROFILE%\AppData\Local\Temp\OnboardLogs" /stypes="app*4054*20170715*"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107-15 --locoid 4054 --swversion DE.1.0.9.0 --startMP 204:447 --initTime 2017-07-15T04:26:16 --startdatetime 2017-07-15T04:30:50 --delay 1 --endMP 204:233295 --enddatetime 2017-07-15T05:05:49 --enforcementcount 0 &gt;&gt;C:\Users\stu\Documents\GitHub\eaglep3-reporting\EC\2017-07-15-refined-times.txt</v>
      </c>
      <c r="AI19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{"issue":{"subject":"","project_id":79,"tracker_id":40,"status_id":1,"priority_id":2,"assigned_to_id":23,"start_date":"2017-07-15","description":"","custom_fields":[{"id":1,"name":"Subdivision","value":"EC"},{"id":4,"name":"Milepost","value":"23.3295"},{"id":17,"name":"Train ID","value":"107-15"},{"id":16,"name":"Locomotive ID","value":"4054"},{"id":130,"name":"Impact","value":""},{"id":150,"name":"Time of Event (Mountain Time)","value":"05:05:49"},{"id":151,"name":"Denver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4054 --day 2017-07-15</v>
      </c>
      <c r="AN19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649</v>
      </c>
      <c r="B20" s="7">
        <v>4053</v>
      </c>
      <c r="C20" s="21" t="s">
        <v>199</v>
      </c>
      <c r="D20" s="21" t="s">
        <v>506</v>
      </c>
      <c r="E20" s="13">
        <v>42931.213564814818</v>
      </c>
      <c r="F20" s="13">
        <v>42931.227280092593</v>
      </c>
      <c r="G20" s="7">
        <v>1</v>
      </c>
      <c r="H20" s="21" t="s">
        <v>485</v>
      </c>
      <c r="I20" s="13">
        <v>42931.253078703703</v>
      </c>
      <c r="J20" s="7">
        <v>0</v>
      </c>
      <c r="K20" s="89" t="str">
        <f t="shared" si="0"/>
        <v>4053/4054</v>
      </c>
      <c r="L20" s="21" t="str">
        <f>VLOOKUP(A20,'Trips&amp;Operators'!$C$1:$G$99999,5,FALSE)</f>
        <v>GEBRETEKLE DAGNEW</v>
      </c>
      <c r="M20" s="6">
        <f t="shared" si="1"/>
        <v>2.5798611110076308E-2</v>
      </c>
      <c r="N20" s="7">
        <f t="shared" si="2"/>
        <v>37.149999998509884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-15T04:07:32-0600',mode:absolute,to:'2017-07-15T07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23.299399999999999</v>
      </c>
      <c r="Z20" s="197">
        <f t="shared" si="8"/>
        <v>1.5800000000000002E-2</v>
      </c>
      <c r="AA20" s="197">
        <f t="shared" si="9"/>
        <v>23.2836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20" s="74" t="str">
        <f t="shared" si="12"/>
        <v>"C:\Program Files (x86)\AstroGrep\AstroGrep.exe" /e /r /s /spath="%USERPROFILE%\AppData\Local\Temp\OnboardLogs" /stypes="app*4053*20170715*"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108-15 --locoid 4053 --swversion DE.1.0.9.0 --startMP 204:232994 --initTime 2017-07-15T05:07:32 --startdatetime 2017-07-15T05:27:17 --delay 1 --endMP 204:158 --enddatetime 2017-07-15T06:04:26 --enforcementcount 0 &gt;&gt;C:\Users\stu\Documents\GitHub\eaglep3-reporting\EC\2017-07-15-refined-times.txt</v>
      </c>
      <c r="AI20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{"issue":{"subject":"","project_id":79,"tracker_id":40,"status_id":1,"priority_id":2,"assigned_to_id":23,"start_date":"2017-07-15","description":"","custom_fields":[{"id":1,"name":"Subdivision","value":"EC"},{"id":4,"name":"Milepost","value":"0.0158"},{"id":17,"name":"Train ID","value":"108-15"},{"id":16,"name":"Locomotive ID","value":"4053"},{"id":130,"name":"Impact","value":""},{"id":150,"name":"Time of Event (Mountain Time)","value":"06:04:26"},{"id":151,"name":"Denver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4053 --day 2017-07-15</v>
      </c>
      <c r="AN20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588</v>
      </c>
      <c r="B21" s="7">
        <v>4056</v>
      </c>
      <c r="C21" s="21" t="s">
        <v>199</v>
      </c>
      <c r="D21" s="21" t="s">
        <v>570</v>
      </c>
      <c r="E21" s="13">
        <v>42931.196064814816</v>
      </c>
      <c r="F21" s="13">
        <v>42931.198703703703</v>
      </c>
      <c r="G21" s="7">
        <v>1</v>
      </c>
      <c r="H21" s="21" t="s">
        <v>836</v>
      </c>
      <c r="I21" s="13">
        <v>42931.224293981482</v>
      </c>
      <c r="J21" s="7">
        <v>0</v>
      </c>
      <c r="K21" s="89" t="str">
        <f t="shared" si="0"/>
        <v>4055/4056</v>
      </c>
      <c r="L21" s="21" t="str">
        <f>VLOOKUP(A21,'Trips&amp;Operators'!$C$1:$G$99999,5,FALSE)</f>
        <v>BROWN JACOB</v>
      </c>
      <c r="M21" s="6">
        <f t="shared" si="1"/>
        <v>2.5590277778974269E-2</v>
      </c>
      <c r="N21" s="7">
        <f t="shared" si="2"/>
        <v>36.850000001722947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-15T03:42:20-0600',mode:absolute,to:'2017-07-15T06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4.5999999999999999E-2</v>
      </c>
      <c r="Z21" s="197">
        <f t="shared" si="8"/>
        <v>23.332100000000001</v>
      </c>
      <c r="AA21" s="197">
        <f t="shared" si="9"/>
        <v>23.286100000000001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21" s="74" t="str">
        <f t="shared" si="12"/>
        <v>"C:\Program Files (x86)\AstroGrep\AstroGrep.exe" /e /r /s /spath="%USERPROFILE%\AppData\Local\Temp\OnboardLogs" /stypes="app*4056*20170715*"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109-15 --locoid 4056 --swversion DE.1.0.9.0 --startMP 204:460 --initTime 2017-07-15T04:42:20 --startdatetime 2017-07-15T04:46:08 --delay 1 --endMP 204:233321 --enddatetime 2017-07-15T05:22:59 --enforcementcount 0 &gt;&gt;C:\Users\stu\Documents\GitHub\eaglep3-reporting\EC\2017-07-15-refined-times.txt</v>
      </c>
      <c r="AI21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{"issue":{"subject":"","project_id":79,"tracker_id":40,"status_id":1,"priority_id":2,"assigned_to_id":23,"start_date":"2017-07-15","description":"","custom_fields":[{"id":1,"name":"Subdivision","value":"EC"},{"id":4,"name":"Milepost","value":"23.3321"},{"id":17,"name":"Train ID","value":"109-15"},{"id":16,"name":"Locomotive ID","value":"4056"},{"id":130,"name":"Impact","value":""},{"id":150,"name":"Time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4056 --day 2017-07-15</v>
      </c>
      <c r="AN21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590</v>
      </c>
      <c r="B22" s="7">
        <v>4055</v>
      </c>
      <c r="C22" s="21" t="s">
        <v>199</v>
      </c>
      <c r="D22" s="21" t="s">
        <v>533</v>
      </c>
      <c r="E22" s="13">
        <v>42931.233969907407</v>
      </c>
      <c r="F22" s="13">
        <v>42931.23778935185</v>
      </c>
      <c r="G22" s="7">
        <v>1</v>
      </c>
      <c r="H22" s="21" t="s">
        <v>354</v>
      </c>
      <c r="I22" s="13">
        <v>42931.264999999999</v>
      </c>
      <c r="J22" s="7">
        <v>0</v>
      </c>
      <c r="K22" s="89" t="str">
        <f t="shared" si="0"/>
        <v>4055/4056</v>
      </c>
      <c r="L22" s="21" t="str">
        <f>VLOOKUP(A22,'Trips&amp;Operators'!$C$1:$G$99999,5,FALSE)</f>
        <v>BROWN JACOB</v>
      </c>
      <c r="M22" s="6">
        <f t="shared" si="1"/>
        <v>2.7210648149775807E-2</v>
      </c>
      <c r="N22" s="7">
        <f t="shared" si="2"/>
        <v>39.183333335677162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-15T04:36:55-0600',mode:absolute,to:'2017-07-15T07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</v>
      </c>
      <c r="Z22" s="197">
        <f t="shared" si="8"/>
        <v>1.47E-2</v>
      </c>
      <c r="AA22" s="197">
        <f t="shared" si="9"/>
        <v>23.285299999999999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22" s="74" t="str">
        <f t="shared" si="12"/>
        <v>"C:\Program Files (x86)\AstroGrep\AstroGrep.exe" /e /r /s /spath="%USERPROFILE%\AppData\Local\Temp\OnboardLogs" /stypes="app*4055*20170715*"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110-15 --locoid 4055 --swversion DE.1.0.9.0 --startMP 204:233000 --initTime 2017-07-15T05:36:55 --startdatetime 2017-07-15T05:42:25 --delay 1 --endMP 204:147 --enddatetime 2017-07-15T06:21:36 --enforcementcount 0 &gt;&gt;C:\Users\stu\Documents\GitHub\eaglep3-reporting\EC\2017-07-15-refined-times.txt</v>
      </c>
      <c r="AI22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ID","value":"110-15"},{"id":16,"name":"Locomotive ID","value":"4055"},{"id":130,"name":"Impact","value":""},{"id":150,"name":"Time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4055 --day 2017-07-15</v>
      </c>
      <c r="AN22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646</v>
      </c>
      <c r="B23" s="7">
        <v>4016</v>
      </c>
      <c r="C23" s="21" t="s">
        <v>199</v>
      </c>
      <c r="D23" s="21" t="s">
        <v>417</v>
      </c>
      <c r="E23" s="13">
        <v>42931.204363425924</v>
      </c>
      <c r="F23" s="13">
        <v>42931.208865740744</v>
      </c>
      <c r="G23" s="7">
        <v>1</v>
      </c>
      <c r="H23" s="21" t="s">
        <v>509</v>
      </c>
      <c r="I23" s="13">
        <v>42931.233402777776</v>
      </c>
      <c r="J23" s="7">
        <v>0</v>
      </c>
      <c r="K23" s="89" t="str">
        <f t="shared" si="0"/>
        <v>4015/4016</v>
      </c>
      <c r="L23" s="21" t="str">
        <f>VLOOKUP(A23,'Trips&amp;Operators'!$C$1:$G$99999,5,FALSE)</f>
        <v>MAELZER KURT</v>
      </c>
      <c r="M23" s="6">
        <f t="shared" si="1"/>
        <v>2.4537037032132503E-2</v>
      </c>
      <c r="N23" s="7">
        <f t="shared" si="2"/>
        <v>35.333333326270804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-15T03:54:17-0600',mode:absolute,to:'2017-07-15T06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4.4400000000000002E-2</v>
      </c>
      <c r="Z23" s="197">
        <f t="shared" si="8"/>
        <v>23.330500000000001</v>
      </c>
      <c r="AA23" s="197">
        <f t="shared" si="9"/>
        <v>23.286100000000001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23" s="74" t="str">
        <f t="shared" si="12"/>
        <v>"C:\Program Files (x86)\AstroGrep\AstroGrep.exe" /e /r /s /spath="%USERPROFILE%\AppData\Local\Temp\OnboardLogs" /stypes="app*4016*20170715*"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111-15 --locoid 4016 --swversion DE.1.0.9.0 --startMP 204:444 --initTime 2017-07-15T04:54:17 --startdatetime 2017-07-15T05:00:46 --delay 1 --endMP 204:233305 --enddatetime 2017-07-15T05:36:06 --enforcementcount 0 &gt;&gt;C:\Users\stu\Documents\GitHub\eaglep3-reporting\EC\2017-07-15-refined-times.txt</v>
      </c>
      <c r="AI23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{"issue":{"subject":"","project_id":79,"tracker_id":40,"status_id":1,"priority_id":2,"assigned_to_id":23,"start_date":"2017-07-15","description":"","custom_fields":[{"id":1,"name":"Subdivision","value":"EC"},{"id":4,"name":"Milepost","value":"23.3305"},{"id":17,"name":"Train ID","value":"111-15"},{"id":16,"name":"Locomotive ID","value":"4016"},{"id":130,"name":"Impact","value":""},{"id":150,"name":"Time of Event (Mountain Time)","value":"05:36:06"},{"id":151,"name":"Denver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4016 --day 2017-07-15</v>
      </c>
      <c r="AN23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664</v>
      </c>
      <c r="B24" s="7">
        <v>4015</v>
      </c>
      <c r="C24" s="21" t="s">
        <v>199</v>
      </c>
      <c r="D24" s="21" t="s">
        <v>840</v>
      </c>
      <c r="E24" s="13">
        <v>42931.240740740737</v>
      </c>
      <c r="F24" s="13">
        <v>42931.248113425929</v>
      </c>
      <c r="G24" s="7">
        <v>1</v>
      </c>
      <c r="H24" s="21" t="s">
        <v>841</v>
      </c>
      <c r="I24" s="13">
        <v>42931.274259259262</v>
      </c>
      <c r="J24" s="7">
        <v>0</v>
      </c>
      <c r="K24" s="89" t="str">
        <f t="shared" si="0"/>
        <v>4015/4016</v>
      </c>
      <c r="L24" s="21" t="str">
        <f>VLOOKUP(A24,'Trips&amp;Operators'!$C$1:$G$99999,5,FALSE)</f>
        <v>MAELZER KURT</v>
      </c>
      <c r="M24" s="6">
        <f t="shared" si="1"/>
        <v>2.6145833333430346E-2</v>
      </c>
      <c r="N24" s="7">
        <f t="shared" si="2"/>
        <v>37.650000000139698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-15T04:46:40-0600',mode:absolute,to:'2017-07-15T07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23.2988</v>
      </c>
      <c r="Z24" s="197">
        <f t="shared" si="8"/>
        <v>1.34E-2</v>
      </c>
      <c r="AA24" s="197">
        <f t="shared" si="9"/>
        <v>23.285399999999999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24" s="74" t="str">
        <f t="shared" si="12"/>
        <v>"C:\Program Files (x86)\AstroGrep\AstroGrep.exe" /e /r /s /spath="%USERPROFILE%\AppData\Local\Temp\OnboardLogs" /stypes="app*4015*20170715*"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112-15 --locoid 4015 --swversion DE.1.0.9.0 --startMP 204:232988 --initTime 2017-07-15T05:46:40 --startdatetime 2017-07-15T05:57:17 --delay 1 --endMP 204:134 --enddatetime 2017-07-15T06:34:56 --enforcementcount 0 &gt;&gt;C:\Users\stu\Documents\GitHub\eaglep3-reporting\EC\2017-07-15-refined-times.txt</v>
      </c>
      <c r="AI24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{"issue":{"subject":"","project_id":79,"tracker_id":40,"status_id":1,"priority_id":2,"assigned_to_id":23,"start_date":"2017-07-15","description":"","custom_fields":[{"id":1,"name":"Subdivision","value":"EC"},{"id":4,"name":"Milepost","value":"0.0134"},{"id":17,"name":"Train ID","value":"112-15"},{"id":16,"name":"Locomotive ID","value":"4015"},{"id":130,"name":"Impact","value":""},{"id":150,"name":"Time of Event (Mountain Time)","value":"06:34:56"},{"id":151,"name":"Denver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4015 --day 2017-07-15</v>
      </c>
      <c r="AN24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647</v>
      </c>
      <c r="B25" s="7">
        <v>4022</v>
      </c>
      <c r="C25" s="21" t="s">
        <v>199</v>
      </c>
      <c r="D25" s="21" t="s">
        <v>342</v>
      </c>
      <c r="E25" s="13">
        <v>42931.208784722221</v>
      </c>
      <c r="F25" s="13">
        <v>42931.219340277778</v>
      </c>
      <c r="G25" s="7">
        <v>1</v>
      </c>
      <c r="H25" s="21" t="s">
        <v>527</v>
      </c>
      <c r="I25" s="13">
        <v>42931.245925925927</v>
      </c>
      <c r="J25" s="7">
        <v>0</v>
      </c>
      <c r="K25" s="89" t="str">
        <f t="shared" si="0"/>
        <v>4021/4022</v>
      </c>
      <c r="L25" s="21" t="str">
        <f>VLOOKUP(A25,'Trips&amp;Operators'!$C$1:$G$99999,5,FALSE)</f>
        <v>DAVIDSON DAVID</v>
      </c>
      <c r="M25" s="6">
        <f t="shared" si="1"/>
        <v>2.658564814919373E-2</v>
      </c>
      <c r="N25" s="7">
        <f t="shared" si="2"/>
        <v>38.283333334838971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-15T04:00:39-0600',mode:absolute,to:'2017-07-15T06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4.4600000000000001E-2</v>
      </c>
      <c r="Z25" s="197">
        <f t="shared" si="8"/>
        <v>23.329799999999999</v>
      </c>
      <c r="AA25" s="197">
        <f t="shared" si="9"/>
        <v>23.2852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25" s="74" t="str">
        <f t="shared" si="12"/>
        <v>"C:\Program Files (x86)\AstroGrep\AstroGrep.exe" /e /r /s /spath="%USERPROFILE%\AppData\Local\Temp\OnboardLogs" /stypes="app*4022*20170715*"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113-15 --locoid 4022 --swversion DE.1.0.9.0 --startMP 204:446 --initTime 2017-07-15T05:00:39 --startdatetime 2017-07-15T05:15:51 --delay 1 --endMP 204:233298 --enddatetime 2017-07-15T05:54:08 --enforcementcount 0 &gt;&gt;C:\Users\stu\Documents\GitHub\eaglep3-reporting\EC\2017-07-15-refined-times.txt</v>
      </c>
      <c r="AI2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{"issue":{"subject":"","project_id":79,"tracker_id":40,"status_id":1,"priority_id":2,"assigned_to_id":23,"start_date":"2017-07-15","description":"","custom_fields":[{"id":1,"name":"Subdivision","value":"EC"},{"id":4,"name":"Milepost","value":"23.3298"},{"id":17,"name":"Train ID","value":"113-15"},{"id":16,"name":"Locomotive ID","value":"4022"},{"id":130,"name":"Impact","value":""},{"id":150,"name":"Time of Event (Mountain Time)","value":"05:54:08"},{"id":151,"name":"Denver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4022 --day 2017-07-15</v>
      </c>
      <c r="AN2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666</v>
      </c>
      <c r="B26" s="7">
        <v>4021</v>
      </c>
      <c r="C26" s="21" t="s">
        <v>199</v>
      </c>
      <c r="D26" s="21" t="s">
        <v>564</v>
      </c>
      <c r="E26" s="13">
        <v>42931.247986111113</v>
      </c>
      <c r="F26" s="13">
        <v>42931.258518518516</v>
      </c>
      <c r="G26" s="7">
        <v>1</v>
      </c>
      <c r="H26" s="21" t="s">
        <v>469</v>
      </c>
      <c r="I26" s="13">
        <v>42931.28628472222</v>
      </c>
      <c r="J26" s="7">
        <v>0</v>
      </c>
      <c r="K26" s="89" t="str">
        <f t="shared" si="0"/>
        <v>4021/4022</v>
      </c>
      <c r="L26" s="21" t="str">
        <f>VLOOKUP(A26,'Trips&amp;Operators'!$C$1:$G$99999,5,FALSE)</f>
        <v>DAVIDSON DAVID</v>
      </c>
      <c r="M26" s="6">
        <f t="shared" si="1"/>
        <v>2.7766203704231884E-2</v>
      </c>
      <c r="N26" s="7">
        <f t="shared" si="2"/>
        <v>39.983333334093913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-15T04:57:06-0600',mode:absolute,to:'2017-07-15T07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23.299099999999999</v>
      </c>
      <c r="Z26" s="197">
        <f t="shared" si="8"/>
        <v>1.61E-2</v>
      </c>
      <c r="AA26" s="197">
        <f t="shared" si="9"/>
        <v>23.282999999999998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26" s="74" t="str">
        <f t="shared" si="12"/>
        <v>"C:\Program Files (x86)\AstroGrep\AstroGrep.exe" /e /r /s /spath="%USERPROFILE%\AppData\Local\Temp\OnboardLogs" /stypes="app*4021*20170715*"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114-15 --locoid 4021 --swversion DE.1.0.9.0 --startMP 204:232991 --initTime 2017-07-15T05:57:06 --startdatetime 2017-07-15T06:12:16 --delay 1 --endMP 204:161 --enddatetime 2017-07-15T06:52:15 --enforcementcount 0 &gt;&gt;C:\Users\stu\Documents\GitHub\eaglep3-reporting\EC\2017-07-15-refined-times.txt</v>
      </c>
      <c r="AI2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{"issue":{"subject":"","project_id":79,"tracker_id":40,"status_id":1,"priority_id":2,"assigned_to_id":23,"start_date":"2017-07-15","description":"","custom_fields":[{"id":1,"name":"Subdivision","value":"EC"},{"id":4,"name":"Milepost","value":"0.0161"},{"id":17,"name":"Train ID","value":"114-15"},{"id":16,"name":"Locomotive ID","value":"4021"},{"id":130,"name":"Impact","value":""},{"id":150,"name":"Time of Event (Mountain Time)","value":"06:52:15"},{"id":151,"name":"Denver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4021 --day 2017-07-15</v>
      </c>
      <c r="AN2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658</v>
      </c>
      <c r="B27" s="7">
        <v>4024</v>
      </c>
      <c r="C27" s="21" t="s">
        <v>199</v>
      </c>
      <c r="D27" s="21" t="s">
        <v>842</v>
      </c>
      <c r="E27" s="13">
        <v>42931.228055555555</v>
      </c>
      <c r="F27" s="13">
        <v>42931.229733796295</v>
      </c>
      <c r="G27" s="7">
        <v>0</v>
      </c>
      <c r="H27" s="21" t="s">
        <v>433</v>
      </c>
      <c r="I27" s="13">
        <v>42931.254189814812</v>
      </c>
      <c r="J27" s="7">
        <v>0</v>
      </c>
      <c r="K27" s="89" t="str">
        <f t="shared" si="0"/>
        <v>4023/4024</v>
      </c>
      <c r="L27" s="21" t="str">
        <f>VLOOKUP(A27,'Trips&amp;Operators'!$C$1:$G$99999,5,FALSE)</f>
        <v>YORK EDGAR</v>
      </c>
      <c r="M27" s="6">
        <f t="shared" si="1"/>
        <v>2.4456018516502809E-2</v>
      </c>
      <c r="N27" s="7">
        <f t="shared" si="2"/>
        <v>35.216666663764045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-15T04:28:24-0600',mode:absolute,to:'2017-07-15T07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4.8800000000000003E-2</v>
      </c>
      <c r="Z27" s="197">
        <f t="shared" si="8"/>
        <v>23.330100000000002</v>
      </c>
      <c r="AA27" s="197">
        <f t="shared" si="9"/>
        <v>23.281300000000002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27" s="74" t="str">
        <f t="shared" si="12"/>
        <v>"C:\Program Files (x86)\AstroGrep\AstroGrep.exe" /e /r /s /spath="%USERPROFILE%\AppData\Local\Temp\OnboardLogs" /stypes="app*4024*20170715*"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115-15 --locoid 4024 --swversion DE.1.0.9.0 --startMP 204:488 --initTime 2017-07-15T05:28:24 --startdatetime 2017-07-15T05:30:49 --delay 0 --endMP 204:233301 --enddatetime 2017-07-15T06:06:02 --enforcementcount 0 &gt;&gt;C:\Users\stu\Documents\GitHub\eaglep3-reporting\EC\2017-07-15-refined-times.txt</v>
      </c>
      <c r="AI2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{"issue":{"subject":"","project_id":79,"tracker_id":40,"status_id":1,"priority_id":2,"assigned_to_id":23,"start_date":"2017-07-15","description":"","custom_fields":[{"id":1,"name":"Subdivision","value":"EC"},{"id":4,"name":"Milepost","value":"23.3301"},{"id":17,"name":"Train ID","value":"115-15"},{"id":16,"name":"Locomotive ID","value":"4024"},{"id":130,"name":"Impact","value":""},{"id":150,"name":"Time of Event (Mountain Time)","value":"06:06:02"},{"id":151,"name":"Denver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4024 --day 2017-07-15</v>
      </c>
      <c r="AN2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669</v>
      </c>
      <c r="B28" s="7">
        <v>4023</v>
      </c>
      <c r="C28" s="21" t="s">
        <v>199</v>
      </c>
      <c r="D28" s="21" t="s">
        <v>434</v>
      </c>
      <c r="E28" s="13">
        <v>42931.255590277775</v>
      </c>
      <c r="F28" s="13">
        <v>42931.269004629627</v>
      </c>
      <c r="G28" s="7">
        <v>1</v>
      </c>
      <c r="H28" s="21" t="s">
        <v>528</v>
      </c>
      <c r="I28" s="13">
        <v>42931.295138888891</v>
      </c>
      <c r="J28" s="7">
        <v>0</v>
      </c>
      <c r="K28" s="89" t="str">
        <f t="shared" si="0"/>
        <v>4023/4024</v>
      </c>
      <c r="L28" s="21" t="str">
        <f>VLOOKUP(A28,'Trips&amp;Operators'!$C$1:$G$99999,5,FALSE)</f>
        <v>YORK EDGAR</v>
      </c>
      <c r="M28" s="6">
        <f t="shared" si="1"/>
        <v>2.6134259263926651E-2</v>
      </c>
      <c r="N28" s="7">
        <f t="shared" si="2"/>
        <v>37.633333340054378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-15T05:08:03-0600',mode:absolute,to:'2017-07-15T08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23.2971</v>
      </c>
      <c r="Z28" s="197">
        <f t="shared" si="8"/>
        <v>1.52E-2</v>
      </c>
      <c r="AA28" s="197">
        <f t="shared" si="9"/>
        <v>23.2819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28" s="74" t="str">
        <f t="shared" si="12"/>
        <v>"C:\Program Files (x86)\AstroGrep\AstroGrep.exe" /e /r /s /spath="%USERPROFILE%\AppData\Local\Temp\OnboardLogs" /stypes="app*4023*20170715*"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116-15 --locoid 4023 --swversion DE.1.0.9.0 --startMP 204:232971 --initTime 2017-07-15T06:08:03 --startdatetime 2017-07-15T06:27:22 --delay 1 --endMP 204:152 --enddatetime 2017-07-15T07:05:00 --enforcementcount 0 &gt;&gt;C:\Users\stu\Documents\GitHub\eaglep3-reporting\EC\2017-07-15-refined-times.txt</v>
      </c>
      <c r="AI28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{"issue":{"subject":"","project_id":79,"tracker_id":40,"status_id":1,"priority_id":2,"assigned_to_id":23,"start_date":"2017-07-15","description":"","custom_fields":[{"id":1,"name":"Subdivision","value":"EC"},{"id":4,"name":"Milepost","value":"0.0152"},{"id":17,"name":"Train ID","value":"116-15"},{"id":16,"name":"Locomotive ID","value":"4023"},{"id":130,"name":"Impact","value":""},{"id":150,"name":"Time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4023 --day 2017-07-15</v>
      </c>
      <c r="AN28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662</v>
      </c>
      <c r="B29" s="7">
        <v>4014</v>
      </c>
      <c r="C29" s="21" t="s">
        <v>199</v>
      </c>
      <c r="D29" s="21" t="s">
        <v>843</v>
      </c>
      <c r="E29" s="13">
        <v>42931.234143518515</v>
      </c>
      <c r="F29" s="13">
        <v>42931.240104166667</v>
      </c>
      <c r="G29" s="7">
        <v>1</v>
      </c>
      <c r="H29" s="21" t="s">
        <v>501</v>
      </c>
      <c r="I29" s="13">
        <v>42931.265300925923</v>
      </c>
      <c r="J29" s="7">
        <v>0</v>
      </c>
      <c r="K29" s="89" t="str">
        <f t="shared" si="0"/>
        <v>4013/4014</v>
      </c>
      <c r="L29" s="21" t="str">
        <f>VLOOKUP(A29,'Trips&amp;Operators'!$C$1:$G$99999,5,FALSE)</f>
        <v>GUZMAN DANNY</v>
      </c>
      <c r="M29" s="6">
        <f t="shared" si="1"/>
        <v>2.5196759255777579E-2</v>
      </c>
      <c r="N29" s="7">
        <f t="shared" si="2"/>
        <v>36.283333328319713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-15T04:37:10-0600',mode:absolute,to:'2017-07-15T07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4.82E-2</v>
      </c>
      <c r="Z29" s="197">
        <f t="shared" si="8"/>
        <v>23.330200000000001</v>
      </c>
      <c r="AA29" s="197">
        <f t="shared" si="9"/>
        <v>23.282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29" s="74" t="str">
        <f t="shared" si="12"/>
        <v>"C:\Program Files (x86)\AstroGrep\AstroGrep.exe" /e /r /s /spath="%USERPROFILE%\AppData\Local\Temp\OnboardLogs" /stypes="app*4014*20170715*"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117-15 --locoid 4014 --swversion DE.1.0.9.0 --startMP 204:482 --initTime 2017-07-15T05:37:10 --startdatetime 2017-07-15T05:45:45 --delay 1 --endMP 204:233302 --enddatetime 2017-07-15T06:22:02 --enforcementcount 0 &gt;&gt;C:\Users\stu\Documents\GitHub\eaglep3-reporting\EC\2017-07-15-refined-times.txt</v>
      </c>
      <c r="AI29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{"issue":{"subject":"","project_id":79,"tracker_id":40,"status_id":1,"priority_id":2,"assigned_to_id":23,"start_date":"2017-07-15","description":"","custom_fields":[{"id":1,"name":"Subdivision","value":"EC"},{"id":4,"name":"Milepost","value":"23.3302"},{"id":17,"name":"Train ID","value":"117-15"},{"id":16,"name":"Locomotive ID","value":"4014"},{"id":130,"name":"Impact","value":""},{"id":150,"name":"Time of Event (Mountain Time)","value":"06:22:02"},{"id":151,"name":"Denver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4014 --day 2017-07-15</v>
      </c>
      <c r="AN29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670</v>
      </c>
      <c r="B30" s="7">
        <v>4013</v>
      </c>
      <c r="C30" s="21" t="s">
        <v>199</v>
      </c>
      <c r="D30" s="21" t="s">
        <v>508</v>
      </c>
      <c r="E30" s="13">
        <v>42931.267002314817</v>
      </c>
      <c r="F30" s="13">
        <v>42931.279398148145</v>
      </c>
      <c r="G30" s="7">
        <v>1</v>
      </c>
      <c r="H30" s="21" t="s">
        <v>391</v>
      </c>
      <c r="I30" s="13">
        <v>42931.306608796294</v>
      </c>
      <c r="J30" s="7">
        <v>0</v>
      </c>
      <c r="K30" s="89" t="str">
        <f t="shared" si="0"/>
        <v>4013/4014</v>
      </c>
      <c r="L30" s="21" t="str">
        <f>VLOOKUP(A30,'Trips&amp;Operators'!$C$1:$G$99999,5,FALSE)</f>
        <v>GUZMAN DANNY</v>
      </c>
      <c r="M30" s="6">
        <f t="shared" si="1"/>
        <v>2.7210648149775807E-2</v>
      </c>
      <c r="N30" s="7">
        <f t="shared" si="2"/>
        <v>39.183333335677162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-15T05:24:29-0600',mode:absolute,to:'2017-07-15T08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23.300799999999999</v>
      </c>
      <c r="Z30" s="197">
        <f t="shared" si="8"/>
        <v>1.5599999999999999E-2</v>
      </c>
      <c r="AA30" s="197">
        <f t="shared" si="9"/>
        <v>23.2852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30" s="74" t="str">
        <f t="shared" si="12"/>
        <v>"C:\Program Files (x86)\AstroGrep\AstroGrep.exe" /e /r /s /spath="%USERPROFILE%\AppData\Local\Temp\OnboardLogs" /stypes="app*4013*20170715*"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118-15 --locoid 4013 --swversion DE.1.0.9.0 --startMP 204:233008 --initTime 2017-07-15T06:24:29 --startdatetime 2017-07-15T06:42:20 --delay 1 --endMP 204:156 --enddatetime 2017-07-15T07:21:31 --enforcementcount 0 &gt;&gt;C:\Users\stu\Documents\GitHub\eaglep3-reporting\EC\2017-07-15-refined-times.txt</v>
      </c>
      <c r="AI30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{"issue":{"subject":"","project_id":79,"tracker_id":40,"status_id":1,"priority_id":2,"assigned_to_id":23,"start_date":"2017-07-15","description":"","custom_fields":[{"id":1,"name":"Subdivision","value":"EC"},{"id":4,"name":"Milepost","value":"0.0156"},{"id":17,"name":"Train ID","value":"118-15"},{"id":16,"name":"Locomotive ID","value":"4013"},{"id":130,"name":"Impact","value":""},{"id":150,"name":"Time of Event (Mountain Time)","value":"07:21:31"},{"id":151,"name":"Denver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4013 --day 2017-07-15</v>
      </c>
      <c r="AN30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665</v>
      </c>
      <c r="B31" s="7">
        <v>4032</v>
      </c>
      <c r="C31" s="21" t="s">
        <v>199</v>
      </c>
      <c r="D31" s="21" t="s">
        <v>565</v>
      </c>
      <c r="E31" s="13">
        <v>42931.245567129627</v>
      </c>
      <c r="F31" s="13">
        <v>42931.250520833331</v>
      </c>
      <c r="G31" s="7">
        <v>1</v>
      </c>
      <c r="H31" s="21" t="s">
        <v>468</v>
      </c>
      <c r="I31" s="13">
        <v>42931.275960648149</v>
      </c>
      <c r="J31" s="7">
        <v>0</v>
      </c>
      <c r="K31" s="89" t="str">
        <f t="shared" si="0"/>
        <v>4031/4032</v>
      </c>
      <c r="L31" s="21" t="str">
        <f>VLOOKUP(A31,'Trips&amp;Operators'!$C$1:$G$99999,5,FALSE)</f>
        <v>DAVIS WENDY</v>
      </c>
      <c r="M31" s="6">
        <f t="shared" si="1"/>
        <v>2.5439814817218576E-2</v>
      </c>
      <c r="N31" s="7">
        <f t="shared" si="2"/>
        <v>36.633333336794749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-15T04:53:37-0600',mode:absolute,to:'2017-07-15T07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4.7800000000000002E-2</v>
      </c>
      <c r="Z31" s="197">
        <f t="shared" si="8"/>
        <v>23.329899999999999</v>
      </c>
      <c r="AA31" s="197">
        <f t="shared" si="9"/>
        <v>23.2821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31" s="74" t="str">
        <f t="shared" si="12"/>
        <v>"C:\Program Files (x86)\AstroGrep\AstroGrep.exe" /e /r /s /spath="%USERPROFILE%\AppData\Local\Temp\OnboardLogs" /stypes="app*4032*20170715*"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119-15 --locoid 4032 --swversion DE.1.0.9.0 --startMP 204:478 --initTime 2017-07-15T05:53:37 --startdatetime 2017-07-15T06:00:45 --delay 1 --endMP 204:233299 --enddatetime 2017-07-15T06:37:23 --enforcementcount 0 &gt;&gt;C:\Users\stu\Documents\GitHub\eaglep3-reporting\EC\2017-07-15-refined-times.txt</v>
      </c>
      <c r="AI31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{"issue":{"subject":"","project_id":79,"tracker_id":40,"status_id":1,"priority_id":2,"assigned_to_id":23,"start_date":"2017-07-15","description":"","custom_fields":[{"id":1,"name":"Subdivision","value":"EC"},{"id":4,"name":"Milepost","value":"23.3299"},{"id":17,"name":"Train ID","value":"119-15"},{"id":16,"name":"Locomotive ID","value":"4032"},{"id":130,"name":"Impact","value":""},{"id":150,"name":"Time of Event (Mountain Time)","value":"06:37:23"},{"id":151,"name":"Denver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4032 --day 2017-07-15</v>
      </c>
      <c r="AN31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674</v>
      </c>
      <c r="B32" s="7">
        <v>4031</v>
      </c>
      <c r="C32" s="21" t="s">
        <v>199</v>
      </c>
      <c r="D32" s="21" t="s">
        <v>503</v>
      </c>
      <c r="E32" s="13">
        <v>42931.286979166667</v>
      </c>
      <c r="F32" s="13">
        <v>42931.289756944447</v>
      </c>
      <c r="G32" s="7">
        <v>1</v>
      </c>
      <c r="H32" s="21" t="s">
        <v>485</v>
      </c>
      <c r="I32" s="13">
        <v>42931.317037037035</v>
      </c>
      <c r="J32" s="7">
        <v>0</v>
      </c>
      <c r="K32" s="89" t="str">
        <f t="shared" si="0"/>
        <v>4031/4032</v>
      </c>
      <c r="L32" s="21" t="str">
        <f>VLOOKUP(A32,'Trips&amp;Operators'!$C$1:$G$99999,5,FALSE)</f>
        <v>DAVIS WENDY</v>
      </c>
      <c r="M32" s="6">
        <f t="shared" si="1"/>
        <v>2.7280092588625848E-2</v>
      </c>
      <c r="N32" s="7">
        <f t="shared" si="2"/>
        <v>39.283333327621222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-15T05:53:15-0600',mode:absolute,to:'2017-07-15T08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23.298400000000001</v>
      </c>
      <c r="Z32" s="197">
        <f t="shared" si="8"/>
        <v>1.5800000000000002E-2</v>
      </c>
      <c r="AA32" s="197">
        <f t="shared" si="9"/>
        <v>23.282600000000002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32" s="74" t="str">
        <f t="shared" si="12"/>
        <v>"C:\Program Files (x86)\AstroGrep\AstroGrep.exe" /e /r /s /spath="%USERPROFILE%\AppData\Local\Temp\OnboardLogs" /stypes="app*4031*20170715*"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120-15 --locoid 4031 --swversion DE.1.0.9.0 --startMP 204:232984 --initTime 2017-07-15T06:53:15 --startdatetime 2017-07-15T06:57:15 --delay 1 --endMP 204:158 --enddatetime 2017-07-15T07:36:32 --enforcementcount 0 &gt;&gt;C:\Users\stu\Documents\GitHub\eaglep3-reporting\EC\2017-07-15-refined-times.txt</v>
      </c>
      <c r="AI32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{"issue":{"subject":"","project_id":79,"tracker_id":40,"status_id":1,"priority_id":2,"assigned_to_id":23,"start_date":"2017-07-15","description":"","custom_fields":[{"id":1,"name":"Subdivision","value":"EC"},{"id":4,"name":"Milepost","value":"0.0158"},{"id":17,"name":"Train ID","value":"120-15"},{"id":16,"name":"Locomotive ID","value":"4031"},{"id":130,"name":"Impact","value":""},{"id":150,"name":"Time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4031 --day 2017-07-15</v>
      </c>
      <c r="AN32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668</v>
      </c>
      <c r="B33" s="7">
        <v>4054</v>
      </c>
      <c r="C33" s="21" t="s">
        <v>199</v>
      </c>
      <c r="D33" s="21" t="s">
        <v>196</v>
      </c>
      <c r="E33" s="13">
        <v>42931.254861111112</v>
      </c>
      <c r="F33" s="13">
        <v>42931.260949074072</v>
      </c>
      <c r="G33" s="7">
        <v>3</v>
      </c>
      <c r="H33" s="21" t="s">
        <v>505</v>
      </c>
      <c r="I33" s="13">
        <v>42931.285324074073</v>
      </c>
      <c r="J33" s="7">
        <v>0</v>
      </c>
      <c r="K33" s="89" t="str">
        <f t="shared" si="0"/>
        <v>4053/4054</v>
      </c>
      <c r="L33" s="21" t="str">
        <f>VLOOKUP(A33,'Trips&amp;Operators'!$C$1:$G$99999,5,FALSE)</f>
        <v>GEBRETEKLE DAGNEW</v>
      </c>
      <c r="M33" s="6">
        <f t="shared" si="1"/>
        <v>2.4375000000873115E-2</v>
      </c>
      <c r="N33" s="7">
        <f t="shared" si="2"/>
        <v>35.100000001257285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-15T05:07:00-0600',mode:absolute,to:'2017-07-15T07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4.5699999999999998E-2</v>
      </c>
      <c r="Z33" s="197">
        <f t="shared" si="8"/>
        <v>23.331399999999999</v>
      </c>
      <c r="AA33" s="197">
        <f t="shared" si="9"/>
        <v>23.285699999999999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33" s="74" t="str">
        <f t="shared" si="12"/>
        <v>"C:\Program Files (x86)\AstroGrep\AstroGrep.exe" /e /r /s /spath="%USERPROFILE%\AppData\Local\Temp\OnboardLogs" /stypes="app*4054*20170715*"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121-15 --locoid 4054 --swversion DE.1.0.9.0 --startMP 204:457 --initTime 2017-07-15T06:07:00 --startdatetime 2017-07-15T06:15:46 --delay 3 --endMP 204:233314 --enddatetime 2017-07-15T06:50:52 --enforcementcount 0 &gt;&gt;C:\Users\stu\Documents\GitHub\eaglep3-reporting\EC\2017-07-15-refined-times.txt</v>
      </c>
      <c r="AI33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{"issue":{"subject":"","project_id":79,"tracker_id":40,"status_id":1,"priority_id":2,"assigned_to_id":23,"start_date":"2017-07-15","description":"","custom_fields":[{"id":1,"name":"Subdivision","value":"EC"},{"id":4,"name":"Milepost","value":"23.3314"},{"id":17,"name":"Train ID","value":"121-15"},{"id":16,"name":"Locomotive ID","value":"4054"},{"id":130,"name":"Impact","value":""},{"id":150,"name":"Time of Event (Mountain Time)","value":"06:50:52"},{"id":151,"name":"Denver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4054 --day 2017-07-15</v>
      </c>
      <c r="AN33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673</v>
      </c>
      <c r="B34" s="7">
        <v>4053</v>
      </c>
      <c r="C34" s="21" t="s">
        <v>199</v>
      </c>
      <c r="D34" s="21" t="s">
        <v>533</v>
      </c>
      <c r="E34" s="13">
        <v>42931.286504629628</v>
      </c>
      <c r="F34" s="13">
        <v>42931.300219907411</v>
      </c>
      <c r="G34" s="7">
        <v>1</v>
      </c>
      <c r="H34" s="21" t="s">
        <v>354</v>
      </c>
      <c r="I34" s="13">
        <v>42931.32671296296</v>
      </c>
      <c r="J34" s="7">
        <v>0</v>
      </c>
      <c r="K34" s="89" t="str">
        <f t="shared" si="0"/>
        <v>4053/4054</v>
      </c>
      <c r="L34" s="21" t="str">
        <f>VLOOKUP(A34,'Trips&amp;Operators'!$C$1:$G$99999,5,FALSE)</f>
        <v>GEBRETEKLE DAGNEW</v>
      </c>
      <c r="M34" s="6">
        <f t="shared" si="1"/>
        <v>2.6493055549508426E-2</v>
      </c>
      <c r="N34" s="7">
        <f t="shared" si="2"/>
        <v>38.149999991292134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-15T05:52:34-0600',mode:absolute,to:'2017-07-15T08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</v>
      </c>
      <c r="Z34" s="197">
        <f t="shared" si="8"/>
        <v>1.47E-2</v>
      </c>
      <c r="AA34" s="197">
        <f t="shared" si="9"/>
        <v>23.285299999999999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34" s="74" t="str">
        <f t="shared" si="12"/>
        <v>"C:\Program Files (x86)\AstroGrep\AstroGrep.exe" /e /r /s /spath="%USERPROFILE%\AppData\Local\Temp\OnboardLogs" /stypes="app*4053*20170715*"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122-15 --locoid 4053 --swversion DE.1.0.9.0 --startMP 204:233000 --initTime 2017-07-15T06:52:34 --startdatetime 2017-07-15T07:12:19 --delay 1 --endMP 204:147 --enddatetime 2017-07-15T07:50:28 --enforcementcount 0 &gt;&gt;C:\Users\stu\Documents\GitHub\eaglep3-reporting\EC\2017-07-15-refined-times.txt</v>
      </c>
      <c r="AI34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ID","value":"122-15"},{"id":16,"name":"Locomotive ID","value":"4053"},{"id":130,"name":"Impact","value":""},{"id":150,"name":"Time of Event (Mountain Time)","value":"07:50:28"},{"id":151,"name":"Denver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4053 --day 2017-07-15</v>
      </c>
      <c r="AN34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671</v>
      </c>
      <c r="B35" s="7">
        <v>4056</v>
      </c>
      <c r="C35" s="21" t="s">
        <v>199</v>
      </c>
      <c r="D35" s="21" t="s">
        <v>844</v>
      </c>
      <c r="E35" s="13">
        <v>42931.268194444441</v>
      </c>
      <c r="F35" s="13">
        <v>42931.271319444444</v>
      </c>
      <c r="G35" s="7">
        <v>0</v>
      </c>
      <c r="H35" s="21" t="s">
        <v>505</v>
      </c>
      <c r="I35" s="13">
        <v>42931.295902777776</v>
      </c>
      <c r="J35" s="7">
        <v>0</v>
      </c>
      <c r="K35" s="89" t="str">
        <f t="shared" si="0"/>
        <v>4055/4056</v>
      </c>
      <c r="L35" s="21" t="str">
        <f>VLOOKUP(A35,'Trips&amp;Operators'!$C$1:$G$99999,5,FALSE)</f>
        <v>BROWN JACOB</v>
      </c>
      <c r="M35" s="6">
        <f t="shared" si="1"/>
        <v>2.4583333331975155E-2</v>
      </c>
      <c r="N35" s="7">
        <f t="shared" si="2"/>
        <v>35.399999998044223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-15T05:26:12-0600',mode:absolute,to:'2017-07-15T08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4.1799999999999997E-2</v>
      </c>
      <c r="Z35" s="197">
        <f t="shared" si="8"/>
        <v>23.331399999999999</v>
      </c>
      <c r="AA35" s="197">
        <f t="shared" si="9"/>
        <v>23.2896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35" s="74" t="str">
        <f t="shared" si="12"/>
        <v>"C:\Program Files (x86)\AstroGrep\AstroGrep.exe" /e /r /s /spath="%USERPROFILE%\AppData\Local\Temp\OnboardLogs" /stypes="app*4056*20170715*"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123-15 --locoid 4056 --swversion DE.1.0.9.0 --startMP 204:418 --initTime 2017-07-15T06:26:12 --startdatetime 2017-07-15T06:30:42 --delay 0 --endMP 204:233314 --enddatetime 2017-07-15T07:06:06 --enforcementcount 0 &gt;&gt;C:\Users\stu\Documents\GitHub\eaglep3-reporting\EC\2017-07-15-refined-times.txt</v>
      </c>
      <c r="AI3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{"issue":{"subject":"","project_id":79,"tracker_id":40,"status_id":1,"priority_id":2,"assigned_to_id":23,"start_date":"2017-07-15","description":"","custom_fields":[{"id":1,"name":"Subdivision","value":"EC"},{"id":4,"name":"Milepost","value":"23.3314"},{"id":17,"name":"Train ID","value":"123-15"},{"id":16,"name":"Locomotive ID","value":"4056"},{"id":130,"name":"Impact","value":""},{"id":150,"name":"Time of Event (Mountain Time)","value":"07:06:06"},{"id":151,"name":"Denver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4056 --day 2017-07-15</v>
      </c>
      <c r="AN3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677</v>
      </c>
      <c r="B36" s="7">
        <v>4055</v>
      </c>
      <c r="C36" s="21" t="s">
        <v>199</v>
      </c>
      <c r="D36" s="21" t="s">
        <v>506</v>
      </c>
      <c r="E36" s="13">
        <v>42931.300775462965</v>
      </c>
      <c r="F36" s="13">
        <v>42931.310671296298</v>
      </c>
      <c r="G36" s="7">
        <v>1</v>
      </c>
      <c r="H36" s="21" t="s">
        <v>845</v>
      </c>
      <c r="I36" s="13">
        <v>42931.337418981479</v>
      </c>
      <c r="J36" s="7">
        <v>0</v>
      </c>
      <c r="K36" s="89" t="str">
        <f t="shared" si="0"/>
        <v>4055/4056</v>
      </c>
      <c r="L36" s="21" t="str">
        <f>VLOOKUP(A36,'Trips&amp;Operators'!$C$1:$G$99999,5,FALSE)</f>
        <v>BROWN JACOB</v>
      </c>
      <c r="M36" s="6">
        <f t="shared" si="1"/>
        <v>2.6747685180453118E-2</v>
      </c>
      <c r="N36" s="7">
        <f t="shared" si="2"/>
        <v>38.51666665985249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-15T06:13:07-0600',mode:absolute,to:'2017-07-15T09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23.299399999999999</v>
      </c>
      <c r="Z36" s="197">
        <f t="shared" si="8"/>
        <v>1.6500000000000001E-2</v>
      </c>
      <c r="AA36" s="197">
        <f t="shared" si="9"/>
        <v>23.282899999999998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36" s="74" t="str">
        <f t="shared" si="12"/>
        <v>"C:\Program Files (x86)\AstroGrep\AstroGrep.exe" /e /r /s /spath="%USERPROFILE%\AppData\Local\Temp\OnboardLogs" /stypes="app*4055*20170715*"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124-15 --locoid 4055 --swversion DE.1.0.9.0 --startMP 204:232994 --initTime 2017-07-15T07:13:07 --startdatetime 2017-07-15T07:27:22 --delay 1 --endMP 204:165 --enddatetime 2017-07-15T08:05:53 --enforcementcount 0 &gt;&gt;C:\Users\stu\Documents\GitHub\eaglep3-reporting\EC\2017-07-15-refined-times.txt</v>
      </c>
      <c r="AI3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{"issue":{"subject":"","project_id":79,"tracker_id":40,"status_id":1,"priority_id":2,"assigned_to_id":23,"start_date":"2017-07-15","description":"","custom_fields":[{"id":1,"name":"Subdivision","value":"EC"},{"id":4,"name":"Milepost","value":"0.0165"},{"id":17,"name":"Train ID","value":"124-15"},{"id":16,"name":"Locomotive ID","value":"4055"},{"id":130,"name":"Impact","value":""},{"id":150,"name":"Time of Event (Mountain Time)","value":"08:05:53"},{"id":151,"name":"Denver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4055 --day 2017-07-15</v>
      </c>
      <c r="AN3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591</v>
      </c>
      <c r="B37" s="7">
        <v>4016</v>
      </c>
      <c r="C37" s="21" t="s">
        <v>199</v>
      </c>
      <c r="D37" s="21" t="s">
        <v>846</v>
      </c>
      <c r="E37" s="13">
        <v>42931.276585648149</v>
      </c>
      <c r="F37" s="13">
        <v>42931.281828703701</v>
      </c>
      <c r="G37" s="7">
        <v>1</v>
      </c>
      <c r="H37" s="21" t="s">
        <v>416</v>
      </c>
      <c r="I37" s="13">
        <v>42931.306307870371</v>
      </c>
      <c r="J37" s="7">
        <v>0</v>
      </c>
      <c r="K37" s="89" t="str">
        <f t="shared" si="0"/>
        <v>4015/4016</v>
      </c>
      <c r="L37" s="21" t="str">
        <f>VLOOKUP(A37,'Trips&amp;Operators'!$C$1:$G$99999,5,FALSE)</f>
        <v>MAELZER KURT</v>
      </c>
      <c r="M37" s="6">
        <f t="shared" si="1"/>
        <v>2.4479166670062114E-2</v>
      </c>
      <c r="N37" s="7">
        <f t="shared" si="2"/>
        <v>35.250000004889444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-15T05:38:17-0600',mode:absolute,to:'2017-07-15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4.3700000000000003E-2</v>
      </c>
      <c r="Z37" s="197">
        <f t="shared" si="8"/>
        <v>23.331199999999999</v>
      </c>
      <c r="AA37" s="197">
        <f t="shared" si="9"/>
        <v>23.287499999999998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37" s="74" t="str">
        <f t="shared" si="12"/>
        <v>"C:\Program Files (x86)\AstroGrep\AstroGrep.exe" /e /r /s /spath="%USERPROFILE%\AppData\Local\Temp\OnboardLogs" /stypes="app*4016*20170715*"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125-15 --locoid 4016 --swversion DE.1.0.9.0 --startMP 204:437 --initTime 2017-07-15T06:38:17 --startdatetime 2017-07-15T06:45:50 --delay 1 --endMP 204:233312 --enddatetime 2017-07-15T07:21:05 --enforcementcount 0 &gt;&gt;C:\Users\stu\Documents\GitHub\eaglep3-reporting\EC\2017-07-15-refined-times.txt</v>
      </c>
      <c r="AI3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{"issue":{"subject":"","project_id":79,"tracker_id":40,"status_id":1,"priority_id":2,"assigned_to_id":23,"start_date":"2017-07-15","description":"","custom_fields":[{"id":1,"name":"Subdivision","value":"EC"},{"id":4,"name":"Milepost","value":"23.3312"},{"id":17,"name":"Train ID","value":"125-15"},{"id":16,"name":"Locomotive ID","value":"4016"},{"id":130,"name":"Impact","value":""},{"id":150,"name":"Time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4016 --day 2017-07-15</v>
      </c>
      <c r="AN3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679</v>
      </c>
      <c r="B38" s="7">
        <v>4015</v>
      </c>
      <c r="C38" s="21" t="s">
        <v>199</v>
      </c>
      <c r="D38" s="21" t="s">
        <v>526</v>
      </c>
      <c r="E38" s="13">
        <v>42931.314768518518</v>
      </c>
      <c r="F38" s="13">
        <v>42931.321099537039</v>
      </c>
      <c r="G38" s="7">
        <v>1</v>
      </c>
      <c r="H38" s="21" t="s">
        <v>354</v>
      </c>
      <c r="I38" s="13">
        <v>42931.348263888889</v>
      </c>
      <c r="J38" s="7">
        <v>0</v>
      </c>
      <c r="K38" s="89" t="str">
        <f t="shared" si="0"/>
        <v>4015/4016</v>
      </c>
      <c r="L38" s="21" t="str">
        <f>VLOOKUP(A38,'Trips&amp;Operators'!$C$1:$G$99999,5,FALSE)</f>
        <v>MAELZER KURT</v>
      </c>
      <c r="M38" s="6">
        <f t="shared" si="1"/>
        <v>2.7164351849933155E-2</v>
      </c>
      <c r="N38" s="7">
        <f t="shared" si="2"/>
        <v>39.116666663903743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-15T06:33:16-0600',mode:absolute,to:'2017-07-15T09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23.299800000000001</v>
      </c>
      <c r="Z38" s="197">
        <f t="shared" si="8"/>
        <v>1.47E-2</v>
      </c>
      <c r="AA38" s="197">
        <f t="shared" si="9"/>
        <v>23.2851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38" s="74" t="str">
        <f t="shared" si="12"/>
        <v>"C:\Program Files (x86)\AstroGrep\AstroGrep.exe" /e /r /s /spath="%USERPROFILE%\AppData\Local\Temp\OnboardLogs" /stypes="app*4015*20170715*"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126-15 --locoid 4015 --swversion DE.1.0.9.0 --startMP 204:232998 --initTime 2017-07-15T07:33:16 --startdatetime 2017-07-15T07:42:23 --delay 1 --endMP 204:147 --enddatetime 2017-07-15T08:21:30 --enforcementcount 0 &gt;&gt;C:\Users\stu\Documents\GitHub\eaglep3-reporting\EC\2017-07-15-refined-times.txt</v>
      </c>
      <c r="AI38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ID","value":"126-15"},{"id":16,"name":"Locomotive ID","value":"4015"},{"id":130,"name":"Impact","value":""},{"id":150,"name":"Time of Event (Mountain Time)","value":"08:21:30"},{"id":151,"name":"Denver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4015 --day 2017-07-15</v>
      </c>
      <c r="AN38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675</v>
      </c>
      <c r="B39" s="7">
        <v>4022</v>
      </c>
      <c r="C39" s="21" t="s">
        <v>199</v>
      </c>
      <c r="D39" s="21" t="s">
        <v>414</v>
      </c>
      <c r="E39" s="13">
        <v>42931.287708333337</v>
      </c>
      <c r="F39" s="13">
        <v>42931.292210648149</v>
      </c>
      <c r="G39" s="7">
        <v>1</v>
      </c>
      <c r="H39" s="21" t="s">
        <v>532</v>
      </c>
      <c r="I39" s="13">
        <v>42931.317280092589</v>
      </c>
      <c r="J39" s="7">
        <v>0</v>
      </c>
      <c r="K39" s="89" t="str">
        <f t="shared" si="0"/>
        <v>4021/4022</v>
      </c>
      <c r="L39" s="21" t="str">
        <f>VLOOKUP(A39,'Trips&amp;Operators'!$C$1:$G$99999,5,FALSE)</f>
        <v>DAVIDSON DAVID</v>
      </c>
      <c r="M39" s="6">
        <f t="shared" si="1"/>
        <v>2.5069444440305233E-2</v>
      </c>
      <c r="N39" s="7">
        <f t="shared" si="2"/>
        <v>36.099999994039536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-15T05:54:18-0600',mode:absolute,to:'2017-07-15T08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4.58E-2</v>
      </c>
      <c r="Z39" s="197">
        <f t="shared" si="8"/>
        <v>23.330300000000001</v>
      </c>
      <c r="AA39" s="197">
        <f t="shared" si="9"/>
        <v>23.284500000000001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39" s="74" t="str">
        <f t="shared" si="12"/>
        <v>"C:\Program Files (x86)\AstroGrep\AstroGrep.exe" /e /r /s /spath="%USERPROFILE%\AppData\Local\Temp\OnboardLogs" /stypes="app*4022*20170715*"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127-15 --locoid 4022 --swversion DE.1.0.9.0 --startMP 204:458 --initTime 2017-07-15T06:54:18 --startdatetime 2017-07-15T07:00:47 --delay 1 --endMP 204:233303 --enddatetime 2017-07-15T07:36:53 --enforcementcount 0 &gt;&gt;C:\Users\stu\Documents\GitHub\eaglep3-reporting\EC\2017-07-15-refined-times.txt</v>
      </c>
      <c r="AI39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{"issue":{"subject":"","project_id":79,"tracker_id":40,"status_id":1,"priority_id":2,"assigned_to_id":23,"start_date":"2017-07-15","description":"","custom_fields":[{"id":1,"name":"Subdivision","value":"EC"},{"id":4,"name":"Milepost","value":"23.3303"},{"id":17,"name":"Train ID","value":"127-15"},{"id":16,"name":"Locomotive ID","value":"4022"},{"id":130,"name":"Impact","value":""},{"id":150,"name":"Time of Event (Mountain Time)","value":"07:36:53"},{"id":151,"name":"Denver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4022 --day 2017-07-15</v>
      </c>
      <c r="AN39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681</v>
      </c>
      <c r="B40" s="7">
        <v>4021</v>
      </c>
      <c r="C40" s="21" t="s">
        <v>199</v>
      </c>
      <c r="D40" s="21" t="s">
        <v>847</v>
      </c>
      <c r="E40" s="13">
        <v>42931.318379629629</v>
      </c>
      <c r="F40" s="13">
        <v>42931.331435185188</v>
      </c>
      <c r="G40" s="7">
        <v>1</v>
      </c>
      <c r="H40" s="21" t="s">
        <v>354</v>
      </c>
      <c r="I40" s="13">
        <v>42931.358437499999</v>
      </c>
      <c r="J40" s="7">
        <v>0</v>
      </c>
      <c r="K40" s="89" t="str">
        <f t="shared" si="0"/>
        <v>4021/4022</v>
      </c>
      <c r="L40" s="21" t="str">
        <f>VLOOKUP(A40,'Trips&amp;Operators'!$C$1:$G$99999,5,FALSE)</f>
        <v>DAVIDSON DAVID</v>
      </c>
      <c r="M40" s="6">
        <f t="shared" si="1"/>
        <v>2.700231481139781E-2</v>
      </c>
      <c r="N40" s="7">
        <f t="shared" si="2"/>
        <v>38.883333328412846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-15T06:38:28-0600',mode:absolute,to:'2017-07-15T09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23.2986</v>
      </c>
      <c r="Z40" s="197">
        <f t="shared" si="8"/>
        <v>1.47E-2</v>
      </c>
      <c r="AA40" s="197">
        <f t="shared" si="9"/>
        <v>23.283899999999999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40" s="74" t="str">
        <f t="shared" si="12"/>
        <v>"C:\Program Files (x86)\AstroGrep\AstroGrep.exe" /e /r /s /spath="%USERPROFILE%\AppData\Local\Temp\OnboardLogs" /stypes="app*4021*20170715*"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128-15 --locoid 4021 --swversion DE.1.0.9.0 --startMP 204:232986 --initTime 2017-07-15T07:38:28 --startdatetime 2017-07-15T07:57:16 --delay 1 --endMP 204:147 --enddatetime 2017-07-15T08:36:09 --enforcementcount 0 &gt;&gt;C:\Users\stu\Documents\GitHub\eaglep3-reporting\EC\2017-07-15-refined-times.txt</v>
      </c>
      <c r="AI40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ID","value":"128-15"},{"id":16,"name":"Locomotive ID","value":"4021"},{"id":130,"name":"Impact","value":""},{"id":150,"name":"Time of Event (Mountain Time)","value":"08:36:09"},{"id":151,"name":"Denver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4021 --day 2017-07-15</v>
      </c>
      <c r="AN40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676</v>
      </c>
      <c r="B41" s="7">
        <v>4024</v>
      </c>
      <c r="C41" s="21" t="s">
        <v>199</v>
      </c>
      <c r="D41" s="21" t="s">
        <v>848</v>
      </c>
      <c r="E41" s="13">
        <v>42931.296666666669</v>
      </c>
      <c r="F41" s="13">
        <v>42931.30263888889</v>
      </c>
      <c r="G41" s="7">
        <v>3</v>
      </c>
      <c r="H41" s="21" t="s">
        <v>422</v>
      </c>
      <c r="I41" s="13">
        <v>42931.328541666669</v>
      </c>
      <c r="J41" s="7">
        <v>0</v>
      </c>
      <c r="K41" s="89" t="str">
        <f t="shared" si="0"/>
        <v>4023/4024</v>
      </c>
      <c r="L41" s="21" t="str">
        <f>VLOOKUP(A41,'Trips&amp;Operators'!$C$1:$G$99999,5,FALSE)</f>
        <v>CHANDLER KELVIN</v>
      </c>
      <c r="M41" s="6">
        <f t="shared" si="1"/>
        <v>2.5902777779265307E-2</v>
      </c>
      <c r="N41" s="7">
        <f t="shared" si="2"/>
        <v>37.300000002142042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-15T06:07:12-0600',mode:absolute,to:'2017-07-15T08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4.4900000000000002E-2</v>
      </c>
      <c r="Z41" s="197">
        <f t="shared" si="8"/>
        <v>23.329699999999999</v>
      </c>
      <c r="AA41" s="197">
        <f t="shared" si="9"/>
        <v>23.284800000000001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41" s="74" t="str">
        <f t="shared" si="12"/>
        <v>"C:\Program Files (x86)\AstroGrep\AstroGrep.exe" /e /r /s /spath="%USERPROFILE%\AppData\Local\Temp\OnboardLogs" /stypes="app*4024*20170715*"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129-15 --locoid 4024 --swversion DE.1.0.9.0 --startMP 204:449 --initTime 2017-07-15T07:07:12 --startdatetime 2017-07-15T07:15:48 --delay 3 --endMP 204:233297 --enddatetime 2017-07-15T07:53:06 --enforcementcount 0 &gt;&gt;C:\Users\stu\Documents\GitHub\eaglep3-reporting\EC\2017-07-15-refined-times.txt</v>
      </c>
      <c r="AI41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{"issue":{"subject":"","project_id":79,"tracker_id":40,"status_id":1,"priority_id":2,"assigned_to_id":23,"start_date":"2017-07-15","description":"","custom_fields":[{"id":1,"name":"Subdivision","value":"EC"},{"id":4,"name":"Milepost","value":"23.3297"},{"id":17,"name":"Train ID","value":"129-15"},{"id":16,"name":"Locomotive ID","value":"4024"},{"id":130,"name":"Impact","value":""},{"id":150,"name":"Time of Event (Mountain Time)","value":"07:53:06"},{"id":151,"name":"Denver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4024 --day 2017-07-15</v>
      </c>
      <c r="AN41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685</v>
      </c>
      <c r="B42" s="7">
        <v>4023</v>
      </c>
      <c r="C42" s="21" t="s">
        <v>199</v>
      </c>
      <c r="D42" s="21" t="s">
        <v>849</v>
      </c>
      <c r="E42" s="13">
        <v>42931.339398148149</v>
      </c>
      <c r="F42" s="13">
        <v>42931.341898148145</v>
      </c>
      <c r="G42" s="7">
        <v>1</v>
      </c>
      <c r="H42" s="21" t="s">
        <v>345</v>
      </c>
      <c r="I42" s="13">
        <v>42931.370046296295</v>
      </c>
      <c r="J42" s="7">
        <v>0</v>
      </c>
      <c r="K42" s="89" t="str">
        <f t="shared" si="0"/>
        <v>4023/4024</v>
      </c>
      <c r="L42" s="21" t="str">
        <f>VLOOKUP(A42,'Trips&amp;Operators'!$C$1:$G$99999,5,FALSE)</f>
        <v>CHANDLER KELVIN</v>
      </c>
      <c r="M42" s="6">
        <f t="shared" si="1"/>
        <v>2.8148148150648922E-2</v>
      </c>
      <c r="N42" s="7">
        <f t="shared" si="2"/>
        <v>40.533333336934447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-15T07:08:44-0600',mode:absolute,to:'2017-07-15T09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23.297000000000001</v>
      </c>
      <c r="Z42" s="197">
        <f t="shared" si="8"/>
        <v>1.43E-2</v>
      </c>
      <c r="AA42" s="197">
        <f t="shared" si="9"/>
        <v>23.282700000000002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42" s="74" t="str">
        <f t="shared" si="12"/>
        <v>"C:\Program Files (x86)\AstroGrep\AstroGrep.exe" /e /r /s /spath="%USERPROFILE%\AppData\Local\Temp\OnboardLogs" /stypes="app*4023*20170715*"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130-15 --locoid 4023 --swversion DE.1.0.9.0 --startMP 204:232970 --initTime 2017-07-15T08:08:44 --startdatetime 2017-07-15T08:12:20 --delay 1 --endMP 204:143 --enddatetime 2017-07-15T08:52:52 --enforcementcount 0 &gt;&gt;C:\Users\stu\Documents\GitHub\eaglep3-reporting\EC\2017-07-15-refined-times.txt</v>
      </c>
      <c r="AI42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{"issue":{"subject":"","project_id":79,"tracker_id":40,"status_id":1,"priority_id":2,"assigned_to_id":23,"start_date":"2017-07-15","description":"","custom_fields":[{"id":1,"name":"Subdivision","value":"EC"},{"id":4,"name":"Milepost","value":"0.0143"},{"id":17,"name":"Train ID","value":"130-15"},{"id":16,"name":"Locomotive ID","value":"4023"},{"id":130,"name":"Impact","value":""},{"id":150,"name":"Time of Event (Mountain Time)","value":"08:52:52"},{"id":151,"name":"Denver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4023 --day 2017-07-15</v>
      </c>
      <c r="AN42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678</v>
      </c>
      <c r="B43" s="7">
        <v>4014</v>
      </c>
      <c r="C43" s="21" t="s">
        <v>199</v>
      </c>
      <c r="D43" s="21" t="s">
        <v>848</v>
      </c>
      <c r="E43" s="13">
        <v>42931.308229166665</v>
      </c>
      <c r="F43" s="13">
        <v>42931.313020833331</v>
      </c>
      <c r="G43" s="7">
        <v>1</v>
      </c>
      <c r="H43" s="21" t="s">
        <v>563</v>
      </c>
      <c r="I43" s="13">
        <v>42931.338587962964</v>
      </c>
      <c r="J43" s="7">
        <v>0</v>
      </c>
      <c r="K43" s="89" t="str">
        <f t="shared" si="0"/>
        <v>4013/4014</v>
      </c>
      <c r="L43" s="21" t="str">
        <f>VLOOKUP(A43,'Trips&amp;Operators'!$C$1:$G$99999,5,FALSE)</f>
        <v>GUZMAN DANNY</v>
      </c>
      <c r="M43" s="6">
        <f t="shared" si="1"/>
        <v>2.5567129632690921E-2</v>
      </c>
      <c r="N43" s="7">
        <f t="shared" si="2"/>
        <v>36.816666671074927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-15T06:23:51-0600',mode:absolute,to:'2017-07-15T09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4.4900000000000002E-2</v>
      </c>
      <c r="Z43" s="197">
        <f t="shared" si="8"/>
        <v>23.328399999999998</v>
      </c>
      <c r="AA43" s="197">
        <f t="shared" si="9"/>
        <v>23.2835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43" s="74" t="str">
        <f t="shared" si="12"/>
        <v>"C:\Program Files (x86)\AstroGrep\AstroGrep.exe" /e /r /s /spath="%USERPROFILE%\AppData\Local\Temp\OnboardLogs" /stypes="app*4014*20170715*"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131-15 --locoid 4014 --swversion DE.1.0.9.0 --startMP 204:449 --initTime 2017-07-15T07:23:51 --startdatetime 2017-07-15T07:30:45 --delay 1 --endMP 204:233284 --enddatetime 2017-07-15T08:07:34 --enforcementcount 0 &gt;&gt;C:\Users\stu\Documents\GitHub\eaglep3-reporting\EC\2017-07-15-refined-times.txt</v>
      </c>
      <c r="AI43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{"issue":{"subject":"","project_id":79,"tracker_id":40,"status_id":1,"priority_id":2,"assigned_to_id":23,"start_date":"2017-07-15","description":"","custom_fields":[{"id":1,"name":"Subdivision","value":"EC"},{"id":4,"name":"Milepost","value":"23.3284"},{"id":17,"name":"Train ID","value":"131-15"},{"id":16,"name":"Locomotive ID","value":"4014"},{"id":130,"name":"Impact","value":""},{"id":150,"name":"Time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4014 --day 2017-07-15</v>
      </c>
      <c r="AN43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686</v>
      </c>
      <c r="B44" s="7">
        <v>4013</v>
      </c>
      <c r="C44" s="21" t="s">
        <v>199</v>
      </c>
      <c r="D44" s="21" t="s">
        <v>850</v>
      </c>
      <c r="E44" s="13">
        <v>42931.340266203704</v>
      </c>
      <c r="F44" s="13">
        <v>42931.352256944447</v>
      </c>
      <c r="G44" s="7">
        <v>1</v>
      </c>
      <c r="H44" s="21" t="s">
        <v>469</v>
      </c>
      <c r="I44" s="13">
        <v>42931.379224537035</v>
      </c>
      <c r="J44" s="7">
        <v>0</v>
      </c>
      <c r="K44" s="89" t="str">
        <f t="shared" si="0"/>
        <v>4013/4014</v>
      </c>
      <c r="L44" s="21" t="str">
        <f>VLOOKUP(A44,'Trips&amp;Operators'!$C$1:$G$99999,5,FALSE)</f>
        <v>GUZMAN DANNY</v>
      </c>
      <c r="M44" s="6">
        <f t="shared" si="1"/>
        <v>2.696759258833481E-2</v>
      </c>
      <c r="N44" s="7">
        <f t="shared" si="2"/>
        <v>38.833333327202126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-15T07:09:59-0600',mode:absolute,to:'2017-07-15T10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23.3001</v>
      </c>
      <c r="Z44" s="197">
        <f t="shared" si="8"/>
        <v>1.61E-2</v>
      </c>
      <c r="AA44" s="197">
        <f t="shared" si="9"/>
        <v>23.283999999999999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44" s="74" t="str">
        <f t="shared" si="12"/>
        <v>"C:\Program Files (x86)\AstroGrep\AstroGrep.exe" /e /r /s /spath="%USERPROFILE%\AppData\Local\Temp\OnboardLogs" /stypes="app*4013*20170715*"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132-15 --locoid 4013 --swversion DE.1.0.9.0 --startMP 204:233001 --initTime 2017-07-15T08:09:59 --startdatetime 2017-07-15T08:27:15 --delay 1 --endMP 204:161 --enddatetime 2017-07-15T09:06:05 --enforcementcount 0 &gt;&gt;C:\Users\stu\Documents\GitHub\eaglep3-reporting\EC\2017-07-15-refined-times.txt</v>
      </c>
      <c r="AI44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{"issue":{"subject":"","project_id":79,"tracker_id":40,"status_id":1,"priority_id":2,"assigned_to_id":23,"start_date":"2017-07-15","description":"","custom_fields":[{"id":1,"name":"Subdivision","value":"EC"},{"id":4,"name":"Milepost","value":"0.0161"},{"id":17,"name":"Train ID","value":"132-15"},{"id":16,"name":"Locomotive ID","value":"4013"},{"id":130,"name":"Impact","value":""},{"id":150,"name":"Time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4013 --day 2017-07-15</v>
      </c>
      <c r="AN44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682</v>
      </c>
      <c r="B45" s="7">
        <v>4032</v>
      </c>
      <c r="C45" s="21" t="s">
        <v>199</v>
      </c>
      <c r="D45" s="21" t="s">
        <v>402</v>
      </c>
      <c r="E45" s="13">
        <v>42931.319027777776</v>
      </c>
      <c r="F45" s="13">
        <v>42931.323553240742</v>
      </c>
      <c r="G45" s="7">
        <v>1</v>
      </c>
      <c r="H45" s="21" t="s">
        <v>851</v>
      </c>
      <c r="I45" s="13">
        <v>42931.349189814813</v>
      </c>
      <c r="J45" s="7">
        <v>0</v>
      </c>
      <c r="K45" s="89" t="str">
        <f t="shared" si="0"/>
        <v>4031/4032</v>
      </c>
      <c r="L45" s="21" t="str">
        <f>VLOOKUP(A45,'Trips&amp;Operators'!$C$1:$G$99999,5,FALSE)</f>
        <v>DAVIS WENDY</v>
      </c>
      <c r="M45" s="6">
        <f t="shared" si="1"/>
        <v>2.5636574071540963E-2</v>
      </c>
      <c r="N45" s="7">
        <f t="shared" ref="N45:N76" si="22">24*60*SUM($M45:$M45)</f>
        <v>36.916666663018987</v>
      </c>
      <c r="O45" s="7"/>
      <c r="P45" s="7"/>
      <c r="Q45" s="22"/>
      <c r="R45" s="170"/>
      <c r="S45" s="213">
        <f t="shared" ref="S45:S76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-15T06:39:24-0600',mode:absolute,to:'2017-07-15T09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si="7"/>
        <v>4.5499999999999999E-2</v>
      </c>
      <c r="Z45" s="197">
        <f t="shared" si="8"/>
        <v>23.331900000000001</v>
      </c>
      <c r="AA45" s="197">
        <f t="shared" si="9"/>
        <v>23.2864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45" s="74" t="str">
        <f t="shared" si="12"/>
        <v>"C:\Program Files (x86)\AstroGrep\AstroGrep.exe" /e /r /s /spath="%USERPROFILE%\AppData\Local\Temp\OnboardLogs" /stypes="app*4032*20170715*"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133-15 --locoid 4032 --swversion DE.1.0.9.0 --startMP 204:455 --initTime 2017-07-15T07:39:24 --startdatetime 2017-07-15T07:45:55 --delay 1 --endMP 204:233319 --enddatetime 2017-07-15T08:22:50 --enforcementcount 0 &gt;&gt;C:\Users\stu\Documents\GitHub\eaglep3-reporting\EC\2017-07-15-refined-times.txt</v>
      </c>
      <c r="AI4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{"issue":{"subject":"","project_id":79,"tracker_id":40,"status_id":1,"priority_id":2,"assigned_to_id":23,"start_date":"2017-07-15","description":"","custom_fields":[{"id":1,"name":"Subdivision","value":"EC"},{"id":4,"name":"Milepost","value":"23.3319"},{"id":17,"name":"Train ID","value":"133-15"},{"id":16,"name":"Locomotive ID","value":"4032"},{"id":130,"name":"Impact","value":""},{"id":150,"name":"Time of Event (Mountain Time)","value":"08:22:50"},{"id":151,"name":"Denver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4032 --day 2017-07-15</v>
      </c>
      <c r="AN4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593</v>
      </c>
      <c r="B46" s="7">
        <v>4031</v>
      </c>
      <c r="C46" s="21" t="s">
        <v>199</v>
      </c>
      <c r="D46" s="21" t="s">
        <v>837</v>
      </c>
      <c r="E46" s="13">
        <v>42931.359930555554</v>
      </c>
      <c r="F46" s="13">
        <v>42931.362650462965</v>
      </c>
      <c r="G46" s="7">
        <v>1</v>
      </c>
      <c r="H46" s="21" t="s">
        <v>381</v>
      </c>
      <c r="I46" s="13">
        <v>42931.390648148146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DAVIS WENDY</v>
      </c>
      <c r="M46" s="6">
        <f t="shared" si="1"/>
        <v>2.7997685181617271E-2</v>
      </c>
      <c r="N46" s="7">
        <f t="shared" si="22"/>
        <v>40.31666666152887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-15T07:38:18-0600',mode:absolute,to:'2017-07-15T10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7"/>
        <v>23.3002</v>
      </c>
      <c r="Z46" s="197">
        <f t="shared" si="8"/>
        <v>1.54E-2</v>
      </c>
      <c r="AA46" s="197">
        <f t="shared" si="9"/>
        <v>23.284800000000001</v>
      </c>
      <c r="AB46" s="54" t="str">
        <f>VLOOKUP(A46,Enforcements!$C$7:$K$13,8,0)</f>
        <v>Bulletin (2)</v>
      </c>
      <c r="AC46" s="51" t="str">
        <f>VLOOKUP(A46,Enforcements!$C$7:$E$13,3,0)</f>
        <v>GRADE CROSSING</v>
      </c>
      <c r="AD46" s="206">
        <f t="shared" si="10"/>
        <v>134</v>
      </c>
      <c r="AE46" s="77" t="str">
        <f t="shared" si="1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46" s="74" t="str">
        <f t="shared" si="12"/>
        <v>"C:\Program Files (x86)\AstroGrep\AstroGrep.exe" /e /r /s /spath="%USERPROFILE%\AppData\Local\Temp\OnboardLogs" /stypes="app*4031*20170715*"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134-15 --locoid 4031 --swversion DE.1.0.9.0 --startMP 204:233002 --initTime 2017-07-15T08:38:18 --startdatetime 2017-07-15T08:42:13 --delay 1 --endMP 204:154 --enddatetime 2017-07-15T09:22:32 --enforcementcount 0 &gt;&gt;C:\Users\stu\Documents\GitHub\eaglep3-reporting\EC\2017-07-15-refined-times.txt</v>
      </c>
      <c r="AI4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ID","value":"134-15"},{"id":16,"name":"Locomotive ID","value":"4031"},{"id":130,"name":"Impact","value":""},{"id":150,"name":"Time of Event (Mountain Time)","value":"09:22:32"},{"id":151,"name":"Denver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4031 --day 2017-07-15</v>
      </c>
      <c r="AN4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683</v>
      </c>
      <c r="B47" s="7">
        <v>4054</v>
      </c>
      <c r="C47" s="21" t="s">
        <v>199</v>
      </c>
      <c r="D47" s="21" t="s">
        <v>397</v>
      </c>
      <c r="E47" s="13">
        <v>42931.328865740739</v>
      </c>
      <c r="F47" s="13">
        <v>42931.333854166667</v>
      </c>
      <c r="G47" s="7">
        <v>1</v>
      </c>
      <c r="H47" s="21" t="s">
        <v>852</v>
      </c>
      <c r="I47" s="13">
        <v>42931.358541666668</v>
      </c>
      <c r="J47" s="7">
        <v>0</v>
      </c>
      <c r="K47" s="89" t="str">
        <f t="shared" si="0"/>
        <v>4053/4054</v>
      </c>
      <c r="L47" s="21" t="str">
        <f>VLOOKUP(A47,'Trips&amp;Operators'!$C$1:$G$99999,5,FALSE)</f>
        <v>GEBRETEKLE DAGNEW</v>
      </c>
      <c r="M47" s="6">
        <f t="shared" si="1"/>
        <v>2.4687500001164153E-2</v>
      </c>
      <c r="N47" s="7">
        <f t="shared" si="22"/>
        <v>35.550000001676381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-15T06:53:34-0600',mode:absolute,to:'2017-07-15T09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7"/>
        <v>4.6899999999999997E-2</v>
      </c>
      <c r="Z47" s="197">
        <f t="shared" si="8"/>
        <v>23.3309</v>
      </c>
      <c r="AA47" s="197">
        <f t="shared" si="9"/>
        <v>23.283999999999999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47" s="74" t="str">
        <f t="shared" si="12"/>
        <v>"C:\Program Files (x86)\AstroGrep\AstroGrep.exe" /e /r /s /spath="%USERPROFILE%\AppData\Local\Temp\OnboardLogs" /stypes="app*4054*20170715*"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135-15 --locoid 4054 --swversion DE.1.0.9.0 --startMP 204:469 --initTime 2017-07-15T07:53:34 --startdatetime 2017-07-15T08:00:45 --delay 1 --endMP 204:233309 --enddatetime 2017-07-15T08:36:18 --enforcementcount 0 &gt;&gt;C:\Users\stu\Documents\GitHub\eaglep3-reporting\EC\2017-07-15-refined-times.txt</v>
      </c>
      <c r="AI4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{"issue":{"subject":"","project_id":79,"tracker_id":40,"status_id":1,"priority_id":2,"assigned_to_id":23,"start_date":"2017-07-15","description":"","custom_fields":[{"id":1,"name":"Subdivision","value":"EC"},{"id":4,"name":"Milepost","value":"23.3309"},{"id":17,"name":"Train ID","value":"135-15"},{"id":16,"name":"Locomotive ID","value":"4054"},{"id":130,"name":"Impact","value":""},{"id":150,"name":"Time of Event (Mountain Time)","value":"08:36:18"},{"id":151,"name":"Denver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4054 --day 2017-07-15</v>
      </c>
      <c r="AN4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690</v>
      </c>
      <c r="B48" s="7">
        <v>4053</v>
      </c>
      <c r="C48" s="21" t="s">
        <v>199</v>
      </c>
      <c r="D48" s="21" t="s">
        <v>853</v>
      </c>
      <c r="E48" s="13">
        <v>42931.359664351854</v>
      </c>
      <c r="F48" s="13">
        <v>42931.373113425929</v>
      </c>
      <c r="G48" s="7">
        <v>1</v>
      </c>
      <c r="H48" s="21" t="s">
        <v>381</v>
      </c>
      <c r="I48" s="13">
        <v>42931.399525462963</v>
      </c>
      <c r="J48" s="7">
        <v>0</v>
      </c>
      <c r="K48" s="89" t="str">
        <f t="shared" si="0"/>
        <v>4053/4054</v>
      </c>
      <c r="L48" s="21" t="str">
        <f>VLOOKUP(A48,'Trips&amp;Operators'!$C$1:$G$99999,5,FALSE)</f>
        <v>GEBRETEKLE DAGNEW</v>
      </c>
      <c r="M48" s="6">
        <f t="shared" si="1"/>
        <v>2.6412037033878732E-2</v>
      </c>
      <c r="N48" s="7">
        <f t="shared" si="22"/>
        <v>38.033333328785375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-15T07:37:55-0600',mode:absolute,to:'2017-07-15T10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7"/>
        <v>23.3003</v>
      </c>
      <c r="Z48" s="197">
        <f t="shared" si="8"/>
        <v>1.54E-2</v>
      </c>
      <c r="AA48" s="197">
        <f t="shared" si="9"/>
        <v>23.2849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48" s="74" t="str">
        <f t="shared" si="12"/>
        <v>"C:\Program Files (x86)\AstroGrep\AstroGrep.exe" /e /r /s /spath="%USERPROFILE%\AppData\Local\Temp\OnboardLogs" /stypes="app*4053*20170715*"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136-15 --locoid 4053 --swversion DE.1.0.9.0 --startMP 204:233003 --initTime 2017-07-15T08:37:55 --startdatetime 2017-07-15T08:57:17 --delay 1 --endMP 204:154 --enddatetime 2017-07-15T09:35:19 --enforcementcount 0 &gt;&gt;C:\Users\stu\Documents\GitHub\eaglep3-reporting\EC\2017-07-15-refined-times.txt</v>
      </c>
      <c r="AI48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ID","value":"136-15"},{"id":16,"name":"Locomotive ID","value":"4053"},{"id":130,"name":"Impact","value":""},{"id":150,"name":"Time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4053 --day 2017-07-15</v>
      </c>
      <c r="AN48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4056</v>
      </c>
      <c r="C49" s="21" t="s">
        <v>199</v>
      </c>
      <c r="D49" s="21" t="s">
        <v>380</v>
      </c>
      <c r="E49" s="13">
        <v>42931.340740740743</v>
      </c>
      <c r="F49" s="13">
        <v>42931.344409722224</v>
      </c>
      <c r="G49" s="7">
        <v>1</v>
      </c>
      <c r="H49" s="21" t="s">
        <v>505</v>
      </c>
      <c r="I49" s="13">
        <v>42931.369953703703</v>
      </c>
      <c r="J49" s="7">
        <v>0</v>
      </c>
      <c r="K49" s="89" t="str">
        <f t="shared" si="0"/>
        <v>4055/4056</v>
      </c>
      <c r="L49" s="21" t="str">
        <f>VLOOKUP(A49,'Trips&amp;Operators'!$C$1:$G$99999,5,FALSE)</f>
        <v>BROWN JACOB</v>
      </c>
      <c r="M49" s="6">
        <f t="shared" si="1"/>
        <v>2.5543981479131617E-2</v>
      </c>
      <c r="N49" s="7">
        <f t="shared" si="22"/>
        <v>36.783333329949528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-15T07:10:40-0600',mode:absolute,to:'2017-07-15T09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4.6199999999999998E-2</v>
      </c>
      <c r="Z49" s="197">
        <f t="shared" si="8"/>
        <v>23.331399999999999</v>
      </c>
      <c r="AA49" s="197">
        <f t="shared" si="9"/>
        <v>23.2852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49" s="74" t="str">
        <f t="shared" si="12"/>
        <v>"C:\Program Files (x86)\AstroGrep\AstroGrep.exe" /e /r /s /spath="%USERPROFILE%\AppData\Local\Temp\OnboardLogs" /stypes="app*4056*20170715*"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137-15 --locoid 4056 --swversion DE.1.0.9.0 --startMP 204:462 --initTime 2017-07-15T08:10:40 --startdatetime 2017-07-15T08:15:57 --delay 1 --endMP 204:233314 --enddatetime 2017-07-15T08:52:44 --enforcementcount 0 &gt;&gt;C:\Users\stu\Documents\GitHub\eaglep3-reporting\EC\2017-07-15-refined-times.txt</v>
      </c>
      <c r="AI49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{"issue":{"subject":"","project_id":79,"tracker_id":40,"status_id":1,"priority_id":2,"assigned_to_id":23,"start_date":"2017-07-15","description":"","custom_fields":[{"id":1,"name":"Subdivision","value":"EC"},{"id":4,"name":"Milepost","value":"23.3314"},{"id":17,"name":"Train ID","value":"137-15"},{"id":16,"name":"Locomotive ID","value":"4056"},{"id":130,"name":"Impact","value":""},{"id":150,"name":"Time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4056 --day 2017-07-15</v>
      </c>
      <c r="AN49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694</v>
      </c>
      <c r="B50" s="7">
        <v>4055</v>
      </c>
      <c r="C50" s="21" t="s">
        <v>199</v>
      </c>
      <c r="D50" s="21" t="s">
        <v>508</v>
      </c>
      <c r="E50" s="13">
        <v>42931.379363425927</v>
      </c>
      <c r="F50" s="13">
        <v>42931.38354166667</v>
      </c>
      <c r="G50" s="7">
        <v>1</v>
      </c>
      <c r="H50" s="21" t="s">
        <v>343</v>
      </c>
      <c r="I50" s="13">
        <v>42931.41033564815</v>
      </c>
      <c r="J50" s="7">
        <v>0</v>
      </c>
      <c r="K50" s="89" t="str">
        <f t="shared" si="0"/>
        <v>4055/4056</v>
      </c>
      <c r="L50" s="21" t="str">
        <f>VLOOKUP(A50,'Trips&amp;Operators'!$C$1:$G$99999,5,FALSE)</f>
        <v>BROWN JACOB</v>
      </c>
      <c r="M50" s="6">
        <f t="shared" si="1"/>
        <v>2.679398148029577E-2</v>
      </c>
      <c r="N50" s="7">
        <f t="shared" si="22"/>
        <v>38.583333331625909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-15T08:06:17-0600',mode:absolute,to:'2017-07-15T10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7"/>
        <v>23.300799999999999</v>
      </c>
      <c r="Z50" s="197">
        <f t="shared" si="8"/>
        <v>1.4999999999999999E-2</v>
      </c>
      <c r="AA50" s="197">
        <f t="shared" si="9"/>
        <v>23.285799999999998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50" s="74" t="str">
        <f t="shared" si="12"/>
        <v>"C:\Program Files (x86)\AstroGrep\AstroGrep.exe" /e /r /s /spath="%USERPROFILE%\AppData\Local\Temp\OnboardLogs" /stypes="app*4055*20170715*"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138-15 --locoid 4055 --swversion DE.1.0.9.0 --startMP 204:233008 --initTime 2017-07-15T09:06:17 --startdatetime 2017-07-15T09:12:18 --delay 1 --endMP 204:150 --enddatetime 2017-07-15T09:50:53 --enforcementcount 0 &gt;&gt;C:\Users\stu\Documents\GitHub\eaglep3-reporting\EC\2017-07-15-refined-times.txt</v>
      </c>
      <c r="AI50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{"issue":{"subject":"","project_id":79,"tracker_id":40,"status_id":1,"priority_id":2,"assigned_to_id":23,"start_date":"2017-07-15","description":"","custom_fields":[{"id":1,"name":"Subdivision","value":"EC"},{"id":4,"name":"Milepost","value":"0.015"},{"id":17,"name":"Train ID","value":"138-15"},{"id":16,"name":"Locomotive ID","value":"4055"},{"id":130,"name":"Impact","value":""},{"id":150,"name":"Time of Event (Mountain Time)","value":"09:50:53"},{"id":151,"name":"Denver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4055 --day 2017-07-15</v>
      </c>
      <c r="AN50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688</v>
      </c>
      <c r="B51" s="7">
        <v>4016</v>
      </c>
      <c r="C51" s="21" t="s">
        <v>199</v>
      </c>
      <c r="D51" s="21" t="s">
        <v>428</v>
      </c>
      <c r="E51" s="13">
        <v>42931.349699074075</v>
      </c>
      <c r="F51" s="13">
        <v>42931.354722222219</v>
      </c>
      <c r="G51" s="7">
        <v>1</v>
      </c>
      <c r="H51" s="21" t="s">
        <v>575</v>
      </c>
      <c r="I51" s="13">
        <v>42931.379444444443</v>
      </c>
      <c r="J51" s="7">
        <v>0</v>
      </c>
      <c r="K51" s="89" t="str">
        <f t="shared" si="0"/>
        <v>4015/4016</v>
      </c>
      <c r="L51" s="21" t="str">
        <f>VLOOKUP(A51,'Trips&amp;Operators'!$C$1:$G$99999,5,FALSE)</f>
        <v>MAELZER KURT</v>
      </c>
      <c r="M51" s="6">
        <f t="shared" si="1"/>
        <v>2.4722222224227153E-2</v>
      </c>
      <c r="N51" s="7">
        <f t="shared" si="22"/>
        <v>35.6000000028871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-15T07:23:34-0600',mode:absolute,to:'2017-07-15T10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7"/>
        <v>4.3299999999999998E-2</v>
      </c>
      <c r="Z51" s="197">
        <f t="shared" si="8"/>
        <v>23.331099999999999</v>
      </c>
      <c r="AA51" s="197">
        <f t="shared" si="9"/>
        <v>23.287800000000001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51" s="74" t="str">
        <f t="shared" si="12"/>
        <v>"C:\Program Files (x86)\AstroGrep\AstroGrep.exe" /e /r /s /spath="%USERPROFILE%\AppData\Local\Temp\OnboardLogs" /stypes="app*4016*20170715*"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139-15 --locoid 4016 --swversion DE.1.0.9.0 --startMP 204:433 --initTime 2017-07-15T08:23:34 --startdatetime 2017-07-15T08:30:48 --delay 1 --endMP 204:233311 --enddatetime 2017-07-15T09:06:24 --enforcementcount 0 &gt;&gt;C:\Users\stu\Documents\GitHub\eaglep3-reporting\EC\2017-07-15-refined-times.txt</v>
      </c>
      <c r="AI51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{"issue":{"subject":"","project_id":79,"tracker_id":40,"status_id":1,"priority_id":2,"assigned_to_id":23,"start_date":"2017-07-15","description":"","custom_fields":[{"id":1,"name":"Subdivision","value":"EC"},{"id":4,"name":"Milepost","value":"23.3311"},{"id":17,"name":"Train ID","value":"139-15"},{"id":16,"name":"Locomotive ID","value":"4016"},{"id":130,"name":"Impact","value":""},{"id":150,"name":"Time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4016 --day 2017-07-15</v>
      </c>
      <c r="AN51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696</v>
      </c>
      <c r="B52" s="7">
        <v>4015</v>
      </c>
      <c r="C52" s="21" t="s">
        <v>199</v>
      </c>
      <c r="D52" s="21" t="s">
        <v>854</v>
      </c>
      <c r="E52" s="13">
        <v>42931.387025462966</v>
      </c>
      <c r="F52" s="13">
        <v>42931.394201388888</v>
      </c>
      <c r="G52" s="7">
        <v>1</v>
      </c>
      <c r="H52" s="21" t="s">
        <v>386</v>
      </c>
      <c r="I52" s="13">
        <v>42931.421273148146</v>
      </c>
      <c r="J52" s="7">
        <v>0</v>
      </c>
      <c r="K52" s="89" t="str">
        <f t="shared" si="0"/>
        <v>4015/4016</v>
      </c>
      <c r="L52" s="21" t="str">
        <f>VLOOKUP(A52,'Trips&amp;Operators'!$C$1:$G$99999,5,FALSE)</f>
        <v>MAELZER KURT</v>
      </c>
      <c r="M52" s="6">
        <f t="shared" si="1"/>
        <v>2.7071759257523809E-2</v>
      </c>
      <c r="N52" s="7">
        <f t="shared" si="22"/>
        <v>38.983333330834284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-15T08:17:19-0600',mode:absolute,to:'2017-07-15T11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7"/>
        <v>23.3005</v>
      </c>
      <c r="Z52" s="197">
        <f t="shared" si="8"/>
        <v>1.4500000000000001E-2</v>
      </c>
      <c r="AA52" s="197">
        <f t="shared" si="9"/>
        <v>23.285999999999998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52" s="74" t="str">
        <f t="shared" si="12"/>
        <v>"C:\Program Files (x86)\AstroGrep\AstroGrep.exe" /e /r /s /spath="%USERPROFILE%\AppData\Local\Temp\OnboardLogs" /stypes="app*4015*20170715*"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140-15 --locoid 4015 --swversion DE.1.0.9.0 --startMP 204:233005 --initTime 2017-07-15T09:17:19 --startdatetime 2017-07-15T09:27:39 --delay 1 --endMP 204:145 --enddatetime 2017-07-15T10:06:38 --enforcementcount 0 &gt;&gt;C:\Users\stu\Documents\GitHub\eaglep3-reporting\EC\2017-07-15-refined-times.txt</v>
      </c>
      <c r="AI52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{"issue":{"subject":"","project_id":79,"tracker_id":40,"status_id":1,"priority_id":2,"assigned_to_id":23,"start_date":"2017-07-15","description":"","custom_fields":[{"id":1,"name":"Subdivision","value":"EC"},{"id":4,"name":"Milepost","value":"0.0145"},{"id":17,"name":"Train ID","value":"140-15"},{"id":16,"name":"Locomotive ID","value":"4015"},{"id":130,"name":"Impact","value":""},{"id":150,"name":"Time of Event (Mountain Time)","value":"10:06:38"},{"id":151,"name":"Denver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4015 --day 2017-07-15</v>
      </c>
      <c r="AN52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691</v>
      </c>
      <c r="B53" s="7">
        <v>4022</v>
      </c>
      <c r="C53" s="21" t="s">
        <v>199</v>
      </c>
      <c r="D53" s="21" t="s">
        <v>507</v>
      </c>
      <c r="E53" s="13">
        <v>42931.359976851854</v>
      </c>
      <c r="F53" s="13">
        <v>42931.365115740744</v>
      </c>
      <c r="G53" s="7">
        <v>1</v>
      </c>
      <c r="H53" s="21" t="s">
        <v>560</v>
      </c>
      <c r="I53" s="13">
        <v>42931.391261574077</v>
      </c>
      <c r="J53" s="7">
        <v>0</v>
      </c>
      <c r="K53" s="89" t="str">
        <f t="shared" si="0"/>
        <v>4021/4022</v>
      </c>
      <c r="L53" s="21" t="str">
        <f>VLOOKUP(A53,'Trips&amp;Operators'!$C$1:$G$99999,5,FALSE)</f>
        <v>DAVIDSON DAVID</v>
      </c>
      <c r="M53" s="6">
        <f t="shared" si="1"/>
        <v>2.6145833333430346E-2</v>
      </c>
      <c r="N53" s="7">
        <f t="shared" si="22"/>
        <v>37.650000000139698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-15T07:38:22-0600',mode:absolute,to:'2017-07-15T10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7"/>
        <v>4.6699999999999998E-2</v>
      </c>
      <c r="Z53" s="197">
        <f t="shared" si="8"/>
        <v>23.331</v>
      </c>
      <c r="AA53" s="197">
        <f t="shared" si="9"/>
        <v>23.284299999999998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53" s="74" t="str">
        <f t="shared" si="12"/>
        <v>"C:\Program Files (x86)\AstroGrep\AstroGrep.exe" /e /r /s /spath="%USERPROFILE%\AppData\Local\Temp\OnboardLogs" /stypes="app*4022*20170715*"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141-15 --locoid 4022 --swversion DE.1.0.9.0 --startMP 204:467 --initTime 2017-07-15T08:38:22 --startdatetime 2017-07-15T08:45:46 --delay 1 --endMP 204:233310 --enddatetime 2017-07-15T09:23:25 --enforcementcount 0 &gt;&gt;C:\Users\stu\Documents\GitHub\eaglep3-reporting\EC\2017-07-15-refined-times.txt</v>
      </c>
      <c r="AI53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{"issue":{"subject":"","project_id":79,"tracker_id":40,"status_id":1,"priority_id":2,"assigned_to_id":23,"start_date":"2017-07-15","description":"","custom_fields":[{"id":1,"name":"Subdivision","value":"EC"},{"id":4,"name":"Milepost","value":"23.331"},{"id":17,"name":"Train ID","value":"141-15"},{"id":16,"name":"Locomotive ID","value":"4022"},{"id":130,"name":"Impact","value":""},{"id":150,"name":"Time of Event (Mountain Time)","value":"09:23:25"},{"id":151,"name":"Denver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4022 --day 2017-07-15</v>
      </c>
      <c r="AN53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698</v>
      </c>
      <c r="B54" s="7">
        <v>4021</v>
      </c>
      <c r="C54" s="21" t="s">
        <v>199</v>
      </c>
      <c r="D54" s="21" t="s">
        <v>526</v>
      </c>
      <c r="E54" s="13">
        <v>42931.392685185187</v>
      </c>
      <c r="F54" s="13">
        <v>42931.404351851852</v>
      </c>
      <c r="G54" s="7">
        <v>1</v>
      </c>
      <c r="H54" s="21" t="s">
        <v>345</v>
      </c>
      <c r="I54" s="13">
        <v>42931.431840277779</v>
      </c>
      <c r="J54" s="7">
        <v>0</v>
      </c>
      <c r="K54" s="89" t="str">
        <f t="shared" si="0"/>
        <v>4021/4022</v>
      </c>
      <c r="L54" s="21" t="str">
        <f>VLOOKUP(A54,'Trips&amp;Operators'!$C$1:$G$99999,5,FALSE)</f>
        <v>DAVIDSON DAVID</v>
      </c>
      <c r="M54" s="6">
        <f t="shared" si="1"/>
        <v>2.7488425927003846E-2</v>
      </c>
      <c r="N54" s="7">
        <f t="shared" si="22"/>
        <v>39.583333334885538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-15T08:25:28-0600',mode:absolute,to:'2017-07-15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7"/>
        <v>23.299800000000001</v>
      </c>
      <c r="Z54" s="197">
        <f t="shared" si="8"/>
        <v>1.43E-2</v>
      </c>
      <c r="AA54" s="197">
        <f t="shared" si="9"/>
        <v>23.285500000000003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54" s="74" t="str">
        <f t="shared" si="12"/>
        <v>"C:\Program Files (x86)\AstroGrep\AstroGrep.exe" /e /r /s /spath="%USERPROFILE%\AppData\Local\Temp\OnboardLogs" /stypes="app*4021*20170715*"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142-15 --locoid 4021 --swversion DE.1.0.9.0 --startMP 204:232998 --initTime 2017-07-15T09:25:28 --startdatetime 2017-07-15T09:42:16 --delay 1 --endMP 204:143 --enddatetime 2017-07-15T10:21:51 --enforcementcount 0 &gt;&gt;C:\Users\stu\Documents\GitHub\eaglep3-reporting\EC\2017-07-15-refined-times.txt</v>
      </c>
      <c r="AI54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{"issue":{"subject":"","project_id":79,"tracker_id":40,"status_id":1,"priority_id":2,"assigned_to_id":23,"start_date":"2017-07-15","description":"","custom_fields":[{"id":1,"name":"Subdivision","value":"EC"},{"id":4,"name":"Milepost","value":"0.0143"},{"id":17,"name":"Train ID","value":"142-15"},{"id":16,"name":"Locomotive ID","value":"4021"},{"id":130,"name":"Impact","value":""},{"id":150,"name":"Time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4021 --day 2017-07-15</v>
      </c>
      <c r="AN54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692</v>
      </c>
      <c r="B55" s="7">
        <v>4024</v>
      </c>
      <c r="C55" s="21" t="s">
        <v>199</v>
      </c>
      <c r="D55" s="21" t="s">
        <v>855</v>
      </c>
      <c r="E55" s="13">
        <v>42931.371134259258</v>
      </c>
      <c r="F55" s="13">
        <v>42931.375590277778</v>
      </c>
      <c r="G55" s="7">
        <v>1</v>
      </c>
      <c r="H55" s="21" t="s">
        <v>509</v>
      </c>
      <c r="I55" s="13">
        <v>42931.399421296293</v>
      </c>
      <c r="J55" s="7">
        <v>0</v>
      </c>
      <c r="K55" s="89" t="str">
        <f t="shared" si="0"/>
        <v>4023/4024</v>
      </c>
      <c r="L55" s="21" t="str">
        <f>VLOOKUP(A55,'Trips&amp;Operators'!$C$1:$G$99999,5,FALSE)</f>
        <v>YORK EDGAR</v>
      </c>
      <c r="M55" s="6">
        <f t="shared" si="1"/>
        <v>2.3831018515920732E-2</v>
      </c>
      <c r="N55" s="7">
        <f t="shared" si="22"/>
        <v>34.316666662925854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-15T07:54:26-0600',mode:absolute,to:'2017-07-15T10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7"/>
        <v>4.8000000000000001E-2</v>
      </c>
      <c r="Z55" s="197">
        <f t="shared" si="8"/>
        <v>23.330500000000001</v>
      </c>
      <c r="AA55" s="197">
        <f t="shared" si="9"/>
        <v>23.282500000000002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55" s="74" t="str">
        <f t="shared" si="12"/>
        <v>"C:\Program Files (x86)\AstroGrep\AstroGrep.exe" /e /r /s /spath="%USERPROFILE%\AppData\Local\Temp\OnboardLogs" /stypes="app*4024*20170715*"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143-15 --locoid 4024 --swversion DE.1.0.9.0 --startMP 204:480 --initTime 2017-07-15T08:54:26 --startdatetime 2017-07-15T09:00:51 --delay 1 --endMP 204:233305 --enddatetime 2017-07-15T09:35:10 --enforcementcount 0 &gt;&gt;C:\Users\stu\Documents\GitHub\eaglep3-reporting\EC\2017-07-15-refined-times.txt</v>
      </c>
      <c r="AI5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{"issue":{"subject":"","project_id":79,"tracker_id":40,"status_id":1,"priority_id":2,"assigned_to_id":23,"start_date":"2017-07-15","description":"","custom_fields":[{"id":1,"name":"Subdivision","value":"EC"},{"id":4,"name":"Milepost","value":"23.3305"},{"id":17,"name":"Train ID","value":"143-15"},{"id":16,"name":"Locomotive ID","value":"4024"},{"id":130,"name":"Impact","value":""},{"id":150,"name":"Time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4024 --day 2017-07-15</v>
      </c>
      <c r="AN5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699</v>
      </c>
      <c r="B56" s="7">
        <v>4023</v>
      </c>
      <c r="C56" s="21" t="s">
        <v>199</v>
      </c>
      <c r="D56" s="21" t="s">
        <v>531</v>
      </c>
      <c r="E56" s="13">
        <v>42931.40053240741</v>
      </c>
      <c r="F56" s="13">
        <v>42931.414756944447</v>
      </c>
      <c r="G56" s="7">
        <v>0</v>
      </c>
      <c r="H56" s="21" t="s">
        <v>424</v>
      </c>
      <c r="I56" s="13">
        <v>42931.440833333334</v>
      </c>
      <c r="J56" s="7">
        <v>0</v>
      </c>
      <c r="K56" s="89" t="str">
        <f t="shared" si="0"/>
        <v>4023/4024</v>
      </c>
      <c r="L56" s="21" t="str">
        <f>VLOOKUP(A56,'Trips&amp;Operators'!$C$1:$G$99999,5,FALSE)</f>
        <v>YORK EDGAR</v>
      </c>
      <c r="M56" s="6">
        <f t="shared" si="1"/>
        <v>2.6076388887304347E-2</v>
      </c>
      <c r="N56" s="7">
        <f t="shared" si="22"/>
        <v>37.54999999771826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-15T08:36:46-0600',mode:absolute,to:'2017-07-15T11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7"/>
        <v>23.297499999999999</v>
      </c>
      <c r="Z56" s="197">
        <f t="shared" si="8"/>
        <v>1.6E-2</v>
      </c>
      <c r="AA56" s="197">
        <f t="shared" si="9"/>
        <v>23.281500000000001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56" s="74" t="str">
        <f t="shared" si="12"/>
        <v>"C:\Program Files (x86)\AstroGrep\AstroGrep.exe" /e /r /s /spath="%USERPROFILE%\AppData\Local\Temp\OnboardLogs" /stypes="app*4023*20170715*"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144-15 --locoid 4023 --swversion DE.1.0.9.0 --startMP 204:232975 --initTime 2017-07-15T09:36:46 --startdatetime 2017-07-15T09:57:15 --delay 0 --endMP 204:160 --enddatetime 2017-07-15T10:34:48 --enforcementcount 0 &gt;&gt;C:\Users\stu\Documents\GitHub\eaglep3-reporting\EC\2017-07-15-refined-times.txt</v>
      </c>
      <c r="AI5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{"issue":{"subject":"","project_id":79,"tracker_id":40,"status_id":1,"priority_id":2,"assigned_to_id":23,"start_date":"2017-07-15","description":"","custom_fields":[{"id":1,"name":"Subdivision","value":"EC"},{"id":4,"name":"Milepost","value":"0.016"},{"id":17,"name":"Train ID","value":"144-15"},{"id":16,"name":"Locomotive ID","value":"4023"},{"id":130,"name":"Impact","value":""},{"id":150,"name":"Time of Event (Mountain Time)","value":"10:34:48"},{"id":151,"name":"Denver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4023 --day 2017-07-15</v>
      </c>
      <c r="AN5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695</v>
      </c>
      <c r="B57" s="7">
        <v>4014</v>
      </c>
      <c r="C57" s="21" t="s">
        <v>199</v>
      </c>
      <c r="D57" s="21" t="s">
        <v>856</v>
      </c>
      <c r="E57" s="13">
        <v>42931.38071759259</v>
      </c>
      <c r="F57" s="13">
        <v>42931.385925925926</v>
      </c>
      <c r="G57" s="7">
        <v>2</v>
      </c>
      <c r="H57" s="21" t="s">
        <v>416</v>
      </c>
      <c r="I57" s="13">
        <v>42931.411041666666</v>
      </c>
      <c r="J57" s="7">
        <v>0</v>
      </c>
      <c r="K57" s="89" t="str">
        <f t="shared" si="0"/>
        <v>4013/4014</v>
      </c>
      <c r="L57" s="21" t="str">
        <f>VLOOKUP(A57,'Trips&amp;Operators'!$C$1:$G$99999,5,FALSE)</f>
        <v>GUZMAN DANNY</v>
      </c>
      <c r="M57" s="6">
        <f t="shared" si="1"/>
        <v>2.5115740740147885E-2</v>
      </c>
      <c r="N57" s="7">
        <f t="shared" si="22"/>
        <v>36.166666665812954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-15T08:08:14-0600',mode:absolute,to:'2017-07-15T10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7"/>
        <v>4.8899999999999999E-2</v>
      </c>
      <c r="Z57" s="197">
        <f t="shared" si="8"/>
        <v>23.331199999999999</v>
      </c>
      <c r="AA57" s="197">
        <f t="shared" si="9"/>
        <v>23.282299999999999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57" s="74" t="str">
        <f t="shared" si="12"/>
        <v>"C:\Program Files (x86)\AstroGrep\AstroGrep.exe" /e /r /s /spath="%USERPROFILE%\AppData\Local\Temp\OnboardLogs" /stypes="app*4014*20170715*"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145-15 --locoid 4014 --swversion DE.1.0.9.0 --startMP 204:489 --initTime 2017-07-15T09:08:14 --startdatetime 2017-07-15T09:15:44 --delay 2 --endMP 204:233312 --enddatetime 2017-07-15T09:51:54 --enforcementcount 0 &gt;&gt;C:\Users\stu\Documents\GitHub\eaglep3-reporting\EC\2017-07-15-refined-times.txt</v>
      </c>
      <c r="AI5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{"issue":{"subject":"","project_id":79,"tracker_id":40,"status_id":1,"priority_id":2,"assigned_to_id":23,"start_date":"2017-07-15","description":"","custom_fields":[{"id":1,"name":"Subdivision","value":"EC"},{"id":4,"name":"Milepost","value":"23.3312"},{"id":17,"name":"Train ID","value":"145-15"},{"id":16,"name":"Locomotive ID","value":"4014"},{"id":130,"name":"Impact","value":""},{"id":150,"name":"Time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4014 --day 2017-07-15</v>
      </c>
      <c r="AN5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702</v>
      </c>
      <c r="B58" s="7">
        <v>4013</v>
      </c>
      <c r="C58" s="21" t="s">
        <v>199</v>
      </c>
      <c r="D58" s="21" t="s">
        <v>504</v>
      </c>
      <c r="E58" s="13">
        <v>42931.413240740738</v>
      </c>
      <c r="F58" s="13">
        <v>42931.425439814811</v>
      </c>
      <c r="G58" s="7">
        <v>1</v>
      </c>
      <c r="H58" s="21" t="s">
        <v>353</v>
      </c>
      <c r="I58" s="13">
        <v>42931.452476851853</v>
      </c>
      <c r="J58" s="7">
        <v>0</v>
      </c>
      <c r="K58" s="89" t="str">
        <f t="shared" si="0"/>
        <v>4013/4014</v>
      </c>
      <c r="L58" s="21" t="str">
        <f>VLOOKUP(A58,'Trips&amp;Operators'!$C$1:$G$99999,5,FALSE)</f>
        <v>GUZMAN DANNY</v>
      </c>
      <c r="M58" s="6">
        <f t="shared" si="1"/>
        <v>2.7037037041736767E-2</v>
      </c>
      <c r="N58" s="7">
        <f t="shared" si="22"/>
        <v>38.933333340100944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-15T08:55:04-0600',mode:absolute,to:'2017-07-15T11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23.2989</v>
      </c>
      <c r="Z58" s="197">
        <f t="shared" si="8"/>
        <v>1.41E-2</v>
      </c>
      <c r="AA58" s="197">
        <f t="shared" si="9"/>
        <v>23.284800000000001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58" s="74" t="str">
        <f t="shared" si="12"/>
        <v>"C:\Program Files (x86)\AstroGrep\AstroGrep.exe" /e /r /s /spath="%USERPROFILE%\AppData\Local\Temp\OnboardLogs" /stypes="app*4013*20170715*"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146-15 --locoid 4013 --swversion DE.1.0.9.0 --startMP 204:232989 --initTime 2017-07-15T09:55:04 --startdatetime 2017-07-15T10:12:38 --delay 1 --endMP 204:141 --enddatetime 2017-07-15T10:51:34 --enforcementcount 0 &gt;&gt;C:\Users\stu\Documents\GitHub\eaglep3-reporting\EC\2017-07-15-refined-times.txt</v>
      </c>
      <c r="AI58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{"issue":{"subject":"","project_id":79,"tracker_id":40,"status_id":1,"priority_id":2,"assigned_to_id":23,"start_date":"2017-07-15","description":"","custom_fields":[{"id":1,"name":"Subdivision","value":"EC"},{"id":4,"name":"Milepost","value":"0.0141"},{"id":17,"name":"Train ID","value":"146-15"},{"id":16,"name":"Locomotive ID","value":"4013"},{"id":130,"name":"Impact","value":""},{"id":150,"name":"Time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4013 --day 2017-07-15</v>
      </c>
      <c r="AN58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697</v>
      </c>
      <c r="B59" s="7">
        <v>4032</v>
      </c>
      <c r="C59" s="21" t="s">
        <v>199</v>
      </c>
      <c r="D59" s="21" t="s">
        <v>196</v>
      </c>
      <c r="E59" s="13">
        <v>42931.392199074071</v>
      </c>
      <c r="F59" s="13">
        <v>42931.396331018521</v>
      </c>
      <c r="G59" s="7">
        <v>1</v>
      </c>
      <c r="H59" s="21" t="s">
        <v>509</v>
      </c>
      <c r="I59" s="13">
        <v>42931.421064814815</v>
      </c>
      <c r="J59" s="7">
        <v>0</v>
      </c>
      <c r="K59" s="89" t="str">
        <f t="shared" si="0"/>
        <v>4031/4032</v>
      </c>
      <c r="L59" s="21" t="str">
        <f>VLOOKUP(A59,'Trips&amp;Operators'!$C$1:$G$99999,5,FALSE)</f>
        <v>DAVIS WENDY</v>
      </c>
      <c r="M59" s="6">
        <f t="shared" si="1"/>
        <v>2.4733796293730848E-2</v>
      </c>
      <c r="N59" s="7">
        <f t="shared" si="22"/>
        <v>35.61666666297242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-15T08:24:46-0600',mode:absolute,to:'2017-07-15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4.5699999999999998E-2</v>
      </c>
      <c r="Z59" s="197">
        <f t="shared" si="8"/>
        <v>23.330500000000001</v>
      </c>
      <c r="AA59" s="197">
        <f t="shared" si="9"/>
        <v>23.284800000000001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59" s="74" t="str">
        <f t="shared" si="12"/>
        <v>"C:\Program Files (x86)\AstroGrep\AstroGrep.exe" /e /r /s /spath="%USERPROFILE%\AppData\Local\Temp\OnboardLogs" /stypes="app*4032*20170715*"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147-15 --locoid 4032 --swversion DE.1.0.9.0 --startMP 204:457 --initTime 2017-07-15T09:24:46 --startdatetime 2017-07-15T09:30:43 --delay 1 --endMP 204:233305 --enddatetime 2017-07-15T10:06:20 --enforcementcount 0 &gt;&gt;C:\Users\stu\Documents\GitHub\eaglep3-reporting\EC\2017-07-15-refined-times.txt</v>
      </c>
      <c r="AI59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{"issue":{"subject":"","project_id":79,"tracker_id":40,"status_id":1,"priority_id":2,"assigned_to_id":23,"start_date":"2017-07-15","description":"","custom_fields":[{"id":1,"name":"Subdivision","value":"EC"},{"id":4,"name":"Milepost","value":"23.3305"},{"id":17,"name":"Train ID","value":"147-15"},{"id":16,"name":"Locomotive ID","value":"4032"},{"id":130,"name":"Impact","value":""},{"id":150,"name":"Time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4032 --day 2017-07-15</v>
      </c>
      <c r="AN59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595</v>
      </c>
      <c r="B60" s="7">
        <v>4031</v>
      </c>
      <c r="C60" s="21" t="s">
        <v>199</v>
      </c>
      <c r="D60" s="21" t="s">
        <v>503</v>
      </c>
      <c r="E60" s="13">
        <v>42931.432708333334</v>
      </c>
      <c r="F60" s="13">
        <v>42931.435555555552</v>
      </c>
      <c r="G60" s="7">
        <v>1</v>
      </c>
      <c r="H60" s="21" t="s">
        <v>343</v>
      </c>
      <c r="I60" s="13">
        <v>42931.463055555556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DAVIS WENDY</v>
      </c>
      <c r="M60" s="6">
        <f t="shared" si="1"/>
        <v>2.7500000003783498E-2</v>
      </c>
      <c r="N60" s="7">
        <f t="shared" si="22"/>
        <v>39.600000005448237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-15T09:23:06-0600',mode:absolute,to:'2017-07-15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7"/>
        <v>23.298400000000001</v>
      </c>
      <c r="Z60" s="197">
        <f t="shared" si="8"/>
        <v>1.4999999999999999E-2</v>
      </c>
      <c r="AA60" s="197">
        <f t="shared" si="9"/>
        <v>23.2834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60" s="74" t="str">
        <f t="shared" si="12"/>
        <v>"C:\Program Files (x86)\AstroGrep\AstroGrep.exe" /e /r /s /spath="%USERPROFILE%\AppData\Local\Temp\OnboardLogs" /stypes="app*4031*20170715*"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148-15 --locoid 4031 --swversion DE.1.0.9.0 --startMP 204:232984 --initTime 2017-07-15T10:23:06 --startdatetime 2017-07-15T10:27:12 --delay 1 --endMP 204:150 --enddatetime 2017-07-15T11:06:48 --enforcementcount 0 &gt;&gt;C:\Users\stu\Documents\GitHub\eaglep3-reporting\EC\2017-07-15-refined-times.txt</v>
      </c>
      <c r="AI60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{"issue":{"subject":"","project_id":79,"tracker_id":40,"status_id":1,"priority_id":2,"assigned_to_id":23,"start_date":"2017-07-15","description":"","custom_fields":[{"id":1,"name":"Subdivision","value":"EC"},{"id":4,"name":"Milepost","value":"0.015"},{"id":17,"name":"Train ID","value":"148-15"},{"id":16,"name":"Locomotive ID","value":"4031"},{"id":130,"name":"Impact","value":""},{"id":150,"name":"Time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4031 --day 2017-07-15</v>
      </c>
      <c r="AN60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701</v>
      </c>
      <c r="B61" s="7">
        <v>4054</v>
      </c>
      <c r="C61" s="21" t="s">
        <v>199</v>
      </c>
      <c r="D61" s="21" t="s">
        <v>414</v>
      </c>
      <c r="E61" s="13">
        <v>42931.402627314812</v>
      </c>
      <c r="F61" s="13">
        <v>42931.406782407408</v>
      </c>
      <c r="G61" s="7">
        <v>1</v>
      </c>
      <c r="H61" s="21" t="s">
        <v>857</v>
      </c>
      <c r="I61" s="13">
        <v>42931.431597222225</v>
      </c>
      <c r="J61" s="7">
        <v>0</v>
      </c>
      <c r="K61" s="89" t="str">
        <f t="shared" si="0"/>
        <v>4053/4054</v>
      </c>
      <c r="L61" s="21" t="str">
        <f>VLOOKUP(A61,'Trips&amp;Operators'!$C$1:$G$99999,5,FALSE)</f>
        <v>GEBRETEKLE DAGNEW</v>
      </c>
      <c r="M61" s="6">
        <f t="shared" si="1"/>
        <v>2.4814814816636499E-2</v>
      </c>
      <c r="N61" s="7">
        <f t="shared" si="22"/>
        <v>35.733333335956559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-15T08:39:47-0600',mode:absolute,to:'2017-07-15T11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4.58E-2</v>
      </c>
      <c r="Z61" s="197">
        <f t="shared" si="8"/>
        <v>23.33</v>
      </c>
      <c r="AA61" s="197">
        <f t="shared" si="9"/>
        <v>23.284199999999998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61" s="74" t="str">
        <f t="shared" si="12"/>
        <v>"C:\Program Files (x86)\AstroGrep\AstroGrep.exe" /e /r /s /spath="%USERPROFILE%\AppData\Local\Temp\OnboardLogs" /stypes="app*4054*20170715*"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149-15 --locoid 4054 --swversion DE.1.0.9.0 --startMP 204:458 --initTime 2017-07-15T09:39:47 --startdatetime 2017-07-15T09:45:46 --delay 1 --endMP 204:233300 --enddatetime 2017-07-15T10:21:30 --enforcementcount 0 &gt;&gt;C:\Users\stu\Documents\GitHub\eaglep3-reporting\EC\2017-07-15-refined-times.txt</v>
      </c>
      <c r="AI61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{"issue":{"subject":"","project_id":79,"tracker_id":40,"status_id":1,"priority_id":2,"assigned_to_id":23,"start_date":"2017-07-15","description":"","custom_fields":[{"id":1,"name":"Subdivision","value":"EC"},{"id":4,"name":"Milepost","value":"23.33"},{"id":17,"name":"Train ID","value":"149-15"},{"id":16,"name":"Locomotive ID","value":"4054"},{"id":130,"name":"Impact","value":""},{"id":150,"name":"Time of Event (Mountain Time)","value":"10:21:30"},{"id":151,"name":"Denver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4054 --day 2017-07-15</v>
      </c>
      <c r="AN61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706</v>
      </c>
      <c r="B62" s="7">
        <v>4053</v>
      </c>
      <c r="C62" s="21" t="s">
        <v>199</v>
      </c>
      <c r="D62" s="21" t="s">
        <v>529</v>
      </c>
      <c r="E62" s="13">
        <v>42931.434120370373</v>
      </c>
      <c r="F62" s="13">
        <v>42931.44604166667</v>
      </c>
      <c r="G62" s="7">
        <v>1</v>
      </c>
      <c r="H62" s="21" t="s">
        <v>485</v>
      </c>
      <c r="I62" s="13">
        <v>42931.472858796296</v>
      </c>
      <c r="J62" s="7">
        <v>0</v>
      </c>
      <c r="K62" s="89" t="str">
        <f t="shared" si="0"/>
        <v>4053/4054</v>
      </c>
      <c r="L62" s="21" t="str">
        <f>VLOOKUP(A62,'Trips&amp;Operators'!$C$1:$G$99999,5,FALSE)</f>
        <v>GEBRETEKLE DAGNEW</v>
      </c>
      <c r="M62" s="6">
        <f t="shared" si="1"/>
        <v>2.6817129626579117E-2</v>
      </c>
      <c r="N62" s="7">
        <f t="shared" si="22"/>
        <v>38.616666662273929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-15T09:25:08-0600',mode:absolute,to:'2017-07-15T12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23.2987</v>
      </c>
      <c r="Z62" s="197">
        <f t="shared" si="8"/>
        <v>1.5800000000000002E-2</v>
      </c>
      <c r="AA62" s="197">
        <f t="shared" si="9"/>
        <v>23.282900000000001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62" s="74" t="str">
        <f t="shared" si="12"/>
        <v>"C:\Program Files (x86)\AstroGrep\AstroGrep.exe" /e /r /s /spath="%USERPROFILE%\AppData\Local\Temp\OnboardLogs" /stypes="app*4053*20170715*"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150-15 --locoid 4053 --swversion DE.1.0.9.0 --startMP 204:232987 --initTime 2017-07-15T10:25:08 --startdatetime 2017-07-15T10:42:18 --delay 1 --endMP 204:158 --enddatetime 2017-07-15T11:20:55 --enforcementcount 0 &gt;&gt;C:\Users\stu\Documents\GitHub\eaglep3-reporting\EC\2017-07-15-refined-times.txt</v>
      </c>
      <c r="AI62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{"issue":{"subject":"","project_id":79,"tracker_id":40,"status_id":1,"priority_id":2,"assigned_to_id":23,"start_date":"2017-07-15","description":"","custom_fields":[{"id":1,"name":"Subdivision","value":"EC"},{"id":4,"name":"Milepost","value":"0.0158"},{"id":17,"name":"Train ID","value":"150-15"},{"id":16,"name":"Locomotive ID","value":"4053"},{"id":130,"name":"Impact","value":""},{"id":150,"name":"Time of Event (Mountain Time)","value":"11:20:55"},{"id":151,"name":"Denver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4053 --day 2017-07-15</v>
      </c>
      <c r="AN62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703</v>
      </c>
      <c r="B63" s="7">
        <v>4056</v>
      </c>
      <c r="C63" s="21" t="s">
        <v>199</v>
      </c>
      <c r="D63" s="21" t="s">
        <v>846</v>
      </c>
      <c r="E63" s="13">
        <v>42931.413935185185</v>
      </c>
      <c r="F63" s="13">
        <v>42931.417233796295</v>
      </c>
      <c r="G63" s="7">
        <v>1</v>
      </c>
      <c r="H63" s="21" t="s">
        <v>416</v>
      </c>
      <c r="I63" s="13">
        <v>42931.44159722222</v>
      </c>
      <c r="J63" s="7">
        <v>0</v>
      </c>
      <c r="K63" s="89" t="str">
        <f t="shared" si="0"/>
        <v>4055/4056</v>
      </c>
      <c r="L63" s="21" t="str">
        <f>VLOOKUP(A63,'Trips&amp;Operators'!$C$1:$G$99999,5,FALSE)</f>
        <v>BROWN JACOB</v>
      </c>
      <c r="M63" s="6">
        <f t="shared" si="1"/>
        <v>2.4363425924093463E-2</v>
      </c>
      <c r="N63" s="7">
        <f t="shared" si="22"/>
        <v>35.083333330694586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-15T08:56:04-0600',mode:absolute,to:'2017-07-15T11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4.3700000000000003E-2</v>
      </c>
      <c r="Z63" s="197">
        <f t="shared" si="8"/>
        <v>23.331199999999999</v>
      </c>
      <c r="AA63" s="197">
        <f t="shared" si="9"/>
        <v>23.287499999999998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63" s="74" t="str">
        <f t="shared" si="12"/>
        <v>"C:\Program Files (x86)\AstroGrep\AstroGrep.exe" /e /r /s /spath="%USERPROFILE%\AppData\Local\Temp\OnboardLogs" /stypes="app*4056*20170715*"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151-15 --locoid 4056 --swversion DE.1.0.9.0 --startMP 204:437 --initTime 2017-07-15T09:56:04 --startdatetime 2017-07-15T10:00:49 --delay 1 --endMP 204:233312 --enddatetime 2017-07-15T10:35:54 --enforcementcount 0 &gt;&gt;C:\Users\stu\Documents\GitHub\eaglep3-reporting\EC\2017-07-15-refined-times.txt</v>
      </c>
      <c r="AI63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{"issue":{"subject":"","project_id":79,"tracker_id":40,"status_id":1,"priority_id":2,"assigned_to_id":23,"start_date":"2017-07-15","description":"","custom_fields":[{"id":1,"name":"Subdivision","value":"EC"},{"id":4,"name":"Milepost","value":"23.3312"},{"id":17,"name":"Train ID","value":"151-15"},{"id":16,"name":"Locomotive ID","value":"4056"},{"id":130,"name":"Impact","value":""},{"id":150,"name":"Time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4056 --day 2017-07-15</v>
      </c>
      <c r="AN63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710</v>
      </c>
      <c r="B64" s="7">
        <v>4055</v>
      </c>
      <c r="C64" s="21" t="s">
        <v>199</v>
      </c>
      <c r="D64" s="21" t="s">
        <v>526</v>
      </c>
      <c r="E64" s="13">
        <v>42931.445625</v>
      </c>
      <c r="F64" s="13">
        <v>42931.456458333334</v>
      </c>
      <c r="G64" s="7">
        <v>1</v>
      </c>
      <c r="H64" s="21" t="s">
        <v>528</v>
      </c>
      <c r="I64" s="13">
        <v>42931.483449074076</v>
      </c>
      <c r="J64" s="7">
        <v>0</v>
      </c>
      <c r="K64" s="89" t="str">
        <f t="shared" si="0"/>
        <v>4055/4056</v>
      </c>
      <c r="L64" s="21" t="str">
        <f>VLOOKUP(A64,'Trips&amp;Operators'!$C$1:$G$99999,5,FALSE)</f>
        <v>BROWN JACOB</v>
      </c>
      <c r="M64" s="6">
        <f t="shared" si="1"/>
        <v>2.6990740741894115E-2</v>
      </c>
      <c r="N64" s="7">
        <f t="shared" si="22"/>
        <v>38.866666668327525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-15T09:41:42-0600',mode:absolute,to:'2017-07-15T12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7"/>
        <v>23.299800000000001</v>
      </c>
      <c r="Z64" s="197">
        <f t="shared" si="8"/>
        <v>1.52E-2</v>
      </c>
      <c r="AA64" s="197">
        <f t="shared" si="9"/>
        <v>23.284600000000001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64" s="74" t="str">
        <f t="shared" si="12"/>
        <v>"C:\Program Files (x86)\AstroGrep\AstroGrep.exe" /e /r /s /spath="%USERPROFILE%\AppData\Local\Temp\OnboardLogs" /stypes="app*4055*20170715*"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152-15 --locoid 4055 --swversion DE.1.0.9.0 --startMP 204:232998 --initTime 2017-07-15T10:41:42 --startdatetime 2017-07-15T10:57:18 --delay 1 --endMP 204:152 --enddatetime 2017-07-15T11:36:10 --enforcementcount 0 &gt;&gt;C:\Users\stu\Documents\GitHub\eaglep3-reporting\EC\2017-07-15-refined-times.txt</v>
      </c>
      <c r="AI64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{"issue":{"subject":"","project_id":79,"tracker_id":40,"status_id":1,"priority_id":2,"assigned_to_id":23,"start_date":"2017-07-15","description":"","custom_fields":[{"id":1,"name":"Subdivision","value":"EC"},{"id":4,"name":"Milepost","value":"0.0152"},{"id":17,"name":"Train ID","value":"152-15"},{"id":16,"name":"Locomotive ID","value":"4055"},{"id":130,"name":"Impact","value":""},{"id":150,"name":"Time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4055 --day 2017-07-15</v>
      </c>
      <c r="AN64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705</v>
      </c>
      <c r="B65" s="7">
        <v>4016</v>
      </c>
      <c r="C65" s="21" t="s">
        <v>199</v>
      </c>
      <c r="D65" s="21" t="s">
        <v>414</v>
      </c>
      <c r="E65" s="13">
        <v>42931.423842592594</v>
      </c>
      <c r="F65" s="13">
        <v>42931.427604166667</v>
      </c>
      <c r="G65" s="7">
        <v>2</v>
      </c>
      <c r="H65" s="21" t="s">
        <v>858</v>
      </c>
      <c r="I65" s="13">
        <v>42931.452824074076</v>
      </c>
      <c r="J65" s="7">
        <v>0</v>
      </c>
      <c r="K65" s="89" t="str">
        <f t="shared" si="0"/>
        <v>4015/4016</v>
      </c>
      <c r="L65" s="21" t="str">
        <f>VLOOKUP(A65,'Trips&amp;Operators'!$C$1:$G$99999,5,FALSE)</f>
        <v>SULLIVAN BRANDON</v>
      </c>
      <c r="M65" s="6">
        <f t="shared" si="1"/>
        <v>2.5219907409336884E-2</v>
      </c>
      <c r="N65" s="7">
        <f t="shared" si="22"/>
        <v>36.316666669445112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-15T09:10:20-0600',mode:absolute,to:'2017-07-15T11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7"/>
        <v>4.58E-2</v>
      </c>
      <c r="Z65" s="197">
        <f t="shared" si="8"/>
        <v>23.337199999999999</v>
      </c>
      <c r="AA65" s="197">
        <f t="shared" si="9"/>
        <v>23.291399999999999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65" s="74" t="str">
        <f t="shared" si="12"/>
        <v>"C:\Program Files (x86)\AstroGrep\AstroGrep.exe" /e /r /s /spath="%USERPROFILE%\AppData\Local\Temp\OnboardLogs" /stypes="app*4016*20170715*"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153-15 --locoid 4016 --swversion DE.1.0.9.0 --startMP 204:458 --initTime 2017-07-15T10:10:20 --startdatetime 2017-07-15T10:15:45 --delay 2 --endMP 204:233372 --enddatetime 2017-07-15T10:52:04 --enforcementcount 0 &gt;&gt;C:\Users\stu\Documents\GitHub\eaglep3-reporting\EC\2017-07-15-refined-times.txt</v>
      </c>
      <c r="AI6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{"issue":{"subject":"","project_id":79,"tracker_id":40,"status_id":1,"priority_id":2,"assigned_to_id":23,"start_date":"2017-07-15","description":"","custom_fields":[{"id":1,"name":"Subdivision","value":"EC"},{"id":4,"name":"Milepost","value":"23.3372"},{"id":17,"name":"Train ID","value":"153-15"},{"id":16,"name":"Locomotive ID","value":"4016"},{"id":130,"name":"Impact","value":""},{"id":150,"name":"Time of Event (Mountain Time)","value":"10:52:04"},{"id":151,"name":"Denver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4016 --day 2017-07-15</v>
      </c>
      <c r="AN6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713</v>
      </c>
      <c r="B66" s="7">
        <v>4015</v>
      </c>
      <c r="C66" s="21" t="s">
        <v>199</v>
      </c>
      <c r="D66" s="21" t="s">
        <v>859</v>
      </c>
      <c r="E66" s="13">
        <v>42931.458437499998</v>
      </c>
      <c r="F66" s="13">
        <v>42931.466921296298</v>
      </c>
      <c r="G66" s="7">
        <v>1</v>
      </c>
      <c r="H66" s="21" t="s">
        <v>528</v>
      </c>
      <c r="I66" s="13">
        <v>42931.493831018517</v>
      </c>
      <c r="J66" s="7">
        <v>0</v>
      </c>
      <c r="K66" s="89" t="str">
        <f t="shared" si="0"/>
        <v>4015/4016</v>
      </c>
      <c r="L66" s="21" t="str">
        <f>VLOOKUP(A66,'Trips&amp;Operators'!$C$1:$G$99999,5,FALSE)</f>
        <v>SULLIVAN BRANDON</v>
      </c>
      <c r="M66" s="6">
        <f t="shared" si="1"/>
        <v>2.6909722218988463E-2</v>
      </c>
      <c r="N66" s="7">
        <f t="shared" si="22"/>
        <v>38.749999995343387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-15T10:00:09-0600',mode:absolute,to:'2017-07-15T12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7"/>
        <v>23.306000000000001</v>
      </c>
      <c r="Z66" s="197">
        <f t="shared" si="8"/>
        <v>1.52E-2</v>
      </c>
      <c r="AA66" s="197">
        <f t="shared" si="9"/>
        <v>23.290800000000001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66" s="74" t="str">
        <f t="shared" si="12"/>
        <v>"C:\Program Files (x86)\AstroGrep\AstroGrep.exe" /e /r /s /spath="%USERPROFILE%\AppData\Local\Temp\OnboardLogs" /stypes="app*4015*20170715*"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154-15 --locoid 4015 --swversion DE.1.0.9.0 --startMP 204:233060 --initTime 2017-07-15T11:00:09 --startdatetime 2017-07-15T11:12:22 --delay 1 --endMP 204:152 --enddatetime 2017-07-15T11:51:07 --enforcementcount 0 &gt;&gt;C:\Users\stu\Documents\GitHub\eaglep3-reporting\EC\2017-07-15-refined-times.txt</v>
      </c>
      <c r="AI6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{"issue":{"subject":"","project_id":79,"tracker_id":40,"status_id":1,"priority_id":2,"assigned_to_id":23,"start_date":"2017-07-15","description":"","custom_fields":[{"id":1,"name":"Subdivision","value":"EC"},{"id":4,"name":"Milepost","value":"0.0152"},{"id":17,"name":"Train ID","value":"154-15"},{"id":16,"name":"Locomotive ID","value":"4015"},{"id":130,"name":"Impact","value":""},{"id":150,"name":"Time of Event (Mountain Time)","value":"11:51:07"},{"id":151,"name":"Denver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4015 --day 2017-07-15</v>
      </c>
      <c r="AN6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594</v>
      </c>
      <c r="B67" s="7">
        <v>4022</v>
      </c>
      <c r="C67" s="21" t="s">
        <v>199</v>
      </c>
      <c r="D67" s="21" t="s">
        <v>507</v>
      </c>
      <c r="E67" s="13">
        <v>42931.433240740742</v>
      </c>
      <c r="F67" s="13">
        <v>42931.438032407408</v>
      </c>
      <c r="G67" s="7">
        <v>1</v>
      </c>
      <c r="H67" s="21" t="s">
        <v>852</v>
      </c>
      <c r="I67" s="13">
        <v>42931.46435185185</v>
      </c>
      <c r="J67" s="7">
        <v>0</v>
      </c>
      <c r="K67" s="89" t="str">
        <f t="shared" si="0"/>
        <v>4021/4022</v>
      </c>
      <c r="L67" s="21" t="str">
        <f>VLOOKUP(A67,'Trips&amp;Operators'!$C$1:$G$99999,5,FALSE)</f>
        <v>DAVIDSON DAVID</v>
      </c>
      <c r="M67" s="6">
        <f t="shared" si="1"/>
        <v>2.6319444441469386E-2</v>
      </c>
      <c r="N67" s="7">
        <f t="shared" si="22"/>
        <v>37.899999995715916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-15T09:23:52-0600',mode:absolute,to:'2017-07-15T12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7"/>
        <v>4.6699999999999998E-2</v>
      </c>
      <c r="Z67" s="197">
        <f t="shared" si="8"/>
        <v>23.3309</v>
      </c>
      <c r="AA67" s="197">
        <f t="shared" si="9"/>
        <v>23.284199999999998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67" s="74" t="str">
        <f t="shared" si="12"/>
        <v>"C:\Program Files (x86)\AstroGrep\AstroGrep.exe" /e /r /s /spath="%USERPROFILE%\AppData\Local\Temp\OnboardLogs" /stypes="app*4022*20170715*"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155-15 --locoid 4022 --swversion DE.1.0.9.0 --startMP 204:467 --initTime 2017-07-15T10:23:52 --startdatetime 2017-07-15T10:30:46 --delay 1 --endMP 204:233309 --enddatetime 2017-07-15T11:08:40 --enforcementcount 0 &gt;&gt;C:\Users\stu\Documents\GitHub\eaglep3-reporting\EC\2017-07-15-refined-times.txt</v>
      </c>
      <c r="AI6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{"issue":{"subject":"","project_id":79,"tracker_id":40,"status_id":1,"priority_id":2,"assigned_to_id":23,"start_date":"2017-07-15","description":"","custom_fields":[{"id":1,"name":"Subdivision","value":"EC"},{"id":4,"name":"Milepost","value":"23.3309"},{"id":17,"name":"Train ID","value":"155-15"},{"id":16,"name":"Locomotive ID","value":"4022"},{"id":130,"name":"Impact","value":""},{"id":150,"name":"Time of Event (Mountain Time)","value":"11:08:40"},{"id":151,"name":"Denver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4022 --day 2017-07-15</v>
      </c>
      <c r="AN6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714</v>
      </c>
      <c r="B68" s="7">
        <v>4021</v>
      </c>
      <c r="C68" s="21" t="s">
        <v>199</v>
      </c>
      <c r="D68" s="21" t="s">
        <v>840</v>
      </c>
      <c r="E68" s="13">
        <v>42931.465752314813</v>
      </c>
      <c r="F68" s="13">
        <v>42931.477256944447</v>
      </c>
      <c r="G68" s="7">
        <v>0</v>
      </c>
      <c r="H68" s="21" t="s">
        <v>469</v>
      </c>
      <c r="I68" s="13">
        <v>42931.50476851852</v>
      </c>
      <c r="J68" s="7">
        <v>0</v>
      </c>
      <c r="K68" s="89" t="str">
        <f t="shared" si="0"/>
        <v>4021/4022</v>
      </c>
      <c r="L68" s="21" t="str">
        <f>VLOOKUP(A68,'Trips&amp;Operators'!$C$1:$G$99999,5,FALSE)</f>
        <v>DAVIDSON DAVID</v>
      </c>
      <c r="M68" s="6">
        <f t="shared" si="1"/>
        <v>2.7511574073287193E-2</v>
      </c>
      <c r="N68" s="7">
        <f t="shared" si="22"/>
        <v>39.616666665533558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-15T10:10:41-0600',mode:absolute,to:'2017-07-15T13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7"/>
        <v>23.2988</v>
      </c>
      <c r="Z68" s="197">
        <f t="shared" si="8"/>
        <v>1.61E-2</v>
      </c>
      <c r="AA68" s="197">
        <f t="shared" si="9"/>
        <v>23.282699999999998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68" s="74" t="str">
        <f t="shared" si="12"/>
        <v>"C:\Program Files (x86)\AstroGrep\AstroGrep.exe" /e /r /s /spath="%USERPROFILE%\AppData\Local\Temp\OnboardLogs" /stypes="app*4021*20170715*"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156-15 --locoid 4021 --swversion DE.1.0.9.0 --startMP 204:232988 --initTime 2017-07-15T11:10:41 --startdatetime 2017-07-15T11:27:15 --delay 0 --endMP 204:161 --enddatetime 2017-07-15T12:06:52 --enforcementcount 0 &gt;&gt;C:\Users\stu\Documents\GitHub\eaglep3-reporting\EC\2017-07-15-refined-times.txt</v>
      </c>
      <c r="AI68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{"issue":{"subject":"","project_id":79,"tracker_id":40,"status_id":1,"priority_id":2,"assigned_to_id":23,"start_date":"2017-07-15","description":"","custom_fields":[{"id":1,"name":"Subdivision","value":"EC"},{"id":4,"name":"Milepost","value":"0.0161"},{"id":17,"name":"Train ID","value":"156-15"},{"id":16,"name":"Locomotive ID","value":"4021"},{"id":130,"name":"Impact","value":""},{"id":150,"name":"Time of Event (Mountain Time)","value":"12:06:52"},{"id":151,"name":"Denver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4021 --day 2017-07-15</v>
      </c>
      <c r="AN68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708</v>
      </c>
      <c r="B69" s="7">
        <v>4024</v>
      </c>
      <c r="C69" s="21" t="s">
        <v>199</v>
      </c>
      <c r="D69" s="21" t="s">
        <v>346</v>
      </c>
      <c r="E69" s="13">
        <v>42931.442893518521</v>
      </c>
      <c r="F69" s="13">
        <v>42931.448518518519</v>
      </c>
      <c r="G69" s="7">
        <v>1</v>
      </c>
      <c r="H69" s="21" t="s">
        <v>432</v>
      </c>
      <c r="I69" s="13">
        <v>42931.47383101852</v>
      </c>
      <c r="J69" s="7">
        <v>0</v>
      </c>
      <c r="K69" s="89" t="str">
        <f t="shared" si="0"/>
        <v>4023/4024</v>
      </c>
      <c r="L69" s="21" t="str">
        <f>VLOOKUP(A69,'Trips&amp;Operators'!$C$1:$G$99999,5,FALSE)</f>
        <v>STEWART MICHAEL</v>
      </c>
      <c r="M69" s="6">
        <f t="shared" si="1"/>
        <v>2.531250000174623E-2</v>
      </c>
      <c r="N69" s="7">
        <f t="shared" si="22"/>
        <v>36.450000002514571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-15T09:37:46-0600',mode:absolute,to:'2017-07-15T12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7"/>
        <v>4.6600000000000003E-2</v>
      </c>
      <c r="Z69" s="197">
        <f t="shared" si="8"/>
        <v>23.328900000000001</v>
      </c>
      <c r="AA69" s="197">
        <f t="shared" si="9"/>
        <v>23.282299999999999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69" s="74" t="str">
        <f t="shared" si="12"/>
        <v>"C:\Program Files (x86)\AstroGrep\AstroGrep.exe" /e /r /s /spath="%USERPROFILE%\AppData\Local\Temp\OnboardLogs" /stypes="app*4024*20170715*"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157-15 --locoid 4024 --swversion DE.1.0.9.0 --startMP 204:466 --initTime 2017-07-15T10:37:46 --startdatetime 2017-07-15T10:45:52 --delay 1 --endMP 204:233289 --enddatetime 2017-07-15T11:22:19 --enforcementcount 0 &gt;&gt;C:\Users\stu\Documents\GitHub\eaglep3-reporting\EC\2017-07-15-refined-times.txt</v>
      </c>
      <c r="AI69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{"issue":{"subject":"","project_id":79,"tracker_id":40,"status_id":1,"priority_id":2,"assigned_to_id":23,"start_date":"2017-07-15","description":"","custom_fields":[{"id":1,"name":"Subdivision","value":"EC"},{"id":4,"name":"Milepost","value":"23.3289"},{"id":17,"name":"Train ID","value":"157-15"},{"id":16,"name":"Locomotive ID","value":"4024"},{"id":130,"name":"Impact","value":""},{"id":150,"name":"Time of Event (Mountain Time)","value":"11:22:19"},{"id":151,"name":"Denver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4024 --day 2017-07-15</v>
      </c>
      <c r="AN69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596</v>
      </c>
      <c r="B70" s="7">
        <v>4023</v>
      </c>
      <c r="C70" s="21" t="s">
        <v>199</v>
      </c>
      <c r="D70" s="21" t="s">
        <v>860</v>
      </c>
      <c r="E70" s="13">
        <v>42931.486087962963</v>
      </c>
      <c r="F70" s="13">
        <v>42931.487766203703</v>
      </c>
      <c r="G70" s="7">
        <v>1</v>
      </c>
      <c r="H70" s="21" t="s">
        <v>861</v>
      </c>
      <c r="I70" s="13">
        <v>42931.516793981478</v>
      </c>
      <c r="J70" s="7">
        <v>0</v>
      </c>
      <c r="K70" s="89" t="str">
        <f t="shared" si="0"/>
        <v>4023/4024</v>
      </c>
      <c r="L70" s="21" t="str">
        <f>VLOOKUP(A70,'Trips&amp;Operators'!$C$1:$G$99999,5,FALSE)</f>
        <v>STEWART MICHAEL</v>
      </c>
      <c r="M70" s="6">
        <f t="shared" si="1"/>
        <v>2.9027777774899732E-2</v>
      </c>
      <c r="N70" s="7">
        <f t="shared" si="22"/>
        <v>41.799999995855615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-15T10:39:58-0600',mode:absolute,to:'2017-07-15T13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7"/>
        <v>23.297599999999999</v>
      </c>
      <c r="Z70" s="197">
        <f t="shared" si="8"/>
        <v>1.6899999999999998E-2</v>
      </c>
      <c r="AA70" s="197">
        <f t="shared" si="9"/>
        <v>23.2807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70" s="74" t="str">
        <f t="shared" si="12"/>
        <v>"C:\Program Files (x86)\AstroGrep\AstroGrep.exe" /e /r /s /spath="%USERPROFILE%\AppData\Local\Temp\OnboardLogs" /stypes="app*4023*20170715*"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158-15 --locoid 4023 --swversion DE.1.0.9.0 --startMP 204:232976 --initTime 2017-07-15T11:39:58 --startdatetime 2017-07-15T11:42:23 --delay 1 --endMP 204:169 --enddatetime 2017-07-15T12:24:11 --enforcementcount 0 &gt;&gt;C:\Users\stu\Documents\GitHub\eaglep3-reporting\EC\2017-07-15-refined-times.txt</v>
      </c>
      <c r="AI70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{"issue":{"subject":"","project_id":79,"tracker_id":40,"status_id":1,"priority_id":2,"assigned_to_id":23,"start_date":"2017-07-15","description":"","custom_fields":[{"id":1,"name":"Subdivision","value":"EC"},{"id":4,"name":"Milepost","value":"0.0169"},{"id":17,"name":"Train ID","value":"158-15"},{"id":16,"name":"Locomotive ID","value":"4023"},{"id":130,"name":"Impact","value":""},{"id":150,"name":"Time of Event (Mountain Time)","value":"12:24:11"},{"id":151,"name":"Denver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4023 --day 2017-07-15</v>
      </c>
      <c r="AN70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711</v>
      </c>
      <c r="B71" s="7">
        <v>4014</v>
      </c>
      <c r="C71" s="21" t="s">
        <v>199</v>
      </c>
      <c r="D71" s="21" t="s">
        <v>425</v>
      </c>
      <c r="E71" s="13">
        <v>42931.454409722224</v>
      </c>
      <c r="F71" s="13">
        <v>42931.45884259259</v>
      </c>
      <c r="G71" s="7">
        <v>1</v>
      </c>
      <c r="H71" s="21" t="s">
        <v>433</v>
      </c>
      <c r="I71" s="13">
        <v>42931.484432870369</v>
      </c>
      <c r="J71" s="7">
        <v>0</v>
      </c>
      <c r="K71" s="89" t="str">
        <f t="shared" si="0"/>
        <v>4013/4014</v>
      </c>
      <c r="L71" s="21" t="str">
        <f>VLOOKUP(A71,'Trips&amp;Operators'!$C$1:$G$99999,5,FALSE)</f>
        <v>GUZMAN DANNY</v>
      </c>
      <c r="M71" s="6">
        <f t="shared" si="1"/>
        <v>2.5590277778974269E-2</v>
      </c>
      <c r="N71" s="7">
        <f t="shared" si="22"/>
        <v>36.850000001722947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-15T09:54:21-0600',mode:absolute,to:'2017-07-15T12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7"/>
        <v>4.7100000000000003E-2</v>
      </c>
      <c r="Z71" s="197">
        <f t="shared" si="8"/>
        <v>23.330100000000002</v>
      </c>
      <c r="AA71" s="197">
        <f t="shared" si="9"/>
        <v>23.283000000000001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71" s="74" t="str">
        <f t="shared" si="12"/>
        <v>"C:\Program Files (x86)\AstroGrep\AstroGrep.exe" /e /r /s /spath="%USERPROFILE%\AppData\Local\Temp\OnboardLogs" /stypes="app*4014*20170715*"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159-15 --locoid 4014 --swversion DE.1.0.9.0 --startMP 204:471 --initTime 2017-07-15T10:54:21 --startdatetime 2017-07-15T11:00:44 --delay 1 --endMP 204:233301 --enddatetime 2017-07-15T11:37:35 --enforcementcount 0 &gt;&gt;C:\Users\stu\Documents\GitHub\eaglep3-reporting\EC\2017-07-15-refined-times.txt</v>
      </c>
      <c r="AI71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{"issue":{"subject":"","project_id":79,"tracker_id":40,"status_id":1,"priority_id":2,"assigned_to_id":23,"start_date":"2017-07-15","description":"","custom_fields":[{"id":1,"name":"Subdivision","value":"EC"},{"id":4,"name":"Milepost","value":"23.3301"},{"id":17,"name":"Train ID","value":"159-15"},{"id":16,"name":"Locomotive ID","value":"4014"},{"id":130,"name":"Impact","value":""},{"id":150,"name":"Time of Event (Mountain Time)","value":"11:37:35"},{"id":151,"name":"Denver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4014 --day 2017-07-15</v>
      </c>
      <c r="AN71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597</v>
      </c>
      <c r="B72" s="7">
        <v>4013</v>
      </c>
      <c r="C72" s="21" t="s">
        <v>199</v>
      </c>
      <c r="D72" s="21" t="s">
        <v>426</v>
      </c>
      <c r="E72" s="13">
        <v>42931.486805555556</v>
      </c>
      <c r="F72" s="13">
        <v>42931.498090277775</v>
      </c>
      <c r="G72" s="7">
        <v>1</v>
      </c>
      <c r="H72" s="21" t="s">
        <v>381</v>
      </c>
      <c r="I72" s="13">
        <v>42931.525891203702</v>
      </c>
      <c r="J72" s="7">
        <v>0</v>
      </c>
      <c r="K72" s="89" t="str">
        <f t="shared" si="0"/>
        <v>4013/4014</v>
      </c>
      <c r="L72" s="21" t="str">
        <f>VLOOKUP(A72,'Trips&amp;Operators'!$C$1:$G$99999,5,FALSE)</f>
        <v>GUZMAN DANNY</v>
      </c>
      <c r="M72" s="6">
        <f t="shared" si="1"/>
        <v>2.7800925927294884E-2</v>
      </c>
      <c r="N72" s="7">
        <f t="shared" si="22"/>
        <v>40.033333335304633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-15T10:41:00-0600',mode:absolute,to:'2017-07-15T13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7"/>
        <v>23.296900000000001</v>
      </c>
      <c r="Z72" s="197">
        <f t="shared" si="8"/>
        <v>1.54E-2</v>
      </c>
      <c r="AA72" s="197">
        <f t="shared" si="9"/>
        <v>23.281500000000001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72" s="74" t="str">
        <f t="shared" si="12"/>
        <v>"C:\Program Files (x86)\AstroGrep\AstroGrep.exe" /e /r /s /spath="%USERPROFILE%\AppData\Local\Temp\OnboardLogs" /stypes="app*4013*20170715*"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160-15 --locoid 4013 --swversion DE.1.0.9.0 --startMP 204:232969 --initTime 2017-07-15T11:41:00 --startdatetime 2017-07-15T11:57:15 --delay 1 --endMP 204:154 --enddatetime 2017-07-15T12:37:17 --enforcementcount 0 &gt;&gt;C:\Users\stu\Documents\GitHub\eaglep3-reporting\EC\2017-07-15-refined-times.txt</v>
      </c>
      <c r="AI72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ID","value":"160-15"},{"id":16,"name":"Locomotive ID","value":"4013"},{"id":130,"name":"Impact","value":""},{"id":150,"name":"Time of Event (Mountain Time)","value":"12:37:17"},{"id":151,"name":"Denver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4013 --day 2017-07-15</v>
      </c>
      <c r="AN72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715</v>
      </c>
      <c r="B73" s="7">
        <v>4032</v>
      </c>
      <c r="C73" s="21" t="s">
        <v>199</v>
      </c>
      <c r="D73" s="21" t="s">
        <v>349</v>
      </c>
      <c r="E73" s="13">
        <v>42931.465914351851</v>
      </c>
      <c r="F73" s="13">
        <v>42931.469050925924</v>
      </c>
      <c r="G73" s="7">
        <v>1</v>
      </c>
      <c r="H73" s="21" t="s">
        <v>560</v>
      </c>
      <c r="I73" s="13">
        <v>42931.496087962965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2.7037037041736767E-2</v>
      </c>
      <c r="N73" s="7">
        <f t="shared" si="22"/>
        <v>38.933333340100944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-15T10:10:55-0600',mode:absolute,to:'2017-07-15T12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7"/>
        <v>4.53E-2</v>
      </c>
      <c r="Z73" s="197">
        <f t="shared" si="8"/>
        <v>23.331</v>
      </c>
      <c r="AA73" s="197">
        <f t="shared" si="9"/>
        <v>23.285699999999999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73" s="74" t="str">
        <f t="shared" si="12"/>
        <v>"C:\Program Files (x86)\AstroGrep\AstroGrep.exe" /e /r /s /spath="%USERPROFILE%\AppData\Local\Temp\OnboardLogs" /stypes="app*4032*20170715*"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161-15 --locoid 4032 --swversion DE.1.0.9.0 --startMP 204:453 --initTime 2017-07-15T11:10:55 --startdatetime 2017-07-15T11:15:26 --delay 1 --endMP 204:233310 --enddatetime 2017-07-15T11:54:22 --enforcementcount 0 &gt;&gt;C:\Users\stu\Documents\GitHub\eaglep3-reporting\EC\2017-07-15-refined-times.txt</v>
      </c>
      <c r="AI73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{"issue":{"subject":"","project_id":79,"tracker_id":40,"status_id":1,"priority_id":2,"assigned_to_id":23,"start_date":"2017-07-15","description":"","custom_fields":[{"id":1,"name":"Subdivision","value":"EC"},{"id":4,"name":"Milepost","value":"23.331"},{"id":17,"name":"Train ID","value":"161-15"},{"id":16,"name":"Locomotive ID","value":"4032"},{"id":130,"name":"Impact","value":""},{"id":150,"name":"Time of Event (Mountain Time)","value":"11:54:22"},{"id":151,"name":"Denver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4032 --day 2017-07-15</v>
      </c>
      <c r="AN73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725</v>
      </c>
      <c r="B74" s="7">
        <v>4031</v>
      </c>
      <c r="C74" s="21" t="s">
        <v>199</v>
      </c>
      <c r="D74" s="21" t="s">
        <v>396</v>
      </c>
      <c r="E74" s="13">
        <v>42931.506516203706</v>
      </c>
      <c r="F74" s="13">
        <v>42931.508969907409</v>
      </c>
      <c r="G74" s="7">
        <v>2</v>
      </c>
      <c r="H74" s="21" t="s">
        <v>841</v>
      </c>
      <c r="I74" s="13">
        <v>42931.537951388891</v>
      </c>
      <c r="J74" s="7">
        <v>0</v>
      </c>
      <c r="K74" s="89" t="str">
        <f t="shared" si="0"/>
        <v>4031/4032</v>
      </c>
      <c r="L74" s="21" t="str">
        <f>VLOOKUP(A74,'Trips&amp;Operators'!$C$1:$G$99999,5,FALSE)</f>
        <v>DAVIS MICHAEL</v>
      </c>
      <c r="M74" s="6">
        <f t="shared" si="1"/>
        <v>2.8981481482333038E-2</v>
      </c>
      <c r="N74" s="7">
        <f t="shared" si="22"/>
        <v>41.733333334559575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-15T11:09:23-0600',mode:absolute,to:'2017-07-15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7"/>
        <v>23.299600000000002</v>
      </c>
      <c r="Z74" s="197">
        <f t="shared" si="8"/>
        <v>1.34E-2</v>
      </c>
      <c r="AA74" s="197">
        <f t="shared" si="9"/>
        <v>23.286200000000001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74" s="74" t="str">
        <f t="shared" si="12"/>
        <v>"C:\Program Files (x86)\AstroGrep\AstroGrep.exe" /e /r /s /spath="%USERPROFILE%\AppData\Local\Temp\OnboardLogs" /stypes="app*4031*20170715*"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162-15 --locoid 4031 --swversion DE.1.0.9.0 --startMP 204:232996 --initTime 2017-07-15T12:09:23 --startdatetime 2017-07-15T12:12:55 --delay 2 --endMP 204:134 --enddatetime 2017-07-15T12:54:39 --enforcementcount 0 &gt;&gt;C:\Users\stu\Documents\GitHub\eaglep3-reporting\EC\2017-07-15-refined-times.txt</v>
      </c>
      <c r="AI74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{"issue":{"subject":"","project_id":79,"tracker_id":40,"status_id":1,"priority_id":2,"assigned_to_id":23,"start_date":"2017-07-15","description":"","custom_fields":[{"id":1,"name":"Subdivision","value":"EC"},{"id":4,"name":"Milepost","value":"0.0134"},{"id":17,"name":"Train ID","value":"162-15"},{"id":16,"name":"Locomotive ID","value":"4031"},{"id":130,"name":"Impact","value":""},{"id":150,"name":"Time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4031 --day 2017-07-15</v>
      </c>
      <c r="AN74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716</v>
      </c>
      <c r="B75" s="7">
        <v>4054</v>
      </c>
      <c r="C75" s="21" t="s">
        <v>199</v>
      </c>
      <c r="D75" s="21" t="s">
        <v>342</v>
      </c>
      <c r="E75" s="13">
        <v>42931.475462962961</v>
      </c>
      <c r="F75" s="13">
        <v>42931.479826388888</v>
      </c>
      <c r="G75" s="7">
        <v>1</v>
      </c>
      <c r="H75" s="21" t="s">
        <v>559</v>
      </c>
      <c r="I75" s="13">
        <v>42931.505381944444</v>
      </c>
      <c r="J75" s="7">
        <v>0</v>
      </c>
      <c r="K75" s="89" t="str">
        <f t="shared" si="0"/>
        <v>4053/4054</v>
      </c>
      <c r="L75" s="21" t="str">
        <f>VLOOKUP(A75,'Trips&amp;Operators'!$C$1:$G$99999,5,FALSE)</f>
        <v>THOMPSON LESTER</v>
      </c>
      <c r="M75" s="6">
        <f t="shared" si="1"/>
        <v>2.5555555555911269E-2</v>
      </c>
      <c r="N75" s="7">
        <f t="shared" si="22"/>
        <v>36.800000000512227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-15T10:24:40-0600',mode:absolute,to:'2017-07-15T13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7"/>
        <v>4.4600000000000001E-2</v>
      </c>
      <c r="Z75" s="197">
        <f t="shared" si="8"/>
        <v>23.3291</v>
      </c>
      <c r="AA75" s="197">
        <f t="shared" si="9"/>
        <v>23.284500000000001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75" s="74" t="str">
        <f t="shared" si="12"/>
        <v>"C:\Program Files (x86)\AstroGrep\AstroGrep.exe" /e /r /s /spath="%USERPROFILE%\AppData\Local\Temp\OnboardLogs" /stypes="app*4054*20170715*"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163-15 --locoid 4054 --swversion DE.1.0.9.0 --startMP 204:446 --initTime 2017-07-15T11:24:40 --startdatetime 2017-07-15T11:30:57 --delay 1 --endMP 204:233291 --enddatetime 2017-07-15T12:07:45 --enforcementcount 0 &gt;&gt;C:\Users\stu\Documents\GitHub\eaglep3-reporting\EC\2017-07-15-refined-times.txt</v>
      </c>
      <c r="AI75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{"issue":{"subject":"","project_id":79,"tracker_id":40,"status_id":1,"priority_id":2,"assigned_to_id":23,"start_date":"2017-07-15","description":"","custom_fields":[{"id":1,"name":"Subdivision","value":"EC"},{"id":4,"name":"Milepost","value":"23.3291"},{"id":17,"name":"Train ID","value":"163-15"},{"id":16,"name":"Locomotive ID","value":"4054"},{"id":130,"name":"Impact","value":""},{"id":150,"name":"Time of Event (Mountain Time)","value":"12:07:45"},{"id":151,"name":"Denver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4054 --day 2017-07-15</v>
      </c>
      <c r="AN75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727</v>
      </c>
      <c r="B76" s="7">
        <v>4053</v>
      </c>
      <c r="C76" s="21" t="s">
        <v>199</v>
      </c>
      <c r="D76" s="21" t="s">
        <v>862</v>
      </c>
      <c r="E76" s="13">
        <v>42931.516562500001</v>
      </c>
      <c r="F76" s="13">
        <v>42931.519074074073</v>
      </c>
      <c r="G76" s="7">
        <v>1</v>
      </c>
      <c r="H76" s="21" t="s">
        <v>485</v>
      </c>
      <c r="I76" s="13">
        <v>42931.5471875</v>
      </c>
      <c r="J76" s="7">
        <v>0</v>
      </c>
      <c r="K76" s="89" t="str">
        <f t="shared" si="0"/>
        <v>4053/4054</v>
      </c>
      <c r="L76" s="21" t="str">
        <f>VLOOKUP(A76,'Trips&amp;Operators'!$C$1:$G$99999,5,FALSE)</f>
        <v>THOMPSON LESTER</v>
      </c>
      <c r="M76" s="6">
        <f t="shared" si="1"/>
        <v>2.8113425927585922E-2</v>
      </c>
      <c r="N76" s="7">
        <f t="shared" si="22"/>
        <v>40.483333335723728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-15T11:23:51-0600',mode:absolute,to:'2017-07-15T14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7"/>
        <v>23.297999999999998</v>
      </c>
      <c r="Z76" s="197">
        <f t="shared" si="8"/>
        <v>1.5800000000000002E-2</v>
      </c>
      <c r="AA76" s="197">
        <f t="shared" si="9"/>
        <v>23.2822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76" s="74" t="str">
        <f t="shared" si="12"/>
        <v>"C:\Program Files (x86)\AstroGrep\AstroGrep.exe" /e /r /s /spath="%USERPROFILE%\AppData\Local\Temp\OnboardLogs" /stypes="app*4053*20170715*"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164-15 --locoid 4053 --swversion DE.1.0.9.0 --startMP 204:232980 --initTime 2017-07-15T12:23:51 --startdatetime 2017-07-15T12:27:28 --delay 1 --endMP 204:158 --enddatetime 2017-07-15T13:07:57 --enforcementcount 0 &gt;&gt;C:\Users\stu\Documents\GitHub\eaglep3-reporting\EC\2017-07-15-refined-times.txt</v>
      </c>
      <c r="AI76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{"issue":{"subject":"","project_id":79,"tracker_id":40,"status_id":1,"priority_id":2,"assigned_to_id":23,"start_date":"2017-07-15","description":"","custom_fields":[{"id":1,"name":"Subdivision","value":"EC"},{"id":4,"name":"Milepost","value":"0.0158"},{"id":17,"name":"Train ID","value":"164-15"},{"id":16,"name":"Locomotive ID","value":"4053"},{"id":130,"name":"Impact","value":""},{"id":150,"name":"Time of Event (Mountain Time)","value":"13:07:57"},{"id":151,"name":"Denver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4053 --day 2017-07-15</v>
      </c>
      <c r="AN76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720</v>
      </c>
      <c r="B77" s="7">
        <v>4056</v>
      </c>
      <c r="C77" s="21" t="s">
        <v>199</v>
      </c>
      <c r="D77" s="21" t="s">
        <v>863</v>
      </c>
      <c r="E77" s="13">
        <v>42931.486377314817</v>
      </c>
      <c r="F77" s="13">
        <v>42931.490127314813</v>
      </c>
      <c r="G77" s="7">
        <v>2</v>
      </c>
      <c r="H77" s="21" t="s">
        <v>560</v>
      </c>
      <c r="I77" s="13">
        <v>42931.515104166669</v>
      </c>
      <c r="J77" s="7">
        <v>0</v>
      </c>
      <c r="K77" s="89" t="str">
        <f t="shared" ref="K77:K140" si="25">IF(ISEVEN(B77),(B77-1)&amp;"/"&amp;B77,B77&amp;"/"&amp;(B77+1))</f>
        <v>4055/4056</v>
      </c>
      <c r="L77" s="21" t="str">
        <f>VLOOKUP(A77,'Trips&amp;Operators'!$C$1:$G$99999,5,FALSE)</f>
        <v>BRUDER RICHARD</v>
      </c>
      <c r="M77" s="6">
        <f t="shared" ref="M77:M140" si="26">I77-F77</f>
        <v>2.4976851855171844E-2</v>
      </c>
      <c r="N77" s="7">
        <f t="shared" ref="N77:N107" si="27">24*60*SUM($M77:$M77)</f>
        <v>35.966666671447456</v>
      </c>
      <c r="O77" s="7"/>
      <c r="P77" s="7"/>
      <c r="Q77" s="22"/>
      <c r="R77" s="170"/>
      <c r="S77" s="213">
        <f t="shared" ref="S77:S107" si="28">1/IF(AG77="EC",12,1)*SUM(U77:U77)</f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-15T10:40:23-0600',mode:absolute,to:'2017-07-15T13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7" s="197" t="str">
        <f>IF(AA77&lt;VLOOKUP(AG77,Variables!$AC$3:$AD$8,2,FALSE),"Y","N")</f>
        <v>N</v>
      </c>
      <c r="X77" s="197">
        <f t="shared" ref="X77:X108" si="31">VALUE(LEFT(AD77,4))-VALUE(LEFT(AD76,4))</f>
        <v>1</v>
      </c>
      <c r="Y77" s="197">
        <f t="shared" ref="Y77:Y140" si="32">RIGHT(D77,LEN(D77)-4)/10000</f>
        <v>4.7699999999999999E-2</v>
      </c>
      <c r="Z77" s="197">
        <f t="shared" ref="Z77:Z140" si="33">RIGHT(H77,LEN(H77)-4)/10000</f>
        <v>23.331</v>
      </c>
      <c r="AA77" s="197">
        <f t="shared" ref="AA77:AA140" si="34">ABS(Z77-Y77)</f>
        <v>23.283300000000001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165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/stypes="app*4056*20170715*"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165-15 --locoid 4056 --swversion DE.1.0.9.0 --startMP 204:477 --initTime 2017-07-15T11:40:23 --startdatetime 2017-07-15T11:45:47 --delay 2 --endMP 204:233310 --enddatetime 2017-07-15T12:21:45 --enforcementcount 0 &gt;&gt;C:\Users\stu\Documents\GitHub\eaglep3-reporting\EC\2017-07-15-refined-times.txt</v>
      </c>
      <c r="AI77" s="96" t="str">
        <f t="shared" si="19"/>
        <v>echo {"issue":{"subject":"","project_id":79,"tracker_id":40,"status_id":1,"priority_id":2,"assigned_to_id":23,"start_date":"2017-07-15","description":"","custom_fields":[{"id":1,"name":"Subdivision","value":"EC"},{"id":4,"name":"Milepost","value":"23.331"},{"id":17,"name":"Train ID","value":"165-15"},{"id":16,"name":"Locomotive ID","value":"4056"},{"id":130,"name":"Impact","value":""},{"id":150,"name":"Time of Event (Mountain Time)","value":"12:21:45"},{"id":151,"name":"Denver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4056 --day 2017-07-15</v>
      </c>
      <c r="AN77" s="151" t="str">
        <f t="shared" si="21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730</v>
      </c>
      <c r="B78" s="7">
        <v>4055</v>
      </c>
      <c r="C78" s="21" t="s">
        <v>199</v>
      </c>
      <c r="D78" s="21" t="s">
        <v>864</v>
      </c>
      <c r="E78" s="13">
        <v>42931.525729166664</v>
      </c>
      <c r="F78" s="13">
        <v>42931.529351851852</v>
      </c>
      <c r="G78" s="7">
        <v>1</v>
      </c>
      <c r="H78" s="21" t="s">
        <v>345</v>
      </c>
      <c r="I78" s="13">
        <v>42931.556990740741</v>
      </c>
      <c r="J78" s="7">
        <v>0</v>
      </c>
      <c r="K78" s="89" t="str">
        <f t="shared" si="25"/>
        <v>4055/4056</v>
      </c>
      <c r="L78" s="21" t="str">
        <f>VLOOKUP(A78,'Trips&amp;Operators'!$C$1:$G$99999,5,FALSE)</f>
        <v>BRUDER RICHARD</v>
      </c>
      <c r="M78" s="6">
        <f t="shared" si="26"/>
        <v>2.7638888888759539E-2</v>
      </c>
      <c r="N78" s="7">
        <f t="shared" si="27"/>
        <v>39.799999999813735</v>
      </c>
      <c r="O78" s="7"/>
      <c r="P78" s="7"/>
      <c r="Q78" s="22"/>
      <c r="R78" s="170"/>
      <c r="S78" s="213">
        <f t="shared" si="28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-15T11:37:03-0600',mode:absolute,to:'2017-07-15T14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23.2972</v>
      </c>
      <c r="Z78" s="197">
        <f t="shared" si="33"/>
        <v>1.43E-2</v>
      </c>
      <c r="AA78" s="197">
        <f t="shared" si="34"/>
        <v>23.282900000000001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166</v>
      </c>
      <c r="AE78" s="77" t="str">
        <f t="shared" si="36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78" s="74" t="str">
        <f t="shared" si="37"/>
        <v>"C:\Program Files (x86)\AstroGrep\AstroGrep.exe" /e /r /s /spath="%USERPROFILE%\AppData\Local\Temp\OnboardLogs" /stypes="app*4055*20170715*"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39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166-15 --locoid 4055 --swversion DE.1.0.9.0 --startMP 204:232972 --initTime 2017-07-15T12:37:03 --startdatetime 2017-07-15T12:42:16 --delay 1 --endMP 204:143 --enddatetime 2017-07-15T13:22:04 --enforcementcount 0 &gt;&gt;C:\Users\stu\Documents\GitHub\eaglep3-reporting\EC\2017-07-15-refined-times.txt</v>
      </c>
      <c r="AI78" s="96" t="str">
        <f t="shared" ref="AI78:AI139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{"issue":{"subject":"","project_id":79,"tracker_id":40,"status_id":1,"priority_id":2,"assigned_to_id":23,"start_date":"2017-07-15","description":"","custom_fields":[{"id":1,"name":"Subdivision","value":"EC"},{"id":4,"name":"Milepost","value":"0.0143"},{"id":17,"name":"Train ID","value":"166-15"},{"id":16,"name":"Locomotive ID","value":"4055"},{"id":130,"name":"Impact","value":""},{"id":150,"name":"Time of Event (Mountain Time)","value":"13:22:04"},{"id":151,"name":"Denver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39" si="41">"start /low /b "&amp;dls3logs&amp;" --loco "&amp;B78&amp;" --day "&amp;TEXT(F78,"YYYY-MM-DD")</f>
        <v>start /low /b %USERPROFILE%\Documents\GitHub\eaglep3\Utilities\DownloadLogsFromS3.py --loco 4055 --day 2017-07-15</v>
      </c>
      <c r="AN78" s="151" t="str">
        <f t="shared" ref="AN78:AN139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723</v>
      </c>
      <c r="B79" s="7">
        <v>4016</v>
      </c>
      <c r="C79" s="21" t="s">
        <v>199</v>
      </c>
      <c r="D79" s="21" t="s">
        <v>848</v>
      </c>
      <c r="E79" s="13">
        <v>42931.495254629626</v>
      </c>
      <c r="F79" s="13">
        <v>42931.500509259262</v>
      </c>
      <c r="G79" s="7">
        <v>1</v>
      </c>
      <c r="H79" s="21" t="s">
        <v>865</v>
      </c>
      <c r="I79" s="13">
        <v>42931.525937500002</v>
      </c>
      <c r="J79" s="7">
        <v>0</v>
      </c>
      <c r="K79" s="89" t="str">
        <f t="shared" si="25"/>
        <v>4015/4016</v>
      </c>
      <c r="L79" s="21" t="str">
        <f>VLOOKUP(A79,'Trips&amp;Operators'!$C$1:$G$99999,5,FALSE)</f>
        <v>SULLIVAN BRANDON</v>
      </c>
      <c r="M79" s="6">
        <f t="shared" si="26"/>
        <v>2.5428240740438923E-2</v>
      </c>
      <c r="N79" s="7">
        <f t="shared" si="27"/>
        <v>36.616666666232049</v>
      </c>
      <c r="O79" s="7"/>
      <c r="P79" s="7"/>
      <c r="Q79" s="22"/>
      <c r="R79" s="170"/>
      <c r="S79" s="213">
        <f t="shared" si="28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-15T10:53:10-0600',mode:absolute,to:'2017-07-15T13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4.4900000000000002E-2</v>
      </c>
      <c r="Z79" s="197">
        <f t="shared" si="33"/>
        <v>23.332999999999998</v>
      </c>
      <c r="AA79" s="197">
        <f t="shared" si="34"/>
        <v>23.2881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167</v>
      </c>
      <c r="AE79" s="77" t="str">
        <f t="shared" si="36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79" s="74" t="str">
        <f t="shared" si="37"/>
        <v>"C:\Program Files (x86)\AstroGrep\AstroGrep.exe" /e /r /s /spath="%USERPROFILE%\AppData\Local\Temp\OnboardLogs" /stypes="app*4016*20170715*"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167-15 --locoid 4016 --swversion DE.1.0.9.0 --startMP 204:449 --initTime 2017-07-15T11:53:10 --startdatetime 2017-07-15T12:00:44 --delay 1 --endMP 204:233330 --enddatetime 2017-07-15T12:37:21 --enforcementcount 0 &gt;&gt;C:\Users\stu\Documents\GitHub\eaglep3-reporting\EC\2017-07-15-refined-times.txt</v>
      </c>
      <c r="AI7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{"issue":{"subject":"","project_id":79,"tracker_id":40,"status_id":1,"priority_id":2,"assigned_to_id":23,"start_date":"2017-07-15","description":"","custom_fields":[{"id":1,"name":"Subdivision","value":"EC"},{"id":4,"name":"Milepost","value":"23.333"},{"id":17,"name":"Train ID","value":"167-15"},{"id":16,"name":"Locomotive ID","value":"4016"},{"id":130,"name":"Impact","value":""},{"id":150,"name":"Time of Event (Mountain Time)","value":"12:37:21"},{"id":151,"name":"Denver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4016 --day 2017-07-15</v>
      </c>
      <c r="AN79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734</v>
      </c>
      <c r="B80" s="7">
        <v>4015</v>
      </c>
      <c r="C80" s="21" t="s">
        <v>199</v>
      </c>
      <c r="D80" s="21" t="s">
        <v>866</v>
      </c>
      <c r="E80" s="13">
        <v>42931.535069444442</v>
      </c>
      <c r="F80" s="13">
        <v>42931.539756944447</v>
      </c>
      <c r="G80" s="7">
        <v>1</v>
      </c>
      <c r="H80" s="21" t="s">
        <v>343</v>
      </c>
      <c r="I80" s="13">
        <v>42931.567187499997</v>
      </c>
      <c r="J80" s="7">
        <v>0</v>
      </c>
      <c r="K80" s="89" t="str">
        <f t="shared" si="25"/>
        <v>4015/4016</v>
      </c>
      <c r="L80" s="21" t="str">
        <f>VLOOKUP(A80,'Trips&amp;Operators'!$C$1:$G$99999,5,FALSE)</f>
        <v>SULLIVAN BRANDON</v>
      </c>
      <c r="M80" s="6">
        <f t="shared" si="26"/>
        <v>2.7430555550381541E-2</v>
      </c>
      <c r="N80" s="7">
        <f t="shared" si="27"/>
        <v>39.499999992549419</v>
      </c>
      <c r="O80" s="7"/>
      <c r="P80" s="7"/>
      <c r="Q80" s="22"/>
      <c r="R80" s="170"/>
      <c r="S80" s="213">
        <f t="shared" si="28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-15T11:50:30-0600',mode:absolute,to:'2017-07-15T14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23.302600000000002</v>
      </c>
      <c r="Z80" s="197">
        <f t="shared" si="33"/>
        <v>1.4999999999999999E-2</v>
      </c>
      <c r="AA80" s="197">
        <f t="shared" si="34"/>
        <v>23.287600000000001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168</v>
      </c>
      <c r="AE80" s="77" t="str">
        <f t="shared" si="36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80" s="74" t="str">
        <f t="shared" si="37"/>
        <v>"C:\Program Files (x86)\AstroGrep\AstroGrep.exe" /e /r /s /spath="%USERPROFILE%\AppData\Local\Temp\OnboardLogs" /stypes="app*4015*20170715*"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168-15 --locoid 4015 --swversion DE.1.0.9.0 --startMP 204:233026 --initTime 2017-07-15T12:50:30 --startdatetime 2017-07-15T12:57:15 --delay 1 --endMP 204:150 --enddatetime 2017-07-15T13:36:45 --enforcementcount 0 &gt;&gt;C:\Users\stu\Documents\GitHub\eaglep3-reporting\EC\2017-07-15-refined-times.txt</v>
      </c>
      <c r="AI80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{"issue":{"subject":"","project_id":79,"tracker_id":40,"status_id":1,"priority_id":2,"assigned_to_id":23,"start_date":"2017-07-15","description":"","custom_fields":[{"id":1,"name":"Subdivision","value":"EC"},{"id":4,"name":"Milepost","value":"0.015"},{"id":17,"name":"Train ID","value":"168-15"},{"id":16,"name":"Locomotive ID","value":"4015"},{"id":130,"name":"Impact","value":""},{"id":150,"name":"Time of Event (Mountain Time)","value":"13:36:45"},{"id":151,"name":"Denver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4015 --day 2017-07-15</v>
      </c>
      <c r="AN80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724</v>
      </c>
      <c r="B81" s="7">
        <v>4022</v>
      </c>
      <c r="C81" s="21" t="s">
        <v>199</v>
      </c>
      <c r="D81" s="21" t="s">
        <v>507</v>
      </c>
      <c r="E81" s="13">
        <v>42931.506122685183</v>
      </c>
      <c r="F81" s="13">
        <v>42931.51090277778</v>
      </c>
      <c r="G81" s="7">
        <v>2</v>
      </c>
      <c r="H81" s="21" t="s">
        <v>867</v>
      </c>
      <c r="I81" s="13">
        <v>42931.537187499998</v>
      </c>
      <c r="J81" s="7">
        <v>0</v>
      </c>
      <c r="K81" s="89" t="str">
        <f t="shared" si="25"/>
        <v>4021/4022</v>
      </c>
      <c r="L81" s="21" t="str">
        <f>VLOOKUP(A81,'Trips&amp;Operators'!$C$1:$G$99999,5,FALSE)</f>
        <v>DELGADO DIANAH</v>
      </c>
      <c r="M81" s="6">
        <f t="shared" si="26"/>
        <v>2.6284722218406387E-2</v>
      </c>
      <c r="N81" s="7">
        <f t="shared" si="27"/>
        <v>37.849999994505197</v>
      </c>
      <c r="O81" s="7"/>
      <c r="P81" s="7"/>
      <c r="Q81" s="22"/>
      <c r="R81" s="170"/>
      <c r="S81" s="213">
        <f t="shared" si="28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-15T11:08:49-0600',mode:absolute,to:'2017-07-15T13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4.6699999999999998E-2</v>
      </c>
      <c r="Z81" s="197">
        <f t="shared" si="33"/>
        <v>23.338100000000001</v>
      </c>
      <c r="AA81" s="197">
        <f t="shared" si="34"/>
        <v>23.291399999999999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169</v>
      </c>
      <c r="AE81" s="77" t="str">
        <f t="shared" si="36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81" s="74" t="str">
        <f t="shared" si="37"/>
        <v>"C:\Program Files (x86)\AstroGrep\AstroGrep.exe" /e /r /s /spath="%USERPROFILE%\AppData\Local\Temp\OnboardLogs" /stypes="app*4022*20170715*"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169-15 --locoid 4022 --swversion DE.1.0.9.0 --startMP 204:467 --initTime 2017-07-15T12:08:49 --startdatetime 2017-07-15T12:15:42 --delay 2 --endMP 204:233381 --enddatetime 2017-07-15T12:53:33 --enforcementcount 0 &gt;&gt;C:\Users\stu\Documents\GitHub\eaglep3-reporting\EC\2017-07-15-refined-times.txt</v>
      </c>
      <c r="AI81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{"issue":{"subject":"","project_id":79,"tracker_id":40,"status_id":1,"priority_id":2,"assigned_to_id":23,"start_date":"2017-07-15","description":"","custom_fields":[{"id":1,"name":"Subdivision","value":"EC"},{"id":4,"name":"Milepost","value":"23.3381"},{"id":17,"name":"Train ID","value":"169-15"},{"id":16,"name":"Locomotive ID","value":"4022"},{"id":130,"name":"Impact","value":""},{"id":150,"name":"Time of Event (Mountain Time)","value":"12:53:33"},{"id":151,"name":"Denver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4022 --day 2017-07-15</v>
      </c>
      <c r="AN81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736</v>
      </c>
      <c r="B82" s="7">
        <v>4021</v>
      </c>
      <c r="C82" s="21" t="s">
        <v>199</v>
      </c>
      <c r="D82" s="21" t="s">
        <v>868</v>
      </c>
      <c r="E82" s="13">
        <v>42931.547083333331</v>
      </c>
      <c r="F82" s="13">
        <v>42931.550162037034</v>
      </c>
      <c r="G82" s="7">
        <v>1</v>
      </c>
      <c r="H82" s="21" t="s">
        <v>841</v>
      </c>
      <c r="I82" s="13">
        <v>42931.577407407407</v>
      </c>
      <c r="J82" s="7">
        <v>0</v>
      </c>
      <c r="K82" s="89" t="str">
        <f t="shared" si="25"/>
        <v>4021/4022</v>
      </c>
      <c r="L82" s="21" t="str">
        <f>VLOOKUP(A82,'Trips&amp;Operators'!$C$1:$G$99999,5,FALSE)</f>
        <v>DELGADO DIANAH</v>
      </c>
      <c r="M82" s="6">
        <f t="shared" si="26"/>
        <v>2.7245370372838806E-2</v>
      </c>
      <c r="N82" s="7">
        <f t="shared" si="27"/>
        <v>39.233333336887881</v>
      </c>
      <c r="O82" s="7"/>
      <c r="P82" s="7"/>
      <c r="Q82" s="22"/>
      <c r="R82" s="170"/>
      <c r="S82" s="213">
        <f t="shared" si="28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-15T12:07:48-0600',mode:absolute,to:'2017-07-15T14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23.308499999999999</v>
      </c>
      <c r="Z82" s="197">
        <f t="shared" si="33"/>
        <v>1.34E-2</v>
      </c>
      <c r="AA82" s="197">
        <f t="shared" si="34"/>
        <v>23.295099999999998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170</v>
      </c>
      <c r="AE82" s="77" t="str">
        <f t="shared" si="36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82" s="74" t="str">
        <f t="shared" si="37"/>
        <v>"C:\Program Files (x86)\AstroGrep\AstroGrep.exe" /e /r /s /spath="%USERPROFILE%\AppData\Local\Temp\OnboardLogs" /stypes="app*4021*20170715*"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170-15 --locoid 4021 --swversion DE.1.0.9.0 --startMP 204:233085 --initTime 2017-07-15T13:07:48 --startdatetime 2017-07-15T13:12:14 --delay 1 --endMP 204:134 --enddatetime 2017-07-15T13:51:28 --enforcementcount 0 &gt;&gt;C:\Users\stu\Documents\GitHub\eaglep3-reporting\EC\2017-07-15-refined-times.txt</v>
      </c>
      <c r="AI82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{"issue":{"subject":"","project_id":79,"tracker_id":40,"status_id":1,"priority_id":2,"assigned_to_id":23,"start_date":"2017-07-15","description":"","custom_fields":[{"id":1,"name":"Subdivision","value":"EC"},{"id":4,"name":"Milepost","value":"0.0134"},{"id":17,"name":"Train ID","value":"170-15"},{"id":16,"name":"Locomotive ID","value":"4021"},{"id":130,"name":"Impact","value":""},{"id":150,"name":"Time of Event (Mountain Time)","value":"13:51:28"},{"id":151,"name":"Denver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4021 --day 2017-07-15</v>
      </c>
      <c r="AN82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728</v>
      </c>
      <c r="B83" s="7">
        <v>4024</v>
      </c>
      <c r="C83" s="21" t="s">
        <v>199</v>
      </c>
      <c r="D83" s="21" t="s">
        <v>507</v>
      </c>
      <c r="E83" s="13">
        <v>42931.518958333334</v>
      </c>
      <c r="F83" s="13">
        <v>42931.52140046296</v>
      </c>
      <c r="G83" s="7">
        <v>2</v>
      </c>
      <c r="H83" s="21" t="s">
        <v>538</v>
      </c>
      <c r="I83" s="13">
        <v>42931.547326388885</v>
      </c>
      <c r="J83" s="7">
        <v>0</v>
      </c>
      <c r="K83" s="89" t="str">
        <f t="shared" si="25"/>
        <v>4023/4024</v>
      </c>
      <c r="L83" s="21" t="str">
        <f>VLOOKUP(A83,'Trips&amp;Operators'!$C$1:$G$99999,5,FALSE)</f>
        <v>STEWART MICHAEL</v>
      </c>
      <c r="M83" s="6">
        <f t="shared" si="26"/>
        <v>2.5925925925548654E-2</v>
      </c>
      <c r="N83" s="7">
        <f t="shared" si="27"/>
        <v>37.333333332790062</v>
      </c>
      <c r="O83" s="7"/>
      <c r="P83" s="7"/>
      <c r="Q83" s="22"/>
      <c r="R83" s="170"/>
      <c r="S83" s="213">
        <f t="shared" si="28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-15T11:27:18-0600',mode:absolute,to:'2017-07-15T14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4.6699999999999998E-2</v>
      </c>
      <c r="Z83" s="197">
        <f t="shared" si="33"/>
        <v>23.331800000000001</v>
      </c>
      <c r="AA83" s="197">
        <f t="shared" si="34"/>
        <v>23.2851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171</v>
      </c>
      <c r="AE83" s="77" t="str">
        <f t="shared" si="36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83" s="74" t="str">
        <f t="shared" si="37"/>
        <v>"C:\Program Files (x86)\AstroGrep\AstroGrep.exe" /e /r /s /spath="%USERPROFILE%\AppData\Local\Temp\OnboardLogs" /stypes="app*4024*20170715*"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171-15 --locoid 4024 --swversion DE.1.0.9.0 --startMP 204:467 --initTime 2017-07-15T12:27:18 --startdatetime 2017-07-15T12:30:49 --delay 2 --endMP 204:233318 --enddatetime 2017-07-15T13:08:09 --enforcementcount 0 &gt;&gt;C:\Users\stu\Documents\GitHub\eaglep3-reporting\EC\2017-07-15-refined-times.txt</v>
      </c>
      <c r="AI83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{"issue":{"subject":"","project_id":79,"tracker_id":40,"status_id":1,"priority_id":2,"assigned_to_id":23,"start_date":"2017-07-15","description":"","custom_fields":[{"id":1,"name":"Subdivision","value":"EC"},{"id":4,"name":"Milepost","value":"23.3318"},{"id":17,"name":"Train ID","value":"171-15"},{"id":16,"name":"Locomotive ID","value":"4024"},{"id":130,"name":"Impact","value":""},{"id":150,"name":"Time of Event (Mountain Time)","value":"13:08:09"},{"id":151,"name":"Denver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4024 --day 2017-07-15</v>
      </c>
      <c r="AN83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739</v>
      </c>
      <c r="B84" s="7">
        <v>4023</v>
      </c>
      <c r="C84" s="21" t="s">
        <v>199</v>
      </c>
      <c r="D84" s="21" t="s">
        <v>479</v>
      </c>
      <c r="E84" s="13">
        <v>42931.558298611111</v>
      </c>
      <c r="F84" s="13">
        <v>42931.560752314814</v>
      </c>
      <c r="G84" s="7">
        <v>1</v>
      </c>
      <c r="H84" s="21" t="s">
        <v>345</v>
      </c>
      <c r="I84" s="13">
        <v>42931.588726851849</v>
      </c>
      <c r="J84" s="7">
        <v>0</v>
      </c>
      <c r="K84" s="89" t="str">
        <f t="shared" si="25"/>
        <v>4023/4024</v>
      </c>
      <c r="L84" s="21" t="str">
        <f>VLOOKUP(A84,'Trips&amp;Operators'!$C$1:$G$99999,5,FALSE)</f>
        <v>STEWART MICHAEL</v>
      </c>
      <c r="M84" s="6">
        <f t="shared" si="26"/>
        <v>2.7974537035333924E-2</v>
      </c>
      <c r="N84" s="7">
        <f t="shared" si="27"/>
        <v>40.283333330880851</v>
      </c>
      <c r="O84" s="7"/>
      <c r="P84" s="7"/>
      <c r="Q84" s="22"/>
      <c r="R84" s="170"/>
      <c r="S84" s="213">
        <f t="shared" si="28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-15T12:23:57-0600',mode:absolute,to:'2017-07-15T15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23.297799999999999</v>
      </c>
      <c r="Z84" s="197">
        <f t="shared" si="33"/>
        <v>1.43E-2</v>
      </c>
      <c r="AA84" s="197">
        <f t="shared" si="34"/>
        <v>23.2835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172</v>
      </c>
      <c r="AE84" s="77" t="str">
        <f t="shared" si="36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84" s="74" t="str">
        <f t="shared" si="37"/>
        <v>"C:\Program Files (x86)\AstroGrep\AstroGrep.exe" /e /r /s /spath="%USERPROFILE%\AppData\Local\Temp\OnboardLogs" /stypes="app*4023*20170715*" /stext=" 20:.+((SYSTEM_STATE.+slice.+state.+changed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172-15 --locoid 4023 --swversion DE.1.0.9.0 --startMP 204:232978 --initTime 2017-07-15T13:23:57 --startdatetime 2017-07-15T13:27:29 --delay 1 --endMP 204:143 --enddatetime 2017-07-15T14:07:46 --enforcementcount 0 &gt;&gt;C:\Users\stu\Documents\GitHub\eaglep3-reporting\EC\2017-07-15-refined-times.txt</v>
      </c>
      <c r="AI84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{"issue":{"subject":"","project_id":79,"tracker_id":40,"status_id":1,"priority_id":2,"assigned_to_id":23,"start_date":"2017-07-15","description":"","custom_fields":[{"id":1,"name":"Subdivision","value":"EC"},{"id":4,"name":"Milepost","value":"0.0143"},{"id":17,"name":"Train ID","value":"172-15"},{"id":16,"name":"Locomotive ID","value":"4023"},{"id":130,"name":"Impact","value":""},{"id":150,"name":"Time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4023 --day 2017-07-15</v>
      </c>
      <c r="AN84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731</v>
      </c>
      <c r="B85" s="7">
        <v>4014</v>
      </c>
      <c r="C85" s="21" t="s">
        <v>199</v>
      </c>
      <c r="D85" s="21" t="s">
        <v>565</v>
      </c>
      <c r="E85" s="13">
        <v>42931.528275462966</v>
      </c>
      <c r="F85" s="13">
        <v>42931.531412037039</v>
      </c>
      <c r="G85" s="7">
        <v>1</v>
      </c>
      <c r="H85" s="21" t="s">
        <v>501</v>
      </c>
      <c r="I85" s="13">
        <v>42931.559236111112</v>
      </c>
      <c r="J85" s="7">
        <v>0</v>
      </c>
      <c r="K85" s="89" t="str">
        <f t="shared" si="25"/>
        <v>4013/4014</v>
      </c>
      <c r="L85" s="21" t="str">
        <f>VLOOKUP(A85,'Trips&amp;Operators'!$C$1:$G$99999,5,FALSE)</f>
        <v>DUNCAN SHEILA</v>
      </c>
      <c r="M85" s="6">
        <f t="shared" si="26"/>
        <v>2.7824074073578231E-2</v>
      </c>
      <c r="N85" s="7">
        <f t="shared" si="27"/>
        <v>40.066666665952653</v>
      </c>
      <c r="O85" s="7"/>
      <c r="P85" s="7"/>
      <c r="Q85" s="22"/>
      <c r="R85" s="170"/>
      <c r="S85" s="213">
        <f t="shared" si="28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-15T11:40:43-0600',mode:absolute,to:'2017-07-15T14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4.7800000000000002E-2</v>
      </c>
      <c r="Z85" s="197">
        <f t="shared" si="33"/>
        <v>23.330200000000001</v>
      </c>
      <c r="AA85" s="197">
        <f t="shared" si="34"/>
        <v>23.282400000000003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173</v>
      </c>
      <c r="AE85" s="77" t="str">
        <f t="shared" si="36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85" s="74" t="str">
        <f t="shared" si="37"/>
        <v>"C:\Program Files (x86)\AstroGrep\AstroGrep.exe" /e /r /s /spath="%USERPROFILE%\AppData\Local\Temp\OnboardLogs" /stypes="app*4014*20170715*"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173-15 --locoid 4014 --swversion DE.1.0.9.0 --startMP 204:478 --initTime 2017-07-15T12:40:43 --startdatetime 2017-07-15T12:45:14 --delay 1 --endMP 204:233302 --enddatetime 2017-07-15T13:25:18 --enforcementcount 0 &gt;&gt;C:\Users\stu\Documents\GitHub\eaglep3-reporting\EC\2017-07-15-refined-times.txt</v>
      </c>
      <c r="AI85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{"issue":{"subject":"","project_id":79,"tracker_id":40,"status_id":1,"priority_id":2,"assigned_to_id":23,"start_date":"2017-07-15","description":"","custom_fields":[{"id":1,"name":"Subdivision","value":"EC"},{"id":4,"name":"Milepost","value":"23.3302"},{"id":17,"name":"Train ID","value":"173-15"},{"id":16,"name":"Locomotive ID","value":"4014"},{"id":130,"name":"Impact","value":""},{"id":150,"name":"Time of Event (Mountain Time)","value":"13:25:18"},{"id":151,"name":"Denver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4014 --day 2017-07-15</v>
      </c>
      <c r="AN85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740</v>
      </c>
      <c r="B86" s="7">
        <v>4013</v>
      </c>
      <c r="C86" s="21" t="s">
        <v>199</v>
      </c>
      <c r="D86" s="21" t="s">
        <v>871</v>
      </c>
      <c r="E86" s="13">
        <v>42931.562245370369</v>
      </c>
      <c r="F86" s="13">
        <v>42931.571006944447</v>
      </c>
      <c r="G86" s="7">
        <v>1</v>
      </c>
      <c r="H86" s="21" t="s">
        <v>344</v>
      </c>
      <c r="I86" s="13">
        <v>42931.597881944443</v>
      </c>
      <c r="J86" s="7">
        <v>0</v>
      </c>
      <c r="K86" s="89" t="str">
        <f t="shared" si="25"/>
        <v>4013/4014</v>
      </c>
      <c r="L86" s="21" t="str">
        <f>VLOOKUP(A86,'Trips&amp;Operators'!$C$1:$G$99999,5,FALSE)</f>
        <v>DUNCAN SHEILA</v>
      </c>
      <c r="M86" s="6">
        <f t="shared" si="26"/>
        <v>2.6874999995925464E-2</v>
      </c>
      <c r="N86" s="7">
        <f t="shared" si="27"/>
        <v>38.699999994132668</v>
      </c>
      <c r="O86" s="7"/>
      <c r="P86" s="7"/>
      <c r="Q86" s="22"/>
      <c r="R86" s="170"/>
      <c r="S86" s="213">
        <f t="shared" si="28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-15T12:29:38-0600',mode:absolute,to:'2017-07-15T15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23.297699999999999</v>
      </c>
      <c r="Z86" s="197">
        <f t="shared" si="33"/>
        <v>1.49E-2</v>
      </c>
      <c r="AA86" s="197">
        <f t="shared" si="34"/>
        <v>23.282799999999998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174</v>
      </c>
      <c r="AE86" s="77" t="str">
        <f t="shared" si="36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86" s="74" t="str">
        <f t="shared" si="37"/>
        <v>"C:\Program Files (x86)\AstroGrep\AstroGrep.exe" /e /r /s /spath="%USERPROFILE%\AppData\Local\Temp\OnboardLogs" /stypes="app*4013*20170715*"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174-15 --locoid 4013 --swversion DE.1.0.9.0 --startMP 204:232977 --initTime 2017-07-15T13:29:38 --startdatetime 2017-07-15T13:42:15 --delay 1 --endMP 204:149 --enddatetime 2017-07-15T14:20:57 --enforcementcount 0 &gt;&gt;C:\Users\stu\Documents\GitHub\eaglep3-reporting\EC\2017-07-15-refined-times.txt</v>
      </c>
      <c r="AI86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ID","value":"174-15"},{"id":16,"name":"Locomotive ID","value":"4013"},{"id":130,"name":"Impact","value":""},{"id":150,"name":"Time of Event (Mountain Time)","value":"14:20:57"},{"id":151,"name":"Denver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4013 --day 2017-07-15</v>
      </c>
      <c r="AN86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735</v>
      </c>
      <c r="B87" s="7">
        <v>4032</v>
      </c>
      <c r="C87" s="21" t="s">
        <v>199</v>
      </c>
      <c r="D87" s="21" t="s">
        <v>536</v>
      </c>
      <c r="E87" s="13">
        <v>42931.540150462963</v>
      </c>
      <c r="F87" s="13">
        <v>42931.542175925926</v>
      </c>
      <c r="G87" s="7">
        <v>1</v>
      </c>
      <c r="H87" s="21" t="s">
        <v>423</v>
      </c>
      <c r="I87" s="13">
        <v>42931.568472222221</v>
      </c>
      <c r="J87" s="7">
        <v>0</v>
      </c>
      <c r="K87" s="89" t="str">
        <f t="shared" si="25"/>
        <v>4031/4032</v>
      </c>
      <c r="L87" s="21" t="str">
        <f>VLOOKUP(A87,'Trips&amp;Operators'!$C$1:$G$99999,5,FALSE)</f>
        <v>DAVIS MICHAEL</v>
      </c>
      <c r="M87" s="6">
        <f t="shared" si="26"/>
        <v>2.6296296295186039E-2</v>
      </c>
      <c r="N87" s="7">
        <f t="shared" si="27"/>
        <v>37.866666665067896</v>
      </c>
      <c r="O87" s="7"/>
      <c r="P87" s="7"/>
      <c r="Q87" s="22"/>
      <c r="R87" s="170"/>
      <c r="S87" s="213">
        <f t="shared" si="28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-15T11:57:49-0600',mode:absolute,to:'2017-07-15T14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4.3999999999999997E-2</v>
      </c>
      <c r="Z87" s="197">
        <f t="shared" si="33"/>
        <v>23.329499999999999</v>
      </c>
      <c r="AA87" s="197">
        <f t="shared" si="34"/>
        <v>23.285499999999999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175</v>
      </c>
      <c r="AE87" s="77" t="str">
        <f t="shared" si="36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87" s="74" t="str">
        <f t="shared" si="37"/>
        <v>"C:\Program Files (x86)\AstroGrep\AstroGrep.exe" /e /r /s /spath="%USERPROFILE%\AppData\Local\Temp\OnboardLogs" /stypes="app*4032*20170715*"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175-15 --locoid 4032 --swversion DE.1.0.9.0 --startMP 204:440 --initTime 2017-07-15T12:57:49 --startdatetime 2017-07-15T13:00:44 --delay 1 --endMP 204:233295 --enddatetime 2017-07-15T13:38:36 --enforcementcount 0 &gt;&gt;C:\Users\stu\Documents\GitHub\eaglep3-reporting\EC\2017-07-15-refined-times.txt</v>
      </c>
      <c r="AI87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{"issue":{"subject":"","project_id":79,"tracker_id":40,"status_id":1,"priority_id":2,"assigned_to_id":23,"start_date":"2017-07-15","description":"","custom_fields":[{"id":1,"name":"Subdivision","value":"EC"},{"id":4,"name":"Milepost","value":"23.3295"},{"id":17,"name":"Train ID","value":"175-15"},{"id":16,"name":"Locomotive ID","value":"4032"},{"id":130,"name":"Impact","value":""},{"id":150,"name":"Time of Event (Mountain Time)","value":"13:38:36"},{"id":151,"name":"Denver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4032 --day 2017-07-15</v>
      </c>
      <c r="AN87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743</v>
      </c>
      <c r="B88" s="7">
        <v>4031</v>
      </c>
      <c r="C88" s="21" t="s">
        <v>199</v>
      </c>
      <c r="D88" s="21" t="s">
        <v>396</v>
      </c>
      <c r="E88" s="13">
        <v>42931.579016203701</v>
      </c>
      <c r="F88" s="13">
        <v>42931.581631944442</v>
      </c>
      <c r="G88" s="7">
        <v>1</v>
      </c>
      <c r="H88" s="21" t="s">
        <v>386</v>
      </c>
      <c r="I88" s="13">
        <v>42931.607893518521</v>
      </c>
      <c r="J88" s="7">
        <v>0</v>
      </c>
      <c r="K88" s="89" t="str">
        <f t="shared" si="25"/>
        <v>4031/4032</v>
      </c>
      <c r="L88" s="21" t="str">
        <f>VLOOKUP(A88,'Trips&amp;Operators'!$C$1:$G$99999,5,FALSE)</f>
        <v>DAVIS MICHAEL</v>
      </c>
      <c r="M88" s="6">
        <f t="shared" si="26"/>
        <v>2.6261574079398997E-2</v>
      </c>
      <c r="N88" s="7">
        <f t="shared" si="27"/>
        <v>37.816666674334556</v>
      </c>
      <c r="O88" s="7"/>
      <c r="P88" s="7"/>
      <c r="Q88" s="22"/>
      <c r="R88" s="170"/>
      <c r="S88" s="213">
        <f t="shared" si="28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-15T12:53:47-0600',mode:absolute,to:'2017-07-15T15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23.299600000000002</v>
      </c>
      <c r="Z88" s="197">
        <f t="shared" si="33"/>
        <v>1.4500000000000001E-2</v>
      </c>
      <c r="AA88" s="197">
        <f t="shared" si="34"/>
        <v>23.2851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176</v>
      </c>
      <c r="AE88" s="77" t="str">
        <f t="shared" si="36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88" s="74" t="str">
        <f t="shared" si="37"/>
        <v>"C:\Program Files (x86)\AstroGrep\AstroGrep.exe" /e /r /s /spath="%USERPROFILE%\AppData\Local\Temp\OnboardLogs" /stypes="app*4031*20170715*"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176-15 --locoid 4031 --swversion DE.1.0.9.0 --startMP 204:232996 --initTime 2017-07-15T13:53:47 --startdatetime 2017-07-15T13:57:33 --delay 1 --endMP 204:145 --enddatetime 2017-07-15T14:35:22 --enforcementcount 0 &gt;&gt;C:\Users\stu\Documents\GitHub\eaglep3-reporting\EC\2017-07-15-refined-times.txt</v>
      </c>
      <c r="AI88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{"issue":{"subject":"","project_id":79,"tracker_id":40,"status_id":1,"priority_id":2,"assigned_to_id":23,"start_date":"2017-07-15","description":"","custom_fields":[{"id":1,"name":"Subdivision","value":"EC"},{"id":4,"name":"Milepost","value":"0.0145"},{"id":17,"name":"Train ID","value":"176-15"},{"id":16,"name":"Locomotive ID","value":"4031"},{"id":130,"name":"Impact","value":""},{"id":150,"name":"Time of Event (Mountain Time)","value":"14:35:22"},{"id":151,"name":"Denver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4031 --day 2017-07-15</v>
      </c>
      <c r="AN88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737</v>
      </c>
      <c r="B89" s="7">
        <v>4054</v>
      </c>
      <c r="C89" s="21" t="s">
        <v>199</v>
      </c>
      <c r="D89" s="21" t="s">
        <v>397</v>
      </c>
      <c r="E89" s="13">
        <v>42931.548784722225</v>
      </c>
      <c r="F89" s="13">
        <v>42931.552974537037</v>
      </c>
      <c r="G89" s="7">
        <v>1</v>
      </c>
      <c r="H89" s="21" t="s">
        <v>501</v>
      </c>
      <c r="I89" s="13">
        <v>42931.578541666669</v>
      </c>
      <c r="J89" s="7">
        <v>0</v>
      </c>
      <c r="K89" s="89" t="str">
        <f t="shared" si="25"/>
        <v>4053/4054</v>
      </c>
      <c r="L89" s="21" t="str">
        <f>VLOOKUP(A89,'Trips&amp;Operators'!$C$1:$G$99999,5,FALSE)</f>
        <v>THOMPSON LESTER</v>
      </c>
      <c r="M89" s="6">
        <f t="shared" si="26"/>
        <v>2.5567129632690921E-2</v>
      </c>
      <c r="N89" s="7">
        <f t="shared" si="27"/>
        <v>36.816666671074927</v>
      </c>
      <c r="O89" s="7"/>
      <c r="P89" s="7"/>
      <c r="Q89" s="22"/>
      <c r="R89" s="170"/>
      <c r="S89" s="213">
        <f t="shared" si="28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-15T12:10:15-0600',mode:absolute,to:'2017-07-15T14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4.6899999999999997E-2</v>
      </c>
      <c r="Z89" s="197">
        <f t="shared" si="33"/>
        <v>23.330200000000001</v>
      </c>
      <c r="AA89" s="197">
        <f t="shared" si="34"/>
        <v>23.283300000000001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177</v>
      </c>
      <c r="AE89" s="77" t="str">
        <f t="shared" si="36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89" s="74" t="str">
        <f t="shared" si="37"/>
        <v>"C:\Program Files (x86)\AstroGrep\AstroGrep.exe" /e /r /s /spath="%USERPROFILE%\AppData\Local\Temp\OnboardLogs" /stypes="app*4054*20170715*"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177-15 --locoid 4054 --swversion DE.1.0.9.0 --startMP 204:469 --initTime 2017-07-15T13:10:15 --startdatetime 2017-07-15T13:16:17 --delay 1 --endMP 204:233302 --enddatetime 2017-07-15T13:53:06 --enforcementcount 0 &gt;&gt;C:\Users\stu\Documents\GitHub\eaglep3-reporting\EC\2017-07-15-refined-times.txt</v>
      </c>
      <c r="AI8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{"issue":{"subject":"","project_id":79,"tracker_id":40,"status_id":1,"priority_id":2,"assigned_to_id":23,"start_date":"2017-07-15","description":"","custom_fields":[{"id":1,"name":"Subdivision","value":"EC"},{"id":4,"name":"Milepost","value":"23.3302"},{"id":17,"name":"Train ID","value":"177-15"},{"id":16,"name":"Locomotive ID","value":"4054"},{"id":130,"name":"Impact","value":""},{"id":150,"name":"Time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4054 --day 2017-07-15</v>
      </c>
      <c r="AN89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598</v>
      </c>
      <c r="B90" s="7">
        <v>4053</v>
      </c>
      <c r="C90" s="21" t="s">
        <v>199</v>
      </c>
      <c r="D90" s="21" t="s">
        <v>872</v>
      </c>
      <c r="E90" s="13">
        <v>42931.58865740741</v>
      </c>
      <c r="F90" s="13">
        <v>42931.592118055552</v>
      </c>
      <c r="G90" s="7">
        <v>1</v>
      </c>
      <c r="H90" s="21" t="s">
        <v>344</v>
      </c>
      <c r="I90" s="13">
        <v>42931.619837962964</v>
      </c>
      <c r="J90" s="7">
        <v>0</v>
      </c>
      <c r="K90" s="89" t="str">
        <f t="shared" si="25"/>
        <v>4053/4054</v>
      </c>
      <c r="L90" s="21" t="str">
        <f>VLOOKUP(A90,'Trips&amp;Operators'!$C$1:$G$99999,5,FALSE)</f>
        <v>THOMPSON LESTER</v>
      </c>
      <c r="M90" s="6">
        <f t="shared" si="26"/>
        <v>2.771990741166519E-2</v>
      </c>
      <c r="N90" s="7">
        <f t="shared" si="27"/>
        <v>39.916666672797874</v>
      </c>
      <c r="O90" s="7"/>
      <c r="P90" s="7"/>
      <c r="Q90" s="22"/>
      <c r="R90" s="170"/>
      <c r="S90" s="213">
        <f t="shared" si="28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-15T13:07:40-0600',mode:absolute,to:'2017-07-15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23.298300000000001</v>
      </c>
      <c r="Z90" s="197">
        <f t="shared" si="33"/>
        <v>1.49E-2</v>
      </c>
      <c r="AA90" s="197">
        <f t="shared" si="34"/>
        <v>23.2834</v>
      </c>
      <c r="AB90" s="54" t="str">
        <f>VLOOKUP(A90,Enforcements!$C$7:$K$13,8,0)</f>
        <v>Bulletin (2)</v>
      </c>
      <c r="AC90" s="51" t="str">
        <f>VLOOKUP(A90,Enforcements!$C$7:$E$13,3,0)</f>
        <v>GRADE CROSSING</v>
      </c>
      <c r="AD90" s="206">
        <f t="shared" si="35"/>
        <v>178</v>
      </c>
      <c r="AE90" s="77" t="str">
        <f t="shared" si="36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90" s="74" t="str">
        <f t="shared" si="37"/>
        <v>"C:\Program Files (x86)\AstroGrep\AstroGrep.exe" /e /r /s /spath="%USERPROFILE%\AppData\Local\Temp\OnboardLogs" /stypes="app*4053*20170715*"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178-15 --locoid 4053 --swversion DE.1.0.9.0 --startMP 204:232983 --initTime 2017-07-15T14:07:40 --startdatetime 2017-07-15T14:12:39 --delay 1 --endMP 204:149 --enddatetime 2017-07-15T14:52:34 --enforcementcount 0 &gt;&gt;C:\Users\stu\Documents\GitHub\eaglep3-reporting\EC\2017-07-15-refined-times.txt</v>
      </c>
      <c r="AI90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ID","value":"178-15"},{"id":16,"name":"Locomotive ID","value":"4053"},{"id":130,"name":"Impact","value":""},{"id":150,"name":"Time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4053 --day 2017-07-15</v>
      </c>
      <c r="AN90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738</v>
      </c>
      <c r="B91" s="7">
        <v>4056</v>
      </c>
      <c r="C91" s="21" t="s">
        <v>199</v>
      </c>
      <c r="D91" s="21" t="s">
        <v>573</v>
      </c>
      <c r="E91" s="13">
        <v>42931.558611111112</v>
      </c>
      <c r="F91" s="13">
        <v>42931.563020833331</v>
      </c>
      <c r="G91" s="7">
        <v>1</v>
      </c>
      <c r="H91" s="21" t="s">
        <v>873</v>
      </c>
      <c r="I91" s="13">
        <v>42931.587905092594</v>
      </c>
      <c r="J91" s="7">
        <v>0</v>
      </c>
      <c r="K91" s="89" t="str">
        <f t="shared" si="25"/>
        <v>4055/4056</v>
      </c>
      <c r="L91" s="21" t="str">
        <f>VLOOKUP(A91,'Trips&amp;Operators'!$C$1:$G$99999,5,FALSE)</f>
        <v>BRUDER RICHARD</v>
      </c>
      <c r="M91" s="6">
        <f t="shared" si="26"/>
        <v>2.4884259262762498E-2</v>
      </c>
      <c r="N91" s="7">
        <f t="shared" si="27"/>
        <v>35.833333338377997</v>
      </c>
      <c r="O91" s="7"/>
      <c r="P91" s="7"/>
      <c r="Q91" s="22"/>
      <c r="R91" s="170"/>
      <c r="S91" s="213">
        <f t="shared" si="28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-15T12:24:24-0600',mode:absolute,to:'2017-07-15T15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4.3799999999999999E-2</v>
      </c>
      <c r="Z91" s="197">
        <f t="shared" si="33"/>
        <v>23.332799999999999</v>
      </c>
      <c r="AA91" s="197">
        <f t="shared" si="34"/>
        <v>23.288999999999998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179</v>
      </c>
      <c r="AE91" s="77" t="str">
        <f t="shared" si="36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91" s="74" t="str">
        <f t="shared" si="37"/>
        <v>"C:\Program Files (x86)\AstroGrep\AstroGrep.exe" /e /r /s /spath="%USERPROFILE%\AppData\Local\Temp\OnboardLogs" /stypes="app*4056*20170715*"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179-15 --locoid 4056 --swversion DE.1.0.9.0 --startMP 204:438 --initTime 2017-07-15T13:24:24 --startdatetime 2017-07-15T13:30:45 --delay 1 --endMP 204:233328 --enddatetime 2017-07-15T14:06:35 --enforcementcount 0 &gt;&gt;C:\Users\stu\Documents\GitHub\eaglep3-reporting\EC\2017-07-15-refined-times.txt</v>
      </c>
      <c r="AI91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{"issue":{"subject":"","project_id":79,"tracker_id":40,"status_id":1,"priority_id":2,"assigned_to_id":23,"start_date":"2017-07-15","description":"","custom_fields":[{"id":1,"name":"Subdivision","value":"EC"},{"id":4,"name":"Milepost","value":"23.3328"},{"id":17,"name":"Train ID","value":"179-15"},{"id":16,"name":"Locomotive ID","value":"4056"},{"id":130,"name":"Impact","value":""},{"id":150,"name":"Time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4056 --day 2017-07-15</v>
      </c>
      <c r="AN91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749</v>
      </c>
      <c r="B92" s="7">
        <v>4055</v>
      </c>
      <c r="C92" s="21" t="s">
        <v>199</v>
      </c>
      <c r="D92" s="21" t="s">
        <v>838</v>
      </c>
      <c r="E92" s="13">
        <v>42931.598321759258</v>
      </c>
      <c r="F92" s="13">
        <v>42931.602280092593</v>
      </c>
      <c r="G92" s="7">
        <v>1</v>
      </c>
      <c r="H92" s="21" t="s">
        <v>528</v>
      </c>
      <c r="I92" s="13">
        <v>42931.628067129626</v>
      </c>
      <c r="J92" s="7">
        <v>0</v>
      </c>
      <c r="K92" s="89" t="str">
        <f t="shared" si="25"/>
        <v>4055/4056</v>
      </c>
      <c r="L92" s="21" t="str">
        <f>VLOOKUP(A92,'Trips&amp;Operators'!$C$1:$G$99999,5,FALSE)</f>
        <v>BRUDER RICHARD</v>
      </c>
      <c r="M92" s="6">
        <f t="shared" si="26"/>
        <v>2.5787037033296656E-2</v>
      </c>
      <c r="N92" s="7">
        <f t="shared" si="27"/>
        <v>37.133333327947184</v>
      </c>
      <c r="O92" s="7"/>
      <c r="P92" s="7"/>
      <c r="Q92" s="22"/>
      <c r="R92" s="170"/>
      <c r="S92" s="213">
        <f t="shared" si="28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-15T13:21:35-0600',mode:absolute,to:'2017-07-15T16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23.298200000000001</v>
      </c>
      <c r="Z92" s="197">
        <f t="shared" si="33"/>
        <v>1.52E-2</v>
      </c>
      <c r="AA92" s="197">
        <f t="shared" si="34"/>
        <v>23.283000000000001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180</v>
      </c>
      <c r="AE92" s="77" t="str">
        <f t="shared" si="36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92" s="74" t="str">
        <f t="shared" si="37"/>
        <v>"C:\Program Files (x86)\AstroGrep\AstroGrep.exe" /e /r /s /spath="%USERPROFILE%\AppData\Local\Temp\OnboardLogs" /stypes="app*4055*20170715*" /stext=" 21:.+((SYSTEM_STATE.+slice.+state.+changed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180-15 --locoid 4055 --swversion DE.1.0.9.0 --startMP 204:232982 --initTime 2017-07-15T14:21:35 --startdatetime 2017-07-15T14:27:17 --delay 1 --endMP 204:152 --enddatetime 2017-07-15T15:04:25 --enforcementcount 0 &gt;&gt;C:\Users\stu\Documents\GitHub\eaglep3-reporting\EC\2017-07-15-refined-times.txt</v>
      </c>
      <c r="AI92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{"issue":{"subject":"","project_id":79,"tracker_id":40,"status_id":1,"priority_id":2,"assigned_to_id":23,"start_date":"2017-07-15","description":"","custom_fields":[{"id":1,"name":"Subdivision","value":"EC"},{"id":4,"name":"Milepost","value":"0.0152"},{"id":17,"name":"Train ID","value":"180-15"},{"id":16,"name":"Locomotive ID","value":"4055"},{"id":130,"name":"Impact","value":""},{"id":150,"name":"Time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4055 --day 2017-07-15</v>
      </c>
      <c r="AN92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742</v>
      </c>
      <c r="B93" s="7">
        <v>4016</v>
      </c>
      <c r="C93" s="21" t="s">
        <v>199</v>
      </c>
      <c r="D93" s="21" t="s">
        <v>380</v>
      </c>
      <c r="E93" s="13">
        <v>42931.568564814814</v>
      </c>
      <c r="F93" s="13">
        <v>42931.573425925926</v>
      </c>
      <c r="G93" s="7">
        <v>1</v>
      </c>
      <c r="H93" s="21" t="s">
        <v>576</v>
      </c>
      <c r="I93" s="13">
        <v>42931.598449074074</v>
      </c>
      <c r="J93" s="7">
        <v>0</v>
      </c>
      <c r="K93" s="89" t="str">
        <f t="shared" si="25"/>
        <v>4015/4016</v>
      </c>
      <c r="L93" s="21" t="str">
        <f>VLOOKUP(A93,'Trips&amp;Operators'!$C$1:$G$99999,5,FALSE)</f>
        <v>SULLIVAN BRANDON</v>
      </c>
      <c r="M93" s="6">
        <f t="shared" si="26"/>
        <v>2.5023148147738539E-2</v>
      </c>
      <c r="N93" s="7">
        <f t="shared" si="27"/>
        <v>36.033333332743496</v>
      </c>
      <c r="O93" s="7"/>
      <c r="P93" s="7"/>
      <c r="Q93" s="22"/>
      <c r="R93" s="170"/>
      <c r="S93" s="213">
        <f t="shared" si="28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-15T12:38:44-0600',mode:absolute,to:'2017-07-15T15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4.6199999999999998E-2</v>
      </c>
      <c r="Z93" s="197">
        <f t="shared" si="33"/>
        <v>23.3368</v>
      </c>
      <c r="AA93" s="197">
        <f t="shared" si="34"/>
        <v>23.290600000000001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181</v>
      </c>
      <c r="AE93" s="77" t="str">
        <f t="shared" si="36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93" s="74" t="str">
        <f t="shared" si="37"/>
        <v>"C:\Program Files (x86)\AstroGrep\AstroGrep.exe" /e /r /s /spath="%USERPROFILE%\AppData\Local\Temp\OnboardLogs" /stypes="app*4016*20170715*"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181-15 --locoid 4016 --swversion DE.1.0.9.0 --startMP 204:462 --initTime 2017-07-15T13:38:44 --startdatetime 2017-07-15T13:45:44 --delay 1 --endMP 204:233368 --enddatetime 2017-07-15T14:21:46 --enforcementcount 0 &gt;&gt;C:\Users\stu\Documents\GitHub\eaglep3-reporting\EC\2017-07-15-refined-times.txt</v>
      </c>
      <c r="AI93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{"issue":{"subject":"","project_id":79,"tracker_id":40,"status_id":1,"priority_id":2,"assigned_to_id":23,"start_date":"2017-07-15","description":"","custom_fields":[{"id":1,"name":"Subdivision","value":"EC"},{"id":4,"name":"Milepost","value":"23.3368"},{"id":17,"name":"Train ID","value":"181-15"},{"id":16,"name":"Locomotive ID","value":"4016"},{"id":130,"name":"Impact","value":""},{"id":150,"name":"Time of Event (Mountain Time)","value":"14:21:46"},{"id":151,"name":"Denver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4016 --day 2017-07-15</v>
      </c>
      <c r="AN93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599</v>
      </c>
      <c r="B94" s="7">
        <v>4015</v>
      </c>
      <c r="C94" s="21" t="s">
        <v>199</v>
      </c>
      <c r="D94" s="21" t="s">
        <v>901</v>
      </c>
      <c r="E94" s="13">
        <v>42931.60659722222</v>
      </c>
      <c r="F94" s="13">
        <v>42931.612685185188</v>
      </c>
      <c r="G94" s="7">
        <v>1</v>
      </c>
      <c r="H94" s="21" t="s">
        <v>381</v>
      </c>
      <c r="I94" s="13">
        <v>42931.641168981485</v>
      </c>
      <c r="J94" s="7">
        <v>0</v>
      </c>
      <c r="K94" s="89" t="str">
        <f t="shared" si="25"/>
        <v>4015/4016</v>
      </c>
      <c r="L94" s="21" t="str">
        <f>VLOOKUP(A94,'Trips&amp;Operators'!$C$1:$G$99999,5,FALSE)</f>
        <v>SULLIVAN BRANDON</v>
      </c>
      <c r="M94" s="6">
        <f t="shared" si="26"/>
        <v>2.8483796297223307E-2</v>
      </c>
      <c r="N94" s="7">
        <f t="shared" si="27"/>
        <v>41.016666668001562</v>
      </c>
      <c r="O94" s="7"/>
      <c r="P94" s="7"/>
      <c r="Q94" s="22"/>
      <c r="R94" s="170"/>
      <c r="S94" s="213">
        <f t="shared" si="28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-15T13:33:30-0600',mode:absolute,to:'2017-07-15T16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23.3047</v>
      </c>
      <c r="Z94" s="197">
        <f t="shared" si="33"/>
        <v>1.54E-2</v>
      </c>
      <c r="AA94" s="197">
        <f t="shared" si="34"/>
        <v>23.289300000000001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182</v>
      </c>
      <c r="AE94" s="77" t="str">
        <f t="shared" si="36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94" s="74" t="str">
        <f t="shared" si="37"/>
        <v>"C:\Program Files (x86)\AstroGrep\AstroGrep.exe" /e /r /s /spath="%USERPROFILE%\AppData\Local\Temp\OnboardLogs" /stypes="app*4015*20170715*"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182-15 --locoid 4015 --swversion DE.1.0.9.0 --startMP 204:233047 --initTime 2017-07-15T14:33:30 --startdatetime 2017-07-15T14:42:16 --delay 1 --endMP 204:154 --enddatetime 2017-07-15T15:23:17 --enforcementcount 0 &gt;&gt;C:\Users\stu\Documents\GitHub\eaglep3-reporting\EC\2017-07-15-refined-times.txt</v>
      </c>
      <c r="AI94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ID","value":"182-15"},{"id":16,"name":"Locomotive ID","value":"4015"},{"id":130,"name":"Impact","value":""},{"id":150,"name":"Time of Event (Mountain Time)","value":"15:23:17"},{"id":151,"name":"Denver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4015 --day 2017-07-15</v>
      </c>
      <c r="AN94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744</v>
      </c>
      <c r="B95" s="7">
        <v>4022</v>
      </c>
      <c r="C95" s="21" t="s">
        <v>199</v>
      </c>
      <c r="D95" s="21" t="s">
        <v>911</v>
      </c>
      <c r="E95" s="13">
        <v>42931.579548611109</v>
      </c>
      <c r="F95" s="13">
        <v>42931.583807870367</v>
      </c>
      <c r="G95" s="7">
        <v>1</v>
      </c>
      <c r="H95" s="21" t="s">
        <v>574</v>
      </c>
      <c r="I95" s="13">
        <v>42931.608391203707</v>
      </c>
      <c r="J95" s="7">
        <v>0</v>
      </c>
      <c r="K95" s="89" t="str">
        <f t="shared" si="25"/>
        <v>4021/4022</v>
      </c>
      <c r="L95" s="21" t="str">
        <f>VLOOKUP(A95,'Trips&amp;Operators'!$C$1:$G$99999,5,FALSE)</f>
        <v>DELGADO DIANAH</v>
      </c>
      <c r="M95" s="6">
        <f t="shared" si="26"/>
        <v>2.4583333339251112E-2</v>
      </c>
      <c r="N95" s="7">
        <f t="shared" si="27"/>
        <v>35.400000008521602</v>
      </c>
      <c r="O95" s="7"/>
      <c r="P95" s="7"/>
      <c r="Q95" s="22"/>
      <c r="R95" s="170"/>
      <c r="S95" s="213">
        <f t="shared" si="28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-15T12:54:33-0600',mode:absolute,to:'2017-07-15T15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4.3099999999999999E-2</v>
      </c>
      <c r="Z95" s="197">
        <f t="shared" si="33"/>
        <v>23.338699999999999</v>
      </c>
      <c r="AA95" s="197">
        <f t="shared" si="34"/>
        <v>23.2956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183</v>
      </c>
      <c r="AE95" s="77" t="str">
        <f t="shared" si="36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95" s="74" t="str">
        <f t="shared" si="37"/>
        <v>"C:\Program Files (x86)\AstroGrep\AstroGrep.exe" /e /r /s /spath="%USERPROFILE%\AppData\Local\Temp\OnboardLogs" /stypes="app*4022*20170715*"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183-15 --locoid 4022 --swversion DE.1.0.9.0 --startMP 204:431 --initTime 2017-07-15T13:54:33 --startdatetime 2017-07-15T14:00:41 --delay 1 --endMP 204:233387 --enddatetime 2017-07-15T14:36:05 --enforcementcount 0 &gt;&gt;C:\Users\stu\Documents\GitHub\eaglep3-reporting\EC\2017-07-15-refined-times.txt</v>
      </c>
      <c r="AI95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{"issue":{"subject":"","project_id":79,"tracker_id":40,"status_id":1,"priority_id":2,"assigned_to_id":23,"start_date":"2017-07-15","description":"","custom_fields":[{"id":1,"name":"Subdivision","value":"EC"},{"id":4,"name":"Milepost","value":"23.3387"},{"id":17,"name":"Train ID","value":"183-15"},{"id":16,"name":"Locomotive ID","value":"4022"},{"id":130,"name":"Impact","value":""},{"id":150,"name":"Time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4022 --day 2017-07-15</v>
      </c>
      <c r="AN95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753</v>
      </c>
      <c r="B96" s="7">
        <v>4021</v>
      </c>
      <c r="C96" s="21" t="s">
        <v>199</v>
      </c>
      <c r="D96" s="21" t="s">
        <v>571</v>
      </c>
      <c r="E96" s="13">
        <v>42931.616249999999</v>
      </c>
      <c r="F96" s="13">
        <v>42931.623090277775</v>
      </c>
      <c r="G96" s="7">
        <v>1</v>
      </c>
      <c r="H96" s="21" t="s">
        <v>424</v>
      </c>
      <c r="I96" s="13">
        <v>42931.648761574077</v>
      </c>
      <c r="J96" s="7">
        <v>0</v>
      </c>
      <c r="K96" s="89" t="str">
        <f t="shared" si="25"/>
        <v>4021/4022</v>
      </c>
      <c r="L96" s="21" t="str">
        <f>VLOOKUP(A96,'Trips&amp;Operators'!$C$1:$G$99999,5,FALSE)</f>
        <v>DELGADO DIANAH</v>
      </c>
      <c r="M96" s="6">
        <f t="shared" si="26"/>
        <v>2.567129630187992E-2</v>
      </c>
      <c r="N96" s="7">
        <f t="shared" si="27"/>
        <v>36.966666674707085</v>
      </c>
      <c r="O96" s="7"/>
      <c r="P96" s="7"/>
      <c r="Q96" s="22"/>
      <c r="R96" s="170"/>
      <c r="S96" s="213">
        <f t="shared" si="28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-15T13:47:24-0600',mode:absolute,to:'2017-07-15T16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23.305099999999999</v>
      </c>
      <c r="Z96" s="197">
        <f t="shared" si="33"/>
        <v>1.6E-2</v>
      </c>
      <c r="AA96" s="197">
        <f t="shared" si="34"/>
        <v>23.289100000000001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184</v>
      </c>
      <c r="AE96" s="77" t="str">
        <f t="shared" si="36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96" s="74" t="str">
        <f t="shared" si="37"/>
        <v>"C:\Program Files (x86)\AstroGrep\AstroGrep.exe" /e /r /s /spath="%USERPROFILE%\AppData\Local\Temp\OnboardLogs" /stypes="app*4021*20170715*"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184-15 --locoid 4021 --swversion DE.1.0.9.0 --startMP 204:233051 --initTime 2017-07-15T14:47:24 --startdatetime 2017-07-15T14:57:15 --delay 1 --endMP 204:160 --enddatetime 2017-07-15T15:34:13 --enforcementcount 0 &gt;&gt;C:\Users\stu\Documents\GitHub\eaglep3-reporting\EC\2017-07-15-refined-times.txt</v>
      </c>
      <c r="AI96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{"issue":{"subject":"","project_id":79,"tracker_id":40,"status_id":1,"priority_id":2,"assigned_to_id":23,"start_date":"2017-07-15","description":"","custom_fields":[{"id":1,"name":"Subdivision","value":"EC"},{"id":4,"name":"Milepost","value":"0.016"},{"id":17,"name":"Train ID","value":"184-15"},{"id":16,"name":"Locomotive ID","value":"4021"},{"id":130,"name":"Impact","value":""},{"id":150,"name":"Time of Event (Mountain Time)","value":"15:34:13"},{"id":151,"name":"Denver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4021 --day 2017-07-15</v>
      </c>
      <c r="AN96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748</v>
      </c>
      <c r="B97" s="7">
        <v>4024</v>
      </c>
      <c r="C97" s="21" t="s">
        <v>199</v>
      </c>
      <c r="D97" s="21" t="s">
        <v>347</v>
      </c>
      <c r="E97" s="13">
        <v>42931.591689814813</v>
      </c>
      <c r="F97" s="13">
        <v>42931.594375000001</v>
      </c>
      <c r="G97" s="7">
        <v>1</v>
      </c>
      <c r="H97" s="21" t="s">
        <v>432</v>
      </c>
      <c r="I97" s="13">
        <v>42931.619814814818</v>
      </c>
      <c r="J97" s="7">
        <v>0</v>
      </c>
      <c r="K97" s="89" t="str">
        <f t="shared" si="25"/>
        <v>4023/4024</v>
      </c>
      <c r="L97" s="21" t="str">
        <f>VLOOKUP(A97,'Trips&amp;Operators'!$C$1:$G$99999,5,FALSE)</f>
        <v>STEWART MICHAEL</v>
      </c>
      <c r="M97" s="6">
        <f t="shared" si="26"/>
        <v>2.5439814817218576E-2</v>
      </c>
      <c r="N97" s="7">
        <f t="shared" si="27"/>
        <v>36.633333336794749</v>
      </c>
      <c r="O97" s="7"/>
      <c r="P97" s="7"/>
      <c r="Q97" s="22"/>
      <c r="R97" s="170"/>
      <c r="S97" s="213">
        <f t="shared" si="28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-15T13:12:02-0600',mode:absolute,to:'2017-07-15T15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4.5100000000000001E-2</v>
      </c>
      <c r="Z97" s="197">
        <f t="shared" si="33"/>
        <v>23.328900000000001</v>
      </c>
      <c r="AA97" s="197">
        <f t="shared" si="34"/>
        <v>23.283799999999999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185</v>
      </c>
      <c r="AE97" s="77" t="str">
        <f t="shared" si="36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97" s="74" t="str">
        <f t="shared" si="37"/>
        <v>"C:\Program Files (x86)\AstroGrep\AstroGrep.exe" /e /r /s /spath="%USERPROFILE%\AppData\Local\Temp\OnboardLogs" /stypes="app*4024*20170715*"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185-15 --locoid 4024 --swversion DE.1.0.9.0 --startMP 204:451 --initTime 2017-07-15T14:12:02 --startdatetime 2017-07-15T14:15:54 --delay 1 --endMP 204:233289 --enddatetime 2017-07-15T14:52:32 --enforcementcount 0 &gt;&gt;C:\Users\stu\Documents\GitHub\eaglep3-reporting\EC\2017-07-15-refined-times.txt</v>
      </c>
      <c r="AI97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{"issue":{"subject":"","project_id":79,"tracker_id":40,"status_id":1,"priority_id":2,"assigned_to_id":23,"start_date":"2017-07-15","description":"","custom_fields":[{"id":1,"name":"Subdivision","value":"EC"},{"id":4,"name":"Milepost","value":"23.3289"},{"id":17,"name":"Train ID","value":"185-15"},{"id":16,"name":"Locomotive ID","value":"4024"},{"id":130,"name":"Impact","value":""},{"id":150,"name":"Time of Event (Mountain Time)","value":"14:52:32"},{"id":151,"name":"Denver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4024 --day 2017-07-15</v>
      </c>
      <c r="AN97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757</v>
      </c>
      <c r="B98" s="7">
        <v>4023</v>
      </c>
      <c r="C98" s="21" t="s">
        <v>199</v>
      </c>
      <c r="D98" s="21" t="s">
        <v>915</v>
      </c>
      <c r="E98" s="13">
        <v>42931.631168981483</v>
      </c>
      <c r="F98" s="13">
        <v>42931.633668981478</v>
      </c>
      <c r="G98" s="7">
        <v>1</v>
      </c>
      <c r="H98" s="21" t="s">
        <v>344</v>
      </c>
      <c r="I98" s="13">
        <v>42931.661446759259</v>
      </c>
      <c r="J98" s="7">
        <v>0</v>
      </c>
      <c r="K98" s="89" t="str">
        <f t="shared" si="25"/>
        <v>4023/4024</v>
      </c>
      <c r="L98" s="21" t="str">
        <f>VLOOKUP(A98,'Trips&amp;Operators'!$C$1:$G$99999,5,FALSE)</f>
        <v>STEWART MICHAEL</v>
      </c>
      <c r="M98" s="6">
        <f t="shared" si="26"/>
        <v>2.7777777781011537E-2</v>
      </c>
      <c r="N98" s="7">
        <f t="shared" si="27"/>
        <v>40.000000004656613</v>
      </c>
      <c r="O98" s="7"/>
      <c r="P98" s="7"/>
      <c r="Q98" s="22"/>
      <c r="R98" s="170"/>
      <c r="S98" s="213">
        <f t="shared" si="28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-15T14:08:53-0600',mode:absolute,to:'2017-07-15T16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23.296199999999999</v>
      </c>
      <c r="Z98" s="197">
        <f t="shared" si="33"/>
        <v>1.49E-2</v>
      </c>
      <c r="AA98" s="197">
        <f t="shared" si="34"/>
        <v>23.281299999999998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186</v>
      </c>
      <c r="AE98" s="77" t="str">
        <f t="shared" si="36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98" s="74" t="str">
        <f t="shared" si="37"/>
        <v>"C:\Program Files (x86)\AstroGrep\AstroGrep.exe" /e /r /s /spath="%USERPROFILE%\AppData\Local\Temp\OnboardLogs" /stypes="app*4023*20170715*"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186-15 --locoid 4023 --swversion DE.1.0.9.0 --startMP 204:232962 --initTime 2017-07-15T15:08:53 --startdatetime 2017-07-15T15:12:29 --delay 1 --endMP 204:149 --enddatetime 2017-07-15T15:52:29 --enforcementcount 0 &gt;&gt;C:\Users\stu\Documents\GitHub\eaglep3-reporting\EC\2017-07-15-refined-times.txt</v>
      </c>
      <c r="AI98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ID","value":"186-15"},{"id":16,"name":"Locomotive ID","value":"4023"},{"id":130,"name":"Impact","value":""},{"id":150,"name":"Time of Event (Mountain Time)","value":"15:52:29"},{"id":151,"name":"Denver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4023 --day 2017-07-15</v>
      </c>
      <c r="AN98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750</v>
      </c>
      <c r="B99" s="7">
        <v>4014</v>
      </c>
      <c r="C99" s="21" t="s">
        <v>199</v>
      </c>
      <c r="D99" s="21" t="s">
        <v>848</v>
      </c>
      <c r="E99" s="13">
        <v>42931.598993055559</v>
      </c>
      <c r="F99" s="13">
        <v>42931.604328703703</v>
      </c>
      <c r="G99" s="7">
        <v>1</v>
      </c>
      <c r="H99" s="21" t="s">
        <v>852</v>
      </c>
      <c r="I99" s="13">
        <v>42931.629606481481</v>
      </c>
      <c r="J99" s="7">
        <v>0</v>
      </c>
      <c r="K99" s="89" t="str">
        <f t="shared" si="25"/>
        <v>4013/4014</v>
      </c>
      <c r="L99" s="21" t="str">
        <f>VLOOKUP(A99,'Trips&amp;Operators'!$C$1:$G$99999,5,FALSE)</f>
        <v>DUNCAN SHEILA</v>
      </c>
      <c r="M99" s="6">
        <f t="shared" si="26"/>
        <v>2.527777777868323E-2</v>
      </c>
      <c r="N99" s="7">
        <f t="shared" si="27"/>
        <v>36.400000001303852</v>
      </c>
      <c r="O99" s="7"/>
      <c r="P99" s="7"/>
      <c r="Q99" s="22"/>
      <c r="R99" s="170"/>
      <c r="S99" s="213">
        <f t="shared" si="28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-15T13:22:33-0600',mode:absolute,to:'2017-07-15T16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4.4900000000000002E-2</v>
      </c>
      <c r="Z99" s="197">
        <f t="shared" si="33"/>
        <v>23.3309</v>
      </c>
      <c r="AA99" s="197">
        <f t="shared" si="34"/>
        <v>23.286000000000001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187</v>
      </c>
      <c r="AE99" s="77" t="str">
        <f t="shared" si="36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99" s="74" t="str">
        <f t="shared" si="37"/>
        <v>"C:\Program Files (x86)\AstroGrep\AstroGrep.exe" /e /r /s /spath="%USERPROFILE%\AppData\Local\Temp\OnboardLogs" /stypes="app*4014*20170715*" /stext=" 21:.+((SYSTEM_STATE.+slice.+state.+changed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187-15 --locoid 4014 --swversion DE.1.0.9.0 --startMP 204:449 --initTime 2017-07-15T14:22:33 --startdatetime 2017-07-15T14:30:14 --delay 1 --endMP 204:233309 --enddatetime 2017-07-15T15:06:38 --enforcementcount 0 &gt;&gt;C:\Users\stu\Documents\GitHub\eaglep3-reporting\EC\2017-07-15-refined-times.txt</v>
      </c>
      <c r="AI9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{"issue":{"subject":"","project_id":79,"tracker_id":40,"status_id":1,"priority_id":2,"assigned_to_id":23,"start_date":"2017-07-15","description":"","custom_fields":[{"id":1,"name":"Subdivision","value":"EC"},{"id":4,"name":"Milepost","value":"23.3309"},{"id":17,"name":"Train ID","value":"187-15"},{"id":16,"name":"Locomotive ID","value":"4014"},{"id":130,"name":"Impact","value":""},{"id":150,"name":"Time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4014 --day 2017-07-15</v>
      </c>
      <c r="AN99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758</v>
      </c>
      <c r="B100" s="7">
        <v>4013</v>
      </c>
      <c r="C100" s="21" t="s">
        <v>199</v>
      </c>
      <c r="D100" s="21" t="s">
        <v>847</v>
      </c>
      <c r="E100" s="13">
        <v>42931.637141203704</v>
      </c>
      <c r="F100" s="13">
        <v>42931.644085648149</v>
      </c>
      <c r="G100" s="7">
        <v>1</v>
      </c>
      <c r="H100" s="21" t="s">
        <v>344</v>
      </c>
      <c r="I100" s="13">
        <v>42931.670868055553</v>
      </c>
      <c r="J100" s="7">
        <v>0</v>
      </c>
      <c r="K100" s="89" t="str">
        <f t="shared" si="25"/>
        <v>4013/4014</v>
      </c>
      <c r="L100" s="21" t="str">
        <f>VLOOKUP(A100,'Trips&amp;Operators'!$C$1:$G$99999,5,FALSE)</f>
        <v>DUNCAN SHEILA</v>
      </c>
      <c r="M100" s="6">
        <f t="shared" si="26"/>
        <v>2.6782407403516117E-2</v>
      </c>
      <c r="N100" s="7">
        <f t="shared" si="27"/>
        <v>38.566666661063209</v>
      </c>
      <c r="O100" s="7"/>
      <c r="P100" s="7"/>
      <c r="Q100" s="22"/>
      <c r="R100" s="170"/>
      <c r="S100" s="213">
        <f t="shared" si="28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-15T14:17:29-0600',mode:absolute,to:'2017-07-15T17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23.2986</v>
      </c>
      <c r="Z100" s="197">
        <f t="shared" si="33"/>
        <v>1.49E-2</v>
      </c>
      <c r="AA100" s="197">
        <f t="shared" si="34"/>
        <v>23.2837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188</v>
      </c>
      <c r="AE100" s="77" t="str">
        <f t="shared" si="36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100" s="74" t="str">
        <f t="shared" si="37"/>
        <v>"C:\Program Files (x86)\AstroGrep\AstroGrep.exe" /e /r /s /spath="%USERPROFILE%\AppData\Local\Temp\OnboardLogs" /stypes="app*4013*20170715*" /stext=" 22:.+((SYSTEM_STATE.+slice.+state.+changed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188-15 --locoid 4013 --swversion DE.1.0.9.0 --startMP 204:232986 --initTime 2017-07-15T15:17:29 --startdatetime 2017-07-15T15:27:29 --delay 1 --endMP 204:149 --enddatetime 2017-07-15T16:06:03 --enforcementcount 0 &gt;&gt;C:\Users\stu\Documents\GitHub\eaglep3-reporting\EC\2017-07-15-refined-times.txt</v>
      </c>
      <c r="AI100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ID","value":"188-15"},{"id":16,"name":"Locomotive ID","value":"4013"},{"id":130,"name":"Impact","value":""},{"id":150,"name":"Time of Event (Mountain Time)","value":"16:06:03"},{"id":151,"name":"Denver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4013 --day 2017-07-15</v>
      </c>
      <c r="AN100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752</v>
      </c>
      <c r="B101" s="7">
        <v>4032</v>
      </c>
      <c r="C101" s="21" t="s">
        <v>199</v>
      </c>
      <c r="D101" s="21" t="s">
        <v>402</v>
      </c>
      <c r="E101" s="13">
        <v>42931.61309027778</v>
      </c>
      <c r="F101" s="13">
        <v>42931.615046296298</v>
      </c>
      <c r="G101" s="7">
        <v>1</v>
      </c>
      <c r="H101" s="21" t="s">
        <v>916</v>
      </c>
      <c r="I101" s="13">
        <v>42931.641481481478</v>
      </c>
      <c r="J101" s="7">
        <v>0</v>
      </c>
      <c r="K101" s="89" t="str">
        <f t="shared" si="25"/>
        <v>4031/4032</v>
      </c>
      <c r="L101" s="21" t="str">
        <f>VLOOKUP(A101,'Trips&amp;Operators'!$C$1:$G$99999,5,FALSE)</f>
        <v>DAVIS MICHAEL</v>
      </c>
      <c r="M101" s="6">
        <f t="shared" si="26"/>
        <v>2.643518518016208E-2</v>
      </c>
      <c r="N101" s="7">
        <f t="shared" si="27"/>
        <v>38.066666659433395</v>
      </c>
      <c r="O101" s="7"/>
      <c r="P101" s="7"/>
      <c r="Q101" s="22"/>
      <c r="R101" s="170"/>
      <c r="S101" s="213">
        <f t="shared" si="28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-15T13:42:51-0600',mode:absolute,to:'2017-07-15T16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4.5499999999999999E-2</v>
      </c>
      <c r="Z101" s="197">
        <f t="shared" si="33"/>
        <v>23.340800000000002</v>
      </c>
      <c r="AA101" s="197">
        <f t="shared" si="34"/>
        <v>23.295300000000001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189</v>
      </c>
      <c r="AE101" s="77" t="str">
        <f t="shared" si="36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101" s="74" t="str">
        <f t="shared" si="37"/>
        <v>"C:\Program Files (x86)\AstroGrep\AstroGrep.exe" /e /r /s /spath="%USERPROFILE%\AppData\Local\Temp\OnboardLogs" /stypes="app*4032*20170715*"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189-15 --locoid 4032 --swversion DE.1.0.9.0 --startMP 204:455 --initTime 2017-07-15T14:42:51 --startdatetime 2017-07-15T14:45:40 --delay 1 --endMP 204:233408 --enddatetime 2017-07-15T15:23:44 --enforcementcount 0 &gt;&gt;C:\Users\stu\Documents\GitHub\eaglep3-reporting\EC\2017-07-15-refined-times.txt</v>
      </c>
      <c r="AI101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{"issue":{"subject":"","project_id":79,"tracker_id":40,"status_id":1,"priority_id":2,"assigned_to_id":23,"start_date":"2017-07-15","description":"","custom_fields":[{"id":1,"name":"Subdivision","value":"EC"},{"id":4,"name":"Milepost","value":"23.3408"},{"id":17,"name":"Train ID","value":"189-15"},{"id":16,"name":"Locomotive ID","value":"4032"},{"id":130,"name":"Impact","value":""},{"id":150,"name":"Time of Event (Mountain Time)","value":"15:23:44"},{"id":151,"name":"Denver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4032 --day 2017-07-15</v>
      </c>
      <c r="AN101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760</v>
      </c>
      <c r="B102" s="7">
        <v>4031</v>
      </c>
      <c r="C102" s="21" t="s">
        <v>199</v>
      </c>
      <c r="D102" s="21" t="s">
        <v>572</v>
      </c>
      <c r="E102" s="13">
        <v>42931.651828703703</v>
      </c>
      <c r="F102" s="13">
        <v>42931.654490740744</v>
      </c>
      <c r="G102" s="7">
        <v>1</v>
      </c>
      <c r="H102" s="21" t="s">
        <v>427</v>
      </c>
      <c r="I102" s="13">
        <v>42931.681481481479</v>
      </c>
      <c r="J102" s="7">
        <v>0</v>
      </c>
      <c r="K102" s="89" t="str">
        <f t="shared" si="25"/>
        <v>4031/4032</v>
      </c>
      <c r="L102" s="21" t="str">
        <f>VLOOKUP(A102,'Trips&amp;Operators'!$C$1:$G$99999,5,FALSE)</f>
        <v>DAVIS MICHAEL</v>
      </c>
      <c r="M102" s="6">
        <f t="shared" si="26"/>
        <v>2.6990740734618157E-2</v>
      </c>
      <c r="N102" s="7">
        <f t="shared" si="27"/>
        <v>38.866666657850146</v>
      </c>
      <c r="O102" s="7"/>
      <c r="P102" s="7"/>
      <c r="Q102" s="22"/>
      <c r="R102" s="170"/>
      <c r="S102" s="213">
        <f t="shared" si="28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-15T14:38:38-0600',mode:absolute,to:'2017-07-15T17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23.301100000000002</v>
      </c>
      <c r="Z102" s="197">
        <f t="shared" si="33"/>
        <v>1.32E-2</v>
      </c>
      <c r="AA102" s="197">
        <f t="shared" si="34"/>
        <v>23.2879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190</v>
      </c>
      <c r="AE102" s="77" t="str">
        <f t="shared" si="36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02" s="74" t="str">
        <f t="shared" si="37"/>
        <v>"C:\Program Files (x86)\AstroGrep\AstroGrep.exe" /e /r /s /spath="%USERPROFILE%\AppData\Local\Temp\OnboardLogs" /stypes="app*4031*20170715*"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190-15 --locoid 4031 --swversion DE.1.0.9.0 --startMP 204:233011 --initTime 2017-07-15T15:38:38 --startdatetime 2017-07-15T15:42:28 --delay 1 --endMP 204:132 --enddatetime 2017-07-15T16:21:20 --enforcementcount 0 &gt;&gt;C:\Users\stu\Documents\GitHub\eaglep3-reporting\EC\2017-07-15-refined-times.txt</v>
      </c>
      <c r="AI102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{"issue":{"subject":"","project_id":79,"tracker_id":40,"status_id":1,"priority_id":2,"assigned_to_id":23,"start_date":"2017-07-15","description":"","custom_fields":[{"id":1,"name":"Subdivision","value":"EC"},{"id":4,"name":"Milepost","value":"0.0132"},{"id":17,"name":"Train ID","value":"190-15"},{"id":16,"name":"Locomotive ID","value":"4031"},{"id":130,"name":"Impact","value":""},{"id":150,"name":"Time of Event (Mountain Time)","value":"16:21:20"},{"id":151,"name":"Denver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4031 --day 2017-07-15</v>
      </c>
      <c r="AN102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754</v>
      </c>
      <c r="B103" s="7">
        <v>4054</v>
      </c>
      <c r="C103" s="21" t="s">
        <v>199</v>
      </c>
      <c r="D103" s="21" t="s">
        <v>536</v>
      </c>
      <c r="E103" s="13">
        <v>42931.62226851852</v>
      </c>
      <c r="F103" s="13">
        <v>42931.625717592593</v>
      </c>
      <c r="G103" s="7">
        <v>1</v>
      </c>
      <c r="H103" s="21" t="s">
        <v>577</v>
      </c>
      <c r="I103" s="13">
        <v>42931.651689814818</v>
      </c>
      <c r="J103" s="7">
        <v>0</v>
      </c>
      <c r="K103" s="89" t="str">
        <f t="shared" si="25"/>
        <v>4053/4054</v>
      </c>
      <c r="L103" s="21" t="str">
        <f>VLOOKUP(A103,'Trips&amp;Operators'!$C$1:$G$99999,5,FALSE)</f>
        <v>THOMPSON LESTER</v>
      </c>
      <c r="M103" s="6">
        <f t="shared" si="26"/>
        <v>2.5972222225391306E-2</v>
      </c>
      <c r="N103" s="7">
        <f t="shared" si="27"/>
        <v>37.400000004563481</v>
      </c>
      <c r="O103" s="7"/>
      <c r="P103" s="7"/>
      <c r="Q103" s="22"/>
      <c r="R103" s="170"/>
      <c r="S103" s="213">
        <f t="shared" si="28"/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-15T13:56:04-0600',mode:absolute,to:'2017-07-15T16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4.3999999999999997E-2</v>
      </c>
      <c r="Z103" s="197">
        <f t="shared" si="33"/>
        <v>23.334099999999999</v>
      </c>
      <c r="AA103" s="197">
        <f t="shared" si="34"/>
        <v>23.290099999999999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191</v>
      </c>
      <c r="AE103" s="77" t="str">
        <f t="shared" si="36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103" s="74" t="str">
        <f t="shared" si="37"/>
        <v>"C:\Program Files (x86)\AstroGrep\AstroGrep.exe" /e /r /s /spath="%USERPROFILE%\AppData\Local\Temp\OnboardLogs" /stypes="app*4054*20170715*"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191-15 --locoid 4054 --swversion DE.1.0.9.0 --startMP 204:440 --initTime 2017-07-15T14:56:04 --startdatetime 2017-07-15T15:01:02 --delay 1 --endMP 204:233341 --enddatetime 2017-07-15T15:38:26 --enforcementcount 0 &gt;&gt;C:\Users\stu\Documents\GitHub\eaglep3-reporting\EC\2017-07-15-refined-times.txt</v>
      </c>
      <c r="AI103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{"issue":{"subject":"","project_id":79,"tracker_id":40,"status_id":1,"priority_id":2,"assigned_to_id":23,"start_date":"2017-07-15","description":"","custom_fields":[{"id":1,"name":"Subdivision","value":"EC"},{"id":4,"name":"Milepost","value":"23.3341"},{"id":17,"name":"Train ID","value":"191-15"},{"id":16,"name":"Locomotive ID","value":"4054"},{"id":130,"name":"Impact","value":""},{"id":150,"name":"Time of Event (Mountain Time)","value":"15:38:26"},{"id":151,"name":"Denver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4054 --day 2017-07-15</v>
      </c>
      <c r="AN103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761</v>
      </c>
      <c r="B104" s="7">
        <v>4053</v>
      </c>
      <c r="C104" s="21" t="s">
        <v>199</v>
      </c>
      <c r="D104" s="21" t="s">
        <v>535</v>
      </c>
      <c r="E104" s="13">
        <v>42931.662511574075</v>
      </c>
      <c r="F104" s="13">
        <v>42931.664953703701</v>
      </c>
      <c r="G104" s="7">
        <v>1</v>
      </c>
      <c r="H104" s="21" t="s">
        <v>344</v>
      </c>
      <c r="I104" s="13">
        <v>42931.691770833335</v>
      </c>
      <c r="J104" s="7">
        <v>0</v>
      </c>
      <c r="K104" s="89" t="str">
        <f t="shared" si="25"/>
        <v>4053/4054</v>
      </c>
      <c r="L104" s="21" t="str">
        <f>VLOOKUP(A104,'Trips&amp;Operators'!$C$1:$G$99999,5,FALSE)</f>
        <v>THOMPSON LESTER</v>
      </c>
      <c r="M104" s="6">
        <f t="shared" si="26"/>
        <v>2.6817129633855075E-2</v>
      </c>
      <c r="N104" s="7">
        <f t="shared" si="27"/>
        <v>38.616666672751307</v>
      </c>
      <c r="O104" s="7"/>
      <c r="P104" s="7"/>
      <c r="Q104" s="22"/>
      <c r="R104" s="170"/>
      <c r="S104" s="213">
        <f t="shared" si="28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-15T14:54:01-0600',mode:absolute,to:'2017-07-15T17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23.298999999999999</v>
      </c>
      <c r="Z104" s="197">
        <f t="shared" si="33"/>
        <v>1.49E-2</v>
      </c>
      <c r="AA104" s="197">
        <f t="shared" si="34"/>
        <v>23.284099999999999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192</v>
      </c>
      <c r="AE104" s="77" t="str">
        <f t="shared" si="36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104" s="74" t="str">
        <f t="shared" si="37"/>
        <v>"C:\Program Files (x86)\AstroGrep\AstroGrep.exe" /e /r /s /spath="%USERPROFILE%\AppData\Local\Temp\OnboardLogs" /stypes="app*4053*20170715*"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192-15 --locoid 4053 --swversion DE.1.0.9.0 --startMP 204:232990 --initTime 2017-07-15T15:54:01 --startdatetime 2017-07-15T15:57:32 --delay 1 --endMP 204:149 --enddatetime 2017-07-15T16:36:09 --enforcementcount 0 &gt;&gt;C:\Users\stu\Documents\GitHub\eaglep3-reporting\EC\2017-07-15-refined-times.txt</v>
      </c>
      <c r="AI104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{"issue":{"subject":"","project_id":79,"tracker_id":40,"status_id":1,"priority_id":2,"assigned_to_id":23,"start_date":"2017-07-15","description":"","custom_fields":[{"id":1,"name":"Subdivision","value":"EC"},{"id":4,"name":"Milepost","value":"0.0149"},{"id":17,"name":"Train ID","value":"192-15"},{"id":16,"name":"Locomotive ID","value":"4053"},{"id":130,"name":"Impact","value":""},{"id":150,"name":"Time of Event (Mountain Time)","value":"16:36:09"},{"id":151,"name":"Denver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4053 --day 2017-07-15</v>
      </c>
      <c r="AN104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756</v>
      </c>
      <c r="B105" s="7">
        <v>4056</v>
      </c>
      <c r="C105" s="21" t="s">
        <v>199</v>
      </c>
      <c r="D105" s="21" t="s">
        <v>397</v>
      </c>
      <c r="E105" s="13">
        <v>42931.630428240744</v>
      </c>
      <c r="F105" s="13">
        <v>42931.635937500003</v>
      </c>
      <c r="G105" s="7">
        <v>1</v>
      </c>
      <c r="H105" s="21" t="s">
        <v>918</v>
      </c>
      <c r="I105" s="13">
        <v>42931.660520833335</v>
      </c>
      <c r="J105" s="7">
        <v>0</v>
      </c>
      <c r="K105" s="89" t="str">
        <f t="shared" si="25"/>
        <v>4055/4056</v>
      </c>
      <c r="L105" s="21" t="str">
        <f>VLOOKUP(A105,'Trips&amp;Operators'!$C$1:$G$99999,5,FALSE)</f>
        <v>BRUDER RICHARD</v>
      </c>
      <c r="M105" s="6">
        <f t="shared" si="26"/>
        <v>2.4583333331975155E-2</v>
      </c>
      <c r="N105" s="7">
        <f t="shared" si="27"/>
        <v>35.399999998044223</v>
      </c>
      <c r="O105" s="7"/>
      <c r="P105" s="7"/>
      <c r="Q105" s="22"/>
      <c r="R105" s="170"/>
      <c r="S105" s="213">
        <f t="shared" si="28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-15T14:07:49-0600',mode:absolute,to:'2017-07-15T16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4.6899999999999997E-2</v>
      </c>
      <c r="Z105" s="197">
        <f t="shared" si="33"/>
        <v>23.3306</v>
      </c>
      <c r="AA105" s="197">
        <f t="shared" si="34"/>
        <v>23.2837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193</v>
      </c>
      <c r="AE105" s="77" t="str">
        <f t="shared" si="36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105" s="74" t="str">
        <f t="shared" si="37"/>
        <v>"C:\Program Files (x86)\AstroGrep\AstroGrep.exe" /e /r /s /spath="%USERPROFILE%\AppData\Local\Temp\OnboardLogs" /stypes="app*4056*20170715*"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193-15 --locoid 4056 --swversion DE.1.0.9.0 --startMP 204:469 --initTime 2017-07-15T15:07:49 --startdatetime 2017-07-15T15:15:45 --delay 1 --endMP 204:233306 --enddatetime 2017-07-15T15:51:09 --enforcementcount 0 &gt;&gt;C:\Users\stu\Documents\GitHub\eaglep3-reporting\EC\2017-07-15-refined-times.txt</v>
      </c>
      <c r="AI105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{"issue":{"subject":"","project_id":79,"tracker_id":40,"status_id":1,"priority_id":2,"assigned_to_id":23,"start_date":"2017-07-15","description":"","custom_fields":[{"id":1,"name":"Subdivision","value":"EC"},{"id":4,"name":"Milepost","value":"23.3306"},{"id":17,"name":"Train ID","value":"193-15"},{"id":16,"name":"Locomotive ID","value":"4056"},{"id":130,"name":"Impact","value":""},{"id":150,"name":"Time of Event (Mountain Time)","value":"15:51:09"},{"id":151,"name":"Denver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4056 --day 2017-07-15</v>
      </c>
      <c r="AN105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764</v>
      </c>
      <c r="B106" s="7">
        <v>4055</v>
      </c>
      <c r="C106" s="21" t="s">
        <v>199</v>
      </c>
      <c r="D106" s="21" t="s">
        <v>504</v>
      </c>
      <c r="E106" s="13">
        <v>42931.6716087963</v>
      </c>
      <c r="F106" s="13">
        <v>42931.675254629627</v>
      </c>
      <c r="G106" s="7">
        <v>1</v>
      </c>
      <c r="H106" s="21" t="s">
        <v>351</v>
      </c>
      <c r="I106" s="13">
        <v>42931.701377314814</v>
      </c>
      <c r="J106" s="7">
        <v>0</v>
      </c>
      <c r="K106" s="89" t="str">
        <f t="shared" si="25"/>
        <v>4055/4056</v>
      </c>
      <c r="L106" s="21" t="str">
        <f>VLOOKUP(A106,'Trips&amp;Operators'!$C$1:$G$99999,5,FALSE)</f>
        <v>BRUDER RICHARD</v>
      </c>
      <c r="M106" s="6">
        <f t="shared" si="26"/>
        <v>2.6122685187146999E-2</v>
      </c>
      <c r="N106" s="7">
        <f t="shared" si="27"/>
        <v>37.616666669491678</v>
      </c>
      <c r="O106" s="7"/>
      <c r="P106" s="7"/>
      <c r="Q106" s="22"/>
      <c r="R106" s="170"/>
      <c r="S106" s="213">
        <f t="shared" si="28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-15T15:07:07-0600',mode:absolute,to:'2017-07-15T17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23.2989</v>
      </c>
      <c r="Z106" s="197">
        <f t="shared" si="33"/>
        <v>1.3899999999999999E-2</v>
      </c>
      <c r="AA106" s="197">
        <f t="shared" si="34"/>
        <v>23.285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194</v>
      </c>
      <c r="AE106" s="77" t="str">
        <f t="shared" si="36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106" s="74" t="str">
        <f t="shared" si="37"/>
        <v>"C:\Program Files (x86)\AstroGrep\AstroGrep.exe" /e /r /s /spath="%USERPROFILE%\AppData\Local\Temp\OnboardLogs" /stypes="app*4055*20170715*"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194-15 --locoid 4055 --swversion DE.1.0.9.0 --startMP 204:232989 --initTime 2017-07-15T16:07:07 --startdatetime 2017-07-15T16:12:22 --delay 1 --endMP 204:139 --enddatetime 2017-07-15T16:49:59 --enforcementcount 0 &gt;&gt;C:\Users\stu\Documents\GitHub\eaglep3-reporting\EC\2017-07-15-refined-times.txt</v>
      </c>
      <c r="AI106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{"issue":{"subject":"","project_id":79,"tracker_id":40,"status_id":1,"priority_id":2,"assigned_to_id":23,"start_date":"2017-07-15","description":"","custom_fields":[{"id":1,"name":"Subdivision","value":"EC"},{"id":4,"name":"Milepost","value":"0.0139"},{"id":17,"name":"Train ID","value":"194-15"},{"id":16,"name":"Locomotive ID","value":"4055"},{"id":130,"name":"Impact","value":""},{"id":150,"name":"Time of Event (Mountain Time)","value":"16:49:59"},{"id":151,"name":"Denver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4055 --day 2017-07-15</v>
      </c>
      <c r="AN106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600</v>
      </c>
      <c r="B107" s="7">
        <v>4016</v>
      </c>
      <c r="C107" s="21" t="s">
        <v>199</v>
      </c>
      <c r="D107" s="21" t="s">
        <v>349</v>
      </c>
      <c r="E107" s="13">
        <v>42931.642847222225</v>
      </c>
      <c r="F107" s="13">
        <v>42931.64634259259</v>
      </c>
      <c r="G107" s="7">
        <v>1</v>
      </c>
      <c r="H107" s="21" t="s">
        <v>919</v>
      </c>
      <c r="I107" s="13">
        <v>42931.671782407408</v>
      </c>
      <c r="J107" s="7">
        <v>0</v>
      </c>
      <c r="K107" s="89" t="str">
        <f t="shared" si="25"/>
        <v>4015/4016</v>
      </c>
      <c r="L107" s="21" t="str">
        <f>VLOOKUP(A107,'Trips&amp;Operators'!$C$1:$G$99999,5,FALSE)</f>
        <v>SULLIVAN BRANDON</v>
      </c>
      <c r="M107" s="6">
        <f t="shared" si="26"/>
        <v>2.5439814817218576E-2</v>
      </c>
      <c r="N107" s="7">
        <f t="shared" si="27"/>
        <v>36.633333336794749</v>
      </c>
      <c r="O107" s="7"/>
      <c r="P107" s="7"/>
      <c r="Q107" s="22"/>
      <c r="R107" s="170"/>
      <c r="S107" s="213">
        <f t="shared" si="28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-15T14:25:42-0600',mode:absolute,to:'2017-07-15T17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4.53E-2</v>
      </c>
      <c r="Z107" s="197">
        <f t="shared" si="33"/>
        <v>23.338200000000001</v>
      </c>
      <c r="AA107" s="197">
        <f t="shared" si="34"/>
        <v>23.292899999999999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195</v>
      </c>
      <c r="AE107" s="77" t="str">
        <f t="shared" si="36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107" s="74" t="str">
        <f t="shared" si="37"/>
        <v>"C:\Program Files (x86)\AstroGrep\AstroGrep.exe" /e /r /s /spath="%USERPROFILE%\AppData\Local\Temp\OnboardLogs" /stypes="app*4016*20170715*"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195-15 --locoid 4016 --swversion DE.1.0.9.0 --startMP 204:453 --initTime 2017-07-15T15:25:42 --startdatetime 2017-07-15T15:30:44 --delay 1 --endMP 204:233382 --enddatetime 2017-07-15T16:07:22 --enforcementcount 0 &gt;&gt;C:\Users\stu\Documents\GitHub\eaglep3-reporting\EC\2017-07-15-refined-times.txt</v>
      </c>
      <c r="AI107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{"issue":{"subject":"","project_id":79,"tracker_id":40,"status_id":1,"priority_id":2,"assigned_to_id":23,"start_date":"2017-07-15","description":"","custom_fields":[{"id":1,"name":"Subdivision","value":"EC"},{"id":4,"name":"Milepost","value":"23.3382"},{"id":17,"name":"Train ID","value":"195-15"},{"id":16,"name":"Locomotive ID","value":"4016"},{"id":130,"name":"Impact","value":""},{"id":150,"name":"Time of Event (Mountain Time)","value":"16:07:22"},{"id":151,"name":"Denver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4016 --day 2017-07-15</v>
      </c>
      <c r="AN107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602</v>
      </c>
      <c r="B108" s="7">
        <v>4015</v>
      </c>
      <c r="C108" s="21" t="s">
        <v>199</v>
      </c>
      <c r="D108" s="21" t="s">
        <v>571</v>
      </c>
      <c r="E108" s="13">
        <v>42931.6796875</v>
      </c>
      <c r="F108" s="13">
        <v>42931.706400462965</v>
      </c>
      <c r="G108" s="7">
        <v>1</v>
      </c>
      <c r="H108" s="21" t="s">
        <v>920</v>
      </c>
      <c r="I108" s="13">
        <v>42931.713321759256</v>
      </c>
      <c r="J108" s="7">
        <v>0</v>
      </c>
      <c r="K108" s="89" t="str">
        <f t="shared" si="25"/>
        <v>4015/4016</v>
      </c>
      <c r="L108" s="21" t="str">
        <f>VLOOKUP(A108,'Trips&amp;Operators'!$C$1:$G$99999,5,FALSE)</f>
        <v>SULLIVAN BRANDON</v>
      </c>
      <c r="M108" s="6">
        <f t="shared" si="26"/>
        <v>6.9212962916935794E-3</v>
      </c>
      <c r="N108" s="7"/>
      <c r="O108" s="7"/>
      <c r="P108" s="7">
        <f>24*60*SUM($M108:$M108)</f>
        <v>9.9666666600387543</v>
      </c>
      <c r="Q108" s="22"/>
      <c r="R108" s="170" t="s">
        <v>544</v>
      </c>
      <c r="S108" s="213">
        <f>1/IF(AG108="EC",12,1)*SUM(U108:U109)</f>
        <v>0.83333333333333326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7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-15T15:18:45-0600',mode:absolute,to:'2017-07-15T18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97" t="str">
        <f>IF(AA108&lt;VLOOKUP(AG108,Variables!$AC$3:$AD$8,2,FALSE),"Y","N")</f>
        <v>Y</v>
      </c>
      <c r="X108" s="197">
        <f t="shared" si="31"/>
        <v>1</v>
      </c>
      <c r="Y108" s="197">
        <f t="shared" si="32"/>
        <v>23.305099999999999</v>
      </c>
      <c r="Z108" s="197">
        <f t="shared" si="33"/>
        <v>4.9009</v>
      </c>
      <c r="AA108" s="197">
        <f t="shared" si="34"/>
        <v>18.404199999999999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196</v>
      </c>
      <c r="AE108" s="77" t="str">
        <f t="shared" si="36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08" s="74" t="str">
        <f t="shared" si="37"/>
        <v>"C:\Program Files (x86)\AstroGrep\AstroGrep.exe" /e /r /s /spath="%USERPROFILE%\AppData\Local\Temp\OnboardLogs" /stypes="app*4015*20170715*" /stext=" 23:.+((SYSTEM_STATE.+slice.+state.+changed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196-15 --locoid 4015 --swversion DE.1.0.9.0 --startMP 204:233051 --initTime 2017-07-15T16:18:45 --startdatetime 2017-07-15T16:57:13 --delay 1 --endMP 204:49009 --enddatetime 2017-07-15T17:07:11 --enforcementcount 0 &gt;&gt;C:\Users\stu\Documents\GitHub\eaglep3-reporting\EC\2017-07-15-refined-times.txt</v>
      </c>
      <c r="AI108" s="96" t="str">
        <f t="shared" si="40"/>
        <v>echo {"issue":{"subject":"Wi-MAX data drop","project_id":79,"tracker_id":40,"status_id":1,"priority_id":2,"assigned_to_id":23,"start_date":"2017-07-15","description":"","custom_fields":[{"id":1,"name":"Subdivision","value":"EC"},{"id":4,"name":"Milepost","value":"4.9009"},{"id":17,"name":"Train ID","value":"196-15"},{"id":16,"name":"Locomotive ID","value":"4015"},{"id":130,"name":"Impact","value":""},{"id":150,"name":"Time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4015 --day 2017-07-15</v>
      </c>
      <c r="AN108" s="151" t="str">
        <f t="shared" si="42"/>
        <v>echo {"issue":{"subject":"Wi-MAX data drop","project_id":30,"tracker_id":4,"status_id":1,"priority_id":1,"assigned_to_id":10,"start_date":"2017-07-15","description":"","custom_fields":[{"id":30,"name":"Category","value":"Issue"},{"id":3,"name":"Functional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602</v>
      </c>
      <c r="B109" s="7">
        <v>4015</v>
      </c>
      <c r="C109" s="21" t="s">
        <v>199</v>
      </c>
      <c r="D109" s="21" t="s">
        <v>921</v>
      </c>
      <c r="E109" s="13">
        <v>42931.705416666664</v>
      </c>
      <c r="F109" s="13">
        <v>42931.706400462965</v>
      </c>
      <c r="G109" s="7">
        <v>1</v>
      </c>
      <c r="H109" s="21" t="s">
        <v>354</v>
      </c>
      <c r="I109" s="13">
        <v>42931.713321759256</v>
      </c>
      <c r="J109" s="7">
        <v>0</v>
      </c>
      <c r="K109" s="89" t="str">
        <f t="shared" si="25"/>
        <v>4015/4016</v>
      </c>
      <c r="L109" s="21" t="str">
        <f>VLOOKUP(A109,'Trips&amp;Operators'!$C$1:$G$99999,5,FALSE)</f>
        <v>SULLIVAN BRANDON</v>
      </c>
      <c r="M109" s="6">
        <f t="shared" si="26"/>
        <v>6.9212962916935794E-3</v>
      </c>
      <c r="N109" s="7"/>
      <c r="O109" s="7"/>
      <c r="P109" s="7"/>
      <c r="Q109" s="22"/>
      <c r="R109" s="170"/>
      <c r="S109" s="213"/>
      <c r="T109" s="195" t="str">
        <f t="shared" si="29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-15T15:55:48-0600',mode:absolute,to:'2017-07-15T18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9" s="197" t="str">
        <f>IF(AA109&lt;VLOOKUP(AG109,Variables!$AC$3:$AD$8,2,FALSE),"Y","N")</f>
        <v>Y</v>
      </c>
      <c r="X109" s="197">
        <f t="shared" ref="X109:X114" si="43">VALUE(LEFT(AD109,4))-VALUE(LEFT(AD108,4))</f>
        <v>0</v>
      </c>
      <c r="Y109" s="197">
        <f t="shared" si="32"/>
        <v>3.6791</v>
      </c>
      <c r="Z109" s="197">
        <f t="shared" si="33"/>
        <v>1.47E-2</v>
      </c>
      <c r="AA109" s="197">
        <f t="shared" si="34"/>
        <v>3.6644000000000001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196</v>
      </c>
      <c r="AE109" s="77" t="str">
        <f t="shared" si="36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09" s="74" t="str">
        <f t="shared" si="37"/>
        <v>"C:\Program Files (x86)\AstroGrep\AstroGrep.exe" /e /r /s /spath="%USERPROFILE%\AppData\Local\Temp\OnboardLogs" /stypes="app*4015*20170715*"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196-15 --locoid 4015 --swversion DE.1.0.9.0 --startMP 204:36791 --initTime 2017-07-15T16:55:48 --startdatetime 2017-07-15T16:57:13 --delay 1 --endMP 204:147 --enddatetime 2017-07-15T17:07:11 --enforcementcount 0 &gt;&gt;C:\Users\stu\Documents\GitHub\eaglep3-reporting\EC\2017-07-15-refined-times.txt</v>
      </c>
      <c r="AI10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ID","value":"196-15"},{"id":16,"name":"Locomotive ID","value":"4015"},{"id":130,"name":"Impact","value":""},{"id":150,"name":"Time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4015 --day 2017-07-15</v>
      </c>
      <c r="AN109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601</v>
      </c>
      <c r="B110" s="7">
        <v>4022</v>
      </c>
      <c r="C110" s="21" t="s">
        <v>199</v>
      </c>
      <c r="D110" s="21" t="s">
        <v>848</v>
      </c>
      <c r="E110" s="13">
        <v>42931.653067129628</v>
      </c>
      <c r="F110" s="13">
        <v>42931.656736111108</v>
      </c>
      <c r="G110" s="7">
        <v>1</v>
      </c>
      <c r="H110" s="21" t="s">
        <v>567</v>
      </c>
      <c r="I110" s="13">
        <v>42931.680972222224</v>
      </c>
      <c r="J110" s="7">
        <v>0</v>
      </c>
      <c r="K110" s="89" t="str">
        <f t="shared" si="25"/>
        <v>4021/4022</v>
      </c>
      <c r="L110" s="21" t="str">
        <f>VLOOKUP(A110,'Trips&amp;Operators'!$C$1:$G$99999,5,FALSE)</f>
        <v>DELGADO DIANAH</v>
      </c>
      <c r="M110" s="6">
        <f t="shared" si="26"/>
        <v>2.4236111115897074E-2</v>
      </c>
      <c r="N110" s="7">
        <f t="shared" ref="N110:N141" si="44">24*60*SUM($M110:$M110)</f>
        <v>34.900000006891787</v>
      </c>
      <c r="O110" s="7"/>
      <c r="P110" s="7"/>
      <c r="Q110" s="22"/>
      <c r="R110" s="170"/>
      <c r="S110" s="213">
        <f t="shared" ref="S110:S141" si="45">1/IF(AG110="EC",12,1)*SUM(U110:U110)</f>
        <v>1</v>
      </c>
      <c r="T110" s="195" t="str">
        <f t="shared" si="29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-15T14:40:25-0600',mode:absolute,to:'2017-07-15T17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0" s="197" t="str">
        <f>IF(AA110&lt;VLOOKUP(AG110,Variables!$AC$3:$AD$8,2,FALSE),"Y","N")</f>
        <v>N</v>
      </c>
      <c r="X110" s="197">
        <f t="shared" si="43"/>
        <v>1</v>
      </c>
      <c r="Y110" s="197">
        <f t="shared" si="32"/>
        <v>4.4900000000000002E-2</v>
      </c>
      <c r="Z110" s="197">
        <f t="shared" si="33"/>
        <v>23.338899999999999</v>
      </c>
      <c r="AA110" s="197">
        <f t="shared" si="34"/>
        <v>23.294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197</v>
      </c>
      <c r="AE110" s="77" t="str">
        <f t="shared" si="36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110" s="74" t="str">
        <f t="shared" si="37"/>
        <v>"C:\Program Files (x86)\AstroGrep\AstroGrep.exe" /e /r /s /spath="%USERPROFILE%\AppData\Local\Temp\OnboardLogs" /stypes="app*4022*20170715*"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197-15 --locoid 4022 --swversion DE.1.0.9.0 --startMP 204:449 --initTime 2017-07-15T15:40:25 --startdatetime 2017-07-15T15:45:42 --delay 1 --endMP 204:233389 --enddatetime 2017-07-15T16:20:36 --enforcementcount 0 &gt;&gt;C:\Users\stu\Documents\GitHub\eaglep3-reporting\EC\2017-07-15-refined-times.txt</v>
      </c>
      <c r="AI110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{"issue":{"subject":"","project_id":79,"tracker_id":40,"status_id":1,"priority_id":2,"assigned_to_id":23,"start_date":"2017-07-15","description":"","custom_fields":[{"id":1,"name":"Subdivision","value":"EC"},{"id":4,"name":"Milepost","value":"23.3389"},{"id":17,"name":"Train ID","value":"197-15"},{"id":16,"name":"Locomotive ID","value":"4022"},{"id":130,"name":"Impact","value":""},{"id":150,"name":"Time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4022 --day 2017-07-15</v>
      </c>
      <c r="AN110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767</v>
      </c>
      <c r="B111" s="7">
        <v>4021</v>
      </c>
      <c r="C111" s="21" t="s">
        <v>199</v>
      </c>
      <c r="D111" s="21" t="s">
        <v>922</v>
      </c>
      <c r="E111" s="13">
        <v>42931.689872685187</v>
      </c>
      <c r="F111" s="13">
        <v>42931.696030092593</v>
      </c>
      <c r="G111" s="7">
        <v>1</v>
      </c>
      <c r="H111" s="21" t="s">
        <v>354</v>
      </c>
      <c r="I111" s="13">
        <v>42931.72179398148</v>
      </c>
      <c r="J111" s="7">
        <v>0</v>
      </c>
      <c r="K111" s="89" t="str">
        <f t="shared" si="25"/>
        <v>4021/4022</v>
      </c>
      <c r="L111" s="21" t="str">
        <f>VLOOKUP(A111,'Trips&amp;Operators'!$C$1:$G$99999,5,FALSE)</f>
        <v>DELGADO DIANAH</v>
      </c>
      <c r="M111" s="6">
        <f t="shared" si="26"/>
        <v>2.5763888887013309E-2</v>
      </c>
      <c r="N111" s="7">
        <f t="shared" si="44"/>
        <v>37.099999997299165</v>
      </c>
      <c r="O111" s="7"/>
      <c r="P111" s="7"/>
      <c r="Q111" s="22"/>
      <c r="R111" s="170"/>
      <c r="S111" s="213">
        <f t="shared" si="45"/>
        <v>1</v>
      </c>
      <c r="T111" s="195" t="str">
        <f t="shared" si="29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-15T15:33:25-0600',mode:absolute,to:'2017-07-15T18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1" s="197" t="str">
        <f>IF(AA111&lt;VLOOKUP(AG111,Variables!$AC$3:$AD$8,2,FALSE),"Y","N")</f>
        <v>N</v>
      </c>
      <c r="X111" s="197">
        <f t="shared" si="43"/>
        <v>1</v>
      </c>
      <c r="Y111" s="197">
        <f t="shared" si="32"/>
        <v>23.3066</v>
      </c>
      <c r="Z111" s="197">
        <f t="shared" si="33"/>
        <v>1.47E-2</v>
      </c>
      <c r="AA111" s="197">
        <f t="shared" si="34"/>
        <v>23.291899999999998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198</v>
      </c>
      <c r="AE111" s="77" t="str">
        <f t="shared" si="36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111" s="74" t="str">
        <f t="shared" si="37"/>
        <v>"C:\Program Files (x86)\AstroGrep\AstroGrep.exe" /e /r /s /spath="%USERPROFILE%\AppData\Local\Temp\OnboardLogs" /stypes="app*4021*20170715*" /stext=" 23:.+((SYSTEM_STATE.+slice.+state.+changed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198-15 --locoid 4021 --swversion DE.1.0.9.0 --startMP 204:233066 --initTime 2017-07-15T16:33:25 --startdatetime 2017-07-15T16:42:17 --delay 1 --endMP 204:147 --enddatetime 2017-07-15T17:19:23 --enforcementcount 0 &gt;&gt;C:\Users\stu\Documents\GitHub\eaglep3-reporting\EC\2017-07-15-refined-times.txt</v>
      </c>
      <c r="AI111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ID","value":"198-15"},{"id":16,"name":"Locomotive ID","value":"4021"},{"id":130,"name":"Impact","value":""},{"id":150,"name":"Time of Event (Mountain Time)","value":"17:19:23"},{"id":151,"name":"Denver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4021 --day 2017-07-15</v>
      </c>
      <c r="AN111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762</v>
      </c>
      <c r="B112" s="7">
        <v>4024</v>
      </c>
      <c r="C112" s="21" t="s">
        <v>199</v>
      </c>
      <c r="D112" s="21" t="s">
        <v>346</v>
      </c>
      <c r="E112" s="13">
        <v>42931.663518518515</v>
      </c>
      <c r="F112" s="13">
        <v>42931.667187500003</v>
      </c>
      <c r="G112" s="7">
        <v>1</v>
      </c>
      <c r="H112" s="21" t="s">
        <v>923</v>
      </c>
      <c r="I112" s="13">
        <v>42931.692673611113</v>
      </c>
      <c r="J112" s="7">
        <v>0</v>
      </c>
      <c r="K112" s="89" t="str">
        <f t="shared" si="25"/>
        <v>4023/4024</v>
      </c>
      <c r="L112" s="21" t="str">
        <f>VLOOKUP(A112,'Trips&amp;Operators'!$C$1:$G$99999,5,FALSE)</f>
        <v>STEWART MICHAEL</v>
      </c>
      <c r="M112" s="6">
        <f t="shared" si="26"/>
        <v>2.548611110978527E-2</v>
      </c>
      <c r="N112" s="7">
        <f t="shared" si="44"/>
        <v>36.699999998090789</v>
      </c>
      <c r="O112" s="7"/>
      <c r="P112" s="7"/>
      <c r="Q112" s="22"/>
      <c r="R112" s="170"/>
      <c r="S112" s="213">
        <f t="shared" si="45"/>
        <v>1</v>
      </c>
      <c r="T112" s="195" t="str">
        <f t="shared" si="29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-15T14:55:28-0600',mode:absolute,to:'2017-07-15T17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197" t="str">
        <f>IF(AA112&lt;VLOOKUP(AG112,Variables!$AC$3:$AD$8,2,FALSE),"Y","N")</f>
        <v>N</v>
      </c>
      <c r="X112" s="197">
        <f t="shared" si="43"/>
        <v>1</v>
      </c>
      <c r="Y112" s="197">
        <f t="shared" si="32"/>
        <v>4.6600000000000003E-2</v>
      </c>
      <c r="Z112" s="197">
        <f t="shared" si="33"/>
        <v>23.3278</v>
      </c>
      <c r="AA112" s="197">
        <f t="shared" si="34"/>
        <v>23.281199999999998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199</v>
      </c>
      <c r="AE112" s="77" t="str">
        <f t="shared" si="36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112" s="74" t="str">
        <f t="shared" si="37"/>
        <v>"C:\Program Files (x86)\AstroGrep\AstroGrep.exe" /e /r /s /spath="%USERPROFILE%\AppData\Local\Temp\OnboardLogs" /stypes="app*4024*20170715*" /stext=" 22:.+((SYSTEM_STATE.+slice.+state.+changed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199-15 --locoid 4024 --swversion DE.1.0.9.0 --startMP 204:466 --initTime 2017-07-15T15:55:28 --startdatetime 2017-07-15T16:00:45 --delay 1 --endMP 204:233278 --enddatetime 2017-07-15T16:37:27 --enforcementcount 0 &gt;&gt;C:\Users\stu\Documents\GitHub\eaglep3-reporting\EC\2017-07-15-refined-times.txt</v>
      </c>
      <c r="AI112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{"issue":{"subject":"","project_id":79,"tracker_id":40,"status_id":1,"priority_id":2,"assigned_to_id":23,"start_date":"2017-07-15","description":"","custom_fields":[{"id":1,"name":"Subdivision","value":"EC"},{"id":4,"name":"Milepost","value":"23.3278"},{"id":17,"name":"Train ID","value":"199-15"},{"id":16,"name":"Locomotive ID","value":"4024"},{"id":130,"name":"Impact","value":""},{"id":150,"name":"Time of Event (Mountain Time)","value":"16:37:27"},{"id":151,"name":"Denver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4024 --day 2017-07-15</v>
      </c>
      <c r="AN112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774</v>
      </c>
      <c r="B113" s="7">
        <v>4023</v>
      </c>
      <c r="C113" s="21" t="s">
        <v>199</v>
      </c>
      <c r="D113" s="21" t="s">
        <v>434</v>
      </c>
      <c r="E113" s="13">
        <v>42931.7028125</v>
      </c>
      <c r="F113" s="13">
        <v>42931.706759259258</v>
      </c>
      <c r="G113" s="7">
        <v>2</v>
      </c>
      <c r="H113" s="21" t="s">
        <v>343</v>
      </c>
      <c r="I113" s="13">
        <v>42931.73400462963</v>
      </c>
      <c r="J113" s="7">
        <v>0</v>
      </c>
      <c r="K113" s="89" t="str">
        <f t="shared" si="25"/>
        <v>4023/4024</v>
      </c>
      <c r="L113" s="21" t="str">
        <f>VLOOKUP(A113,'Trips&amp;Operators'!$C$1:$G$99999,5,FALSE)</f>
        <v>STEWART MICHAEL</v>
      </c>
      <c r="M113" s="6">
        <f t="shared" si="26"/>
        <v>2.7245370372838806E-2</v>
      </c>
      <c r="N113" s="7">
        <f t="shared" si="44"/>
        <v>39.233333336887881</v>
      </c>
      <c r="O113" s="7"/>
      <c r="P113" s="7"/>
      <c r="Q113" s="22"/>
      <c r="R113" s="170"/>
      <c r="S113" s="213">
        <f t="shared" si="45"/>
        <v>1</v>
      </c>
      <c r="T113" s="195" t="str">
        <f t="shared" si="29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-15T15:52:03-0600',mode:absolute,to:'2017-07-15T18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197" t="str">
        <f>IF(AA113&lt;VLOOKUP(AG113,Variables!$AC$3:$AD$8,2,FALSE),"Y","N")</f>
        <v>N</v>
      </c>
      <c r="X113" s="197">
        <f t="shared" si="43"/>
        <v>1</v>
      </c>
      <c r="Y113" s="197">
        <f t="shared" si="32"/>
        <v>23.2971</v>
      </c>
      <c r="Z113" s="197">
        <f t="shared" si="33"/>
        <v>1.4999999999999999E-2</v>
      </c>
      <c r="AA113" s="197">
        <f t="shared" si="34"/>
        <v>23.2821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200</v>
      </c>
      <c r="AE113" s="77" t="str">
        <f t="shared" si="36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113" s="74" t="str">
        <f t="shared" si="37"/>
        <v>"C:\Program Files (x86)\AstroGrep\AstroGrep.exe" /e /r /s /spath="%USERPROFILE%\AppData\Local\Temp\OnboardLogs" /stypes="app*4023*20170715*" /stext=" 23:.+((SYSTEM_STATE.+slice.+state.+changed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200-15 --locoid 4023 --swversion DE.1.0.9.0 --startMP 204:232971 --initTime 2017-07-15T16:52:03 --startdatetime 2017-07-15T16:57:44 --delay 2 --endMP 204:150 --enddatetime 2017-07-15T17:36:58 --enforcementcount 0 &gt;&gt;C:\Users\stu\Documents\GitHub\eaglep3-reporting\EC\2017-07-15-refined-times.txt</v>
      </c>
      <c r="AI113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{"issue":{"subject":"","project_id":79,"tracker_id":40,"status_id":1,"priority_id":2,"assigned_to_id":23,"start_date":"2017-07-15","description":"","custom_fields":[{"id":1,"name":"Subdivision","value":"EC"},{"id":4,"name":"Milepost","value":"0.015"},{"id":17,"name":"Train ID","value":"200-15"},{"id":16,"name":"Locomotive ID","value":"4023"},{"id":130,"name":"Impact","value":""},{"id":150,"name":"Time of Event (Mountain Time)","value":"17:36:58"},{"id":151,"name":"Denver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4023 --day 2017-07-15</v>
      </c>
      <c r="AN113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765</v>
      </c>
      <c r="B114" s="7">
        <v>4014</v>
      </c>
      <c r="C114" s="21" t="s">
        <v>199</v>
      </c>
      <c r="D114" s="21" t="s">
        <v>536</v>
      </c>
      <c r="E114" s="13">
        <v>42931.672337962962</v>
      </c>
      <c r="F114" s="13">
        <v>42931.677256944444</v>
      </c>
      <c r="G114" s="7">
        <v>1</v>
      </c>
      <c r="H114" s="21" t="s">
        <v>501</v>
      </c>
      <c r="I114" s="13">
        <v>42931.702743055554</v>
      </c>
      <c r="J114" s="7">
        <v>0</v>
      </c>
      <c r="K114" s="89" t="str">
        <f t="shared" si="25"/>
        <v>4013/4014</v>
      </c>
      <c r="L114" s="21" t="str">
        <f>VLOOKUP(A114,'Trips&amp;Operators'!$C$1:$G$99999,5,FALSE)</f>
        <v>DUNCAN SHEILA</v>
      </c>
      <c r="M114" s="6">
        <f t="shared" si="26"/>
        <v>2.548611110978527E-2</v>
      </c>
      <c r="N114" s="7">
        <f t="shared" si="44"/>
        <v>36.699999998090789</v>
      </c>
      <c r="O114" s="7"/>
      <c r="P114" s="7"/>
      <c r="Q114" s="22"/>
      <c r="R114" s="170"/>
      <c r="S114" s="213">
        <f t="shared" si="45"/>
        <v>1</v>
      </c>
      <c r="T114" s="195" t="str">
        <f t="shared" si="29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-15T15:08:10-0600',mode:absolute,to:'2017-07-15T17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4" s="197" t="str">
        <f>IF(AA114&lt;VLOOKUP(AG114,Variables!$AC$3:$AD$8,2,FALSE),"Y","N")</f>
        <v>N</v>
      </c>
      <c r="X114" s="197">
        <f t="shared" si="43"/>
        <v>1</v>
      </c>
      <c r="Y114" s="197">
        <f t="shared" si="32"/>
        <v>4.3999999999999997E-2</v>
      </c>
      <c r="Z114" s="197">
        <f t="shared" si="33"/>
        <v>23.330200000000001</v>
      </c>
      <c r="AA114" s="197">
        <f t="shared" si="34"/>
        <v>23.286200000000001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201</v>
      </c>
      <c r="AE114" s="77" t="str">
        <f t="shared" si="36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114" s="74" t="str">
        <f t="shared" si="37"/>
        <v>"C:\Program Files (x86)\AstroGrep\AstroGrep.exe" /e /r /s /spath="%USERPROFILE%\AppData\Local\Temp\OnboardLogs" /stypes="app*4014*20170715*" /stext=" 22:.+((SYSTEM_STATE.+slice.+state.+changed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201-15 --locoid 4014 --swversion DE.1.0.9.0 --startMP 204:440 --initTime 2017-07-15T16:08:10 --startdatetime 2017-07-15T16:15:15 --delay 1 --endMP 204:233302 --enddatetime 2017-07-15T16:51:57 --enforcementcount 0 &gt;&gt;C:\Users\stu\Documents\GitHub\eaglep3-reporting\EC\2017-07-15-refined-times.txt</v>
      </c>
      <c r="AI114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{"issue":{"subject":"","project_id":79,"tracker_id":40,"status_id":1,"priority_id":2,"assigned_to_id":23,"start_date":"2017-07-15","description":"","custom_fields":[{"id":1,"name":"Subdivision","value":"EC"},{"id":4,"name":"Milepost","value":"23.3302"},{"id":17,"name":"Train ID","value":"201-15"},{"id":16,"name":"Locomotive ID","value":"4014"},{"id":130,"name":"Impact","value":""},{"id":150,"name":"Time of Event (Mountain Time)","value":"16:51:57"},{"id":151,"name":"Denver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4014 --day 2017-07-15</v>
      </c>
      <c r="AN114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603</v>
      </c>
      <c r="B115" s="7">
        <v>4013</v>
      </c>
      <c r="C115" s="21" t="s">
        <v>199</v>
      </c>
      <c r="D115" s="21" t="s">
        <v>500</v>
      </c>
      <c r="E115" s="13">
        <v>42931.710081018522</v>
      </c>
      <c r="F115" s="13">
        <v>42931.716828703706</v>
      </c>
      <c r="G115" s="7">
        <v>1</v>
      </c>
      <c r="H115" s="21" t="s">
        <v>386</v>
      </c>
      <c r="I115" s="13">
        <v>42931.745474537034</v>
      </c>
      <c r="J115" s="7">
        <v>0</v>
      </c>
      <c r="K115" s="89" t="str">
        <f t="shared" si="25"/>
        <v>4013/4014</v>
      </c>
      <c r="L115" s="21" t="str">
        <f>VLOOKUP(A115,'Trips&amp;Operators'!$C$1:$G$99999,5,FALSE)</f>
        <v>DUNCAN SHEILA</v>
      </c>
      <c r="M115" s="6">
        <f t="shared" si="26"/>
        <v>2.8645833328482695E-2</v>
      </c>
      <c r="N115" s="7">
        <f t="shared" si="44"/>
        <v>41.249999993015081</v>
      </c>
      <c r="O115" s="7"/>
      <c r="P115" s="7"/>
      <c r="Q115" s="22"/>
      <c r="R115" s="170"/>
      <c r="S115" s="213">
        <f t="shared" si="45"/>
        <v>1</v>
      </c>
      <c r="T115" s="195" t="str">
        <f t="shared" si="29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-15T16:02:31-0600',mode:absolute,to:'2017-07-15T18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5" s="197" t="str">
        <f>IF(AA115&lt;VLOOKUP(AG115,Variables!$AC$3:$AD$8,2,FALSE),"Y","N")</f>
        <v>N</v>
      </c>
      <c r="X115" s="197">
        <f t="shared" ref="X115:X117" si="46">VALUE(LEFT(AD115,4))-VALUE(LEFT(AD114,4))</f>
        <v>1</v>
      </c>
      <c r="Y115" s="197">
        <f t="shared" si="32"/>
        <v>23.2974</v>
      </c>
      <c r="Z115" s="197">
        <f t="shared" si="33"/>
        <v>1.4500000000000001E-2</v>
      </c>
      <c r="AA115" s="197">
        <f t="shared" si="34"/>
        <v>23.282899999999998</v>
      </c>
      <c r="AB115" s="54" t="str">
        <f>VLOOKUP(A115,Enforcements!$C$7:$K$13,8,0)</f>
        <v>Bulletin (2)</v>
      </c>
      <c r="AC115" s="51" t="str">
        <f>VLOOKUP(A115,Enforcements!$C$7:$E$13,3,0)</f>
        <v>GRADE CROSSING</v>
      </c>
      <c r="AD115" s="206">
        <f t="shared" si="35"/>
        <v>202</v>
      </c>
      <c r="AE115" s="77" t="str">
        <f t="shared" si="36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115" s="74" t="str">
        <f t="shared" si="37"/>
        <v>"C:\Program Files (x86)\AstroGrep\AstroGrep.exe" /e /r /s /spath="%USERPROFILE%\AppData\Local\Temp\OnboardLogs" /stypes="app*4013*20170715*"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202-15 --locoid 4013 --swversion DE.1.0.9.0 --startMP 204:232974 --initTime 2017-07-15T17:02:31 --startdatetime 2017-07-15T17:12:14 --delay 1 --endMP 204:145 --enddatetime 2017-07-15T17:53:29 --enforcementcount 0 &gt;&gt;C:\Users\stu\Documents\GitHub\eaglep3-reporting\EC\2017-07-15-refined-times.txt</v>
      </c>
      <c r="AI115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{"issue":{"subject":"","project_id":79,"tracker_id":40,"status_id":1,"priority_id":2,"assigned_to_id":23,"start_date":"2017-07-15","description":"","custom_fields":[{"id":1,"name":"Subdivision","value":"EC"},{"id":4,"name":"Milepost","value":"0.0145"},{"id":17,"name":"Train ID","value":"202-15"},{"id":16,"name":"Locomotive ID","value":"4013"},{"id":130,"name":"Impact","value":""},{"id":150,"name":"Time of Event (Mountain Time)","value":"17:53:29"},{"id":151,"name":"Denver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4013 --day 2017-07-15</v>
      </c>
      <c r="AN115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766</v>
      </c>
      <c r="B116" s="7">
        <v>4032</v>
      </c>
      <c r="C116" s="21" t="s">
        <v>199</v>
      </c>
      <c r="D116" s="21" t="s">
        <v>402</v>
      </c>
      <c r="E116" s="13">
        <v>42931.686064814814</v>
      </c>
      <c r="F116" s="13">
        <v>42931.687939814816</v>
      </c>
      <c r="G116" s="7">
        <v>1</v>
      </c>
      <c r="H116" s="21" t="s">
        <v>924</v>
      </c>
      <c r="I116" s="13">
        <v>42931.713900462964</v>
      </c>
      <c r="J116" s="7">
        <v>0</v>
      </c>
      <c r="K116" s="89" t="str">
        <f t="shared" si="25"/>
        <v>4031/4032</v>
      </c>
      <c r="L116" s="21" t="str">
        <f>VLOOKUP(A116,'Trips&amp;Operators'!$C$1:$G$99999,5,FALSE)</f>
        <v>DAVIS MICHAEL</v>
      </c>
      <c r="M116" s="6">
        <f t="shared" si="26"/>
        <v>2.5960648148611654E-2</v>
      </c>
      <c r="N116" s="7">
        <f t="shared" si="44"/>
        <v>37.383333334000781</v>
      </c>
      <c r="O116" s="7"/>
      <c r="P116" s="7"/>
      <c r="Q116" s="22"/>
      <c r="R116" s="170"/>
      <c r="S116" s="213">
        <f t="shared" si="45"/>
        <v>1</v>
      </c>
      <c r="T116" s="195" t="str">
        <f t="shared" si="29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-15T15:27:56-0600',mode:absolute,to:'2017-07-15T18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6" s="197" t="str">
        <f>IF(AA116&lt;VLOOKUP(AG116,Variables!$AC$3:$AD$8,2,FALSE),"Y","N")</f>
        <v>N</v>
      </c>
      <c r="X116" s="197">
        <f t="shared" si="46"/>
        <v>1</v>
      </c>
      <c r="Y116" s="197">
        <f t="shared" si="32"/>
        <v>4.5499999999999999E-2</v>
      </c>
      <c r="Z116" s="197">
        <f t="shared" si="33"/>
        <v>23.3355</v>
      </c>
      <c r="AA116" s="197">
        <f t="shared" si="34"/>
        <v>23.29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203</v>
      </c>
      <c r="AE116" s="77" t="str">
        <f t="shared" si="36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116" s="74" t="str">
        <f t="shared" si="37"/>
        <v>"C:\Program Files (x86)\AstroGrep\AstroGrep.exe" /e /r /s /spath="%USERPROFILE%\AppData\Local\Temp\OnboardLogs" /stypes="app*4032*20170715*"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203-15 --locoid 4032 --swversion DE.1.0.9.0 --startMP 204:455 --initTime 2017-07-15T16:27:56 --startdatetime 2017-07-15T16:30:38 --delay 1 --endMP 204:233355 --enddatetime 2017-07-15T17:08:01 --enforcementcount 0 &gt;&gt;C:\Users\stu\Documents\GitHub\eaglep3-reporting\EC\2017-07-15-refined-times.txt</v>
      </c>
      <c r="AI116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{"issue":{"subject":"","project_id":79,"tracker_id":40,"status_id":1,"priority_id":2,"assigned_to_id":23,"start_date":"2017-07-15","description":"","custom_fields":[{"id":1,"name":"Subdivision","value":"EC"},{"id":4,"name":"Milepost","value":"23.3355"},{"id":17,"name":"Train ID","value":"203-15"},{"id":16,"name":"Locomotive ID","value":"4032"},{"id":130,"name":"Impact","value":""},{"id":150,"name":"Time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4032 --day 2017-07-15</v>
      </c>
      <c r="AN116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777</v>
      </c>
      <c r="B117" s="7">
        <v>4031</v>
      </c>
      <c r="C117" s="21" t="s">
        <v>199</v>
      </c>
      <c r="D117" s="21" t="s">
        <v>537</v>
      </c>
      <c r="E117" s="13">
        <v>42931.725613425922</v>
      </c>
      <c r="F117" s="13">
        <v>42931.727523148147</v>
      </c>
      <c r="G117" s="7">
        <v>1</v>
      </c>
      <c r="H117" s="21" t="s">
        <v>351</v>
      </c>
      <c r="I117" s="13">
        <v>42931.754745370374</v>
      </c>
      <c r="J117" s="7">
        <v>0</v>
      </c>
      <c r="K117" s="89" t="str">
        <f t="shared" si="25"/>
        <v>4031/4032</v>
      </c>
      <c r="L117" s="21" t="str">
        <f>VLOOKUP(A117,'Trips&amp;Operators'!$C$1:$G$99999,5,FALSE)</f>
        <v>DAVIS MICHAEL</v>
      </c>
      <c r="M117" s="6">
        <f t="shared" si="26"/>
        <v>2.7222222226555459E-2</v>
      </c>
      <c r="N117" s="7">
        <f t="shared" si="44"/>
        <v>39.200000006239861</v>
      </c>
      <c r="O117" s="7"/>
      <c r="P117" s="7"/>
      <c r="Q117" s="22"/>
      <c r="R117" s="170"/>
      <c r="S117" s="213">
        <f t="shared" si="45"/>
        <v>1</v>
      </c>
      <c r="T117" s="195" t="str">
        <f t="shared" si="29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-15T16:24:53-0600',mode:absolute,to:'2017-07-15T19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197" t="str">
        <f>IF(AA117&lt;VLOOKUP(AG117,Variables!$AC$3:$AD$8,2,FALSE),"Y","N")</f>
        <v>N</v>
      </c>
      <c r="X117" s="197">
        <f t="shared" si="46"/>
        <v>1</v>
      </c>
      <c r="Y117" s="197">
        <f t="shared" si="32"/>
        <v>23.299199999999999</v>
      </c>
      <c r="Z117" s="197">
        <f t="shared" si="33"/>
        <v>1.3899999999999999E-2</v>
      </c>
      <c r="AA117" s="197">
        <f t="shared" si="34"/>
        <v>23.285299999999999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204</v>
      </c>
      <c r="AE117" s="77" t="str">
        <f t="shared" si="36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17" s="74" t="str">
        <f t="shared" si="37"/>
        <v>"C:\Program Files (x86)\AstroGrep\AstroGrep.exe" /e /r /s /spath="%USERPROFILE%\AppData\Local\Temp\OnboardLogs" /stypes="app*4031*20170716*" /stext=" 00:.+((SYSTEM_STATE.+slice.+state.+changed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204-15 --locoid 4031 --swversion DE.1.0.9.0 --startMP 204:232992 --initTime 2017-07-15T17:24:53 --startdatetime 2017-07-15T17:27:38 --delay 1 --endMP 204:139 --enddatetime 2017-07-15T18:06:50 --enforcementcount 0 &gt;&gt;C:\Users\stu\Documents\GitHub\eaglep3-reporting\EC\2017-07-15-refined-times.txt</v>
      </c>
      <c r="AI117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{"issue":{"subject":"","project_id":79,"tracker_id":40,"status_id":1,"priority_id":2,"assigned_to_id":23,"start_date":"2017-07-15","description":"","custom_fields":[{"id":1,"name":"Subdivision","value":"EC"},{"id":4,"name":"Milepost","value":"0.0139"},{"id":17,"name":"Train ID","value":"204-15"},{"id":16,"name":"Locomotive ID","value":"4031"},{"id":130,"name":"Impact","value":""},{"id":150,"name":"Time of Event (Mountain Time)","value":"18:06:50"},{"id":151,"name":"Denver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4031 --day 2017-07-15</v>
      </c>
      <c r="AN11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769</v>
      </c>
      <c r="B118" s="7">
        <v>4054</v>
      </c>
      <c r="C118" s="21" t="s">
        <v>199</v>
      </c>
      <c r="D118" s="21" t="s">
        <v>848</v>
      </c>
      <c r="E118" s="13">
        <v>42931.695590277777</v>
      </c>
      <c r="F118" s="13">
        <v>42931.698414351849</v>
      </c>
      <c r="G118" s="7">
        <v>1</v>
      </c>
      <c r="H118" s="21" t="s">
        <v>505</v>
      </c>
      <c r="I118" s="13">
        <v>42931.724432870367</v>
      </c>
      <c r="J118" s="7">
        <v>0</v>
      </c>
      <c r="K118" s="89" t="str">
        <f t="shared" si="25"/>
        <v>4053/4054</v>
      </c>
      <c r="L118" s="21" t="str">
        <f>VLOOKUP(A118,'Trips&amp;Operators'!$C$1:$G$99999,5,FALSE)</f>
        <v>THOMPSON LESTER</v>
      </c>
      <c r="M118" s="6">
        <f t="shared" si="26"/>
        <v>2.6018518517958E-2</v>
      </c>
      <c r="N118" s="7">
        <f t="shared" si="44"/>
        <v>37.46666666585952</v>
      </c>
      <c r="O118" s="7"/>
      <c r="P118" s="7"/>
      <c r="Q118" s="22"/>
      <c r="R118" s="170"/>
      <c r="S118" s="213">
        <f t="shared" si="45"/>
        <v>1</v>
      </c>
      <c r="T118" s="195" t="str">
        <f t="shared" si="29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-15T15:41:39-0600',mode:absolute,to:'2017-07-15T18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 t="shared" si="32"/>
        <v>4.4900000000000002E-2</v>
      </c>
      <c r="Z118" s="197">
        <f t="shared" si="33"/>
        <v>23.331399999999999</v>
      </c>
      <c r="AA118" s="197">
        <f t="shared" si="34"/>
        <v>23.2865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205</v>
      </c>
      <c r="AE118" s="77" t="str">
        <f t="shared" si="36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118" s="74" t="str">
        <f t="shared" si="37"/>
        <v>"C:\Program Files (x86)\AstroGrep\AstroGrep.exe" /e /r /s /spath="%USERPROFILE%\AppData\Local\Temp\OnboardLogs" /stypes="app*4054*20170715*"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205-15 --locoid 4054 --swversion DE.1.0.9.0 --startMP 204:449 --initTime 2017-07-15T16:41:39 --startdatetime 2017-07-15T16:45:43 --delay 1 --endMP 204:233314 --enddatetime 2017-07-15T17:23:11 --enforcementcount 0 &gt;&gt;C:\Users\stu\Documents\GitHub\eaglep3-reporting\EC\2017-07-15-refined-times.txt</v>
      </c>
      <c r="AI118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{"issue":{"subject":"","project_id":79,"tracker_id":40,"status_id":1,"priority_id":2,"assigned_to_id":23,"start_date":"2017-07-15","description":"","custom_fields":[{"id":1,"name":"Subdivision","value":"EC"},{"id":4,"name":"Milepost","value":"23.3314"},{"id":17,"name":"Train ID","value":"205-15"},{"id":16,"name":"Locomotive ID","value":"4054"},{"id":130,"name":"Impact","value":""},{"id":150,"name":"Time of Event (Mountain Time)","value":"17:23:11"},{"id":151,"name":"Denver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4054 --day 2017-07-15</v>
      </c>
      <c r="AN118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780</v>
      </c>
      <c r="B119" s="7">
        <v>4053</v>
      </c>
      <c r="C119" s="21" t="s">
        <v>199</v>
      </c>
      <c r="D119" s="21" t="s">
        <v>837</v>
      </c>
      <c r="E119" s="13">
        <v>42931.735300925924</v>
      </c>
      <c r="F119" s="13">
        <v>42931.739178240743</v>
      </c>
      <c r="G119" s="7">
        <v>1</v>
      </c>
      <c r="H119" s="21" t="s">
        <v>386</v>
      </c>
      <c r="I119" s="13">
        <v>42931.766631944447</v>
      </c>
      <c r="J119" s="7">
        <v>0</v>
      </c>
      <c r="K119" s="89" t="str">
        <f t="shared" si="25"/>
        <v>4053/4054</v>
      </c>
      <c r="L119" s="21" t="str">
        <f>VLOOKUP(A119,'Trips&amp;Operators'!$C$1:$G$99999,5,FALSE)</f>
        <v>THOMPSON LESTER</v>
      </c>
      <c r="M119" s="6">
        <f t="shared" si="26"/>
        <v>2.7453703703940846E-2</v>
      </c>
      <c r="N119" s="7">
        <f t="shared" si="44"/>
        <v>39.533333333674818</v>
      </c>
      <c r="O119" s="7"/>
      <c r="P119" s="7"/>
      <c r="Q119" s="22"/>
      <c r="R119" s="170"/>
      <c r="S119" s="213">
        <f t="shared" si="45"/>
        <v>1</v>
      </c>
      <c r="T119" s="195" t="str">
        <f t="shared" si="29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-15T16:38:50-0600',mode:absolute,to:'2017-07-15T19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197" t="str">
        <f>IF(AA119&lt;VLOOKUP(AG119,Variables!$AC$3:$AD$8,2,FALSE),"Y","N")</f>
        <v>N</v>
      </c>
      <c r="X119" s="197">
        <f t="shared" ref="X119:X124" si="47">VALUE(LEFT(AD119,4))-VALUE(LEFT(AD118,4))</f>
        <v>1</v>
      </c>
      <c r="Y119" s="197">
        <f t="shared" si="32"/>
        <v>23.3002</v>
      </c>
      <c r="Z119" s="197">
        <f t="shared" si="33"/>
        <v>1.4500000000000001E-2</v>
      </c>
      <c r="AA119" s="197">
        <f t="shared" si="34"/>
        <v>23.285699999999999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206</v>
      </c>
      <c r="AE119" s="77" t="str">
        <f t="shared" si="36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119" s="74" t="str">
        <f t="shared" si="37"/>
        <v>"C:\Program Files (x86)\AstroGrep\AstroGrep.exe" /e /r /s /spath="%USERPROFILE%\AppData\Local\Temp\OnboardLogs" /stypes="app*4053*20170716*" /stext=" 00:.+((SYSTEM_STATE.+slice.+state.+changed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206-15 --locoid 4053 --swversion DE.1.0.9.0 --startMP 204:233002 --initTime 2017-07-15T17:38:50 --startdatetime 2017-07-15T17:44:25 --delay 1 --endMP 204:145 --enddatetime 2017-07-15T18:23:57 --enforcementcount 0 &gt;&gt;C:\Users\stu\Documents\GitHub\eaglep3-reporting\EC\2017-07-15-refined-times.txt</v>
      </c>
      <c r="AI11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{"issue":{"subject":"","project_id":79,"tracker_id":40,"status_id":1,"priority_id":2,"assigned_to_id":23,"start_date":"2017-07-15","description":"","custom_fields":[{"id":1,"name":"Subdivision","value":"EC"},{"id":4,"name":"Milepost","value":"0.0145"},{"id":17,"name":"Train ID","value":"206-15"},{"id":16,"name":"Locomotive ID","value":"4053"},{"id":130,"name":"Impact","value":""},{"id":150,"name":"Time of Event (Mountain Time)","value":"18:23:57"},{"id":151,"name":"Denver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4053 --day 2017-07-15</v>
      </c>
      <c r="AN11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775</v>
      </c>
      <c r="B120" s="7">
        <v>4056</v>
      </c>
      <c r="C120" s="21" t="s">
        <v>199</v>
      </c>
      <c r="D120" s="21" t="s">
        <v>925</v>
      </c>
      <c r="E120" s="13">
        <v>42931.705231481479</v>
      </c>
      <c r="F120" s="13">
        <v>42931.708981481483</v>
      </c>
      <c r="G120" s="7">
        <v>1</v>
      </c>
      <c r="H120" s="21" t="s">
        <v>563</v>
      </c>
      <c r="I120" s="13">
        <v>42931.734050925923</v>
      </c>
      <c r="J120" s="7">
        <v>0</v>
      </c>
      <c r="K120" s="89" t="str">
        <f t="shared" si="25"/>
        <v>4055/4056</v>
      </c>
      <c r="L120" s="21" t="str">
        <f>VLOOKUP(A120,'Trips&amp;Operators'!$C$1:$G$99999,5,FALSE)</f>
        <v>BRUDER RICHARD</v>
      </c>
      <c r="M120" s="6">
        <f t="shared" si="26"/>
        <v>2.5069444440305233E-2</v>
      </c>
      <c r="N120" s="7">
        <f t="shared" si="44"/>
        <v>36.099999994039536</v>
      </c>
      <c r="O120" s="7"/>
      <c r="P120" s="7"/>
      <c r="Q120" s="22"/>
      <c r="R120" s="170"/>
      <c r="S120" s="213">
        <f t="shared" si="45"/>
        <v>1</v>
      </c>
      <c r="T120" s="195" t="str">
        <f t="shared" si="29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-15T15:55:32-0600',mode:absolute,to:'2017-07-15T18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0" s="197" t="str">
        <f>IF(AA120&lt;VLOOKUP(AG120,Variables!$AC$3:$AD$8,2,FALSE),"Y","N")</f>
        <v>N</v>
      </c>
      <c r="X120" s="197">
        <f t="shared" si="47"/>
        <v>1</v>
      </c>
      <c r="Y120" s="197">
        <f t="shared" si="32"/>
        <v>4.7300000000000002E-2</v>
      </c>
      <c r="Z120" s="197">
        <f t="shared" si="33"/>
        <v>23.328399999999998</v>
      </c>
      <c r="AA120" s="197">
        <f t="shared" si="34"/>
        <v>23.281099999999999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207</v>
      </c>
      <c r="AE120" s="77" t="str">
        <f t="shared" si="36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120" s="74" t="str">
        <f t="shared" si="37"/>
        <v>"C:\Program Files (x86)\AstroGrep\AstroGrep.exe" /e /r /s /spath="%USERPROFILE%\AppData\Local\Temp\OnboardLogs" /stypes="app*4056*20170715*" /stext=" 23:.+((SYSTEM_STATE.+slice.+state.+changed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207-15 --locoid 4056 --swversion DE.1.0.9.0 --startMP 204:473 --initTime 2017-07-15T16:55:32 --startdatetime 2017-07-15T17:00:56 --delay 1 --endMP 204:233284 --enddatetime 2017-07-15T17:37:02 --enforcementcount 0 &gt;&gt;C:\Users\stu\Documents\GitHub\eaglep3-reporting\EC\2017-07-15-refined-times.txt</v>
      </c>
      <c r="AI120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{"issue":{"subject":"","project_id":79,"tracker_id":40,"status_id":1,"priority_id":2,"assigned_to_id":23,"start_date":"2017-07-15","description":"","custom_fields":[{"id":1,"name":"Subdivision","value":"EC"},{"id":4,"name":"Milepost","value":"23.3284"},{"id":17,"name":"Train ID","value":"207-15"},{"id":16,"name":"Locomotive ID","value":"4056"},{"id":130,"name":"Impact","value":""},{"id":150,"name":"Time of Event (Mountain Time)","value":"17:37:02"},{"id":151,"name":"Denver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4056 --day 2017-07-15</v>
      </c>
      <c r="AN120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782</v>
      </c>
      <c r="B121" s="7">
        <v>4055</v>
      </c>
      <c r="C121" s="21" t="s">
        <v>199</v>
      </c>
      <c r="D121" s="21" t="s">
        <v>531</v>
      </c>
      <c r="E121" s="13">
        <v>42931.745381944442</v>
      </c>
      <c r="F121" s="13">
        <v>42931.748101851852</v>
      </c>
      <c r="G121" s="7">
        <v>1</v>
      </c>
      <c r="H121" s="21" t="s">
        <v>381</v>
      </c>
      <c r="I121" s="13">
        <v>42931.774189814816</v>
      </c>
      <c r="J121" s="7">
        <v>0</v>
      </c>
      <c r="K121" s="89" t="str">
        <f t="shared" si="25"/>
        <v>4055/4056</v>
      </c>
      <c r="L121" s="21" t="str">
        <f>VLOOKUP(A121,'Trips&amp;Operators'!$C$1:$G$99999,5,FALSE)</f>
        <v>BRUDER RICHARD</v>
      </c>
      <c r="M121" s="6">
        <f t="shared" si="26"/>
        <v>2.6087962964083999E-2</v>
      </c>
      <c r="N121" s="7">
        <f t="shared" si="44"/>
        <v>37.566666668280959</v>
      </c>
      <c r="O121" s="7"/>
      <c r="P121" s="7"/>
      <c r="Q121" s="22"/>
      <c r="R121" s="170"/>
      <c r="S121" s="213">
        <f t="shared" si="45"/>
        <v>1</v>
      </c>
      <c r="T121" s="195" t="str">
        <f t="shared" si="29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-15T16:53:21-0600',mode:absolute,to:'2017-07-15T19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1" s="197" t="str">
        <f>IF(AA121&lt;VLOOKUP(AG121,Variables!$AC$3:$AD$8,2,FALSE),"Y","N")</f>
        <v>N</v>
      </c>
      <c r="X121" s="197">
        <f t="shared" si="47"/>
        <v>1</v>
      </c>
      <c r="Y121" s="197">
        <f t="shared" si="32"/>
        <v>23.297499999999999</v>
      </c>
      <c r="Z121" s="197">
        <f t="shared" si="33"/>
        <v>1.54E-2</v>
      </c>
      <c r="AA121" s="197">
        <f t="shared" si="34"/>
        <v>23.2821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208</v>
      </c>
      <c r="AE121" s="77" t="str">
        <f t="shared" si="36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121" s="74" t="str">
        <f t="shared" si="37"/>
        <v>"C:\Program Files (x86)\AstroGrep\AstroGrep.exe" /e /r /s /spath="%USERPROFILE%\AppData\Local\Temp\OnboardLogs" /stypes="app*4055*20170716*" /stext=" 00:.+((SYSTEM_STATE.+slice.+state.+changed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208-15 --locoid 4055 --swversion DE.1.0.9.0 --startMP 204:232975 --initTime 2017-07-15T17:53:21 --startdatetime 2017-07-15T17:57:16 --delay 1 --endMP 204:154 --enddatetime 2017-07-15T18:34:50 --enforcementcount 0 &gt;&gt;C:\Users\stu\Documents\GitHub\eaglep3-reporting\EC\2017-07-15-refined-times.txt</v>
      </c>
      <c r="AI121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{"issue":{"subject":"","project_id":79,"tracker_id":40,"status_id":1,"priority_id":2,"assigned_to_id":23,"start_date":"2017-07-15","description":"","custom_fields":[{"id":1,"name":"Subdivision","value":"EC"},{"id":4,"name":"Milepost","value":"0.0154"},{"id":17,"name":"Train ID","value":"208-15"},{"id":16,"name":"Locomotive ID","value":"4055"},{"id":130,"name":"Impact","value":""},{"id":150,"name":"Time of Event (Mountain Time)","value":"18:34:50"},{"id":151,"name":"Denver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4055 --day 2017-07-15</v>
      </c>
      <c r="AN121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604</v>
      </c>
      <c r="B122" s="7">
        <v>4016</v>
      </c>
      <c r="C122" s="21" t="s">
        <v>199</v>
      </c>
      <c r="D122" s="21" t="s">
        <v>480</v>
      </c>
      <c r="E122" s="13">
        <v>42931.718773148146</v>
      </c>
      <c r="F122" s="13">
        <v>42931.720462962963</v>
      </c>
      <c r="G122" s="7">
        <v>1</v>
      </c>
      <c r="H122" s="21" t="s">
        <v>926</v>
      </c>
      <c r="I122" s="13">
        <v>42931.745439814818</v>
      </c>
      <c r="J122" s="7">
        <v>0</v>
      </c>
      <c r="K122" s="89" t="str">
        <f t="shared" si="25"/>
        <v>4015/4016</v>
      </c>
      <c r="L122" s="21" t="str">
        <f>VLOOKUP(A122,'Trips&amp;Operators'!$C$1:$G$99999,5,FALSE)</f>
        <v>SULLIVAN BRANDON</v>
      </c>
      <c r="M122" s="6">
        <f t="shared" si="26"/>
        <v>2.4976851855171844E-2</v>
      </c>
      <c r="N122" s="7">
        <f t="shared" si="44"/>
        <v>35.966666671447456</v>
      </c>
      <c r="O122" s="7"/>
      <c r="P122" s="7"/>
      <c r="Q122" s="22"/>
      <c r="R122" s="170"/>
      <c r="S122" s="213">
        <f t="shared" si="45"/>
        <v>1</v>
      </c>
      <c r="T122" s="195" t="str">
        <f t="shared" si="29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-15T16:15:02-0600',mode:absolute,to:'2017-07-15T18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197" t="str">
        <f>IF(AA122&lt;VLOOKUP(AG122,Variables!$AC$3:$AD$8,2,FALSE),"Y","N")</f>
        <v>N</v>
      </c>
      <c r="X122" s="197">
        <f t="shared" si="47"/>
        <v>1</v>
      </c>
      <c r="Y122" s="197">
        <f t="shared" si="32"/>
        <v>4.6399999999999997E-2</v>
      </c>
      <c r="Z122" s="197">
        <f t="shared" si="33"/>
        <v>23.334900000000001</v>
      </c>
      <c r="AA122" s="197">
        <f t="shared" si="34"/>
        <v>23.288500000000003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209</v>
      </c>
      <c r="AE122" s="77" t="str">
        <f t="shared" si="36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122" s="74" t="str">
        <f t="shared" si="37"/>
        <v>"C:\Program Files (x86)\AstroGrep\AstroGrep.exe" /e /r /s /spath="%USERPROFILE%\AppData\Local\Temp\OnboardLogs" /stypes="app*4016*20170715*" /stext=" 23:.+((SYSTEM_STATE.+slice.+state.+changed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209-15 --locoid 4016 --swversion DE.1.0.9.0 --startMP 204:464 --initTime 2017-07-15T17:15:02 --startdatetime 2017-07-15T17:17:28 --delay 1 --endMP 204:233349 --enddatetime 2017-07-15T17:53:26 --enforcementcount 0 &gt;&gt;C:\Users\stu\Documents\GitHub\eaglep3-reporting\EC\2017-07-15-refined-times.txt</v>
      </c>
      <c r="AI122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{"issue":{"subject":"","project_id":79,"tracker_id":40,"status_id":1,"priority_id":2,"assigned_to_id":23,"start_date":"2017-07-15","description":"","custom_fields":[{"id":1,"name":"Subdivision","value":"EC"},{"id":4,"name":"Milepost","value":"23.3349"},{"id":17,"name":"Train ID","value":"209-15"},{"id":16,"name":"Locomotive ID","value":"4016"},{"id":130,"name":"Impact","value":""},{"id":150,"name":"Time of Event (Mountain Time)","value":"17:53:26"},{"id":151,"name":"Denver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4016 --day 2017-07-15</v>
      </c>
      <c r="AN122" s="151" t="str">
        <f t="shared" si="4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785</v>
      </c>
      <c r="B123" s="7">
        <v>4015</v>
      </c>
      <c r="C123" s="21" t="s">
        <v>199</v>
      </c>
      <c r="D123" s="21" t="s">
        <v>927</v>
      </c>
      <c r="E123" s="13">
        <v>42931.75167824074</v>
      </c>
      <c r="F123" s="13">
        <v>42931.758506944447</v>
      </c>
      <c r="G123" s="7">
        <v>2</v>
      </c>
      <c r="H123" s="21" t="s">
        <v>343</v>
      </c>
      <c r="I123" s="13">
        <v>42931.785509259258</v>
      </c>
      <c r="J123" s="7">
        <v>0</v>
      </c>
      <c r="K123" s="89" t="str">
        <f t="shared" si="25"/>
        <v>4015/4016</v>
      </c>
      <c r="L123" s="21" t="str">
        <f>VLOOKUP(A123,'Trips&amp;Operators'!$C$1:$G$99999,5,FALSE)</f>
        <v>SULLIVAN BRANDON</v>
      </c>
      <c r="M123" s="6">
        <f t="shared" si="26"/>
        <v>2.700231481139781E-2</v>
      </c>
      <c r="N123" s="7">
        <f t="shared" si="44"/>
        <v>38.883333328412846</v>
      </c>
      <c r="O123" s="7"/>
      <c r="P123" s="7"/>
      <c r="Q123" s="22"/>
      <c r="R123" s="170"/>
      <c r="S123" s="213">
        <f t="shared" si="45"/>
        <v>1</v>
      </c>
      <c r="T123" s="195" t="str">
        <f t="shared" si="29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-15T17:02:25-0600',mode:absolute,to:'2017-07-15T19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197" t="str">
        <f>IF(AA123&lt;VLOOKUP(AG123,Variables!$AC$3:$AD$8,2,FALSE),"Y","N")</f>
        <v>N</v>
      </c>
      <c r="X123" s="197">
        <f t="shared" si="47"/>
        <v>1</v>
      </c>
      <c r="Y123" s="197">
        <f t="shared" si="32"/>
        <v>23.304500000000001</v>
      </c>
      <c r="Z123" s="197">
        <f t="shared" si="33"/>
        <v>1.4999999999999999E-2</v>
      </c>
      <c r="AA123" s="197">
        <f t="shared" si="34"/>
        <v>23.2895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210</v>
      </c>
      <c r="AE123" s="77" t="str">
        <f t="shared" si="36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23" s="74" t="str">
        <f t="shared" si="37"/>
        <v>"C:\Program Files (x86)\AstroGrep\AstroGrep.exe" /e /r /s /spath="%USERPROFILE%\AppData\Local\Temp\OnboardLogs" /stypes="app*4015*20170716*" /stext=" 00:.+((SYSTEM_STATE.+slice.+state.+changed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210-15 --locoid 4015 --swversion DE.1.0.9.0 --startMP 204:233045 --initTime 2017-07-15T18:02:25 --startdatetime 2017-07-15T18:12:15 --delay 2 --endMP 204:150 --enddatetime 2017-07-15T18:51:08 --enforcementcount 0 &gt;&gt;C:\Users\stu\Documents\GitHub\eaglep3-reporting\EC\2017-07-15-refined-times.txt</v>
      </c>
      <c r="AI123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{"issue":{"subject":"","project_id":79,"tracker_id":40,"status_id":1,"priority_id":2,"assigned_to_id":23,"start_date":"2017-07-15","description":"","custom_fields":[{"id":1,"name":"Subdivision","value":"EC"},{"id":4,"name":"Milepost","value":"0.015"},{"id":17,"name":"Train ID","value":"210-15"},{"id":16,"name":"Locomotive ID","value":"4015"},{"id":130,"name":"Impact","value":""},{"id":150,"name":"Time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4015 --day 2017-07-15</v>
      </c>
      <c r="AN12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605</v>
      </c>
      <c r="B124" s="7">
        <v>4022</v>
      </c>
      <c r="C124" s="21" t="s">
        <v>199</v>
      </c>
      <c r="D124" s="21" t="s">
        <v>846</v>
      </c>
      <c r="E124" s="13">
        <v>42931.726030092592</v>
      </c>
      <c r="F124" s="13">
        <v>42931.729687500003</v>
      </c>
      <c r="G124" s="7">
        <v>1</v>
      </c>
      <c r="H124" s="21" t="s">
        <v>928</v>
      </c>
      <c r="I124" s="13">
        <v>42931.754351851851</v>
      </c>
      <c r="J124" s="7">
        <v>0</v>
      </c>
      <c r="K124" s="89" t="str">
        <f t="shared" si="25"/>
        <v>4021/4022</v>
      </c>
      <c r="L124" s="21" t="str">
        <f>VLOOKUP(A124,'Trips&amp;Operators'!$C$1:$G$99999,5,FALSE)</f>
        <v>DELGADO DIANAH</v>
      </c>
      <c r="M124" s="6">
        <f t="shared" si="26"/>
        <v>2.4664351847604848E-2</v>
      </c>
      <c r="N124" s="7">
        <f t="shared" si="44"/>
        <v>35.516666660550982</v>
      </c>
      <c r="O124" s="7"/>
      <c r="P124" s="7"/>
      <c r="Q124" s="22"/>
      <c r="R124" s="170"/>
      <c r="S124" s="213">
        <f t="shared" si="45"/>
        <v>1</v>
      </c>
      <c r="T124" s="195" t="str">
        <f t="shared" si="29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-15T16:25:29-0600',mode:absolute,to:'2017-07-15T19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4" s="197" t="str">
        <f>IF(AA124&lt;VLOOKUP(AG124,Variables!$AC$3:$AD$8,2,FALSE),"Y","N")</f>
        <v>N</v>
      </c>
      <c r="X124" s="197">
        <f t="shared" si="47"/>
        <v>1</v>
      </c>
      <c r="Y124" s="197">
        <f t="shared" si="32"/>
        <v>4.3700000000000003E-2</v>
      </c>
      <c r="Z124" s="197">
        <f t="shared" si="33"/>
        <v>23.339500000000001</v>
      </c>
      <c r="AA124" s="197">
        <f t="shared" si="34"/>
        <v>23.2958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211</v>
      </c>
      <c r="AE124" s="77" t="str">
        <f t="shared" si="36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124" s="74" t="str">
        <f t="shared" si="37"/>
        <v>"C:\Program Files (x86)\AstroGrep\AstroGrep.exe" /e /r /s /spath="%USERPROFILE%\AppData\Local\Temp\OnboardLogs" /stypes="app*4022*20170716*"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211-15 --locoid 4022 --swversion DE.1.0.9.0 --startMP 204:437 --initTime 2017-07-15T17:25:29 --startdatetime 2017-07-15T17:30:45 --delay 1 --endMP 204:233395 --enddatetime 2017-07-15T18:06:16 --enforcementcount 0 &gt;&gt;C:\Users\stu\Documents\GitHub\eaglep3-reporting\EC\2017-07-15-refined-times.txt</v>
      </c>
      <c r="AI124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{"issue":{"subject":"","project_id":79,"tracker_id":40,"status_id":1,"priority_id":2,"assigned_to_id":23,"start_date":"2017-07-15","description":"","custom_fields":[{"id":1,"name":"Subdivision","value":"EC"},{"id":4,"name":"Milepost","value":"23.3395"},{"id":17,"name":"Train ID","value":"211-15"},{"id":16,"name":"Locomotive ID","value":"4022"},{"id":130,"name":"Impact","value":""},{"id":150,"name":"Time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4022 --day 2017-07-15</v>
      </c>
      <c r="AN124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787</v>
      </c>
      <c r="B125" s="7">
        <v>4021</v>
      </c>
      <c r="C125" s="21" t="s">
        <v>199</v>
      </c>
      <c r="D125" s="21" t="s">
        <v>929</v>
      </c>
      <c r="E125" s="13">
        <v>42931.763668981483</v>
      </c>
      <c r="F125" s="13">
        <v>42931.768912037034</v>
      </c>
      <c r="G125" s="7">
        <v>1</v>
      </c>
      <c r="H125" s="21" t="s">
        <v>845</v>
      </c>
      <c r="I125" s="13">
        <v>42931.794363425928</v>
      </c>
      <c r="J125" s="7">
        <v>0</v>
      </c>
      <c r="K125" s="89" t="str">
        <f t="shared" si="25"/>
        <v>4021/4022</v>
      </c>
      <c r="L125" s="21" t="str">
        <f>VLOOKUP(A125,'Trips&amp;Operators'!$C$1:$G$99999,5,FALSE)</f>
        <v>DELGADO DIANAH</v>
      </c>
      <c r="M125" s="6">
        <f t="shared" si="26"/>
        <v>2.5451388893998228E-2</v>
      </c>
      <c r="N125" s="7">
        <f t="shared" si="44"/>
        <v>36.650000007357448</v>
      </c>
      <c r="O125" s="7"/>
      <c r="P125" s="7"/>
      <c r="Q125" s="22"/>
      <c r="R125" s="170"/>
      <c r="S125" s="213">
        <f t="shared" si="45"/>
        <v>1</v>
      </c>
      <c r="T125" s="195" t="str">
        <f t="shared" si="29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-15T17:19:41-0600',mode:absolute,to:'2017-07-15T20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5" s="197" t="str">
        <f>IF(AA125&lt;VLOOKUP(AG125,Variables!$AC$3:$AD$8,2,FALSE),"Y","N")</f>
        <v>N</v>
      </c>
      <c r="X125" s="197">
        <f t="shared" ref="X125:X157" si="48">VALUE(LEFT(AD125,4))-VALUE(LEFT(AD124,4))</f>
        <v>1</v>
      </c>
      <c r="Y125" s="197">
        <f t="shared" si="32"/>
        <v>23.307200000000002</v>
      </c>
      <c r="Z125" s="197">
        <f t="shared" si="33"/>
        <v>1.6500000000000001E-2</v>
      </c>
      <c r="AA125" s="197">
        <f t="shared" si="34"/>
        <v>23.290700000000001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212</v>
      </c>
      <c r="AE125" s="77" t="str">
        <f t="shared" si="36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125" s="74" t="str">
        <f t="shared" si="37"/>
        <v>"C:\Program Files (x86)\AstroGrep\AstroGrep.exe" /e /r /s /spath="%USERPROFILE%\AppData\Local\Temp\OnboardLogs" /stypes="app*4021*20170716*" /stext=" 01:.+((SYSTEM_STATE.+slice.+state.+changed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212-15 --locoid 4021 --swversion DE.1.0.9.0 --startMP 204:233072 --initTime 2017-07-15T18:19:41 --startdatetime 2017-07-15T18:27:14 --delay 1 --endMP 204:165 --enddatetime 2017-07-15T19:03:53 --enforcementcount 0 &gt;&gt;C:\Users\stu\Documents\GitHub\eaglep3-reporting\EC\2017-07-15-refined-times.txt</v>
      </c>
      <c r="AI125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{"issue":{"subject":"","project_id":79,"tracker_id":40,"status_id":1,"priority_id":2,"assigned_to_id":23,"start_date":"2017-07-15","description":"","custom_fields":[{"id":1,"name":"Subdivision","value":"EC"},{"id":4,"name":"Milepost","value":"0.0165"},{"id":17,"name":"Train ID","value":"212-15"},{"id":16,"name":"Locomotive ID","value":"4021"},{"id":130,"name":"Impact","value":""},{"id":150,"name":"Time of Event (Mountain Time)","value":"19:03:53"},{"id":151,"name":"Denver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4021 --day 2017-07-15</v>
      </c>
      <c r="AN125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781</v>
      </c>
      <c r="B126" s="7">
        <v>4024</v>
      </c>
      <c r="C126" s="21" t="s">
        <v>199</v>
      </c>
      <c r="D126" s="21" t="s">
        <v>925</v>
      </c>
      <c r="E126" s="13">
        <v>42931.736793981479</v>
      </c>
      <c r="F126" s="13">
        <v>42931.74013888889</v>
      </c>
      <c r="G126" s="7">
        <v>2</v>
      </c>
      <c r="H126" s="21" t="s">
        <v>566</v>
      </c>
      <c r="I126" s="13">
        <v>42931.765069444446</v>
      </c>
      <c r="J126" s="7">
        <v>0</v>
      </c>
      <c r="K126" s="89" t="str">
        <f t="shared" si="25"/>
        <v>4023/4024</v>
      </c>
      <c r="L126" s="21" t="str">
        <f>VLOOKUP(A126,'Trips&amp;Operators'!$C$1:$G$99999,5,FALSE)</f>
        <v>YANG JAN</v>
      </c>
      <c r="M126" s="6">
        <f t="shared" si="26"/>
        <v>2.4930555555329192E-2</v>
      </c>
      <c r="N126" s="7">
        <f t="shared" si="44"/>
        <v>35.899999999674037</v>
      </c>
      <c r="O126" s="7"/>
      <c r="P126" s="7"/>
      <c r="Q126" s="22"/>
      <c r="R126" s="170"/>
      <c r="S126" s="213">
        <f t="shared" si="45"/>
        <v>1</v>
      </c>
      <c r="T126" s="195" t="str">
        <f t="shared" si="29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-15T16:40:59-0600',mode:absolute,to:'2017-07-15T19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6" s="197" t="str">
        <f>IF(AA126&lt;VLOOKUP(AG126,Variables!$AC$3:$AD$8,2,FALSE),"Y","N")</f>
        <v>N</v>
      </c>
      <c r="X126" s="197">
        <f t="shared" si="48"/>
        <v>1</v>
      </c>
      <c r="Y126" s="197">
        <f t="shared" si="32"/>
        <v>4.7300000000000002E-2</v>
      </c>
      <c r="Z126" s="197">
        <f t="shared" si="33"/>
        <v>23.333200000000001</v>
      </c>
      <c r="AA126" s="197">
        <f t="shared" si="34"/>
        <v>23.285900000000002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213</v>
      </c>
      <c r="AE126" s="77" t="str">
        <f t="shared" si="36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126" s="74" t="str">
        <f t="shared" si="37"/>
        <v>"C:\Program Files (x86)\AstroGrep\AstroGrep.exe" /e /r /s /spath="%USERPROFILE%\AppData\Local\Temp\OnboardLogs" /stypes="app*4024*20170716*" /stext=" 00:.+((SYSTEM_STATE.+slice.+state.+changed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213-15 --locoid 4024 --swversion DE.1.0.9.0 --startMP 204:473 --initTime 2017-07-15T17:40:59 --startdatetime 2017-07-15T17:45:48 --delay 2 --endMP 204:233332 --enddatetime 2017-07-15T18:21:42 --enforcementcount 0 &gt;&gt;C:\Users\stu\Documents\GitHub\eaglep3-reporting\EC\2017-07-15-refined-times.txt</v>
      </c>
      <c r="AI126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{"issue":{"subject":"","project_id":79,"tracker_id":40,"status_id":1,"priority_id":2,"assigned_to_id":23,"start_date":"2017-07-15","description":"","custom_fields":[{"id":1,"name":"Subdivision","value":"EC"},{"id":4,"name":"Milepost","value":"23.3332"},{"id":17,"name":"Train ID","value":"213-15"},{"id":16,"name":"Locomotive ID","value":"4024"},{"id":130,"name":"Impact","value":""},{"id":150,"name":"Time of Event (Mountain Time)","value":"18:21:42"},{"id":151,"name":"Denver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4024 --day 2017-07-15</v>
      </c>
      <c r="AN126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789</v>
      </c>
      <c r="B127" s="7">
        <v>4023</v>
      </c>
      <c r="C127" s="21" t="s">
        <v>199</v>
      </c>
      <c r="D127" s="21" t="s">
        <v>572</v>
      </c>
      <c r="E127" s="13">
        <v>42931.774537037039</v>
      </c>
      <c r="F127" s="13">
        <v>42931.779409722221</v>
      </c>
      <c r="G127" s="7">
        <v>1</v>
      </c>
      <c r="H127" s="21" t="s">
        <v>386</v>
      </c>
      <c r="I127" s="13">
        <v>42931.805509259262</v>
      </c>
      <c r="J127" s="7">
        <v>0</v>
      </c>
      <c r="K127" s="89" t="str">
        <f t="shared" si="25"/>
        <v>4023/4024</v>
      </c>
      <c r="L127" s="21" t="str">
        <f>VLOOKUP(A127,'Trips&amp;Operators'!$C$1:$G$99999,5,FALSE)</f>
        <v>YANG JAN</v>
      </c>
      <c r="M127" s="6">
        <f t="shared" si="26"/>
        <v>2.6099537040863652E-2</v>
      </c>
      <c r="N127" s="7">
        <f t="shared" si="44"/>
        <v>37.583333338843659</v>
      </c>
      <c r="O127" s="7"/>
      <c r="P127" s="7"/>
      <c r="Q127" s="22"/>
      <c r="R127" s="170"/>
      <c r="S127" s="213">
        <f t="shared" si="45"/>
        <v>1</v>
      </c>
      <c r="T127" s="195" t="str">
        <f t="shared" si="29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-15T17:35:20-0600',mode:absolute,to:'2017-07-15T20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7" s="197" t="str">
        <f>IF(AA127&lt;VLOOKUP(AG127,Variables!$AC$3:$AD$8,2,FALSE),"Y","N")</f>
        <v>N</v>
      </c>
      <c r="X127" s="197">
        <f t="shared" si="48"/>
        <v>1</v>
      </c>
      <c r="Y127" s="197">
        <f t="shared" si="32"/>
        <v>23.301100000000002</v>
      </c>
      <c r="Z127" s="197">
        <f t="shared" si="33"/>
        <v>1.4500000000000001E-2</v>
      </c>
      <c r="AA127" s="197">
        <f t="shared" si="34"/>
        <v>23.2866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214</v>
      </c>
      <c r="AE127" s="77" t="str">
        <f t="shared" si="36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127" s="74" t="str">
        <f t="shared" si="37"/>
        <v>"C:\Program Files (x86)\AstroGrep\AstroGrep.exe" /e /r /s /spath="%USERPROFILE%\AppData\Local\Temp\OnboardLogs" /stypes="app*4023*20170716*" /stext=" 01:.+((SYSTEM_STATE.+slice.+state.+changed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214-15 --locoid 4023 --swversion DE.1.0.9.0 --startMP 204:233011 --initTime 2017-07-15T18:35:20 --startdatetime 2017-07-15T18:42:21 --delay 1 --endMP 204:145 --enddatetime 2017-07-15T19:19:56 --enforcementcount 0 &gt;&gt;C:\Users\stu\Documents\GitHub\eaglep3-reporting\EC\2017-07-15-refined-times.txt</v>
      </c>
      <c r="AI127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{"issue":{"subject":"","project_id":79,"tracker_id":40,"status_id":1,"priority_id":2,"assigned_to_id":23,"start_date":"2017-07-15","description":"","custom_fields":[{"id":1,"name":"Subdivision","value":"EC"},{"id":4,"name":"Milepost","value":"0.0145"},{"id":17,"name":"Train ID","value":"214-15"},{"id":16,"name":"Locomotive ID","value":"4023"},{"id":130,"name":"Impact","value":""},{"id":150,"name":"Time of Event (Mountain Time)","value":"19:19:56"},{"id":151,"name":"Denver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4023 --day 2017-07-15</v>
      </c>
      <c r="AN12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783</v>
      </c>
      <c r="B128" s="7">
        <v>4014</v>
      </c>
      <c r="C128" s="21" t="s">
        <v>199</v>
      </c>
      <c r="D128" s="21" t="s">
        <v>855</v>
      </c>
      <c r="E128" s="13">
        <v>42931.746747685182</v>
      </c>
      <c r="F128" s="13">
        <v>42931.750150462962</v>
      </c>
      <c r="G128" s="7">
        <v>1</v>
      </c>
      <c r="H128" s="21" t="s">
        <v>423</v>
      </c>
      <c r="I128" s="13">
        <v>42931.775335648148</v>
      </c>
      <c r="J128" s="7">
        <v>0</v>
      </c>
      <c r="K128" s="89" t="str">
        <f t="shared" si="25"/>
        <v>4013/4014</v>
      </c>
      <c r="L128" s="21" t="str">
        <f>VLOOKUP(A128,'Trips&amp;Operators'!$C$1:$G$99999,5,FALSE)</f>
        <v>DUNCAN SHEILA</v>
      </c>
      <c r="M128" s="6">
        <f t="shared" si="26"/>
        <v>2.5185185186273884E-2</v>
      </c>
      <c r="N128" s="7">
        <f t="shared" si="44"/>
        <v>36.266666668234393</v>
      </c>
      <c r="O128" s="7"/>
      <c r="P128" s="7"/>
      <c r="Q128" s="22"/>
      <c r="R128" s="170"/>
      <c r="S128" s="213">
        <f t="shared" si="45"/>
        <v>1</v>
      </c>
      <c r="T128" s="195" t="str">
        <f t="shared" si="29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-15T16:55:19-0600',mode:absolute,to:'2017-07-15T19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8" s="197" t="str">
        <f>IF(AA128&lt;VLOOKUP(AG128,Variables!$AC$3:$AD$8,2,FALSE),"Y","N")</f>
        <v>N</v>
      </c>
      <c r="X128" s="197">
        <f t="shared" si="48"/>
        <v>1</v>
      </c>
      <c r="Y128" s="197">
        <f t="shared" si="32"/>
        <v>4.8000000000000001E-2</v>
      </c>
      <c r="Z128" s="197">
        <f t="shared" si="33"/>
        <v>23.329499999999999</v>
      </c>
      <c r="AA128" s="197">
        <f t="shared" si="34"/>
        <v>23.281500000000001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215</v>
      </c>
      <c r="AE128" s="77" t="str">
        <f t="shared" si="36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128" s="74" t="str">
        <f t="shared" si="37"/>
        <v>"C:\Program Files (x86)\AstroGrep\AstroGrep.exe" /e /r /s /spath="%USERPROFILE%\AppData\Local\Temp\OnboardLogs" /stypes="app*4014*20170716*" /stext=" 00:.+((SYSTEM_STATE.+slice.+state.+changed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215-15 --locoid 4014 --swversion DE.1.0.9.0 --startMP 204:480 --initTime 2017-07-15T17:55:19 --startdatetime 2017-07-15T18:00:13 --delay 1 --endMP 204:233295 --enddatetime 2017-07-15T18:36:29 --enforcementcount 0 &gt;&gt;C:\Users\stu\Documents\GitHub\eaglep3-reporting\EC\2017-07-15-refined-times.txt</v>
      </c>
      <c r="AI128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{"issue":{"subject":"","project_id":79,"tracker_id":40,"status_id":1,"priority_id":2,"assigned_to_id":23,"start_date":"2017-07-15","description":"","custom_fields":[{"id":1,"name":"Subdivision","value":"EC"},{"id":4,"name":"Milepost","value":"23.3295"},{"id":17,"name":"Train ID","value":"215-15"},{"id":16,"name":"Locomotive ID","value":"4014"},{"id":130,"name":"Impact","value":""},{"id":150,"name":"Time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4014 --day 2017-07-15</v>
      </c>
      <c r="AN128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792</v>
      </c>
      <c r="B129" s="7">
        <v>4013</v>
      </c>
      <c r="C129" s="21" t="s">
        <v>199</v>
      </c>
      <c r="D129" s="21" t="s">
        <v>847</v>
      </c>
      <c r="E129" s="13">
        <v>42931.783055555556</v>
      </c>
      <c r="F129" s="13">
        <v>42931.789814814816</v>
      </c>
      <c r="G129" s="7">
        <v>1</v>
      </c>
      <c r="H129" s="21" t="s">
        <v>343</v>
      </c>
      <c r="I129" s="13">
        <v>42931.816562499997</v>
      </c>
      <c r="J129" s="7">
        <v>0</v>
      </c>
      <c r="K129" s="89" t="str">
        <f t="shared" si="25"/>
        <v>4013/4014</v>
      </c>
      <c r="L129" s="21" t="str">
        <f>VLOOKUP(A129,'Trips&amp;Operators'!$C$1:$G$99999,5,FALSE)</f>
        <v>DUNCAN SHEILA</v>
      </c>
      <c r="M129" s="6">
        <f t="shared" si="26"/>
        <v>2.6747685180453118E-2</v>
      </c>
      <c r="N129" s="7">
        <f t="shared" si="44"/>
        <v>38.51666665985249</v>
      </c>
      <c r="O129" s="7"/>
      <c r="P129" s="7"/>
      <c r="Q129" s="22"/>
      <c r="R129" s="170"/>
      <c r="S129" s="213">
        <f t="shared" si="45"/>
        <v>1</v>
      </c>
      <c r="T129" s="195" t="str">
        <f t="shared" si="29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-15T17:47:36-0600',mode:absolute,to:'2017-07-15T20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9" s="197" t="str">
        <f>IF(AA129&lt;VLOOKUP(AG129,Variables!$AC$3:$AD$8,2,FALSE),"Y","N")</f>
        <v>N</v>
      </c>
      <c r="X129" s="197">
        <f t="shared" si="48"/>
        <v>1</v>
      </c>
      <c r="Y129" s="197">
        <f t="shared" si="32"/>
        <v>23.2986</v>
      </c>
      <c r="Z129" s="197">
        <f t="shared" si="33"/>
        <v>1.4999999999999999E-2</v>
      </c>
      <c r="AA129" s="197">
        <f t="shared" si="34"/>
        <v>23.2836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216</v>
      </c>
      <c r="AE129" s="77" t="str">
        <f t="shared" si="36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129" s="74" t="str">
        <f t="shared" si="37"/>
        <v>"C:\Program Files (x86)\AstroGrep\AstroGrep.exe" /e /r /s /spath="%USERPROFILE%\AppData\Local\Temp\OnboardLogs" /stypes="app*4013*20170716*" /stext=" 01:.+((SYSTEM_STATE.+slice.+state.+changed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216-15 --locoid 4013 --swversion DE.1.0.9.0 --startMP 204:232986 --initTime 2017-07-15T18:47:36 --startdatetime 2017-07-15T18:57:20 --delay 1 --endMP 204:150 --enddatetime 2017-07-15T19:35:51 --enforcementcount 0 &gt;&gt;C:\Users\stu\Documents\GitHub\eaglep3-reporting\EC\2017-07-15-refined-times.txt</v>
      </c>
      <c r="AI12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{"issue":{"subject":"","project_id":79,"tracker_id":40,"status_id":1,"priority_id":2,"assigned_to_id":23,"start_date":"2017-07-15","description":"","custom_fields":[{"id":1,"name":"Subdivision","value":"EC"},{"id":4,"name":"Milepost","value":"0.015"},{"id":17,"name":"Train ID","value":"216-15"},{"id":16,"name":"Locomotive ID","value":"4013"},{"id":130,"name":"Impact","value":""},{"id":150,"name":"Time of Event (Mountain Time)","value":"19:35:51"},{"id":151,"name":"Denver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4013 --day 2017-07-15</v>
      </c>
      <c r="AN12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786</v>
      </c>
      <c r="B130" s="7">
        <v>4032</v>
      </c>
      <c r="C130" s="21" t="s">
        <v>199</v>
      </c>
      <c r="D130" s="21" t="s">
        <v>380</v>
      </c>
      <c r="E130" s="13">
        <v>42931.756099537037</v>
      </c>
      <c r="F130" s="13">
        <v>42931.760949074072</v>
      </c>
      <c r="G130" s="7">
        <v>1</v>
      </c>
      <c r="H130" s="21" t="s">
        <v>930</v>
      </c>
      <c r="I130" s="13">
        <v>42931.785613425927</v>
      </c>
      <c r="J130" s="7">
        <v>0</v>
      </c>
      <c r="K130" s="89" t="str">
        <f t="shared" si="25"/>
        <v>4031/4032</v>
      </c>
      <c r="L130" s="21" t="str">
        <f>VLOOKUP(A130,'Trips&amp;Operators'!$C$1:$G$99999,5,FALSE)</f>
        <v>PERKINS DARREN</v>
      </c>
      <c r="M130" s="6">
        <f t="shared" si="26"/>
        <v>2.4664351854880806E-2</v>
      </c>
      <c r="N130" s="7">
        <f t="shared" si="44"/>
        <v>35.516666671028361</v>
      </c>
      <c r="O130" s="7"/>
      <c r="P130" s="7"/>
      <c r="Q130" s="22"/>
      <c r="R130" s="170"/>
      <c r="S130" s="213">
        <f t="shared" si="45"/>
        <v>1</v>
      </c>
      <c r="T130" s="195" t="str">
        <f t="shared" si="29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-15T17:08:47-0600',mode:absolute,to:'2017-07-15T19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197" t="str">
        <f>IF(AA130&lt;VLOOKUP(AG130,Variables!$AC$3:$AD$8,2,FALSE),"Y","N")</f>
        <v>N</v>
      </c>
      <c r="X130" s="197">
        <f t="shared" si="48"/>
        <v>1</v>
      </c>
      <c r="Y130" s="197">
        <f t="shared" si="32"/>
        <v>4.6199999999999998E-2</v>
      </c>
      <c r="Z130" s="197">
        <f t="shared" si="33"/>
        <v>23.340599999999998</v>
      </c>
      <c r="AA130" s="197">
        <f t="shared" si="34"/>
        <v>23.2944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217</v>
      </c>
      <c r="AE130" s="77" t="str">
        <f t="shared" si="36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130" s="74" t="str">
        <f t="shared" si="37"/>
        <v>"C:\Program Files (x86)\AstroGrep\AstroGrep.exe" /e /r /s /spath="%USERPROFILE%\AppData\Local\Temp\OnboardLogs" /stypes="app*4032*20170716*" /stext=" 00:.+((SYSTEM_STATE.+slice.+state.+changed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217-15 --locoid 4032 --swversion DE.1.0.9.0 --startMP 204:462 --initTime 2017-07-15T18:08:47 --startdatetime 2017-07-15T18:15:46 --delay 1 --endMP 204:233406 --enddatetime 2017-07-15T18:51:17 --enforcementcount 0 &gt;&gt;C:\Users\stu\Documents\GitHub\eaglep3-reporting\EC\2017-07-15-refined-times.txt</v>
      </c>
      <c r="AI130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{"issue":{"subject":"","project_id":79,"tracker_id":40,"status_id":1,"priority_id":2,"assigned_to_id":23,"start_date":"2017-07-15","description":"","custom_fields":[{"id":1,"name":"Subdivision","value":"EC"},{"id":4,"name":"Milepost","value":"23.3406"},{"id":17,"name":"Train ID","value":"217-15"},{"id":16,"name":"Locomotive ID","value":"4032"},{"id":130,"name":"Impact","value":""},{"id":150,"name":"Time of Event (Mountain Time)","value":"18:51:17"},{"id":151,"name":"Denver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4032 --day 2017-07-15</v>
      </c>
      <c r="AN130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794</v>
      </c>
      <c r="B131" s="7">
        <v>4031</v>
      </c>
      <c r="C131" s="21" t="s">
        <v>199</v>
      </c>
      <c r="D131" s="21" t="s">
        <v>568</v>
      </c>
      <c r="E131" s="13">
        <v>42931.794166666667</v>
      </c>
      <c r="F131" s="13">
        <v>42931.800300925926</v>
      </c>
      <c r="G131" s="7">
        <v>1</v>
      </c>
      <c r="H131" s="21" t="s">
        <v>427</v>
      </c>
      <c r="I131" s="13">
        <v>42931.826608796298</v>
      </c>
      <c r="J131" s="7">
        <v>0</v>
      </c>
      <c r="K131" s="89" t="str">
        <f t="shared" si="25"/>
        <v>4031/4032</v>
      </c>
      <c r="L131" s="21" t="str">
        <f>VLOOKUP(A131,'Trips&amp;Operators'!$C$1:$G$99999,5,FALSE)</f>
        <v>PERKINS DARREN</v>
      </c>
      <c r="M131" s="6">
        <f t="shared" si="26"/>
        <v>2.6307870371965691E-2</v>
      </c>
      <c r="N131" s="7">
        <f t="shared" si="44"/>
        <v>37.883333335630596</v>
      </c>
      <c r="O131" s="7"/>
      <c r="P131" s="7"/>
      <c r="Q131" s="22"/>
      <c r="R131" s="170"/>
      <c r="S131" s="213">
        <f t="shared" si="45"/>
        <v>1</v>
      </c>
      <c r="T131" s="195" t="str">
        <f t="shared" si="29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-15T18:03:36-0600',mode:absolute,to:'2017-07-15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197" t="str">
        <f>IF(AA131&lt;VLOOKUP(AG131,Variables!$AC$3:$AD$8,2,FALSE),"Y","N")</f>
        <v>N</v>
      </c>
      <c r="X131" s="197">
        <f t="shared" si="48"/>
        <v>1</v>
      </c>
      <c r="Y131" s="197">
        <f t="shared" si="32"/>
        <v>23.306799999999999</v>
      </c>
      <c r="Z131" s="197">
        <f t="shared" si="33"/>
        <v>1.32E-2</v>
      </c>
      <c r="AA131" s="197">
        <f t="shared" si="34"/>
        <v>23.293599999999998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218</v>
      </c>
      <c r="AE131" s="77" t="str">
        <f t="shared" si="36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31" s="74" t="str">
        <f t="shared" si="37"/>
        <v>"C:\Program Files (x86)\AstroGrep\AstroGrep.exe" /e /r /s /spath="%USERPROFILE%\AppData\Local\Temp\OnboardLogs" /stypes="app*4031*20170716*" /stext=" 01:.+((SYSTEM_STATE.+slice.+state.+changed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218-15 --locoid 4031 --swversion DE.1.0.9.0 --startMP 204:233068 --initTime 2017-07-15T19:03:36 --startdatetime 2017-07-15T19:12:26 --delay 1 --endMP 204:132 --enddatetime 2017-07-15T19:50:19 --enforcementcount 0 &gt;&gt;C:\Users\stu\Documents\GitHub\eaglep3-reporting\EC\2017-07-15-refined-times.txt</v>
      </c>
      <c r="AI131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{"issue":{"subject":"","project_id":79,"tracker_id":40,"status_id":1,"priority_id":2,"assigned_to_id":23,"start_date":"2017-07-15","description":"","custom_fields":[{"id":1,"name":"Subdivision","value":"EC"},{"id":4,"name":"Milepost","value":"0.0132"},{"id":17,"name":"Train ID","value":"218-15"},{"id":16,"name":"Locomotive ID","value":"4031"},{"id":130,"name":"Impact","value":""},{"id":150,"name":"Time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4031 --day 2017-07-15</v>
      </c>
      <c r="AN131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788</v>
      </c>
      <c r="B132" s="7">
        <v>4054</v>
      </c>
      <c r="C132" s="21" t="s">
        <v>199</v>
      </c>
      <c r="D132" s="21" t="s">
        <v>480</v>
      </c>
      <c r="E132" s="13">
        <v>42931.768530092595</v>
      </c>
      <c r="F132" s="13">
        <v>42931.771458333336</v>
      </c>
      <c r="G132" s="7">
        <v>1</v>
      </c>
      <c r="H132" s="21" t="s">
        <v>924</v>
      </c>
      <c r="I132" s="13">
        <v>42931.797071759262</v>
      </c>
      <c r="J132" s="7">
        <v>0</v>
      </c>
      <c r="K132" s="89" t="str">
        <f t="shared" si="25"/>
        <v>4053/4054</v>
      </c>
      <c r="L132" s="21" t="str">
        <f>VLOOKUP(A132,'Trips&amp;Operators'!$C$1:$G$99999,5,FALSE)</f>
        <v>FORTUNATO FRANK</v>
      </c>
      <c r="M132" s="6">
        <f t="shared" si="26"/>
        <v>2.5613425925257616E-2</v>
      </c>
      <c r="N132" s="7">
        <f t="shared" si="44"/>
        <v>36.883333332370967</v>
      </c>
      <c r="O132" s="7"/>
      <c r="P132" s="7"/>
      <c r="Q132" s="22"/>
      <c r="R132" s="170"/>
      <c r="S132" s="213">
        <f t="shared" si="45"/>
        <v>1</v>
      </c>
      <c r="T132" s="195" t="str">
        <f t="shared" si="29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-15T17:26:41-0600',mode:absolute,to:'2017-07-15T20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197" t="str">
        <f>IF(AA132&lt;VLOOKUP(AG132,Variables!$AC$3:$AD$8,2,FALSE),"Y","N")</f>
        <v>N</v>
      </c>
      <c r="X132" s="197">
        <f t="shared" si="48"/>
        <v>1</v>
      </c>
      <c r="Y132" s="197">
        <f t="shared" si="32"/>
        <v>4.6399999999999997E-2</v>
      </c>
      <c r="Z132" s="197">
        <f t="shared" si="33"/>
        <v>23.3355</v>
      </c>
      <c r="AA132" s="197">
        <f t="shared" si="34"/>
        <v>23.289100000000001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219</v>
      </c>
      <c r="AE132" s="77" t="str">
        <f t="shared" si="36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132" s="74" t="str">
        <f t="shared" si="37"/>
        <v>"C:\Program Files (x86)\AstroGrep\AstroGrep.exe" /e /r /s /spath="%USERPROFILE%\AppData\Local\Temp\OnboardLogs" /stypes="app*4054*20170716*"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219-15 --locoid 4054 --swversion DE.1.0.9.0 --startMP 204:464 --initTime 2017-07-15T18:26:41 --startdatetime 2017-07-15T18:30:54 --delay 1 --endMP 204:233355 --enddatetime 2017-07-15T19:07:47 --enforcementcount 0 &gt;&gt;C:\Users\stu\Documents\GitHub\eaglep3-reporting\EC\2017-07-15-refined-times.txt</v>
      </c>
      <c r="AI132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{"issue":{"subject":"","project_id":79,"tracker_id":40,"status_id":1,"priority_id":2,"assigned_to_id":23,"start_date":"2017-07-15","description":"","custom_fields":[{"id":1,"name":"Subdivision","value":"EC"},{"id":4,"name":"Milepost","value":"23.3355"},{"id":17,"name":"Train ID","value":"219-15"},{"id":16,"name":"Locomotive ID","value":"4054"},{"id":130,"name":"Impact","value":""},{"id":150,"name":"Time of Event (Mountain Time)","value":"19:07:47"},{"id":151,"name":"Denver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4054 --day 2017-07-15</v>
      </c>
      <c r="AN132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797</v>
      </c>
      <c r="B133" s="7">
        <v>4053</v>
      </c>
      <c r="C133" s="21" t="s">
        <v>199</v>
      </c>
      <c r="D133" s="21" t="s">
        <v>503</v>
      </c>
      <c r="E133" s="13">
        <v>42931.8044212963</v>
      </c>
      <c r="F133" s="13">
        <v>42931.810567129629</v>
      </c>
      <c r="G133" s="7">
        <v>1</v>
      </c>
      <c r="H133" s="21" t="s">
        <v>534</v>
      </c>
      <c r="I133" s="13">
        <v>42931.836886574078</v>
      </c>
      <c r="J133" s="7">
        <v>0</v>
      </c>
      <c r="K133" s="89" t="str">
        <f t="shared" si="25"/>
        <v>4053/4054</v>
      </c>
      <c r="L133" s="21" t="str">
        <f>VLOOKUP(A133,'Trips&amp;Operators'!$C$1:$G$99999,5,FALSE)</f>
        <v>FORTUNATO FRANK</v>
      </c>
      <c r="M133" s="6">
        <f t="shared" si="26"/>
        <v>2.6319444448745344E-2</v>
      </c>
      <c r="N133" s="7">
        <f t="shared" si="44"/>
        <v>37.900000006193295</v>
      </c>
      <c r="O133" s="7"/>
      <c r="P133" s="7"/>
      <c r="Q133" s="22"/>
      <c r="R133" s="170"/>
      <c r="S133" s="213">
        <f t="shared" si="45"/>
        <v>1</v>
      </c>
      <c r="T133" s="195" t="str">
        <f t="shared" si="29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-15T18:18:22-0600',mode:absolute,to:'2017-07-15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97" t="str">
        <f>IF(AA133&lt;VLOOKUP(AG133,Variables!$AC$3:$AD$8,2,FALSE),"Y","N")</f>
        <v>N</v>
      </c>
      <c r="X133" s="197">
        <f t="shared" si="48"/>
        <v>1</v>
      </c>
      <c r="Y133" s="197">
        <f t="shared" si="32"/>
        <v>23.298400000000001</v>
      </c>
      <c r="Z133" s="197">
        <f t="shared" si="33"/>
        <v>1.2699999999999999E-2</v>
      </c>
      <c r="AA133" s="197">
        <f t="shared" si="34"/>
        <v>23.285700000000002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220</v>
      </c>
      <c r="AE133" s="77" t="str">
        <f t="shared" si="36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133" s="74" t="str">
        <f t="shared" si="37"/>
        <v>"C:\Program Files (x86)\AstroGrep\AstroGrep.exe" /e /r /s /spath="%USERPROFILE%\AppData\Local\Temp\OnboardLogs" /stypes="app*4053*20170716*" /stext=" 02:.+((SYSTEM_STATE.+slice.+state.+changed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220-15 --locoid 4053 --swversion DE.1.0.9.0 --startMP 204:232984 --initTime 2017-07-15T19:18:22 --startdatetime 2017-07-15T19:27:13 --delay 1 --endMP 204:127 --enddatetime 2017-07-15T20:05:07 --enforcementcount 0 &gt;&gt;C:\Users\stu\Documents\GitHub\eaglep3-reporting\EC\2017-07-15-refined-times.txt</v>
      </c>
      <c r="AI133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{"issue":{"subject":"","project_id":79,"tracker_id":40,"status_id":1,"priority_id":2,"assigned_to_id":23,"start_date":"2017-07-15","description":"","custom_fields":[{"id":1,"name":"Subdivision","value":"EC"},{"id":4,"name":"Milepost","value":"0.0127"},{"id":17,"name":"Train ID","value":"220-15"},{"id":16,"name":"Locomotive ID","value":"4053"},{"id":130,"name":"Impact","value":""},{"id":150,"name":"Time of Event (Mountain Time)","value":"20:05:07"},{"id":151,"name":"Denver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4053 --day 2017-07-15</v>
      </c>
      <c r="AN13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793</v>
      </c>
      <c r="B134" s="7">
        <v>4016</v>
      </c>
      <c r="C134" s="21" t="s">
        <v>199</v>
      </c>
      <c r="D134" s="21" t="s">
        <v>402</v>
      </c>
      <c r="E134" s="13">
        <v>42931.78833333333</v>
      </c>
      <c r="F134" s="13">
        <v>42931.792314814818</v>
      </c>
      <c r="G134" s="7">
        <v>2</v>
      </c>
      <c r="H134" s="21" t="s">
        <v>530</v>
      </c>
      <c r="I134" s="13">
        <v>42931.817708333336</v>
      </c>
      <c r="J134" s="7">
        <v>0</v>
      </c>
      <c r="K134" s="89" t="str">
        <f t="shared" si="25"/>
        <v>4015/4016</v>
      </c>
      <c r="L134" s="21" t="str">
        <f>VLOOKUP(A134,'Trips&amp;Operators'!$C$1:$G$99999,5,FALSE)</f>
        <v>LAMAR NEKESHA</v>
      </c>
      <c r="M134" s="6">
        <f t="shared" si="26"/>
        <v>2.5393518517375924E-2</v>
      </c>
      <c r="N134" s="7">
        <f t="shared" si="44"/>
        <v>36.56666666502133</v>
      </c>
      <c r="O134" s="7"/>
      <c r="P134" s="7"/>
      <c r="Q134" s="22"/>
      <c r="R134" s="170"/>
      <c r="S134" s="213">
        <f t="shared" si="45"/>
        <v>1</v>
      </c>
      <c r="T134" s="195" t="str">
        <f t="shared" si="29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-15T17:55:12-0600',mode:absolute,to:'2017-07-15T20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7" t="str">
        <f>IF(AA134&lt;VLOOKUP(AG134,Variables!$AC$3:$AD$8,2,FALSE),"Y","N")</f>
        <v>N</v>
      </c>
      <c r="X134" s="197">
        <f t="shared" si="48"/>
        <v>1</v>
      </c>
      <c r="Y134" s="197">
        <f t="shared" si="32"/>
        <v>4.5499999999999999E-2</v>
      </c>
      <c r="Z134" s="197">
        <f t="shared" si="33"/>
        <v>23.328600000000002</v>
      </c>
      <c r="AA134" s="197">
        <f t="shared" si="34"/>
        <v>23.283100000000001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221</v>
      </c>
      <c r="AE134" s="77" t="str">
        <f t="shared" si="36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134" s="74" t="str">
        <f t="shared" si="37"/>
        <v>"C:\Program Files (x86)\AstroGrep\AstroGrep.exe" /e /r /s /spath="%USERPROFILE%\AppData\Local\Temp\OnboardLogs" /stypes="app*4016*20170716*" /stext=" 01:.+((SYSTEM_STATE.+slice.+state.+changed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221-15 --locoid 4016 --swversion DE.1.0.9.0 --startMP 204:455 --initTime 2017-07-15T18:55:12 --startdatetime 2017-07-15T19:00:56 --delay 2 --endMP 204:233286 --enddatetime 2017-07-15T19:37:30 --enforcementcount 0 &gt;&gt;C:\Users\stu\Documents\GitHub\eaglep3-reporting\EC\2017-07-15-refined-times.txt</v>
      </c>
      <c r="AI134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{"issue":{"subject":"","project_id":79,"tracker_id":40,"status_id":1,"priority_id":2,"assigned_to_id":23,"start_date":"2017-07-15","description":"","custom_fields":[{"id":1,"name":"Subdivision","value":"EC"},{"id":4,"name":"Milepost","value":"23.3286"},{"id":17,"name":"Train ID","value":"221-15"},{"id":16,"name":"Locomotive ID","value":"4016"},{"id":130,"name":"Impact","value":""},{"id":150,"name":"Time of Event (Mountain Time)","value":"19:37:30"},{"id":151,"name":"Denver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4016 --day 2017-07-15</v>
      </c>
      <c r="AN134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805</v>
      </c>
      <c r="B135" s="7">
        <v>4015</v>
      </c>
      <c r="C135" s="21" t="s">
        <v>199</v>
      </c>
      <c r="D135" s="21" t="s">
        <v>525</v>
      </c>
      <c r="E135" s="13">
        <v>42931.826435185183</v>
      </c>
      <c r="F135" s="13">
        <v>42931.831388888888</v>
      </c>
      <c r="G135" s="7">
        <v>2</v>
      </c>
      <c r="H135" s="21" t="s">
        <v>391</v>
      </c>
      <c r="I135" s="13">
        <v>42931.858749999999</v>
      </c>
      <c r="J135" s="7">
        <v>0</v>
      </c>
      <c r="K135" s="89" t="str">
        <f t="shared" si="25"/>
        <v>4015/4016</v>
      </c>
      <c r="L135" s="21" t="str">
        <f>VLOOKUP(A135,'Trips&amp;Operators'!$C$1:$G$99999,5,FALSE)</f>
        <v>LAMAR NEKESHA</v>
      </c>
      <c r="M135" s="6">
        <f t="shared" si="26"/>
        <v>2.73611111115315E-2</v>
      </c>
      <c r="N135" s="7">
        <f t="shared" si="44"/>
        <v>39.40000000060536</v>
      </c>
      <c r="O135" s="7"/>
      <c r="P135" s="7"/>
      <c r="Q135" s="22"/>
      <c r="R135" s="170"/>
      <c r="S135" s="213">
        <f t="shared" si="45"/>
        <v>1</v>
      </c>
      <c r="T135" s="195" t="str">
        <f t="shared" si="29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-15T18:50:04-0600',mode:absolute,to:'2017-07-15T21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7" t="str">
        <f>IF(AA135&lt;VLOOKUP(AG135,Variables!$AC$3:$AD$8,2,FALSE),"Y","N")</f>
        <v>N</v>
      </c>
      <c r="X135" s="197">
        <f t="shared" si="48"/>
        <v>1</v>
      </c>
      <c r="Y135" s="197">
        <f t="shared" si="32"/>
        <v>23.296500000000002</v>
      </c>
      <c r="Z135" s="197">
        <f t="shared" si="33"/>
        <v>1.5599999999999999E-2</v>
      </c>
      <c r="AA135" s="197">
        <f t="shared" si="34"/>
        <v>23.280900000000003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222</v>
      </c>
      <c r="AE135" s="77" t="str">
        <f t="shared" si="36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35" s="74" t="str">
        <f t="shared" si="37"/>
        <v>"C:\Program Files (x86)\AstroGrep\AstroGrep.exe" /e /r /s /spath="%USERPROFILE%\AppData\Local\Temp\OnboardLogs" /stypes="app*4015*20170716*" /stext=" 02:.+((SYSTEM_STATE.+slice.+state.+changed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222-15 --locoid 4015 --swversion DE.1.0.9.0 --startMP 204:232965 --initTime 2017-07-15T19:50:04 --startdatetime 2017-07-15T19:57:12 --delay 2 --endMP 204:156 --enddatetime 2017-07-15T20:36:36 --enforcementcount 0 &gt;&gt;C:\Users\stu\Documents\GitHub\eaglep3-reporting\EC\2017-07-15-refined-times.txt</v>
      </c>
      <c r="AI135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{"issue":{"subject":"","project_id":79,"tracker_id":40,"status_id":1,"priority_id":2,"assigned_to_id":23,"start_date":"2017-07-15","description":"","custom_fields":[{"id":1,"name":"Subdivision","value":"EC"},{"id":4,"name":"Milepost","value":"0.0156"},{"id":17,"name":"Train ID","value":"222-15"},{"id":16,"name":"Locomotive ID","value":"4015"},{"id":130,"name":"Impact","value":""},{"id":150,"name":"Time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4015 --day 2017-07-15</v>
      </c>
      <c r="AN135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800</v>
      </c>
      <c r="B136" s="7">
        <v>4024</v>
      </c>
      <c r="C136" s="21" t="s">
        <v>199</v>
      </c>
      <c r="D136" s="21" t="s">
        <v>346</v>
      </c>
      <c r="E136" s="13">
        <v>42931.807766203703</v>
      </c>
      <c r="F136" s="13">
        <v>42931.813055555554</v>
      </c>
      <c r="G136" s="7">
        <v>1</v>
      </c>
      <c r="H136" s="21" t="s">
        <v>563</v>
      </c>
      <c r="I136" s="13">
        <v>42931.838622685187</v>
      </c>
      <c r="J136" s="7">
        <v>0</v>
      </c>
      <c r="K136" s="89" t="str">
        <f t="shared" si="25"/>
        <v>4023/4024</v>
      </c>
      <c r="L136" s="21" t="str">
        <f>VLOOKUP(A136,'Trips&amp;Operators'!$C$1:$G$99999,5,FALSE)</f>
        <v>YANG JAN</v>
      </c>
      <c r="M136" s="6">
        <f t="shared" si="26"/>
        <v>2.5567129632690921E-2</v>
      </c>
      <c r="N136" s="7">
        <f t="shared" si="44"/>
        <v>36.816666671074927</v>
      </c>
      <c r="O136" s="7"/>
      <c r="P136" s="7"/>
      <c r="Q136" s="22"/>
      <c r="R136" s="170"/>
      <c r="S136" s="213">
        <f t="shared" si="45"/>
        <v>1</v>
      </c>
      <c r="T136" s="195" t="str">
        <f t="shared" si="29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-15T18:23:11-0600',mode:absolute,to:'2017-07-15T21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6" s="197" t="str">
        <f>IF(AA136&lt;VLOOKUP(AG136,Variables!$AC$3:$AD$8,2,FALSE),"Y","N")</f>
        <v>N</v>
      </c>
      <c r="X136" s="197">
        <f t="shared" si="48"/>
        <v>1</v>
      </c>
      <c r="Y136" s="197">
        <f t="shared" si="32"/>
        <v>4.6600000000000003E-2</v>
      </c>
      <c r="Z136" s="197">
        <f t="shared" si="33"/>
        <v>23.328399999999998</v>
      </c>
      <c r="AA136" s="197">
        <f t="shared" si="34"/>
        <v>23.281799999999997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223</v>
      </c>
      <c r="AE136" s="77" t="str">
        <f t="shared" si="36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136" s="74" t="str">
        <f t="shared" si="37"/>
        <v>"C:\Program Files (x86)\AstroGrep\AstroGrep.exe" /e /r /s /spath="%USERPROFILE%\AppData\Local\Temp\OnboardLogs" /stypes="app*4024*20170716*"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223-15 --locoid 4024 --swversion DE.1.0.9.0 --startMP 204:466 --initTime 2017-07-15T19:23:11 --startdatetime 2017-07-15T19:30:48 --delay 1 --endMP 204:233284 --enddatetime 2017-07-15T20:07:37 --enforcementcount 0 &gt;&gt;C:\Users\stu\Documents\GitHub\eaglep3-reporting\EC\2017-07-15-refined-times.txt</v>
      </c>
      <c r="AI136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{"issue":{"subject":"","project_id":79,"tracker_id":40,"status_id":1,"priority_id":2,"assigned_to_id":23,"start_date":"2017-07-15","description":"","custom_fields":[{"id":1,"name":"Subdivision","value":"EC"},{"id":4,"name":"Milepost","value":"23.3284"},{"id":17,"name":"Train ID","value":"223-15"},{"id":16,"name":"Locomotive ID","value":"4024"},{"id":130,"name":"Impact","value":""},{"id":150,"name":"Time of Event (Mountain Time)","value":"20:07:37"},{"id":151,"name":"Denver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4024 --day 2017-07-15</v>
      </c>
      <c r="AN136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807</v>
      </c>
      <c r="B137" s="7">
        <v>4023</v>
      </c>
      <c r="C137" s="21" t="s">
        <v>199</v>
      </c>
      <c r="D137" s="21" t="s">
        <v>854</v>
      </c>
      <c r="E137" s="13">
        <v>42931.843506944446</v>
      </c>
      <c r="F137" s="13">
        <v>42931.852337962962</v>
      </c>
      <c r="G137" s="7">
        <v>1</v>
      </c>
      <c r="H137" s="21" t="s">
        <v>354</v>
      </c>
      <c r="I137" s="13">
        <v>42931.879120370373</v>
      </c>
      <c r="J137" s="7">
        <v>0</v>
      </c>
      <c r="K137" s="89" t="str">
        <f t="shared" si="25"/>
        <v>4023/4024</v>
      </c>
      <c r="L137" s="21" t="str">
        <f>VLOOKUP(A137,'Trips&amp;Operators'!$C$1:$G$99999,5,FALSE)</f>
        <v>YANG JAN</v>
      </c>
      <c r="M137" s="6">
        <f t="shared" si="26"/>
        <v>2.6782407410792075E-2</v>
      </c>
      <c r="N137" s="7">
        <f t="shared" si="44"/>
        <v>38.566666671540588</v>
      </c>
      <c r="O137" s="7"/>
      <c r="P137" s="7"/>
      <c r="Q137" s="22"/>
      <c r="R137" s="170"/>
      <c r="S137" s="213">
        <f t="shared" si="45"/>
        <v>1</v>
      </c>
      <c r="T137" s="195" t="str">
        <f t="shared" si="29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-15T19:14:39-0600',mode:absolute,to:'2017-07-15T22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7" s="197" t="str">
        <f>IF(AA137&lt;VLOOKUP(AG137,Variables!$AC$3:$AD$8,2,FALSE),"Y","N")</f>
        <v>N</v>
      </c>
      <c r="X137" s="197">
        <f t="shared" si="48"/>
        <v>1</v>
      </c>
      <c r="Y137" s="197">
        <f t="shared" si="32"/>
        <v>23.3005</v>
      </c>
      <c r="Z137" s="197">
        <f t="shared" si="33"/>
        <v>1.47E-2</v>
      </c>
      <c r="AA137" s="197">
        <f t="shared" si="34"/>
        <v>23.285799999999998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224</v>
      </c>
      <c r="AE137" s="77" t="str">
        <f t="shared" si="36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137" s="74" t="str">
        <f t="shared" si="37"/>
        <v>"C:\Program Files (x86)\AstroGrep\AstroGrep.exe" /e /r /s /spath="%USERPROFILE%\AppData\Local\Temp\OnboardLogs" /stypes="app*4023*20170716*" /stext=" 03:.+((SYSTEM_STATE.+slice.+state.+changed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224-15 --locoid 4023 --swversion DE.1.0.9.0 --startMP 204:233005 --initTime 2017-07-15T20:14:39 --startdatetime 2017-07-15T20:27:22 --delay 1 --endMP 204:147 --enddatetime 2017-07-15T21:05:56 --enforcementcount 0 &gt;&gt;C:\Users\stu\Documents\GitHub\eaglep3-reporting\EC\2017-07-15-refined-times.txt</v>
      </c>
      <c r="AI137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ID","value":"224-15"},{"id":16,"name":"Locomotive ID","value":"4023"},{"id":130,"name":"Impact","value":""},{"id":150,"name":"Time of Event (Mountain Time)","value":"21:05:56"},{"id":151,"name":"Denver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4023 --day 2017-07-15</v>
      </c>
      <c r="AN13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806</v>
      </c>
      <c r="B138" s="7">
        <v>4032</v>
      </c>
      <c r="C138" s="21" t="s">
        <v>199</v>
      </c>
      <c r="D138" s="21" t="s">
        <v>536</v>
      </c>
      <c r="E138" s="13">
        <v>42931.828402777777</v>
      </c>
      <c r="F138" s="13">
        <v>42931.834050925929</v>
      </c>
      <c r="G138" s="7">
        <v>0</v>
      </c>
      <c r="H138" s="21" t="s">
        <v>931</v>
      </c>
      <c r="I138" s="13">
        <v>42931.8593287037</v>
      </c>
      <c r="J138" s="7">
        <v>0</v>
      </c>
      <c r="K138" s="89" t="str">
        <f t="shared" si="25"/>
        <v>4031/4032</v>
      </c>
      <c r="L138" s="21" t="str">
        <f>VLOOKUP(A138,'Trips&amp;Operators'!$C$1:$G$99999,5,FALSE)</f>
        <v>PERKINS DARREN</v>
      </c>
      <c r="M138" s="6">
        <f t="shared" si="26"/>
        <v>2.5277777771407273E-2</v>
      </c>
      <c r="N138" s="7">
        <f t="shared" si="44"/>
        <v>36.399999990826473</v>
      </c>
      <c r="O138" s="7"/>
      <c r="P138" s="7"/>
      <c r="Q138" s="22"/>
      <c r="R138" s="170"/>
      <c r="S138" s="213">
        <f t="shared" si="45"/>
        <v>1</v>
      </c>
      <c r="T138" s="195" t="str">
        <f t="shared" si="29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-15T18:52:54-0600',mode:absolute,to:'2017-07-15T21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8" s="197" t="str">
        <f>IF(AA138&lt;VLOOKUP(AG138,Variables!$AC$3:$AD$8,2,FALSE),"Y","N")</f>
        <v>N</v>
      </c>
      <c r="X138" s="197">
        <f t="shared" si="48"/>
        <v>1</v>
      </c>
      <c r="Y138" s="197">
        <f t="shared" si="32"/>
        <v>4.3999999999999997E-2</v>
      </c>
      <c r="Z138" s="197">
        <f t="shared" si="33"/>
        <v>23.334700000000002</v>
      </c>
      <c r="AA138" s="197">
        <f t="shared" si="34"/>
        <v>23.290700000000001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225</v>
      </c>
      <c r="AE138" s="77" t="str">
        <f t="shared" si="36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138" s="74" t="str">
        <f t="shared" si="37"/>
        <v>"C:\Program Files (x86)\AstroGrep\AstroGrep.exe" /e /r /s /spath="%USERPROFILE%\AppData\Local\Temp\OnboardLogs" /stypes="app*4032*20170716*" /stext=" 02:.+((SYSTEM_STATE.+slice.+state.+changed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225-15 --locoid 4032 --swversion DE.1.0.9.0 --startMP 204:440 --initTime 2017-07-15T19:52:54 --startdatetime 2017-07-15T20:01:02 --delay 0 --endMP 204:233347 --enddatetime 2017-07-15T20:37:26 --enforcementcount 0 &gt;&gt;C:\Users\stu\Documents\GitHub\eaglep3-reporting\EC\2017-07-15-refined-times.txt</v>
      </c>
      <c r="AI138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{"issue":{"subject":"","project_id":79,"tracker_id":40,"status_id":1,"priority_id":2,"assigned_to_id":23,"start_date":"2017-07-15","description":"","custom_fields":[{"id":1,"name":"Subdivision","value":"EC"},{"id":4,"name":"Milepost","value":"23.3347"},{"id":17,"name":"Train ID","value":"225-15"},{"id":16,"name":"Locomotive ID","value":"4032"},{"id":130,"name":"Impact","value":""},{"id":150,"name":"Time of Event (Mountain Time)","value":"20:37:26"},{"id":151,"name":"Denver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4032 --day 2017-07-15</v>
      </c>
      <c r="AN138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812</v>
      </c>
      <c r="B139" s="7">
        <v>4031</v>
      </c>
      <c r="C139" s="21" t="s">
        <v>199</v>
      </c>
      <c r="D139" s="21" t="s">
        <v>561</v>
      </c>
      <c r="E139" s="13">
        <v>42931.86478009259</v>
      </c>
      <c r="F139" s="13">
        <v>42931.873090277775</v>
      </c>
      <c r="G139" s="7">
        <v>1</v>
      </c>
      <c r="H139" s="21" t="s">
        <v>932</v>
      </c>
      <c r="I139" s="13">
        <v>42931.89980324074</v>
      </c>
      <c r="J139" s="7">
        <v>0</v>
      </c>
      <c r="K139" s="89" t="str">
        <f t="shared" si="25"/>
        <v>4031/4032</v>
      </c>
      <c r="L139" s="21" t="str">
        <f>VLOOKUP(A139,'Trips&amp;Operators'!$C$1:$G$99999,5,FALSE)</f>
        <v>PERKINS DARREN</v>
      </c>
      <c r="M139" s="6">
        <f t="shared" si="26"/>
        <v>2.6712962964666076E-2</v>
      </c>
      <c r="N139" s="7">
        <f t="shared" si="44"/>
        <v>38.466666669119149</v>
      </c>
      <c r="O139" s="7"/>
      <c r="P139" s="7"/>
      <c r="Q139" s="22"/>
      <c r="R139" s="170"/>
      <c r="S139" s="213">
        <f t="shared" si="45"/>
        <v>1</v>
      </c>
      <c r="T139" s="195" t="str">
        <f t="shared" si="29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-15T19:45:17-0600',mode:absolute,to:'2017-07-15T22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197" t="str">
        <f>IF(AA139&lt;VLOOKUP(AG139,Variables!$AC$3:$AD$8,2,FALSE),"Y","N")</f>
        <v>N</v>
      </c>
      <c r="X139" s="197">
        <f t="shared" si="48"/>
        <v>1</v>
      </c>
      <c r="Y139" s="197">
        <f t="shared" si="32"/>
        <v>23.302299999999999</v>
      </c>
      <c r="Z139" s="197">
        <f t="shared" si="33"/>
        <v>1.2999999999999999E-2</v>
      </c>
      <c r="AA139" s="197">
        <f t="shared" si="34"/>
        <v>23.289299999999997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226</v>
      </c>
      <c r="AE139" s="77" t="str">
        <f t="shared" si="36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39" s="74" t="str">
        <f t="shared" si="37"/>
        <v>"C:\Program Files (x86)\AstroGrep\AstroGrep.exe" /e /r /s /spath="%USERPROFILE%\AppData\Local\Temp\OnboardLogs" /stypes="app*4031*20170716*" /stext=" 03:.+((SYSTEM_STATE.+slice.+state.+changed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226-15 --locoid 4031 --swversion DE.1.0.9.0 --startMP 204:233023 --initTime 2017-07-15T20:45:17 --startdatetime 2017-07-15T20:57:15 --delay 1 --endMP 204:130 --enddatetime 2017-07-15T21:35:43 --enforcementcount 0 &gt;&gt;C:\Users\stu\Documents\GitHub\eaglep3-reporting\EC\2017-07-15-refined-times.txt</v>
      </c>
      <c r="AI139" s="96" t="str">
        <f t="shared" si="40"/>
        <v>echo {"issue":{"subject":"","project_id":79,"tracker_id":40,"status_id":1,"priority_id":2,"assigned_to_id":23,"start_date":"2017-07-15","description":"","custom_fields":[{"id":1,"name":"Subdivision","value":"EC"},{"id":4,"name":"Milepost","value":"0.013"},{"id":17,"name":"Train ID","value":"226-15"},{"id":16,"name":"Locomotive ID","value":"4031"},{"id":130,"name":"Impact","value":""},{"id":150,"name":"Time of Event (Mountain Time)","value":"21:35:43"},{"id":151,"name":"Denver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4031 --day 2017-07-15</v>
      </c>
      <c r="AN13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809</v>
      </c>
      <c r="B140" s="7">
        <v>4054</v>
      </c>
      <c r="C140" s="21" t="s">
        <v>199</v>
      </c>
      <c r="D140" s="21" t="s">
        <v>570</v>
      </c>
      <c r="E140" s="13">
        <v>42931.845532407409</v>
      </c>
      <c r="F140" s="13">
        <v>42931.854710648149</v>
      </c>
      <c r="G140" s="7">
        <v>5</v>
      </c>
      <c r="H140" s="21" t="s">
        <v>852</v>
      </c>
      <c r="I140" s="13">
        <v>42931.880324074074</v>
      </c>
      <c r="J140" s="7">
        <v>0</v>
      </c>
      <c r="K140" s="89" t="str">
        <f t="shared" si="25"/>
        <v>4053/4054</v>
      </c>
      <c r="L140" s="21" t="str">
        <f>VLOOKUP(A140,'Trips&amp;Operators'!$C$1:$G$99999,5,FALSE)</f>
        <v>FORTUNATO FRANK</v>
      </c>
      <c r="M140" s="6">
        <f t="shared" si="26"/>
        <v>2.5613425925257616E-2</v>
      </c>
      <c r="N140" s="7">
        <f t="shared" si="44"/>
        <v>36.883333332370967</v>
      </c>
      <c r="O140" s="7"/>
      <c r="P140" s="7"/>
      <c r="Q140" s="22"/>
      <c r="R140" s="170"/>
      <c r="S140" s="213">
        <f t="shared" si="45"/>
        <v>1</v>
      </c>
      <c r="T140" s="195" t="str">
        <f t="shared" si="29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-15T19:17:34-0600',mode:absolute,to:'2017-07-15T22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197" t="str">
        <f>IF(AA140&lt;VLOOKUP(AG140,Variables!$AC$3:$AD$8,2,FALSE),"Y","N")</f>
        <v>N</v>
      </c>
      <c r="X140" s="197">
        <f t="shared" si="48"/>
        <v>1</v>
      </c>
      <c r="Y140" s="197">
        <f t="shared" si="32"/>
        <v>4.5999999999999999E-2</v>
      </c>
      <c r="Z140" s="197">
        <f t="shared" si="33"/>
        <v>23.3309</v>
      </c>
      <c r="AA140" s="197">
        <f t="shared" si="34"/>
        <v>23.2849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227</v>
      </c>
      <c r="AE140" s="77" t="str">
        <f t="shared" si="36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140" s="74" t="str">
        <f t="shared" si="37"/>
        <v>"C:\Program Files (x86)\AstroGrep\AstroGrep.exe" /e /r /s /spath="%USERPROFILE%\AppData\Local\Temp\OnboardLogs" /stypes="app*4054*20170716*"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ref="AH140:AH200" si="49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227-15 --locoid 4054 --swversion DE.1.0.9.0 --startMP 204:460 --initTime 2017-07-15T20:17:34 --startdatetime 2017-07-15T20:30:47 --delay 5 --endMP 204:233309 --enddatetime 2017-07-15T21:07:40 --enforcementcount 0 &gt;&gt;C:\Users\stu\Documents\GitHub\eaglep3-reporting\EC\2017-07-15-refined-times.txt</v>
      </c>
      <c r="AI140" s="96" t="str">
        <f t="shared" ref="AI140:AI200" si="50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{"issue":{"subject":"","project_id":79,"tracker_id":40,"status_id":1,"priority_id":2,"assigned_to_id":23,"start_date":"2017-07-15","description":"","custom_fields":[{"id":1,"name":"Subdivision","value":"EC"},{"id":4,"name":"Milepost","value":"23.3309"},{"id":17,"name":"Train ID","value":"227-15"},{"id":16,"name":"Locomotive ID","value":"4054"},{"id":130,"name":"Impact","value":""},{"id":150,"name":"Time of Event (Mountain Time)","value":"21:07:40"},{"id":151,"name":"Denver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0" si="51">"start /low /b "&amp;dls3logs&amp;" --loco "&amp;B140&amp;" --day "&amp;TEXT(F140,"YYYY-MM-DD")</f>
        <v>start /low /b %USERPROFILE%\Documents\GitHub\eaglep3\Utilities\DownloadLogsFromS3.py --loco 4054 --day 2017-07-15</v>
      </c>
      <c r="AN140" s="151" t="str">
        <f t="shared" ref="AN140:AN200" si="52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608</v>
      </c>
      <c r="B141" s="7">
        <v>4053</v>
      </c>
      <c r="C141" s="21" t="s">
        <v>199</v>
      </c>
      <c r="D141" s="21" t="s">
        <v>533</v>
      </c>
      <c r="E141" s="13">
        <v>42931.886736111112</v>
      </c>
      <c r="F141" s="13">
        <v>42931.893912037034</v>
      </c>
      <c r="G141" s="7">
        <v>1</v>
      </c>
      <c r="H141" s="21" t="s">
        <v>354</v>
      </c>
      <c r="I141" s="13">
        <v>42931.921365740738</v>
      </c>
      <c r="J141" s="7">
        <v>0</v>
      </c>
      <c r="K141" s="89" t="str">
        <f t="shared" ref="K141:K204" si="53">IF(ISEVEN(B141),(B141-1)&amp;"/"&amp;B141,B141&amp;"/"&amp;(B141+1))</f>
        <v>4053/4054</v>
      </c>
      <c r="L141" s="21" t="str">
        <f>VLOOKUP(A141,'Trips&amp;Operators'!$C$1:$G$99999,5,FALSE)</f>
        <v>FORTUNATO FRANK</v>
      </c>
      <c r="M141" s="6">
        <f t="shared" ref="M141:M204" si="54">I141-F141</f>
        <v>2.7453703703940846E-2</v>
      </c>
      <c r="N141" s="7">
        <f t="shared" si="44"/>
        <v>39.533333333674818</v>
      </c>
      <c r="O141" s="7"/>
      <c r="P141" s="7"/>
      <c r="Q141" s="22"/>
      <c r="R141" s="170"/>
      <c r="S141" s="213">
        <f t="shared" si="45"/>
        <v>1</v>
      </c>
      <c r="T141" s="195" t="str">
        <f t="shared" ref="T141:T204" si="55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-15T20:16:54-0600',mode:absolute,to:'2017-07-15T23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97" t="str">
        <f>IF(AA141&lt;VLOOKUP(AG141,Variables!$AC$3:$AD$8,2,FALSE),"Y","N")</f>
        <v>N</v>
      </c>
      <c r="X141" s="197">
        <f t="shared" si="48"/>
        <v>1</v>
      </c>
      <c r="Y141" s="197">
        <f t="shared" ref="Y141:Y204" si="57">RIGHT(D141,LEN(D141)-4)/10000</f>
        <v>23.3</v>
      </c>
      <c r="Z141" s="197">
        <f t="shared" ref="Z141:Z204" si="58">RIGHT(H141,LEN(H141)-4)/10000</f>
        <v>1.47E-2</v>
      </c>
      <c r="AA141" s="197">
        <f t="shared" ref="AA141:AA204" si="59">ABS(Z141-Y141)</f>
        <v>23.285299999999999</v>
      </c>
      <c r="AB141" s="54" t="str">
        <f>VLOOKUP(A141,Enforcements!$C$7:$K$13,8,0)</f>
        <v>Bulletin (2)</v>
      </c>
      <c r="AC141" s="51" t="str">
        <f>VLOOKUP(A141,Enforcements!$C$7:$E$13,3,0)</f>
        <v>GRADE CROSSING</v>
      </c>
      <c r="AD141" s="206">
        <f t="shared" ref="AD141:AD204" si="60">VALUE(LEFT(A141,LEN(A141)-3))</f>
        <v>228</v>
      </c>
      <c r="AE141" s="77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141" s="74" t="str">
        <f t="shared" ref="AF141:AF204" si="6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/stypes="app*4053*20170716*"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3">DetSubdiv(A141)</f>
        <v>EC</v>
      </c>
      <c r="AH141" s="78" t="str">
        <f t="shared" si="49"/>
        <v>"%USERPROFILE%\Documents\GitHub\eaglep3\Utilities\RefineRTDCRunTimes.py" --tripid 228-15 --locoid 4053 --swversion DE.1.0.9.0 --startMP 204:233000 --initTime 2017-07-15T21:16:54 --startdatetime 2017-07-15T21:27:14 --delay 1 --endMP 204:147 --enddatetime 2017-07-15T22:06:46 --enforcementcount 0 &gt;&gt;C:\Users\stu\Documents\GitHub\eaglep3-reporting\EC\2017-07-15-refined-times.txt</v>
      </c>
      <c r="AI141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{"issue":{"subject":"","project_id":79,"tracker_id":40,"status_id":1,"priority_id":2,"assigned_to_id":23,"start_date":"2017-07-15","description":"","custom_fields":[{"id":1,"name":"Subdivision","value":"EC"},{"id":4,"name":"Milepost","value":"0.0147"},{"id":17,"name":"Train ID","value":"228-15"},{"id":16,"name":"Locomotive ID","value":"4053"},{"id":130,"name":"Impact","value":""},{"id":150,"name":"Time of Event (Mountain Time)","value":"22:06:46"},{"id":151,"name":"Denver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1"/>
        <v>start /low /b %USERPROFILE%\Documents\GitHub\eaglep3\Utilities\DownloadLogsFromS3.py --loco 4053 --day 2017-07-15</v>
      </c>
      <c r="AN141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813</v>
      </c>
      <c r="B142" s="7">
        <v>4016</v>
      </c>
      <c r="C142" s="21" t="s">
        <v>199</v>
      </c>
      <c r="D142" s="21" t="s">
        <v>414</v>
      </c>
      <c r="E142" s="13">
        <v>42931.871365740742</v>
      </c>
      <c r="F142" s="13">
        <v>42931.875497685185</v>
      </c>
      <c r="G142" s="7">
        <v>1</v>
      </c>
      <c r="H142" s="21" t="s">
        <v>432</v>
      </c>
      <c r="I142" s="13">
        <v>42931.901562500003</v>
      </c>
      <c r="J142" s="7">
        <v>0</v>
      </c>
      <c r="K142" s="89" t="str">
        <f t="shared" si="53"/>
        <v>4015/4016</v>
      </c>
      <c r="L142" s="21" t="str">
        <f>VLOOKUP(A142,'Trips&amp;Operators'!$C$1:$G$99999,5,FALSE)</f>
        <v>LAMAR NEKESHA</v>
      </c>
      <c r="M142" s="6">
        <f t="shared" si="54"/>
        <v>2.6064814817800652E-2</v>
      </c>
      <c r="N142" s="7">
        <f t="shared" ref="N142:N173" si="64">24*60*SUM($M142:$M142)</f>
        <v>37.533333337632939</v>
      </c>
      <c r="O142" s="7"/>
      <c r="P142" s="7"/>
      <c r="Q142" s="22"/>
      <c r="R142" s="170"/>
      <c r="S142" s="213">
        <f t="shared" ref="S142:S173" si="65">1/IF(AG142="EC",12,1)*SUM(U142:U142)</f>
        <v>1</v>
      </c>
      <c r="T142" s="195" t="str">
        <f t="shared" si="55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6"/>
        <v>https://d0f6bd738d7f1b3e5a7ca70fe4ff75f0.us-east-1.aws.found.io/app/kibana#/discover/Steve-Slow-Train-Analysis-(2080s-and-2083s)?_g=(refreshInterval:(display:Off,pause:!f,section:0,value:0),time:(from:'2017-07-15T19:54:46-0600',mode:absolute,to:'2017-07-15T22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7" t="str">
        <f>IF(AA142&lt;VLOOKUP(AG142,Variables!$AC$3:$AD$8,2,FALSE),"Y","N")</f>
        <v>N</v>
      </c>
      <c r="X142" s="197">
        <f t="shared" si="48"/>
        <v>1</v>
      </c>
      <c r="Y142" s="197">
        <f t="shared" si="57"/>
        <v>4.58E-2</v>
      </c>
      <c r="Z142" s="197">
        <f t="shared" si="58"/>
        <v>23.328900000000001</v>
      </c>
      <c r="AA142" s="197">
        <f t="shared" si="59"/>
        <v>23.283100000000001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0"/>
        <v>229</v>
      </c>
      <c r="AE142" s="77" t="str">
        <f t="shared" si="61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142" s="74" t="str">
        <f t="shared" si="62"/>
        <v>"C:\Program Files (x86)\AstroGrep\AstroGrep.exe" /e /r /s /spath="%USERPROFILE%\AppData\Local\Temp\OnboardLogs" /stypes="app*4016*20170716*" /stext=" 03:.+((SYSTEM_STATE.+slice.+state.+changed )|(ment ac)|(multiple cpu faults)|(system.+state.+changed )|(\[timeout)|(PRM\|1\|D)|(kpr)|(kdp)|(train st.+moving)|(\|lc)|(penalty))"</v>
      </c>
      <c r="AG142" s="209" t="str">
        <f t="shared" si="63"/>
        <v>EC</v>
      </c>
      <c r="AH142" s="78" t="str">
        <f t="shared" si="49"/>
        <v>"%USERPROFILE%\Documents\GitHub\eaglep3\Utilities\RefineRTDCRunTimes.py" --tripid 229-15 --locoid 4016 --swversion DE.1.0.9.0 --startMP 204:458 --initTime 2017-07-15T20:54:46 --startdatetime 2017-07-15T21:00:43 --delay 1 --endMP 204:233289 --enddatetime 2017-07-15T21:38:15 --enforcementcount 0 &gt;&gt;C:\Users\stu\Documents\GitHub\eaglep3-reporting\EC\2017-07-15-refined-times.txt</v>
      </c>
      <c r="AI142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{"issue":{"subject":"","project_id":79,"tracker_id":40,"status_id":1,"priority_id":2,"assigned_to_id":23,"start_date":"2017-07-15","description":"","custom_fields":[{"id":1,"name":"Subdivision","value":"EC"},{"id":4,"name":"Milepost","value":"23.3289"},{"id":17,"name":"Train ID","value":"229-15"},{"id":16,"name":"Locomotive ID","value":"4016"},{"id":130,"name":"Impact","value":""},{"id":150,"name":"Time of Event (Mountain Time)","value":"21:38:15"},{"id":151,"name":"Denver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1"/>
        <v>start /low /b %USERPROFILE%\Documents\GitHub\eaglep3\Utilities\DownloadLogsFromS3.py --loco 4016 --day 2017-07-15</v>
      </c>
      <c r="AN142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817</v>
      </c>
      <c r="B143" s="7">
        <v>4015</v>
      </c>
      <c r="C143" s="21" t="s">
        <v>199</v>
      </c>
      <c r="D143" s="21" t="s">
        <v>525</v>
      </c>
      <c r="E143" s="13">
        <v>42931.910115740742</v>
      </c>
      <c r="F143" s="13">
        <v>42931.914861111109</v>
      </c>
      <c r="G143" s="7">
        <v>1</v>
      </c>
      <c r="H143" s="21" t="s">
        <v>528</v>
      </c>
      <c r="I143" s="13">
        <v>42931.94159722222</v>
      </c>
      <c r="J143" s="7">
        <v>0</v>
      </c>
      <c r="K143" s="89" t="str">
        <f t="shared" si="53"/>
        <v>4015/4016</v>
      </c>
      <c r="L143" s="21" t="str">
        <f>VLOOKUP(A143,'Trips&amp;Operators'!$C$1:$G$99999,5,FALSE)</f>
        <v>LAMAR NEKESHA</v>
      </c>
      <c r="M143" s="6">
        <f t="shared" si="54"/>
        <v>2.6736111110949423E-2</v>
      </c>
      <c r="N143" s="7">
        <f t="shared" si="64"/>
        <v>38.499999999767169</v>
      </c>
      <c r="O143" s="7"/>
      <c r="P143" s="7"/>
      <c r="Q143" s="22"/>
      <c r="R143" s="170"/>
      <c r="S143" s="213">
        <f t="shared" si="65"/>
        <v>1</v>
      </c>
      <c r="T143" s="195" t="str">
        <f t="shared" si="55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6"/>
        <v>https://d0f6bd738d7f1b3e5a7ca70fe4ff75f0.us-east-1.aws.found.io/app/kibana#/discover/Steve-Slow-Train-Analysis-(2080s-and-2083s)?_g=(refreshInterval:(display:Off,pause:!f,section:0,value:0),time:(from:'2017-07-15T20:50:34-0600',mode:absolute,to:'2017-07-15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7" t="str">
        <f>IF(AA143&lt;VLOOKUP(AG143,Variables!$AC$3:$AD$8,2,FALSE),"Y","N")</f>
        <v>N</v>
      </c>
      <c r="X143" s="197">
        <f t="shared" si="48"/>
        <v>1</v>
      </c>
      <c r="Y143" s="197">
        <f t="shared" si="57"/>
        <v>23.296500000000002</v>
      </c>
      <c r="Z143" s="197">
        <f t="shared" si="58"/>
        <v>1.52E-2</v>
      </c>
      <c r="AA143" s="197">
        <f t="shared" si="59"/>
        <v>23.281300000000002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0"/>
        <v>230</v>
      </c>
      <c r="AE143" s="77" t="str">
        <f t="shared" si="6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43" s="74" t="str">
        <f t="shared" si="62"/>
        <v>"C:\Program Files (x86)\AstroGrep\AstroGrep.exe" /e /r /s /spath="%USERPROFILE%\AppData\Local\Temp\OnboardLogs" /stypes="app*4015*20170716*" /stext=" 04:.+((SYSTEM_STATE.+slice.+state.+changed )|(ment ac)|(multiple cpu faults)|(system.+state.+changed )|(\[timeout)|(PRM\|1\|D)|(kpr)|(kdp)|(train st.+moving)|(\|lc)|(penalty))"</v>
      </c>
      <c r="AG143" s="209" t="str">
        <f t="shared" si="63"/>
        <v>EC</v>
      </c>
      <c r="AH143" s="78" t="str">
        <f t="shared" si="49"/>
        <v>"%USERPROFILE%\Documents\GitHub\eaglep3\Utilities\RefineRTDCRunTimes.py" --tripid 230-15 --locoid 4015 --swversion DE.1.0.9.0 --startMP 204:232965 --initTime 2017-07-15T21:50:34 --startdatetime 2017-07-15T21:57:24 --delay 1 --endMP 204:152 --enddatetime 2017-07-15T22:35:54 --enforcementcount 0 &gt;&gt;C:\Users\stu\Documents\GitHub\eaglep3-reporting\EC\2017-07-15-refined-times.txt</v>
      </c>
      <c r="AI143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{"issue":{"subject":"","project_id":79,"tracker_id":40,"status_id":1,"priority_id":2,"assigned_to_id":23,"start_date":"2017-07-15","description":"","custom_fields":[{"id":1,"name":"Subdivision","value":"EC"},{"id":4,"name":"Milepost","value":"0.0152"},{"id":17,"name":"Train ID","value":"230-15"},{"id":16,"name":"Locomotive ID","value":"4015"},{"id":130,"name":"Impact","value":""},{"id":150,"name":"Time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1"/>
        <v>start /low /b %USERPROFILE%\Documents\GitHub\eaglep3\Utilities\DownloadLogsFromS3.py --loco 4015 --day 2017-07-15</v>
      </c>
      <c r="AN143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815</v>
      </c>
      <c r="B144" s="7">
        <v>4024</v>
      </c>
      <c r="C144" s="21" t="s">
        <v>199</v>
      </c>
      <c r="D144" s="21" t="s">
        <v>417</v>
      </c>
      <c r="E144" s="13">
        <v>42931.887453703705</v>
      </c>
      <c r="F144" s="13">
        <v>42931.896666666667</v>
      </c>
      <c r="G144" s="7">
        <v>1</v>
      </c>
      <c r="H144" s="21" t="s">
        <v>578</v>
      </c>
      <c r="I144" s="13">
        <v>42931.922442129631</v>
      </c>
      <c r="J144" s="7">
        <v>0</v>
      </c>
      <c r="K144" s="89" t="str">
        <f t="shared" si="53"/>
        <v>4023/4024</v>
      </c>
      <c r="L144" s="21" t="str">
        <f>VLOOKUP(A144,'Trips&amp;Operators'!$C$1:$G$99999,5,FALSE)</f>
        <v>YANG JAN</v>
      </c>
      <c r="M144" s="6">
        <f t="shared" si="54"/>
        <v>2.5775462963792961E-2</v>
      </c>
      <c r="N144" s="7">
        <f t="shared" si="64"/>
        <v>37.116666667861864</v>
      </c>
      <c r="O144" s="7"/>
      <c r="P144" s="7"/>
      <c r="Q144" s="22"/>
      <c r="R144" s="170"/>
      <c r="S144" s="213">
        <f t="shared" si="65"/>
        <v>1</v>
      </c>
      <c r="T144" s="195" t="str">
        <f t="shared" si="55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6"/>
        <v>https://d0f6bd738d7f1b3e5a7ca70fe4ff75f0.us-east-1.aws.found.io/app/kibana#/discover/Steve-Slow-Train-Analysis-(2080s-and-2083s)?_g=(refreshInterval:(display:Off,pause:!f,section:0,value:0),time:(from:'2017-07-15T20:17:56-0600',mode:absolute,to:'2017-07-15T23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4" s="197" t="str">
        <f>IF(AA144&lt;VLOOKUP(AG144,Variables!$AC$3:$AD$8,2,FALSE),"Y","N")</f>
        <v>N</v>
      </c>
      <c r="X144" s="197">
        <f t="shared" si="48"/>
        <v>1</v>
      </c>
      <c r="Y144" s="197">
        <f t="shared" si="57"/>
        <v>4.4400000000000002E-2</v>
      </c>
      <c r="Z144" s="197">
        <f t="shared" si="58"/>
        <v>23.3307</v>
      </c>
      <c r="AA144" s="197">
        <f t="shared" si="59"/>
        <v>23.286300000000001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0"/>
        <v>231</v>
      </c>
      <c r="AE144" s="77" t="str">
        <f t="shared" si="61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144" s="74" t="str">
        <f t="shared" si="62"/>
        <v>"C:\Program Files (x86)\AstroGrep\AstroGrep.exe" /e /r /s /spath="%USERPROFILE%\AppData\Local\Temp\OnboardLogs" /stypes="app*4024*20170716*" /stext=" 04:.+((SYSTEM_STATE.+slice.+state.+changed )|(ment ac)|(multiple cpu faults)|(system.+state.+changed )|(\[timeout)|(PRM\|1\|D)|(kpr)|(kdp)|(train st.+moving)|(\|lc)|(penalty))"</v>
      </c>
      <c r="AG144" s="209" t="str">
        <f t="shared" si="63"/>
        <v>EC</v>
      </c>
      <c r="AH144" s="78" t="str">
        <f t="shared" si="49"/>
        <v>"%USERPROFILE%\Documents\GitHub\eaglep3\Utilities\RefineRTDCRunTimes.py" --tripid 231-15 --locoid 4024 --swversion DE.1.0.9.0 --startMP 204:444 --initTime 2017-07-15T21:17:56 --startdatetime 2017-07-15T21:31:12 --delay 1 --endMP 204:233307 --enddatetime 2017-07-15T22:08:19 --enforcementcount 0 &gt;&gt;C:\Users\stu\Documents\GitHub\eaglep3-reporting\EC\2017-07-15-refined-times.txt</v>
      </c>
      <c r="AI144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{"issue":{"subject":"","project_id":79,"tracker_id":40,"status_id":1,"priority_id":2,"assigned_to_id":23,"start_date":"2017-07-15","description":"","custom_fields":[{"id":1,"name":"Subdivision","value":"EC"},{"id":4,"name":"Milepost","value":"23.3307"},{"id":17,"name":"Train ID","value":"231-15"},{"id":16,"name":"Locomotive ID","value":"4024"},{"id":130,"name":"Impact","value":""},{"id":150,"name":"Time of Event (Mountain Time)","value":"22:08:19"},{"id":151,"name":"Denver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1"/>
        <v>start /low /b %USERPROFILE%\Documents\GitHub\eaglep3\Utilities\DownloadLogsFromS3.py --loco 4024 --day 2017-07-15</v>
      </c>
      <c r="AN144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820</v>
      </c>
      <c r="B145" s="7">
        <v>4023</v>
      </c>
      <c r="C145" s="21" t="s">
        <v>199</v>
      </c>
      <c r="D145" s="21" t="s">
        <v>506</v>
      </c>
      <c r="E145" s="13">
        <v>42931.93172453704</v>
      </c>
      <c r="F145" s="13">
        <v>42931.935624999998</v>
      </c>
      <c r="G145" s="7">
        <v>1</v>
      </c>
      <c r="H145" s="21" t="s">
        <v>485</v>
      </c>
      <c r="I145" s="13">
        <v>42931.962685185186</v>
      </c>
      <c r="J145" s="7">
        <v>0</v>
      </c>
      <c r="K145" s="89" t="str">
        <f t="shared" si="53"/>
        <v>4023/4024</v>
      </c>
      <c r="L145" s="21" t="str">
        <f>VLOOKUP(A145,'Trips&amp;Operators'!$C$1:$G$99999,5,FALSE)</f>
        <v>YANG JAN</v>
      </c>
      <c r="M145" s="6">
        <f t="shared" si="54"/>
        <v>2.7060185188020114E-2</v>
      </c>
      <c r="N145" s="7">
        <f t="shared" si="64"/>
        <v>38.966666670748964</v>
      </c>
      <c r="O145" s="7"/>
      <c r="P145" s="7"/>
      <c r="Q145" s="22"/>
      <c r="R145" s="170"/>
      <c r="S145" s="213">
        <f t="shared" si="65"/>
        <v>1</v>
      </c>
      <c r="T145" s="195" t="str">
        <f t="shared" si="55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6"/>
        <v>https://d0f6bd738d7f1b3e5a7ca70fe4ff75f0.us-east-1.aws.found.io/app/kibana#/discover/Steve-Slow-Train-Analysis-(2080s-and-2083s)?_g=(refreshInterval:(display:Off,pause:!f,section:0,value:0),time:(from:'2017-07-15T21:21:41-0600',mode:absolute,to:'2017-07-16T00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5" s="197" t="str">
        <f>IF(AA145&lt;VLOOKUP(AG145,Variables!$AC$3:$AD$8,2,FALSE),"Y","N")</f>
        <v>N</v>
      </c>
      <c r="X145" s="197">
        <f t="shared" si="48"/>
        <v>1</v>
      </c>
      <c r="Y145" s="197">
        <f t="shared" si="57"/>
        <v>23.299399999999999</v>
      </c>
      <c r="Z145" s="197">
        <f t="shared" si="58"/>
        <v>1.5800000000000002E-2</v>
      </c>
      <c r="AA145" s="197">
        <f t="shared" si="59"/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0"/>
        <v>232</v>
      </c>
      <c r="AE145" s="77" t="str">
        <f t="shared" si="61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145" s="74" t="str">
        <f t="shared" si="62"/>
        <v>"C:\Program Files (x86)\AstroGrep\AstroGrep.exe" /e /r /s /spath="%USERPROFILE%\AppData\Local\Temp\OnboardLogs" /stypes="app*4023*20170716*" /stext=" 05:.+((SYSTEM_STATE.+slice.+state.+changed )|(ment ac)|(multiple cpu faults)|(system.+state.+changed )|(\[timeout)|(PRM\|1\|D)|(kpr)|(kdp)|(train st.+moving)|(\|lc)|(penalty))"</v>
      </c>
      <c r="AG145" s="209" t="str">
        <f t="shared" si="63"/>
        <v>EC</v>
      </c>
      <c r="AH145" s="78" t="str">
        <f t="shared" si="49"/>
        <v>"%USERPROFILE%\Documents\GitHub\eaglep3\Utilities\RefineRTDCRunTimes.py" --tripid 232-15 --locoid 4023 --swversion DE.1.0.9.0 --startMP 204:232994 --initTime 2017-07-15T22:21:41 --startdatetime 2017-07-15T22:27:18 --delay 1 --endMP 204:158 --enddatetime 2017-07-15T23:06:16 --enforcementcount 0 &gt;&gt;C:\Users\stu\Documents\GitHub\eaglep3-reporting\EC\2017-07-15-refined-times.txt</v>
      </c>
      <c r="AI145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{"issue":{"subject":"","project_id":79,"tracker_id":40,"status_id":1,"priority_id":2,"assigned_to_id":23,"start_date":"2017-07-15","description":"","custom_fields":[{"id":1,"name":"Subdivision","value":"EC"},{"id":4,"name":"Milepost","value":"0.0158"},{"id":17,"name":"Train ID","value":"232-15"},{"id":16,"name":"Locomotive ID","value":"4023"},{"id":130,"name":"Impact","value":""},{"id":150,"name":"Time of Event (Mountain Time)","value":"23:06:16"},{"id":151,"name":"Denver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1"/>
        <v>start /low /b %USERPROFILE%\Documents\GitHub\eaglep3\Utilities\DownloadLogsFromS3.py --loco 4023 --day 2017-07-15</v>
      </c>
      <c r="AN145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609</v>
      </c>
      <c r="B146" s="7">
        <v>4032</v>
      </c>
      <c r="C146" s="21" t="s">
        <v>199</v>
      </c>
      <c r="D146" s="21" t="s">
        <v>911</v>
      </c>
      <c r="E146" s="13">
        <v>42931.904976851853</v>
      </c>
      <c r="F146" s="13">
        <v>42931.917268518519</v>
      </c>
      <c r="G146" s="7">
        <v>1</v>
      </c>
      <c r="H146" s="21" t="s">
        <v>933</v>
      </c>
      <c r="I146" s="13">
        <v>42931.942430555559</v>
      </c>
      <c r="J146" s="7">
        <v>0</v>
      </c>
      <c r="K146" s="89" t="str">
        <f t="shared" si="53"/>
        <v>4031/4032</v>
      </c>
      <c r="L146" s="21" t="str">
        <f>VLOOKUP(A146,'Trips&amp;Operators'!$C$1:$G$99999,5,FALSE)</f>
        <v>PERKINS DARREN</v>
      </c>
      <c r="M146" s="6">
        <f t="shared" si="54"/>
        <v>2.5162037039990537E-2</v>
      </c>
      <c r="N146" s="7">
        <f t="shared" si="64"/>
        <v>36.233333337586373</v>
      </c>
      <c r="O146" s="7"/>
      <c r="P146" s="7"/>
      <c r="Q146" s="22"/>
      <c r="R146" s="170"/>
      <c r="S146" s="213">
        <f t="shared" si="65"/>
        <v>1</v>
      </c>
      <c r="T146" s="195" t="str">
        <f t="shared" si="55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6"/>
        <v>https://d0f6bd738d7f1b3e5a7ca70fe4ff75f0.us-east-1.aws.found.io/app/kibana#/discover/Steve-Slow-Train-Analysis-(2080s-and-2083s)?_g=(refreshInterval:(display:Off,pause:!f,section:0,value:0),time:(from:'2017-07-15T20:43:10-0600',mode:absolute,to:'2017-07-15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6" s="197" t="str">
        <f>IF(AA146&lt;VLOOKUP(AG146,Variables!$AC$3:$AD$8,2,FALSE),"Y","N")</f>
        <v>N</v>
      </c>
      <c r="X146" s="197">
        <f t="shared" si="48"/>
        <v>1</v>
      </c>
      <c r="Y146" s="197">
        <f t="shared" si="57"/>
        <v>4.3099999999999999E-2</v>
      </c>
      <c r="Z146" s="197">
        <f t="shared" si="58"/>
        <v>23.328800000000001</v>
      </c>
      <c r="AA146" s="197">
        <f t="shared" si="59"/>
        <v>23.285700000000002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0"/>
        <v>233</v>
      </c>
      <c r="AE146" s="77" t="str">
        <f t="shared" si="61"/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AF146" s="74" t="str">
        <f t="shared" si="62"/>
        <v>"C:\Program Files (x86)\AstroGrep\AstroGrep.exe" /e /r /s /spath="%USERPROFILE%\AppData\Local\Temp\OnboardLogs" /stypes="app*4032*20170716*" /stext=" 04:.+((SYSTEM_STATE.+slice.+state.+changed )|(ment ac)|(multiple cpu faults)|(system.+state.+changed )|(\[timeout)|(PRM\|1\|D)|(kpr)|(kdp)|(train st.+moving)|(\|lc)|(penalty))"</v>
      </c>
      <c r="AG146" s="209" t="str">
        <f t="shared" si="63"/>
        <v>EC</v>
      </c>
      <c r="AH146" s="78" t="str">
        <f t="shared" si="49"/>
        <v>"%USERPROFILE%\Documents\GitHub\eaglep3\Utilities\RefineRTDCRunTimes.py" --tripid 233-15 --locoid 4032 --swversion DE.1.0.9.0 --startMP 204:431 --initTime 2017-07-15T21:43:10 --startdatetime 2017-07-15T22:00:52 --delay 1 --endMP 204:233288 --enddatetime 2017-07-15T22:37:06 --enforcementcount 0 &gt;&gt;C:\Users\stu\Documents\GitHub\eaglep3-reporting\EC\2017-07-15-refined-times.txt</v>
      </c>
      <c r="AI146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{"issue":{"subject":"","project_id":79,"tracker_id":40,"status_id":1,"priority_id":2,"assigned_to_id":23,"start_date":"2017-07-15","description":"","custom_fields":[{"id":1,"name":"Subdivision","value":"EC"},{"id":4,"name":"Milepost","value":"23.3288"},{"id":17,"name":"Train ID","value":"233-15"},{"id":16,"name":"Locomotive ID","value":"4032"},{"id":130,"name":"Impact","value":""},{"id":150,"name":"Time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1"/>
        <v>start /low /b %USERPROFILE%\Documents\GitHub\eaglep3\Utilities\DownloadLogsFromS3.py --loco 4032 --day 2017-07-15</v>
      </c>
      <c r="AN146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823</v>
      </c>
      <c r="B147" s="7">
        <v>4031</v>
      </c>
      <c r="C147" s="21" t="s">
        <v>199</v>
      </c>
      <c r="D147" s="21" t="s">
        <v>934</v>
      </c>
      <c r="E147" s="13">
        <v>42931.946111111109</v>
      </c>
      <c r="F147" s="13">
        <v>42931.956435185188</v>
      </c>
      <c r="G147" s="7">
        <v>0</v>
      </c>
      <c r="H147" s="21" t="s">
        <v>935</v>
      </c>
      <c r="I147" s="13">
        <v>42931.983020833337</v>
      </c>
      <c r="J147" s="7">
        <v>0</v>
      </c>
      <c r="K147" s="89" t="str">
        <f t="shared" si="53"/>
        <v>4031/4032</v>
      </c>
      <c r="L147" s="21" t="str">
        <f>VLOOKUP(A147,'Trips&amp;Operators'!$C$1:$G$99999,5,FALSE)</f>
        <v>PERKINS DARREN</v>
      </c>
      <c r="M147" s="6">
        <f t="shared" si="54"/>
        <v>2.658564814919373E-2</v>
      </c>
      <c r="N147" s="7">
        <f t="shared" si="64"/>
        <v>38.283333334838971</v>
      </c>
      <c r="O147" s="7"/>
      <c r="P147" s="7"/>
      <c r="Q147" s="22"/>
      <c r="R147" s="170"/>
      <c r="S147" s="213">
        <f t="shared" si="65"/>
        <v>1</v>
      </c>
      <c r="T147" s="195" t="str">
        <f t="shared" si="55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6"/>
        <v>https://d0f6bd738d7f1b3e5a7ca70fe4ff75f0.us-east-1.aws.found.io/app/kibana#/discover/Steve-Slow-Train-Analysis-(2080s-and-2083s)?_g=(refreshInterval:(display:Off,pause:!f,section:0,value:0),time:(from:'2017-07-15T21:42:24-0600',mode:absolute,to:'2017-07-16T00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197" t="str">
        <f>IF(AA147&lt;VLOOKUP(AG147,Variables!$AC$3:$AD$8,2,FALSE),"Y","N")</f>
        <v>N</v>
      </c>
      <c r="X147" s="197">
        <f t="shared" si="48"/>
        <v>1</v>
      </c>
      <c r="Y147" s="197">
        <f t="shared" si="57"/>
        <v>23.296700000000001</v>
      </c>
      <c r="Z147" s="197">
        <f t="shared" si="58"/>
        <v>1.09E-2</v>
      </c>
      <c r="AA147" s="197">
        <f t="shared" si="59"/>
        <v>23.285800000000002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0"/>
        <v>234</v>
      </c>
      <c r="AE147" s="77" t="str">
        <f t="shared" si="6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47" s="74" t="str">
        <f t="shared" si="62"/>
        <v>"C:\Program Files (x86)\AstroGrep\AstroGrep.exe" /e /r /s /spath="%USERPROFILE%\AppData\Local\Temp\OnboardLogs" /stypes="app*4031*20170716*" /stext=" 05:.+((SYSTEM_STATE.+slice.+state.+changed )|(ment ac)|(multiple cpu faults)|(system.+state.+changed )|(\[timeout)|(PRM\|1\|D)|(kpr)|(kdp)|(train st.+moving)|(\|lc)|(penalty))"</v>
      </c>
      <c r="AG147" s="209" t="str">
        <f t="shared" si="63"/>
        <v>EC</v>
      </c>
      <c r="AH147" s="78" t="str">
        <f t="shared" si="49"/>
        <v>"%USERPROFILE%\Documents\GitHub\eaglep3\Utilities\RefineRTDCRunTimes.py" --tripid 234-15 --locoid 4031 --swversion DE.1.0.9.0 --startMP 204:232967 --initTime 2017-07-15T22:42:24 --startdatetime 2017-07-15T22:57:16 --delay 0 --endMP 204:109 --enddatetime 2017-07-15T23:35:33 --enforcementcount 0 &gt;&gt;C:\Users\stu\Documents\GitHub\eaglep3-reporting\EC\2017-07-15-refined-times.txt</v>
      </c>
      <c r="AI147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{"issue":{"subject":"","project_id":79,"tracker_id":40,"status_id":1,"priority_id":2,"assigned_to_id":23,"start_date":"2017-07-15","description":"","custom_fields":[{"id":1,"name":"Subdivision","value":"EC"},{"id":4,"name":"Milepost","value":"0.0109"},{"id":17,"name":"Train ID","value":"234-15"},{"id":16,"name":"Locomotive ID","value":"4031"},{"id":130,"name":"Impact","value":""},{"id":150,"name":"Time of Event (Mountain Time)","value":"23:35:33"},{"id":151,"name":"Denver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1"/>
        <v>start /low /b %USERPROFILE%\Documents\GitHub\eaglep3\Utilities\DownloadLogsFromS3.py --loco 4031 --day 2017-07-15</v>
      </c>
      <c r="AN147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819</v>
      </c>
      <c r="B148" s="7">
        <v>4054</v>
      </c>
      <c r="C148" s="21" t="s">
        <v>199</v>
      </c>
      <c r="D148" s="21" t="s">
        <v>936</v>
      </c>
      <c r="E148" s="13">
        <v>42931.927037037036</v>
      </c>
      <c r="F148" s="13">
        <v>42931.938043981485</v>
      </c>
      <c r="G148" s="7">
        <v>1</v>
      </c>
      <c r="H148" s="21" t="s">
        <v>937</v>
      </c>
      <c r="I148" s="13">
        <v>42931.963750000003</v>
      </c>
      <c r="J148" s="7">
        <v>0</v>
      </c>
      <c r="K148" s="89" t="str">
        <f t="shared" si="53"/>
        <v>4053/4054</v>
      </c>
      <c r="L148" s="21" t="str">
        <f>VLOOKUP(A148,'Trips&amp;Operators'!$C$1:$G$99999,5,FALSE)</f>
        <v>FORTUNATO FRANK</v>
      </c>
      <c r="M148" s="6">
        <f t="shared" si="54"/>
        <v>2.5706018517666962E-2</v>
      </c>
      <c r="N148" s="7">
        <f t="shared" si="64"/>
        <v>37.016666665440425</v>
      </c>
      <c r="O148" s="7"/>
      <c r="P148" s="7"/>
      <c r="Q148" s="22"/>
      <c r="R148" s="170"/>
      <c r="S148" s="213">
        <f t="shared" si="65"/>
        <v>1</v>
      </c>
      <c r="T148" s="195" t="str">
        <f t="shared" si="55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6"/>
        <v>https://d0f6bd738d7f1b3e5a7ca70fe4ff75f0.us-east-1.aws.found.io/app/kibana#/discover/Steve-Slow-Train-Analysis-(2080s-and-2083s)?_g=(refreshInterval:(display:Off,pause:!f,section:0,value:0),time:(from:'2017-07-15T21:14:56-0600',mode:absolute,to:'2017-07-16T00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97" t="str">
        <f>IF(AA148&lt;VLOOKUP(AG148,Variables!$AC$3:$AD$8,2,FALSE),"Y","N")</f>
        <v>N</v>
      </c>
      <c r="X148" s="197">
        <f t="shared" si="48"/>
        <v>1</v>
      </c>
      <c r="Y148" s="197">
        <f t="shared" si="57"/>
        <v>4.2200000000000001E-2</v>
      </c>
      <c r="Z148" s="197">
        <f t="shared" si="58"/>
        <v>23.3322</v>
      </c>
      <c r="AA148" s="197">
        <f t="shared" si="59"/>
        <v>23.29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0"/>
        <v>235</v>
      </c>
      <c r="AE148" s="77" t="str">
        <f t="shared" si="61"/>
        <v>aws s3 cp s3://rtdc.mdm.uploadarchive.raw/RTDC4054/ "%USERPROFILE%\AppData\Local\Temp\OnboardLogs"\RTDC4054\2017-07-15 --exclude "*" --recursive --include "*20170715*" &amp; "%USERPROFILE%\Documents\GitHub\mrs-test-scripts\Headless Mode &amp; Sideloading\WalkAndUnGZ.bat" "%USERPROFILE%\AppData\Local\Temp\OnboardLogs"\RTDC4054\2017-07-15 &amp; 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</v>
      </c>
      <c r="AF148" s="74" t="str">
        <f t="shared" si="62"/>
        <v>"C:\Program Files (x86)\AstroGrep\AstroGrep.exe" /e /r /s /spath="%USERPROFILE%\AppData\Local\Temp\OnboardLogs" /stypes="app*4054*20170716*" /stext=" 05:.+((SYSTEM_STATE.+slice.+state.+changed )|(ment ac)|(multiple cpu faults)|(system.+state.+changed )|(\[timeout)|(PRM\|1\|D)|(kpr)|(kdp)|(train st.+moving)|(\|lc)|(penalty))"</v>
      </c>
      <c r="AG148" s="209" t="str">
        <f t="shared" si="63"/>
        <v>EC</v>
      </c>
      <c r="AH148" s="78" t="str">
        <f t="shared" si="49"/>
        <v>"%USERPROFILE%\Documents\GitHub\eaglep3\Utilities\RefineRTDCRunTimes.py" --tripid 235-15 --locoid 4054 --swversion DE.1.0.9.0 --startMP 204:422 --initTime 2017-07-15T22:14:56 --startdatetime 2017-07-15T22:30:47 --delay 1 --endMP 204:233322 --enddatetime 2017-07-15T23:07:48 --enforcementcount 0 &gt;&gt;C:\Users\stu\Documents\GitHub\eaglep3-reporting\EC\2017-07-15-refined-times.txt</v>
      </c>
      <c r="AI148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{"issue":{"subject":"","project_id":79,"tracker_id":40,"status_id":1,"priority_id":2,"assigned_to_id":23,"start_date":"2017-07-15","description":"","custom_fields":[{"id":1,"name":"Subdivision","value":"EC"},{"id":4,"name":"Milepost","value":"23.3322"},{"id":17,"name":"Train ID","value":"235-15"},{"id":16,"name":"Locomotive ID","value":"4054"},{"id":130,"name":"Impact","value":""},{"id":150,"name":"Time of Event (Mountain Time)","value":"23:07:48"},{"id":151,"name":"Denver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1"/>
        <v>start /low /b %USERPROFILE%\Documents\GitHub\eaglep3\Utilities\DownloadLogsFromS3.py --loco 4054 --day 2017-07-15</v>
      </c>
      <c r="AN148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825</v>
      </c>
      <c r="B149" s="7">
        <v>4053</v>
      </c>
      <c r="C149" s="21" t="s">
        <v>199</v>
      </c>
      <c r="D149" s="21" t="s">
        <v>838</v>
      </c>
      <c r="E149" s="13">
        <v>42931.973402777781</v>
      </c>
      <c r="F149" s="13">
        <v>42931.977233796293</v>
      </c>
      <c r="G149" s="7">
        <v>1</v>
      </c>
      <c r="H149" s="21" t="s">
        <v>343</v>
      </c>
      <c r="I149" s="13">
        <v>42932.003368055557</v>
      </c>
      <c r="J149" s="7">
        <v>0</v>
      </c>
      <c r="K149" s="89" t="str">
        <f t="shared" si="53"/>
        <v>4053/4054</v>
      </c>
      <c r="L149" s="21" t="str">
        <f>VLOOKUP(A149,'Trips&amp;Operators'!$C$1:$G$99999,5,FALSE)</f>
        <v>FORTUNATO FRANK</v>
      </c>
      <c r="M149" s="6">
        <f t="shared" si="54"/>
        <v>2.6134259263926651E-2</v>
      </c>
      <c r="N149" s="7">
        <f t="shared" si="64"/>
        <v>37.633333340054378</v>
      </c>
      <c r="O149" s="7"/>
      <c r="P149" s="7"/>
      <c r="Q149" s="22"/>
      <c r="R149" s="170"/>
      <c r="S149" s="213">
        <f t="shared" si="65"/>
        <v>1</v>
      </c>
      <c r="T149" s="195" t="str">
        <f t="shared" si="55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6"/>
        <v>https://d0f6bd738d7f1b3e5a7ca70fe4ff75f0.us-east-1.aws.found.io/app/kibana#/discover/Steve-Slow-Train-Analysis-(2080s-and-2083s)?_g=(refreshInterval:(display:Off,pause:!f,section:0,value:0),time:(from:'2017-07-15T22:21:42-0600',mode:absolute,to:'2017-07-16T01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197" t="str">
        <f>IF(AA149&lt;VLOOKUP(AG149,Variables!$AC$3:$AD$8,2,FALSE),"Y","N")</f>
        <v>N</v>
      </c>
      <c r="X149" s="197">
        <f t="shared" si="48"/>
        <v>1</v>
      </c>
      <c r="Y149" s="197">
        <f t="shared" si="57"/>
        <v>23.298200000000001</v>
      </c>
      <c r="Z149" s="197">
        <f t="shared" si="58"/>
        <v>1.4999999999999999E-2</v>
      </c>
      <c r="AA149" s="197">
        <f t="shared" si="59"/>
        <v>23.283200000000001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0"/>
        <v>236</v>
      </c>
      <c r="AE149" s="77" t="str">
        <f t="shared" si="6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149" s="74" t="str">
        <f t="shared" si="62"/>
        <v>"C:\Program Files (x86)\AstroGrep\AstroGrep.exe" /e /r /s /spath="%USERPROFILE%\AppData\Local\Temp\OnboardLogs" /stypes="app*4053*20170716*" /stext=" 06:.+((SYSTEM_STATE.+slice.+state.+changed )|(ment ac)|(multiple cpu faults)|(system.+state.+changed )|(\[timeout)|(PRM\|1\|D)|(kpr)|(kdp)|(train st.+moving)|(\|lc)|(penalty))"</v>
      </c>
      <c r="AG149" s="209" t="str">
        <f t="shared" si="63"/>
        <v>EC</v>
      </c>
      <c r="AH149" s="78" t="str">
        <f t="shared" si="49"/>
        <v>"%USERPROFILE%\Documents\GitHub\eaglep3\Utilities\RefineRTDCRunTimes.py" --tripid 236-15 --locoid 4053 --swversion DE.1.0.9.0 --startMP 204:232982 --initTime 2017-07-15T23:21:42 --startdatetime 2017-07-15T23:27:13 --delay 1 --endMP 204:150 --enddatetime 2017-07-16T00:04:51 --enforcementcount 0 &gt;&gt;C:\Users\stu\Documents\GitHub\eaglep3-reporting\EC\2017-07-15-refined-times.txt</v>
      </c>
      <c r="AI149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{"issue":{"subject":"","project_id":79,"tracker_id":40,"status_id":1,"priority_id":2,"assigned_to_id":23,"start_date":"2017-07-16","description":"","custom_fields":[{"id":1,"name":"Subdivision","value":"EC"},{"id":4,"name":"Milepost","value":"0.015"},{"id":17,"name":"Train ID","value":"236-15"},{"id":16,"name":"Locomotive ID","value":"4053"},{"id":130,"name":"Impact","value":""},{"id":150,"name":"Time of Event (Mountain Time)","value":"00:04:51"},{"id":151,"name":"Denver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1"/>
        <v>start /low /b %USERPROFILE%\Documents\GitHub\eaglep3\Utilities\DownloadLogsFromS3.py --loco 4053 --day 2017-07-15</v>
      </c>
      <c r="AN149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06:04:51"},{"id":29,"name":"Sharepoint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822</v>
      </c>
      <c r="B150" s="7">
        <v>4016</v>
      </c>
      <c r="C150" s="21" t="s">
        <v>199</v>
      </c>
      <c r="D150" s="21" t="s">
        <v>848</v>
      </c>
      <c r="E150" s="13">
        <v>42931.945150462961</v>
      </c>
      <c r="F150" s="13">
        <v>42931.958854166667</v>
      </c>
      <c r="G150" s="7">
        <v>1</v>
      </c>
      <c r="H150" s="21" t="s">
        <v>562</v>
      </c>
      <c r="I150" s="13">
        <v>42931.984780092593</v>
      </c>
      <c r="J150" s="7">
        <v>0</v>
      </c>
      <c r="K150" s="89" t="str">
        <f t="shared" si="53"/>
        <v>4015/4016</v>
      </c>
      <c r="L150" s="21" t="str">
        <f>VLOOKUP(A150,'Trips&amp;Operators'!$C$1:$G$99999,5,FALSE)</f>
        <v>LAMAR NEKESHA</v>
      </c>
      <c r="M150" s="6">
        <f t="shared" si="54"/>
        <v>2.5925925925548654E-2</v>
      </c>
      <c r="N150" s="7">
        <f t="shared" si="64"/>
        <v>37.333333332790062</v>
      </c>
      <c r="O150" s="7"/>
      <c r="P150" s="7"/>
      <c r="Q150" s="22"/>
      <c r="R150" s="170"/>
      <c r="S150" s="213">
        <f t="shared" si="65"/>
        <v>1</v>
      </c>
      <c r="T150" s="195" t="str">
        <f t="shared" si="55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6"/>
        <v>https://d0f6bd738d7f1b3e5a7ca70fe4ff75f0.us-east-1.aws.found.io/app/kibana#/discover/Steve-Slow-Train-Analysis-(2080s-and-2083s)?_g=(refreshInterval:(display:Off,pause:!f,section:0,value:0),time:(from:'2017-07-15T21:41:01-0600',mode:absolute,to:'2017-07-16T00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97" t="str">
        <f>IF(AA150&lt;VLOOKUP(AG150,Variables!$AC$3:$AD$8,2,FALSE),"Y","N")</f>
        <v>N</v>
      </c>
      <c r="X150" s="197">
        <f t="shared" si="48"/>
        <v>1</v>
      </c>
      <c r="Y150" s="197">
        <f t="shared" si="57"/>
        <v>4.4900000000000002E-2</v>
      </c>
      <c r="Z150" s="197">
        <f t="shared" si="58"/>
        <v>23.327200000000001</v>
      </c>
      <c r="AA150" s="197">
        <f t="shared" si="59"/>
        <v>23.282300000000003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0"/>
        <v>237</v>
      </c>
      <c r="AE150" s="77" t="str">
        <f t="shared" si="61"/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AF150" s="74" t="str">
        <f t="shared" si="62"/>
        <v>"C:\Program Files (x86)\AstroGrep\AstroGrep.exe" /e /r /s /spath="%USERPROFILE%\AppData\Local\Temp\OnboardLogs" /stypes="app*4016*20170716*" /stext=" 05:.+((SYSTEM_STATE.+slice.+state.+changed )|(ment ac)|(multiple cpu faults)|(system.+state.+changed )|(\[timeout)|(PRM\|1\|D)|(kpr)|(kdp)|(train st.+moving)|(\|lc)|(penalty))"</v>
      </c>
      <c r="AG150" s="209" t="str">
        <f t="shared" si="63"/>
        <v>EC</v>
      </c>
      <c r="AH150" s="78" t="str">
        <f t="shared" si="49"/>
        <v>"%USERPROFILE%\Documents\GitHub\eaglep3\Utilities\RefineRTDCRunTimes.py" --tripid 237-15 --locoid 4016 --swversion DE.1.0.9.0 --startMP 204:449 --initTime 2017-07-15T22:41:01 --startdatetime 2017-07-15T23:00:45 --delay 1 --endMP 204:233272 --enddatetime 2017-07-15T23:38:05 --enforcementcount 0 &gt;&gt;C:\Users\stu\Documents\GitHub\eaglep3-reporting\EC\2017-07-15-refined-times.txt</v>
      </c>
      <c r="AI150" s="96" t="str">
        <f t="shared" si="50"/>
        <v>echo {"issue":{"subject":"","project_id":79,"tracker_id":40,"status_id":1,"priority_id":2,"assigned_to_id":23,"start_date":"2017-07-15","description":"","custom_fields":[{"id":1,"name":"Subdivision","value":"EC"},{"id":4,"name":"Milepost","value":"23.3272"},{"id":17,"name":"Train ID","value":"237-15"},{"id":16,"name":"Locomotive ID","value":"4016"},{"id":130,"name":"Impact","value":""},{"id":150,"name":"Time of Event (Mountain Time)","value":"23:38:05"},{"id":151,"name":"Denver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1"/>
        <v>start /low /b %USERPROFILE%\Documents\GitHub\eaglep3\Utilities\DownloadLogsFromS3.py --loco 4016 --day 2017-07-15</v>
      </c>
      <c r="AN150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610</v>
      </c>
      <c r="B151" s="7">
        <v>4015</v>
      </c>
      <c r="C151" s="21" t="s">
        <v>199</v>
      </c>
      <c r="D151" s="21" t="s">
        <v>938</v>
      </c>
      <c r="E151" s="13">
        <v>42931.994942129626</v>
      </c>
      <c r="F151" s="13">
        <v>42931.999618055554</v>
      </c>
      <c r="G151" s="7">
        <v>1</v>
      </c>
      <c r="H151" s="21" t="s">
        <v>469</v>
      </c>
      <c r="I151" s="13">
        <v>42932.025439814817</v>
      </c>
      <c r="J151" s="7">
        <v>0</v>
      </c>
      <c r="K151" s="89" t="str">
        <f t="shared" si="53"/>
        <v>4015/4016</v>
      </c>
      <c r="L151" s="21" t="str">
        <f>VLOOKUP(A151,'Trips&amp;Operators'!$C$1:$G$99999,5,FALSE)</f>
        <v>LAMAR NEKESHA</v>
      </c>
      <c r="M151" s="6">
        <f t="shared" si="54"/>
        <v>2.5821759263635613E-2</v>
      </c>
      <c r="N151" s="7">
        <f t="shared" si="64"/>
        <v>37.183333339635283</v>
      </c>
      <c r="O151" s="7"/>
      <c r="P151" s="7"/>
      <c r="Q151" s="22"/>
      <c r="R151" s="170"/>
      <c r="S151" s="213">
        <f t="shared" si="65"/>
        <v>1</v>
      </c>
      <c r="T151" s="195" t="str">
        <f t="shared" si="55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6"/>
        <v>https://d0f6bd738d7f1b3e5a7ca70fe4ff75f0.us-east-1.aws.found.io/app/kibana#/discover/Steve-Slow-Train-Analysis-(2080s-and-2083s)?_g=(refreshInterval:(display:Off,pause:!f,section:0,value:0),time:(from:'2017-07-15T22:52:43-0600',mode:absolute,to:'2017-07-16T01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97" t="str">
        <f>IF(AA151&lt;VLOOKUP(AG151,Variables!$AC$3:$AD$8,2,FALSE),"Y","N")</f>
        <v>N</v>
      </c>
      <c r="X151" s="197">
        <f t="shared" si="48"/>
        <v>1</v>
      </c>
      <c r="Y151" s="197">
        <f t="shared" si="57"/>
        <v>23.294799999999999</v>
      </c>
      <c r="Z151" s="197">
        <f t="shared" si="58"/>
        <v>1.61E-2</v>
      </c>
      <c r="AA151" s="197">
        <f t="shared" si="59"/>
        <v>23.278699999999997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0"/>
        <v>238</v>
      </c>
      <c r="AE151" s="77" t="str">
        <f t="shared" si="61"/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AF151" s="74" t="str">
        <f t="shared" si="62"/>
        <v>"C:\Program Files (x86)\AstroGrep\AstroGrep.exe" /e /r /s /spath="%USERPROFILE%\AppData\Local\Temp\OnboardLogs" /stypes="app*4015*20170716*" /stext=" 06:.+((SYSTEM_STATE.+slice.+state.+changed )|(ment ac)|(multiple cpu faults)|(system.+state.+changed )|(\[timeout)|(PRM\|1\|D)|(kpr)|(kdp)|(train st.+moving)|(\|lc)|(penalty))"</v>
      </c>
      <c r="AG151" s="209" t="str">
        <f t="shared" si="63"/>
        <v>EC</v>
      </c>
      <c r="AH151" s="78" t="str">
        <f t="shared" si="49"/>
        <v>"%USERPROFILE%\Documents\GitHub\eaglep3\Utilities\RefineRTDCRunTimes.py" --tripid 238-15 --locoid 4015 --swversion DE.1.0.9.0 --startMP 204:232948 --initTime 2017-07-15T23:52:43 --startdatetime 2017-07-15T23:59:27 --delay 1 --endMP 204:161 --enddatetime 2017-07-16T00:36:38 --enforcementcount 0 &gt;&gt;C:\Users\stu\Documents\GitHub\eaglep3-reporting\EC\2017-07-15-refined-times.txt</v>
      </c>
      <c r="AI151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{"issue":{"subject":"","project_id":79,"tracker_id":40,"status_id":1,"priority_id":2,"assigned_to_id":23,"start_date":"2017-07-16","description":"","custom_fields":[{"id":1,"name":"Subdivision","value":"EC"},{"id":4,"name":"Milepost","value":"0.0161"},{"id":17,"name":"Train ID","value":"238-15"},{"id":16,"name":"Locomotive ID","value":"4015"},{"id":130,"name":"Impact","value":""},{"id":150,"name":"Time of Event (Mountain Time)","value":"00:36:38"},{"id":151,"name":"Denver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51"/>
        <v>start /low /b %USERPROFILE%\Documents\GitHub\eaglep3\Utilities\DownloadLogsFromS3.py --loco 4015 --day 2017-07-15</v>
      </c>
      <c r="AN151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824</v>
      </c>
      <c r="B152" s="7">
        <v>4024</v>
      </c>
      <c r="C152" s="21" t="s">
        <v>199</v>
      </c>
      <c r="D152" s="21" t="s">
        <v>196</v>
      </c>
      <c r="E152" s="13">
        <v>42931.97084490741</v>
      </c>
      <c r="F152" s="13">
        <v>42931.979895833334</v>
      </c>
      <c r="G152" s="7">
        <v>1</v>
      </c>
      <c r="H152" s="21" t="s">
        <v>432</v>
      </c>
      <c r="I152" s="13">
        <v>42932.005648148152</v>
      </c>
      <c r="J152" s="7">
        <v>0</v>
      </c>
      <c r="K152" s="89" t="str">
        <f t="shared" si="53"/>
        <v>4023/4024</v>
      </c>
      <c r="L152" s="21" t="str">
        <f>VLOOKUP(A152,'Trips&amp;Operators'!$C$1:$G$99999,5,FALSE)</f>
        <v>YANG JAN</v>
      </c>
      <c r="M152" s="6">
        <f t="shared" si="54"/>
        <v>2.5752314817509614E-2</v>
      </c>
      <c r="N152" s="7">
        <f t="shared" si="64"/>
        <v>37.083333337213844</v>
      </c>
      <c r="O152" s="7"/>
      <c r="P152" s="7"/>
      <c r="Q152" s="22"/>
      <c r="R152" s="170"/>
      <c r="S152" s="213">
        <f t="shared" si="65"/>
        <v>1</v>
      </c>
      <c r="T152" s="195" t="str">
        <f t="shared" si="55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6"/>
        <v>https://d0f6bd738d7f1b3e5a7ca70fe4ff75f0.us-east-1.aws.found.io/app/kibana#/discover/Steve-Slow-Train-Analysis-(2080s-and-2083s)?_g=(refreshInterval:(display:Off,pause:!f,section:0,value:0),time:(from:'2017-07-15T22:18:01-0600',mode:absolute,to:'2017-07-16T01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2" s="197" t="str">
        <f>IF(AA152&lt;VLOOKUP(AG152,Variables!$AC$3:$AD$8,2,FALSE),"Y","N")</f>
        <v>N</v>
      </c>
      <c r="X152" s="197">
        <f t="shared" si="48"/>
        <v>1</v>
      </c>
      <c r="Y152" s="197">
        <f t="shared" si="57"/>
        <v>4.5699999999999998E-2</v>
      </c>
      <c r="Z152" s="197">
        <f t="shared" si="58"/>
        <v>23.328900000000001</v>
      </c>
      <c r="AA152" s="197">
        <f t="shared" si="59"/>
        <v>23.283200000000001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0"/>
        <v>239</v>
      </c>
      <c r="AE152" s="77" t="str">
        <f t="shared" si="61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152" s="74" t="str">
        <f t="shared" si="62"/>
        <v>"C:\Program Files (x86)\AstroGrep\AstroGrep.exe" /e /r /s /spath="%USERPROFILE%\AppData\Local\Temp\OnboardLogs" /stypes="app*4024*20170716*" /stext=" 06:.+((SYSTEM_STATE.+slice.+state.+changed )|(ment ac)|(multiple cpu faults)|(system.+state.+changed )|(\[timeout)|(PRM\|1\|D)|(kpr)|(kdp)|(train st.+moving)|(\|lc)|(penalty))"</v>
      </c>
      <c r="AG152" s="209" t="str">
        <f t="shared" si="63"/>
        <v>EC</v>
      </c>
      <c r="AH152" s="78" t="str">
        <f t="shared" si="49"/>
        <v>"%USERPROFILE%\Documents\GitHub\eaglep3\Utilities\RefineRTDCRunTimes.py" --tripid 239-15 --locoid 4024 --swversion DE.1.0.9.0 --startMP 204:457 --initTime 2017-07-15T23:18:01 --startdatetime 2017-07-15T23:31:03 --delay 1 --endMP 204:233289 --enddatetime 2017-07-16T00:08:08 --enforcementcount 0 &gt;&gt;C:\Users\stu\Documents\GitHub\eaglep3-reporting\EC\2017-07-15-refined-times.txt</v>
      </c>
      <c r="AI152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{"issue":{"subject":"","project_id":79,"tracker_id":40,"status_id":1,"priority_id":2,"assigned_to_id":23,"start_date":"2017-07-16","description":"","custom_fields":[{"id":1,"name":"Subdivision","value":"EC"},{"id":4,"name":"Milepost","value":"23.3289"},{"id":17,"name":"Train ID","value":"239-15"},{"id":16,"name":"Locomotive ID","value":"4024"},{"id":130,"name":"Impact","value":""},{"id":150,"name":"Time of Event (Mountain Time)","value":"00:08:08"},{"id":151,"name":"Denver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51"/>
        <v>start /low /b %USERPROFILE%\Documents\GitHub\eaglep3\Utilities\DownloadLogsFromS3.py --loco 4024 --day 2017-07-15</v>
      </c>
      <c r="AN152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06:08:08"},{"id":29,"name":"Sharepoint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828</v>
      </c>
      <c r="B153" s="7">
        <v>4023</v>
      </c>
      <c r="C153" s="21" t="s">
        <v>199</v>
      </c>
      <c r="D153" s="21" t="s">
        <v>840</v>
      </c>
      <c r="E153" s="13">
        <v>42932.015509259261</v>
      </c>
      <c r="F153" s="13">
        <v>42932.018912037034</v>
      </c>
      <c r="G153" s="7">
        <v>1</v>
      </c>
      <c r="H153" s="21" t="s">
        <v>528</v>
      </c>
      <c r="I153" s="13">
        <v>42932.046331018515</v>
      </c>
      <c r="J153" s="7">
        <v>0</v>
      </c>
      <c r="K153" s="89" t="str">
        <f t="shared" si="53"/>
        <v>4023/4024</v>
      </c>
      <c r="L153" s="21" t="str">
        <f>VLOOKUP(A153,'Trips&amp;Operators'!$C$1:$G$99999,5,FALSE)</f>
        <v>YANG JAN</v>
      </c>
      <c r="M153" s="6">
        <f t="shared" si="54"/>
        <v>2.7418981480877846E-2</v>
      </c>
      <c r="N153" s="7">
        <f t="shared" si="64"/>
        <v>39.483333332464099</v>
      </c>
      <c r="O153" s="7"/>
      <c r="P153" s="7"/>
      <c r="Q153" s="22"/>
      <c r="R153" s="170"/>
      <c r="S153" s="213">
        <f t="shared" si="65"/>
        <v>1</v>
      </c>
      <c r="T153" s="195" t="str">
        <f t="shared" si="55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6"/>
        <v>https://d0f6bd738d7f1b3e5a7ca70fe4ff75f0.us-east-1.aws.found.io/app/kibana#/discover/Steve-Slow-Train-Analysis-(2080s-and-2083s)?_g=(refreshInterval:(display:Off,pause:!f,section:0,value:0),time:(from:'2017-07-15T23:22:20-0600',mode:absolute,to:'2017-07-16T02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3" s="197" t="str">
        <f>IF(AA153&lt;VLOOKUP(AG153,Variables!$AC$3:$AD$8,2,FALSE),"Y","N")</f>
        <v>N</v>
      </c>
      <c r="X153" s="197">
        <f t="shared" si="48"/>
        <v>1</v>
      </c>
      <c r="Y153" s="197">
        <f t="shared" si="57"/>
        <v>23.2988</v>
      </c>
      <c r="Z153" s="197">
        <f t="shared" si="58"/>
        <v>1.52E-2</v>
      </c>
      <c r="AA153" s="197">
        <f t="shared" si="59"/>
        <v>23.2836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0"/>
        <v>240</v>
      </c>
      <c r="AE153" s="77" t="str">
        <f t="shared" si="61"/>
        <v>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 &amp; aws s3 cp s3://rtdc.mdm.uploadarchive.raw/RTDC4023/ "%USERPROFILE%\AppData\Local\Temp\OnboardLogs"\RTDC4023\2017-07-17 --exclude "*" --recursive --include "*20170717*" &amp; "%USERPROFILE%\Documents\GitHub\mrs-test-scripts\Headless Mode &amp; Sideloading\WalkAndUnGZ.bat" "%USERPROFILE%\AppData\Local\Temp\OnboardLogs"\RTDC4023\2017-07-17</v>
      </c>
      <c r="AF153" s="74" t="str">
        <f t="shared" si="62"/>
        <v>"C:\Program Files (x86)\AstroGrep\AstroGrep.exe" /e /r /s /spath="%USERPROFILE%\AppData\Local\Temp\OnboardLogs" /stypes="app*4023*20170716*" /stext=" 07:.+((SYSTEM_STATE.+slice.+state.+changed )|(ment ac)|(multiple cpu faults)|(system.+state.+changed )|(\[timeout)|(PRM\|1\|D)|(kpr)|(kdp)|(train st.+moving)|(\|lc)|(penalty))"</v>
      </c>
      <c r="AG153" s="209" t="str">
        <f t="shared" si="63"/>
        <v>EC</v>
      </c>
      <c r="AH153" s="78" t="str">
        <f t="shared" si="49"/>
        <v>"%USERPROFILE%\Documents\GitHub\eaglep3\Utilities\RefineRTDCRunTimes.py" --tripid 240-15 --locoid 4023 --swversion DE.1.0.9.0 --startMP 204:232988 --initTime 2017-07-16T00:22:20 --startdatetime 2017-07-16T00:27:14 --delay 1 --endMP 204:152 --enddatetime 2017-07-16T01:06:43 --enforcementcount 0 &gt;&gt;C:\Users\stu\Documents\GitHub\eaglep3-reporting\EC\2017-07-15-refined-times.txt</v>
      </c>
      <c r="AI153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{"issue":{"subject":"","project_id":79,"tracker_id":40,"status_id":1,"priority_id":2,"assigned_to_id":23,"start_date":"2017-07-16","description":"","custom_fields":[{"id":1,"name":"Subdivision","value":"EC"},{"id":4,"name":"Milepost","value":"0.0152"},{"id":17,"name":"Train ID","value":"240-15"},{"id":16,"name":"Locomotive ID","value":"4023"},{"id":130,"name":"Impact","value":""},{"id":150,"name":"Time of Event (Mountain Time)","value":"01:06:43"},{"id":151,"name":"Denver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1"/>
        <v>start /low /b %USERPROFILE%\Documents\GitHub\eaglep3\Utilities\DownloadLogsFromS3.py --loco 4023 --day 2017-07-16</v>
      </c>
      <c r="AN153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826</v>
      </c>
      <c r="B154" s="7">
        <v>4032</v>
      </c>
      <c r="C154" s="21" t="s">
        <v>199</v>
      </c>
      <c r="D154" s="21" t="s">
        <v>939</v>
      </c>
      <c r="E154" s="13">
        <v>42931.997025462966</v>
      </c>
      <c r="F154" s="13">
        <v>42932.000613425924</v>
      </c>
      <c r="G154" s="7">
        <v>1</v>
      </c>
      <c r="H154" s="21" t="s">
        <v>858</v>
      </c>
      <c r="I154" s="13">
        <v>42932.026574074072</v>
      </c>
      <c r="J154" s="7">
        <v>0</v>
      </c>
      <c r="K154" s="89" t="str">
        <f t="shared" si="53"/>
        <v>4031/4032</v>
      </c>
      <c r="L154" s="21" t="str">
        <f>VLOOKUP(A154,'Trips&amp;Operators'!$C$1:$G$99999,5,FALSE)</f>
        <v>PERKINS DARREN</v>
      </c>
      <c r="M154" s="6">
        <f t="shared" si="54"/>
        <v>2.5960648148611654E-2</v>
      </c>
      <c r="N154" s="7">
        <f t="shared" si="64"/>
        <v>37.383333334000781</v>
      </c>
      <c r="O154" s="7"/>
      <c r="P154" s="7"/>
      <c r="Q154" s="22"/>
      <c r="R154" s="170"/>
      <c r="S154" s="213">
        <f t="shared" si="65"/>
        <v>1</v>
      </c>
      <c r="T154" s="195" t="str">
        <f t="shared" si="55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6"/>
        <v>https://d0f6bd738d7f1b3e5a7ca70fe4ff75f0.us-east-1.aws.found.io/app/kibana#/discover/Steve-Slow-Train-Analysis-(2080s-and-2083s)?_g=(refreshInterval:(display:Off,pause:!f,section:0,value:0),time:(from:'2017-07-15T22:55:43-0600',mode:absolute,to:'2017-07-16T01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4" s="197" t="str">
        <f>IF(AA154&lt;VLOOKUP(AG154,Variables!$AC$3:$AD$8,2,FALSE),"Y","N")</f>
        <v>N</v>
      </c>
      <c r="X154" s="197">
        <f t="shared" si="48"/>
        <v>1</v>
      </c>
      <c r="Y154" s="197">
        <f t="shared" si="57"/>
        <v>4.2599999999999999E-2</v>
      </c>
      <c r="Z154" s="197">
        <f t="shared" si="58"/>
        <v>23.337199999999999</v>
      </c>
      <c r="AA154" s="197">
        <f t="shared" si="59"/>
        <v>23.294599999999999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0"/>
        <v>241</v>
      </c>
      <c r="AE154" s="77" t="str">
        <f t="shared" si="61"/>
        <v>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 &amp; 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</v>
      </c>
      <c r="AF154" s="74" t="str">
        <f t="shared" si="62"/>
        <v>"C:\Program Files (x86)\AstroGrep\AstroGrep.exe" /e /r /s /spath="%USERPROFILE%\AppData\Local\Temp\OnboardLogs" /stypes="app*4032*20170716*" /stext=" 06:.+((SYSTEM_STATE.+slice.+state.+changed )|(ment ac)|(multiple cpu faults)|(system.+state.+changed )|(\[timeout)|(PRM\|1\|D)|(kpr)|(kdp)|(train st.+moving)|(\|lc)|(penalty))"</v>
      </c>
      <c r="AG154" s="209" t="str">
        <f t="shared" si="63"/>
        <v>EC</v>
      </c>
      <c r="AH154" s="78" t="str">
        <f t="shared" si="49"/>
        <v>"%USERPROFILE%\Documents\GitHub\eaglep3\Utilities\RefineRTDCRunTimes.py" --tripid 241-15 --locoid 4032 --swversion DE.1.0.9.0 --startMP 204:426 --initTime 2017-07-15T23:55:43 --startdatetime 2017-07-16T00:00:53 --delay 1 --endMP 204:233372 --enddatetime 2017-07-16T00:38:16 --enforcementcount 0 &gt;&gt;C:\Users\stu\Documents\GitHub\eaglep3-reporting\EC\2017-07-15-refined-times.txt</v>
      </c>
      <c r="AI154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{"issue":{"subject":"","project_id":79,"tracker_id":40,"status_id":1,"priority_id":2,"assigned_to_id":23,"start_date":"2017-07-16","description":"","custom_fields":[{"id":1,"name":"Subdivision","value":"EC"},{"id":4,"name":"Milepost","value":"23.3372"},{"id":17,"name":"Train ID","value":"241-15"},{"id":16,"name":"Locomotive ID","value":"4032"},{"id":130,"name":"Impact","value":""},{"id":150,"name":"Time of Event (Mountain Time)","value":"00:38:16"},{"id":151,"name":"Denver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1"/>
        <v>start /low /b %USERPROFILE%\Documents\GitHub\eaglep3\Utilities\DownloadLogsFromS3.py --loco 4032 --day 2017-07-16</v>
      </c>
      <c r="AN154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06:38:16"},{"id":29,"name":"Sharepoint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611</v>
      </c>
      <c r="B155" s="7">
        <v>4031</v>
      </c>
      <c r="C155" s="21" t="s">
        <v>199</v>
      </c>
      <c r="D155" s="21" t="s">
        <v>569</v>
      </c>
      <c r="E155" s="13">
        <v>42932.031967592593</v>
      </c>
      <c r="F155" s="13">
        <v>42932.03979166667</v>
      </c>
      <c r="G155" s="7">
        <v>1</v>
      </c>
      <c r="H155" s="21" t="s">
        <v>940</v>
      </c>
      <c r="I155" s="13">
        <v>42932.06659722222</v>
      </c>
      <c r="J155" s="7">
        <v>0</v>
      </c>
      <c r="K155" s="89" t="str">
        <f t="shared" si="53"/>
        <v>4031/4032</v>
      </c>
      <c r="L155" s="21" t="str">
        <f>VLOOKUP(A155,'Trips&amp;Operators'!$C$1:$G$99999,5,FALSE)</f>
        <v>PERKINS DARREN</v>
      </c>
      <c r="M155" s="6">
        <f t="shared" si="54"/>
        <v>2.6805555549799465E-2</v>
      </c>
      <c r="N155" s="7">
        <f t="shared" si="64"/>
        <v>38.599999991711229</v>
      </c>
      <c r="O155" s="7"/>
      <c r="P155" s="7"/>
      <c r="Q155" s="22"/>
      <c r="R155" s="170"/>
      <c r="S155" s="213">
        <f t="shared" si="65"/>
        <v>1</v>
      </c>
      <c r="T155" s="195" t="str">
        <f t="shared" si="55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6"/>
        <v>https://d0f6bd738d7f1b3e5a7ca70fe4ff75f0.us-east-1.aws.found.io/app/kibana#/discover/Steve-Slow-Train-Analysis-(2080s-and-2083s)?_g=(refreshInterval:(display:Off,pause:!f,section:0,value:0),time:(from:'2017-07-15T23:46:02-0600',mode:absolute,to:'2017-07-16T02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197" t="str">
        <f>IF(AA155&lt;VLOOKUP(AG155,Variables!$AC$3:$AD$8,2,FALSE),"Y","N")</f>
        <v>N</v>
      </c>
      <c r="X155" s="197">
        <f t="shared" si="48"/>
        <v>1</v>
      </c>
      <c r="Y155" s="197">
        <f t="shared" si="57"/>
        <v>23.303799999999999</v>
      </c>
      <c r="Z155" s="197">
        <f t="shared" si="58"/>
        <v>9.7999999999999997E-3</v>
      </c>
      <c r="AA155" s="197">
        <f t="shared" si="59"/>
        <v>23.294</v>
      </c>
      <c r="AB155" s="54" t="str">
        <f>VLOOKUP(A155,Enforcements!$C$7:$K$13,8,0)</f>
        <v>Bulletin (2)</v>
      </c>
      <c r="AC155" s="51" t="str">
        <f>VLOOKUP(A155,Enforcements!$C$7:$E$13,3,0)</f>
        <v>GRADE CROSSING</v>
      </c>
      <c r="AD155" s="206">
        <f t="shared" si="60"/>
        <v>242</v>
      </c>
      <c r="AE155" s="77" t="str">
        <f t="shared" si="61"/>
        <v>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 &amp; 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</v>
      </c>
      <c r="AF155" s="74" t="str">
        <f t="shared" si="62"/>
        <v>"C:\Program Files (x86)\AstroGrep\AstroGrep.exe" /e /r /s /spath="%USERPROFILE%\AppData\Local\Temp\OnboardLogs" /stypes="app*4031*20170716*" /stext=" 07:.+((SYSTEM_STATE.+slice.+state.+changed )|(ment ac)|(multiple cpu faults)|(system.+state.+changed )|(\[timeout)|(PRM\|1\|D)|(kpr)|(kdp)|(train st.+moving)|(\|lc)|(penalty))"</v>
      </c>
      <c r="AG155" s="209" t="str">
        <f t="shared" si="63"/>
        <v>EC</v>
      </c>
      <c r="AH155" s="78" t="str">
        <f t="shared" si="49"/>
        <v>"%USERPROFILE%\Documents\GitHub\eaglep3\Utilities\RefineRTDCRunTimes.py" --tripid 242-15 --locoid 4031 --swversion DE.1.0.9.0 --startMP 204:233038 --initTime 2017-07-16T00:46:02 --startdatetime 2017-07-16T00:57:18 --delay 1 --endMP 204:98 --enddatetime 2017-07-16T01:35:54 --enforcementcount 0 &gt;&gt;C:\Users\stu\Documents\GitHub\eaglep3-reporting\EC\2017-07-15-refined-times.txt</v>
      </c>
      <c r="AI155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{"issue":{"subject":"","project_id":79,"tracker_id":40,"status_id":1,"priority_id":2,"assigned_to_id":23,"start_date":"2017-07-16","description":"","custom_fields":[{"id":1,"name":"Subdivision","value":"EC"},{"id":4,"name":"Milepost","value":"0.0098"},{"id":17,"name":"Train ID","value":"242-15"},{"id":16,"name":"Locomotive ID","value":"4031"},{"id":130,"name":"Impact","value":""},{"id":150,"name":"Time of Event (Mountain Time)","value":"01:35:54"},{"id":151,"name":"Denver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1"/>
        <v>start /low /b %USERPROFILE%\Documents\GitHub\eaglep3\Utilities\DownloadLogsFromS3.py --loco 4031 --day 2017-07-16</v>
      </c>
      <c r="AN155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827</v>
      </c>
      <c r="B156" s="7">
        <v>4054</v>
      </c>
      <c r="C156" s="21" t="s">
        <v>199</v>
      </c>
      <c r="D156" s="21" t="s">
        <v>846</v>
      </c>
      <c r="E156" s="13">
        <v>42932.012372685182</v>
      </c>
      <c r="F156" s="13">
        <v>42932.02134259259</v>
      </c>
      <c r="G156" s="7">
        <v>1</v>
      </c>
      <c r="H156" s="21" t="s">
        <v>560</v>
      </c>
      <c r="I156" s="13">
        <v>42932.046377314815</v>
      </c>
      <c r="J156" s="7">
        <v>0</v>
      </c>
      <c r="K156" s="89" t="str">
        <f t="shared" si="53"/>
        <v>4053/4054</v>
      </c>
      <c r="L156" s="21" t="str">
        <f>VLOOKUP(A156,'Trips&amp;Operators'!$C$1:$G$99999,5,FALSE)</f>
        <v>FORTUNATO FRANK</v>
      </c>
      <c r="M156" s="6">
        <f t="shared" si="54"/>
        <v>2.5034722224518191E-2</v>
      </c>
      <c r="N156" s="7">
        <f t="shared" si="64"/>
        <v>36.050000003306195</v>
      </c>
      <c r="O156" s="7"/>
      <c r="P156" s="7"/>
      <c r="Q156" s="22"/>
      <c r="R156" s="170"/>
      <c r="S156" s="213">
        <f t="shared" si="65"/>
        <v>1</v>
      </c>
      <c r="T156" s="195" t="str">
        <f t="shared" si="55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6"/>
        <v>https://d0f6bd738d7f1b3e5a7ca70fe4ff75f0.us-east-1.aws.found.io/app/kibana#/discover/Steve-Slow-Train-Analysis-(2080s-and-2083s)?_g=(refreshInterval:(display:Off,pause:!f,section:0,value:0),time:(from:'2017-07-15T23:17:49-0600',mode:absolute,to:'2017-07-16T02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197" t="str">
        <f>IF(AA156&lt;VLOOKUP(AG156,Variables!$AC$3:$AD$8,2,FALSE),"Y","N")</f>
        <v>N</v>
      </c>
      <c r="X156" s="197">
        <f t="shared" si="48"/>
        <v>1</v>
      </c>
      <c r="Y156" s="197">
        <f t="shared" si="57"/>
        <v>4.3700000000000003E-2</v>
      </c>
      <c r="Z156" s="197">
        <f t="shared" si="58"/>
        <v>23.331</v>
      </c>
      <c r="AA156" s="197">
        <f t="shared" si="59"/>
        <v>23.287299999999998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0"/>
        <v>243</v>
      </c>
      <c r="AE156" s="77" t="str">
        <f t="shared" si="61"/>
        <v>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 &amp; 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</v>
      </c>
      <c r="AF156" s="74" t="str">
        <f t="shared" si="62"/>
        <v>"C:\Program Files (x86)\AstroGrep\AstroGrep.exe" /e /r /s /spath="%USERPROFILE%\AppData\Local\Temp\OnboardLogs" /stypes="app*4054*20170716*" /stext=" 07:.+((SYSTEM_STATE.+slice.+state.+changed )|(ment ac)|(multiple cpu faults)|(system.+state.+changed )|(\[timeout)|(PRM\|1\|D)|(kpr)|(kdp)|(train st.+moving)|(\|lc)|(penalty))"</v>
      </c>
      <c r="AG156" s="209" t="str">
        <f t="shared" si="63"/>
        <v>EC</v>
      </c>
      <c r="AH156" s="78" t="str">
        <f t="shared" si="49"/>
        <v>"%USERPROFILE%\Documents\GitHub\eaglep3\Utilities\RefineRTDCRunTimes.py" --tripid 243-15 --locoid 4054 --swversion DE.1.0.9.0 --startMP 204:437 --initTime 2017-07-16T00:17:49 --startdatetime 2017-07-16T00:30:44 --delay 1 --endMP 204:233310 --enddatetime 2017-07-16T01:06:47 --enforcementcount 0 &gt;&gt;C:\Users\stu\Documents\GitHub\eaglep3-reporting\EC\2017-07-15-refined-times.txt</v>
      </c>
      <c r="AI156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{"issue":{"subject":"","project_id":79,"tracker_id":40,"status_id":1,"priority_id":2,"assigned_to_id":23,"start_date":"2017-07-16","description":"","custom_fields":[{"id":1,"name":"Subdivision","value":"EC"},{"id":4,"name":"Milepost","value":"23.331"},{"id":17,"name":"Train ID","value":"243-15"},{"id":16,"name":"Locomotive ID","value":"4054"},{"id":130,"name":"Impact","value":""},{"id":150,"name":"Time of Event (Mountain Time)","value":"01:06:47"},{"id":151,"name":"Denver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1"/>
        <v>start /low /b %USERPROFILE%\Documents\GitHub\eaglep3\Utilities\DownloadLogsFromS3.py --loco 4054 --day 2017-07-16</v>
      </c>
      <c r="AN156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830</v>
      </c>
      <c r="B157" s="7">
        <v>4053</v>
      </c>
      <c r="C157" s="21" t="s">
        <v>199</v>
      </c>
      <c r="D157" s="21" t="s">
        <v>506</v>
      </c>
      <c r="E157" s="13">
        <v>42932.047997685186</v>
      </c>
      <c r="F157" s="13">
        <v>42932.060590277775</v>
      </c>
      <c r="G157" s="7">
        <v>1</v>
      </c>
      <c r="H157" s="21" t="s">
        <v>354</v>
      </c>
      <c r="I157" s="13">
        <v>42932.086736111109</v>
      </c>
      <c r="J157" s="7">
        <v>0</v>
      </c>
      <c r="K157" s="89" t="str">
        <f t="shared" si="53"/>
        <v>4053/4054</v>
      </c>
      <c r="L157" s="21" t="str">
        <f>VLOOKUP(A157,'Trips&amp;Operators'!$C$1:$G$99999,5,FALSE)</f>
        <v>FORTUNATO FRANK</v>
      </c>
      <c r="M157" s="6">
        <f t="shared" si="54"/>
        <v>2.6145833333430346E-2</v>
      </c>
      <c r="N157" s="7">
        <f t="shared" si="64"/>
        <v>37.650000000139698</v>
      </c>
      <c r="O157" s="7"/>
      <c r="P157" s="7"/>
      <c r="Q157" s="22"/>
      <c r="R157" s="170"/>
      <c r="S157" s="213">
        <f t="shared" si="65"/>
        <v>1</v>
      </c>
      <c r="T157" s="195" t="str">
        <f t="shared" si="55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6"/>
        <v>https://d0f6bd738d7f1b3e5a7ca70fe4ff75f0.us-east-1.aws.found.io/app/kibana#/discover/Steve-Slow-Train-Analysis-(2080s-and-2083s)?_g=(refreshInterval:(display:Off,pause:!f,section:0,value:0),time:(from:'2017-07-16T00:09:07-0600',mode:absolute,to:'2017-07-16T03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97" t="str">
        <f>IF(AA157&lt;VLOOKUP(AG157,Variables!$AC$3:$AD$8,2,FALSE),"Y","N")</f>
        <v>N</v>
      </c>
      <c r="X157" s="197">
        <f t="shared" si="48"/>
        <v>1</v>
      </c>
      <c r="Y157" s="197">
        <f t="shared" si="57"/>
        <v>23.299399999999999</v>
      </c>
      <c r="Z157" s="197">
        <f t="shared" si="58"/>
        <v>1.47E-2</v>
      </c>
      <c r="AA157" s="197">
        <f t="shared" si="59"/>
        <v>23.284699999999997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0"/>
        <v>244</v>
      </c>
      <c r="AE157" s="77" t="str">
        <f t="shared" si="61"/>
        <v>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 &amp; aws s3 cp s3://rtdc.mdm.uploadarchive.raw/RTDC4053/ "%USERPROFILE%\AppData\Local\Temp\OnboardLogs"\RTDC4053\2017-07-17 --exclude "*" --recursive --include "*20170717*" &amp; "%USERPROFILE%\Documents\GitHub\mrs-test-scripts\Headless Mode &amp; Sideloading\WalkAndUnGZ.bat" "%USERPROFILE%\AppData\Local\Temp\OnboardLogs"\RTDC4053\2017-07-17</v>
      </c>
      <c r="AF157" s="74" t="str">
        <f t="shared" si="62"/>
        <v>"C:\Program Files (x86)\AstroGrep\AstroGrep.exe" /e /r /s /spath="%USERPROFILE%\AppData\Local\Temp\OnboardLogs" /stypes="app*4053*20170716*" /stext=" 08:.+((SYSTEM_STATE.+slice.+state.+changed )|(ment ac)|(multiple cpu faults)|(system.+state.+changed )|(\[timeout)|(PRM\|1\|D)|(kpr)|(kdp)|(train st.+moving)|(\|lc)|(penalty))"</v>
      </c>
      <c r="AG157" s="209" t="str">
        <f t="shared" si="63"/>
        <v>EC</v>
      </c>
      <c r="AH157" s="78" t="str">
        <f t="shared" si="49"/>
        <v>"%USERPROFILE%\Documents\GitHub\eaglep3\Utilities\RefineRTDCRunTimes.py" --tripid 244-15 --locoid 4053 --swversion DE.1.0.9.0 --startMP 204:232994 --initTime 2017-07-16T01:09:07 --startdatetime 2017-07-16T01:27:15 --delay 1 --endMP 204:147 --enddatetime 2017-07-16T02:04:54 --enforcementcount 0 &gt;&gt;C:\Users\stu\Documents\GitHub\eaglep3-reporting\EC\2017-07-15-refined-times.txt</v>
      </c>
      <c r="AI157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{"issue":{"subject":"","project_id":79,"tracker_id":40,"status_id":1,"priority_id":2,"assigned_to_id":23,"start_date":"2017-07-16","description":"","custom_fields":[{"id":1,"name":"Subdivision","value":"EC"},{"id":4,"name":"Milepost","value":"0.0147"},{"id":17,"name":"Train ID","value":"244-15"},{"id":16,"name":"Locomotive ID","value":"4053"},{"id":130,"name":"Impact","value":""},{"id":150,"name":"Time of Event (Mountain Time)","value":"02:04:54"},{"id":151,"name":"Denver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1"/>
        <v>start /low /b %USERPROFILE%\Documents\GitHub\eaglep3\Utilities\DownloadLogsFromS3.py --loco 4053 --day 2017-07-16</v>
      </c>
      <c r="AN157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08:04:54"},{"id":29,"name":"Sharepoint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829</v>
      </c>
      <c r="B158" s="7">
        <v>4016</v>
      </c>
      <c r="C158" s="21" t="s">
        <v>199</v>
      </c>
      <c r="D158" s="21" t="s">
        <v>414</v>
      </c>
      <c r="E158" s="13">
        <v>42932.03696759259</v>
      </c>
      <c r="F158" s="13">
        <v>42932.042199074072</v>
      </c>
      <c r="G158" s="7">
        <v>1</v>
      </c>
      <c r="H158" s="21" t="s">
        <v>530</v>
      </c>
      <c r="I158" s="13">
        <v>42932.067013888889</v>
      </c>
      <c r="J158" s="7">
        <v>0</v>
      </c>
      <c r="K158" s="89" t="str">
        <f t="shared" si="53"/>
        <v>4015/4016</v>
      </c>
      <c r="L158" s="21" t="str">
        <f>VLOOKUP(A158,'Trips&amp;Operators'!$C$1:$G$99999,5,FALSE)</f>
        <v>LAMAR NEKESHA</v>
      </c>
      <c r="M158" s="6">
        <f t="shared" si="54"/>
        <v>2.4814814816636499E-2</v>
      </c>
      <c r="N158" s="7">
        <f t="shared" si="64"/>
        <v>35.733333335956559</v>
      </c>
      <c r="O158" s="7"/>
      <c r="P158" s="7"/>
      <c r="Q158" s="22"/>
      <c r="R158" s="170"/>
      <c r="S158" s="213">
        <f t="shared" si="65"/>
        <v>1</v>
      </c>
      <c r="T158" s="195" t="str">
        <f t="shared" si="55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6"/>
        <v>https://d0f6bd738d7f1b3e5a7ca70fe4ff75f0.us-east-1.aws.found.io/app/kibana#/discover/Steve-Slow-Train-Analysis-(2080s-and-2083s)?_g=(refreshInterval:(display:Off,pause:!f,section:0,value:0),time:(from:'2017-07-15T23:53:14-0600',mode:absolute,to:'2017-07-16T02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97" t="str">
        <f>IF(AA158&lt;VLOOKUP(AG158,Variables!$AC$3:$AD$8,2,FALSE),"Y","N")</f>
        <v>N</v>
      </c>
      <c r="X158" s="197">
        <f t="shared" ref="X158:X163" si="66">VALUE(LEFT(AD158,4))-VALUE(LEFT(AD157,4))</f>
        <v>1</v>
      </c>
      <c r="Y158" s="197">
        <f t="shared" si="57"/>
        <v>4.58E-2</v>
      </c>
      <c r="Z158" s="197">
        <f t="shared" si="58"/>
        <v>23.328600000000002</v>
      </c>
      <c r="AA158" s="197">
        <f t="shared" si="59"/>
        <v>23.282800000000002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0"/>
        <v>245</v>
      </c>
      <c r="AE158" s="77" t="str">
        <f t="shared" si="61"/>
        <v>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 &amp; 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</v>
      </c>
      <c r="AF158" s="74" t="str">
        <f t="shared" si="62"/>
        <v>"C:\Program Files (x86)\AstroGrep\AstroGrep.exe" /e /r /s /spath="%USERPROFILE%\AppData\Local\Temp\OnboardLogs" /stypes="app*4016*20170716*" /stext=" 07:.+((SYSTEM_STATE.+slice.+state.+changed )|(ment ac)|(multiple cpu faults)|(system.+state.+changed )|(\[timeout)|(PRM\|1\|D)|(kpr)|(kdp)|(train st.+moving)|(\|lc)|(penalty))"</v>
      </c>
      <c r="AG158" s="209" t="str">
        <f t="shared" si="63"/>
        <v>EC</v>
      </c>
      <c r="AH158" s="78" t="str">
        <f t="shared" si="49"/>
        <v>"%USERPROFILE%\Documents\GitHub\eaglep3\Utilities\RefineRTDCRunTimes.py" --tripid 245-15 --locoid 4016 --swversion DE.1.0.9.0 --startMP 204:458 --initTime 2017-07-16T00:53:14 --startdatetime 2017-07-16T01:00:46 --delay 1 --endMP 204:233286 --enddatetime 2017-07-16T01:36:30 --enforcementcount 0 &gt;&gt;C:\Users\stu\Documents\GitHub\eaglep3-reporting\EC\2017-07-15-refined-times.txt</v>
      </c>
      <c r="AI158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{"issue":{"subject":"","project_id":79,"tracker_id":40,"status_id":1,"priority_id":2,"assigned_to_id":23,"start_date":"2017-07-16","description":"","custom_fields":[{"id":1,"name":"Subdivision","value":"EC"},{"id":4,"name":"Milepost","value":"23.3286"},{"id":17,"name":"Train ID","value":"245-15"},{"id":16,"name":"Locomotive ID","value":"4016"},{"id":130,"name":"Impact","value":""},{"id":150,"name":"Time of Event (Mountain Time)","value":"01:36:30"},{"id":151,"name":"Denver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1"/>
        <v>start /low /b %USERPROFILE%\Documents\GitHub\eaglep3\Utilities\DownloadLogsFromS3.py --loco 4016 --day 2017-07-16</v>
      </c>
      <c r="AN158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612</v>
      </c>
      <c r="B159" s="7">
        <v>4015</v>
      </c>
      <c r="C159" s="21" t="s">
        <v>199</v>
      </c>
      <c r="D159" s="21" t="s">
        <v>862</v>
      </c>
      <c r="E159" s="13">
        <v>42932.076898148145</v>
      </c>
      <c r="F159" s="13">
        <v>42932.08148148148</v>
      </c>
      <c r="G159" s="7">
        <v>1</v>
      </c>
      <c r="H159" s="21" t="s">
        <v>485</v>
      </c>
      <c r="I159" s="13">
        <v>42932.10833333333</v>
      </c>
      <c r="J159" s="7">
        <v>0</v>
      </c>
      <c r="K159" s="89" t="str">
        <f t="shared" si="53"/>
        <v>4015/4016</v>
      </c>
      <c r="L159" s="21" t="str">
        <f>VLOOKUP(A159,'Trips&amp;Operators'!$C$1:$G$99999,5,FALSE)</f>
        <v>LAMAR NEKESHA</v>
      </c>
      <c r="M159" s="6">
        <f t="shared" si="54"/>
        <v>2.6851851849642117E-2</v>
      </c>
      <c r="N159" s="7">
        <f t="shared" si="64"/>
        <v>38.666666663484648</v>
      </c>
      <c r="O159" s="7"/>
      <c r="P159" s="7"/>
      <c r="Q159" s="22"/>
      <c r="R159" s="170"/>
      <c r="S159" s="213">
        <f t="shared" si="65"/>
        <v>1</v>
      </c>
      <c r="T159" s="195" t="str">
        <f t="shared" si="55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6"/>
        <v>https://d0f6bd738d7f1b3e5a7ca70fe4ff75f0.us-east-1.aws.found.io/app/kibana#/discover/Steve-Slow-Train-Analysis-(2080s-and-2083s)?_g=(refreshInterval:(display:Off,pause:!f,section:0,value:0),time:(from:'2017-07-16T00:50:44-0600',mode:absolute,to:'2017-07-16T03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97" t="str">
        <f>IF(AA159&lt;VLOOKUP(AG159,Variables!$AC$3:$AD$8,2,FALSE),"Y","N")</f>
        <v>N</v>
      </c>
      <c r="X159" s="197">
        <f t="shared" si="66"/>
        <v>1</v>
      </c>
      <c r="Y159" s="197">
        <f t="shared" si="57"/>
        <v>23.297999999999998</v>
      </c>
      <c r="Z159" s="197">
        <f t="shared" si="58"/>
        <v>1.5800000000000002E-2</v>
      </c>
      <c r="AA159" s="197">
        <f t="shared" si="59"/>
        <v>23.2822</v>
      </c>
      <c r="AB159" s="54" t="str">
        <f>VLOOKUP(A159,Enforcements!$C$7:$K$13,8,0)</f>
        <v>Bulletin (2)</v>
      </c>
      <c r="AC159" s="51" t="str">
        <f>VLOOKUP(A159,Enforcements!$C$7:$E$13,3,0)</f>
        <v>GRADE CROSSING</v>
      </c>
      <c r="AD159" s="206">
        <f t="shared" si="60"/>
        <v>246</v>
      </c>
      <c r="AE159" s="77" t="str">
        <f t="shared" si="61"/>
        <v>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 &amp; 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</v>
      </c>
      <c r="AF159" s="74" t="str">
        <f t="shared" si="62"/>
        <v>"C:\Program Files (x86)\AstroGrep\AstroGrep.exe" /e /r /s /spath="%USERPROFILE%\AppData\Local\Temp\OnboardLogs" /stypes="app*4015*20170716*" /stext=" 08:.+((SYSTEM_STATE.+slice.+state.+changed )|(ment ac)|(multiple cpu faults)|(system.+state.+changed )|(\[timeout)|(PRM\|1\|D)|(kpr)|(kdp)|(train st.+moving)|(\|lc)|(penalty))"</v>
      </c>
      <c r="AG159" s="209" t="str">
        <f t="shared" si="63"/>
        <v>EC</v>
      </c>
      <c r="AH159" s="78" t="str">
        <f t="shared" si="49"/>
        <v>"%USERPROFILE%\Documents\GitHub\eaglep3\Utilities\RefineRTDCRunTimes.py" --tripid 246-15 --locoid 4015 --swversion DE.1.0.9.0 --startMP 204:232980 --initTime 2017-07-16T01:50:44 --startdatetime 2017-07-16T01:57:20 --delay 1 --endMP 204:158 --enddatetime 2017-07-16T02:36:00 --enforcementcount 0 &gt;&gt;C:\Users\stu\Documents\GitHub\eaglep3-reporting\EC\2017-07-15-refined-times.txt</v>
      </c>
      <c r="AI159" s="96" t="str">
        <f t="shared" si="50"/>
        <v>echo {"issue":{"subject":"","project_id":79,"tracker_id":40,"status_id":1,"priority_id":2,"assigned_to_id":23,"start_date":"2017-07-16","description":"","custom_fields":[{"id":1,"name":"Subdivision","value":"EC"},{"id":4,"name":"Milepost","value":"0.0158"},{"id":17,"name":"Train ID","value":"246-15"},{"id":16,"name":"Locomotive ID","value":"4015"},{"id":130,"name":"Impact","value":""},{"id":150,"name":"Time of Event (Mountain Time)","value":"02:36:00"},{"id":151,"name":"Denver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1"/>
        <v>start /low /b %USERPROFILE%\Documents\GitHub\eaglep3\Utilities\DownloadLogsFromS3.py --loco 4015 --day 2017-07-16</v>
      </c>
      <c r="AN159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663</v>
      </c>
      <c r="B160" s="7">
        <v>4011</v>
      </c>
      <c r="C160" s="21" t="s">
        <v>199</v>
      </c>
      <c r="D160" s="21" t="s">
        <v>874</v>
      </c>
      <c r="E160" s="13">
        <v>42931.234236111108</v>
      </c>
      <c r="F160" s="13">
        <v>42931.235636574071</v>
      </c>
      <c r="G160" s="7">
        <v>1</v>
      </c>
      <c r="H160" s="21" t="s">
        <v>835</v>
      </c>
      <c r="I160" s="13">
        <v>42931.246793981481</v>
      </c>
      <c r="J160" s="7">
        <v>0</v>
      </c>
      <c r="K160" s="89" t="str">
        <f t="shared" si="53"/>
        <v>4011/4012</v>
      </c>
      <c r="L160" s="21" t="str">
        <f>VLOOKUP(A160,'Trips&amp;Operators'!$C$1:$G$99999,5,FALSE)</f>
        <v>MACDONALD THOMAS</v>
      </c>
      <c r="M160" s="6">
        <f t="shared" si="54"/>
        <v>1.1157407410792075E-2</v>
      </c>
      <c r="N160" s="7">
        <f t="shared" si="64"/>
        <v>16.066666671540588</v>
      </c>
      <c r="O160" s="7"/>
      <c r="P160" s="7"/>
      <c r="Q160" s="22"/>
      <c r="R160" s="170"/>
      <c r="S160" s="213">
        <f t="shared" si="65"/>
        <v>1</v>
      </c>
      <c r="T160" s="195" t="str">
        <f t="shared" si="55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6"/>
        <v>https://d0f6bd738d7f1b3e5a7ca70fe4ff75f0.us-east-1.aws.found.io/app/kibana#/discover/Steve-Slow-Train-Analysis-(2080s-and-2083s)?_g=(refreshInterval:(display:Off,pause:!f,section:0,value:0),time:(from:'2017-07-15T04:37:18-0600',mode:absolute,to:'2017-07-15T06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197" t="str">
        <f>IF(AA160&lt;VLOOKUP(AG160,Variables!$AC$3:$AD$8,2,FALSE),"Y","N")</f>
        <v>N</v>
      </c>
      <c r="X160" s="197">
        <f t="shared" si="66"/>
        <v>1554</v>
      </c>
      <c r="Y160" s="197">
        <f t="shared" si="57"/>
        <v>5.859</v>
      </c>
      <c r="Z160" s="197">
        <f t="shared" si="58"/>
        <v>7.5200000000000003E-2</v>
      </c>
      <c r="AA160" s="197">
        <f t="shared" si="59"/>
        <v>5.7838000000000003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0"/>
        <v>1800</v>
      </c>
      <c r="AE160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60" s="74" t="str">
        <f t="shared" si="62"/>
        <v>"C:\Program Files (x86)\AstroGrep\AstroGrep.exe" /e /r /s /spath="%USERPROFILE%\AppData\Local\Temp\OnboardLogs" /stypes="app*4011*20170715*" /stext=" 11:.+((SYSTEM_STATE.+slice.+state.+changed )|(ment ac)|(multiple cpu faults)|(system.+state.+changed )|(\[timeout)|(PRM\|1\|D)|(kpr)|(kdp)|(train st.+moving)|(\|lc)|(penalty))"</v>
      </c>
      <c r="AG160" s="209" t="str">
        <f t="shared" si="63"/>
        <v>NW</v>
      </c>
      <c r="AH160" s="78" t="str">
        <f t="shared" si="49"/>
        <v>"%USERPROFILE%\Documents\GitHub\eaglep3\Utilities\RefineRTDCRunTimes.py" --tripid 1800-15 --locoid 4011 --swversion DE.1.0.9.0 --startMP 300:58590 --initTime 2017-07-15T05:37:18 --startdatetime 2017-07-15T05:39:19 --delay 1 --endMP 204:752 --enddatetime 2017-07-15T05:55:23 --enforcementcount 0 &gt;&gt;C:\Users\stu\Documents\GitHub\eaglep3-reporting\EC\2017-07-15-refined-times.txt</v>
      </c>
      <c r="AI160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{"issue":{"subject":"","project_id":79,"tracker_id":40,"status_id":1,"priority_id":2,"assigned_to_id":23,"start_date":"2017-07-15","description":"","custom_fields":[{"id":1,"name":"Subdivision","value":"NW"},{"id":4,"name":"Milepost","value":"0.0752"},{"id":17,"name":"Train ID","value":"1800-15"},{"id":16,"name":"Locomotive ID","value":"4011"},{"id":130,"name":"Impact","value":""},{"id":150,"name":"Time of Event (Mountain Time)","value":"05:55:23"},{"id":151,"name":"Denver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1"/>
        <v>start /low /b %USERPROFILE%\Documents\GitHub\eaglep3\Utilities\DownloadLogsFromS3.py --loco 4011 --day 2017-07-15</v>
      </c>
      <c r="AN160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667</v>
      </c>
      <c r="B161" s="7">
        <v>4012</v>
      </c>
      <c r="C161" s="21" t="s">
        <v>199</v>
      </c>
      <c r="D161" s="21" t="s">
        <v>875</v>
      </c>
      <c r="E161" s="13">
        <v>42931.24795138889</v>
      </c>
      <c r="F161" s="13">
        <v>42931.265405092592</v>
      </c>
      <c r="G161" s="7">
        <v>1</v>
      </c>
      <c r="H161" s="21" t="s">
        <v>876</v>
      </c>
      <c r="I161" s="13">
        <v>42931.275069444448</v>
      </c>
      <c r="J161" s="7">
        <v>0</v>
      </c>
      <c r="K161" s="89" t="str">
        <f t="shared" si="53"/>
        <v>4011/4012</v>
      </c>
      <c r="L161" s="21" t="str">
        <f>VLOOKUP(A161,'Trips&amp;Operators'!$C$1:$G$99999,5,FALSE)</f>
        <v>MACDONALD THOMAS</v>
      </c>
      <c r="M161" s="6">
        <f t="shared" si="54"/>
        <v>9.6643518554628827E-3</v>
      </c>
      <c r="N161" s="7">
        <f t="shared" si="64"/>
        <v>13.916666671866551</v>
      </c>
      <c r="O161" s="7"/>
      <c r="P161" s="7"/>
      <c r="Q161" s="22"/>
      <c r="R161" s="170"/>
      <c r="S161" s="213">
        <f t="shared" si="65"/>
        <v>1</v>
      </c>
      <c r="T161" s="195" t="str">
        <f t="shared" si="55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6"/>
        <v>https://d0f6bd738d7f1b3e5a7ca70fe4ff75f0.us-east-1.aws.found.io/app/kibana#/discover/Steve-Slow-Train-Analysis-(2080s-and-2083s)?_g=(refreshInterval:(display:Off,pause:!f,section:0,value:0),time:(from:'2017-07-15T04:57:03-0600',mode:absolute,to:'2017-07-15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1" s="197" t="str">
        <f>IF(AA161&lt;VLOOKUP(AG161,Variables!$AC$3:$AD$8,2,FALSE),"Y","N")</f>
        <v>N</v>
      </c>
      <c r="X161" s="197">
        <f t="shared" si="66"/>
        <v>1</v>
      </c>
      <c r="Y161" s="197">
        <f t="shared" si="57"/>
        <v>0.10489999999999999</v>
      </c>
      <c r="Z161" s="197">
        <f t="shared" si="58"/>
        <v>5.8905000000000003</v>
      </c>
      <c r="AA161" s="197">
        <f t="shared" si="59"/>
        <v>5.7856000000000005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0"/>
        <v>1801</v>
      </c>
      <c r="AE161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61" s="74" t="str">
        <f t="shared" si="62"/>
        <v>"C:\Program Files (x86)\AstroGrep\AstroGrep.exe" /e /r /s /spath="%USERPROFILE%\AppData\Local\Temp\OnboardLogs" /stypes="app*4012*20170715*" /stext=" 12:.+((SYSTEM_STATE.+slice.+state.+changed )|(ment ac)|(multiple cpu faults)|(system.+state.+changed )|(\[timeout)|(PRM\|1\|D)|(kpr)|(kdp)|(train st.+moving)|(\|lc)|(penalty))"</v>
      </c>
      <c r="AG161" s="209" t="str">
        <f t="shared" si="63"/>
        <v>NW</v>
      </c>
      <c r="AH161" s="78" t="str">
        <f t="shared" si="49"/>
        <v>"%USERPROFILE%\Documents\GitHub\eaglep3\Utilities\RefineRTDCRunTimes.py" --tripid 1801-15 --locoid 4012 --swversion DE.1.0.9.0 --startMP 204:1049 --initTime 2017-07-15T05:57:03 --startdatetime 2017-07-15T06:22:11 --delay 1 --endMP 300:58905 --enddatetime 2017-07-15T06:36:06 --enforcementcount 0 &gt;&gt;C:\Users\stu\Documents\GitHub\eaglep3-reporting\EC\2017-07-15-refined-times.txt</v>
      </c>
      <c r="AI161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{"issue":{"subject":"","project_id":79,"tracker_id":40,"status_id":1,"priority_id":2,"assigned_to_id":23,"start_date":"2017-07-15","description":"","custom_fields":[{"id":1,"name":"Subdivision","value":"NW"},{"id":4,"name":"Milepost","value":"5.8905"},{"id":17,"name":"Train ID","value":"1801-15"},{"id":16,"name":"Locomotive ID","value":"4012"},{"id":130,"name":"Impact","value":""},{"id":150,"name":"Time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1"/>
        <v>start /low /b %USERPROFILE%\Documents\GitHub\eaglep3\Utilities\DownloadLogsFromS3.py --loco 4012 --day 2017-07-15</v>
      </c>
      <c r="AN161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672</v>
      </c>
      <c r="B162" s="7">
        <v>4011</v>
      </c>
      <c r="C162" s="21" t="s">
        <v>199</v>
      </c>
      <c r="D162" s="21" t="s">
        <v>877</v>
      </c>
      <c r="E162" s="13">
        <v>42931.27611111111</v>
      </c>
      <c r="F162" s="13">
        <v>42931.27721064815</v>
      </c>
      <c r="G162" s="7">
        <v>1</v>
      </c>
      <c r="H162" s="21" t="s">
        <v>541</v>
      </c>
      <c r="I162" s="13">
        <v>42931.288460648146</v>
      </c>
      <c r="J162" s="7">
        <v>0</v>
      </c>
      <c r="K162" s="89" t="str">
        <f t="shared" si="53"/>
        <v>4011/4012</v>
      </c>
      <c r="L162" s="21" t="str">
        <f>VLOOKUP(A162,'Trips&amp;Operators'!$C$1:$G$99999,5,FALSE)</f>
        <v>MACDONALD THOMAS</v>
      </c>
      <c r="M162" s="6">
        <f t="shared" si="54"/>
        <v>1.1249999995925464E-2</v>
      </c>
      <c r="N162" s="7">
        <f t="shared" si="64"/>
        <v>16.199999994132668</v>
      </c>
      <c r="O162" s="7"/>
      <c r="P162" s="7"/>
      <c r="Q162" s="22"/>
      <c r="R162" s="170"/>
      <c r="S162" s="213">
        <f t="shared" si="65"/>
        <v>1</v>
      </c>
      <c r="T162" s="195" t="str">
        <f t="shared" si="55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6"/>
        <v>https://d0f6bd738d7f1b3e5a7ca70fe4ff75f0.us-east-1.aws.found.io/app/kibana#/discover/Steve-Slow-Train-Analysis-(2080s-and-2083s)?_g=(refreshInterval:(display:Off,pause:!f,section:0,value:0),time:(from:'2017-07-15T05:37:36-0600',mode:absolute,to:'2017-07-15T07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57"/>
        <v>5.8582999999999998</v>
      </c>
      <c r="Z162" s="197">
        <f t="shared" si="58"/>
        <v>6.7299999999999999E-2</v>
      </c>
      <c r="AA162" s="197">
        <f t="shared" si="59"/>
        <v>5.7909999999999995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0"/>
        <v>1802</v>
      </c>
      <c r="AE162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62" s="74" t="str">
        <f t="shared" si="62"/>
        <v>"C:\Program Files (x86)\AstroGrep\AstroGrep.exe" /e /r /s /spath="%USERPROFILE%\AppData\Local\Temp\OnboardLogs" /stypes="app*4011*20170715*" /stext=" 12:.+((SYSTEM_STATE.+slice.+state.+changed )|(ment ac)|(multiple cpu faults)|(system.+state.+changed )|(\[timeout)|(PRM\|1\|D)|(kpr)|(kdp)|(train st.+moving)|(\|lc)|(penalty))"</v>
      </c>
      <c r="AG162" s="209" t="str">
        <f t="shared" si="63"/>
        <v>NW</v>
      </c>
      <c r="AH162" s="78" t="str">
        <f t="shared" si="49"/>
        <v>"%USERPROFILE%\Documents\GitHub\eaglep3\Utilities\RefineRTDCRunTimes.py" --tripid 1802-15 --locoid 4011 --swversion DE.1.0.9.0 --startMP 300:58583 --initTime 2017-07-15T06:37:36 --startdatetime 2017-07-15T06:39:11 --delay 1 --endMP 204:673 --enddatetime 2017-07-15T06:55:23 --enforcementcount 0 &gt;&gt;C:\Users\stu\Documents\GitHub\eaglep3-reporting\EC\2017-07-15-refined-times.txt</v>
      </c>
      <c r="AI162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{"issue":{"subject":"","project_id":79,"tracker_id":40,"status_id":1,"priority_id":2,"assigned_to_id":23,"start_date":"2017-07-15","description":"","custom_fields":[{"id":1,"name":"Subdivision","value":"NW"},{"id":4,"name":"Milepost","value":"0.0673"},{"id":17,"name":"Train ID","value":"1802-15"},{"id":16,"name":"Locomotive ID","value":"4011"},{"id":130,"name":"Impact","value":""},{"id":150,"name":"Time of Event (Mountain Time)","value":"06:55:23"},{"id":151,"name":"Denver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1"/>
        <v>start /low /b %USERPROFILE%\Documents\GitHub\eaglep3\Utilities\DownloadLogsFromS3.py --loco 4011 --day 2017-07-15</v>
      </c>
      <c r="AN162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592</v>
      </c>
      <c r="B163" s="7">
        <v>4012</v>
      </c>
      <c r="C163" s="21" t="s">
        <v>199</v>
      </c>
      <c r="D163" s="21" t="s">
        <v>540</v>
      </c>
      <c r="E163" s="13">
        <v>42931.289583333331</v>
      </c>
      <c r="F163" s="13">
        <v>42931.306747685187</v>
      </c>
      <c r="G163" s="7">
        <v>1</v>
      </c>
      <c r="H163" s="21" t="s">
        <v>878</v>
      </c>
      <c r="I163" s="13">
        <v>42931.317291666666</v>
      </c>
      <c r="J163" s="7">
        <v>0</v>
      </c>
      <c r="K163" s="89" t="str">
        <f t="shared" si="53"/>
        <v>4011/4012</v>
      </c>
      <c r="L163" s="21" t="str">
        <f>VLOOKUP(A163,'Trips&amp;Operators'!$C$1:$G$99999,5,FALSE)</f>
        <v>MACDONALD THOMAS</v>
      </c>
      <c r="M163" s="6">
        <f t="shared" si="54"/>
        <v>1.0543981479713693E-2</v>
      </c>
      <c r="N163" s="7">
        <f t="shared" si="64"/>
        <v>15.183333330787718</v>
      </c>
      <c r="O163" s="7"/>
      <c r="P163" s="7"/>
      <c r="Q163" s="22"/>
      <c r="R163" s="170"/>
      <c r="S163" s="213">
        <f t="shared" si="65"/>
        <v>1</v>
      </c>
      <c r="T163" s="195" t="str">
        <f t="shared" si="55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6"/>
        <v>https://d0f6bd738d7f1b3e5a7ca70fe4ff75f0.us-east-1.aws.found.io/app/kibana#/discover/Steve-Slow-Train-Analysis-(2080s-and-2083s)?_g=(refreshInterval:(display:Off,pause:!f,section:0,value:0),time:(from:'2017-07-15T05:57:00-0600',mode:absolute,to:'2017-07-15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197" t="str">
        <f>IF(AA163&lt;VLOOKUP(AG163,Variables!$AC$3:$AD$8,2,FALSE),"Y","N")</f>
        <v>N</v>
      </c>
      <c r="X163" s="197">
        <f t="shared" si="66"/>
        <v>1</v>
      </c>
      <c r="Y163" s="197">
        <f t="shared" si="57"/>
        <v>9.74E-2</v>
      </c>
      <c r="Z163" s="197">
        <f t="shared" si="58"/>
        <v>5.8917999999999999</v>
      </c>
      <c r="AA163" s="197">
        <f t="shared" si="59"/>
        <v>5.7943999999999996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0"/>
        <v>1803</v>
      </c>
      <c r="AE163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63" s="74" t="str">
        <f t="shared" si="62"/>
        <v>"C:\Program Files (x86)\AstroGrep\AstroGrep.exe" /e /r /s /spath="%USERPROFILE%\AppData\Local\Temp\OnboardLogs" /stypes="app*4012*20170715*" /stext=" 13:.+((SYSTEM_STATE.+slice.+state.+changed )|(ment ac)|(multiple cpu faults)|(system.+state.+changed )|(\[timeout)|(PRM\|1\|D)|(kpr)|(kdp)|(train st.+moving)|(\|lc)|(penalty))"</v>
      </c>
      <c r="AG163" s="209" t="str">
        <f t="shared" si="63"/>
        <v>NW</v>
      </c>
      <c r="AH163" s="78" t="str">
        <f t="shared" si="49"/>
        <v>"%USERPROFILE%\Documents\GitHub\eaglep3\Utilities\RefineRTDCRunTimes.py" --tripid 1803-15 --locoid 4012 --swversion DE.1.0.9.0 --startMP 204:974 --initTime 2017-07-15T06:57:00 --startdatetime 2017-07-15T07:21:43 --delay 1 --endMP 300:58918 --enddatetime 2017-07-15T07:36:54 --enforcementcount 0 &gt;&gt;C:\Users\stu\Documents\GitHub\eaglep3-reporting\EC\2017-07-15-refined-times.txt</v>
      </c>
      <c r="AI163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{"issue":{"subject":"","project_id":79,"tracker_id":40,"status_id":1,"priority_id":2,"assigned_to_id":23,"start_date":"2017-07-15","description":"","custom_fields":[{"id":1,"name":"Subdivision","value":"NW"},{"id":4,"name":"Milepost","value":"5.8918"},{"id":17,"name":"Train ID","value":"1803-15"},{"id":16,"name":"Locomotive ID","value":"4012"},{"id":130,"name":"Impact","value":""},{"id":150,"name":"Time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51"/>
        <v>start /low /b %USERPROFILE%\Documents\GitHub\eaglep3\Utilities\DownloadLogsFromS3.py --loco 4012 --day 2017-07-15</v>
      </c>
      <c r="AN163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680</v>
      </c>
      <c r="B164" s="7">
        <v>4011</v>
      </c>
      <c r="C164" s="21" t="s">
        <v>199</v>
      </c>
      <c r="D164" s="21" t="s">
        <v>543</v>
      </c>
      <c r="E164" s="13">
        <v>42931.318171296298</v>
      </c>
      <c r="F164" s="13">
        <v>42931.319305555553</v>
      </c>
      <c r="G164" s="7">
        <v>1</v>
      </c>
      <c r="H164" s="21" t="s">
        <v>879</v>
      </c>
      <c r="I164" s="13">
        <v>42931.330312500002</v>
      </c>
      <c r="J164" s="7">
        <v>0</v>
      </c>
      <c r="K164" s="89" t="str">
        <f t="shared" si="53"/>
        <v>4011/4012</v>
      </c>
      <c r="L164" s="21" t="str">
        <f>VLOOKUP(A164,'Trips&amp;Operators'!$C$1:$G$99999,5,FALSE)</f>
        <v>MACDONALD THOMAS</v>
      </c>
      <c r="M164" s="6">
        <f t="shared" si="54"/>
        <v>1.1006944449036382E-2</v>
      </c>
      <c r="N164" s="7">
        <f t="shared" si="64"/>
        <v>15.85000000661239</v>
      </c>
      <c r="O164" s="7"/>
      <c r="P164" s="7"/>
      <c r="Q164" s="22"/>
      <c r="R164" s="170"/>
      <c r="S164" s="213">
        <f t="shared" si="65"/>
        <v>1</v>
      </c>
      <c r="T164" s="195" t="str">
        <f t="shared" si="55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6"/>
        <v>https://d0f6bd738d7f1b3e5a7ca70fe4ff75f0.us-east-1.aws.found.io/app/kibana#/discover/Steve-Slow-Train-Analysis-(2080s-and-2083s)?_g=(refreshInterval:(display:Off,pause:!f,section:0,value:0),time:(from:'2017-07-15T06:38:10-0600',mode:absolute,to:'2017-07-15T08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 t="shared" si="57"/>
        <v>5.8596000000000004</v>
      </c>
      <c r="Z164" s="197">
        <f t="shared" si="58"/>
        <v>8.0600000000000005E-2</v>
      </c>
      <c r="AA164" s="197">
        <f t="shared" si="59"/>
        <v>5.7789999999999999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0"/>
        <v>1804</v>
      </c>
      <c r="AE164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64" s="74" t="str">
        <f t="shared" si="62"/>
        <v>"C:\Program Files (x86)\AstroGrep\AstroGrep.exe" /e /r /s /spath="%USERPROFILE%\AppData\Local\Temp\OnboardLogs" /stypes="app*4011*20170715*" /stext=" 13:.+((SYSTEM_STATE.+slice.+state.+changed )|(ment ac)|(multiple cpu faults)|(system.+state.+changed )|(\[timeout)|(PRM\|1\|D)|(kpr)|(kdp)|(train st.+moving)|(\|lc)|(penalty))"</v>
      </c>
      <c r="AG164" s="209" t="str">
        <f t="shared" si="63"/>
        <v>NW</v>
      </c>
      <c r="AH164" s="78" t="str">
        <f t="shared" si="49"/>
        <v>"%USERPROFILE%\Documents\GitHub\eaglep3\Utilities\RefineRTDCRunTimes.py" --tripid 1804-15 --locoid 4011 --swversion DE.1.0.9.0 --startMP 300:58596 --initTime 2017-07-15T07:38:10 --startdatetime 2017-07-15T07:39:48 --delay 1 --endMP 204:806 --enddatetime 2017-07-15T07:55:39 --enforcementcount 0 &gt;&gt;C:\Users\stu\Documents\GitHub\eaglep3-reporting\EC\2017-07-15-refined-times.txt</v>
      </c>
      <c r="AI164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{"issue":{"subject":"","project_id":79,"tracker_id":40,"status_id":1,"priority_id":2,"assigned_to_id":23,"start_date":"2017-07-15","description":"","custom_fields":[{"id":1,"name":"Subdivision","value":"NW"},{"id":4,"name":"Milepost","value":"0.0806"},{"id":17,"name":"Train ID","value":"1804-15"},{"id":16,"name":"Locomotive ID","value":"4011"},{"id":130,"name":"Impact","value":""},{"id":150,"name":"Time of Event (Mountain Time)","value":"07:55:39"},{"id":151,"name":"Denver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1"/>
        <v>start /low /b %USERPROFILE%\Documents\GitHub\eaglep3\Utilities\DownloadLogsFromS3.py --loco 4011 --day 2017-07-15</v>
      </c>
      <c r="AN164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684</v>
      </c>
      <c r="B165" s="7">
        <v>4012</v>
      </c>
      <c r="C165" s="21" t="s">
        <v>199</v>
      </c>
      <c r="D165" s="21" t="s">
        <v>880</v>
      </c>
      <c r="E165" s="13">
        <v>42931.332094907404</v>
      </c>
      <c r="F165" s="13">
        <v>42931.348414351851</v>
      </c>
      <c r="G165" s="7">
        <v>1</v>
      </c>
      <c r="H165" s="21" t="s">
        <v>876</v>
      </c>
      <c r="I165" s="13">
        <v>42931.358634259261</v>
      </c>
      <c r="J165" s="7">
        <v>0</v>
      </c>
      <c r="K165" s="89" t="str">
        <f t="shared" si="53"/>
        <v>4011/4012</v>
      </c>
      <c r="L165" s="21" t="str">
        <f>VLOOKUP(A165,'Trips&amp;Operators'!$C$1:$G$99999,5,FALSE)</f>
        <v>MACDONALD THOMAS</v>
      </c>
      <c r="M165" s="6">
        <f t="shared" si="54"/>
        <v>1.021990740991896E-2</v>
      </c>
      <c r="N165" s="7">
        <f t="shared" si="64"/>
        <v>14.716666670283303</v>
      </c>
      <c r="O165" s="7"/>
      <c r="P165" s="7"/>
      <c r="Q165" s="22"/>
      <c r="R165" s="170"/>
      <c r="S165" s="213">
        <f t="shared" si="65"/>
        <v>1</v>
      </c>
      <c r="T165" s="195" t="str">
        <f t="shared" si="55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6"/>
        <v>https://d0f6bd738d7f1b3e5a7ca70fe4ff75f0.us-east-1.aws.found.io/app/kibana#/discover/Steve-Slow-Train-Analysis-(2080s-and-2083s)?_g=(refreshInterval:(display:Off,pause:!f,section:0,value:0),time:(from:'2017-07-15T06:58:13-0600',mode:absolute,to:'2017-07-15T09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 t="shared" si="57"/>
        <v>0.11119999999999999</v>
      </c>
      <c r="Z165" s="197">
        <f t="shared" si="58"/>
        <v>5.8905000000000003</v>
      </c>
      <c r="AA165" s="197">
        <f t="shared" si="59"/>
        <v>5.7793000000000001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0"/>
        <v>1805</v>
      </c>
      <c r="AE165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65" s="74" t="str">
        <f t="shared" si="62"/>
        <v>"C:\Program Files (x86)\AstroGrep\AstroGrep.exe" /e /r /s /spath="%USERPROFILE%\AppData\Local\Temp\OnboardLogs" /stypes="app*4012*20170715*" /stext=" 14:.+((SYSTEM_STATE.+slice.+state.+changed )|(ment ac)|(multiple cpu faults)|(system.+state.+changed )|(\[timeout)|(PRM\|1\|D)|(kpr)|(kdp)|(train st.+moving)|(\|lc)|(penalty))"</v>
      </c>
      <c r="AG165" s="209" t="str">
        <f t="shared" si="63"/>
        <v>NW</v>
      </c>
      <c r="AH165" s="78" t="str">
        <f t="shared" si="49"/>
        <v>"%USERPROFILE%\Documents\GitHub\eaglep3\Utilities\RefineRTDCRunTimes.py" --tripid 1805-15 --locoid 4012 --swversion DE.1.0.9.0 --startMP 204:1112 --initTime 2017-07-15T07:58:13 --startdatetime 2017-07-15T08:21:43 --delay 1 --endMP 300:58905 --enddatetime 2017-07-15T08:36:26 --enforcementcount 0 &gt;&gt;C:\Users\stu\Documents\GitHub\eaglep3-reporting\EC\2017-07-15-refined-times.txt</v>
      </c>
      <c r="AI165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{"issue":{"subject":"","project_id":79,"tracker_id":40,"status_id":1,"priority_id":2,"assigned_to_id":23,"start_date":"2017-07-15","description":"","custom_fields":[{"id":1,"name":"Subdivision","value":"NW"},{"id":4,"name":"Milepost","value":"5.8905"},{"id":17,"name":"Train ID","value":"1805-15"},{"id":16,"name":"Locomotive ID","value":"4012"},{"id":130,"name":"Impact","value":""},{"id":150,"name":"Time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1"/>
        <v>start /low /b %USERPROFILE%\Documents\GitHub\eaglep3\Utilities\DownloadLogsFromS3.py --loco 4012 --day 2017-07-15</v>
      </c>
      <c r="AN165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689</v>
      </c>
      <c r="B166" s="7">
        <v>4011</v>
      </c>
      <c r="C166" s="21" t="s">
        <v>199</v>
      </c>
      <c r="D166" s="21" t="s">
        <v>881</v>
      </c>
      <c r="E166" s="13">
        <v>42931.359548611108</v>
      </c>
      <c r="F166" s="13">
        <v>42931.360648148147</v>
      </c>
      <c r="G166" s="7">
        <v>0</v>
      </c>
      <c r="H166" s="21" t="s">
        <v>435</v>
      </c>
      <c r="I166" s="13">
        <v>42931.372037037036</v>
      </c>
      <c r="J166" s="7">
        <v>0</v>
      </c>
      <c r="K166" s="89" t="str">
        <f t="shared" si="53"/>
        <v>4011/4012</v>
      </c>
      <c r="L166" s="21" t="str">
        <f>VLOOKUP(A166,'Trips&amp;Operators'!$C$1:$G$99999,5,FALSE)</f>
        <v>MACDONALD THOMAS</v>
      </c>
      <c r="M166" s="6">
        <f t="shared" si="54"/>
        <v>1.1388888888177462E-2</v>
      </c>
      <c r="N166" s="7">
        <f t="shared" si="64"/>
        <v>16.399999998975545</v>
      </c>
      <c r="O166" s="7"/>
      <c r="P166" s="7"/>
      <c r="Q166" s="22"/>
      <c r="R166" s="170"/>
      <c r="S166" s="213">
        <f t="shared" si="65"/>
        <v>1</v>
      </c>
      <c r="T166" s="195" t="str">
        <f t="shared" si="55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6"/>
        <v>https://d0f6bd738d7f1b3e5a7ca70fe4ff75f0.us-east-1.aws.found.io/app/kibana#/discover/Steve-Slow-Train-Analysis-(2080s-and-2083s)?_g=(refreshInterval:(display:Off,pause:!f,section:0,value:0),time:(from:'2017-07-15T07:37:45-0600',mode:absolute,to:'2017-07-15T09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 t="shared" si="57"/>
        <v>5.8593999999999999</v>
      </c>
      <c r="Z166" s="197">
        <f t="shared" si="58"/>
        <v>6.9400000000000003E-2</v>
      </c>
      <c r="AA166" s="197">
        <f t="shared" si="59"/>
        <v>5.79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0"/>
        <v>1806</v>
      </c>
      <c r="AE166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66" s="74" t="str">
        <f t="shared" si="62"/>
        <v>"C:\Program Files (x86)\AstroGrep\AstroGrep.exe" /e /r /s /spath="%USERPROFILE%\AppData\Local\Temp\OnboardLogs" /stypes="app*4011*20170715*" /stext=" 14:.+((SYSTEM_STATE.+slice.+state.+changed )|(ment ac)|(multiple cpu faults)|(system.+state.+changed )|(\[timeout)|(PRM\|1\|D)|(kpr)|(kdp)|(train st.+moving)|(\|lc)|(penalty))"</v>
      </c>
      <c r="AG166" s="209" t="str">
        <f t="shared" si="63"/>
        <v>NW</v>
      </c>
      <c r="AH166" s="78" t="str">
        <f t="shared" si="49"/>
        <v>"%USERPROFILE%\Documents\GitHub\eaglep3\Utilities\RefineRTDCRunTimes.py" --tripid 1806-15 --locoid 4011 --swversion DE.1.0.9.0 --startMP 300:58594 --initTime 2017-07-15T08:37:45 --startdatetime 2017-07-15T08:39:20 --delay 0 --endMP 204:694 --enddatetime 2017-07-15T08:55:44 --enforcementcount 0 &gt;&gt;C:\Users\stu\Documents\GitHub\eaglep3-reporting\EC\2017-07-15-refined-times.txt</v>
      </c>
      <c r="AI166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{"issue":{"subject":"","project_id":79,"tracker_id":40,"status_id":1,"priority_id":2,"assigned_to_id":23,"start_date":"2017-07-15","description":"","custom_fields":[{"id":1,"name":"Subdivision","value":"NW"},{"id":4,"name":"Milepost","value":"0.0694"},{"id":17,"name":"Train ID","value":"1806-15"},{"id":16,"name":"Locomotive ID","value":"4011"},{"id":130,"name":"Impact","value":""},{"id":150,"name":"Time of Event (Mountain Time)","value":"08:55:44"},{"id":151,"name":"Denver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1"/>
        <v>start /low /b %USERPROFILE%\Documents\GitHub\eaglep3\Utilities\DownloadLogsFromS3.py --loco 4011 --day 2017-07-15</v>
      </c>
      <c r="AN166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14:55:44"},{"id":29,"name":"Sharepoint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693</v>
      </c>
      <c r="B167" s="7">
        <v>4012</v>
      </c>
      <c r="C167" s="21" t="s">
        <v>199</v>
      </c>
      <c r="D167" s="21" t="s">
        <v>882</v>
      </c>
      <c r="E167" s="13">
        <v>42931.389236111114</v>
      </c>
      <c r="F167" s="13">
        <v>42931.390335648146</v>
      </c>
      <c r="G167" s="7">
        <v>1</v>
      </c>
      <c r="H167" s="21" t="s">
        <v>883</v>
      </c>
      <c r="I167" s="13">
        <v>42931.400243055556</v>
      </c>
      <c r="J167" s="7">
        <v>0</v>
      </c>
      <c r="K167" s="89" t="str">
        <f t="shared" si="53"/>
        <v>4011/4012</v>
      </c>
      <c r="L167" s="21" t="str">
        <f>VLOOKUP(A167,'Trips&amp;Operators'!$C$1:$G$99999,5,FALSE)</f>
        <v>MACDONALD THOMAS</v>
      </c>
      <c r="M167" s="6">
        <f t="shared" si="54"/>
        <v>9.9074074096279219E-3</v>
      </c>
      <c r="N167" s="7">
        <f t="shared" si="64"/>
        <v>14.266666669864208</v>
      </c>
      <c r="O167" s="7"/>
      <c r="P167" s="7"/>
      <c r="Q167" s="22"/>
      <c r="R167" s="170" t="s">
        <v>995</v>
      </c>
      <c r="S167" s="213">
        <f t="shared" si="65"/>
        <v>1</v>
      </c>
      <c r="T167" s="195" t="str">
        <f t="shared" si="55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6"/>
        <v>https://d0f6bd738d7f1b3e5a7ca70fe4ff75f0.us-east-1.aws.found.io/app/kibana#/discover/Steve-Slow-Train-Analysis-(2080s-and-2083s)?_g=(refreshInterval:(display:Off,pause:!f,section:0,value:0),time:(from:'2017-07-15T08:20:30-0600',mode:absolute,to:'2017-07-15T10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97" t="str">
        <f>IF(AA167&lt;VLOOKUP(AG167,Variables!$AC$3:$AD$8,2,FALSE),"Y","N")</f>
        <v>N</v>
      </c>
      <c r="X167" s="197">
        <f t="shared" ref="X167:X179" si="67">VALUE(LEFT(AD167,4))-VALUE(LEFT(AD166,4))</f>
        <v>1</v>
      </c>
      <c r="Y167" s="197">
        <f t="shared" si="57"/>
        <v>9.7600000000000006E-2</v>
      </c>
      <c r="Z167" s="197">
        <f t="shared" si="58"/>
        <v>5.8906999999999998</v>
      </c>
      <c r="AA167" s="197">
        <f t="shared" si="59"/>
        <v>5.7930999999999999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0"/>
        <v>1807</v>
      </c>
      <c r="AE167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67" s="74" t="str">
        <f t="shared" si="62"/>
        <v>"C:\Program Files (x86)\AstroGrep\AstroGrep.exe" /e /r /s /spath="%USERPROFILE%\AppData\Local\Temp\OnboardLogs" /stypes="app*4012*20170715*" /stext=" 15:.+((SYSTEM_STATE.+slice.+state.+changed )|(ment ac)|(multiple cpu faults)|(system.+state.+changed )|(\[timeout)|(PRM\|1\|D)|(kpr)|(kdp)|(train st.+moving)|(\|lc)|(penalty))"</v>
      </c>
      <c r="AG167" s="209" t="str">
        <f t="shared" si="63"/>
        <v>NW</v>
      </c>
      <c r="AH167" s="78" t="str">
        <f t="shared" si="49"/>
        <v>"%USERPROFILE%\Documents\GitHub\eaglep3\Utilities\RefineRTDCRunTimes.py" --tripid 1807-15 --locoid 4012 --swversion DE.1.0.9.0 --startMP 204:976 --initTime 2017-07-15T09:20:30 --startdatetime 2017-07-15T09:22:05 --delay 1 --endMP 300:58907 --enddatetime 2017-07-15T09:36:21 --enforcementcount 0 &gt;&gt;C:\Users\stu\Documents\GitHub\eaglep3-reporting\EC\2017-07-15-refined-times.txt</v>
      </c>
      <c r="AI167" s="96" t="str">
        <f t="shared" si="50"/>
        <v>echo {"issue":{"subject":"Onboard in-route failure on first init, recovered without delay","project_id":79,"tracker_id":40,"status_id":1,"priority_id":2,"assigned_to_id":23,"start_date":"2017-07-15","description":"","custom_fields":[{"id":1,"name":"Subdivision","value":"NW"},{"id":4,"name":"Milepost","value":"5.8907"},{"id":17,"name":"Train ID","value":"1807-15"},{"id":16,"name":"Locomotive ID","value":"4012"},{"id":130,"name":"Impact","value":""},{"id":150,"name":"Time of Event (Mountain Time)","value":"09:36:21"},{"id":151,"name":"Denver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51"/>
        <v>start /low /b %USERPROFILE%\Documents\GitHub\eaglep3\Utilities\DownloadLogsFromS3.py --loco 4012 --day 2017-07-15</v>
      </c>
      <c r="AN167" s="151" t="str">
        <f t="shared" si="52"/>
        <v>echo {"issue":{"subject":"Onboard in-route failure on first init, recovered without delay","project_id":30,"tracker_id":4,"status_id":1,"priority_id":1,"assigned_to_id":10,"start_date":"2017-07-15","description":"","custom_fields":[{"id":30,"name":"Category","value":"Issue"},{"id":3,"name":"Functional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700</v>
      </c>
      <c r="B168" s="7">
        <v>4011</v>
      </c>
      <c r="C168" s="21" t="s">
        <v>199</v>
      </c>
      <c r="D168" s="21" t="s">
        <v>543</v>
      </c>
      <c r="E168" s="13">
        <v>42931.400949074072</v>
      </c>
      <c r="F168" s="13">
        <v>42931.401886574073</v>
      </c>
      <c r="G168" s="7">
        <v>0</v>
      </c>
      <c r="H168" s="21" t="s">
        <v>884</v>
      </c>
      <c r="I168" s="13">
        <v>42931.412870370368</v>
      </c>
      <c r="J168" s="7">
        <v>0</v>
      </c>
      <c r="K168" s="89" t="str">
        <f t="shared" si="53"/>
        <v>4011/4012</v>
      </c>
      <c r="L168" s="21" t="str">
        <f>VLOOKUP(A168,'Trips&amp;Operators'!$C$1:$G$99999,5,FALSE)</f>
        <v>MACDONALD THOMAS</v>
      </c>
      <c r="M168" s="6">
        <f t="shared" si="54"/>
        <v>1.0983796295477077E-2</v>
      </c>
      <c r="N168" s="7">
        <f t="shared" si="64"/>
        <v>15.816666665486991</v>
      </c>
      <c r="O168" s="7"/>
      <c r="P168" s="7"/>
      <c r="Q168" s="22"/>
      <c r="R168" s="170"/>
      <c r="S168" s="213">
        <f t="shared" si="65"/>
        <v>1</v>
      </c>
      <c r="T168" s="195" t="str">
        <f t="shared" si="55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6"/>
        <v>https://d0f6bd738d7f1b3e5a7ca70fe4ff75f0.us-east-1.aws.found.io/app/kibana#/discover/Steve-Slow-Train-Analysis-(2080s-and-2083s)?_g=(refreshInterval:(display:Off,pause:!f,section:0,value:0),time:(from:'2017-07-15T08:37:22-0600',mode:absolute,to:'2017-07-15T10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97" t="str">
        <f>IF(AA168&lt;VLOOKUP(AG168,Variables!$AC$3:$AD$8,2,FALSE),"Y","N")</f>
        <v>N</v>
      </c>
      <c r="X168" s="197">
        <f t="shared" si="67"/>
        <v>1</v>
      </c>
      <c r="Y168" s="197">
        <f t="shared" si="57"/>
        <v>5.8596000000000004</v>
      </c>
      <c r="Z168" s="197">
        <f t="shared" si="58"/>
        <v>8.2199999999999995E-2</v>
      </c>
      <c r="AA168" s="197">
        <f t="shared" si="59"/>
        <v>5.7774000000000001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0"/>
        <v>1808</v>
      </c>
      <c r="AE168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68" s="74" t="str">
        <f t="shared" si="62"/>
        <v>"C:\Program Files (x86)\AstroGrep\AstroGrep.exe" /e /r /s /spath="%USERPROFILE%\AppData\Local\Temp\OnboardLogs" /stypes="app*4011*20170715*" /stext=" 15:.+((SYSTEM_STATE.+slice.+state.+changed )|(ment ac)|(multiple cpu faults)|(system.+state.+changed )|(\[timeout)|(PRM\|1\|D)|(kpr)|(kdp)|(train st.+moving)|(\|lc)|(penalty))"</v>
      </c>
      <c r="AG168" s="209" t="str">
        <f t="shared" si="63"/>
        <v>NW</v>
      </c>
      <c r="AH168" s="78" t="str">
        <f t="shared" si="49"/>
        <v>"%USERPROFILE%\Documents\GitHub\eaglep3\Utilities\RefineRTDCRunTimes.py" --tripid 1808-15 --locoid 4011 --swversion DE.1.0.9.0 --startMP 300:58596 --initTime 2017-07-15T09:37:22 --startdatetime 2017-07-15T09:38:43 --delay 0 --endMP 204:822 --enddatetime 2017-07-15T09:54:32 --enforcementcount 0 &gt;&gt;C:\Users\stu\Documents\GitHub\eaglep3-reporting\EC\2017-07-15-refined-times.txt</v>
      </c>
      <c r="AI168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{"issue":{"subject":"","project_id":79,"tracker_id":40,"status_id":1,"priority_id":2,"assigned_to_id":23,"start_date":"2017-07-15","description":"","custom_fields":[{"id":1,"name":"Subdivision","value":"NW"},{"id":4,"name":"Milepost","value":"0.0822"},{"id":17,"name":"Train ID","value":"1808-15"},{"id":16,"name":"Locomotive ID","value":"4011"},{"id":130,"name":"Impact","value":""},{"id":150,"name":"Time of Event (Mountain Time)","value":"09:54:32"},{"id":151,"name":"Denver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1"/>
        <v>start /low /b %USERPROFILE%\Documents\GitHub\eaglep3\Utilities\DownloadLogsFromS3.py --loco 4011 --day 2017-07-15</v>
      </c>
      <c r="AN168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15:54:32"},{"id":29,"name":"Sharepoint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704</v>
      </c>
      <c r="B169" s="7">
        <v>4012</v>
      </c>
      <c r="C169" s="21" t="s">
        <v>199</v>
      </c>
      <c r="D169" s="21" t="s">
        <v>885</v>
      </c>
      <c r="E169" s="13">
        <v>42931.423136574071</v>
      </c>
      <c r="F169" s="13">
        <v>42931.431851851848</v>
      </c>
      <c r="G169" s="7">
        <v>1</v>
      </c>
      <c r="H169" s="21" t="s">
        <v>883</v>
      </c>
      <c r="I169" s="13">
        <v>42931.441076388888</v>
      </c>
      <c r="J169" s="7">
        <v>0</v>
      </c>
      <c r="K169" s="89" t="str">
        <f t="shared" si="53"/>
        <v>4011/4012</v>
      </c>
      <c r="L169" s="21" t="str">
        <f>VLOOKUP(A169,'Trips&amp;Operators'!$C$1:$G$99999,5,FALSE)</f>
        <v>MACDONALD THOMAS</v>
      </c>
      <c r="M169" s="6">
        <f t="shared" si="54"/>
        <v>9.2245370396994986E-3</v>
      </c>
      <c r="N169" s="7">
        <f t="shared" si="64"/>
        <v>13.283333337167278</v>
      </c>
      <c r="O169" s="7"/>
      <c r="P169" s="7"/>
      <c r="Q169" s="22"/>
      <c r="R169" s="170"/>
      <c r="S169" s="213">
        <f t="shared" si="65"/>
        <v>1</v>
      </c>
      <c r="T169" s="195" t="str">
        <f t="shared" si="55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6"/>
        <v>https://d0f6bd738d7f1b3e5a7ca70fe4ff75f0.us-east-1.aws.found.io/app/kibana#/discover/Steve-Slow-Train-Analysis-(2080s-and-2083s)?_g=(refreshInterval:(display:Off,pause:!f,section:0,value:0),time:(from:'2017-07-15T09:09:19-0600',mode:absolute,to:'2017-07-15T11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97" t="str">
        <f>IF(AA169&lt;VLOOKUP(AG169,Variables!$AC$3:$AD$8,2,FALSE),"Y","N")</f>
        <v>N</v>
      </c>
      <c r="X169" s="197">
        <f t="shared" si="67"/>
        <v>1</v>
      </c>
      <c r="Y169" s="197">
        <f t="shared" si="57"/>
        <v>0.11</v>
      </c>
      <c r="Z169" s="197">
        <f t="shared" si="58"/>
        <v>5.8906999999999998</v>
      </c>
      <c r="AA169" s="197">
        <f t="shared" si="59"/>
        <v>5.7806999999999995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0"/>
        <v>1809</v>
      </c>
      <c r="AE169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69" s="74" t="str">
        <f t="shared" si="62"/>
        <v>"C:\Program Files (x86)\AstroGrep\AstroGrep.exe" /e /r /s /spath="%USERPROFILE%\AppData\Local\Temp\OnboardLogs" /stypes="app*4012*20170715*" /stext=" 16:.+((SYSTEM_STATE.+slice.+state.+changed )|(ment ac)|(multiple cpu faults)|(system.+state.+changed )|(\[timeout)|(PRM\|1\|D)|(kpr)|(kdp)|(train st.+moving)|(\|lc)|(penalty))"</v>
      </c>
      <c r="AG169" s="209" t="str">
        <f t="shared" si="63"/>
        <v>NW</v>
      </c>
      <c r="AH169" s="78" t="str">
        <f t="shared" si="49"/>
        <v>"%USERPROFILE%\Documents\GitHub\eaglep3\Utilities\RefineRTDCRunTimes.py" --tripid 1809-15 --locoid 4012 --swversion DE.1.0.9.0 --startMP 204:1100 --initTime 2017-07-15T10:09:19 --startdatetime 2017-07-15T10:21:52 --delay 1 --endMP 300:58907 --enddatetime 2017-07-15T10:35:09 --enforcementcount 0 &gt;&gt;C:\Users\stu\Documents\GitHub\eaglep3-reporting\EC\2017-07-15-refined-times.txt</v>
      </c>
      <c r="AI169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{"issue":{"subject":"","project_id":79,"tracker_id":40,"status_id":1,"priority_id":2,"assigned_to_id":23,"start_date":"2017-07-15","description":"","custom_fields":[{"id":1,"name":"Subdivision","value":"NW"},{"id":4,"name":"Milepost","value":"5.8907"},{"id":17,"name":"Train ID","value":"1809-15"},{"id":16,"name":"Locomotive ID","value":"4012"},{"id":130,"name":"Impact","value":""},{"id":150,"name":"Time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1"/>
        <v>start /low /b %USERPROFILE%\Documents\GitHub\eaglep3\Utilities\DownloadLogsFromS3.py --loco 4012 --day 2017-07-15</v>
      </c>
      <c r="AN169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707</v>
      </c>
      <c r="B170" s="7">
        <v>4011</v>
      </c>
      <c r="C170" s="21" t="s">
        <v>199</v>
      </c>
      <c r="D170" s="21" t="s">
        <v>886</v>
      </c>
      <c r="E170" s="13">
        <v>42931.443043981482</v>
      </c>
      <c r="F170" s="13">
        <v>42931.444374999999</v>
      </c>
      <c r="G170" s="7">
        <v>1</v>
      </c>
      <c r="H170" s="21" t="s">
        <v>887</v>
      </c>
      <c r="I170" s="13">
        <v>42931.456099537034</v>
      </c>
      <c r="J170" s="7">
        <v>0</v>
      </c>
      <c r="K170" s="89" t="str">
        <f t="shared" si="53"/>
        <v>4011/4012</v>
      </c>
      <c r="L170" s="21" t="str">
        <f>VLOOKUP(A170,'Trips&amp;Operators'!$C$1:$G$99999,5,FALSE)</f>
        <v>MACDONALD THOMAS</v>
      </c>
      <c r="M170" s="6">
        <f t="shared" si="54"/>
        <v>1.1724537034751847E-2</v>
      </c>
      <c r="N170" s="7">
        <f t="shared" si="64"/>
        <v>16.88333333004266</v>
      </c>
      <c r="O170" s="7"/>
      <c r="P170" s="7"/>
      <c r="Q170" s="22"/>
      <c r="R170" s="170"/>
      <c r="S170" s="213">
        <f t="shared" si="65"/>
        <v>1</v>
      </c>
      <c r="T170" s="195" t="str">
        <f t="shared" si="55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6"/>
        <v>https://d0f6bd738d7f1b3e5a7ca70fe4ff75f0.us-east-1.aws.found.io/app/kibana#/discover/Steve-Slow-Train-Analysis-(2080s-and-2083s)?_g=(refreshInterval:(display:Off,pause:!f,section:0,value:0),time:(from:'2017-07-15T09:37:59-0600',mode:absolute,to:'2017-07-15T11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97" t="str">
        <f>IF(AA170&lt;VLOOKUP(AG170,Variables!$AC$3:$AD$8,2,FALSE),"Y","N")</f>
        <v>N</v>
      </c>
      <c r="X170" s="197">
        <f t="shared" si="67"/>
        <v>1</v>
      </c>
      <c r="Y170" s="197">
        <f t="shared" si="57"/>
        <v>5.8592000000000004</v>
      </c>
      <c r="Z170" s="197">
        <f t="shared" si="58"/>
        <v>7.5399999999999995E-2</v>
      </c>
      <c r="AA170" s="197">
        <f t="shared" si="59"/>
        <v>5.7838000000000003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0"/>
        <v>1810</v>
      </c>
      <c r="AE170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70" s="74" t="str">
        <f t="shared" si="62"/>
        <v>"C:\Program Files (x86)\AstroGrep\AstroGrep.exe" /e /r /s /spath="%USERPROFILE%\AppData\Local\Temp\OnboardLogs" /stypes="app*4011*20170715*" /stext=" 16:.+((SYSTEM_STATE.+slice.+state.+changed )|(ment ac)|(multiple cpu faults)|(system.+state.+changed )|(\[timeout)|(PRM\|1\|D)|(kpr)|(kdp)|(train st.+moving)|(\|lc)|(penalty))"</v>
      </c>
      <c r="AG170" s="209" t="str">
        <f t="shared" si="63"/>
        <v>NW</v>
      </c>
      <c r="AH170" s="78" t="str">
        <f t="shared" si="49"/>
        <v>"%USERPROFILE%\Documents\GitHub\eaglep3\Utilities\RefineRTDCRunTimes.py" --tripid 1810-15 --locoid 4011 --swversion DE.1.0.9.0 --startMP 300:58592 --initTime 2017-07-15T10:37:59 --startdatetime 2017-07-15T10:39:54 --delay 1 --endMP 204:754 --enddatetime 2017-07-15T10:56:47 --enforcementcount 0 &gt;&gt;C:\Users\stu\Documents\GitHub\eaglep3-reporting\EC\2017-07-15-refined-times.txt</v>
      </c>
      <c r="AI170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{"issue":{"subject":"","project_id":79,"tracker_id":40,"status_id":1,"priority_id":2,"assigned_to_id":23,"start_date":"2017-07-15","description":"","custom_fields":[{"id":1,"name":"Subdivision","value":"NW"},{"id":4,"name":"Milepost","value":"0.0754"},{"id":17,"name":"Train ID","value":"1810-15"},{"id":16,"name":"Locomotive ID","value":"4011"},{"id":130,"name":"Impact","value":""},{"id":150,"name":"Time of Event (Mountain Time)","value":"10:56:47"},{"id":151,"name":"Denver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1"/>
        <v>start /low /b %USERPROFILE%\Documents\GitHub\eaglep3\Utilities\DownloadLogsFromS3.py --loco 4011 --day 2017-07-15</v>
      </c>
      <c r="AN170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16:56:47"},{"id":29,"name":"Sharepoint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712</v>
      </c>
      <c r="B171" s="7">
        <v>4012</v>
      </c>
      <c r="C171" s="21" t="s">
        <v>199</v>
      </c>
      <c r="D171" s="21" t="s">
        <v>888</v>
      </c>
      <c r="E171" s="13">
        <v>42931.458333333336</v>
      </c>
      <c r="F171" s="13">
        <v>42931.473414351851</v>
      </c>
      <c r="G171" s="7">
        <v>0</v>
      </c>
      <c r="H171" s="21" t="s">
        <v>889</v>
      </c>
      <c r="I171" s="13">
        <v>42931.483287037037</v>
      </c>
      <c r="J171" s="7">
        <v>0</v>
      </c>
      <c r="K171" s="89" t="str">
        <f t="shared" si="53"/>
        <v>4011/4012</v>
      </c>
      <c r="L171" s="21" t="str">
        <f>VLOOKUP(A171,'Trips&amp;Operators'!$C$1:$G$99999,5,FALSE)</f>
        <v>MACDONALD THOMAS</v>
      </c>
      <c r="M171" s="6">
        <f t="shared" si="54"/>
        <v>9.8726851865649223E-3</v>
      </c>
      <c r="N171" s="7">
        <f t="shared" si="64"/>
        <v>14.216666668653488</v>
      </c>
      <c r="O171" s="7"/>
      <c r="P171" s="7"/>
      <c r="Q171" s="22"/>
      <c r="R171" s="170"/>
      <c r="S171" s="213">
        <f t="shared" si="65"/>
        <v>1</v>
      </c>
      <c r="T171" s="195" t="str">
        <f t="shared" si="55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6"/>
        <v>https://d0f6bd738d7f1b3e5a7ca70fe4ff75f0.us-east-1.aws.found.io/app/kibana#/discover/Steve-Slow-Train-Analysis-(2080s-and-2083s)?_g=(refreshInterval:(display:Off,pause:!f,section:0,value:0),time:(from:'2017-07-15T10:00:00-0600',mode:absolute,to:'2017-07-15T12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1" s="197" t="str">
        <f>IF(AA171&lt;VLOOKUP(AG171,Variables!$AC$3:$AD$8,2,FALSE),"Y","N")</f>
        <v>N</v>
      </c>
      <c r="X171" s="197">
        <f t="shared" si="67"/>
        <v>1</v>
      </c>
      <c r="Y171" s="197">
        <f t="shared" si="57"/>
        <v>0.10440000000000001</v>
      </c>
      <c r="Z171" s="197">
        <f t="shared" si="58"/>
        <v>5.8909000000000002</v>
      </c>
      <c r="AA171" s="197">
        <f t="shared" si="59"/>
        <v>5.7865000000000002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0"/>
        <v>1811</v>
      </c>
      <c r="AE171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71" s="74" t="str">
        <f t="shared" si="62"/>
        <v>"C:\Program Files (x86)\AstroGrep\AstroGrep.exe" /e /r /s /spath="%USERPROFILE%\AppData\Local\Temp\OnboardLogs" /stypes="app*4012*20170715*" /stext=" 17:.+((SYSTEM_STATE.+slice.+state.+changed )|(ment ac)|(multiple cpu faults)|(system.+state.+changed )|(\[timeout)|(PRM\|1\|D)|(kpr)|(kdp)|(train st.+moving)|(\|lc)|(penalty))"</v>
      </c>
      <c r="AG171" s="209" t="str">
        <f t="shared" si="63"/>
        <v>NW</v>
      </c>
      <c r="AH171" s="78" t="str">
        <f t="shared" si="49"/>
        <v>"%USERPROFILE%\Documents\GitHub\eaglep3\Utilities\RefineRTDCRunTimes.py" --tripid 1811-15 --locoid 4012 --swversion DE.1.0.9.0 --startMP 204:1044 --initTime 2017-07-15T11:00:00 --startdatetime 2017-07-15T11:21:43 --delay 0 --endMP 300:58909 --enddatetime 2017-07-15T11:35:56 --enforcementcount 0 &gt;&gt;C:\Users\stu\Documents\GitHub\eaglep3-reporting\EC\2017-07-15-refined-times.txt</v>
      </c>
      <c r="AI171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{"issue":{"subject":"","project_id":79,"tracker_id":40,"status_id":1,"priority_id":2,"assigned_to_id":23,"start_date":"2017-07-15","description":"","custom_fields":[{"id":1,"name":"Subdivision","value":"NW"},{"id":4,"name":"Milepost","value":"5.8909"},{"id":17,"name":"Train ID","value":"1811-15"},{"id":16,"name":"Locomotive ID","value":"4012"},{"id":130,"name":"Impact","value":""},{"id":150,"name":"Time of Event (Mountain Time)","value":"11:35:56"},{"id":151,"name":"Denver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1"/>
        <v>start /low /b %USERPROFILE%\Documents\GitHub\eaglep3\Utilities\DownloadLogsFromS3.py --loco 4012 --day 2017-07-15</v>
      </c>
      <c r="AN171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719</v>
      </c>
      <c r="B172" s="7">
        <v>4011</v>
      </c>
      <c r="C172" s="21" t="s">
        <v>199</v>
      </c>
      <c r="D172" s="21" t="s">
        <v>890</v>
      </c>
      <c r="E172" s="13">
        <v>42931.484363425923</v>
      </c>
      <c r="F172" s="13">
        <v>42931.485717592594</v>
      </c>
      <c r="G172" s="7">
        <v>1</v>
      </c>
      <c r="H172" s="21" t="s">
        <v>891</v>
      </c>
      <c r="I172" s="13">
        <v>42931.496898148151</v>
      </c>
      <c r="J172" s="7">
        <v>0</v>
      </c>
      <c r="K172" s="89" t="str">
        <f t="shared" si="53"/>
        <v>4011/4012</v>
      </c>
      <c r="L172" s="21" t="str">
        <f>VLOOKUP(A172,'Trips&amp;Operators'!$C$1:$G$99999,5,FALSE)</f>
        <v>MACDONALD THOMAS</v>
      </c>
      <c r="M172" s="6">
        <f t="shared" si="54"/>
        <v>1.1180555557075422E-2</v>
      </c>
      <c r="N172" s="7">
        <f t="shared" si="64"/>
        <v>16.100000002188608</v>
      </c>
      <c r="O172" s="7"/>
      <c r="P172" s="7"/>
      <c r="Q172" s="22"/>
      <c r="R172" s="170"/>
      <c r="S172" s="213">
        <f t="shared" si="65"/>
        <v>1</v>
      </c>
      <c r="T172" s="195" t="str">
        <f t="shared" si="55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6"/>
        <v>https://d0f6bd738d7f1b3e5a7ca70fe4ff75f0.us-east-1.aws.found.io/app/kibana#/discover/Steve-Slow-Train-Analysis-(2080s-and-2083s)?_g=(refreshInterval:(display:Off,pause:!f,section:0,value:0),time:(from:'2017-07-15T10:37:29-0600',mode:absolute,to:'2017-07-15T12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2" s="197" t="str">
        <f>IF(AA172&lt;VLOOKUP(AG172,Variables!$AC$3:$AD$8,2,FALSE),"Y","N")</f>
        <v>N</v>
      </c>
      <c r="X172" s="197">
        <f t="shared" si="67"/>
        <v>1</v>
      </c>
      <c r="Y172" s="197">
        <f t="shared" si="57"/>
        <v>5.8589000000000002</v>
      </c>
      <c r="Z172" s="197">
        <f t="shared" si="58"/>
        <v>6.6799999999999998E-2</v>
      </c>
      <c r="AA172" s="197">
        <f t="shared" si="59"/>
        <v>5.7921000000000005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0"/>
        <v>1812</v>
      </c>
      <c r="AE172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72" s="74" t="str">
        <f t="shared" si="62"/>
        <v>"C:\Program Files (x86)\AstroGrep\AstroGrep.exe" /e /r /s /spath="%USERPROFILE%\AppData\Local\Temp\OnboardLogs" /stypes="app*4011*20170715*" /stext=" 17:.+((SYSTEM_STATE.+slice.+state.+changed )|(ment ac)|(multiple cpu faults)|(system.+state.+changed )|(\[timeout)|(PRM\|1\|D)|(kpr)|(kdp)|(train st.+moving)|(\|lc)|(penalty))"</v>
      </c>
      <c r="AG172" s="209" t="str">
        <f t="shared" si="63"/>
        <v>NW</v>
      </c>
      <c r="AH172" s="78" t="str">
        <f t="shared" si="49"/>
        <v>"%USERPROFILE%\Documents\GitHub\eaglep3\Utilities\RefineRTDCRunTimes.py" --tripid 1812-15 --locoid 4011 --swversion DE.1.0.9.0 --startMP 300:58589 --initTime 2017-07-15T11:37:29 --startdatetime 2017-07-15T11:39:26 --delay 1 --endMP 204:668 --enddatetime 2017-07-15T11:55:32 --enforcementcount 0 &gt;&gt;C:\Users\stu\Documents\GitHub\eaglep3-reporting\EC\2017-07-15-refined-times.txt</v>
      </c>
      <c r="AI172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{"issue":{"subject":"","project_id":79,"tracker_id":40,"status_id":1,"priority_id":2,"assigned_to_id":23,"start_date":"2017-07-15","description":"","custom_fields":[{"id":1,"name":"Subdivision","value":"NW"},{"id":4,"name":"Milepost","value":"0.0668"},{"id":17,"name":"Train ID","value":"1812-15"},{"id":16,"name":"Locomotive ID","value":"4011"},{"id":130,"name":"Impact","value":""},{"id":150,"name":"Time of Event (Mountain Time)","value":"11:55:32"},{"id":151,"name":"Denver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1"/>
        <v>start /low /b %USERPROFILE%\Documents\GitHub\eaglep3\Utilities\DownloadLogsFromS3.py --loco 4011 --day 2017-07-15</v>
      </c>
      <c r="AN172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997</v>
      </c>
      <c r="B173" s="7">
        <v>4012</v>
      </c>
      <c r="C173" s="21" t="s">
        <v>199</v>
      </c>
      <c r="D173" s="21" t="s">
        <v>582</v>
      </c>
      <c r="E173" s="13">
        <v>42931.51363425926</v>
      </c>
      <c r="F173" s="13">
        <v>42931.515115740738</v>
      </c>
      <c r="G173" s="7">
        <v>0</v>
      </c>
      <c r="H173" s="21" t="s">
        <v>893</v>
      </c>
      <c r="I173" s="13">
        <v>42931.524560185186</v>
      </c>
      <c r="J173" s="7">
        <v>0</v>
      </c>
      <c r="K173" s="89" t="str">
        <f t="shared" si="53"/>
        <v>4011/4012</v>
      </c>
      <c r="L173" s="21" t="s">
        <v>998</v>
      </c>
      <c r="M173" s="6">
        <f t="shared" si="54"/>
        <v>9.4444444475811906E-3</v>
      </c>
      <c r="N173" s="7">
        <f t="shared" si="64"/>
        <v>13.600000004516914</v>
      </c>
      <c r="O173" s="7"/>
      <c r="P173" s="7"/>
      <c r="Q173" s="22"/>
      <c r="R173" s="170" t="s">
        <v>996</v>
      </c>
      <c r="S173" s="213">
        <f t="shared" si="65"/>
        <v>1</v>
      </c>
      <c r="T173" s="195" t="str">
        <f t="shared" si="55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6"/>
        <v>https://d0f6bd738d7f1b3e5a7ca70fe4ff75f0.us-east-1.aws.found.io/app/kibana#/discover/Steve-Slow-Train-Analysis-(2080s-and-2083s)?_g=(refreshInterval:(display:Off,pause:!f,section:0,value:0),time:(from:'2017-07-15T11:19:38-0600',mode:absolute,to:'2017-07-15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97" t="str">
        <f>IF(AA173&lt;VLOOKUP(AG173,Variables!$AC$3:$AD$8,2,FALSE),"Y","N")</f>
        <v>N</v>
      </c>
      <c r="X173" s="197">
        <f t="shared" si="67"/>
        <v>1</v>
      </c>
      <c r="Y173" s="197">
        <f t="shared" si="57"/>
        <v>9.6699999999999994E-2</v>
      </c>
      <c r="Z173" s="197">
        <f t="shared" si="58"/>
        <v>5.8920000000000003</v>
      </c>
      <c r="AA173" s="197">
        <f t="shared" si="59"/>
        <v>5.7953000000000001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0"/>
        <v>1813</v>
      </c>
      <c r="AE173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73" s="74" t="str">
        <f t="shared" si="62"/>
        <v>"C:\Program Files (x86)\AstroGrep\AstroGrep.exe" /e /r /s /spath="%USERPROFILE%\AppData\Local\Temp\OnboardLogs" /stypes="app*4012*20170715*" /stext=" 18:.+((SYSTEM_STATE.+slice.+state.+changed )|(ment ac)|(multiple cpu faults)|(system.+state.+changed )|(\[timeout)|(PRM\|1\|D)|(kpr)|(kdp)|(train st.+moving)|(\|lc)|(penalty))"</v>
      </c>
      <c r="AG173" s="209" t="str">
        <f t="shared" si="63"/>
        <v>NW</v>
      </c>
      <c r="AH173" s="78" t="str">
        <f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1813-15 --locoid 4012 --swversion DE.1.0.9.0 --startMP 204:967 --initTime 2017-07-15T12:19:38 --startdatetime 2017-07-15T12:21:46 --delay 0 --endMP 300:58920 --enddatetime 2017-07-15T12:35:22 --enforcementcount 0 &gt;&gt;C:\Users\stu\Documents\GitHub\eaglep3-reporting\EC\2017-07-15-refined-times.txt</v>
      </c>
      <c r="AI173" s="96" t="str">
        <f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{"issue":{"subject":"Ran as 1815-15","project_id":79,"tracker_id":40,"status_id":1,"priority_id":2,"assigned_to_id":23,"start_date":"2017-07-15","description":"","custom_fields":[{"id":1,"name":"Subdivision","value":"NW"},{"id":4,"name":"Milepost","value":"5.892"},{"id":17,"name":"Train ID","value":"1813-15"},{"id":16,"name":"Locomotive ID","value":"4012"},{"id":130,"name":"Impact","value":""},{"id":150,"name":"Time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>"start /low /b "&amp;dls3logs&amp;" --loco "&amp;B173&amp;" --day "&amp;TEXT(F173,"YYYY-MM-DD")</f>
        <v>start /low /b %USERPROFILE%\Documents\GitHub\eaglep3\Utilities\DownloadLogsFromS3.py --loco 4012 --day 2017-07-15</v>
      </c>
      <c r="AN173" s="151" t="str">
        <f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{"issue":{"subject":"Ran as 1815-15","project_id":30,"tracker_id":4,"status_id":1,"priority_id":1,"assigned_to_id":10,"start_date":"2017-07-15","description":"","custom_fields":[{"id":30,"name":"Category","value":"Issue"},{"id":3,"name":"Functional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729</v>
      </c>
      <c r="B174" s="7">
        <v>4011</v>
      </c>
      <c r="C174" s="21" t="s">
        <v>199</v>
      </c>
      <c r="D174" s="21" t="s">
        <v>886</v>
      </c>
      <c r="E174" s="13">
        <v>42931.525370370371</v>
      </c>
      <c r="F174" s="13">
        <v>42931.526782407411</v>
      </c>
      <c r="G174" s="7">
        <v>1</v>
      </c>
      <c r="H174" s="21" t="s">
        <v>892</v>
      </c>
      <c r="I174" s="13">
        <v>42931.538460648146</v>
      </c>
      <c r="J174" s="7">
        <v>0</v>
      </c>
      <c r="K174" s="89" t="str">
        <f t="shared" si="53"/>
        <v>4011/4012</v>
      </c>
      <c r="L174" s="21" t="str">
        <f>VLOOKUP(A174,'Trips&amp;Operators'!$C$1:$G$99999,5,FALSE)</f>
        <v>MACDONALD THOMAS</v>
      </c>
      <c r="M174" s="6">
        <f t="shared" si="54"/>
        <v>1.1678240734909195E-2</v>
      </c>
      <c r="N174" s="7">
        <f t="shared" ref="N174:N205" si="68">24*60*SUM($M174:$M174)</f>
        <v>16.816666658269241</v>
      </c>
      <c r="O174" s="7"/>
      <c r="P174" s="7"/>
      <c r="Q174" s="22"/>
      <c r="R174" s="170"/>
      <c r="S174" s="213">
        <f t="shared" ref="S174:S205" si="69">1/IF(AG174="EC",12,1)*SUM(U174:U174)</f>
        <v>1</v>
      </c>
      <c r="T174" s="195" t="str">
        <f t="shared" si="55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6"/>
        <v>https://d0f6bd738d7f1b3e5a7ca70fe4ff75f0.us-east-1.aws.found.io/app/kibana#/discover/Steve-Slow-Train-Analysis-(2080s-and-2083s)?_g=(refreshInterval:(display:Off,pause:!f,section:0,value:0),time:(from:'2017-07-15T11:36:32-0600',mode:absolute,to:'2017-07-15T13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97" t="str">
        <f>IF(AA174&lt;VLOOKUP(AG174,Variables!$AC$3:$AD$8,2,FALSE),"Y","N")</f>
        <v>N</v>
      </c>
      <c r="X174" s="197">
        <f t="shared" si="67"/>
        <v>1</v>
      </c>
      <c r="Y174" s="197">
        <f t="shared" si="57"/>
        <v>5.8592000000000004</v>
      </c>
      <c r="Z174" s="197">
        <f t="shared" si="58"/>
        <v>7.0999999999999994E-2</v>
      </c>
      <c r="AA174" s="197">
        <f t="shared" si="59"/>
        <v>5.7882000000000007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0"/>
        <v>1814</v>
      </c>
      <c r="AE174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74" s="74" t="str">
        <f t="shared" si="62"/>
        <v>"C:\Program Files (x86)\AstroGrep\AstroGrep.exe" /e /r /s /spath="%USERPROFILE%\AppData\Local\Temp\OnboardLogs" /stypes="app*4011*20170715*" /stext=" 18:.+((SYSTEM_STATE.+slice.+state.+changed )|(ment ac)|(multiple cpu faults)|(system.+state.+changed )|(\[timeout)|(PRM\|1\|D)|(kpr)|(kdp)|(train st.+moving)|(\|lc)|(penalty))"</v>
      </c>
      <c r="AG174" s="209" t="str">
        <f t="shared" si="63"/>
        <v>NW</v>
      </c>
      <c r="AH174" s="78" t="str">
        <f t="shared" si="49"/>
        <v>"%USERPROFILE%\Documents\GitHub\eaglep3\Utilities\RefineRTDCRunTimes.py" --tripid 1814-15 --locoid 4011 --swversion DE.1.0.9.0 --startMP 300:58592 --initTime 2017-07-15T12:36:32 --startdatetime 2017-07-15T12:38:34 --delay 1 --endMP 204:710 --enddatetime 2017-07-15T12:55:23 --enforcementcount 0 &gt;&gt;C:\Users\stu\Documents\GitHub\eaglep3-reporting\EC\2017-07-15-refined-times.txt</v>
      </c>
      <c r="AI174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{"issue":{"subject":"","project_id":79,"tracker_id":40,"status_id":1,"priority_id":2,"assigned_to_id":23,"start_date":"2017-07-15","description":"","custom_fields":[{"id":1,"name":"Subdivision","value":"NW"},{"id":4,"name":"Milepost","value":"0.071"},{"id":17,"name":"Train ID","value":"1814-15"},{"id":16,"name":"Locomotive ID","value":"4011"},{"id":130,"name":"Impact","value":""},{"id":150,"name":"Time of Event (Mountain Time)","value":"12:55:23"},{"id":151,"name":"Denver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1"/>
        <v>start /low /b %USERPROFILE%\Documents\GitHub\eaglep3\Utilities\DownloadLogsFromS3.py --loco 4011 --day 2017-07-15</v>
      </c>
      <c r="AN174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18:55:23"},{"id":29,"name":"Sharepoint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726</v>
      </c>
      <c r="B175" s="7">
        <v>4012</v>
      </c>
      <c r="C175" s="21" t="s">
        <v>199</v>
      </c>
      <c r="D175" s="21" t="s">
        <v>894</v>
      </c>
      <c r="E175" s="13">
        <v>42931.539363425924</v>
      </c>
      <c r="F175" s="13">
        <v>42931.55673611111</v>
      </c>
      <c r="G175" s="7">
        <v>0</v>
      </c>
      <c r="H175" s="21" t="s">
        <v>581</v>
      </c>
      <c r="I175" s="13">
        <v>42931.566342592596</v>
      </c>
      <c r="J175" s="7">
        <v>0</v>
      </c>
      <c r="K175" s="89" t="str">
        <f t="shared" si="53"/>
        <v>4011/4012</v>
      </c>
      <c r="L175" s="21" t="str">
        <f>VLOOKUP(A175,'Trips&amp;Operators'!$C$1:$G$99999,5,FALSE)</f>
        <v>MACDONALD THOMAS</v>
      </c>
      <c r="M175" s="6">
        <f t="shared" si="54"/>
        <v>9.606481486116536E-3</v>
      </c>
      <c r="N175" s="7">
        <f t="shared" si="68"/>
        <v>13.833333340007812</v>
      </c>
      <c r="O175" s="7"/>
      <c r="P175" s="7"/>
      <c r="Q175" s="22"/>
      <c r="R175" s="170"/>
      <c r="S175" s="213">
        <f t="shared" si="69"/>
        <v>1</v>
      </c>
      <c r="T175" s="195" t="str">
        <f t="shared" si="55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6"/>
        <v>https://d0f6bd738d7f1b3e5a7ca70fe4ff75f0.us-east-1.aws.found.io/app/kibana#/discover/Steve-Slow-Train-Analysis-(2080s-and-2083s)?_g=(refreshInterval:(display:Off,pause:!f,section:0,value:0),time:(from:'2017-07-15T11:56:41-0600',mode:absolute,to:'2017-07-15T14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97" t="str">
        <f>IF(AA175&lt;VLOOKUP(AG175,Variables!$AC$3:$AD$8,2,FALSE),"Y","N")</f>
        <v>N</v>
      </c>
      <c r="X175" s="197">
        <f t="shared" si="67"/>
        <v>1</v>
      </c>
      <c r="Y175" s="197">
        <f t="shared" si="57"/>
        <v>9.8799999999999999E-2</v>
      </c>
      <c r="Z175" s="197">
        <f t="shared" si="58"/>
        <v>5.8936999999999999</v>
      </c>
      <c r="AA175" s="197">
        <f t="shared" si="59"/>
        <v>5.7949000000000002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0"/>
        <v>1815</v>
      </c>
      <c r="AE175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75" s="74" t="str">
        <f t="shared" si="62"/>
        <v>"C:\Program Files (x86)\AstroGrep\AstroGrep.exe" /e /r /s /spath="%USERPROFILE%\AppData\Local\Temp\OnboardLogs" /stypes="app*4012*20170715*" /stext=" 19:.+((SYSTEM_STATE.+slice.+state.+changed )|(ment ac)|(multiple cpu faults)|(system.+state.+changed )|(\[timeout)|(PRM\|1\|D)|(kpr)|(kdp)|(train st.+moving)|(\|lc)|(penalty))"</v>
      </c>
      <c r="AG175" s="209" t="str">
        <f t="shared" si="63"/>
        <v>NW</v>
      </c>
      <c r="AH175" s="78" t="str">
        <f t="shared" si="49"/>
        <v>"%USERPROFILE%\Documents\GitHub\eaglep3\Utilities\RefineRTDCRunTimes.py" --tripid 1815-15 --locoid 4012 --swversion DE.1.0.9.0 --startMP 204:988 --initTime 2017-07-15T12:56:41 --startdatetime 2017-07-15T13:21:42 --delay 0 --endMP 300:58937 --enddatetime 2017-07-15T13:35:32 --enforcementcount 0 &gt;&gt;C:\Users\stu\Documents\GitHub\eaglep3-reporting\EC\2017-07-15-refined-times.txt</v>
      </c>
      <c r="AI175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{"issue":{"subject":"","project_id":79,"tracker_id":40,"status_id":1,"priority_id":2,"assigned_to_id":23,"start_date":"2017-07-15","description":"","custom_fields":[{"id":1,"name":"Subdivision","value":"NW"},{"id":4,"name":"Milepost","value":"5.8937"},{"id":17,"name":"Train ID","value":"1815-15"},{"id":16,"name":"Locomotive ID","value":"4012"},{"id":130,"name":"Impact","value":""},{"id":150,"name":"Time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51"/>
        <v>start /low /b %USERPROFILE%\Documents\GitHub\eaglep3\Utilities\DownloadLogsFromS3.py --loco 4012 --day 2017-07-15</v>
      </c>
      <c r="AN175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741</v>
      </c>
      <c r="B176" s="7">
        <v>4011</v>
      </c>
      <c r="C176" s="21" t="s">
        <v>199</v>
      </c>
      <c r="D176" s="21" t="s">
        <v>895</v>
      </c>
      <c r="E176" s="13">
        <v>42931.567326388889</v>
      </c>
      <c r="F176" s="13">
        <v>42931.568449074075</v>
      </c>
      <c r="G176" s="7">
        <v>1</v>
      </c>
      <c r="H176" s="21" t="s">
        <v>896</v>
      </c>
      <c r="I176" s="13">
        <v>42931.579895833333</v>
      </c>
      <c r="J176" s="7">
        <v>0</v>
      </c>
      <c r="K176" s="89" t="str">
        <f t="shared" si="53"/>
        <v>4011/4012</v>
      </c>
      <c r="L176" s="21" t="str">
        <f>VLOOKUP(A176,'Trips&amp;Operators'!$C$1:$G$99999,5,FALSE)</f>
        <v>MACDONALD THOMAS</v>
      </c>
      <c r="M176" s="6">
        <f t="shared" si="54"/>
        <v>1.1446759257523809E-2</v>
      </c>
      <c r="N176" s="7">
        <f t="shared" si="68"/>
        <v>16.483333330834284</v>
      </c>
      <c r="O176" s="7"/>
      <c r="P176" s="7"/>
      <c r="Q176" s="22"/>
      <c r="R176" s="170"/>
      <c r="S176" s="213">
        <f t="shared" si="69"/>
        <v>1</v>
      </c>
      <c r="T176" s="195" t="str">
        <f t="shared" si="55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6"/>
        <v>https://d0f6bd738d7f1b3e5a7ca70fe4ff75f0.us-east-1.aws.found.io/app/kibana#/discover/Steve-Slow-Train-Analysis-(2080s-and-2083s)?_g=(refreshInterval:(display:Off,pause:!f,section:0,value:0),time:(from:'2017-07-15T12:36:57-0600',mode:absolute,to:'2017-07-15T14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97" t="str">
        <f>IF(AA176&lt;VLOOKUP(AG176,Variables!$AC$3:$AD$8,2,FALSE),"Y","N")</f>
        <v>N</v>
      </c>
      <c r="X176" s="197">
        <f t="shared" si="67"/>
        <v>1</v>
      </c>
      <c r="Y176" s="197">
        <f t="shared" si="57"/>
        <v>5.8586999999999998</v>
      </c>
      <c r="Z176" s="197">
        <f t="shared" si="58"/>
        <v>7.4300000000000005E-2</v>
      </c>
      <c r="AA176" s="197">
        <f t="shared" si="59"/>
        <v>5.7843999999999998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0"/>
        <v>1816</v>
      </c>
      <c r="AE176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76" s="74" t="str">
        <f t="shared" si="62"/>
        <v>"C:\Program Files (x86)\AstroGrep\AstroGrep.exe" /e /r /s /spath="%USERPROFILE%\AppData\Local\Temp\OnboardLogs" /stypes="app*4011*20170715*" /stext=" 19:.+((SYSTEM_STATE.+slice.+state.+changed )|(ment ac)|(multiple cpu faults)|(system.+state.+changed )|(\[timeout)|(PRM\|1\|D)|(kpr)|(kdp)|(train st.+moving)|(\|lc)|(penalty))"</v>
      </c>
      <c r="AG176" s="209" t="str">
        <f t="shared" si="63"/>
        <v>NW</v>
      </c>
      <c r="AH176" s="78" t="str">
        <f t="shared" si="49"/>
        <v>"%USERPROFILE%\Documents\GitHub\eaglep3\Utilities\RefineRTDCRunTimes.py" --tripid 1816-15 --locoid 4011 --swversion DE.1.0.9.0 --startMP 300:58587 --initTime 2017-07-15T13:36:57 --startdatetime 2017-07-15T13:38:34 --delay 1 --endMP 204:743 --enddatetime 2017-07-15T13:55:03 --enforcementcount 0 &gt;&gt;C:\Users\stu\Documents\GitHub\eaglep3-reporting\EC\2017-07-15-refined-times.txt</v>
      </c>
      <c r="AI176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{"issue":{"subject":"","project_id":79,"tracker_id":40,"status_id":1,"priority_id":2,"assigned_to_id":23,"start_date":"2017-07-15","description":"","custom_fields":[{"id":1,"name":"Subdivision","value":"NW"},{"id":4,"name":"Milepost","value":"0.0743"},{"id":17,"name":"Train ID","value":"1816-15"},{"id":16,"name":"Locomotive ID","value":"4011"},{"id":130,"name":"Impact","value":""},{"id":150,"name":"Time of Event (Mountain Time)","value":"13:55:03"},{"id":151,"name":"Denver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51"/>
        <v>start /low /b %USERPROFILE%\Documents\GitHub\eaglep3\Utilities\DownloadLogsFromS3.py --loco 4011 --day 2017-07-15</v>
      </c>
      <c r="AN176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19:55:03"},{"id":29,"name":"Sharepoint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745</v>
      </c>
      <c r="B177" s="7">
        <v>4012</v>
      </c>
      <c r="C177" s="21" t="s">
        <v>199</v>
      </c>
      <c r="D177" s="21" t="s">
        <v>897</v>
      </c>
      <c r="E177" s="13">
        <v>42931.582129629627</v>
      </c>
      <c r="F177" s="13">
        <v>42931.598090277781</v>
      </c>
      <c r="G177" s="7">
        <v>1</v>
      </c>
      <c r="H177" s="21" t="s">
        <v>581</v>
      </c>
      <c r="I177" s="13">
        <v>42931.607824074075</v>
      </c>
      <c r="J177" s="7">
        <v>0</v>
      </c>
      <c r="K177" s="89" t="str">
        <f t="shared" si="53"/>
        <v>4011/4012</v>
      </c>
      <c r="L177" s="21" t="str">
        <f>VLOOKUP(A177,'Trips&amp;Operators'!$C$1:$G$99999,5,FALSE)</f>
        <v>MCREYNOLDS KYLE</v>
      </c>
      <c r="M177" s="6">
        <f t="shared" si="54"/>
        <v>9.7337962943129241E-3</v>
      </c>
      <c r="N177" s="7">
        <f t="shared" si="68"/>
        <v>14.016666663810611</v>
      </c>
      <c r="O177" s="7"/>
      <c r="P177" s="7"/>
      <c r="Q177" s="22"/>
      <c r="R177" s="170"/>
      <c r="S177" s="213">
        <f t="shared" si="69"/>
        <v>1</v>
      </c>
      <c r="T177" s="195" t="str">
        <f t="shared" si="55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6"/>
        <v>https://d0f6bd738d7f1b3e5a7ca70fe4ff75f0.us-east-1.aws.found.io/app/kibana#/discover/Steve-Slow-Train-Analysis-(2080s-and-2083s)?_g=(refreshInterval:(display:Off,pause:!f,section:0,value:0),time:(from:'2017-07-15T12:58:16-0600',mode:absolute,to:'2017-07-15T15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97" t="str">
        <f>IF(AA177&lt;VLOOKUP(AG177,Variables!$AC$3:$AD$8,2,FALSE),"Y","N")</f>
        <v>N</v>
      </c>
      <c r="X177" s="197">
        <f t="shared" si="67"/>
        <v>1</v>
      </c>
      <c r="Y177" s="197">
        <f t="shared" si="57"/>
        <v>0.10199999999999999</v>
      </c>
      <c r="Z177" s="197">
        <f t="shared" si="58"/>
        <v>5.8936999999999999</v>
      </c>
      <c r="AA177" s="197">
        <f t="shared" si="59"/>
        <v>5.7916999999999996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0"/>
        <v>1817</v>
      </c>
      <c r="AE177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77" s="74" t="str">
        <f t="shared" si="62"/>
        <v>"C:\Program Files (x86)\AstroGrep\AstroGrep.exe" /e /r /s /spath="%USERPROFILE%\AppData\Local\Temp\OnboardLogs" /stypes="app*4012*20170715*" /stext=" 20:.+((SYSTEM_STATE.+slice.+state.+changed )|(ment ac)|(multiple cpu faults)|(system.+state.+changed )|(\[timeout)|(PRM\|1\|D)|(kpr)|(kdp)|(train st.+moving)|(\|lc)|(penalty))"</v>
      </c>
      <c r="AG177" s="209" t="str">
        <f t="shared" si="63"/>
        <v>NW</v>
      </c>
      <c r="AH177" s="78" t="str">
        <f t="shared" si="49"/>
        <v>"%USERPROFILE%\Documents\GitHub\eaglep3\Utilities\RefineRTDCRunTimes.py" --tripid 1817-15 --locoid 4012 --swversion DE.1.0.9.0 --startMP 204:1020 --initTime 2017-07-15T13:58:16 --startdatetime 2017-07-15T14:21:15 --delay 1 --endMP 300:58937 --enddatetime 2017-07-15T14:35:16 --enforcementcount 0 &gt;&gt;C:\Users\stu\Documents\GitHub\eaglep3-reporting\EC\2017-07-15-refined-times.txt</v>
      </c>
      <c r="AI177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{"issue":{"subject":"","project_id":79,"tracker_id":40,"status_id":1,"priority_id":2,"assigned_to_id":23,"start_date":"2017-07-15","description":"","custom_fields":[{"id":1,"name":"Subdivision","value":"NW"},{"id":4,"name":"Milepost","value":"5.8937"},{"id":17,"name":"Train ID","value":"1817-15"},{"id":16,"name":"Locomotive ID","value":"4012"},{"id":130,"name":"Impact","value":""},{"id":150,"name":"Time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1"/>
        <v>start /low /b %USERPROFILE%\Documents\GitHub\eaglep3\Utilities\DownloadLogsFromS3.py --loco 4012 --day 2017-07-15</v>
      </c>
      <c r="AN177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751</v>
      </c>
      <c r="B178" s="7">
        <v>4011</v>
      </c>
      <c r="C178" s="21" t="s">
        <v>199</v>
      </c>
      <c r="D178" s="21" t="s">
        <v>583</v>
      </c>
      <c r="E178" s="13">
        <v>42931.609131944446</v>
      </c>
      <c r="F178" s="13">
        <v>42931.61142361111</v>
      </c>
      <c r="G178" s="7">
        <v>1</v>
      </c>
      <c r="H178" s="21" t="s">
        <v>898</v>
      </c>
      <c r="I178" s="13">
        <v>42931.62164351852</v>
      </c>
      <c r="J178" s="7">
        <v>0</v>
      </c>
      <c r="K178" s="89" t="str">
        <f t="shared" si="53"/>
        <v>4011/4012</v>
      </c>
      <c r="L178" s="21" t="str">
        <f>VLOOKUP(A178,'Trips&amp;Operators'!$C$1:$G$99999,5,FALSE)</f>
        <v>MCREYNOLDS KYLE</v>
      </c>
      <c r="M178" s="6">
        <f t="shared" si="54"/>
        <v>1.021990740991896E-2</v>
      </c>
      <c r="N178" s="7">
        <f t="shared" si="68"/>
        <v>14.716666670283303</v>
      </c>
      <c r="O178" s="7"/>
      <c r="P178" s="7"/>
      <c r="Q178" s="22"/>
      <c r="R178" s="170"/>
      <c r="S178" s="213">
        <f t="shared" si="69"/>
        <v>1</v>
      </c>
      <c r="T178" s="195" t="str">
        <f t="shared" si="55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6"/>
        <v>https://d0f6bd738d7f1b3e5a7ca70fe4ff75f0.us-east-1.aws.found.io/app/kibana#/discover/Steve-Slow-Train-Analysis-(2080s-and-2083s)?_g=(refreshInterval:(display:Off,pause:!f,section:0,value:0),time:(from:'2017-07-15T13:37:09-0600',mode:absolute,to:'2017-07-15T15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97" t="str">
        <f>IF(AA178&lt;VLOOKUP(AG178,Variables!$AC$3:$AD$8,2,FALSE),"Y","N")</f>
        <v>N</v>
      </c>
      <c r="X178" s="197">
        <f t="shared" si="67"/>
        <v>1</v>
      </c>
      <c r="Y178" s="197">
        <f t="shared" si="57"/>
        <v>5.8609</v>
      </c>
      <c r="Z178" s="197">
        <f t="shared" si="58"/>
        <v>6.8400000000000002E-2</v>
      </c>
      <c r="AA178" s="197">
        <f t="shared" si="59"/>
        <v>5.7925000000000004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0"/>
        <v>1818</v>
      </c>
      <c r="AE178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78" s="74" t="str">
        <f t="shared" si="62"/>
        <v>"C:\Program Files (x86)\AstroGrep\AstroGrep.exe" /e /r /s /spath="%USERPROFILE%\AppData\Local\Temp\OnboardLogs" /stypes="app*4011*20170715*" /stext=" 20:.+((SYSTEM_STATE.+slice.+state.+changed )|(ment ac)|(multiple cpu faults)|(system.+state.+changed )|(\[timeout)|(PRM\|1\|D)|(kpr)|(kdp)|(train st.+moving)|(\|lc)|(penalty))"</v>
      </c>
      <c r="AG178" s="209" t="str">
        <f t="shared" si="63"/>
        <v>NW</v>
      </c>
      <c r="AH178" s="78" t="str">
        <f t="shared" si="49"/>
        <v>"%USERPROFILE%\Documents\GitHub\eaglep3\Utilities\RefineRTDCRunTimes.py" --tripid 1818-15 --locoid 4011 --swversion DE.1.0.9.0 --startMP 300:58609 --initTime 2017-07-15T14:37:09 --startdatetime 2017-07-15T14:40:27 --delay 1 --endMP 204:684 --enddatetime 2017-07-15T14:55:10 --enforcementcount 0 &gt;&gt;C:\Users\stu\Documents\GitHub\eaglep3-reporting\EC\2017-07-15-refined-times.txt</v>
      </c>
      <c r="AI178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{"issue":{"subject":"","project_id":79,"tracker_id":40,"status_id":1,"priority_id":2,"assigned_to_id":23,"start_date":"2017-07-15","description":"","custom_fields":[{"id":1,"name":"Subdivision","value":"NW"},{"id":4,"name":"Milepost","value":"0.0684"},{"id":17,"name":"Train ID","value":"1818-15"},{"id":16,"name":"Locomotive ID","value":"4011"},{"id":130,"name":"Impact","value":""},{"id":150,"name":"Time of Event (Mountain Time)","value":"14:55:10"},{"id":151,"name":"Denver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1"/>
        <v>start /low /b %USERPROFILE%\Documents\GitHub\eaglep3\Utilities\DownloadLogsFromS3.py --loco 4011 --day 2017-07-15</v>
      </c>
      <c r="AN178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755</v>
      </c>
      <c r="B179" s="7">
        <v>4012</v>
      </c>
      <c r="C179" s="21" t="s">
        <v>199</v>
      </c>
      <c r="D179" s="21" t="s">
        <v>899</v>
      </c>
      <c r="E179" s="13">
        <v>42931.622974537036</v>
      </c>
      <c r="F179" s="13">
        <v>42931.639768518522</v>
      </c>
      <c r="G179" s="7">
        <v>1</v>
      </c>
      <c r="H179" s="21" t="s">
        <v>900</v>
      </c>
      <c r="I179" s="13">
        <v>42931.649884259263</v>
      </c>
      <c r="J179" s="7">
        <v>0</v>
      </c>
      <c r="K179" s="89" t="str">
        <f t="shared" si="53"/>
        <v>4011/4012</v>
      </c>
      <c r="L179" s="21" t="str">
        <f>VLOOKUP(A179,'Trips&amp;Operators'!$C$1:$G$99999,5,FALSE)</f>
        <v>MCREYNOLDS KYLE</v>
      </c>
      <c r="M179" s="6">
        <f t="shared" si="54"/>
        <v>1.0115740740729962E-2</v>
      </c>
      <c r="N179" s="7">
        <f t="shared" si="68"/>
        <v>14.566666666651145</v>
      </c>
      <c r="O179" s="7"/>
      <c r="P179" s="7"/>
      <c r="Q179" s="22"/>
      <c r="R179" s="170"/>
      <c r="S179" s="213">
        <f t="shared" si="69"/>
        <v>1</v>
      </c>
      <c r="T179" s="195" t="str">
        <f t="shared" si="55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6"/>
        <v>https://d0f6bd738d7f1b3e5a7ca70fe4ff75f0.us-east-1.aws.found.io/app/kibana#/discover/Steve-Slow-Train-Analysis-(2080s-and-2083s)?_g=(refreshInterval:(display:Off,pause:!f,section:0,value:0),time:(from:'2017-07-15T13:57:05-0600',mode:absolute,to:'2017-07-15T16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97" t="str">
        <f>IF(AA179&lt;VLOOKUP(AG179,Variables!$AC$3:$AD$8,2,FALSE),"Y","N")</f>
        <v>N</v>
      </c>
      <c r="X179" s="197">
        <f t="shared" si="67"/>
        <v>1</v>
      </c>
      <c r="Y179" s="197">
        <f t="shared" si="57"/>
        <v>9.8500000000000004E-2</v>
      </c>
      <c r="Z179" s="197">
        <f t="shared" si="58"/>
        <v>5.8945999999999996</v>
      </c>
      <c r="AA179" s="197">
        <f t="shared" si="59"/>
        <v>5.7961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0"/>
        <v>1819</v>
      </c>
      <c r="AE179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79" s="74" t="str">
        <f t="shared" si="62"/>
        <v>"C:\Program Files (x86)\AstroGrep\AstroGrep.exe" /e /r /s /spath="%USERPROFILE%\AppData\Local\Temp\OnboardLogs" /stypes="app*4012*20170715*" /stext=" 21:.+((SYSTEM_STATE.+slice.+state.+changed )|(ment ac)|(multiple cpu faults)|(system.+state.+changed )|(\[timeout)|(PRM\|1\|D)|(kpr)|(kdp)|(train st.+moving)|(\|lc)|(penalty))"</v>
      </c>
      <c r="AG179" s="209" t="str">
        <f t="shared" si="63"/>
        <v>NW</v>
      </c>
      <c r="AH179" s="78" t="str">
        <f t="shared" si="49"/>
        <v>"%USERPROFILE%\Documents\GitHub\eaglep3\Utilities\RefineRTDCRunTimes.py" --tripid 1819-15 --locoid 4012 --swversion DE.1.0.9.0 --startMP 204:985 --initTime 2017-07-15T14:57:05 --startdatetime 2017-07-15T15:21:16 --delay 1 --endMP 300:58946 --enddatetime 2017-07-15T15:35:50 --enforcementcount 0 &gt;&gt;C:\Users\stu\Documents\GitHub\eaglep3-reporting\EC\2017-07-15-refined-times.txt</v>
      </c>
      <c r="AI179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{"issue":{"subject":"","project_id":79,"tracker_id":40,"status_id":1,"priority_id":2,"assigned_to_id":23,"start_date":"2017-07-15","description":"","custom_fields":[{"id":1,"name":"Subdivision","value":"NW"},{"id":4,"name":"Milepost","value":"5.8946"},{"id":17,"name":"Train ID","value":"1819-15"},{"id":16,"name":"Locomotive ID","value":"4012"},{"id":130,"name":"Impact","value":""},{"id":150,"name":"Time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1"/>
        <v>start /low /b %USERPROFILE%\Documents\GitHub\eaglep3\Utilities\DownloadLogsFromS3.py --loco 4012 --day 2017-07-15</v>
      </c>
      <c r="AN179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759</v>
      </c>
      <c r="B180" s="7">
        <v>4011</v>
      </c>
      <c r="C180" s="21" t="s">
        <v>199</v>
      </c>
      <c r="D180" s="21" t="s">
        <v>902</v>
      </c>
      <c r="E180" s="13">
        <v>42931.651724537034</v>
      </c>
      <c r="F180" s="13">
        <v>42931.653680555559</v>
      </c>
      <c r="G180" s="7">
        <v>1</v>
      </c>
      <c r="H180" s="21" t="s">
        <v>903</v>
      </c>
      <c r="I180" s="13">
        <v>42931.663298611114</v>
      </c>
      <c r="J180" s="7">
        <v>0</v>
      </c>
      <c r="K180" s="89" t="str">
        <f t="shared" si="53"/>
        <v>4011/4012</v>
      </c>
      <c r="L180" s="21" t="str">
        <f>VLOOKUP(A180,'Trips&amp;Operators'!$C$1:$G$99999,5,FALSE)</f>
        <v>MCREYNOLDS KYLE</v>
      </c>
      <c r="M180" s="6">
        <f t="shared" si="54"/>
        <v>9.6180555556202307E-3</v>
      </c>
      <c r="N180" s="7">
        <f t="shared" si="68"/>
        <v>13.850000000093132</v>
      </c>
      <c r="O180" s="7"/>
      <c r="P180" s="7"/>
      <c r="Q180" s="22"/>
      <c r="R180" s="170"/>
      <c r="S180" s="213">
        <f t="shared" si="69"/>
        <v>1</v>
      </c>
      <c r="T180" s="195" t="str">
        <f t="shared" si="55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6"/>
        <v>https://d0f6bd738d7f1b3e5a7ca70fe4ff75f0.us-east-1.aws.found.io/app/kibana#/discover/Steve-Slow-Train-Analysis-(2080s-and-2083s)?_g=(refreshInterval:(display:Off,pause:!f,section:0,value:0),time:(from:'2017-07-15T14:38:29-0600',mode:absolute,to:'2017-07-15T16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97" t="str">
        <f>IF(AA180&lt;VLOOKUP(AG180,Variables!$AC$3:$AD$8,2,FALSE),"Y","N")</f>
        <v>N</v>
      </c>
      <c r="X180" s="197">
        <f t="shared" ref="X180:X211" si="70">VALUE(LEFT(AD180,4))-VALUE(LEFT(AD179,4))</f>
        <v>1</v>
      </c>
      <c r="Y180" s="197">
        <f t="shared" si="57"/>
        <v>5.8634000000000004</v>
      </c>
      <c r="Z180" s="197">
        <f t="shared" si="58"/>
        <v>6.7799999999999999E-2</v>
      </c>
      <c r="AA180" s="197">
        <f t="shared" si="59"/>
        <v>5.7956000000000003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0"/>
        <v>1820</v>
      </c>
      <c r="AE180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80" s="74" t="str">
        <f t="shared" si="62"/>
        <v>"C:\Program Files (x86)\AstroGrep\AstroGrep.exe" /e /r /s /spath="%USERPROFILE%\AppData\Local\Temp\OnboardLogs" /stypes="app*4011*20170715*" /stext=" 21:.+((SYSTEM_STATE.+slice.+state.+changed )|(ment ac)|(multiple cpu faults)|(system.+state.+changed )|(\[timeout)|(PRM\|1\|D)|(kpr)|(kdp)|(train st.+moving)|(\|lc)|(penalty))"</v>
      </c>
      <c r="AG180" s="209" t="str">
        <f t="shared" si="63"/>
        <v>NW</v>
      </c>
      <c r="AH180" s="78" t="str">
        <f t="shared" si="49"/>
        <v>"%USERPROFILE%\Documents\GitHub\eaglep3\Utilities\RefineRTDCRunTimes.py" --tripid 1820-15 --locoid 4011 --swversion DE.1.0.9.0 --startMP 300:58634 --initTime 2017-07-15T15:38:29 --startdatetime 2017-07-15T15:41:18 --delay 1 --endMP 204:678 --enddatetime 2017-07-15T15:55:09 --enforcementcount 0 &gt;&gt;C:\Users\stu\Documents\GitHub\eaglep3-reporting\EC\2017-07-15-refined-times.txt</v>
      </c>
      <c r="AI180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{"issue":{"subject":"","project_id":79,"tracker_id":40,"status_id":1,"priority_id":2,"assigned_to_id":23,"start_date":"2017-07-15","description":"","custom_fields":[{"id":1,"name":"Subdivision","value":"NW"},{"id":4,"name":"Milepost","value":"0.0678"},{"id":17,"name":"Train ID","value":"1820-15"},{"id":16,"name":"Locomotive ID","value":"4011"},{"id":130,"name":"Impact","value":""},{"id":150,"name":"Time of Event (Mountain Time)","value":"15:55:09"},{"id":151,"name":"Denver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1"/>
        <v>start /low /b %USERPROFILE%\Documents\GitHub\eaglep3\Utilities\DownloadLogsFromS3.py --loco 4011 --day 2017-07-15</v>
      </c>
      <c r="AN180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763</v>
      </c>
      <c r="B181" s="7">
        <v>4012</v>
      </c>
      <c r="C181" s="21" t="s">
        <v>199</v>
      </c>
      <c r="D181" s="21" t="s">
        <v>542</v>
      </c>
      <c r="E181" s="13">
        <v>42931.665127314816</v>
      </c>
      <c r="F181" s="13">
        <v>42931.682164351849</v>
      </c>
      <c r="G181" s="7">
        <v>1</v>
      </c>
      <c r="H181" s="21" t="s">
        <v>585</v>
      </c>
      <c r="I181" s="13">
        <v>42931.692013888889</v>
      </c>
      <c r="J181" s="7">
        <v>0</v>
      </c>
      <c r="K181" s="89" t="str">
        <f t="shared" si="53"/>
        <v>4011/4012</v>
      </c>
      <c r="L181" s="21" t="str">
        <f>VLOOKUP(A181,'Trips&amp;Operators'!$C$1:$G$99999,5,FALSE)</f>
        <v>MCREYNOLDS KYLE</v>
      </c>
      <c r="M181" s="6">
        <f t="shared" si="54"/>
        <v>9.8495370402815752E-3</v>
      </c>
      <c r="N181" s="7">
        <f t="shared" si="68"/>
        <v>14.183333338005468</v>
      </c>
      <c r="O181" s="7"/>
      <c r="P181" s="7"/>
      <c r="Q181" s="22"/>
      <c r="R181" s="170"/>
      <c r="S181" s="213">
        <f t="shared" si="69"/>
        <v>1</v>
      </c>
      <c r="T181" s="195" t="str">
        <f t="shared" si="55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6"/>
        <v>https://d0f6bd738d7f1b3e5a7ca70fe4ff75f0.us-east-1.aws.found.io/app/kibana#/discover/Steve-Slow-Train-Analysis-(2080s-and-2083s)?_g=(refreshInterval:(display:Off,pause:!f,section:0,value:0),time:(from:'2017-07-15T14:57:47-0600',mode:absolute,to:'2017-07-15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97" t="str">
        <f>IF(AA181&lt;VLOOKUP(AG181,Variables!$AC$3:$AD$8,2,FALSE),"Y","N")</f>
        <v>N</v>
      </c>
      <c r="X181" s="197">
        <f t="shared" si="70"/>
        <v>1</v>
      </c>
      <c r="Y181" s="197">
        <f t="shared" si="57"/>
        <v>9.7100000000000006E-2</v>
      </c>
      <c r="Z181" s="197">
        <f t="shared" si="58"/>
        <v>5.8939000000000004</v>
      </c>
      <c r="AA181" s="197">
        <f t="shared" si="59"/>
        <v>5.7968000000000002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0"/>
        <v>1821</v>
      </c>
      <c r="AE181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81" s="74" t="str">
        <f t="shared" si="62"/>
        <v>"C:\Program Files (x86)\AstroGrep\AstroGrep.exe" /e /r /s /spath="%USERPROFILE%\AppData\Local\Temp\OnboardLogs" /stypes="app*4012*20170715*" /stext=" 22:.+((SYSTEM_STATE.+slice.+state.+changed )|(ment ac)|(multiple cpu faults)|(system.+state.+changed )|(\[timeout)|(PRM\|1\|D)|(kpr)|(kdp)|(train st.+moving)|(\|lc)|(penalty))"</v>
      </c>
      <c r="AG181" s="209" t="str">
        <f t="shared" si="63"/>
        <v>NW</v>
      </c>
      <c r="AH181" s="78" t="str">
        <f t="shared" si="49"/>
        <v>"%USERPROFILE%\Documents\GitHub\eaglep3\Utilities\RefineRTDCRunTimes.py" --tripid 1821-15 --locoid 4012 --swversion DE.1.0.9.0 --startMP 204:971 --initTime 2017-07-15T15:57:47 --startdatetime 2017-07-15T16:22:19 --delay 1 --endMP 300:58939 --enddatetime 2017-07-15T16:36:30 --enforcementcount 0 &gt;&gt;C:\Users\stu\Documents\GitHub\eaglep3-reporting\EC\2017-07-15-refined-times.txt</v>
      </c>
      <c r="AI181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{"issue":{"subject":"","project_id":79,"tracker_id":40,"status_id":1,"priority_id":2,"assigned_to_id":23,"start_date":"2017-07-15","description":"","custom_fields":[{"id":1,"name":"Subdivision","value":"NW"},{"id":4,"name":"Milepost","value":"5.8939"},{"id":17,"name":"Train ID","value":"1821-15"},{"id":16,"name":"Locomotive ID","value":"4012"},{"id":130,"name":"Impact","value":""},{"id":150,"name":"Time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1"/>
        <v>start /low /b %USERPROFILE%\Documents\GitHub\eaglep3\Utilities\DownloadLogsFromS3.py --loco 4012 --day 2017-07-15</v>
      </c>
      <c r="AN181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768</v>
      </c>
      <c r="B182" s="7">
        <v>4011</v>
      </c>
      <c r="C182" s="21" t="s">
        <v>199</v>
      </c>
      <c r="D182" s="21" t="s">
        <v>904</v>
      </c>
      <c r="E182" s="13">
        <v>42931.693368055552</v>
      </c>
      <c r="F182" s="13">
        <v>42931.695231481484</v>
      </c>
      <c r="G182" s="7">
        <v>0</v>
      </c>
      <c r="H182" s="21" t="s">
        <v>584</v>
      </c>
      <c r="I182" s="13">
        <v>42931.704606481479</v>
      </c>
      <c r="J182" s="7">
        <v>0</v>
      </c>
      <c r="K182" s="89" t="str">
        <f t="shared" si="53"/>
        <v>4011/4012</v>
      </c>
      <c r="L182" s="21" t="str">
        <f>VLOOKUP(A182,'Trips&amp;Operators'!$C$1:$G$99999,5,FALSE)</f>
        <v>MCREYNOLDS KYLE</v>
      </c>
      <c r="M182" s="6">
        <f t="shared" si="54"/>
        <v>9.3749999941792339E-3</v>
      </c>
      <c r="N182" s="7">
        <f t="shared" si="68"/>
        <v>13.499999991618097</v>
      </c>
      <c r="O182" s="7"/>
      <c r="P182" s="7"/>
      <c r="Q182" s="22"/>
      <c r="R182" s="170"/>
      <c r="S182" s="213">
        <f t="shared" si="69"/>
        <v>1</v>
      </c>
      <c r="T182" s="195" t="str">
        <f t="shared" si="55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6"/>
        <v>https://d0f6bd738d7f1b3e5a7ca70fe4ff75f0.us-east-1.aws.found.io/app/kibana#/discover/Steve-Slow-Train-Analysis-(2080s-and-2083s)?_g=(refreshInterval:(display:Off,pause:!f,section:0,value:0),time:(from:'2017-07-15T15:38:27-0600',mode:absolute,to:'2017-07-15T17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97" t="str">
        <f>IF(AA182&lt;VLOOKUP(AG182,Variables!$AC$3:$AD$8,2,FALSE),"Y","N")</f>
        <v>N</v>
      </c>
      <c r="X182" s="197">
        <f t="shared" si="70"/>
        <v>1</v>
      </c>
      <c r="Y182" s="197">
        <f t="shared" si="57"/>
        <v>5.8628</v>
      </c>
      <c r="Z182" s="197">
        <f t="shared" si="58"/>
        <v>6.7500000000000004E-2</v>
      </c>
      <c r="AA182" s="197">
        <f t="shared" si="59"/>
        <v>5.7953000000000001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0"/>
        <v>1822</v>
      </c>
      <c r="AE182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82" s="74" t="str">
        <f t="shared" si="62"/>
        <v>"C:\Program Files (x86)\AstroGrep\AstroGrep.exe" /e /r /s /spath="%USERPROFILE%\AppData\Local\Temp\OnboardLogs" /stypes="app*4011*20170715*" /stext=" 22:.+((SYSTEM_STATE.+slice.+state.+changed )|(ment ac)|(multiple cpu faults)|(system.+state.+changed )|(\[timeout)|(PRM\|1\|D)|(kpr)|(kdp)|(train st.+moving)|(\|lc)|(penalty))"</v>
      </c>
      <c r="AG182" s="209" t="str">
        <f t="shared" si="63"/>
        <v>NW</v>
      </c>
      <c r="AH182" s="78" t="str">
        <f t="shared" si="49"/>
        <v>"%USERPROFILE%\Documents\GitHub\eaglep3\Utilities\RefineRTDCRunTimes.py" --tripid 1822-15 --locoid 4011 --swversion DE.1.0.9.0 --startMP 300:58628 --initTime 2017-07-15T16:38:27 --startdatetime 2017-07-15T16:41:08 --delay 0 --endMP 204:675 --enddatetime 2017-07-15T16:54:38 --enforcementcount 0 &gt;&gt;C:\Users\stu\Documents\GitHub\eaglep3-reporting\EC\2017-07-15-refined-times.txt</v>
      </c>
      <c r="AI182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{"issue":{"subject":"","project_id":79,"tracker_id":40,"status_id":1,"priority_id":2,"assigned_to_id":23,"start_date":"2017-07-15","description":"","custom_fields":[{"id":1,"name":"Subdivision","value":"NW"},{"id":4,"name":"Milepost","value":"0.0675"},{"id":17,"name":"Train ID","value":"1822-15"},{"id":16,"name":"Locomotive ID","value":"4011"},{"id":130,"name":"Impact","value":""},{"id":150,"name":"Time of Event (Mountain Time)","value":"16:54:38"},{"id":151,"name":"Denver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1"/>
        <v>start /low /b %USERPROFILE%\Documents\GitHub\eaglep3\Utilities\DownloadLogsFromS3.py --loco 4011 --day 2017-07-15</v>
      </c>
      <c r="AN182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776</v>
      </c>
      <c r="B183" s="7">
        <v>4012</v>
      </c>
      <c r="C183" s="21" t="s">
        <v>199</v>
      </c>
      <c r="D183" s="21" t="s">
        <v>905</v>
      </c>
      <c r="E183" s="13">
        <v>42931.716631944444</v>
      </c>
      <c r="F183" s="13">
        <v>42931.723078703704</v>
      </c>
      <c r="G183" s="7">
        <v>1</v>
      </c>
      <c r="H183" s="21" t="s">
        <v>906</v>
      </c>
      <c r="I183" s="13">
        <v>42931.732662037037</v>
      </c>
      <c r="J183" s="7">
        <v>0</v>
      </c>
      <c r="K183" s="89" t="str">
        <f t="shared" si="53"/>
        <v>4011/4012</v>
      </c>
      <c r="L183" s="21" t="str">
        <f>VLOOKUP(A183,'Trips&amp;Operators'!$C$1:$G$99999,5,FALSE)</f>
        <v>MCREYNOLDS KYLE</v>
      </c>
      <c r="M183" s="6">
        <f t="shared" si="54"/>
        <v>9.5833333325572312E-3</v>
      </c>
      <c r="N183" s="7">
        <f t="shared" si="68"/>
        <v>13.799999998882413</v>
      </c>
      <c r="O183" s="7"/>
      <c r="P183" s="7"/>
      <c r="Q183" s="22"/>
      <c r="R183" s="170"/>
      <c r="S183" s="213">
        <f t="shared" si="69"/>
        <v>1</v>
      </c>
      <c r="T183" s="195" t="str">
        <f t="shared" si="55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6"/>
        <v>https://d0f6bd738d7f1b3e5a7ca70fe4ff75f0.us-east-1.aws.found.io/app/kibana#/discover/Steve-Slow-Train-Analysis-(2080s-and-2083s)?_g=(refreshInterval:(display:Off,pause:!f,section:0,value:0),time:(from:'2017-07-15T16:11:57-0600',mode:absolute,to:'2017-07-15T18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97" t="str">
        <f>IF(AA183&lt;VLOOKUP(AG183,Variables!$AC$3:$AD$8,2,FALSE),"Y","N")</f>
        <v>N</v>
      </c>
      <c r="X183" s="197">
        <f t="shared" si="70"/>
        <v>1</v>
      </c>
      <c r="Y183" s="197">
        <f t="shared" si="57"/>
        <v>9.69E-2</v>
      </c>
      <c r="Z183" s="197">
        <f t="shared" si="58"/>
        <v>5.8943000000000003</v>
      </c>
      <c r="AA183" s="197">
        <f t="shared" si="59"/>
        <v>5.7974000000000006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0"/>
        <v>1823</v>
      </c>
      <c r="AE183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83" s="74" t="str">
        <f t="shared" si="62"/>
        <v>"C:\Program Files (x86)\AstroGrep\AstroGrep.exe" /e /r /s /spath="%USERPROFILE%\AppData\Local\Temp\OnboardLogs" /stypes="app*4012*20170715*" /stext=" 23:.+((SYSTEM_STATE.+slice.+state.+changed )|(ment ac)|(multiple cpu faults)|(system.+state.+changed )|(\[timeout)|(PRM\|1\|D)|(kpr)|(kdp)|(train st.+moving)|(\|lc)|(penalty))"</v>
      </c>
      <c r="AG183" s="209" t="str">
        <f t="shared" si="63"/>
        <v>NW</v>
      </c>
      <c r="AH183" s="78" t="str">
        <f t="shared" si="49"/>
        <v>"%USERPROFILE%\Documents\GitHub\eaglep3\Utilities\RefineRTDCRunTimes.py" --tripid 1823-15 --locoid 4012 --swversion DE.1.0.9.0 --startMP 204:969 --initTime 2017-07-15T17:11:57 --startdatetime 2017-07-15T17:21:14 --delay 1 --endMP 300:58943 --enddatetime 2017-07-15T17:35:02 --enforcementcount 0 &gt;&gt;C:\Users\stu\Documents\GitHub\eaglep3-reporting\EC\2017-07-15-refined-times.txt</v>
      </c>
      <c r="AI183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{"issue":{"subject":"","project_id":79,"tracker_id":40,"status_id":1,"priority_id":2,"assigned_to_id":23,"start_date":"2017-07-15","description":"","custom_fields":[{"id":1,"name":"Subdivision","value":"NW"},{"id":4,"name":"Milepost","value":"5.8943"},{"id":17,"name":"Train ID","value":"1823-15"},{"id":16,"name":"Locomotive ID","value":"4012"},{"id":130,"name":"Impact","value":""},{"id":150,"name":"Time of Event (Mountain Time)","value":"17:35:02"},{"id":151,"name":"Denver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1"/>
        <v>start /low /b %USERPROFILE%\Documents\GitHub\eaglep3\Utilities\DownloadLogsFromS3.py --loco 4012 --day 2017-07-15</v>
      </c>
      <c r="AN183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779</v>
      </c>
      <c r="B184" s="7">
        <v>4011</v>
      </c>
      <c r="C184" s="21" t="s">
        <v>199</v>
      </c>
      <c r="D184" s="21" t="s">
        <v>907</v>
      </c>
      <c r="E184" s="13">
        <v>42931.734039351853</v>
      </c>
      <c r="F184" s="13">
        <v>42931.736631944441</v>
      </c>
      <c r="G184" s="7">
        <v>1</v>
      </c>
      <c r="H184" s="21" t="s">
        <v>908</v>
      </c>
      <c r="I184" s="13">
        <v>42931.746423611112</v>
      </c>
      <c r="J184" s="7">
        <v>0</v>
      </c>
      <c r="K184" s="89" t="str">
        <f t="shared" si="53"/>
        <v>4011/4012</v>
      </c>
      <c r="L184" s="21" t="str">
        <f>VLOOKUP(A184,'Trips&amp;Operators'!$C$1:$G$99999,5,FALSE)</f>
        <v>MCREYNOLDS KYLE</v>
      </c>
      <c r="M184" s="6">
        <f t="shared" si="54"/>
        <v>9.7916666709352285E-3</v>
      </c>
      <c r="N184" s="7">
        <f t="shared" si="68"/>
        <v>14.100000006146729</v>
      </c>
      <c r="O184" s="7"/>
      <c r="P184" s="7"/>
      <c r="Q184" s="22"/>
      <c r="R184" s="170"/>
      <c r="S184" s="213">
        <f t="shared" si="69"/>
        <v>1</v>
      </c>
      <c r="T184" s="195" t="str">
        <f t="shared" si="55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6"/>
        <v>https://d0f6bd738d7f1b3e5a7ca70fe4ff75f0.us-east-1.aws.found.io/app/kibana#/discover/Steve-Slow-Train-Analysis-(2080s-and-2083s)?_g=(refreshInterval:(display:Off,pause:!f,section:0,value:0),time:(from:'2017-07-15T16:37:01-0600',mode:absolute,to:'2017-07-15T18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97" t="str">
        <f>IF(AA184&lt;VLOOKUP(AG184,Variables!$AC$3:$AD$8,2,FALSE),"Y","N")</f>
        <v>N</v>
      </c>
      <c r="X184" s="197">
        <f t="shared" si="70"/>
        <v>1</v>
      </c>
      <c r="Y184" s="197">
        <f t="shared" si="57"/>
        <v>5.8625999999999996</v>
      </c>
      <c r="Z184" s="197">
        <f t="shared" si="58"/>
        <v>6.8000000000000005E-2</v>
      </c>
      <c r="AA184" s="197">
        <f t="shared" si="59"/>
        <v>5.7946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0"/>
        <v>1824</v>
      </c>
      <c r="AE184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84" s="74" t="str">
        <f t="shared" si="62"/>
        <v>"C:\Program Files (x86)\AstroGrep\AstroGrep.exe" /e /r /s /spath="%USERPROFILE%\AppData\Local\Temp\OnboardLogs" /stypes="app*4011*20170715*" /stext=" 23:.+((SYSTEM_STATE.+slice.+state.+changed )|(ment ac)|(multiple cpu faults)|(system.+state.+changed )|(\[timeout)|(PRM\|1\|D)|(kpr)|(kdp)|(train st.+moving)|(\|lc)|(penalty))"</v>
      </c>
      <c r="AG184" s="209" t="str">
        <f t="shared" si="63"/>
        <v>NW</v>
      </c>
      <c r="AH184" s="78" t="str">
        <f t="shared" si="49"/>
        <v>"%USERPROFILE%\Documents\GitHub\eaglep3\Utilities\RefineRTDCRunTimes.py" --tripid 1824-15 --locoid 4011 --swversion DE.1.0.9.0 --startMP 300:58626 --initTime 2017-07-15T17:37:01 --startdatetime 2017-07-15T17:40:45 --delay 1 --endMP 204:680 --enddatetime 2017-07-15T17:54:51 --enforcementcount 0 &gt;&gt;C:\Users\stu\Documents\GitHub\eaglep3-reporting\EC\2017-07-15-refined-times.txt</v>
      </c>
      <c r="AI184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{"issue":{"subject":"","project_id":79,"tracker_id":40,"status_id":1,"priority_id":2,"assigned_to_id":23,"start_date":"2017-07-15","description":"","custom_fields":[{"id":1,"name":"Subdivision","value":"NW"},{"id":4,"name":"Milepost","value":"0.068"},{"id":17,"name":"Train ID","value":"1824-15"},{"id":16,"name":"Locomotive ID","value":"4011"},{"id":130,"name":"Impact","value":""},{"id":150,"name":"Time of Event (Mountain Time)","value":"17:54:51"},{"id":151,"name":"Denver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1"/>
        <v>start /low /b %USERPROFILE%\Documents\GitHub\eaglep3\Utilities\DownloadLogsFromS3.py --loco 4011 --day 2017-07-15</v>
      </c>
      <c r="AN184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784</v>
      </c>
      <c r="B185" s="7">
        <v>4012</v>
      </c>
      <c r="C185" s="21" t="s">
        <v>199</v>
      </c>
      <c r="D185" s="21" t="s">
        <v>909</v>
      </c>
      <c r="E185" s="13">
        <v>42931.751307870371</v>
      </c>
      <c r="F185" s="13">
        <v>42931.764768518522</v>
      </c>
      <c r="G185" s="7">
        <v>1</v>
      </c>
      <c r="H185" s="21" t="s">
        <v>906</v>
      </c>
      <c r="I185" s="13">
        <v>42931.774328703701</v>
      </c>
      <c r="J185" s="7">
        <v>0</v>
      </c>
      <c r="K185" s="89" t="str">
        <f t="shared" si="53"/>
        <v>4011/4012</v>
      </c>
      <c r="L185" s="21" t="str">
        <f>VLOOKUP(A185,'Trips&amp;Operators'!$C$1:$G$99999,5,FALSE)</f>
        <v>MCREYNOLDS KYLE</v>
      </c>
      <c r="M185" s="6">
        <f t="shared" si="54"/>
        <v>9.5601851789979264E-3</v>
      </c>
      <c r="N185" s="7">
        <f t="shared" si="68"/>
        <v>13.766666657757014</v>
      </c>
      <c r="O185" s="7"/>
      <c r="P185" s="7"/>
      <c r="Q185" s="22"/>
      <c r="R185" s="170"/>
      <c r="S185" s="213">
        <f t="shared" si="69"/>
        <v>1</v>
      </c>
      <c r="T185" s="195" t="str">
        <f t="shared" si="55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6"/>
        <v>https://d0f6bd738d7f1b3e5a7ca70fe4ff75f0.us-east-1.aws.found.io/app/kibana#/discover/Steve-Slow-Train-Analysis-(2080s-and-2083s)?_g=(refreshInterval:(display:Off,pause:!f,section:0,value:0),time:(from:'2017-07-15T17:01:53-0600',mode:absolute,to:'2017-07-15T19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97" t="str">
        <f>IF(AA185&lt;VLOOKUP(AG185,Variables!$AC$3:$AD$8,2,FALSE),"Y","N")</f>
        <v>N</v>
      </c>
      <c r="X185" s="197">
        <f t="shared" si="70"/>
        <v>1</v>
      </c>
      <c r="Y185" s="197">
        <f t="shared" si="57"/>
        <v>9.8100000000000007E-2</v>
      </c>
      <c r="Z185" s="197">
        <f t="shared" si="58"/>
        <v>5.8943000000000003</v>
      </c>
      <c r="AA185" s="197">
        <f t="shared" si="59"/>
        <v>5.7962000000000007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0"/>
        <v>1825</v>
      </c>
      <c r="AE185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85" s="74" t="str">
        <f t="shared" si="62"/>
        <v>"C:\Program Files (x86)\AstroGrep\AstroGrep.exe" /e /r /s /spath="%USERPROFILE%\AppData\Local\Temp\OnboardLogs" /stypes="app*4012*20170716*" /stext=" 00:.+((SYSTEM_STATE.+slice.+state.+changed )|(ment ac)|(multiple cpu faults)|(system.+state.+changed )|(\[timeout)|(PRM\|1\|D)|(kpr)|(kdp)|(train st.+moving)|(\|lc)|(penalty))"</v>
      </c>
      <c r="AG185" s="209" t="str">
        <f t="shared" si="63"/>
        <v>NW</v>
      </c>
      <c r="AH185" s="78" t="str">
        <f t="shared" si="49"/>
        <v>"%USERPROFILE%\Documents\GitHub\eaglep3\Utilities\RefineRTDCRunTimes.py" --tripid 1825-15 --locoid 4012 --swversion DE.1.0.9.0 --startMP 204:981 --initTime 2017-07-15T18:01:53 --startdatetime 2017-07-15T18:21:16 --delay 1 --endMP 300:58943 --enddatetime 2017-07-15T18:35:02 --enforcementcount 0 &gt;&gt;C:\Users\stu\Documents\GitHub\eaglep3-reporting\EC\2017-07-15-refined-times.txt</v>
      </c>
      <c r="AI185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{"issue":{"subject":"","project_id":79,"tracker_id":40,"status_id":1,"priority_id":2,"assigned_to_id":23,"start_date":"2017-07-15","description":"","custom_fields":[{"id":1,"name":"Subdivision","value":"NW"},{"id":4,"name":"Milepost","value":"5.8943"},{"id":17,"name":"Train ID","value":"1825-15"},{"id":16,"name":"Locomotive ID","value":"4012"},{"id":130,"name":"Impact","value":""},{"id":150,"name":"Time of Event (Mountain Time)","value":"18:35:02"},{"id":151,"name":"Denver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1"/>
        <v>start /low /b %USERPROFILE%\Documents\GitHub\eaglep3\Utilities\DownloadLogsFromS3.py --loco 4012 --day 2017-07-15</v>
      </c>
      <c r="AN185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791</v>
      </c>
      <c r="B186" s="7">
        <v>4011</v>
      </c>
      <c r="C186" s="21" t="s">
        <v>199</v>
      </c>
      <c r="D186" s="21" t="s">
        <v>904</v>
      </c>
      <c r="E186" s="13">
        <v>42931.775949074072</v>
      </c>
      <c r="F186" s="13">
        <v>42931.778321759259</v>
      </c>
      <c r="G186" s="7">
        <v>1</v>
      </c>
      <c r="H186" s="21" t="s">
        <v>908</v>
      </c>
      <c r="I186" s="13">
        <v>42931.789375</v>
      </c>
      <c r="J186" s="7">
        <v>0</v>
      </c>
      <c r="K186" s="89" t="str">
        <f t="shared" si="53"/>
        <v>4011/4012</v>
      </c>
      <c r="L186" s="21" t="str">
        <f>VLOOKUP(A186,'Trips&amp;Operators'!$C$1:$G$99999,5,FALSE)</f>
        <v>MCREYNOLDS KYLE</v>
      </c>
      <c r="M186" s="6">
        <f t="shared" si="54"/>
        <v>1.1053240741603076E-2</v>
      </c>
      <c r="N186" s="7">
        <f t="shared" si="68"/>
        <v>15.91666666790843</v>
      </c>
      <c r="O186" s="7"/>
      <c r="P186" s="7"/>
      <c r="Q186" s="22"/>
      <c r="R186" s="170"/>
      <c r="S186" s="213">
        <f t="shared" si="69"/>
        <v>1</v>
      </c>
      <c r="T186" s="195" t="str">
        <f t="shared" si="55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6"/>
        <v>https://d0f6bd738d7f1b3e5a7ca70fe4ff75f0.us-east-1.aws.found.io/app/kibana#/discover/Steve-Slow-Train-Analysis-(2080s-and-2083s)?_g=(refreshInterval:(display:Off,pause:!f,section:0,value:0),time:(from:'2017-07-15T17:37:22-0600',mode:absolute,to:'2017-07-15T19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97" t="str">
        <f>IF(AA186&lt;VLOOKUP(AG186,Variables!$AC$3:$AD$8,2,FALSE),"Y","N")</f>
        <v>N</v>
      </c>
      <c r="X186" s="197">
        <f t="shared" si="70"/>
        <v>1</v>
      </c>
      <c r="Y186" s="197">
        <f t="shared" si="57"/>
        <v>5.8628</v>
      </c>
      <c r="Z186" s="197">
        <f t="shared" si="58"/>
        <v>6.8000000000000005E-2</v>
      </c>
      <c r="AA186" s="197">
        <f t="shared" si="59"/>
        <v>5.7948000000000004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0"/>
        <v>1826</v>
      </c>
      <c r="AE186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86" s="74" t="str">
        <f t="shared" si="62"/>
        <v>"C:\Program Files (x86)\AstroGrep\AstroGrep.exe" /e /r /s /spath="%USERPROFILE%\AppData\Local\Temp\OnboardLogs" /stypes="app*4011*20170716*" /stext=" 00:.+((SYSTEM_STATE.+slice.+state.+changed )|(ment ac)|(multiple cpu faults)|(system.+state.+changed )|(\[timeout)|(PRM\|1\|D)|(kpr)|(kdp)|(train st.+moving)|(\|lc)|(penalty))"</v>
      </c>
      <c r="AG186" s="209" t="str">
        <f t="shared" si="63"/>
        <v>NW</v>
      </c>
      <c r="AH186" s="78" t="str">
        <f t="shared" si="49"/>
        <v>"%USERPROFILE%\Documents\GitHub\eaglep3\Utilities\RefineRTDCRunTimes.py" --tripid 1826-15 --locoid 4011 --swversion DE.1.0.9.0 --startMP 300:58628 --initTime 2017-07-15T18:37:22 --startdatetime 2017-07-15T18:40:47 --delay 1 --endMP 204:680 --enddatetime 2017-07-15T18:56:42 --enforcementcount 0 &gt;&gt;C:\Users\stu\Documents\GitHub\eaglep3-reporting\EC\2017-07-15-refined-times.txt</v>
      </c>
      <c r="AI186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{"issue":{"subject":"","project_id":79,"tracker_id":40,"status_id":1,"priority_id":2,"assigned_to_id":23,"start_date":"2017-07-15","description":"","custom_fields":[{"id":1,"name":"Subdivision","value":"NW"},{"id":4,"name":"Milepost","value":"0.068"},{"id":17,"name":"Train ID","value":"1826-15"},{"id":16,"name":"Locomotive ID","value":"4011"},{"id":130,"name":"Impact","value":""},{"id":150,"name":"Time of Event (Mountain Time)","value":"18:56:42"},{"id":151,"name":"Denver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1"/>
        <v>start /low /b %USERPROFILE%\Documents\GitHub\eaglep3\Utilities\DownloadLogsFromS3.py --loco 4011 --day 2017-07-15</v>
      </c>
      <c r="AN186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795</v>
      </c>
      <c r="B187" s="7">
        <v>4012</v>
      </c>
      <c r="C187" s="21" t="s">
        <v>199</v>
      </c>
      <c r="D187" s="21" t="s">
        <v>894</v>
      </c>
      <c r="E187" s="13">
        <v>42931.794583333336</v>
      </c>
      <c r="F187" s="13">
        <v>42931.80641203704</v>
      </c>
      <c r="G187" s="7">
        <v>1</v>
      </c>
      <c r="H187" s="21" t="s">
        <v>585</v>
      </c>
      <c r="I187" s="13">
        <v>42931.817835648151</v>
      </c>
      <c r="J187" s="7">
        <v>0</v>
      </c>
      <c r="K187" s="89" t="str">
        <f t="shared" si="53"/>
        <v>4011/4012</v>
      </c>
      <c r="L187" s="21" t="str">
        <f>VLOOKUP(A187,'Trips&amp;Operators'!$C$1:$G$99999,5,FALSE)</f>
        <v>MCREYNOLDS KYLE</v>
      </c>
      <c r="M187" s="6">
        <f t="shared" si="54"/>
        <v>1.1423611111240461E-2</v>
      </c>
      <c r="N187" s="7">
        <f t="shared" si="68"/>
        <v>16.450000000186265</v>
      </c>
      <c r="O187" s="7"/>
      <c r="P187" s="7"/>
      <c r="Q187" s="22"/>
      <c r="R187" s="170"/>
      <c r="S187" s="213">
        <f t="shared" si="69"/>
        <v>1</v>
      </c>
      <c r="T187" s="195" t="str">
        <f t="shared" si="55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6"/>
        <v>https://d0f6bd738d7f1b3e5a7ca70fe4ff75f0.us-east-1.aws.found.io/app/kibana#/discover/Steve-Slow-Train-Analysis-(2080s-and-2083s)?_g=(refreshInterval:(display:Off,pause:!f,section:0,value:0),time:(from:'2017-07-15T18:04:12-0600',mode:absolute,to:'2017-07-15T20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97" t="str">
        <f>IF(AA187&lt;VLOOKUP(AG187,Variables!$AC$3:$AD$8,2,FALSE),"Y","N")</f>
        <v>N</v>
      </c>
      <c r="X187" s="197">
        <f t="shared" si="70"/>
        <v>1</v>
      </c>
      <c r="Y187" s="197">
        <f t="shared" si="57"/>
        <v>9.8799999999999999E-2</v>
      </c>
      <c r="Z187" s="197">
        <f t="shared" si="58"/>
        <v>5.8939000000000004</v>
      </c>
      <c r="AA187" s="197">
        <f t="shared" si="59"/>
        <v>5.7951000000000006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0"/>
        <v>1827</v>
      </c>
      <c r="AE187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87" s="74" t="str">
        <f t="shared" si="62"/>
        <v>"C:\Program Files (x86)\AstroGrep\AstroGrep.exe" /e /r /s /spath="%USERPROFILE%\AppData\Local\Temp\OnboardLogs" /stypes="app*4012*20170716*" /stext=" 01:.+((SYSTEM_STATE.+slice.+state.+changed )|(ment ac)|(multiple cpu faults)|(system.+state.+changed )|(\[timeout)|(PRM\|1\|D)|(kpr)|(kdp)|(train st.+moving)|(\|lc)|(penalty))"</v>
      </c>
      <c r="AG187" s="209" t="str">
        <f t="shared" si="63"/>
        <v>NW</v>
      </c>
      <c r="AH187" s="78" t="str">
        <f t="shared" si="49"/>
        <v>"%USERPROFILE%\Documents\GitHub\eaglep3\Utilities\RefineRTDCRunTimes.py" --tripid 1827-15 --locoid 4012 --swversion DE.1.0.9.0 --startMP 204:988 --initTime 2017-07-15T19:04:12 --startdatetime 2017-07-15T19:21:14 --delay 1 --endMP 300:58939 --enddatetime 2017-07-15T19:37:41 --enforcementcount 0 &gt;&gt;C:\Users\stu\Documents\GitHub\eaglep3-reporting\EC\2017-07-15-refined-times.txt</v>
      </c>
      <c r="AI187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{"issue":{"subject":"","project_id":79,"tracker_id":40,"status_id":1,"priority_id":2,"assigned_to_id":23,"start_date":"2017-07-15","description":"","custom_fields":[{"id":1,"name":"Subdivision","value":"NW"},{"id":4,"name":"Milepost","value":"5.8939"},{"id":17,"name":"Train ID","value":"1827-15"},{"id":16,"name":"Locomotive ID","value":"4012"},{"id":130,"name":"Impact","value":""},{"id":150,"name":"Time of Event (Mountain Time)","value":"19:37:41"},{"id":151,"name":"Denver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1"/>
        <v>start /low /b %USERPROFILE%\Documents\GitHub\eaglep3\Utilities\DownloadLogsFromS3.py --loco 4012 --day 2017-07-15</v>
      </c>
      <c r="AN187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803</v>
      </c>
      <c r="B188" s="7">
        <v>4011</v>
      </c>
      <c r="C188" s="21" t="s">
        <v>199</v>
      </c>
      <c r="D188" s="21" t="s">
        <v>510</v>
      </c>
      <c r="E188" s="13">
        <v>42931.819155092591</v>
      </c>
      <c r="F188" s="13">
        <v>42931.820972222224</v>
      </c>
      <c r="G188" s="7">
        <v>1</v>
      </c>
      <c r="H188" s="21" t="s">
        <v>910</v>
      </c>
      <c r="I188" s="13">
        <v>42931.83079861111</v>
      </c>
      <c r="J188" s="7">
        <v>0</v>
      </c>
      <c r="K188" s="89" t="str">
        <f t="shared" si="53"/>
        <v>4011/4012</v>
      </c>
      <c r="L188" s="21" t="str">
        <f>VLOOKUP(A188,'Trips&amp;Operators'!$C$1:$G$99999,5,FALSE)</f>
        <v>MCREYNOLDS KYLE</v>
      </c>
      <c r="M188" s="6">
        <f t="shared" si="54"/>
        <v>9.8263888867222704E-3</v>
      </c>
      <c r="N188" s="7">
        <f t="shared" si="68"/>
        <v>14.149999996880069</v>
      </c>
      <c r="O188" s="7"/>
      <c r="P188" s="7"/>
      <c r="Q188" s="22"/>
      <c r="R188" s="170"/>
      <c r="S188" s="213">
        <f t="shared" si="69"/>
        <v>1</v>
      </c>
      <c r="T188" s="195" t="str">
        <f t="shared" si="55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6"/>
        <v>https://d0f6bd738d7f1b3e5a7ca70fe4ff75f0.us-east-1.aws.found.io/app/kibana#/discover/Steve-Slow-Train-Analysis-(2080s-and-2083s)?_g=(refreshInterval:(display:Off,pause:!f,section:0,value:0),time:(from:'2017-07-15T18:39:35-0600',mode:absolute,to:'2017-07-15T20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8" s="197" t="str">
        <f>IF(AA188&lt;VLOOKUP(AG188,Variables!$AC$3:$AD$8,2,FALSE),"Y","N")</f>
        <v>N</v>
      </c>
      <c r="X188" s="197">
        <f t="shared" si="70"/>
        <v>1</v>
      </c>
      <c r="Y188" s="197">
        <f t="shared" si="57"/>
        <v>5.8616999999999999</v>
      </c>
      <c r="Z188" s="197">
        <f t="shared" si="58"/>
        <v>7.1900000000000006E-2</v>
      </c>
      <c r="AA188" s="197">
        <f t="shared" si="59"/>
        <v>5.7897999999999996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0"/>
        <v>1828</v>
      </c>
      <c r="AE188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88" s="74" t="str">
        <f t="shared" si="62"/>
        <v>"C:\Program Files (x86)\AstroGrep\AstroGrep.exe" /e /r /s /spath="%USERPROFILE%\AppData\Local\Temp\OnboardLogs" /stypes="app*4011*20170716*" /stext=" 01:.+((SYSTEM_STATE.+slice.+state.+changed )|(ment ac)|(multiple cpu faults)|(system.+state.+changed )|(\[timeout)|(PRM\|1\|D)|(kpr)|(kdp)|(train st.+moving)|(\|lc)|(penalty))"</v>
      </c>
      <c r="AG188" s="209" t="str">
        <f t="shared" si="63"/>
        <v>NW</v>
      </c>
      <c r="AH188" s="78" t="str">
        <f t="shared" si="49"/>
        <v>"%USERPROFILE%\Documents\GitHub\eaglep3\Utilities\RefineRTDCRunTimes.py" --tripid 1828-15 --locoid 4011 --swversion DE.1.0.9.0 --startMP 300:58617 --initTime 2017-07-15T19:39:35 --startdatetime 2017-07-15T19:42:12 --delay 1 --endMP 204:719 --enddatetime 2017-07-15T19:56:21 --enforcementcount 0 &gt;&gt;C:\Users\stu\Documents\GitHub\eaglep3-reporting\EC\2017-07-15-refined-times.txt</v>
      </c>
      <c r="AI188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{"issue":{"subject":"","project_id":79,"tracker_id":40,"status_id":1,"priority_id":2,"assigned_to_id":23,"start_date":"2017-07-15","description":"","custom_fields":[{"id":1,"name":"Subdivision","value":"NW"},{"id":4,"name":"Milepost","value":"0.0719"},{"id":17,"name":"Train ID","value":"1828-15"},{"id":16,"name":"Locomotive ID","value":"4011"},{"id":130,"name":"Impact","value":""},{"id":150,"name":"Time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1"/>
        <v>start /low /b %USERPROFILE%\Documents\GitHub\eaglep3\Utilities\DownloadLogsFromS3.py --loco 4011 --day 2017-07-15</v>
      </c>
      <c r="AN188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808</v>
      </c>
      <c r="B189" s="7">
        <v>4012</v>
      </c>
      <c r="C189" s="21" t="s">
        <v>199</v>
      </c>
      <c r="D189" s="21" t="s">
        <v>487</v>
      </c>
      <c r="E189" s="13">
        <v>42931.844305555554</v>
      </c>
      <c r="F189" s="13">
        <v>42931.848078703704</v>
      </c>
      <c r="G189" s="7">
        <v>1</v>
      </c>
      <c r="H189" s="21" t="s">
        <v>900</v>
      </c>
      <c r="I189" s="13">
        <v>42931.857476851852</v>
      </c>
      <c r="J189" s="7">
        <v>0</v>
      </c>
      <c r="K189" s="89" t="str">
        <f t="shared" si="53"/>
        <v>4011/4012</v>
      </c>
      <c r="L189" s="21" t="str">
        <f>VLOOKUP(A189,'Trips&amp;Operators'!$C$1:$G$99999,5,FALSE)</f>
        <v>MCREYNOLDS KYLE</v>
      </c>
      <c r="M189" s="6">
        <f t="shared" si="54"/>
        <v>9.3981481477385387E-3</v>
      </c>
      <c r="N189" s="7">
        <f t="shared" si="68"/>
        <v>13.533333332743496</v>
      </c>
      <c r="O189" s="7"/>
      <c r="P189" s="7"/>
      <c r="Q189" s="22"/>
      <c r="R189" s="170"/>
      <c r="S189" s="213">
        <f t="shared" si="69"/>
        <v>1</v>
      </c>
      <c r="T189" s="195" t="str">
        <f t="shared" si="55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6"/>
        <v>https://d0f6bd738d7f1b3e5a7ca70fe4ff75f0.us-east-1.aws.found.io/app/kibana#/discover/Steve-Slow-Train-Analysis-(2080s-and-2083s)?_g=(refreshInterval:(display:Off,pause:!f,section:0,value:0),time:(from:'2017-07-15T19:15:48-0600',mode:absolute,to:'2017-07-15T21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9" s="197" t="str">
        <f>IF(AA189&lt;VLOOKUP(AG189,Variables!$AC$3:$AD$8,2,FALSE),"Y","N")</f>
        <v>N</v>
      </c>
      <c r="X189" s="197">
        <f t="shared" si="70"/>
        <v>1</v>
      </c>
      <c r="Y189" s="197">
        <f t="shared" si="57"/>
        <v>9.9000000000000005E-2</v>
      </c>
      <c r="Z189" s="197">
        <f t="shared" si="58"/>
        <v>5.8945999999999996</v>
      </c>
      <c r="AA189" s="197">
        <f t="shared" si="59"/>
        <v>5.7955999999999994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0"/>
        <v>1829</v>
      </c>
      <c r="AE189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89" s="74" t="str">
        <f t="shared" si="62"/>
        <v>"C:\Program Files (x86)\AstroGrep\AstroGrep.exe" /e /r /s /spath="%USERPROFILE%\AppData\Local\Temp\OnboardLogs" /stypes="app*4012*20170716*" /stext=" 02:.+((SYSTEM_STATE.+slice.+state.+changed )|(ment ac)|(multiple cpu faults)|(system.+state.+changed )|(\[timeout)|(PRM\|1\|D)|(kpr)|(kdp)|(train st.+moving)|(\|lc)|(penalty))"</v>
      </c>
      <c r="AG189" s="209" t="str">
        <f t="shared" si="63"/>
        <v>NW</v>
      </c>
      <c r="AH189" s="78" t="str">
        <f t="shared" si="49"/>
        <v>"%USERPROFILE%\Documents\GitHub\eaglep3\Utilities\RefineRTDCRunTimes.py" --tripid 1829-15 --locoid 4012 --swversion DE.1.0.9.0 --startMP 204:990 --initTime 2017-07-15T20:15:48 --startdatetime 2017-07-15T20:21:14 --delay 1 --endMP 300:58946 --enddatetime 2017-07-15T20:34:46 --enforcementcount 0 &gt;&gt;C:\Users\stu\Documents\GitHub\eaglep3-reporting\EC\2017-07-15-refined-times.txt</v>
      </c>
      <c r="AI189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{"issue":{"subject":"","project_id":79,"tracker_id":40,"status_id":1,"priority_id":2,"assigned_to_id":23,"start_date":"2017-07-15","description":"","custom_fields":[{"id":1,"name":"Subdivision","value":"NW"},{"id":4,"name":"Milepost","value":"5.8946"},{"id":17,"name":"Train ID","value":"1829-15"},{"id":16,"name":"Locomotive ID","value":"4012"},{"id":130,"name":"Impact","value":""},{"id":150,"name":"Time of Event (Mountain Time)","value":"20:34:46"},{"id":151,"name":"Denver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51"/>
        <v>start /low /b %USERPROFILE%\Documents\GitHub\eaglep3\Utilities\DownloadLogsFromS3.py --loco 4012 --day 2017-07-15</v>
      </c>
      <c r="AN189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811</v>
      </c>
      <c r="B190" s="7">
        <v>4011</v>
      </c>
      <c r="C190" s="21" t="s">
        <v>199</v>
      </c>
      <c r="D190" s="21" t="s">
        <v>912</v>
      </c>
      <c r="E190" s="13">
        <v>42931.858958333331</v>
      </c>
      <c r="F190" s="13">
        <v>42931.861689814818</v>
      </c>
      <c r="G190" s="7">
        <v>1</v>
      </c>
      <c r="H190" s="21" t="s">
        <v>913</v>
      </c>
      <c r="I190" s="13">
        <v>42931.871319444443</v>
      </c>
      <c r="J190" s="7">
        <v>0</v>
      </c>
      <c r="K190" s="89" t="str">
        <f t="shared" si="53"/>
        <v>4011/4012</v>
      </c>
      <c r="L190" s="21" t="str">
        <f>VLOOKUP(A190,'Trips&amp;Operators'!$C$1:$G$99999,5,FALSE)</f>
        <v>MCREYNOLDS KYLE</v>
      </c>
      <c r="M190" s="6">
        <f t="shared" si="54"/>
        <v>9.6296296251239255E-3</v>
      </c>
      <c r="N190" s="7">
        <f t="shared" si="68"/>
        <v>13.866666660178453</v>
      </c>
      <c r="O190" s="7"/>
      <c r="P190" s="7"/>
      <c r="Q190" s="22"/>
      <c r="R190" s="170"/>
      <c r="S190" s="213">
        <f t="shared" si="69"/>
        <v>1</v>
      </c>
      <c r="T190" s="195" t="str">
        <f t="shared" si="55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6"/>
        <v>https://d0f6bd738d7f1b3e5a7ca70fe4ff75f0.us-east-1.aws.found.io/app/kibana#/discover/Steve-Slow-Train-Analysis-(2080s-and-2083s)?_g=(refreshInterval:(display:Off,pause:!f,section:0,value:0),time:(from:'2017-07-15T19:36:54-0600',mode:absolute,to:'2017-07-15T21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197" t="str">
        <f>IF(AA190&lt;VLOOKUP(AG190,Variables!$AC$3:$AD$8,2,FALSE),"Y","N")</f>
        <v>N</v>
      </c>
      <c r="X190" s="197">
        <f t="shared" si="70"/>
        <v>1</v>
      </c>
      <c r="Y190" s="197">
        <f t="shared" si="57"/>
        <v>5.8635999999999999</v>
      </c>
      <c r="Z190" s="197">
        <f t="shared" si="58"/>
        <v>6.9599999999999995E-2</v>
      </c>
      <c r="AA190" s="197">
        <f t="shared" si="59"/>
        <v>5.7939999999999996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0"/>
        <v>1830</v>
      </c>
      <c r="AE190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90" s="74" t="str">
        <f t="shared" si="62"/>
        <v>"C:\Program Files (x86)\AstroGrep\AstroGrep.exe" /e /r /s /spath="%USERPROFILE%\AppData\Local\Temp\OnboardLogs" /stypes="app*4011*20170716*" /stext=" 02:.+((SYSTEM_STATE.+slice.+state.+changed )|(ment ac)|(multiple cpu faults)|(system.+state.+changed )|(\[timeout)|(PRM\|1\|D)|(kpr)|(kdp)|(train st.+moving)|(\|lc)|(penalty))"</v>
      </c>
      <c r="AG190" s="209" t="str">
        <f t="shared" si="63"/>
        <v>NW</v>
      </c>
      <c r="AH190" s="78" t="str">
        <f t="shared" si="49"/>
        <v>"%USERPROFILE%\Documents\GitHub\eaglep3\Utilities\RefineRTDCRunTimes.py" --tripid 1830-15 --locoid 4011 --swversion DE.1.0.9.0 --startMP 300:58636 --initTime 2017-07-15T20:36:54 --startdatetime 2017-07-15T20:40:50 --delay 1 --endMP 204:696 --enddatetime 2017-07-15T20:54:42 --enforcementcount 0 &gt;&gt;C:\Users\stu\Documents\GitHub\eaglep3-reporting\EC\2017-07-15-refined-times.txt</v>
      </c>
      <c r="AI190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{"issue":{"subject":"","project_id":79,"tracker_id":40,"status_id":1,"priority_id":2,"assigned_to_id":23,"start_date":"2017-07-15","description":"","custom_fields":[{"id":1,"name":"Subdivision","value":"NW"},{"id":4,"name":"Milepost","value":"0.0696"},{"id":17,"name":"Train ID","value":"1830-15"},{"id":16,"name":"Locomotive ID","value":"4011"},{"id":130,"name":"Impact","value":""},{"id":150,"name":"Time of Event (Mountain Time)","value":"20:54:42"},{"id":151,"name":"Denver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1"/>
        <v>start /low /b %USERPROFILE%\Documents\GitHub\eaglep3\Utilities\DownloadLogsFromS3.py --loco 4011 --day 2017-07-15</v>
      </c>
      <c r="AN190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814</v>
      </c>
      <c r="B191" s="7">
        <v>4012</v>
      </c>
      <c r="C191" s="21" t="s">
        <v>199</v>
      </c>
      <c r="D191" s="21" t="s">
        <v>882</v>
      </c>
      <c r="E191" s="13">
        <v>42931.886030092595</v>
      </c>
      <c r="F191" s="13">
        <v>42931.889756944445</v>
      </c>
      <c r="G191" s="7">
        <v>1</v>
      </c>
      <c r="H191" s="21" t="s">
        <v>906</v>
      </c>
      <c r="I191" s="13">
        <v>42931.899791666663</v>
      </c>
      <c r="J191" s="7">
        <v>0</v>
      </c>
      <c r="K191" s="89" t="str">
        <f t="shared" si="53"/>
        <v>4011/4012</v>
      </c>
      <c r="L191" s="21" t="str">
        <f>VLOOKUP(A191,'Trips&amp;Operators'!$C$1:$G$99999,5,FALSE)</f>
        <v>MCREYNOLDS KYLE</v>
      </c>
      <c r="M191" s="6">
        <f t="shared" si="54"/>
        <v>1.003472221782431E-2</v>
      </c>
      <c r="N191" s="7">
        <f t="shared" si="68"/>
        <v>14.449999993667006</v>
      </c>
      <c r="O191" s="7"/>
      <c r="P191" s="7"/>
      <c r="Q191" s="22"/>
      <c r="R191" s="170"/>
      <c r="S191" s="213">
        <f t="shared" si="69"/>
        <v>1</v>
      </c>
      <c r="T191" s="195" t="str">
        <f t="shared" si="55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6"/>
        <v>https://d0f6bd738d7f1b3e5a7ca70fe4ff75f0.us-east-1.aws.found.io/app/kibana#/discover/Steve-Slow-Train-Analysis-(2080s-and-2083s)?_g=(refreshInterval:(display:Off,pause:!f,section:0,value:0),time:(from:'2017-07-15T20:15:53-0600',mode:absolute,to:'2017-07-15T22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197" t="str">
        <f>IF(AA191&lt;VLOOKUP(AG191,Variables!$AC$3:$AD$8,2,FALSE),"Y","N")</f>
        <v>N</v>
      </c>
      <c r="X191" s="197">
        <f t="shared" si="70"/>
        <v>1</v>
      </c>
      <c r="Y191" s="197">
        <f t="shared" si="57"/>
        <v>9.7600000000000006E-2</v>
      </c>
      <c r="Z191" s="197">
        <f t="shared" si="58"/>
        <v>5.8943000000000003</v>
      </c>
      <c r="AA191" s="197">
        <f t="shared" si="59"/>
        <v>5.7967000000000004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0"/>
        <v>1831</v>
      </c>
      <c r="AE191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91" s="74" t="str">
        <f t="shared" si="62"/>
        <v>"C:\Program Files (x86)\AstroGrep\AstroGrep.exe" /e /r /s /spath="%USERPROFILE%\AppData\Local\Temp\OnboardLogs" /stypes="app*4012*20170716*" /stext=" 03:.+((SYSTEM_STATE.+slice.+state.+changed )|(ment ac)|(multiple cpu faults)|(system.+state.+changed )|(\[timeout)|(PRM\|1\|D)|(kpr)|(kdp)|(train st.+moving)|(\|lc)|(penalty))"</v>
      </c>
      <c r="AG191" s="209" t="str">
        <f t="shared" si="63"/>
        <v>NW</v>
      </c>
      <c r="AH191" s="78" t="str">
        <f t="shared" si="49"/>
        <v>"%USERPROFILE%\Documents\GitHub\eaglep3\Utilities\RefineRTDCRunTimes.py" --tripid 1831-15 --locoid 4012 --swversion DE.1.0.9.0 --startMP 204:976 --initTime 2017-07-15T21:15:53 --startdatetime 2017-07-15T21:21:15 --delay 1 --endMP 300:58943 --enddatetime 2017-07-15T21:35:42 --enforcementcount 0 &gt;&gt;C:\Users\stu\Documents\GitHub\eaglep3-reporting\EC\2017-07-15-refined-times.txt</v>
      </c>
      <c r="AI191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{"issue":{"subject":"","project_id":79,"tracker_id":40,"status_id":1,"priority_id":2,"assigned_to_id":23,"start_date":"2017-07-15","description":"","custom_fields":[{"id":1,"name":"Subdivision","value":"NW"},{"id":4,"name":"Milepost","value":"5.8943"},{"id":17,"name":"Train ID","value":"1831-15"},{"id":16,"name":"Locomotive ID","value":"4012"},{"id":130,"name":"Impact","value":""},{"id":150,"name":"Time of Event (Mountain Time)","value":"21:35:42"},{"id":151,"name":"Denver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1"/>
        <v>start /low /b %USERPROFILE%\Documents\GitHub\eaglep3\Utilities\DownloadLogsFromS3.py --loco 4012 --day 2017-07-15</v>
      </c>
      <c r="AN191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816</v>
      </c>
      <c r="B192" s="7">
        <v>4011</v>
      </c>
      <c r="C192" s="21" t="s">
        <v>199</v>
      </c>
      <c r="D192" s="21" t="s">
        <v>539</v>
      </c>
      <c r="E192" s="13">
        <v>42931.901122685187</v>
      </c>
      <c r="F192" s="13">
        <v>42931.903680555559</v>
      </c>
      <c r="G192" s="7">
        <v>1</v>
      </c>
      <c r="H192" s="21" t="s">
        <v>586</v>
      </c>
      <c r="I192" s="13">
        <v>42931.912974537037</v>
      </c>
      <c r="J192" s="7">
        <v>0</v>
      </c>
      <c r="K192" s="89" t="str">
        <f t="shared" si="53"/>
        <v>4011/4012</v>
      </c>
      <c r="L192" s="21" t="str">
        <f>VLOOKUP(A192,'Trips&amp;Operators'!$C$1:$G$99999,5,FALSE)</f>
        <v>MCREYNOLDS KYLE</v>
      </c>
      <c r="M192" s="6">
        <f t="shared" si="54"/>
        <v>9.29398147854954E-3</v>
      </c>
      <c r="N192" s="7">
        <f t="shared" si="68"/>
        <v>13.383333329111338</v>
      </c>
      <c r="O192" s="7"/>
      <c r="P192" s="7"/>
      <c r="Q192" s="22"/>
      <c r="R192" s="170"/>
      <c r="S192" s="213">
        <f t="shared" si="69"/>
        <v>1</v>
      </c>
      <c r="T192" s="195" t="str">
        <f t="shared" si="55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6"/>
        <v>https://d0f6bd738d7f1b3e5a7ca70fe4ff75f0.us-east-1.aws.found.io/app/kibana#/discover/Steve-Slow-Train-Analysis-(2080s-and-2083s)?_g=(refreshInterval:(display:Off,pause:!f,section:0,value:0),time:(from:'2017-07-15T20:37:37-0600',mode:absolute,to:'2017-07-15T22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2" s="197" t="str">
        <f>IF(AA192&lt;VLOOKUP(AG192,Variables!$AC$3:$AD$8,2,FALSE),"Y","N")</f>
        <v>N</v>
      </c>
      <c r="X192" s="197">
        <f t="shared" si="70"/>
        <v>1</v>
      </c>
      <c r="Y192" s="197">
        <f t="shared" si="57"/>
        <v>5.8619000000000003</v>
      </c>
      <c r="Z192" s="197">
        <f t="shared" si="58"/>
        <v>6.8199999999999997E-2</v>
      </c>
      <c r="AA192" s="197">
        <f t="shared" si="59"/>
        <v>5.7937000000000003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0"/>
        <v>1832</v>
      </c>
      <c r="AE192" s="77" t="str">
        <f t="shared" si="61"/>
        <v>aws s3 cp s3://rtdc.mdm.uploadarchive.raw/RTDC4011/ "%USERPROFILE%\AppData\Local\Temp\OnboardLogs"\RTDC4011\2017-07-15 --exclude "*" --recursive --include "*20170715*" &amp; "%USERPROFILE%\Documents\GitHub\mrs-test-scripts\Headless Mode &amp; Sideloading\WalkAndUnGZ.bat" "%USERPROFILE%\AppData\Local\Temp\OnboardLogs"\RTDC4011\2017-07-15 &amp; 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</v>
      </c>
      <c r="AF192" s="74" t="str">
        <f t="shared" si="62"/>
        <v>"C:\Program Files (x86)\AstroGrep\AstroGrep.exe" /e /r /s /spath="%USERPROFILE%\AppData\Local\Temp\OnboardLogs" /stypes="app*4011*20170716*" /stext=" 03:.+((SYSTEM_STATE.+slice.+state.+changed )|(ment ac)|(multiple cpu faults)|(system.+state.+changed )|(\[timeout)|(PRM\|1\|D)|(kpr)|(kdp)|(train st.+moving)|(\|lc)|(penalty))"</v>
      </c>
      <c r="AG192" s="209" t="str">
        <f t="shared" si="63"/>
        <v>NW</v>
      </c>
      <c r="AH192" s="78" t="str">
        <f t="shared" si="49"/>
        <v>"%USERPROFILE%\Documents\GitHub\eaglep3\Utilities\RefineRTDCRunTimes.py" --tripid 1832-15 --locoid 4011 --swversion DE.1.0.9.0 --startMP 300:58619 --initTime 2017-07-15T21:37:37 --startdatetime 2017-07-15T21:41:18 --delay 1 --endMP 204:682 --enddatetime 2017-07-15T21:54:41 --enforcementcount 0 &gt;&gt;C:\Users\stu\Documents\GitHub\eaglep3-reporting\EC\2017-07-15-refined-times.txt</v>
      </c>
      <c r="AI192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{"issue":{"subject":"","project_id":79,"tracker_id":40,"status_id":1,"priority_id":2,"assigned_to_id":23,"start_date":"2017-07-15","description":"","custom_fields":[{"id":1,"name":"Subdivision","value":"NW"},{"id":4,"name":"Milepost","value":"0.0682"},{"id":17,"name":"Train ID","value":"1832-15"},{"id":16,"name":"Locomotive ID","value":"4011"},{"id":130,"name":"Impact","value":""},{"id":150,"name":"Time of Event (Mountain Time)","value":"21:54:41"},{"id":151,"name":"Denver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1"/>
        <v>start /low /b %USERPROFILE%\Documents\GitHub\eaglep3\Utilities\DownloadLogsFromS3.py --loco 4011 --day 2017-07-15</v>
      </c>
      <c r="AN192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818</v>
      </c>
      <c r="B193" s="7">
        <v>4012</v>
      </c>
      <c r="C193" s="21" t="s">
        <v>199</v>
      </c>
      <c r="D193" s="21" t="s">
        <v>582</v>
      </c>
      <c r="E193" s="13">
        <v>42931.914398148147</v>
      </c>
      <c r="F193" s="13">
        <v>42931.93141203704</v>
      </c>
      <c r="G193" s="7">
        <v>1</v>
      </c>
      <c r="H193" s="21" t="s">
        <v>914</v>
      </c>
      <c r="I193" s="13">
        <v>42931.941400462965</v>
      </c>
      <c r="J193" s="7">
        <v>0</v>
      </c>
      <c r="K193" s="89" t="str">
        <f t="shared" si="53"/>
        <v>4011/4012</v>
      </c>
      <c r="L193" s="21" t="str">
        <f>VLOOKUP(A193,'Trips&amp;Operators'!$C$1:$G$99999,5,FALSE)</f>
        <v>MCREYNOLDS KYLE</v>
      </c>
      <c r="M193" s="6">
        <f t="shared" si="54"/>
        <v>9.9884259252576157E-3</v>
      </c>
      <c r="N193" s="7">
        <f t="shared" si="68"/>
        <v>14.383333332370967</v>
      </c>
      <c r="O193" s="7"/>
      <c r="P193" s="7"/>
      <c r="Q193" s="22"/>
      <c r="R193" s="170"/>
      <c r="S193" s="213">
        <f t="shared" si="69"/>
        <v>1</v>
      </c>
      <c r="T193" s="195" t="str">
        <f t="shared" si="55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6"/>
        <v>https://d0f6bd738d7f1b3e5a7ca70fe4ff75f0.us-east-1.aws.found.io/app/kibana#/discover/Steve-Slow-Train-Analysis-(2080s-and-2083s)?_g=(refreshInterval:(display:Off,pause:!f,section:0,value:0),time:(from:'2017-07-15T20:56:44-0600',mode:absolute,to:'2017-07-15T23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97" t="str">
        <f>IF(AA193&lt;VLOOKUP(AG193,Variables!$AC$3:$AD$8,2,FALSE),"Y","N")</f>
        <v>N</v>
      </c>
      <c r="X193" s="197">
        <f t="shared" si="70"/>
        <v>1</v>
      </c>
      <c r="Y193" s="197">
        <f t="shared" si="57"/>
        <v>9.6699999999999994E-2</v>
      </c>
      <c r="Z193" s="197">
        <f t="shared" si="58"/>
        <v>5.8971</v>
      </c>
      <c r="AA193" s="197">
        <f t="shared" si="59"/>
        <v>5.8003999999999998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0"/>
        <v>1833</v>
      </c>
      <c r="AE193" s="77" t="str">
        <f t="shared" si="61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193" s="74" t="str">
        <f t="shared" si="62"/>
        <v>"C:\Program Files (x86)\AstroGrep\AstroGrep.exe" /e /r /s /spath="%USERPROFILE%\AppData\Local\Temp\OnboardLogs" /stypes="app*4012*20170716*" /stext=" 04:.+((SYSTEM_STATE.+slice.+state.+changed )|(ment ac)|(multiple cpu faults)|(system.+state.+changed )|(\[timeout)|(PRM\|1\|D)|(kpr)|(kdp)|(train st.+moving)|(\|lc)|(penalty))"</v>
      </c>
      <c r="AG193" s="209" t="str">
        <f t="shared" si="63"/>
        <v>NW</v>
      </c>
      <c r="AH193" s="78" t="str">
        <f t="shared" si="49"/>
        <v>"%USERPROFILE%\Documents\GitHub\eaglep3\Utilities\RefineRTDCRunTimes.py" --tripid 1833-15 --locoid 4012 --swversion DE.1.0.9.0 --startMP 204:967 --initTime 2017-07-15T21:56:44 --startdatetime 2017-07-15T22:21:14 --delay 1 --endMP 300:58971 --enddatetime 2017-07-15T22:35:37 --enforcementcount 0 &gt;&gt;C:\Users\stu\Documents\GitHub\eaglep3-reporting\EC\2017-07-15-refined-times.txt</v>
      </c>
      <c r="AI193" s="96" t="str">
        <f t="shared" si="50"/>
        <v>echo {"issue":{"subject":"","project_id":79,"tracker_id":40,"status_id":1,"priority_id":2,"assigned_to_id":23,"start_date":"2017-07-15","description":"","custom_fields":[{"id":1,"name":"Subdivision","value":"NW"},{"id":4,"name":"Milepost","value":"5.8971"},{"id":17,"name":"Train ID","value":"1833-15"},{"id":16,"name":"Locomotive ID","value":"4012"},{"id":130,"name":"Impact","value":""},{"id":150,"name":"Time of Event (Mountain Time)","value":"22:35:37"},{"id":151,"name":"Denver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51"/>
        <v>start /low /b %USERPROFILE%\Documents\GitHub\eaglep3\Utilities\DownloadLogsFromS3.py --loco 4012 --day 2017-07-15</v>
      </c>
      <c r="AN193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619</v>
      </c>
      <c r="B194" s="7">
        <v>4023</v>
      </c>
      <c r="C194" s="21" t="s">
        <v>199</v>
      </c>
      <c r="D194" s="21" t="s">
        <v>941</v>
      </c>
      <c r="E194" s="13">
        <v>42931.118761574071</v>
      </c>
      <c r="F194" s="13">
        <v>42931.12159722222</v>
      </c>
      <c r="G194" s="7">
        <v>4</v>
      </c>
      <c r="H194" s="21" t="s">
        <v>932</v>
      </c>
      <c r="I194" s="13">
        <v>42931.127453703702</v>
      </c>
      <c r="J194" s="7">
        <v>0</v>
      </c>
      <c r="K194" s="89" t="str">
        <f t="shared" si="53"/>
        <v>4023/4024</v>
      </c>
      <c r="L194" s="21" t="str">
        <f>VLOOKUP(A194,'Trips&amp;Operators'!$C$1:$G$99999,5,FALSE)</f>
        <v>MAELZER KURT</v>
      </c>
      <c r="M194" s="6">
        <f t="shared" si="54"/>
        <v>5.8564814826240763E-3</v>
      </c>
      <c r="N194" s="7">
        <f t="shared" si="68"/>
        <v>8.4333333349786699</v>
      </c>
      <c r="O194" s="7"/>
      <c r="P194" s="7"/>
      <c r="Q194" s="22"/>
      <c r="R194" s="170"/>
      <c r="S194" s="213">
        <f t="shared" si="69"/>
        <v>1</v>
      </c>
      <c r="T194" s="195" t="str">
        <f t="shared" si="55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6"/>
        <v>https://d0f6bd738d7f1b3e5a7ca70fe4ff75f0.us-east-1.aws.found.io/app/kibana#/discover/Steve-Slow-Train-Analysis-(2080s-and-2083s)?_g=(refreshInterval:(display:Off,pause:!f,section:0,value:0),time:(from:'2017-07-15T01:51:01-0600',mode:absolute,to:'2017-07-15T04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197" t="str">
        <f>IF(AA194&lt;VLOOKUP(AG194,Variables!$AC$3:$AD$8,2,FALSE),"Y","N")</f>
        <v>Y</v>
      </c>
      <c r="X194" s="197">
        <f t="shared" si="70"/>
        <v>-1533</v>
      </c>
      <c r="Y194" s="197">
        <f t="shared" si="57"/>
        <v>2.2829999999999999</v>
      </c>
      <c r="Z194" s="197">
        <f t="shared" si="58"/>
        <v>1.2999999999999999E-2</v>
      </c>
      <c r="AA194" s="197">
        <f t="shared" si="59"/>
        <v>2.27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0"/>
        <v>300</v>
      </c>
      <c r="AE194" s="77" t="str">
        <f t="shared" si="61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194" s="74" t="str">
        <f t="shared" si="62"/>
        <v>"C:\Program Files (x86)\AstroGrep\AstroGrep.exe" /e /r /s /spath="%USERPROFILE%\AppData\Local\Temp\OnboardLogs" /stypes="app*4023*20170715*" /stext=" 09:.+((SYSTEM_STATE.+slice.+state.+changed )|(ment ac)|(multiple cpu faults)|(system.+state.+changed )|(\[timeout)|(PRM\|1\|D)|(kpr)|(kdp)|(train st.+moving)|(\|lc)|(penalty))"</v>
      </c>
      <c r="AG194" s="209" t="str">
        <f t="shared" si="63"/>
        <v>Other</v>
      </c>
      <c r="AH194" s="78" t="str">
        <f t="shared" si="49"/>
        <v>"%USERPROFILE%\Documents\GitHub\eaglep3\Utilities\RefineRTDCRunTimes.py" --tripid 300-15 --locoid 4023 --swversion DE.1.0.9.0 --startMP 300:22830 --initTime 2017-07-15T02:51:01 --startdatetime 2017-07-15T02:55:06 --delay 4 --endMP 204:130 --enddatetime 2017-07-15T03:03:32 --enforcementcount 0 &gt;&gt;C:\Users\stu\Documents\GitHub\eaglep3-reporting\EC\2017-07-15-refined-times.txt</v>
      </c>
      <c r="AI194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{"issue":{"subject":"","project_id":79,"tracker_id":40,"status_id":1,"priority_id":2,"assigned_to_id":23,"start_date":"2017-07-15","description":"","custom_fields":[{"id":1,"name":"Subdivision","value":"Other"},{"id":4,"name":"Milepost","value":"0.013"},{"id":17,"name":"Train ID","value":"300-15"},{"id":16,"name":"Locomotive ID","value":"4023"},{"id":130,"name":"Impact","value":""},{"id":150,"name":"Time of Event (Mountain Time)","value":"03:03:32"},{"id":151,"name":"Denver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1"/>
        <v>start /low /b %USERPROFILE%\Documents\GitHub\eaglep3\Utilities\DownloadLogsFromS3.py --loco 4023 --day 2017-07-15</v>
      </c>
      <c r="AN194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09:03:32"},{"id":29,"name":"Sharepoint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790</v>
      </c>
      <c r="B195" s="7">
        <v>4056</v>
      </c>
      <c r="C195" s="21" t="s">
        <v>199</v>
      </c>
      <c r="D195" s="21" t="s">
        <v>486</v>
      </c>
      <c r="E195" s="13">
        <v>42931.775891203702</v>
      </c>
      <c r="F195" s="13">
        <v>42931.777361111112</v>
      </c>
      <c r="G195" s="7">
        <v>1</v>
      </c>
      <c r="H195" s="21" t="s">
        <v>942</v>
      </c>
      <c r="I195" s="13">
        <v>42931.784166666665</v>
      </c>
      <c r="J195" s="7">
        <v>0</v>
      </c>
      <c r="K195" s="89" t="str">
        <f t="shared" si="53"/>
        <v>4055/4056</v>
      </c>
      <c r="L195" s="21" t="str">
        <f>VLOOKUP(A195,'Trips&amp;Operators'!$C$1:$G$99999,5,FALSE)</f>
        <v>BRUDER RICHARD</v>
      </c>
      <c r="M195" s="6">
        <f t="shared" si="54"/>
        <v>6.805555553000886E-3</v>
      </c>
      <c r="N195" s="7">
        <f t="shared" si="68"/>
        <v>9.7999999963212758</v>
      </c>
      <c r="O195" s="7"/>
      <c r="P195" s="7"/>
      <c r="Q195" s="22"/>
      <c r="R195" s="170"/>
      <c r="S195" s="213">
        <f t="shared" si="69"/>
        <v>1</v>
      </c>
      <c r="T195" s="195" t="str">
        <f t="shared" si="55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6"/>
        <v>https://d0f6bd738d7f1b3e5a7ca70fe4ff75f0.us-east-1.aws.found.io/app/kibana#/discover/Steve-Slow-Train-Analysis-(2080s-and-2083s)?_g=(refreshInterval:(display:Off,pause:!f,section:0,value:0),time:(from:'2017-07-15T17:37:17-0600',mode:absolute,to:'2017-07-15T19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7" t="str">
        <f>IF(AA195&lt;VLOOKUP(AG195,Variables!$AC$3:$AD$8,2,FALSE),"Y","N")</f>
        <v>Y</v>
      </c>
      <c r="X195" s="197">
        <f t="shared" si="70"/>
        <v>1</v>
      </c>
      <c r="Y195" s="197">
        <f t="shared" si="57"/>
        <v>4.7500000000000001E-2</v>
      </c>
      <c r="Z195" s="197">
        <f t="shared" si="58"/>
        <v>2.3306</v>
      </c>
      <c r="AA195" s="197">
        <f t="shared" si="59"/>
        <v>2.2831000000000001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0"/>
        <v>301</v>
      </c>
      <c r="AE195" s="77" t="str">
        <f t="shared" si="61"/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AF195" s="74" t="str">
        <f t="shared" si="62"/>
        <v>"C:\Program Files (x86)\AstroGrep\AstroGrep.exe" /e /r /s /spath="%USERPROFILE%\AppData\Local\Temp\OnboardLogs" /stypes="app*4056*20170716*" /stext=" 00:.+((SYSTEM_STATE.+slice.+state.+changed )|(ment ac)|(multiple cpu faults)|(system.+state.+changed )|(\[timeout)|(PRM\|1\|D)|(kpr)|(kdp)|(train st.+moving)|(\|lc)|(penalty))"</v>
      </c>
      <c r="AG195" s="209" t="str">
        <f t="shared" si="63"/>
        <v>Other</v>
      </c>
      <c r="AH195" s="78" t="str">
        <f t="shared" si="49"/>
        <v>"%USERPROFILE%\Documents\GitHub\eaglep3\Utilities\RefineRTDCRunTimes.py" --tripid 301-15 --locoid 4056 --swversion DE.1.0.9.0 --startMP 204:475 --initTime 2017-07-15T18:37:17 --startdatetime 2017-07-15T18:39:24 --delay 1 --endMP 300:23306 --enddatetime 2017-07-15T18:49:12 --enforcementcount 0 &gt;&gt;C:\Users\stu\Documents\GitHub\eaglep3-reporting\EC\2017-07-15-refined-times.txt</v>
      </c>
      <c r="AI195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{"issue":{"subject":"","project_id":79,"tracker_id":40,"status_id":1,"priority_id":2,"assigned_to_id":23,"start_date":"2017-07-15","description":"","custom_fields":[{"id":1,"name":"Subdivision","value":"Other"},{"id":4,"name":"Milepost","value":"2.3306"},{"id":17,"name":"Train ID","value":"301-15"},{"id":16,"name":"Locomotive ID","value":"4056"},{"id":130,"name":"Impact","value":""},{"id":150,"name":"Time of Event (Mountain Time)","value":"18:49:12"},{"id":151,"name":"Denver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1"/>
        <v>start /low /b %USERPROFILE%\Documents\GitHub\eaglep3\Utilities\DownloadLogsFromS3.py --loco 4056 --day 2017-07-15</v>
      </c>
      <c r="AN195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623</v>
      </c>
      <c r="B196" s="7">
        <v>4041</v>
      </c>
      <c r="C196" s="21" t="s">
        <v>199</v>
      </c>
      <c r="D196" s="21" t="s">
        <v>943</v>
      </c>
      <c r="E196" s="13">
        <v>42931.135868055557</v>
      </c>
      <c r="F196" s="13">
        <v>42931.137974537036</v>
      </c>
      <c r="G196" s="7">
        <v>2</v>
      </c>
      <c r="H196" s="21" t="s">
        <v>353</v>
      </c>
      <c r="I196" s="13">
        <v>42931.145902777775</v>
      </c>
      <c r="J196" s="7">
        <v>0</v>
      </c>
      <c r="K196" s="89" t="str">
        <f t="shared" si="53"/>
        <v>4041/4042</v>
      </c>
      <c r="L196" s="21" t="str">
        <f>VLOOKUP(A196,'Trips&amp;Operators'!$C$1:$G$99999,5,FALSE)</f>
        <v>YORK EDGAR</v>
      </c>
      <c r="M196" s="6">
        <f t="shared" si="54"/>
        <v>7.9282407386926934E-3</v>
      </c>
      <c r="N196" s="7">
        <f t="shared" si="68"/>
        <v>11.416666663717479</v>
      </c>
      <c r="O196" s="7"/>
      <c r="P196" s="7"/>
      <c r="Q196" s="22"/>
      <c r="R196" s="170"/>
      <c r="S196" s="213">
        <f t="shared" si="69"/>
        <v>1</v>
      </c>
      <c r="T196" s="195" t="str">
        <f t="shared" si="55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6"/>
        <v>https://d0f6bd738d7f1b3e5a7ca70fe4ff75f0.us-east-1.aws.found.io/app/kibana#/discover/Steve-Slow-Train-Analysis-(2080s-and-2083s)?_g=(refreshInterval:(display:Off,pause:!f,section:0,value:0),time:(from:'2017-07-15T02:15:39-0600',mode:absolute,to:'2017-07-15T04:30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97" t="str">
        <f>IF(AA196&lt;VLOOKUP(AG196,Variables!$AC$3:$AD$8,2,FALSE),"Y","N")</f>
        <v>Y</v>
      </c>
      <c r="X196" s="197">
        <f t="shared" si="70"/>
        <v>1</v>
      </c>
      <c r="Y196" s="197">
        <f t="shared" si="57"/>
        <v>2.3546</v>
      </c>
      <c r="Z196" s="197">
        <f t="shared" si="58"/>
        <v>1.41E-2</v>
      </c>
      <c r="AA196" s="197">
        <f t="shared" si="59"/>
        <v>2.3405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0"/>
        <v>302</v>
      </c>
      <c r="AE196" s="77" t="str">
        <f t="shared" si="61"/>
        <v>aws s3 cp s3://rtdc.mdm.uploadarchive.raw/RTDC4041/ "%USERPROFILE%\AppData\Local\Temp\OnboardLogs"\RTDC4041\2017-07-15 --exclude "*" --recursive --include "*20170715*" &amp; "%USERPROFILE%\Documents\GitHub\mrs-test-scripts\Headless Mode &amp; Sideloading\WalkAndUnGZ.bat" "%USERPROFILE%\AppData\Local\Temp\OnboardLogs"\RTDC4041\2017-07-15 &amp; 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</v>
      </c>
      <c r="AF196" s="74" t="str">
        <f t="shared" si="62"/>
        <v>"C:\Program Files (x86)\AstroGrep\AstroGrep.exe" /e /r /s /spath="%USERPROFILE%\AppData\Local\Temp\OnboardLogs" /stypes="app*4041*20170715*" /stext=" 09:.+((SYSTEM_STATE.+slice.+state.+changed )|(ment ac)|(multiple cpu faults)|(system.+state.+changed )|(\[timeout)|(PRM\|1\|D)|(kpr)|(kdp)|(train st.+moving)|(\|lc)|(penalty))"</v>
      </c>
      <c r="AG196" s="209" t="str">
        <f t="shared" si="63"/>
        <v>Other</v>
      </c>
      <c r="AH196" s="78" t="str">
        <f t="shared" si="49"/>
        <v>"%USERPROFILE%\Documents\GitHub\eaglep3\Utilities\RefineRTDCRunTimes.py" --tripid 302-15 --locoid 4041 --swversion DE.1.0.9.0 --startMP 300:23546 --initTime 2017-07-15T03:15:39 --startdatetime 2017-07-15T03:18:41 --delay 2 --endMP 204:141 --enddatetime 2017-07-15T03:30:06 --enforcementcount 0 &gt;&gt;C:\Users\stu\Documents\GitHub\eaglep3-reporting\EC\2017-07-15-refined-times.txt</v>
      </c>
      <c r="AI196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{"issue":{"subject":"","project_id":79,"tracker_id":40,"status_id":1,"priority_id":2,"assigned_to_id":23,"start_date":"2017-07-15","description":"","custom_fields":[{"id":1,"name":"Subdivision","value":"Other"},{"id":4,"name":"Milepost","value":"0.0141"},{"id":17,"name":"Train ID","value":"302-15"},{"id":16,"name":"Locomotive ID","value":"4041"},{"id":130,"name":"Impact","value":""},{"id":150,"name":"Time of Event (Mountain Time)","value":"03:30:06"},{"id":151,"name":"Denver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1"/>
        <v>start /low /b %USERPROFILE%\Documents\GitHub\eaglep3\Utilities\DownloadLogsFromS3.py --loco 4041 --day 2017-07-15</v>
      </c>
      <c r="AN196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09:30:06"},{"id":29,"name":"Sharepoint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796</v>
      </c>
      <c r="B197" s="7">
        <v>4022</v>
      </c>
      <c r="C197" s="21" t="s">
        <v>199</v>
      </c>
      <c r="D197" s="21" t="s">
        <v>349</v>
      </c>
      <c r="E197" s="13">
        <v>42931.797094907408</v>
      </c>
      <c r="F197" s="13">
        <v>42931.79855324074</v>
      </c>
      <c r="G197" s="7">
        <v>1</v>
      </c>
      <c r="H197" s="21" t="s">
        <v>580</v>
      </c>
      <c r="I197" s="13">
        <v>42931.805312500001</v>
      </c>
      <c r="J197" s="7">
        <v>0</v>
      </c>
      <c r="K197" s="89" t="str">
        <f t="shared" si="53"/>
        <v>4021/4022</v>
      </c>
      <c r="L197" s="21" t="str">
        <f>VLOOKUP(A197,'Trips&amp;Operators'!$C$1:$G$99999,5,FALSE)</f>
        <v>DELGADO DIANAH</v>
      </c>
      <c r="M197" s="6">
        <f t="shared" si="54"/>
        <v>6.7592592604341917E-3</v>
      </c>
      <c r="N197" s="7">
        <f t="shared" si="68"/>
        <v>9.733333335025236</v>
      </c>
      <c r="O197" s="7"/>
      <c r="P197" s="7"/>
      <c r="Q197" s="22"/>
      <c r="R197" s="170"/>
      <c r="S197" s="213">
        <f t="shared" si="69"/>
        <v>1</v>
      </c>
      <c r="T197" s="195" t="str">
        <f t="shared" si="55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6"/>
        <v>https://d0f6bd738d7f1b3e5a7ca70fe4ff75f0.us-east-1.aws.found.io/app/kibana#/discover/Steve-Slow-Train-Analysis-(2080s-and-2083s)?_g=(refreshInterval:(display:Off,pause:!f,section:0,value:0),time:(from:'2017-07-15T18:07:49-0600',mode:absolute,to:'2017-07-15T20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7" s="197" t="str">
        <f>IF(AA197&lt;VLOOKUP(AG197,Variables!$AC$3:$AD$8,2,FALSE),"Y","N")</f>
        <v>Y</v>
      </c>
      <c r="X197" s="197">
        <f t="shared" si="70"/>
        <v>1</v>
      </c>
      <c r="Y197" s="197">
        <f t="shared" si="57"/>
        <v>4.53E-2</v>
      </c>
      <c r="Z197" s="197">
        <f t="shared" si="58"/>
        <v>2.3298999999999999</v>
      </c>
      <c r="AA197" s="197">
        <f t="shared" si="59"/>
        <v>2.2845999999999997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0"/>
        <v>303</v>
      </c>
      <c r="AE197" s="77" t="str">
        <f t="shared" si="61"/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AF197" s="74" t="str">
        <f t="shared" si="62"/>
        <v>"C:\Program Files (x86)\AstroGrep\AstroGrep.exe" /e /r /s /spath="%USERPROFILE%\AppData\Local\Temp\OnboardLogs" /stypes="app*4022*20170716*" /stext=" 01:.+((SYSTEM_STATE.+slice.+state.+changed )|(ment ac)|(multiple cpu faults)|(system.+state.+changed )|(\[timeout)|(PRM\|1\|D)|(kpr)|(kdp)|(train st.+moving)|(\|lc)|(penalty))"</v>
      </c>
      <c r="AG197" s="209" t="str">
        <f t="shared" si="63"/>
        <v>Other</v>
      </c>
      <c r="AH197" s="78" t="str">
        <f t="shared" si="49"/>
        <v>"%USERPROFILE%\Documents\GitHub\eaglep3\Utilities\RefineRTDCRunTimes.py" --tripid 303-15 --locoid 4022 --swversion DE.1.0.9.0 --startMP 204:453 --initTime 2017-07-15T19:07:49 --startdatetime 2017-07-15T19:09:55 --delay 1 --endMP 300:23299 --enddatetime 2017-07-15T19:19:39 --enforcementcount 0 &gt;&gt;C:\Users\stu\Documents\GitHub\eaglep3-reporting\EC\2017-07-15-refined-times.txt</v>
      </c>
      <c r="AI197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{"issue":{"subject":"","project_id":79,"tracker_id":40,"status_id":1,"priority_id":2,"assigned_to_id":23,"start_date":"2017-07-15","description":"","custom_fields":[{"id":1,"name":"Subdivision","value":"Other"},{"id":4,"name":"Milepost","value":"2.3299"},{"id":17,"name":"Train ID","value":"303-15"},{"id":16,"name":"Locomotive ID","value":"4022"},{"id":130,"name":"Impact","value":""},{"id":150,"name":"Time of Event (Mountain Time)","value":"19:19:39"},{"id":151,"name":"Denver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51"/>
        <v>start /low /b %USERPROFILE%\Documents\GitHub\eaglep3\Utilities\DownloadLogsFromS3.py --loco 4022 --day 2017-07-15</v>
      </c>
      <c r="AN197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631</v>
      </c>
      <c r="B198" s="7">
        <v>4031</v>
      </c>
      <c r="C198" s="21" t="s">
        <v>199</v>
      </c>
      <c r="D198" s="21" t="s">
        <v>944</v>
      </c>
      <c r="E198" s="13">
        <v>42931.157256944447</v>
      </c>
      <c r="F198" s="13">
        <v>42931.160370370373</v>
      </c>
      <c r="G198" s="7">
        <v>4</v>
      </c>
      <c r="H198" s="21" t="s">
        <v>343</v>
      </c>
      <c r="I198" s="13">
        <v>42931.166284722225</v>
      </c>
      <c r="J198" s="7">
        <v>0</v>
      </c>
      <c r="K198" s="89" t="str">
        <f t="shared" si="53"/>
        <v>4031/4032</v>
      </c>
      <c r="L198" s="21" t="str">
        <f>VLOOKUP(A198,'Trips&amp;Operators'!$C$1:$G$99999,5,FALSE)</f>
        <v>DAVIS WENDY</v>
      </c>
      <c r="M198" s="6">
        <f t="shared" si="54"/>
        <v>5.914351851970423E-3</v>
      </c>
      <c r="N198" s="7">
        <f t="shared" si="68"/>
        <v>8.5166666668374091</v>
      </c>
      <c r="O198" s="7"/>
      <c r="P198" s="7"/>
      <c r="Q198" s="22"/>
      <c r="R198" s="170"/>
      <c r="S198" s="213">
        <f t="shared" si="69"/>
        <v>1</v>
      </c>
      <c r="T198" s="195" t="str">
        <f t="shared" si="55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6"/>
        <v>https://d0f6bd738d7f1b3e5a7ca70fe4ff75f0.us-east-1.aws.found.io/app/kibana#/discover/Steve-Slow-Train-Analysis-(2080s-and-2083s)?_g=(refreshInterval:(display:Off,pause:!f,section:0,value:0),time:(from:'2017-07-15T02:46:27-0600',mode:absolute,to:'2017-07-15T04:59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197" t="str">
        <f>IF(AA198&lt;VLOOKUP(AG198,Variables!$AC$3:$AD$8,2,FALSE),"Y","N")</f>
        <v>Y</v>
      </c>
      <c r="X198" s="197">
        <f t="shared" si="70"/>
        <v>1</v>
      </c>
      <c r="Y198" s="197">
        <f t="shared" si="57"/>
        <v>2.3302999999999998</v>
      </c>
      <c r="Z198" s="197">
        <f t="shared" si="58"/>
        <v>1.4999999999999999E-2</v>
      </c>
      <c r="AA198" s="197">
        <f t="shared" si="59"/>
        <v>2.3152999999999997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0"/>
        <v>304</v>
      </c>
      <c r="AE198" s="77" t="str">
        <f t="shared" si="61"/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AF198" s="74" t="str">
        <f t="shared" si="62"/>
        <v>"C:\Program Files (x86)\AstroGrep\AstroGrep.exe" /e /r /s /spath="%USERPROFILE%\AppData\Local\Temp\OnboardLogs" /stypes="app*4031*20170715*" /stext=" 09:.+((SYSTEM_STATE.+slice.+state.+changed )|(ment ac)|(multiple cpu faults)|(system.+state.+changed )|(\[timeout)|(PRM\|1\|D)|(kpr)|(kdp)|(train st.+moving)|(\|lc)|(penalty))"</v>
      </c>
      <c r="AG198" s="209" t="str">
        <f t="shared" si="63"/>
        <v>Other</v>
      </c>
      <c r="AH198" s="78" t="str">
        <f t="shared" si="49"/>
        <v>"%USERPROFILE%\Documents\GitHub\eaglep3\Utilities\RefineRTDCRunTimes.py" --tripid 304-15 --locoid 4031 --swversion DE.1.0.9.0 --startMP 300:23303 --initTime 2017-07-15T03:46:27 --startdatetime 2017-07-15T03:50:56 --delay 4 --endMP 204:150 --enddatetime 2017-07-15T03:59:27 --enforcementcount 0 &gt;&gt;C:\Users\stu\Documents\GitHub\eaglep3-reporting\EC\2017-07-15-refined-times.txt</v>
      </c>
      <c r="AI198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{"issue":{"subject":"","project_id":79,"tracker_id":40,"status_id":1,"priority_id":2,"assigned_to_id":23,"start_date":"2017-07-15","description":"","custom_fields":[{"id":1,"name":"Subdivision","value":"Other"},{"id":4,"name":"Milepost","value":"0.015"},{"id":17,"name":"Train ID","value":"304-15"},{"id":16,"name":"Locomotive ID","value":"4031"},{"id":130,"name":"Impact","value":""},{"id":150,"name":"Time of Event (Mountain Time)","value":"03:59:27"},{"id":151,"name":"Denver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51"/>
        <v>start /low /b %USERPROFILE%\Documents\GitHub\eaglep3\Utilities\DownloadLogsFromS3.py --loco 4031 --day 2017-07-15</v>
      </c>
      <c r="AN198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09:59:27"},{"id":29,"name":"Sharepoint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802</v>
      </c>
      <c r="B199" s="7">
        <v>4014</v>
      </c>
      <c r="C199" s="21" t="s">
        <v>199</v>
      </c>
      <c r="D199" s="21" t="s">
        <v>570</v>
      </c>
      <c r="E199" s="13">
        <v>42931.817939814813</v>
      </c>
      <c r="F199" s="13">
        <v>42931.819537037038</v>
      </c>
      <c r="G199" s="7">
        <v>1</v>
      </c>
      <c r="H199" s="21" t="s">
        <v>579</v>
      </c>
      <c r="I199" s="13">
        <v>42931.82571759259</v>
      </c>
      <c r="J199" s="7">
        <v>0</v>
      </c>
      <c r="K199" s="89" t="str">
        <f t="shared" si="53"/>
        <v>4013/4014</v>
      </c>
      <c r="L199" s="21" t="str">
        <f>VLOOKUP(A199,'Trips&amp;Operators'!$C$1:$G$99999,5,FALSE)</f>
        <v>DUNCAN SHEILA</v>
      </c>
      <c r="M199" s="6">
        <f t="shared" si="54"/>
        <v>6.1805555524188094E-3</v>
      </c>
      <c r="N199" s="7">
        <f t="shared" si="68"/>
        <v>8.8999999954830855</v>
      </c>
      <c r="O199" s="7"/>
      <c r="P199" s="7"/>
      <c r="Q199" s="22"/>
      <c r="R199" s="170"/>
      <c r="S199" s="213">
        <f t="shared" si="69"/>
        <v>1</v>
      </c>
      <c r="T199" s="195" t="str">
        <f t="shared" si="55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6"/>
        <v>https://d0f6bd738d7f1b3e5a7ca70fe4ff75f0.us-east-1.aws.found.io/app/kibana#/discover/Steve-Slow-Train-Analysis-(2080s-and-2083s)?_g=(refreshInterval:(display:Off,pause:!f,section:0,value:0),time:(from:'2017-07-15T18:37:50-0600',mode:absolute,to:'2017-07-15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197" t="str">
        <f>IF(AA199&lt;VLOOKUP(AG199,Variables!$AC$3:$AD$8,2,FALSE),"Y","N")</f>
        <v>Y</v>
      </c>
      <c r="X199" s="197">
        <f t="shared" si="70"/>
        <v>1</v>
      </c>
      <c r="Y199" s="197">
        <f t="shared" si="57"/>
        <v>4.5999999999999999E-2</v>
      </c>
      <c r="Z199" s="197">
        <f t="shared" si="58"/>
        <v>2.3304</v>
      </c>
      <c r="AA199" s="197">
        <f t="shared" si="59"/>
        <v>2.2844000000000002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0"/>
        <v>305</v>
      </c>
      <c r="AE199" s="77" t="str">
        <f t="shared" si="61"/>
        <v>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 &amp; aws s3 cp s3://rtdc.mdm.uploadarchive.raw/RTDC4014/ "%USERPROFILE%\AppData\Local\Temp\OnboardLogs"\RTDC4014\2017-07-16 --exclude "*" --recursive --include "*20170716*" &amp; "%USERPROFILE%\Documents\GitHub\mrs-test-scripts\Headless Mode &amp; Sideloading\WalkAndUnGZ.bat" "%USERPROFILE%\AppData\Local\Temp\OnboardLogs"\RTDC4014\2017-07-16</v>
      </c>
      <c r="AF199" s="74" t="str">
        <f t="shared" si="62"/>
        <v>"C:\Program Files (x86)\AstroGrep\AstroGrep.exe" /e /r /s /spath="%USERPROFILE%\AppData\Local\Temp\OnboardLogs" /stypes="app*4014*20170716*" /stext=" 01:.+((SYSTEM_STATE.+slice.+state.+changed )|(ment ac)|(multiple cpu faults)|(system.+state.+changed )|(\[timeout)|(PRM\|1\|D)|(kpr)|(kdp)|(train st.+moving)|(\|lc)|(penalty))"</v>
      </c>
      <c r="AG199" s="209" t="str">
        <f t="shared" si="63"/>
        <v>Other</v>
      </c>
      <c r="AH199" s="78" t="str">
        <f t="shared" si="49"/>
        <v>"%USERPROFILE%\Documents\GitHub\eaglep3\Utilities\RefineRTDCRunTimes.py" --tripid 305-15 --locoid 4014 --swversion DE.1.0.9.0 --startMP 204:460 --initTime 2017-07-15T19:37:50 --startdatetime 2017-07-15T19:40:08 --delay 1 --endMP 300:23304 --enddatetime 2017-07-15T19:49:02 --enforcementcount 0 &gt;&gt;C:\Users\stu\Documents\GitHub\eaglep3-reporting\EC\2017-07-15-refined-times.txt</v>
      </c>
      <c r="AI199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{"issue":{"subject":"","project_id":79,"tracker_id":40,"status_id":1,"priority_id":2,"assigned_to_id":23,"start_date":"2017-07-15","description":"","custom_fields":[{"id":1,"name":"Subdivision","value":"Other"},{"id":4,"name":"Milepost","value":"2.3304"},{"id":17,"name":"Train ID","value":"305-15"},{"id":16,"name":"Locomotive ID","value":"4014"},{"id":130,"name":"Impact","value":""},{"id":150,"name":"Time of Event (Mountain Time)","value":"19:49:02"},{"id":151,"name":"Denver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1"/>
        <v>start /low /b %USERPROFILE%\Documents\GitHub\eaglep3\Utilities\DownloadLogsFromS3.py --loco 4014 --day 2017-07-15</v>
      </c>
      <c r="AN199" s="151" t="str">
        <f t="shared" si="5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634</v>
      </c>
      <c r="B200" s="7">
        <v>4053</v>
      </c>
      <c r="C200" s="21" t="s">
        <v>199</v>
      </c>
      <c r="D200" s="21" t="s">
        <v>945</v>
      </c>
      <c r="E200" s="13">
        <v>42931.170231481483</v>
      </c>
      <c r="F200" s="13">
        <v>42931.174953703703</v>
      </c>
      <c r="G200" s="7">
        <v>6</v>
      </c>
      <c r="H200" s="21" t="s">
        <v>381</v>
      </c>
      <c r="I200" s="13">
        <v>42931.180775462963</v>
      </c>
      <c r="J200" s="7">
        <v>0</v>
      </c>
      <c r="K200" s="89" t="str">
        <f t="shared" si="53"/>
        <v>4053/4054</v>
      </c>
      <c r="L200" s="21" t="str">
        <f>VLOOKUP(A200,'Trips&amp;Operators'!$C$1:$G$99999,5,FALSE)</f>
        <v>GEBRETEKLE DAGNEW</v>
      </c>
      <c r="M200" s="6">
        <f t="shared" si="54"/>
        <v>5.8217592595610768E-3</v>
      </c>
      <c r="N200" s="7">
        <f t="shared" si="68"/>
        <v>8.3833333337679505</v>
      </c>
      <c r="O200" s="7"/>
      <c r="P200" s="7"/>
      <c r="Q200" s="22"/>
      <c r="R200" s="170"/>
      <c r="S200" s="213">
        <f t="shared" si="69"/>
        <v>1</v>
      </c>
      <c r="T200" s="195" t="str">
        <f t="shared" si="55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6"/>
        <v>https://d0f6bd738d7f1b3e5a7ca70fe4ff75f0.us-east-1.aws.found.io/app/kibana#/discover/Steve-Slow-Train-Analysis-(2080s-and-2083s)?_g=(refreshInterval:(display:Off,pause:!f,section:0,value:0),time:(from:'2017-07-15T03:05:08-0600',mode:absolute,to:'2017-07-15T05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97" t="str">
        <f>IF(AA200&lt;VLOOKUP(AG200,Variables!$AC$3:$AD$8,2,FALSE),"Y","N")</f>
        <v>Y</v>
      </c>
      <c r="X200" s="197">
        <f t="shared" si="70"/>
        <v>1</v>
      </c>
      <c r="Y200" s="197">
        <f t="shared" si="57"/>
        <v>2.3738999999999999</v>
      </c>
      <c r="Z200" s="197">
        <f t="shared" si="58"/>
        <v>1.54E-2</v>
      </c>
      <c r="AA200" s="197">
        <f t="shared" si="59"/>
        <v>2.3584999999999998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0"/>
        <v>306</v>
      </c>
      <c r="AE200" s="77" t="str">
        <f t="shared" si="61"/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AF200" s="74" t="str">
        <f t="shared" si="62"/>
        <v>"C:\Program Files (x86)\AstroGrep\AstroGrep.exe" /e /r /s /spath="%USERPROFILE%\AppData\Local\Temp\OnboardLogs" /stypes="app*4053*20170715*" /stext=" 10:.+((SYSTEM_STATE.+slice.+state.+changed )|(ment ac)|(multiple cpu faults)|(system.+state.+changed )|(\[timeout)|(PRM\|1\|D)|(kpr)|(kdp)|(train st.+moving)|(\|lc)|(penalty))"</v>
      </c>
      <c r="AG200" s="209" t="str">
        <f t="shared" si="63"/>
        <v>Other</v>
      </c>
      <c r="AH200" s="78" t="str">
        <f t="shared" si="49"/>
        <v>"%USERPROFILE%\Documents\GitHub\eaglep3\Utilities\RefineRTDCRunTimes.py" --tripid 306-15 --locoid 4053 --swversion DE.1.0.9.0 --startMP 300:23739 --initTime 2017-07-15T04:05:08 --startdatetime 2017-07-15T04:11:56 --delay 6 --endMP 204:154 --enddatetime 2017-07-15T04:20:19 --enforcementcount 0 &gt;&gt;C:\Users\stu\Documents\GitHub\eaglep3-reporting\EC\2017-07-15-refined-times.txt</v>
      </c>
      <c r="AI200" s="96" t="str">
        <f t="shared" si="50"/>
        <v>echo {"issue":{"subject":"","project_id":79,"tracker_id":40,"status_id":1,"priority_id":2,"assigned_to_id":23,"start_date":"2017-07-15","description":"","custom_fields":[{"id":1,"name":"Subdivision","value":"Other"},{"id":4,"name":"Milepost","value":"0.0154"},{"id":17,"name":"Train ID","value":"306-15"},{"id":16,"name":"Locomotive ID","value":"4053"},{"id":130,"name":"Impact","value":""},{"id":150,"name":"Time of Event (Mountain Time)","value":"04:20:19"},{"id":151,"name":"Denver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1"/>
        <v>start /low /b %USERPROFILE%\Documents\GitHub\eaglep3\Utilities\DownloadLogsFromS3.py --loco 4053 --day 2017-07-15</v>
      </c>
      <c r="AN200" s="151" t="str">
        <f t="shared" si="52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10:20:19"},{"id":29,"name":"Sharepoint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831</v>
      </c>
      <c r="B201" s="7">
        <v>4024</v>
      </c>
      <c r="C201" s="21" t="s">
        <v>199</v>
      </c>
      <c r="D201" s="21" t="s">
        <v>402</v>
      </c>
      <c r="E201" s="13">
        <v>42932.048368055555</v>
      </c>
      <c r="F201" s="13">
        <v>42932.051064814812</v>
      </c>
      <c r="G201" s="7">
        <v>1</v>
      </c>
      <c r="H201" s="21" t="s">
        <v>946</v>
      </c>
      <c r="I201" s="13">
        <v>42932.058969907404</v>
      </c>
      <c r="J201" s="7">
        <v>0</v>
      </c>
      <c r="K201" s="89" t="str">
        <f t="shared" si="53"/>
        <v>4023/4024</v>
      </c>
      <c r="L201" s="21" t="str">
        <f>VLOOKUP(A201,'Trips&amp;Operators'!$C$1:$G$99999,5,FALSE)</f>
        <v>YANG JAN</v>
      </c>
      <c r="M201" s="6">
        <f t="shared" si="54"/>
        <v>7.9050925924093463E-3</v>
      </c>
      <c r="N201" s="7">
        <f t="shared" si="68"/>
        <v>11.383333333069459</v>
      </c>
      <c r="O201" s="7"/>
      <c r="P201" s="7"/>
      <c r="Q201" s="22"/>
      <c r="R201" s="170"/>
      <c r="S201" s="213">
        <f t="shared" si="69"/>
        <v>1</v>
      </c>
      <c r="T201" s="195" t="str">
        <f t="shared" si="55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6"/>
        <v>https://d0f6bd738d7f1b3e5a7ca70fe4ff75f0.us-east-1.aws.found.io/app/kibana#/discover/Steve-Slow-Train-Analysis-(2080s-and-2083s)?_g=(refreshInterval:(display:Off,pause:!f,section:0,value:0),time:(from:'2017-07-16T00:09:39-0600',mode:absolute,to:'2017-07-16T02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197" t="str">
        <f>IF(AA201&lt;VLOOKUP(AG201,Variables!$AC$3:$AD$8,2,FALSE),"Y","N")</f>
        <v>Y</v>
      </c>
      <c r="X201" s="197">
        <f t="shared" si="70"/>
        <v>1</v>
      </c>
      <c r="Y201" s="197">
        <f t="shared" si="57"/>
        <v>4.5499999999999999E-2</v>
      </c>
      <c r="Z201" s="197">
        <f t="shared" si="58"/>
        <v>2.3292999999999999</v>
      </c>
      <c r="AA201" s="197">
        <f t="shared" si="59"/>
        <v>2.2837999999999998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0"/>
        <v>307</v>
      </c>
      <c r="AE201" s="77" t="str">
        <f t="shared" si="61"/>
        <v>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 &amp; aws s3 cp s3://rtdc.mdm.uploadarchive.raw/RTDC4024/ "%USERPROFILE%\AppData\Local\Temp\OnboardLogs"\RTDC4024\2017-07-17 --exclude "*" --recursive --include "*20170717*" &amp; "%USERPROFILE%\Documents\GitHub\mrs-test-scripts\Headless Mode &amp; Sideloading\WalkAndUnGZ.bat" "%USERPROFILE%\AppData\Local\Temp\OnboardLogs"\RTDC4024\2017-07-17</v>
      </c>
      <c r="AF201" s="74" t="str">
        <f t="shared" si="62"/>
        <v>"C:\Program Files (x86)\AstroGrep\AstroGrep.exe" /e /r /s /spath="%USERPROFILE%\AppData\Local\Temp\OnboardLogs" /stypes="app*4024*20170716*" /stext=" 07:.+((SYSTEM_STATE.+slice.+state.+changed )|(ment ac)|(multiple cpu faults)|(system.+state.+changed )|(\[timeout)|(PRM\|1\|D)|(kpr)|(kdp)|(train st.+moving)|(\|lc)|(penalty))"</v>
      </c>
      <c r="AG201" s="209" t="str">
        <f t="shared" si="63"/>
        <v>Other</v>
      </c>
      <c r="AH201" s="78" t="str">
        <f t="shared" ref="AH201:AH236" si="71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307-15 --locoid 4024 --swversion DE.1.0.9.0 --startMP 204:455 --initTime 2017-07-16T01:09:39 --startdatetime 2017-07-16T01:13:32 --delay 1 --endMP 300:23293 --enddatetime 2017-07-16T01:24:55 --enforcementcount 0 &gt;&gt;C:\Users\stu\Documents\GitHub\eaglep3-reporting\EC\2017-07-15-refined-times.txt</v>
      </c>
      <c r="AI201" s="96" t="str">
        <f t="shared" ref="AI201:AI236" si="72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{"issue":{"subject":"","project_id":79,"tracker_id":40,"status_id":1,"priority_id":2,"assigned_to_id":23,"start_date":"2017-07-16","description":"","custom_fields":[{"id":1,"name":"Subdivision","value":"Other"},{"id":4,"name":"Milepost","value":"2.3293"},{"id":17,"name":"Train ID","value":"307-15"},{"id":16,"name":"Locomotive ID","value":"4024"},{"id":130,"name":"Impact","value":""},{"id":150,"name":"Time of Event (Mountain Time)","value":"01:24:55"},{"id":151,"name":"Denver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ref="AM201:AM236" si="73">"start /low /b "&amp;dls3logs&amp;" --loco "&amp;B201&amp;" --day "&amp;TEXT(F201,"YYYY-MM-DD")</f>
        <v>start /low /b %USERPROFILE%\Documents\GitHub\eaglep3\Utilities\DownloadLogsFromS3.py --loco 4024 --day 2017-07-16</v>
      </c>
      <c r="AN201" s="151" t="str">
        <f t="shared" ref="AN201:AN236" si="74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637</v>
      </c>
      <c r="B202" s="7">
        <v>4055</v>
      </c>
      <c r="C202" s="21" t="s">
        <v>199</v>
      </c>
      <c r="D202" s="21" t="s">
        <v>947</v>
      </c>
      <c r="E202" s="13">
        <v>42931.183229166665</v>
      </c>
      <c r="F202" s="13">
        <v>42931.185370370367</v>
      </c>
      <c r="G202" s="7">
        <v>3</v>
      </c>
      <c r="H202" s="21" t="s">
        <v>343</v>
      </c>
      <c r="I202" s="13">
        <v>42931.191643518519</v>
      </c>
      <c r="J202" s="7">
        <v>0</v>
      </c>
      <c r="K202" s="89" t="str">
        <f t="shared" si="53"/>
        <v>4055/4056</v>
      </c>
      <c r="L202" s="21" t="str">
        <f>VLOOKUP(A202,'Trips&amp;Operators'!$C$1:$G$99999,5,FALSE)</f>
        <v>BROWN JACOB</v>
      </c>
      <c r="M202" s="6">
        <f t="shared" si="54"/>
        <v>6.2731481521041133E-3</v>
      </c>
      <c r="N202" s="7">
        <f t="shared" si="68"/>
        <v>9.0333333390299231</v>
      </c>
      <c r="O202" s="7"/>
      <c r="P202" s="7"/>
      <c r="Q202" s="22"/>
      <c r="R202" s="170"/>
      <c r="S202" s="213">
        <f t="shared" si="69"/>
        <v>1</v>
      </c>
      <c r="T202" s="195" t="str">
        <f t="shared" si="55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6"/>
        <v>https://d0f6bd738d7f1b3e5a7ca70fe4ff75f0.us-east-1.aws.found.io/app/kibana#/discover/Steve-Slow-Train-Analysis-(2080s-and-2083s)?_g=(refreshInterval:(display:Off,pause:!f,section:0,value:0),time:(from:'2017-07-15T03:23:51-0600',mode:absolute,to:'2017-07-15T05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2" s="197" t="str">
        <f>IF(AA202&lt;VLOOKUP(AG202,Variables!$AC$3:$AD$8,2,FALSE),"Y","N")</f>
        <v>Y</v>
      </c>
      <c r="X202" s="197">
        <f t="shared" si="70"/>
        <v>1</v>
      </c>
      <c r="Y202" s="197">
        <f t="shared" si="57"/>
        <v>2.3393999999999999</v>
      </c>
      <c r="Z202" s="197">
        <f t="shared" si="58"/>
        <v>1.4999999999999999E-2</v>
      </c>
      <c r="AA202" s="197">
        <f t="shared" si="59"/>
        <v>2.3243999999999998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0"/>
        <v>308</v>
      </c>
      <c r="AE202" s="77" t="str">
        <f t="shared" si="61"/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AF202" s="74" t="str">
        <f t="shared" si="62"/>
        <v>"C:\Program Files (x86)\AstroGrep\AstroGrep.exe" /e /r /s /spath="%USERPROFILE%\AppData\Local\Temp\OnboardLogs" /stypes="app*4055*20170715*" /stext=" 10:.+((SYSTEM_STATE.+slice.+state.+changed )|(ment ac)|(multiple cpu faults)|(system.+state.+changed )|(\[timeout)|(PRM\|1\|D)|(kpr)|(kdp)|(train st.+moving)|(\|lc)|(penalty))"</v>
      </c>
      <c r="AG202" s="209" t="str">
        <f t="shared" si="63"/>
        <v>Other</v>
      </c>
      <c r="AH202" s="78" t="str">
        <f t="shared" si="71"/>
        <v>"%USERPROFILE%\Documents\GitHub\eaglep3\Utilities\RefineRTDCRunTimes.py" --tripid 308-15 --locoid 4055 --swversion DE.1.0.9.0 --startMP 300:23394 --initTime 2017-07-15T04:23:51 --startdatetime 2017-07-15T04:26:56 --delay 3 --endMP 204:150 --enddatetime 2017-07-15T04:35:58 --enforcementcount 0 &gt;&gt;C:\Users\stu\Documents\GitHub\eaglep3-reporting\EC\2017-07-15-refined-times.txt</v>
      </c>
      <c r="AI202" s="96" t="str">
        <f t="shared" si="72"/>
        <v>echo {"issue":{"subject":"","project_id":79,"tracker_id":40,"status_id":1,"priority_id":2,"assigned_to_id":23,"start_date":"2017-07-15","description":"","custom_fields":[{"id":1,"name":"Subdivision","value":"Other"},{"id":4,"name":"Milepost","value":"0.015"},{"id":17,"name":"Train ID","value":"308-15"},{"id":16,"name":"Locomotive ID","value":"4055"},{"id":130,"name":"Impact","value":""},{"id":150,"name":"Time of Event (Mountain Time)","value":"04:35:58"},{"id":151,"name":"Denver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3"/>
        <v>start /low /b %USERPROFILE%\Documents\GitHub\eaglep3\Utilities\DownloadLogsFromS3.py --loco 4055 --day 2017-07-15</v>
      </c>
      <c r="AN202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10:35:58"},{"id":29,"name":"Sharepoint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832</v>
      </c>
      <c r="B203" s="7">
        <v>4032</v>
      </c>
      <c r="C203" s="21" t="s">
        <v>199</v>
      </c>
      <c r="D203" s="21" t="s">
        <v>911</v>
      </c>
      <c r="E203" s="13">
        <v>42932.069224537037</v>
      </c>
      <c r="F203" s="13">
        <v>42932.071238425924</v>
      </c>
      <c r="G203" s="7">
        <v>1</v>
      </c>
      <c r="H203" s="21" t="s">
        <v>579</v>
      </c>
      <c r="I203" s="13">
        <v>42932.07880787037</v>
      </c>
      <c r="J203" s="7">
        <v>0</v>
      </c>
      <c r="K203" s="89" t="str">
        <f t="shared" si="53"/>
        <v>4031/4032</v>
      </c>
      <c r="L203" s="21" t="str">
        <f>VLOOKUP(A203,'Trips&amp;Operators'!$C$1:$G$99999,5,FALSE)</f>
        <v>PERKINS DARREN</v>
      </c>
      <c r="M203" s="6">
        <f t="shared" si="54"/>
        <v>7.5694444458349608E-3</v>
      </c>
      <c r="N203" s="7">
        <f t="shared" si="68"/>
        <v>10.900000002002344</v>
      </c>
      <c r="O203" s="7"/>
      <c r="P203" s="7"/>
      <c r="Q203" s="22"/>
      <c r="R203" s="170"/>
      <c r="S203" s="213">
        <f t="shared" si="69"/>
        <v>1</v>
      </c>
      <c r="T203" s="195" t="str">
        <f t="shared" si="55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6"/>
        <v>https://d0f6bd738d7f1b3e5a7ca70fe4ff75f0.us-east-1.aws.found.io/app/kibana#/discover/Steve-Slow-Train-Analysis-(2080s-and-2083s)?_g=(refreshInterval:(display:Off,pause:!f,section:0,value:0),time:(from:'2017-07-16T00:39:41-0600',mode:absolute,to:'2017-07-16T02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197" t="str">
        <f>IF(AA203&lt;VLOOKUP(AG203,Variables!$AC$3:$AD$8,2,FALSE),"Y","N")</f>
        <v>Y</v>
      </c>
      <c r="X203" s="197">
        <f t="shared" si="70"/>
        <v>1</v>
      </c>
      <c r="Y203" s="197">
        <f t="shared" si="57"/>
        <v>4.3099999999999999E-2</v>
      </c>
      <c r="Z203" s="197">
        <f t="shared" si="58"/>
        <v>2.3304</v>
      </c>
      <c r="AA203" s="197">
        <f t="shared" si="59"/>
        <v>2.2873000000000001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0"/>
        <v>309</v>
      </c>
      <c r="AE203" s="77" t="str">
        <f t="shared" si="61"/>
        <v>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 &amp; aws s3 cp s3://rtdc.mdm.uploadarchive.raw/RTDC4032/ "%USERPROFILE%\AppData\Local\Temp\OnboardLogs"\RTDC4032\2017-07-17 --exclude "*" --recursive --include "*20170717*" &amp; "%USERPROFILE%\Documents\GitHub\mrs-test-scripts\Headless Mode &amp; Sideloading\WalkAndUnGZ.bat" "%USERPROFILE%\AppData\Local\Temp\OnboardLogs"\RTDC4032\2017-07-17</v>
      </c>
      <c r="AF203" s="74" t="str">
        <f t="shared" si="62"/>
        <v>"C:\Program Files (x86)\AstroGrep\AstroGrep.exe" /e /r /s /spath="%USERPROFILE%\AppData\Local\Temp\OnboardLogs" /stypes="app*4032*20170716*" /stext=" 07:.+((SYSTEM_STATE.+slice.+state.+changed )|(ment ac)|(multiple cpu faults)|(system.+state.+changed )|(\[timeout)|(PRM\|1\|D)|(kpr)|(kdp)|(train st.+moving)|(\|lc)|(penalty))"</v>
      </c>
      <c r="AG203" s="209" t="str">
        <f t="shared" si="63"/>
        <v>Other</v>
      </c>
      <c r="AH203" s="78" t="str">
        <f t="shared" si="71"/>
        <v>"%USERPROFILE%\Documents\GitHub\eaglep3\Utilities\RefineRTDCRunTimes.py" --tripid 309-15 --locoid 4032 --swversion DE.1.0.9.0 --startMP 204:431 --initTime 2017-07-16T01:39:41 --startdatetime 2017-07-16T01:42:35 --delay 1 --endMP 300:23304 --enddatetime 2017-07-16T01:53:29 --enforcementcount 0 &gt;&gt;C:\Users\stu\Documents\GitHub\eaglep3-reporting\EC\2017-07-15-refined-times.txt</v>
      </c>
      <c r="AI203" s="96" t="str">
        <f t="shared" si="72"/>
        <v>echo {"issue":{"subject":"","project_id":79,"tracker_id":40,"status_id":1,"priority_id":2,"assigned_to_id":23,"start_date":"2017-07-16","description":"","custom_fields":[{"id":1,"name":"Subdivision","value":"Other"},{"id":4,"name":"Milepost","value":"2.3304"},{"id":17,"name":"Train ID","value":"309-15"},{"id":16,"name":"Locomotive ID","value":"4032"},{"id":130,"name":"Impact","value":""},{"id":150,"name":"Time of Event (Mountain Time)","value":"01:53:29"},{"id":151,"name":"Denver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3"/>
        <v>start /low /b %USERPROFILE%\Documents\GitHub\eaglep3\Utilities\DownloadLogsFromS3.py --loco 4032 --day 2017-07-16</v>
      </c>
      <c r="AN203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643</v>
      </c>
      <c r="B204" s="7">
        <v>4021</v>
      </c>
      <c r="C204" s="21" t="s">
        <v>199</v>
      </c>
      <c r="D204" s="21" t="s">
        <v>948</v>
      </c>
      <c r="E204" s="13">
        <v>42931.1955787037</v>
      </c>
      <c r="F204" s="13">
        <v>42931.198900462965</v>
      </c>
      <c r="G204" s="7">
        <v>4</v>
      </c>
      <c r="H204" s="21" t="s">
        <v>386</v>
      </c>
      <c r="I204" s="13">
        <v>42931.205960648149</v>
      </c>
      <c r="J204" s="7">
        <v>0</v>
      </c>
      <c r="K204" s="89" t="str">
        <f t="shared" si="53"/>
        <v>4021/4022</v>
      </c>
      <c r="L204" s="21" t="str">
        <f>VLOOKUP(A204,'Trips&amp;Operators'!$C$1:$G$99999,5,FALSE)</f>
        <v>DAVIDSON DAVID</v>
      </c>
      <c r="M204" s="6">
        <f t="shared" si="54"/>
        <v>7.0601851839455776E-3</v>
      </c>
      <c r="N204" s="7">
        <f t="shared" si="68"/>
        <v>10.166666664881632</v>
      </c>
      <c r="O204" s="7"/>
      <c r="P204" s="7"/>
      <c r="Q204" s="22"/>
      <c r="R204" s="170"/>
      <c r="S204" s="213">
        <f t="shared" si="69"/>
        <v>1</v>
      </c>
      <c r="T204" s="195" t="str">
        <f t="shared" si="55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6"/>
        <v>https://d0f6bd738d7f1b3e5a7ca70fe4ff75f0.us-east-1.aws.found.io/app/kibana#/discover/Steve-Slow-Train-Analysis-(2080s-and-2083s)?_g=(refreshInterval:(display:Off,pause:!f,section:0,value:0),time:(from:'2017-07-15T03:41:38-0600',mode:absolute,to:'2017-07-15T05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197" t="str">
        <f>IF(AA204&lt;VLOOKUP(AG204,Variables!$AC$3:$AD$8,2,FALSE),"Y","N")</f>
        <v>Y</v>
      </c>
      <c r="X204" s="197">
        <f t="shared" si="70"/>
        <v>1</v>
      </c>
      <c r="Y204" s="197">
        <f t="shared" si="57"/>
        <v>2.3378999999999999</v>
      </c>
      <c r="Z204" s="197">
        <f t="shared" si="58"/>
        <v>1.4500000000000001E-2</v>
      </c>
      <c r="AA204" s="197">
        <f t="shared" si="59"/>
        <v>2.3233999999999999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0"/>
        <v>310</v>
      </c>
      <c r="AE204" s="77" t="str">
        <f t="shared" si="61"/>
        <v>aws s3 cp s3://rtdc.mdm.uploadarchive.raw/RTDC4021/ "%USERPROFILE%\AppData\Local\Temp\OnboardLogs"\RTDC4021\2017-07-15 --exclude "*" --recursive --include "*20170715*" &amp; "%USERPROFILE%\Documents\GitHub\mrs-test-scripts\Headless Mode &amp; Sideloading\WalkAndUnGZ.bat" "%USERPROFILE%\AppData\Local\Temp\OnboardLogs"\RTDC4021\2017-07-15 &amp; aws s3 cp s3://rtdc.mdm.uploadarchive.raw/RTDC4021/ "%USERPROFILE%\AppData\Local\Temp\OnboardLogs"\RTDC4021\2017-07-16 --exclude "*" --recursive --include "*20170716*" &amp; "%USERPROFILE%\Documents\GitHub\mrs-test-scripts\Headless Mode &amp; Sideloading\WalkAndUnGZ.bat" "%USERPROFILE%\AppData\Local\Temp\OnboardLogs"\RTDC4021\2017-07-16</v>
      </c>
      <c r="AF204" s="74" t="str">
        <f t="shared" si="62"/>
        <v>"C:\Program Files (x86)\AstroGrep\AstroGrep.exe" /e /r /s /spath="%USERPROFILE%\AppData\Local\Temp\OnboardLogs" /stypes="app*4021*20170715*" /stext=" 10:.+((SYSTEM_STATE.+slice.+state.+changed )|(ment ac)|(multiple cpu faults)|(system.+state.+changed )|(\[timeout)|(PRM\|1\|D)|(kpr)|(kdp)|(train st.+moving)|(\|lc)|(penalty))"</v>
      </c>
      <c r="AG204" s="209" t="str">
        <f t="shared" si="63"/>
        <v>Other</v>
      </c>
      <c r="AH204" s="78" t="str">
        <f t="shared" si="71"/>
        <v>"%USERPROFILE%\Documents\GitHub\eaglep3\Utilities\RefineRTDCRunTimes.py" --tripid 310-15 --locoid 4021 --swversion DE.1.0.9.0 --startMP 300:23379 --initTime 2017-07-15T04:41:38 --startdatetime 2017-07-15T04:46:25 --delay 4 --endMP 204:145 --enddatetime 2017-07-15T04:56:35 --enforcementcount 0 &gt;&gt;C:\Users\stu\Documents\GitHub\eaglep3-reporting\EC\2017-07-15-refined-times.txt</v>
      </c>
      <c r="AI204" s="96" t="str">
        <f t="shared" si="72"/>
        <v>echo {"issue":{"subject":"","project_id":79,"tracker_id":40,"status_id":1,"priority_id":2,"assigned_to_id":23,"start_date":"2017-07-15","description":"","custom_fields":[{"id":1,"name":"Subdivision","value":"Other"},{"id":4,"name":"Milepost","value":"0.0145"},{"id":17,"name":"Train ID","value":"310-15"},{"id":16,"name":"Locomotive ID","value":"4021"},{"id":130,"name":"Impact","value":""},{"id":150,"name":"Time of Event (Mountain Time)","value":"04:56:35"},{"id":151,"name":"Denver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3"/>
        <v>start /low /b %USERPROFILE%\Documents\GitHub\eaglep3\Utilities\DownloadLogsFromS3.py --loco 4021 --day 2017-07-15</v>
      </c>
      <c r="AN204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10:56:35"},{"id":29,"name":"Sharepoint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617</v>
      </c>
      <c r="B205" s="7">
        <v>4044</v>
      </c>
      <c r="C205" s="21" t="s">
        <v>199</v>
      </c>
      <c r="D205" s="21" t="s">
        <v>480</v>
      </c>
      <c r="E205" s="13">
        <v>42931.090775462966</v>
      </c>
      <c r="F205" s="13">
        <v>42931.092164351852</v>
      </c>
      <c r="G205" s="7">
        <v>0</v>
      </c>
      <c r="H205" s="21" t="s">
        <v>348</v>
      </c>
      <c r="I205" s="13">
        <v>42931.101701388892</v>
      </c>
      <c r="J205" s="7">
        <v>0</v>
      </c>
      <c r="K205" s="89" t="str">
        <f t="shared" ref="K205:K236" si="75">IF(ISEVEN(B205),(B205-1)&amp;"/"&amp;B205,B205&amp;"/"&amp;(B205+1))</f>
        <v>4043/4044</v>
      </c>
      <c r="L205" s="21" t="str">
        <f>VLOOKUP(A205,'Trips&amp;Operators'!$C$1:$G$99999,5,FALSE)</f>
        <v>FORTUNATO FRANK</v>
      </c>
      <c r="M205" s="6">
        <f t="shared" ref="M205:M236" si="76">I205-F205</f>
        <v>9.5370370399905369E-3</v>
      </c>
      <c r="N205" s="7">
        <f t="shared" si="68"/>
        <v>13.733333337586373</v>
      </c>
      <c r="O205" s="7"/>
      <c r="P205" s="7"/>
      <c r="Q205" s="22"/>
      <c r="R205" s="170"/>
      <c r="S205" s="213">
        <f t="shared" si="69"/>
        <v>1</v>
      </c>
      <c r="T205" s="195" t="str">
        <f t="shared" ref="T205:T236" si="77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6" si="7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-15T01:10:43-0600',mode:absolute,to:'2017-07-15T03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7" t="str">
        <f>IF(AA205&lt;VLOOKUP(AG205,Variables!$AC$3:$AD$8,2,FALSE),"Y","N")</f>
        <v>Y</v>
      </c>
      <c r="X205" s="197">
        <f t="shared" si="70"/>
        <v>1</v>
      </c>
      <c r="Y205" s="197">
        <f t="shared" ref="Y205:Y236" si="79">RIGHT(D205,LEN(D205)-4)/10000</f>
        <v>4.6399999999999997E-2</v>
      </c>
      <c r="Z205" s="197">
        <f t="shared" ref="Z205:Z236" si="80">RIGHT(H205,LEN(H205)-4)/10000</f>
        <v>2.3346</v>
      </c>
      <c r="AA205" s="197">
        <f t="shared" ref="AA205:AA236" si="81">ABS(Z205-Y205)</f>
        <v>2.2881999999999998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6" si="82">VALUE(LEFT(A205,LEN(A205)-3))</f>
        <v>311</v>
      </c>
      <c r="AE205" s="77" t="str">
        <f t="shared" ref="AE205:AE236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"%USERPROFILE%\AppData\Local\Temp\OnboardLogs"\RTDC4044\2017-07-15 --exclude "*" --recursive --include "*20170715*" &amp; "%USERPROFILE%\Documents\GitHub\mrs-test-scripts\Headless Mode &amp; Sideloading\WalkAndUnGZ.bat" "%USERPROFILE%\AppData\Local\Temp\OnboardLogs"\RTDC4044\2017-07-15 &amp; aws s3 cp s3://rtdc.mdm.uploadarchive.raw/RTDC4044/ "%USERPROFILE%\AppData\Local\Temp\OnboardLogs"\RTDC4044\2017-07-16 --exclude "*" --recursive --include "*20170716*" &amp; "%USERPROFILE%\Documents\GitHub\mrs-test-scripts\Headless Mode &amp; Sideloading\WalkAndUnGZ.bat" "%USERPROFILE%\AppData\Local\Temp\OnboardLogs"\RTDC4044\2017-07-16</v>
      </c>
      <c r="AF205" s="74" t="str">
        <f t="shared" ref="AF205:AF236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/stypes="app*4044*20170715*" /stext=" 08:.+((SYSTEM_STATE.+slice.+state.+changed )|(ment ac)|(multiple cpu faults)|(system.+state.+changed )|(\[timeout)|(PRM\|1\|D)|(kpr)|(kdp)|(train st.+moving)|(\|lc)|(penalty))"</v>
      </c>
      <c r="AG205" s="209" t="str">
        <f t="shared" ref="AG205:AG236" si="85">DetSubdiv(A205)</f>
        <v>Other</v>
      </c>
      <c r="AH205" s="78" t="str">
        <f t="shared" si="71"/>
        <v>"%USERPROFILE%\Documents\GitHub\eaglep3\Utilities\RefineRTDCRunTimes.py" --tripid 311-14 --locoid 4044 --swversion DE.1.0.9.0 --startMP 204:464 --initTime 2017-07-15T02:10:43 --startdatetime 2017-07-15T02:12:43 --delay 0 --endMP 300:23346 --enddatetime 2017-07-15T02:26:27 --enforcementcount 0 &gt;&gt;C:\Users\stu\Documents\GitHub\eaglep3-reporting\EC\2017-07-15-refined-times.txt</v>
      </c>
      <c r="AI205" s="96" t="str">
        <f t="shared" si="72"/>
        <v>echo {"issue":{"subject":"","project_id":79,"tracker_id":40,"status_id":1,"priority_id":2,"assigned_to_id":23,"start_date":"2017-07-15","description":"","custom_fields":[{"id":1,"name":"Subdivision","value":"Other"},{"id":4,"name":"Milepost","value":"2.3346"},{"id":17,"name":"Train ID","value":"311-14"},{"id":16,"name":"Locomotive ID","value":"4044"},{"id":130,"name":"Impact","value":""},{"id":150,"name":"Time of Event (Mountain Time)","value":"02:26:27"},{"id":151,"name":"Denver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3"/>
        <v>start /low /b %USERPROFILE%\Documents\GitHub\eaglep3\Utilities\DownloadLogsFromS3.py --loco 4044 --day 2017-07-15</v>
      </c>
      <c r="AN205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08:26:27"},{"id":29,"name":"Sharepoint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833</v>
      </c>
      <c r="B206" s="7">
        <v>4054</v>
      </c>
      <c r="C206" s="21" t="s">
        <v>199</v>
      </c>
      <c r="D206" s="21" t="s">
        <v>502</v>
      </c>
      <c r="E206" s="13">
        <v>42932.088483796295</v>
      </c>
      <c r="F206" s="13">
        <v>42932.089687500003</v>
      </c>
      <c r="G206" s="7">
        <v>1</v>
      </c>
      <c r="H206" s="21" t="s">
        <v>348</v>
      </c>
      <c r="I206" s="13">
        <v>42932.098171296297</v>
      </c>
      <c r="J206" s="7">
        <v>0</v>
      </c>
      <c r="K206" s="89" t="str">
        <f t="shared" si="75"/>
        <v>4053/4054</v>
      </c>
      <c r="L206" s="21" t="str">
        <f>VLOOKUP(A206,'Trips&amp;Operators'!$C$1:$G$99999,5,FALSE)</f>
        <v>FORTUNATO FRANK</v>
      </c>
      <c r="M206" s="6">
        <f t="shared" si="76"/>
        <v>8.4837962931487709E-3</v>
      </c>
      <c r="N206" s="7">
        <f t="shared" ref="N206:N236" si="86">24*60*SUM($M206:$M206)</f>
        <v>12.21666666213423</v>
      </c>
      <c r="O206" s="7"/>
      <c r="P206" s="7"/>
      <c r="Q206" s="22"/>
      <c r="R206" s="170"/>
      <c r="S206" s="213">
        <f t="shared" ref="S206:S236" si="87">1/IF(AG206="EC",12,1)*SUM(U206:U206)</f>
        <v>1</v>
      </c>
      <c r="T206" s="195" t="str">
        <f t="shared" si="77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8"/>
        <v>https://d0f6bd738d7f1b3e5a7ca70fe4ff75f0.us-east-1.aws.found.io/app/kibana#/discover/Steve-Slow-Train-Analysis-(2080s-and-2083s)?_g=(refreshInterval:(display:Off,pause:!f,section:0,value:0),time:(from:'2017-07-16T01:07:25-0600',mode:absolute,to:'2017-07-16T03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197" t="str">
        <f>IF(AA206&lt;VLOOKUP(AG206,Variables!$AC$3:$AD$8,2,FALSE),"Y","N")</f>
        <v>Y</v>
      </c>
      <c r="X206" s="197">
        <f t="shared" si="70"/>
        <v>0</v>
      </c>
      <c r="Y206" s="197">
        <f t="shared" si="79"/>
        <v>4.4200000000000003E-2</v>
      </c>
      <c r="Z206" s="197">
        <f t="shared" si="80"/>
        <v>2.3346</v>
      </c>
      <c r="AA206" s="197">
        <f t="shared" si="81"/>
        <v>2.2904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2"/>
        <v>311</v>
      </c>
      <c r="AE206" s="77" t="str">
        <f t="shared" si="83"/>
        <v>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 &amp; 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</v>
      </c>
      <c r="AF206" s="74" t="str">
        <f t="shared" si="84"/>
        <v>"C:\Program Files (x86)\AstroGrep\AstroGrep.exe" /e /r /s /spath="%USERPROFILE%\AppData\Local\Temp\OnboardLogs" /stypes="app*4054*20170716*" /stext=" 08:.+((SYSTEM_STATE.+slice.+state.+changed )|(ment ac)|(multiple cpu faults)|(system.+state.+changed )|(\[timeout)|(PRM\|1\|D)|(kpr)|(kdp)|(train st.+moving)|(\|lc)|(penalty))"</v>
      </c>
      <c r="AG206" s="209" t="str">
        <f t="shared" si="85"/>
        <v>Other</v>
      </c>
      <c r="AH206" s="78" t="str">
        <f t="shared" si="71"/>
        <v>"%USERPROFILE%\Documents\GitHub\eaglep3\Utilities\RefineRTDCRunTimes.py" --tripid 311-15 --locoid 4054 --swversion DE.1.0.9.0 --startMP 204:442 --initTime 2017-07-16T02:07:25 --startdatetime 2017-07-16T02:09:09 --delay 1 --endMP 300:23346 --enddatetime 2017-07-16T02:21:22 --enforcementcount 0 &gt;&gt;C:\Users\stu\Documents\GitHub\eaglep3-reporting\EC\2017-07-15-refined-times.txt</v>
      </c>
      <c r="AI206" s="96" t="str">
        <f t="shared" si="72"/>
        <v>echo {"issue":{"subject":"","project_id":79,"tracker_id":40,"status_id":1,"priority_id":2,"assigned_to_id":23,"start_date":"2017-07-16","description":"","custom_fields":[{"id":1,"name":"Subdivision","value":"Other"},{"id":4,"name":"Milepost","value":"2.3346"},{"id":17,"name":"Train ID","value":"311-15"},{"id":16,"name":"Locomotive ID","value":"4054"},{"id":130,"name":"Impact","value":""},{"id":150,"name":"Time of Event (Mountain Time)","value":"02:21:22"},{"id":151,"name":"Denver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3"/>
        <v>start /low /b %USERPROFILE%\Documents\GitHub\eaglep3\Utilities\DownloadLogsFromS3.py --loco 4054 --day 2017-07-16</v>
      </c>
      <c r="AN206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08:21:22"},{"id":29,"name":"Sharepoint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655</v>
      </c>
      <c r="B207" s="7">
        <v>4013</v>
      </c>
      <c r="C207" s="21" t="s">
        <v>199</v>
      </c>
      <c r="D207" s="21" t="s">
        <v>949</v>
      </c>
      <c r="E207" s="13">
        <v>42931.219375000001</v>
      </c>
      <c r="F207" s="13">
        <v>42931.223773148151</v>
      </c>
      <c r="G207" s="7">
        <v>6</v>
      </c>
      <c r="H207" s="21" t="s">
        <v>386</v>
      </c>
      <c r="I207" s="13">
        <v>42931.232546296298</v>
      </c>
      <c r="J207" s="7">
        <v>0</v>
      </c>
      <c r="K207" s="89" t="str">
        <f t="shared" si="75"/>
        <v>4013/4014</v>
      </c>
      <c r="L207" s="21" t="str">
        <f>VLOOKUP(A207,'Trips&amp;Operators'!$C$1:$G$99999,5,FALSE)</f>
        <v>GUZMAN DANNY</v>
      </c>
      <c r="M207" s="6">
        <f t="shared" si="76"/>
        <v>8.7731481471564621E-3</v>
      </c>
      <c r="N207" s="7">
        <f t="shared" si="86"/>
        <v>12.633333331905305</v>
      </c>
      <c r="O207" s="7"/>
      <c r="P207" s="7"/>
      <c r="Q207" s="22"/>
      <c r="R207" s="170"/>
      <c r="S207" s="213">
        <f t="shared" si="87"/>
        <v>1</v>
      </c>
      <c r="T207" s="195" t="str">
        <f t="shared" si="77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8"/>
        <v>https://d0f6bd738d7f1b3e5a7ca70fe4ff75f0.us-east-1.aws.found.io/app/kibana#/discover/Steve-Slow-Train-Analysis-(2080s-and-2083s)?_g=(refreshInterval:(display:Off,pause:!f,section:0,value:0),time:(from:'2017-07-15T04:15:54-0600',mode:absolute,to:'2017-07-15T06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97" t="str">
        <f>IF(AA207&lt;VLOOKUP(AG207,Variables!$AC$3:$AD$8,2,FALSE),"Y","N")</f>
        <v>Y</v>
      </c>
      <c r="X207" s="197">
        <f t="shared" si="70"/>
        <v>1</v>
      </c>
      <c r="Y207" s="197">
        <f t="shared" si="79"/>
        <v>2.3517000000000001</v>
      </c>
      <c r="Z207" s="197">
        <f t="shared" si="80"/>
        <v>1.4500000000000001E-2</v>
      </c>
      <c r="AA207" s="197">
        <f t="shared" si="81"/>
        <v>2.3372000000000002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2"/>
        <v>312</v>
      </c>
      <c r="AE207" s="77" t="str">
        <f t="shared" si="83"/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AF207" s="74" t="str">
        <f t="shared" si="84"/>
        <v>"C:\Program Files (x86)\AstroGrep\AstroGrep.exe" /e /r /s /spath="%USERPROFILE%\AppData\Local\Temp\OnboardLogs" /stypes="app*4013*20170715*" /stext=" 11:.+((SYSTEM_STATE.+slice.+state.+changed )|(ment ac)|(multiple cpu faults)|(system.+state.+changed )|(\[timeout)|(PRM\|1\|D)|(kpr)|(kdp)|(train st.+moving)|(\|lc)|(penalty))"</v>
      </c>
      <c r="AG207" s="209" t="str">
        <f t="shared" si="85"/>
        <v>Other</v>
      </c>
      <c r="AH207" s="78" t="str">
        <f t="shared" si="71"/>
        <v>"%USERPROFILE%\Documents\GitHub\eaglep3\Utilities\RefineRTDCRunTimes.py" --tripid 312-15 --locoid 4013 --swversion DE.1.0.9.0 --startMP 300:23517 --initTime 2017-07-15T05:15:54 --startdatetime 2017-07-15T05:22:14 --delay 6 --endMP 204:145 --enddatetime 2017-07-15T05:34:52 --enforcementcount 0 &gt;&gt;C:\Users\stu\Documents\GitHub\eaglep3-reporting\EC\2017-07-15-refined-times.txt</v>
      </c>
      <c r="AI207" s="96" t="str">
        <f t="shared" si="72"/>
        <v>echo {"issue":{"subject":"","project_id":79,"tracker_id":40,"status_id":1,"priority_id":2,"assigned_to_id":23,"start_date":"2017-07-15","description":"","custom_fields":[{"id":1,"name":"Subdivision","value":"Other"},{"id":4,"name":"Milepost","value":"0.0145"},{"id":17,"name":"Train ID","value":"312-15"},{"id":16,"name":"Locomotive ID","value":"4013"},{"id":130,"name":"Impact","value":""},{"id":150,"name":"Time of Event (Mountain Time)","value":"05:34:52"},{"id":151,"name":"Denver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3"/>
        <v>start /low /b %USERPROFILE%\Documents\GitHub\eaglep3\Utilities\DownloadLogsFromS3.py --loco 4013 --day 2017-07-15</v>
      </c>
      <c r="AN207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618</v>
      </c>
      <c r="B208" s="7">
        <v>4006</v>
      </c>
      <c r="C208" s="21" t="s">
        <v>199</v>
      </c>
      <c r="D208" s="21" t="s">
        <v>507</v>
      </c>
      <c r="E208" s="13">
        <v>42931.110555555555</v>
      </c>
      <c r="F208" s="13">
        <v>42931.112708333334</v>
      </c>
      <c r="G208" s="7">
        <v>1</v>
      </c>
      <c r="H208" s="21" t="s">
        <v>348</v>
      </c>
      <c r="I208" s="13">
        <v>25568.708333333332</v>
      </c>
      <c r="J208" s="7">
        <v>0</v>
      </c>
      <c r="K208" s="89" t="str">
        <f t="shared" si="75"/>
        <v>4005/4006</v>
      </c>
      <c r="L208" s="21" t="str">
        <f>VLOOKUP(A208,'Trips&amp;Operators'!$C$1:$G$99999,5,FALSE)</f>
        <v>LAMAR NEKESHA</v>
      </c>
      <c r="M208" s="6">
        <f t="shared" si="76"/>
        <v>-17362.404375000002</v>
      </c>
      <c r="N208" s="7">
        <f t="shared" si="86"/>
        <v>-25001862.300000004</v>
      </c>
      <c r="O208" s="7"/>
      <c r="P208" s="7"/>
      <c r="Q208" s="22"/>
      <c r="R208" s="170"/>
      <c r="S208" s="213">
        <f t="shared" si="87"/>
        <v>1</v>
      </c>
      <c r="T208" s="195" t="str">
        <f t="shared" si="77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8"/>
        <v>https://d0f6bd738d7f1b3e5a7ca70fe4ff75f0.us-east-1.aws.found.io/app/kibana#/discover/Steve-Slow-Train-Analysis-(2080s-and-2083s)?_g=(refreshInterval:(display:Off,pause:!f,section:0,value:0),time:(from:'2017-07-15T01:39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8" s="197" t="str">
        <f>IF(AA208&lt;VLOOKUP(AG208,Variables!$AC$3:$AD$8,2,FALSE),"Y","N")</f>
        <v>Y</v>
      </c>
      <c r="X208" s="197">
        <f t="shared" si="70"/>
        <v>1</v>
      </c>
      <c r="Y208" s="197">
        <f t="shared" si="79"/>
        <v>4.6699999999999998E-2</v>
      </c>
      <c r="Z208" s="197">
        <f t="shared" si="80"/>
        <v>2.3346</v>
      </c>
      <c r="AA208" s="197">
        <f t="shared" si="81"/>
        <v>2.2879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2"/>
        <v>313</v>
      </c>
      <c r="AE208" s="77" t="str">
        <f t="shared" si="83"/>
        <v>aws s3 cp s3://rtdc.mdm.uploadarchive.raw/RTDC4006/ "%USERPROFILE%\AppData\Local\Temp\OnboardLogs"\RTDC4006\2017-07-15 --exclude "*" --recursive --include "*20170715*" &amp; "%USERPROFILE%\Documents\GitHub\mrs-test-scripts\Headless Mode &amp; Sideloading\WalkAndUnGZ.bat" "%USERPROFILE%\AppData\Local\Temp\OnboardLogs"\RTDC4006\2017-07-15 &amp; 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</v>
      </c>
      <c r="AF208" s="74" t="str">
        <f t="shared" si="84"/>
        <v>"C:\Program Files (x86)\AstroGrep\AstroGrep.exe" /e /r /s /spath="%USERPROFILE%\AppData\Local\Temp\OnboardLogs" /stypes="app*4006*19691231*" /stext=" 23:.+((SYSTEM_STATE.+slice.+state.+changed )|(ment ac)|(multiple cpu faults)|(system.+state.+changed )|(\[timeout)|(PRM\|1\|D)|(kpr)|(kdp)|(train st.+moving)|(\|lc)|(penalty))"</v>
      </c>
      <c r="AG208" s="209" t="str">
        <f t="shared" si="85"/>
        <v>Other</v>
      </c>
      <c r="AH208" s="78" t="str">
        <f t="shared" si="71"/>
        <v>"%USERPROFILE%\Documents\GitHub\eaglep3\Utilities\RefineRTDCRunTimes.py" --tripid 313-14 --locoid 4006 --swversion DE.1.0.9.0 --startMP 204:467 --initTime 2017-07-15T02:39:12 --startdatetime 2017-07-15T02:42:18 --delay 1 --endMP 300:23346 --enddatetime 1969-12-31T17:00:00 --enforcementcount 0 &gt;&gt;C:\Users\stu\Documents\GitHub\eaglep3-reporting\EC\2017-07-15-refined-times.txt</v>
      </c>
      <c r="AI208" s="96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3"/>
        <v>start /low /b %USERPROFILE%\Documents\GitHub\eaglep3\Utilities\DownloadLogsFromS3.py --loco 4006 --day 2017-07-15</v>
      </c>
      <c r="AN208" s="151" t="str">
        <f t="shared" si="7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834</v>
      </c>
      <c r="B209" s="7">
        <v>4016</v>
      </c>
      <c r="C209" s="21" t="s">
        <v>199</v>
      </c>
      <c r="D209" s="21" t="s">
        <v>342</v>
      </c>
      <c r="E209" s="13">
        <v>42932.110567129632</v>
      </c>
      <c r="F209" s="13">
        <v>42932.112685185188</v>
      </c>
      <c r="G209" s="7">
        <v>1</v>
      </c>
      <c r="H209" s="21" t="s">
        <v>348</v>
      </c>
      <c r="I209" s="13">
        <v>42932.120625000003</v>
      </c>
      <c r="J209" s="7">
        <v>0</v>
      </c>
      <c r="K209" s="89" t="str">
        <f t="shared" si="75"/>
        <v>4015/4016</v>
      </c>
      <c r="L209" s="21" t="str">
        <f>VLOOKUP(A209,'Trips&amp;Operators'!$C$1:$G$99999,5,FALSE)</f>
        <v>LAMAR NEKESHA</v>
      </c>
      <c r="M209" s="6">
        <f t="shared" si="76"/>
        <v>7.9398148154723458E-3</v>
      </c>
      <c r="N209" s="7">
        <f t="shared" si="86"/>
        <v>11.433333334280178</v>
      </c>
      <c r="O209" s="7"/>
      <c r="P209" s="7"/>
      <c r="Q209" s="22"/>
      <c r="R209" s="170"/>
      <c r="S209" s="213">
        <f t="shared" si="87"/>
        <v>1</v>
      </c>
      <c r="T209" s="195" t="str">
        <f t="shared" si="77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8"/>
        <v>https://d0f6bd738d7f1b3e5a7ca70fe4ff75f0.us-east-1.aws.found.io/app/kibana#/discover/Steve-Slow-Train-Analysis-(2080s-and-2083s)?_g=(refreshInterval:(display:Off,pause:!f,section:0,value:0),time:(from:'2017-07-16T01:39:13-0600',mode:absolute,to:'2017-07-16T03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97" t="str">
        <f>IF(AA209&lt;VLOOKUP(AG209,Variables!$AC$3:$AD$8,2,FALSE),"Y","N")</f>
        <v>Y</v>
      </c>
      <c r="X209" s="197">
        <f t="shared" si="70"/>
        <v>0</v>
      </c>
      <c r="Y209" s="197">
        <f t="shared" si="79"/>
        <v>4.4600000000000001E-2</v>
      </c>
      <c r="Z209" s="197">
        <f t="shared" si="80"/>
        <v>2.3346</v>
      </c>
      <c r="AA209" s="197">
        <f t="shared" si="81"/>
        <v>2.29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2"/>
        <v>313</v>
      </c>
      <c r="AE209" s="77" t="str">
        <f t="shared" si="83"/>
        <v>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 &amp; 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</v>
      </c>
      <c r="AF209" s="74" t="str">
        <f t="shared" si="84"/>
        <v>"C:\Program Files (x86)\AstroGrep\AstroGrep.exe" /e /r /s /spath="%USERPROFILE%\AppData\Local\Temp\OnboardLogs" /stypes="app*4016*20170716*" /stext=" 08:.+((SYSTEM_STATE.+slice.+state.+changed )|(ment ac)|(multiple cpu faults)|(system.+state.+changed )|(\[timeout)|(PRM\|1\|D)|(kpr)|(kdp)|(train st.+moving)|(\|lc)|(penalty))"</v>
      </c>
      <c r="AG209" s="209" t="str">
        <f t="shared" si="85"/>
        <v>Other</v>
      </c>
      <c r="AH209" s="78" t="str">
        <f t="shared" si="71"/>
        <v>"%USERPROFILE%\Documents\GitHub\eaglep3\Utilities\RefineRTDCRunTimes.py" --tripid 313-15 --locoid 4016 --swversion DE.1.0.9.0 --startMP 204:446 --initTime 2017-07-16T02:39:13 --startdatetime 2017-07-16T02:42:16 --delay 1 --endMP 300:23346 --enddatetime 2017-07-16T02:53:42 --enforcementcount 0 &gt;&gt;C:\Users\stu\Documents\GitHub\eaglep3-reporting\EC\2017-07-15-refined-times.txt</v>
      </c>
      <c r="AI209" s="96" t="str">
        <f t="shared" si="72"/>
        <v>echo {"issue":{"subject":"","project_id":79,"tracker_id":40,"status_id":1,"priority_id":2,"assigned_to_id":23,"start_date":"2017-07-16","description":"","custom_fields":[{"id":1,"name":"Subdivision","value":"Other"},{"id":4,"name":"Milepost","value":"2.3346"},{"id":17,"name":"Train ID","value":"313-15"},{"id":16,"name":"Locomotive ID","value":"4016"},{"id":130,"name":"Impact","value":""},{"id":150,"name":"Time of Event (Mountain Time)","value":"02:53:42"},{"id":151,"name":"Denver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3"/>
        <v>start /low /b %USERPROFILE%\Documents\GitHub\eaglep3\Utilities\DownloadLogsFromS3.py --loco 4016 --day 2017-07-16</v>
      </c>
      <c r="AN209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08:53:42"},{"id":29,"name":"Sharepoint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651</v>
      </c>
      <c r="B210" s="7">
        <v>4049</v>
      </c>
      <c r="C210" s="21" t="s">
        <v>199</v>
      </c>
      <c r="D210" s="21" t="s">
        <v>869</v>
      </c>
      <c r="E210" s="13">
        <v>42931.214016203703</v>
      </c>
      <c r="F210" s="13">
        <v>42931.216631944444</v>
      </c>
      <c r="G210" s="7">
        <v>3</v>
      </c>
      <c r="H210" s="21" t="s">
        <v>870</v>
      </c>
      <c r="I210" s="13">
        <v>42931.2266087963</v>
      </c>
      <c r="J210" s="7">
        <v>0</v>
      </c>
      <c r="K210" s="89" t="str">
        <f t="shared" si="75"/>
        <v>4049/4050</v>
      </c>
      <c r="L210" s="21" t="str">
        <f>VLOOKUP(A210,'Trips&amp;Operators'!$C$1:$G$99999,5,FALSE)</f>
        <v>NEWELL JAMES</v>
      </c>
      <c r="M210" s="6">
        <f t="shared" si="76"/>
        <v>9.976851855753921E-3</v>
      </c>
      <c r="N210" s="7">
        <f t="shared" si="86"/>
        <v>14.366666672285646</v>
      </c>
      <c r="O210" s="7"/>
      <c r="P210" s="7"/>
      <c r="Q210" s="22"/>
      <c r="R210" s="170"/>
      <c r="S210" s="213">
        <f t="shared" si="87"/>
        <v>1</v>
      </c>
      <c r="T210" s="195" t="str">
        <f t="shared" si="77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8"/>
        <v>https://d0f6bd738d7f1b3e5a7ca70fe4ff75f0.us-east-1.aws.found.io/app/kibana#/discover/Steve-Slow-Train-Analysis-(2080s-and-2083s)?_g=(refreshInterval:(display:Off,pause:!f,section:0,value:0),time:(from:'2017-07-15T04:08:11-0600',mode:absolute,to:'2017-07-15T06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0" s="197" t="str">
        <f>IF(AA210&lt;VLOOKUP(AG210,Variables!$AC$3:$AD$8,2,FALSE),"Y","N")</f>
        <v>Y</v>
      </c>
      <c r="X210" s="197">
        <f t="shared" si="70"/>
        <v>1389</v>
      </c>
      <c r="Y210" s="197">
        <f t="shared" si="79"/>
        <v>2.2345999999999999</v>
      </c>
      <c r="Z210" s="197">
        <f t="shared" si="80"/>
        <v>0.12620000000000001</v>
      </c>
      <c r="AA210" s="197">
        <f t="shared" si="81"/>
        <v>2.1084000000000001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2"/>
        <v>1702</v>
      </c>
      <c r="AE210" s="77" t="str">
        <f t="shared" si="83"/>
        <v>aws s3 cp s3://rtdc.mdm.uploadarchive.raw/RTDC4049/ "%USERPROFILE%\AppData\Local\Temp\OnboardLogs"\RTDC4049\2017-07-15 --exclude "*" --recursive --include "*20170715*" &amp; "%USERPROFILE%\Documents\GitHub\mrs-test-scripts\Headless Mode &amp; Sideloading\WalkAndUnGZ.bat" "%USERPROFILE%\AppData\Local\Temp\OnboardLogs"\RTDC4049\2017-07-15 &amp; 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</v>
      </c>
      <c r="AF210" s="74" t="str">
        <f t="shared" si="84"/>
        <v>"C:\Program Files (x86)\AstroGrep\AstroGrep.exe" /e /r /s /spath="%USERPROFILE%\AppData\Local\Temp\OnboardLogs" /stypes="app*4049*20170715*" /stext=" 11:.+((SYSTEM_STATE.+slice.+state.+changed )|(ment ac)|(multiple cpu faults)|(system.+state.+changed )|(\[timeout)|(PRM\|1\|D)|(kpr)|(kdp)|(train st.+moving)|(\|lc)|(penalty))"</v>
      </c>
      <c r="AG210" s="209" t="str">
        <f t="shared" si="85"/>
        <v>Other</v>
      </c>
      <c r="AH210" s="78" t="str">
        <f t="shared" si="71"/>
        <v>"%USERPROFILE%\Documents\GitHub\eaglep3\Utilities\RefineRTDCRunTimes.py" --tripid 1702-15 --locoid 4049 --swversion DE.1.0.9.0 --startMP 300:22346 --initTime 2017-07-15T05:08:11 --startdatetime 2017-07-15T05:11:57 --delay 3 --endMP 204:1262 --enddatetime 2017-07-15T05:26:19 --enforcementcount 0 &gt;&gt;C:\Users\stu\Documents\GitHub\eaglep3-reporting\EC\2017-07-15-refined-times.txt</v>
      </c>
      <c r="AI210" s="96" t="str">
        <f t="shared" si="72"/>
        <v>echo {"issue":{"subject":"","project_id":79,"tracker_id":40,"status_id":1,"priority_id":2,"assigned_to_id":23,"start_date":"2017-07-15","description":"","custom_fields":[{"id":1,"name":"Subdivision","value":"Other"},{"id":4,"name":"Milepost","value":"0.1262"},{"id":17,"name":"Train ID","value":"1702-15"},{"id":16,"name":"Locomotive ID","value":"4049"},{"id":130,"name":"Impact","value":""},{"id":150,"name":"Time of Event (Mountain Time)","value":"05:26:19"},{"id":151,"name":"Denver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3"/>
        <v>start /low /b %USERPROFILE%\Documents\GitHub\eaglep3\Utilities\DownloadLogsFromS3.py --loco 4049 --day 2017-07-15</v>
      </c>
      <c r="AN210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656</v>
      </c>
      <c r="B211" s="7">
        <v>4012</v>
      </c>
      <c r="C211" s="21" t="s">
        <v>199</v>
      </c>
      <c r="D211" s="21" t="s">
        <v>917</v>
      </c>
      <c r="E211" s="13">
        <v>42931.222557870373</v>
      </c>
      <c r="F211" s="13">
        <v>42931.226458333331</v>
      </c>
      <c r="G211" s="7">
        <v>5</v>
      </c>
      <c r="H211" s="21" t="s">
        <v>883</v>
      </c>
      <c r="I211" s="13">
        <v>42931.231909722221</v>
      </c>
      <c r="J211" s="7">
        <v>0</v>
      </c>
      <c r="K211" s="89" t="str">
        <f t="shared" si="75"/>
        <v>4011/4012</v>
      </c>
      <c r="L211" s="21" t="str">
        <f>VLOOKUP(A211,'Trips&amp;Operators'!$C$1:$G$99999,5,FALSE)</f>
        <v>MACDONALD THOMAS</v>
      </c>
      <c r="M211" s="6">
        <f t="shared" si="76"/>
        <v>5.4513888899236917E-3</v>
      </c>
      <c r="N211" s="7">
        <f t="shared" si="86"/>
        <v>7.8500000014901161</v>
      </c>
      <c r="O211" s="7"/>
      <c r="P211" s="7"/>
      <c r="Q211" s="22"/>
      <c r="R211" s="170"/>
      <c r="S211" s="213">
        <f t="shared" si="87"/>
        <v>0</v>
      </c>
      <c r="T211" s="195" t="str">
        <f t="shared" si="77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8"/>
        <v>https://d0f6bd738d7f1b3e5a7ca70fe4ff75f0.us-east-1.aws.found.io/app/kibana#/discover/Steve-Slow-Train-Analysis-(2080s-and-2083s)?_g=(refreshInterval:(display:Off,pause:!f,section:0,value:0),time:(from:'2017-07-15T04:20:29-0600',mode:absolute,to:'2017-07-15T06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97" t="str">
        <f>IF(AA211&lt;VLOOKUP(AG211,Variables!$AC$3:$AD$8,2,FALSE),"Y","N")</f>
        <v>Y</v>
      </c>
      <c r="X211" s="197">
        <f t="shared" si="70"/>
        <v>199</v>
      </c>
      <c r="Y211" s="197">
        <f t="shared" si="79"/>
        <v>2.9744000000000002</v>
      </c>
      <c r="Z211" s="197">
        <f t="shared" si="80"/>
        <v>5.8906999999999998</v>
      </c>
      <c r="AA211" s="197">
        <f t="shared" si="81"/>
        <v>2.9162999999999997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2"/>
        <v>1901</v>
      </c>
      <c r="AE211" s="77" t="str">
        <f t="shared" si="83"/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AF211" s="74" t="str">
        <f t="shared" si="84"/>
        <v>"C:\Program Files (x86)\AstroGrep\AstroGrep.exe" /e /r /s /spath="%USERPROFILE%\AppData\Local\Temp\OnboardLogs" /stypes="app*4012*20170715*" /stext=" 11:.+((SYSTEM_STATE.+slice.+state.+changed )|(ment ac)|(multiple cpu faults)|(system.+state.+changed )|(\[timeout)|(PRM\|1\|D)|(kpr)|(kdp)|(train st.+moving)|(\|lc)|(penalty))"</v>
      </c>
      <c r="AG211" s="209" t="str">
        <f t="shared" si="85"/>
        <v>Other</v>
      </c>
      <c r="AH211" s="78" t="str">
        <f t="shared" si="71"/>
        <v>"%USERPROFILE%\Documents\GitHub\eaglep3\Utilities\RefineRTDCRunTimes.py" --tripid 1901-15 --locoid 4012 --swversion DE.1.0.9.0 --startMP 300:29744 --initTime 2017-07-15T05:20:29 --startdatetime 2017-07-15T05:26:06 --delay 5 --endMP 300:58907 --enddatetime 2017-07-15T05:33:57 --enforcementcount 0 &gt;&gt;C:\Users\stu\Documents\GitHub\eaglep3-reporting\EC\2017-07-15-refined-times.txt</v>
      </c>
      <c r="AI211" s="96" t="str">
        <f t="shared" si="72"/>
        <v>echo {"issue":{"subject":"","project_id":79,"tracker_id":40,"status_id":1,"priority_id":2,"assigned_to_id":23,"start_date":"2017-07-15","description":"","custom_fields":[{"id":1,"name":"Subdivision","value":"Other"},{"id":4,"name":"Milepost","value":"5.8907"},{"id":17,"name":"Train ID","value":"1901-15"},{"id":16,"name":"Locomotive ID","value":"4012"},{"id":130,"name":"Impact","value":""},{"id":150,"name":"Time of Event (Mountain Time)","value":"05:33:57"},{"id":151,"name":"Denver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3"/>
        <v>start /low /b %USERPROFILE%\Documents\GitHub\eaglep3\Utilities\DownloadLogsFromS3.py --loco 4012 --day 2017-07-15</v>
      </c>
      <c r="AN211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626</v>
      </c>
      <c r="B212" s="7">
        <v>4024</v>
      </c>
      <c r="C212" s="21" t="s">
        <v>199</v>
      </c>
      <c r="D212" s="21" t="s">
        <v>846</v>
      </c>
      <c r="E212" s="13">
        <v>42931.13784722222</v>
      </c>
      <c r="F212" s="13">
        <v>42931.139004629629</v>
      </c>
      <c r="G212" s="7">
        <v>1</v>
      </c>
      <c r="H212" s="21" t="s">
        <v>950</v>
      </c>
      <c r="I212" s="13">
        <v>42931.14</v>
      </c>
      <c r="J212" s="7">
        <v>0</v>
      </c>
      <c r="K212" s="89" t="str">
        <f t="shared" si="75"/>
        <v>4023/4024</v>
      </c>
      <c r="L212" s="21" t="str">
        <f>VLOOKUP(A212,'Trips&amp;Operators'!$C$1:$G$99999,5,FALSE)</f>
        <v>CHANDLER KELVIN</v>
      </c>
      <c r="M212" s="6">
        <f t="shared" si="76"/>
        <v>9.9537037021946162E-4</v>
      </c>
      <c r="N212" s="7">
        <f t="shared" si="86"/>
        <v>1.4333333331160247</v>
      </c>
      <c r="O212" s="7"/>
      <c r="P212" s="7"/>
      <c r="Q212" s="22"/>
      <c r="R212" s="170"/>
      <c r="S212" s="213">
        <f t="shared" si="87"/>
        <v>0</v>
      </c>
      <c r="T212" s="195" t="str">
        <f t="shared" si="77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8"/>
        <v>https://d0f6bd738d7f1b3e5a7ca70fe4ff75f0.us-east-1.aws.found.io/app/kibana#/discover/Steve-Slow-Train-Analysis-(2080s-and-2083s)?_g=(refreshInterval:(display:Off,pause:!f,section:0,value:0),time:(from:'2017-07-15T02:18:30-0600',mode:absolute,to:'2017-07-15T04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197" t="str">
        <f>IF(AA212&lt;VLOOKUP(AG212,Variables!$AC$3:$AD$8,2,FALSE),"Y","N")</f>
        <v>Y</v>
      </c>
      <c r="X212" s="197">
        <f t="shared" ref="X212:X236" si="88">VALUE(LEFT(AD212,4))-VALUE(LEFT(AD211,4))</f>
        <v>-1850</v>
      </c>
      <c r="Y212" s="197">
        <f t="shared" si="79"/>
        <v>4.3700000000000003E-2</v>
      </c>
      <c r="Z212" s="197">
        <f t="shared" si="80"/>
        <v>0.34229999999999999</v>
      </c>
      <c r="AA212" s="197">
        <f t="shared" si="81"/>
        <v>0.29859999999999998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2"/>
        <v>51</v>
      </c>
      <c r="AE212" s="77" t="str">
        <f t="shared" si="83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212" s="74" t="str">
        <f t="shared" si="84"/>
        <v>"C:\Program Files (x86)\AstroGrep\AstroGrep.exe" /e /r /s /spath="%USERPROFILE%\AppData\Local\Temp\OnboardLogs" /stypes="app*4024*20170715*" /stext=" 09:.+((SYSTEM_STATE.+slice.+state.+changed )|(ment ac)|(multiple cpu faults)|(system.+state.+changed )|(\[timeout)|(PRM\|1\|D)|(kpr)|(kdp)|(train st.+moving)|(\|lc)|(penalty))"</v>
      </c>
      <c r="AG212" s="209" t="str">
        <f t="shared" si="85"/>
        <v>Shuttle/Test</v>
      </c>
      <c r="AH212" s="78" t="str">
        <f t="shared" si="71"/>
        <v>"%USERPROFILE%\Documents\GitHub\eaglep3\Utilities\RefineRTDCRunTimes.py" --tripid 51-15 --locoid 4024 --swversion DE.1.0.9.0 --startMP 204:437 --initTime 2017-07-15T03:18:30 --startdatetime 2017-07-15T03:20:10 --delay 1 --endMP 204:3423 --enddatetime 2017-07-15T03:21:36 --enforcementcount 0 &gt;&gt;C:\Users\stu\Documents\GitHub\eaglep3-reporting\EC\2017-07-15-refined-times.txt</v>
      </c>
      <c r="AI212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0.3423"},{"id":17,"name":"Train ID","value":"51-15"},{"id":16,"name":"Locomotive ID","value":"4024"},{"id":130,"name":"Impact","value":""},{"id":150,"name":"Time of Event (Mountain Time)","value":"03:21:36"},{"id":151,"name":"Denver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3"/>
        <v>start /low /b %USERPROFILE%\Documents\GitHub\eaglep3\Utilities\DownloadLogsFromS3.py --loco 4024 --day 2017-07-15</v>
      </c>
      <c r="AN212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09:21:36"},{"id":29,"name":"Sharepoint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629</v>
      </c>
      <c r="B213" s="7">
        <v>4023</v>
      </c>
      <c r="C213" s="21" t="s">
        <v>199</v>
      </c>
      <c r="D213" s="21" t="s">
        <v>951</v>
      </c>
      <c r="E213" s="13">
        <v>42931.14167824074</v>
      </c>
      <c r="F213" s="13">
        <v>42931.142696759256</v>
      </c>
      <c r="G213" s="7">
        <v>1</v>
      </c>
      <c r="H213" s="21" t="s">
        <v>952</v>
      </c>
      <c r="I213" s="13">
        <v>42931.144178240742</v>
      </c>
      <c r="J213" s="7">
        <v>0</v>
      </c>
      <c r="K213" s="89" t="str">
        <f t="shared" si="75"/>
        <v>4023/4024</v>
      </c>
      <c r="L213" s="21" t="str">
        <f>VLOOKUP(A213,'Trips&amp;Operators'!$C$1:$G$99999,5,FALSE)</f>
        <v>CHANDLER KELVIN</v>
      </c>
      <c r="M213" s="6">
        <f t="shared" si="76"/>
        <v>1.4814814858254977E-3</v>
      </c>
      <c r="N213" s="7">
        <f t="shared" si="86"/>
        <v>2.1333333395887166</v>
      </c>
      <c r="O213" s="7"/>
      <c r="P213" s="7"/>
      <c r="Q213" s="22"/>
      <c r="R213" s="170"/>
      <c r="S213" s="213">
        <f t="shared" si="87"/>
        <v>0</v>
      </c>
      <c r="T213" s="195" t="str">
        <f t="shared" si="77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8"/>
        <v>https://d0f6bd738d7f1b3e5a7ca70fe4ff75f0.us-east-1.aws.found.io/app/kibana#/discover/Steve-Slow-Train-Analysis-(2080s-and-2083s)?_g=(refreshInterval:(display:Off,pause:!f,section:0,value:0),time:(from:'2017-07-15T02:24:01-0600',mode:absolute,to:'2017-07-15T04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3" s="197" t="str">
        <f>IF(AA213&lt;VLOOKUP(AG213,Variables!$AC$3:$AD$8,2,FALSE),"Y","N")</f>
        <v>Y</v>
      </c>
      <c r="X213" s="197">
        <f t="shared" si="88"/>
        <v>1</v>
      </c>
      <c r="Y213" s="197">
        <f t="shared" si="79"/>
        <v>0.29870000000000002</v>
      </c>
      <c r="Z213" s="197">
        <f t="shared" si="80"/>
        <v>0.11840000000000001</v>
      </c>
      <c r="AA213" s="197">
        <f t="shared" si="81"/>
        <v>0.18030000000000002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2"/>
        <v>52</v>
      </c>
      <c r="AE213" s="77" t="str">
        <f t="shared" si="83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213" s="74" t="str">
        <f t="shared" si="84"/>
        <v>"C:\Program Files (x86)\AstroGrep\AstroGrep.exe" /e /r /s /spath="%USERPROFILE%\AppData\Local\Temp\OnboardLogs" /stypes="app*4023*20170715*" /stext=" 09:.+((SYSTEM_STATE.+slice.+state.+changed )|(ment ac)|(multiple cpu faults)|(system.+state.+changed )|(\[timeout)|(PRM\|1\|D)|(kpr)|(kdp)|(train st.+moving)|(\|lc)|(penalty))"</v>
      </c>
      <c r="AG213" s="209" t="str">
        <f t="shared" si="85"/>
        <v>Shuttle/Test</v>
      </c>
      <c r="AH213" s="78" t="str">
        <f t="shared" si="71"/>
        <v>"%USERPROFILE%\Documents\GitHub\eaglep3\Utilities\RefineRTDCRunTimes.py" --tripid 52-15 --locoid 4023 --swversion DE.1.0.9.0 --startMP 204:2987 --initTime 2017-07-15T03:24:01 --startdatetime 2017-07-15T03:25:29 --delay 1 --endMP 204:1184 --enddatetime 2017-07-15T03:27:37 --enforcementcount 0 &gt;&gt;C:\Users\stu\Documents\GitHub\eaglep3-reporting\EC\2017-07-15-refined-times.txt</v>
      </c>
      <c r="AI213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0.1184"},{"id":17,"name":"Train ID","value":"52-15"},{"id":16,"name":"Locomotive ID","value":"4023"},{"id":130,"name":"Impact","value":""},{"id":150,"name":"Time of Event (Mountain Time)","value":"03:27:37"},{"id":151,"name":"Denver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73"/>
        <v>start /low /b %USERPROFILE%\Documents\GitHub\eaglep3\Utilities\DownloadLogsFromS3.py --loco 4023 --day 2017-07-15</v>
      </c>
      <c r="AN213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09:27:37"},{"id":29,"name":"Sharepoint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648</v>
      </c>
      <c r="B214" s="7">
        <v>4024</v>
      </c>
      <c r="C214" s="21" t="s">
        <v>199</v>
      </c>
      <c r="D214" s="21" t="s">
        <v>953</v>
      </c>
      <c r="E214" s="13">
        <v>42931.210625</v>
      </c>
      <c r="F214" s="13">
        <v>42931.212025462963</v>
      </c>
      <c r="G214" s="7">
        <v>1</v>
      </c>
      <c r="H214" s="21" t="s">
        <v>954</v>
      </c>
      <c r="I214" s="13">
        <v>42931.212905092594</v>
      </c>
      <c r="J214" s="7">
        <v>0</v>
      </c>
      <c r="K214" s="89" t="str">
        <f t="shared" si="75"/>
        <v>4023/4024</v>
      </c>
      <c r="L214" s="21" t="str">
        <f>VLOOKUP(A214,'Trips&amp;Operators'!$C$1:$G$99999,5,FALSE)</f>
        <v>CHANDLER KELVIN</v>
      </c>
      <c r="M214" s="6">
        <f t="shared" si="76"/>
        <v>8.7962963152676821E-4</v>
      </c>
      <c r="N214" s="7">
        <f t="shared" si="86"/>
        <v>1.2666666693985462</v>
      </c>
      <c r="O214" s="7"/>
      <c r="P214" s="7"/>
      <c r="Q214" s="22"/>
      <c r="R214" s="170"/>
      <c r="S214" s="213">
        <f t="shared" si="87"/>
        <v>0</v>
      </c>
      <c r="T214" s="195" t="str">
        <f t="shared" si="77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8"/>
        <v>https://d0f6bd738d7f1b3e5a7ca70fe4ff75f0.us-east-1.aws.found.io/app/kibana#/discover/Steve-Slow-Train-Analysis-(2080s-and-2083s)?_g=(refreshInterval:(display:Off,pause:!f,section:0,value:0),time:(from:'2017-07-15T04:03:18-0600',mode:absolute,to:'2017-07-15T06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Y</v>
      </c>
      <c r="X214" s="197">
        <f t="shared" si="88"/>
        <v>1</v>
      </c>
      <c r="Y214" s="197">
        <f t="shared" si="79"/>
        <v>0.14810000000000001</v>
      </c>
      <c r="Z214" s="197">
        <f t="shared" si="80"/>
        <v>0.33989999999999998</v>
      </c>
      <c r="AA214" s="197">
        <f t="shared" si="81"/>
        <v>0.19179999999999997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2"/>
        <v>53</v>
      </c>
      <c r="AE214" s="77" t="str">
        <f t="shared" si="83"/>
        <v>aws s3 cp s3://rtdc.mdm.uploadarchive.raw/RTDC4024/ "%USERPROFILE%\AppData\Local\Temp\OnboardLogs"\RTDC4024\2017-07-15 --exclude "*" --recursive --include "*20170715*" &amp; "%USERPROFILE%\Documents\GitHub\mrs-test-scripts\Headless Mode &amp; Sideloading\WalkAndUnGZ.bat" "%USERPROFILE%\AppData\Local\Temp\OnboardLogs"\RTDC4024\2017-07-15 &amp; aws s3 cp s3://rtdc.mdm.uploadarchive.raw/RTDC4024/ "%USERPROFILE%\AppData\Local\Temp\OnboardLogs"\RTDC4024\2017-07-16 --exclude "*" --recursive --include "*20170716*" &amp; "%USERPROFILE%\Documents\GitHub\mrs-test-scripts\Headless Mode &amp; Sideloading\WalkAndUnGZ.bat" "%USERPROFILE%\AppData\Local\Temp\OnboardLogs"\RTDC4024\2017-07-16</v>
      </c>
      <c r="AF214" s="74" t="str">
        <f t="shared" si="84"/>
        <v>"C:\Program Files (x86)\AstroGrep\AstroGrep.exe" /e /r /s /spath="%USERPROFILE%\AppData\Local\Temp\OnboardLogs" /stypes="app*4024*20170715*" /stext=" 11:.+((SYSTEM_STATE.+slice.+state.+changed )|(ment ac)|(multiple cpu faults)|(system.+state.+changed )|(\[timeout)|(PRM\|1\|D)|(kpr)|(kdp)|(train st.+moving)|(\|lc)|(penalty))"</v>
      </c>
      <c r="AG214" s="209" t="str">
        <f t="shared" si="85"/>
        <v>Shuttle/Test</v>
      </c>
      <c r="AH214" s="78" t="str">
        <f t="shared" si="71"/>
        <v>"%USERPROFILE%\Documents\GitHub\eaglep3\Utilities\RefineRTDCRunTimes.py" --tripid 53-15 --locoid 4024 --swversion DE.1.0.9.0 --startMP 204:1481 --initTime 2017-07-15T05:03:18 --startdatetime 2017-07-15T05:05:19 --delay 1 --endMP 204:3399 --enddatetime 2017-07-15T05:06:35 --enforcementcount 0 &gt;&gt;C:\Users\stu\Documents\GitHub\eaglep3-reporting\EC\2017-07-15-refined-times.txt</v>
      </c>
      <c r="AI214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0.3399"},{"id":17,"name":"Train ID","value":"53-15"},{"id":16,"name":"Locomotive ID","value":"4024"},{"id":130,"name":"Impact","value":""},{"id":150,"name":"Time of Event (Mountain Time)","value":"05:06:35"},{"id":151,"name":"Denver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3"/>
        <v>start /low /b %USERPROFILE%\Documents\GitHub\eaglep3\Utilities\DownloadLogsFromS3.py --loco 4024 --day 2017-07-15</v>
      </c>
      <c r="AN214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654</v>
      </c>
      <c r="B215" s="7">
        <v>4023</v>
      </c>
      <c r="C215" s="21" t="s">
        <v>199</v>
      </c>
      <c r="D215" s="21" t="s">
        <v>955</v>
      </c>
      <c r="E215" s="13">
        <v>42931.214328703703</v>
      </c>
      <c r="F215" s="13">
        <v>42931.215636574074</v>
      </c>
      <c r="G215" s="7">
        <v>1</v>
      </c>
      <c r="H215" s="21" t="s">
        <v>343</v>
      </c>
      <c r="I215" s="13">
        <v>42931.217129629629</v>
      </c>
      <c r="J215" s="7">
        <v>0</v>
      </c>
      <c r="K215" s="89" t="str">
        <f t="shared" si="75"/>
        <v>4023/4024</v>
      </c>
      <c r="L215" s="21" t="str">
        <f>VLOOKUP(A215,'Trips&amp;Operators'!$C$1:$G$99999,5,FALSE)</f>
        <v>CHANDLER KELVIN</v>
      </c>
      <c r="M215" s="6">
        <f t="shared" si="76"/>
        <v>1.4930555553291924E-3</v>
      </c>
      <c r="N215" s="7">
        <f t="shared" si="86"/>
        <v>2.1499999996740371</v>
      </c>
      <c r="O215" s="7"/>
      <c r="P215" s="7"/>
      <c r="Q215" s="22"/>
      <c r="R215" s="170"/>
      <c r="S215" s="213">
        <f t="shared" si="87"/>
        <v>0</v>
      </c>
      <c r="T215" s="195" t="str">
        <f t="shared" si="77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8"/>
        <v>https://d0f6bd738d7f1b3e5a7ca70fe4ff75f0.us-east-1.aws.found.io/app/kibana#/discover/Steve-Slow-Train-Analysis-(2080s-and-2083s)?_g=(refreshInterval:(display:Off,pause:!f,section:0,value:0),time:(from:'2017-07-15T04:08:38-0600',mode:absolute,to:'2017-07-15T06:12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197" t="str">
        <f>IF(AA215&lt;VLOOKUP(AG215,Variables!$AC$3:$AD$8,2,FALSE),"Y","N")</f>
        <v>Y</v>
      </c>
      <c r="X215" s="197">
        <f t="shared" si="88"/>
        <v>1</v>
      </c>
      <c r="Y215" s="197">
        <f t="shared" si="79"/>
        <v>0.3044</v>
      </c>
      <c r="Z215" s="197">
        <f t="shared" si="80"/>
        <v>1.4999999999999999E-2</v>
      </c>
      <c r="AA215" s="197">
        <f t="shared" si="81"/>
        <v>0.28939999999999999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2"/>
        <v>54</v>
      </c>
      <c r="AE215" s="77" t="str">
        <f t="shared" si="83"/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AF215" s="74" t="str">
        <f t="shared" si="84"/>
        <v>"C:\Program Files (x86)\AstroGrep\AstroGrep.exe" /e /r /s /spath="%USERPROFILE%\AppData\Local\Temp\OnboardLogs" /stypes="app*4023*20170715*" /stext=" 11:.+((SYSTEM_STATE.+slice.+state.+changed )|(ment ac)|(multiple cpu faults)|(system.+state.+changed )|(\[timeout)|(PRM\|1\|D)|(kpr)|(kdp)|(train st.+moving)|(\|lc)|(penalty))"</v>
      </c>
      <c r="AG215" s="209" t="str">
        <f t="shared" si="85"/>
        <v>Shuttle/Test</v>
      </c>
      <c r="AH215" s="78" t="str">
        <f t="shared" si="71"/>
        <v>"%USERPROFILE%\Documents\GitHub\eaglep3\Utilities\RefineRTDCRunTimes.py" --tripid 54-15 --locoid 4023 --swversion DE.1.0.9.0 --startMP 204:3044 --initTime 2017-07-15T05:08:38 --startdatetime 2017-07-15T05:10:31 --delay 1 --endMP 204:150 --enddatetime 2017-07-15T05:12:40 --enforcementcount 0 &gt;&gt;C:\Users\stu\Documents\GitHub\eaglep3-reporting\EC\2017-07-15-refined-times.txt</v>
      </c>
      <c r="AI215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0.015"},{"id":17,"name":"Train ID","value":"54-15"},{"id":16,"name":"Locomotive ID","value":"4023"},{"id":130,"name":"Impact","value":""},{"id":150,"name":"Time of Event (Mountain Time)","value":"05:12:40"},{"id":151,"name":"Denver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3"/>
        <v>start /low /b %USERPROFILE%\Documents\GitHub\eaglep3\Utilities\DownloadLogsFromS3.py --loco 4023 --day 2017-07-15</v>
      </c>
      <c r="AN215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11:12:40"},{"id":29,"name":"Sharepoint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607</v>
      </c>
      <c r="B216" s="7">
        <v>4025</v>
      </c>
      <c r="C216" s="21" t="s">
        <v>199</v>
      </c>
      <c r="D216" s="21" t="s">
        <v>956</v>
      </c>
      <c r="E216" s="13">
        <v>42931.742291666669</v>
      </c>
      <c r="F216" s="13">
        <v>42931.746932870374</v>
      </c>
      <c r="G216" s="7">
        <v>6</v>
      </c>
      <c r="H216" s="21" t="s">
        <v>957</v>
      </c>
      <c r="I216" s="13">
        <v>42931.757789351854</v>
      </c>
      <c r="J216" s="7">
        <v>0</v>
      </c>
      <c r="K216" s="89" t="str">
        <f t="shared" si="75"/>
        <v>4025/4026</v>
      </c>
      <c r="L216" s="21" t="str">
        <f>VLOOKUP(A216,'Trips&amp;Operators'!$C$1:$G$99999,5,FALSE)</f>
        <v>HUFFSMITH MONTY</v>
      </c>
      <c r="M216" s="6">
        <f t="shared" si="76"/>
        <v>1.0856481480004732E-2</v>
      </c>
      <c r="N216" s="7">
        <f t="shared" si="86"/>
        <v>15.633333331206813</v>
      </c>
      <c r="O216" s="7"/>
      <c r="P216" s="7"/>
      <c r="Q216" s="22"/>
      <c r="R216" s="170"/>
      <c r="S216" s="213">
        <f t="shared" si="87"/>
        <v>0</v>
      </c>
      <c r="T216" s="195" t="str">
        <f t="shared" si="77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8"/>
        <v>https://d0f6bd738d7f1b3e5a7ca70fe4ff75f0.us-east-1.aws.found.io/app/kibana#/discover/Steve-Slow-Train-Analysis-(2080s-and-2083s)?_g=(refreshInterval:(display:Off,pause:!f,section:0,value:0),time:(from:'2017-07-15T16:48:54-0600',mode:absolute,to:'2017-07-15T19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7" t="str">
        <f>IF(AA216&lt;VLOOKUP(AG216,Variables!$AC$3:$AD$8,2,FALSE),"Y","N")</f>
        <v>Y</v>
      </c>
      <c r="X216" s="197">
        <f t="shared" si="88"/>
        <v>1</v>
      </c>
      <c r="Y216" s="197">
        <f t="shared" si="79"/>
        <v>2.2069999999999999</v>
      </c>
      <c r="Z216" s="197">
        <f t="shared" si="80"/>
        <v>8.8099999999999998E-2</v>
      </c>
      <c r="AA216" s="197">
        <f t="shared" si="81"/>
        <v>2.1189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2"/>
        <v>55</v>
      </c>
      <c r="AE216" s="77" t="str">
        <f t="shared" si="83"/>
        <v>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 &amp; aws s3 cp s3://rtdc.mdm.uploadarchive.raw/RTDC4025/ "%USERPROFILE%\AppData\Local\Temp\OnboardLogs"\RTDC4025\2017-07-16 --exclude "*" --recursive --include "*20170716*" &amp; "%USERPROFILE%\Documents\GitHub\mrs-test-scripts\Headless Mode &amp; Sideloading\WalkAndUnGZ.bat" "%USERPROFILE%\AppData\Local\Temp\OnboardLogs"\RTDC4025\2017-07-16</v>
      </c>
      <c r="AF216" s="74" t="str">
        <f t="shared" si="84"/>
        <v>"C:\Program Files (x86)\AstroGrep\AstroGrep.exe" /e /r /s /spath="%USERPROFILE%\AppData\Local\Temp\OnboardLogs" /stypes="app*4025*20170716*" /stext=" 00:.+((SYSTEM_STATE.+slice.+state.+changed )|(ment ac)|(multiple cpu faults)|(system.+state.+changed )|(\[timeout)|(PRM\|1\|D)|(kpr)|(kdp)|(train st.+moving)|(\|lc)|(penalty))"</v>
      </c>
      <c r="AG216" s="209" t="str">
        <f t="shared" si="85"/>
        <v>Shuttle/Test</v>
      </c>
      <c r="AH216" s="78" t="str">
        <f t="shared" si="71"/>
        <v>"%USERPROFILE%\Documents\GitHub\eaglep3\Utilities\RefineRTDCRunTimes.py" --tripid 55-15 --locoid 4025 --swversion DE.1.0.9.0 --startMP 300:22070 --initTime 2017-07-15T17:48:54 --startdatetime 2017-07-15T17:55:35 --delay 6 --endMP 204:881 --enddatetime 2017-07-15T18:11:13 --enforcementcount 0 &gt;&gt;C:\Users\stu\Documents\GitHub\eaglep3-reporting\EC\2017-07-15-refined-times.txt</v>
      </c>
      <c r="AI216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0.0881"},{"id":17,"name":"Train ID","value":"55-15"},{"id":16,"name":"Locomotive ID","value":"4025"},{"id":130,"name":"Impact","value":""},{"id":150,"name":"Time of Event (Mountain Time)","value":"18:11:13"},{"id":151,"name":"Denver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73"/>
        <v>start /low /b %USERPROFILE%\Documents\GitHub\eaglep3\Utilities\DownloadLogsFromS3.py --loco 4025 --day 2017-07-15</v>
      </c>
      <c r="AN216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799</v>
      </c>
      <c r="B217" s="7">
        <v>4035</v>
      </c>
      <c r="C217" s="21" t="s">
        <v>199</v>
      </c>
      <c r="D217" s="21" t="s">
        <v>958</v>
      </c>
      <c r="E217" s="13">
        <v>42931.805451388886</v>
      </c>
      <c r="F217" s="13">
        <v>42931.826180555552</v>
      </c>
      <c r="G217" s="7">
        <v>3</v>
      </c>
      <c r="H217" s="21" t="s">
        <v>959</v>
      </c>
      <c r="I217" s="13">
        <v>42931.850578703707</v>
      </c>
      <c r="J217" s="7">
        <v>0</v>
      </c>
      <c r="K217" s="89" t="str">
        <f t="shared" si="75"/>
        <v>4035/4036</v>
      </c>
      <c r="L217" s="21" t="str">
        <f>VLOOKUP(A217,'Trips&amp;Operators'!$C$1:$G$99999,5,FALSE)</f>
        <v>BIRENBAUM THOMAS</v>
      </c>
      <c r="M217" s="6">
        <f t="shared" si="76"/>
        <v>2.439814815443242E-2</v>
      </c>
      <c r="N217" s="7">
        <f t="shared" si="86"/>
        <v>35.133333342382684</v>
      </c>
      <c r="O217" s="7"/>
      <c r="P217" s="7"/>
      <c r="Q217" s="22"/>
      <c r="R217" s="170"/>
      <c r="S217" s="213">
        <f t="shared" si="87"/>
        <v>1</v>
      </c>
      <c r="T217" s="195" t="str">
        <f t="shared" si="77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8"/>
        <v>https://d0f6bd738d7f1b3e5a7ca70fe4ff75f0.us-east-1.aws.found.io/app/kibana#/discover/Steve-Slow-Train-Analysis-(2080s-and-2083s)?_g=(refreshInterval:(display:Off,pause:!f,section:0,value:0),time:(from:'2017-07-15T18:19:51-0600',mode:absolute,to:'2017-07-15T21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7" s="197" t="str">
        <f>IF(AA217&lt;VLOOKUP(AG217,Variables!$AC$3:$AD$8,2,FALSE),"Y","N")</f>
        <v>Y</v>
      </c>
      <c r="X217" s="197">
        <f t="shared" si="88"/>
        <v>5</v>
      </c>
      <c r="Y217" s="197">
        <f t="shared" si="79"/>
        <v>2.3235000000000001</v>
      </c>
      <c r="Z217" s="197">
        <f t="shared" si="80"/>
        <v>1.7600000000000001E-2</v>
      </c>
      <c r="AA217" s="197">
        <f t="shared" si="81"/>
        <v>2.3059000000000003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2"/>
        <v>60</v>
      </c>
      <c r="AE217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17" s="74" t="str">
        <f t="shared" si="84"/>
        <v>"C:\Program Files (x86)\AstroGrep\AstroGrep.exe" /e /r /s /spath="%USERPROFILE%\AppData\Local\Temp\OnboardLogs" /stypes="app*4035*20170716*" /stext=" 02:.+((SYSTEM_STATE.+slice.+state.+changed )|(ment ac)|(multiple cpu faults)|(system.+state.+changed )|(\[timeout)|(PRM\|1\|D)|(kpr)|(kdp)|(train st.+moving)|(\|lc)|(penalty))"</v>
      </c>
      <c r="AG217" s="209" t="str">
        <f t="shared" si="85"/>
        <v>Shuttle/Test</v>
      </c>
      <c r="AH217" s="78" t="str">
        <f t="shared" si="71"/>
        <v>"%USERPROFILE%\Documents\GitHub\eaglep3\Utilities\RefineRTDCRunTimes.py" --tripid 60-15 --locoid 4035 --swversion DE.1.0.9.0 --startMP 300:23235 --initTime 2017-07-15T19:19:51 --startdatetime 2017-07-15T19:49:42 --delay 3 --endMP 204:176 --enddatetime 2017-07-15T20:24:50 --enforcementcount 0 &gt;&gt;C:\Users\stu\Documents\GitHub\eaglep3-reporting\EC\2017-07-15-refined-times.txt</v>
      </c>
      <c r="AI217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0.0176"},{"id":17,"name":"Train ID","value":"60-15"},{"id":16,"name":"Locomotive ID","value":"4035"},{"id":130,"name":"Impact","value":""},{"id":150,"name":"Time of Event (Mountain Time)","value":"20:24:50"},{"id":151,"name":"Denver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3"/>
        <v>start /low /b %USERPROFILE%\Documents\GitHub\eaglep3\Utilities\DownloadLogsFromS3.py --loco 4035 --day 2017-07-15</v>
      </c>
      <c r="AN217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804</v>
      </c>
      <c r="B218" s="7">
        <v>4036</v>
      </c>
      <c r="C218" s="21" t="s">
        <v>199</v>
      </c>
      <c r="D218" s="21" t="s">
        <v>960</v>
      </c>
      <c r="E218" s="13">
        <v>42931.952581018515</v>
      </c>
      <c r="F218" s="13">
        <v>42931.975219907406</v>
      </c>
      <c r="G218" s="7">
        <v>1</v>
      </c>
      <c r="H218" s="21" t="s">
        <v>423</v>
      </c>
      <c r="I218" s="13">
        <v>42931.983391203707</v>
      </c>
      <c r="J218" s="7">
        <v>0</v>
      </c>
      <c r="K218" s="89" t="str">
        <f t="shared" si="75"/>
        <v>4035/4036</v>
      </c>
      <c r="L218" s="21" t="str">
        <f>VLOOKUP(A218,'Trips&amp;Operators'!$C$1:$G$99999,5,FALSE)</f>
        <v>BIRENBAUM THOMAS</v>
      </c>
      <c r="M218" s="6">
        <f t="shared" si="76"/>
        <v>8.1712963001336902E-3</v>
      </c>
      <c r="N218" s="7">
        <f t="shared" si="86"/>
        <v>11.766666672192514</v>
      </c>
      <c r="O218" s="7"/>
      <c r="P218" s="7"/>
      <c r="Q218" s="22"/>
      <c r="R218" s="170"/>
      <c r="S218" s="213">
        <f t="shared" si="87"/>
        <v>0</v>
      </c>
      <c r="T218" s="195" t="str">
        <f t="shared" si="77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78"/>
        <v>https://d0f6bd738d7f1b3e5a7ca70fe4ff75f0.us-east-1.aws.found.io/app/kibana#/discover/Steve-Slow-Train-Analysis-(2080s-and-2083s)?_g=(refreshInterval:(display:Off,pause:!f,section:0,value:0),time:(from:'2017-07-15T21:51:43-0600',mode:absolute,to:'2017-07-16T00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8" s="197" t="str">
        <f>IF(AA218&lt;VLOOKUP(AG218,Variables!$AC$3:$AD$8,2,FALSE),"Y","N")</f>
        <v>Y</v>
      </c>
      <c r="X218" s="197">
        <f t="shared" si="88"/>
        <v>2</v>
      </c>
      <c r="Y218" s="197">
        <f t="shared" si="79"/>
        <v>18.9648</v>
      </c>
      <c r="Z218" s="197">
        <f t="shared" si="80"/>
        <v>23.329499999999999</v>
      </c>
      <c r="AA218" s="197">
        <f t="shared" si="81"/>
        <v>4.3646999999999991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2"/>
        <v>62</v>
      </c>
      <c r="AE218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18" s="74" t="str">
        <f t="shared" si="84"/>
        <v>"C:\Program Files (x86)\AstroGrep\AstroGrep.exe" /e /r /s /spath="%USERPROFILE%\AppData\Local\Temp\OnboardLogs" /stypes="app*4036*20170716*" /stext=" 05:.+((SYSTEM_STATE.+slice.+state.+changed )|(ment ac)|(multiple cpu faults)|(system.+state.+changed )|(\[timeout)|(PRM\|1\|D)|(kpr)|(kdp)|(train st.+moving)|(\|lc)|(penalty))"</v>
      </c>
      <c r="AG218" s="209" t="str">
        <f t="shared" si="85"/>
        <v>Shuttle/Test</v>
      </c>
      <c r="AH218" s="78" t="str">
        <f t="shared" si="71"/>
        <v>"%USERPROFILE%\Documents\GitHub\eaglep3\Utilities\RefineRTDCRunTimes.py" --tripid 62-15 --locoid 4036 --swversion DE.1.0.9.0 --startMP 204:189648 --initTime 2017-07-15T22:51:43 --startdatetime 2017-07-15T23:24:19 --delay 1 --endMP 204:233295 --enddatetime 2017-07-15T23:36:05 --enforcementcount 0 &gt;&gt;C:\Users\stu\Documents\GitHub\eaglep3-reporting\EC\2017-07-15-refined-times.txt</v>
      </c>
      <c r="AI218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23.3295"},{"id":17,"name":"Train ID","value":"62-15"},{"id":16,"name":"Locomotive ID","value":"4036"},{"id":130,"name":"Impact","value":""},{"id":150,"name":"Time of Event (Mountain Time)","value":"23:36:05"},{"id":151,"name":"Denver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3"/>
        <v>start /low /b %USERPROFILE%\Documents\GitHub\eaglep3\Utilities\DownloadLogsFromS3.py --loco 4036 --day 2017-07-15</v>
      </c>
      <c r="AN218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804</v>
      </c>
      <c r="B219" s="7">
        <v>4036</v>
      </c>
      <c r="C219" s="21" t="s">
        <v>199</v>
      </c>
      <c r="D219" s="21" t="s">
        <v>961</v>
      </c>
      <c r="E219" s="13">
        <v>42931.930462962962</v>
      </c>
      <c r="F219" s="13">
        <v>42931.954027777778</v>
      </c>
      <c r="G219" s="7">
        <v>1</v>
      </c>
      <c r="H219" s="21" t="s">
        <v>560</v>
      </c>
      <c r="I219" s="13">
        <v>42931.960428240738</v>
      </c>
      <c r="J219" s="7">
        <v>0</v>
      </c>
      <c r="K219" s="89" t="str">
        <f t="shared" si="75"/>
        <v>4035/4036</v>
      </c>
      <c r="L219" s="21" t="str">
        <f>VLOOKUP(A219,'Trips&amp;Operators'!$C$1:$G$99999,5,FALSE)</f>
        <v>BIRENBAUM THOMAS</v>
      </c>
      <c r="M219" s="6">
        <f t="shared" si="76"/>
        <v>6.4004629603005014E-3</v>
      </c>
      <c r="N219" s="7">
        <f t="shared" si="86"/>
        <v>9.2166666628327221</v>
      </c>
      <c r="O219" s="7"/>
      <c r="P219" s="7"/>
      <c r="Q219" s="22"/>
      <c r="R219" s="170"/>
      <c r="S219" s="213">
        <f t="shared" si="87"/>
        <v>0</v>
      </c>
      <c r="T219" s="195" t="str">
        <f t="shared" si="77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78"/>
        <v>https://d0f6bd738d7f1b3e5a7ca70fe4ff75f0.us-east-1.aws.found.io/app/kibana#/discover/Steve-Slow-Train-Analysis-(2080s-and-2083s)?_g=(refreshInterval:(display:Off,pause:!f,section:0,value:0),time:(from:'2017-07-15T21:19:52-0600',mode:absolute,to:'2017-07-16T00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9" s="197" t="str">
        <f>IF(AA219&lt;VLOOKUP(AG219,Variables!$AC$3:$AD$8,2,FALSE),"Y","N")</f>
        <v>Y</v>
      </c>
      <c r="X219" s="197">
        <f t="shared" si="88"/>
        <v>0</v>
      </c>
      <c r="Y219" s="197">
        <f t="shared" si="79"/>
        <v>18.9679</v>
      </c>
      <c r="Z219" s="197">
        <f t="shared" si="80"/>
        <v>23.331</v>
      </c>
      <c r="AA219" s="197">
        <f t="shared" si="81"/>
        <v>4.3630999999999993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2"/>
        <v>62</v>
      </c>
      <c r="AE219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19" s="74" t="str">
        <f t="shared" si="84"/>
        <v>"C:\Program Files (x86)\AstroGrep\AstroGrep.exe" /e /r /s /spath="%USERPROFILE%\AppData\Local\Temp\OnboardLogs" /stypes="app*4036*20170716*" /stext=" 05:.+((SYSTEM_STATE.+slice.+state.+changed )|(ment ac)|(multiple cpu faults)|(system.+state.+changed )|(\[timeout)|(PRM\|1\|D)|(kpr)|(kdp)|(train st.+moving)|(\|lc)|(penalty))"</v>
      </c>
      <c r="AG219" s="209" t="str">
        <f t="shared" si="85"/>
        <v>Shuttle/Test</v>
      </c>
      <c r="AH219" s="78" t="str">
        <f t="shared" si="71"/>
        <v>"%USERPROFILE%\Documents\GitHub\eaglep3\Utilities\RefineRTDCRunTimes.py" --tripid 62-15 --locoid 4036 --swversion DE.1.0.9.0 --startMP 204:189679 --initTime 2017-07-15T22:19:52 --startdatetime 2017-07-15T22:53:48 --delay 1 --endMP 204:233310 --enddatetime 2017-07-15T23:03:01 --enforcementcount 0 &gt;&gt;C:\Users\stu\Documents\GitHub\eaglep3-reporting\EC\2017-07-15-refined-times.txt</v>
      </c>
      <c r="AI219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23.331"},{"id":17,"name":"Train ID","value":"62-15"},{"id":16,"name":"Locomotive ID","value":"4036"},{"id":130,"name":"Impact","value":""},{"id":150,"name":"Time of Event (Mountain Time)","value":"23:03:01"},{"id":151,"name":"Denver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3"/>
        <v>start /low /b %USERPROFILE%\Documents\GitHub\eaglep3\Utilities\DownloadLogsFromS3.py --loco 4036 --day 2017-07-15</v>
      </c>
      <c r="AN219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804</v>
      </c>
      <c r="B220" s="7">
        <v>4036</v>
      </c>
      <c r="C220" s="21" t="s">
        <v>199</v>
      </c>
      <c r="D220" s="21" t="s">
        <v>962</v>
      </c>
      <c r="E220" s="13">
        <v>42931.994155092594</v>
      </c>
      <c r="F220" s="13">
        <v>42931.995312500003</v>
      </c>
      <c r="G220" s="7">
        <v>1</v>
      </c>
      <c r="H220" s="21" t="s">
        <v>423</v>
      </c>
      <c r="I220" s="13">
        <v>42931.999756944446</v>
      </c>
      <c r="J220" s="7">
        <v>0</v>
      </c>
      <c r="K220" s="89" t="str">
        <f t="shared" si="75"/>
        <v>4035/4036</v>
      </c>
      <c r="L220" s="21" t="str">
        <f>VLOOKUP(A220,'Trips&amp;Operators'!$C$1:$G$99999,5,FALSE)</f>
        <v>BIRENBAUM THOMAS</v>
      </c>
      <c r="M220" s="6">
        <f t="shared" si="76"/>
        <v>4.4444444429245777E-3</v>
      </c>
      <c r="N220" s="7">
        <f t="shared" si="86"/>
        <v>6.3999999978113919</v>
      </c>
      <c r="O220" s="7"/>
      <c r="P220" s="7"/>
      <c r="Q220" s="22"/>
      <c r="R220" s="170"/>
      <c r="S220" s="213">
        <f t="shared" si="87"/>
        <v>0</v>
      </c>
      <c r="T220" s="195" t="str">
        <f t="shared" si="77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78"/>
        <v>https://d0f6bd738d7f1b3e5a7ca70fe4ff75f0.us-east-1.aws.found.io/app/kibana#/discover/Steve-Slow-Train-Analysis-(2080s-and-2083s)?_g=(refreshInterval:(display:Off,pause:!f,section:0,value:0),time:(from:'2017-07-15T22:51:35-0600',mode:absolute,to:'2017-07-16T00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0" s="197" t="str">
        <f>IF(AA220&lt;VLOOKUP(AG220,Variables!$AC$3:$AD$8,2,FALSE),"Y","N")</f>
        <v>Y</v>
      </c>
      <c r="X220" s="197">
        <f t="shared" si="88"/>
        <v>0</v>
      </c>
      <c r="Y220" s="197">
        <f t="shared" si="79"/>
        <v>18.981100000000001</v>
      </c>
      <c r="Z220" s="197">
        <f t="shared" si="80"/>
        <v>23.329499999999999</v>
      </c>
      <c r="AA220" s="197">
        <f t="shared" si="81"/>
        <v>4.348399999999998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2"/>
        <v>62</v>
      </c>
      <c r="AE220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20" s="74" t="str">
        <f t="shared" si="84"/>
        <v>"C:\Program Files (x86)\AstroGrep\AstroGrep.exe" /e /r /s /spath="%USERPROFILE%\AppData\Local\Temp\OnboardLogs" /stypes="app*4036*20170716*" /stext=" 05:.+((SYSTEM_STATE.+slice.+state.+changed )|(ment ac)|(multiple cpu faults)|(system.+state.+changed )|(\[timeout)|(PRM\|1\|D)|(kpr)|(kdp)|(train st.+moving)|(\|lc)|(penalty))"</v>
      </c>
      <c r="AG220" s="209" t="str">
        <f t="shared" si="85"/>
        <v>Shuttle/Test</v>
      </c>
      <c r="AH220" s="78" t="str">
        <f t="shared" si="71"/>
        <v>"%USERPROFILE%\Documents\GitHub\eaglep3\Utilities\RefineRTDCRunTimes.py" --tripid 62-15 --locoid 4036 --swversion DE.1.0.9.0 --startMP 204:189811 --initTime 2017-07-15T23:51:35 --startdatetime 2017-07-15T23:53:15 --delay 1 --endMP 204:233295 --enddatetime 2017-07-15T23:59:39 --enforcementcount 0 &gt;&gt;C:\Users\stu\Documents\GitHub\eaglep3-reporting\EC\2017-07-15-refined-times.txt</v>
      </c>
      <c r="AI220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23.3295"},{"id":17,"name":"Train ID","value":"62-15"},{"id":16,"name":"Locomotive ID","value":"4036"},{"id":130,"name":"Impact","value":""},{"id":150,"name":"Time of Event (Mountain Time)","value":"23:59:39"},{"id":151,"name":"Denver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3"/>
        <v>start /low /b %USERPROFILE%\Documents\GitHub\eaglep3\Utilities\DownloadLogsFromS3.py --loco 4036 --day 2017-07-15</v>
      </c>
      <c r="AN220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05:59:39"},{"id":29,"name":"Sharepoint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804</v>
      </c>
      <c r="B221" s="7">
        <v>4036</v>
      </c>
      <c r="C221" s="21" t="s">
        <v>199</v>
      </c>
      <c r="D221" s="21" t="s">
        <v>963</v>
      </c>
      <c r="E221" s="13">
        <v>42931.973599537036</v>
      </c>
      <c r="F221" s="13">
        <v>42931.995312500003</v>
      </c>
      <c r="G221" s="7">
        <v>1</v>
      </c>
      <c r="H221" s="21" t="s">
        <v>918</v>
      </c>
      <c r="I221" s="13">
        <v>42931.999756944446</v>
      </c>
      <c r="J221" s="7">
        <v>0</v>
      </c>
      <c r="K221" s="89" t="str">
        <f t="shared" si="75"/>
        <v>4035/4036</v>
      </c>
      <c r="L221" s="21" t="str">
        <f>VLOOKUP(A221,'Trips&amp;Operators'!$C$1:$G$99999,5,FALSE)</f>
        <v>BIRENBAUM THOMAS</v>
      </c>
      <c r="M221" s="6">
        <f t="shared" si="76"/>
        <v>4.4444444429245777E-3</v>
      </c>
      <c r="N221" s="7">
        <f t="shared" si="86"/>
        <v>6.3999999978113919</v>
      </c>
      <c r="O221" s="7"/>
      <c r="P221" s="7"/>
      <c r="Q221" s="22"/>
      <c r="R221" s="170"/>
      <c r="S221" s="213">
        <f t="shared" si="87"/>
        <v>0</v>
      </c>
      <c r="T221" s="195" t="str">
        <f t="shared" si="77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78"/>
        <v>https://d0f6bd738d7f1b3e5a7ca70fe4ff75f0.us-east-1.aws.found.io/app/kibana#/discover/Steve-Slow-Train-Analysis-(2080s-and-2083s)?_g=(refreshInterval:(display:Off,pause:!f,section:0,value:0),time:(from:'2017-07-15T22:21:59-0600',mode:absolute,to:'2017-07-16T00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1" s="197" t="str">
        <f>IF(AA221&lt;VLOOKUP(AG221,Variables!$AC$3:$AD$8,2,FALSE),"Y","N")</f>
        <v>Y</v>
      </c>
      <c r="X221" s="197">
        <f t="shared" si="88"/>
        <v>0</v>
      </c>
      <c r="Y221" s="197">
        <f t="shared" si="79"/>
        <v>18.990200000000002</v>
      </c>
      <c r="Z221" s="197">
        <f t="shared" si="80"/>
        <v>23.3306</v>
      </c>
      <c r="AA221" s="197">
        <f t="shared" si="81"/>
        <v>4.3403999999999989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2"/>
        <v>62</v>
      </c>
      <c r="AE221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21" s="74" t="str">
        <f t="shared" si="84"/>
        <v>"C:\Program Files (x86)\AstroGrep\AstroGrep.exe" /e /r /s /spath="%USERPROFILE%\AppData\Local\Temp\OnboardLogs" /stypes="app*4036*20170716*" /stext=" 05:.+((SYSTEM_STATE.+slice.+state.+changed )|(ment ac)|(multiple cpu faults)|(system.+state.+changed )|(\[timeout)|(PRM\|1\|D)|(kpr)|(kdp)|(train st.+moving)|(\|lc)|(penalty))"</v>
      </c>
      <c r="AG221" s="209" t="str">
        <f t="shared" si="85"/>
        <v>Shuttle/Test</v>
      </c>
      <c r="AH221" s="78" t="str">
        <f t="shared" si="71"/>
        <v>"%USERPROFILE%\Documents\GitHub\eaglep3\Utilities\RefineRTDCRunTimes.py" --tripid 62-15 --locoid 4036 --swversion DE.1.0.9.0 --startMP 204:189902 --initTime 2017-07-15T23:21:59 --startdatetime 2017-07-15T23:53:15 --delay 1 --endMP 204:233306 --enddatetime 2017-07-15T23:59:39 --enforcementcount 0 &gt;&gt;C:\Users\stu\Documents\GitHub\eaglep3-reporting\EC\2017-07-15-refined-times.txt</v>
      </c>
      <c r="AI221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23.3306"},{"id":17,"name":"Train ID","value":"62-15"},{"id":16,"name":"Locomotive ID","value":"4036"},{"id":130,"name":"Impact","value":""},{"id":150,"name":"Time of Event (Mountain Time)","value":"23:59:39"},{"id":151,"name":"Denver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3"/>
        <v>start /low /b %USERPROFILE%\Documents\GitHub\eaglep3\Utilities\DownloadLogsFromS3.py --loco 4036 --day 2017-07-15</v>
      </c>
      <c r="AN221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05:59:39"},{"id":29,"name":"Sharepoint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804</v>
      </c>
      <c r="B222" s="7">
        <v>4036</v>
      </c>
      <c r="C222" s="21" t="s">
        <v>199</v>
      </c>
      <c r="D222" s="21" t="s">
        <v>964</v>
      </c>
      <c r="E222" s="13">
        <v>42931.864768518521</v>
      </c>
      <c r="F222" s="13">
        <v>42931.89199074074</v>
      </c>
      <c r="G222" s="7">
        <v>1</v>
      </c>
      <c r="H222" s="21" t="s">
        <v>423</v>
      </c>
      <c r="I222" s="13">
        <v>42931.898159722223</v>
      </c>
      <c r="J222" s="7">
        <v>0</v>
      </c>
      <c r="K222" s="89" t="str">
        <f t="shared" si="75"/>
        <v>4035/4036</v>
      </c>
      <c r="L222" s="21" t="str">
        <f>VLOOKUP(A222,'Trips&amp;Operators'!$C$1:$G$99999,5,FALSE)</f>
        <v>BIRENBAUM THOMAS</v>
      </c>
      <c r="M222" s="6">
        <f t="shared" si="76"/>
        <v>6.1689814829151146E-3</v>
      </c>
      <c r="N222" s="7">
        <f t="shared" si="86"/>
        <v>8.883333335397765</v>
      </c>
      <c r="O222" s="7"/>
      <c r="P222" s="7"/>
      <c r="Q222" s="22"/>
      <c r="R222" s="170"/>
      <c r="S222" s="213">
        <f t="shared" si="87"/>
        <v>0</v>
      </c>
      <c r="T222" s="195" t="str">
        <f t="shared" si="77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78"/>
        <v>https://d0f6bd738d7f1b3e5a7ca70fe4ff75f0.us-east-1.aws.found.io/app/kibana#/discover/Steve-Slow-Train-Analysis-(2080s-and-2083s)?_g=(refreshInterval:(display:Off,pause:!f,section:0,value:0),time:(from:'2017-07-15T19:45:16-0600',mode:absolute,to:'2017-07-15T22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2" s="197" t="str">
        <f>IF(AA222&lt;VLOOKUP(AG222,Variables!$AC$3:$AD$8,2,FALSE),"Y","N")</f>
        <v>Y</v>
      </c>
      <c r="X222" s="197">
        <f t="shared" si="88"/>
        <v>0</v>
      </c>
      <c r="Y222" s="197">
        <f t="shared" si="79"/>
        <v>18.995699999999999</v>
      </c>
      <c r="Z222" s="197">
        <f t="shared" si="80"/>
        <v>23.329499999999999</v>
      </c>
      <c r="AA222" s="197">
        <f t="shared" si="81"/>
        <v>4.3338000000000001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2"/>
        <v>62</v>
      </c>
      <c r="AE222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22" s="74" t="str">
        <f t="shared" si="84"/>
        <v>"C:\Program Files (x86)\AstroGrep\AstroGrep.exe" /e /r /s /spath="%USERPROFILE%\AppData\Local\Temp\OnboardLogs" /stypes="app*4036*20170716*" /stext=" 03:.+((SYSTEM_STATE.+slice.+state.+changed )|(ment ac)|(multiple cpu faults)|(system.+state.+changed )|(\[timeout)|(PRM\|1\|D)|(kpr)|(kdp)|(train st.+moving)|(\|lc)|(penalty))"</v>
      </c>
      <c r="AG222" s="209" t="str">
        <f t="shared" si="85"/>
        <v>Shuttle/Test</v>
      </c>
      <c r="AH222" s="78" t="str">
        <f t="shared" si="71"/>
        <v>"%USERPROFILE%\Documents\GitHub\eaglep3\Utilities\RefineRTDCRunTimes.py" --tripid 62-15 --locoid 4036 --swversion DE.1.0.9.0 --startMP 204:189957 --initTime 2017-07-15T20:45:16 --startdatetime 2017-07-15T21:24:28 --delay 1 --endMP 204:233295 --enddatetime 2017-07-15T21:33:21 --enforcementcount 0 &gt;&gt;C:\Users\stu\Documents\GitHub\eaglep3-reporting\EC\2017-07-15-refined-times.txt</v>
      </c>
      <c r="AI222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23.3295"},{"id":17,"name":"Train ID","value":"62-15"},{"id":16,"name":"Locomotive ID","value":"4036"},{"id":130,"name":"Impact","value":""},{"id":150,"name":"Time of Event (Mountain Time)","value":"21:33:21"},{"id":151,"name":"Denver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3"/>
        <v>start /low /b %USERPROFILE%\Documents\GitHub\eaglep3\Utilities\DownloadLogsFromS3.py --loco 4036 --day 2017-07-15</v>
      </c>
      <c r="AN222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804</v>
      </c>
      <c r="B223" s="7">
        <v>4036</v>
      </c>
      <c r="C223" s="21" t="s">
        <v>199</v>
      </c>
      <c r="D223" s="21" t="s">
        <v>965</v>
      </c>
      <c r="E223" s="13">
        <v>42931.911296296297</v>
      </c>
      <c r="F223" s="13">
        <v>42931.931932870371</v>
      </c>
      <c r="G223" s="7">
        <v>1</v>
      </c>
      <c r="H223" s="21" t="s">
        <v>422</v>
      </c>
      <c r="I223" s="13">
        <v>42931.938888888886</v>
      </c>
      <c r="J223" s="7">
        <v>0</v>
      </c>
      <c r="K223" s="89" t="str">
        <f t="shared" si="75"/>
        <v>4035/4036</v>
      </c>
      <c r="L223" s="21" t="str">
        <f>VLOOKUP(A223,'Trips&amp;Operators'!$C$1:$G$99999,5,FALSE)</f>
        <v>BIRENBAUM THOMAS</v>
      </c>
      <c r="M223" s="6">
        <f t="shared" si="76"/>
        <v>6.956018514756579E-3</v>
      </c>
      <c r="N223" s="7">
        <f t="shared" si="86"/>
        <v>10.016666661249474</v>
      </c>
      <c r="O223" s="7"/>
      <c r="P223" s="7"/>
      <c r="Q223" s="22"/>
      <c r="R223" s="170"/>
      <c r="S223" s="213">
        <f t="shared" si="87"/>
        <v>0</v>
      </c>
      <c r="T223" s="195" t="str">
        <f t="shared" si="77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78"/>
        <v>https://d0f6bd738d7f1b3e5a7ca70fe4ff75f0.us-east-1.aws.found.io/app/kibana#/discover/Steve-Slow-Train-Analysis-(2080s-and-2083s)?_g=(refreshInterval:(display:Off,pause:!f,section:0,value:0),time:(from:'2017-07-15T20:52:16-0600',mode:absolute,to:'2017-07-15T23:32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3" s="197" t="str">
        <f>IF(AA223&lt;VLOOKUP(AG223,Variables!$AC$3:$AD$8,2,FALSE),"Y","N")</f>
        <v>Y</v>
      </c>
      <c r="X223" s="197">
        <f t="shared" si="88"/>
        <v>0</v>
      </c>
      <c r="Y223" s="197">
        <f t="shared" si="79"/>
        <v>18.999300000000002</v>
      </c>
      <c r="Z223" s="197">
        <f t="shared" si="80"/>
        <v>23.329699999999999</v>
      </c>
      <c r="AA223" s="197">
        <f t="shared" si="81"/>
        <v>4.3303999999999974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2"/>
        <v>62</v>
      </c>
      <c r="AE223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23" s="74" t="str">
        <f t="shared" si="84"/>
        <v>"C:\Program Files (x86)\AstroGrep\AstroGrep.exe" /e /r /s /spath="%USERPROFILE%\AppData\Local\Temp\OnboardLogs" /stypes="app*4036*20170716*" /stext=" 04:.+((SYSTEM_STATE.+slice.+state.+changed )|(ment ac)|(multiple cpu faults)|(system.+state.+changed )|(\[timeout)|(PRM\|1\|D)|(kpr)|(kdp)|(train st.+moving)|(\|lc)|(penalty))"</v>
      </c>
      <c r="AG223" s="209" t="str">
        <f t="shared" si="85"/>
        <v>Shuttle/Test</v>
      </c>
      <c r="AH223" s="78" t="str">
        <f t="shared" si="71"/>
        <v>"%USERPROFILE%\Documents\GitHub\eaglep3\Utilities\RefineRTDCRunTimes.py" --tripid 62-15 --locoid 4036 --swversion DE.1.0.9.0 --startMP 204:189993 --initTime 2017-07-15T21:52:16 --startdatetime 2017-07-15T22:21:59 --delay 1 --endMP 204:233297 --enddatetime 2017-07-15T22:32:00 --enforcementcount 0 &gt;&gt;C:\Users\stu\Documents\GitHub\eaglep3-reporting\EC\2017-07-15-refined-times.txt</v>
      </c>
      <c r="AI223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23.3297"},{"id":17,"name":"Train ID","value":"62-15"},{"id":16,"name":"Locomotive ID","value":"4036"},{"id":130,"name":"Impact","value":""},{"id":150,"name":"Time of Event (Mountain Time)","value":"22:32:00"},{"id":151,"name":"Denver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3"/>
        <v>start /low /b %USERPROFILE%\Documents\GitHub\eaglep3\Utilities\DownloadLogsFromS3.py --loco 4036 --day 2017-07-15</v>
      </c>
      <c r="AN223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04:32:00"},{"id":29,"name":"Sharepoint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804</v>
      </c>
      <c r="B224" s="7">
        <v>4036</v>
      </c>
      <c r="C224" s="21" t="s">
        <v>199</v>
      </c>
      <c r="D224" s="21" t="s">
        <v>966</v>
      </c>
      <c r="E224" s="13">
        <v>42931.890659722223</v>
      </c>
      <c r="F224" s="13">
        <v>42931.912638888891</v>
      </c>
      <c r="G224" s="7">
        <v>1</v>
      </c>
      <c r="H224" s="21" t="s">
        <v>501</v>
      </c>
      <c r="I224" s="13">
        <v>42931.919444444444</v>
      </c>
      <c r="J224" s="7">
        <v>0</v>
      </c>
      <c r="K224" s="89" t="str">
        <f t="shared" si="75"/>
        <v>4035/4036</v>
      </c>
      <c r="L224" s="21" t="str">
        <f>VLOOKUP(A224,'Trips&amp;Operators'!$C$1:$G$99999,5,FALSE)</f>
        <v>BIRENBAUM THOMAS</v>
      </c>
      <c r="M224" s="6">
        <f t="shared" si="76"/>
        <v>6.805555553000886E-3</v>
      </c>
      <c r="N224" s="7">
        <f t="shared" si="86"/>
        <v>9.7999999963212758</v>
      </c>
      <c r="O224" s="7"/>
      <c r="P224" s="7"/>
      <c r="Q224" s="22"/>
      <c r="R224" s="170"/>
      <c r="S224" s="213">
        <f t="shared" si="87"/>
        <v>0</v>
      </c>
      <c r="T224" s="195" t="str">
        <f t="shared" si="77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8"/>
        <v>https://d0f6bd738d7f1b3e5a7ca70fe4ff75f0.us-east-1.aws.found.io/app/kibana#/discover/Steve-Slow-Train-Analysis-(2080s-and-2083s)?_g=(refreshInterval:(display:Off,pause:!f,section:0,value:0),time:(from:'2017-07-15T20:22:33-0600',mode:absolute,to:'2017-07-15T23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4" s="197" t="str">
        <f>IF(AA224&lt;VLOOKUP(AG224,Variables!$AC$3:$AD$8,2,FALSE),"Y","N")</f>
        <v>Y</v>
      </c>
      <c r="X224" s="197">
        <f t="shared" si="88"/>
        <v>0</v>
      </c>
      <c r="Y224" s="197">
        <f t="shared" si="79"/>
        <v>19.0029</v>
      </c>
      <c r="Z224" s="197">
        <f t="shared" si="80"/>
        <v>23.330200000000001</v>
      </c>
      <c r="AA224" s="197">
        <f t="shared" si="81"/>
        <v>4.327300000000001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2"/>
        <v>62</v>
      </c>
      <c r="AE224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24" s="74" t="str">
        <f t="shared" si="84"/>
        <v>"C:\Program Files (x86)\AstroGrep\AstroGrep.exe" /e /r /s /spath="%USERPROFILE%\AppData\Local\Temp\OnboardLogs" /stypes="app*4036*20170716*" /stext=" 04:.+((SYSTEM_STATE.+slice.+state.+changed )|(ment ac)|(multiple cpu faults)|(system.+state.+changed )|(\[timeout)|(PRM\|1\|D)|(kpr)|(kdp)|(train st.+moving)|(\|lc)|(penalty))"</v>
      </c>
      <c r="AG224" s="209" t="str">
        <f t="shared" si="85"/>
        <v>Shuttle/Test</v>
      </c>
      <c r="AH224" s="78" t="str">
        <f t="shared" si="71"/>
        <v>"%USERPROFILE%\Documents\GitHub\eaglep3\Utilities\RefineRTDCRunTimes.py" --tripid 62-15 --locoid 4036 --swversion DE.1.0.9.0 --startMP 204:190029 --initTime 2017-07-15T21:22:33 --startdatetime 2017-07-15T21:54:12 --delay 1 --endMP 204:233302 --enddatetime 2017-07-15T22:04:00 --enforcementcount 0 &gt;&gt;C:\Users\stu\Documents\GitHub\eaglep3-reporting\EC\2017-07-15-refined-times.txt</v>
      </c>
      <c r="AI224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23.3302"},{"id":17,"name":"Train ID","value":"62-15"},{"id":16,"name":"Locomotive ID","value":"4036"},{"id":130,"name":"Impact","value":""},{"id":150,"name":"Time of Event (Mountain Time)","value":"22:04:00"},{"id":151,"name":"Denver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3"/>
        <v>start /low /b %USERPROFILE%\Documents\GitHub\eaglep3\Utilities\DownloadLogsFromS3.py --loco 4036 --day 2017-07-15</v>
      </c>
      <c r="AN224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804</v>
      </c>
      <c r="B225" s="7">
        <v>4036</v>
      </c>
      <c r="C225" s="21" t="s">
        <v>199</v>
      </c>
      <c r="D225" s="21" t="s">
        <v>863</v>
      </c>
      <c r="E225" s="13">
        <v>42931.824537037035</v>
      </c>
      <c r="F225" s="13">
        <v>42931.866319444445</v>
      </c>
      <c r="G225" s="7">
        <v>1</v>
      </c>
      <c r="H225" s="21" t="s">
        <v>416</v>
      </c>
      <c r="I225" s="13">
        <v>42931.875740740739</v>
      </c>
      <c r="J225" s="7">
        <v>0</v>
      </c>
      <c r="K225" s="89" t="str">
        <f t="shared" si="75"/>
        <v>4035/4036</v>
      </c>
      <c r="L225" s="21" t="str">
        <f>VLOOKUP(A225,'Trips&amp;Operators'!$C$1:$G$99999,5,FALSE)</f>
        <v>BIRENBAUM THOMAS</v>
      </c>
      <c r="M225" s="6">
        <f t="shared" si="76"/>
        <v>9.4212962940218858E-3</v>
      </c>
      <c r="N225" s="7">
        <f t="shared" si="86"/>
        <v>13.566666663391516</v>
      </c>
      <c r="O225" s="7"/>
      <c r="P225" s="7"/>
      <c r="Q225" s="22"/>
      <c r="R225" s="170"/>
      <c r="S225" s="213">
        <f t="shared" si="87"/>
        <v>0</v>
      </c>
      <c r="T225" s="195" t="str">
        <f t="shared" si="77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8"/>
        <v>https://d0f6bd738d7f1b3e5a7ca70fe4ff75f0.us-east-1.aws.found.io/app/kibana#/discover/Steve-Slow-Train-Analysis-(2080s-and-2083s)?_g=(refreshInterval:(display:Off,pause:!f,section:0,value:0),time:(from:'2017-07-15T18:47:20-0600',mode:absolute,to:'2017-07-15T22:01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5" s="197" t="str">
        <f>IF(AA225&lt;VLOOKUP(AG225,Variables!$AC$3:$AD$8,2,FALSE),"Y","N")</f>
        <v>Y</v>
      </c>
      <c r="X225" s="197">
        <f t="shared" si="88"/>
        <v>0</v>
      </c>
      <c r="Y225" s="197">
        <f t="shared" si="79"/>
        <v>4.7699999999999999E-2</v>
      </c>
      <c r="Z225" s="197">
        <f t="shared" si="80"/>
        <v>23.331199999999999</v>
      </c>
      <c r="AA225" s="197">
        <f t="shared" si="81"/>
        <v>23.2835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2"/>
        <v>62</v>
      </c>
      <c r="AE225" s="77" t="str">
        <f t="shared" si="83"/>
        <v>aws s3 cp s3://rtdc.mdm.uploadarchive.raw/RTDC4036/ "%USERPROFILE%\AppData\Local\Temp\OnboardLogs"\RTDC4036\2017-07-15 --exclude "*" --recursive --include "*20170715*" &amp; "%USERPROFILE%\Documents\GitHub\mrs-test-scripts\Headless Mode &amp; Sideloading\WalkAndUnGZ.bat" "%USERPROFILE%\AppData\Local\Temp\OnboardLogs"\RTDC4036\2017-07-15 &amp; 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</v>
      </c>
      <c r="AF225" s="74" t="str">
        <f t="shared" si="84"/>
        <v>"C:\Program Files (x86)\AstroGrep\AstroGrep.exe" /e /r /s /spath="%USERPROFILE%\AppData\Local\Temp\OnboardLogs" /stypes="app*4036*20170716*" /stext=" 03:.+((SYSTEM_STATE.+slice.+state.+changed )|(ment ac)|(multiple cpu faults)|(system.+state.+changed )|(\[timeout)|(PRM\|1\|D)|(kpr)|(kdp)|(train st.+moving)|(\|lc)|(penalty))"</v>
      </c>
      <c r="AG225" s="209" t="str">
        <f t="shared" si="85"/>
        <v>Shuttle/Test</v>
      </c>
      <c r="AH225" s="78" t="str">
        <f t="shared" si="71"/>
        <v>"%USERPROFILE%\Documents\GitHub\eaglep3\Utilities\RefineRTDCRunTimes.py" --tripid 62-15 --locoid 4036 --swversion DE.1.0.9.0 --startMP 204:477 --initTime 2017-07-15T19:47:20 --startdatetime 2017-07-15T20:47:30 --delay 1 --endMP 204:233312 --enddatetime 2017-07-15T21:01:04 --enforcementcount 0 &gt;&gt;C:\Users\stu\Documents\GitHub\eaglep3-reporting\EC\2017-07-15-refined-times.txt</v>
      </c>
      <c r="AI225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23.3312"},{"id":17,"name":"Train ID","value":"62-15"},{"id":16,"name":"Locomotive ID","value":"4036"},{"id":130,"name":"Impact","value":""},{"id":150,"name":"Time of Event (Mountain Time)","value":"21:01:04"},{"id":151,"name":"Denver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3"/>
        <v>start /low /b %USERPROFILE%\Documents\GitHub\eaglep3\Utilities\DownloadLogsFromS3.py --loco 4036 --day 2017-07-15</v>
      </c>
      <c r="AN225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03:01:04"},{"id":29,"name":"Sharepoint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810</v>
      </c>
      <c r="B226" s="7">
        <v>4035</v>
      </c>
      <c r="C226" s="21" t="s">
        <v>199</v>
      </c>
      <c r="D226" s="21" t="s">
        <v>860</v>
      </c>
      <c r="E226" s="13">
        <v>42931.920370370368</v>
      </c>
      <c r="F226" s="13">
        <v>42931.944548611114</v>
      </c>
      <c r="G226" s="7">
        <v>1</v>
      </c>
      <c r="H226" s="21" t="s">
        <v>967</v>
      </c>
      <c r="I226" s="13">
        <v>42931.951261574075</v>
      </c>
      <c r="J226" s="7">
        <v>0</v>
      </c>
      <c r="K226" s="89" t="str">
        <f t="shared" si="75"/>
        <v>4035/4036</v>
      </c>
      <c r="L226" s="21" t="str">
        <f>VLOOKUP(A226,'Trips&amp;Operators'!$C$1:$G$99999,5,FALSE)</f>
        <v>BIRENBAUM THOMAS</v>
      </c>
      <c r="M226" s="6">
        <f t="shared" si="76"/>
        <v>6.7129629605915397E-3</v>
      </c>
      <c r="N226" s="7">
        <f t="shared" si="86"/>
        <v>9.6666666632518172</v>
      </c>
      <c r="O226" s="7"/>
      <c r="P226" s="7"/>
      <c r="Q226" s="22"/>
      <c r="R226" s="170"/>
      <c r="S226" s="213">
        <f t="shared" si="87"/>
        <v>0</v>
      </c>
      <c r="T226" s="195" t="str">
        <f t="shared" si="77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8"/>
        <v>https://d0f6bd738d7f1b3e5a7ca70fe4ff75f0.us-east-1.aws.found.io/app/kibana#/discover/Steve-Slow-Train-Analysis-(2080s-and-2083s)?_g=(refreshInterval:(display:Off,pause:!f,section:0,value:0),time:(from:'2017-07-15T21:05:20-0600',mode:absolute,to:'2017-07-15T23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6" s="197" t="str">
        <f>IF(AA226&lt;VLOOKUP(AG226,Variables!$AC$3:$AD$8,2,FALSE),"Y","N")</f>
        <v>Y</v>
      </c>
      <c r="X226" s="197">
        <f t="shared" si="88"/>
        <v>22</v>
      </c>
      <c r="Y226" s="197">
        <f t="shared" si="79"/>
        <v>23.297599999999999</v>
      </c>
      <c r="Z226" s="197">
        <f t="shared" si="80"/>
        <v>18.936900000000001</v>
      </c>
      <c r="AA226" s="197">
        <f t="shared" si="81"/>
        <v>4.3606999999999978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2"/>
        <v>84</v>
      </c>
      <c r="AE226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26" s="74" t="str">
        <f t="shared" si="84"/>
        <v>"C:\Program Files (x86)\AstroGrep\AstroGrep.exe" /e /r /s /spath="%USERPROFILE%\AppData\Local\Temp\OnboardLogs" /stypes="app*4035*20170716*" /stext=" 04:.+((SYSTEM_STATE.+slice.+state.+changed )|(ment ac)|(multiple cpu faults)|(system.+state.+changed )|(\[timeout)|(PRM\|1\|D)|(kpr)|(kdp)|(train st.+moving)|(\|lc)|(penalty))"</v>
      </c>
      <c r="AG226" s="209" t="str">
        <f t="shared" si="85"/>
        <v>Shuttle/Test</v>
      </c>
      <c r="AH226" s="78" t="str">
        <f t="shared" si="71"/>
        <v>"%USERPROFILE%\Documents\GitHub\eaglep3\Utilities\RefineRTDCRunTimes.py" --tripid 84-15 --locoid 4035 --swversion DE.1.0.9.0 --startMP 204:232976 --initTime 2017-07-15T22:05:20 --startdatetime 2017-07-15T22:40:09 --delay 1 --endMP 204:189369 --enddatetime 2017-07-15T22:49:49 --enforcementcount 0 &gt;&gt;C:\Users\stu\Documents\GitHub\eaglep3-reporting\EC\2017-07-15-refined-times.txt</v>
      </c>
      <c r="AI226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18.9369"},{"id":17,"name":"Train ID","value":"84-15"},{"id":16,"name":"Locomotive ID","value":"4035"},{"id":130,"name":"Impact","value":""},{"id":150,"name":"Time of Event (Mountain Time)","value":"22:49:49"},{"id":151,"name":"Denver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3"/>
        <v>start /low /b %USERPROFILE%\Documents\GitHub\eaglep3\Utilities\DownloadLogsFromS3.py --loco 4035 --day 2017-07-15</v>
      </c>
      <c r="AN226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810</v>
      </c>
      <c r="B227" s="7">
        <v>4035</v>
      </c>
      <c r="C227" s="21" t="s">
        <v>199</v>
      </c>
      <c r="D227" s="21" t="s">
        <v>871</v>
      </c>
      <c r="E227" s="13">
        <v>42931.984502314815</v>
      </c>
      <c r="F227" s="13">
        <v>42932.012962962966</v>
      </c>
      <c r="G227" s="7">
        <v>1</v>
      </c>
      <c r="H227" s="21" t="s">
        <v>968</v>
      </c>
      <c r="I227" s="13">
        <v>42932.039965277778</v>
      </c>
      <c r="J227" s="7">
        <v>0</v>
      </c>
      <c r="K227" s="89" t="str">
        <f t="shared" si="75"/>
        <v>4035/4036</v>
      </c>
      <c r="L227" s="21" t="str">
        <f>VLOOKUP(A227,'Trips&amp;Operators'!$C$1:$G$99999,5,FALSE)</f>
        <v>BIRENBAUM THOMAS</v>
      </c>
      <c r="M227" s="6">
        <f t="shared" si="76"/>
        <v>2.700231481139781E-2</v>
      </c>
      <c r="N227" s="7">
        <f t="shared" si="86"/>
        <v>38.883333328412846</v>
      </c>
      <c r="O227" s="7"/>
      <c r="P227" s="7"/>
      <c r="Q227" s="22"/>
      <c r="R227" s="170"/>
      <c r="S227" s="213">
        <f t="shared" si="87"/>
        <v>0</v>
      </c>
      <c r="T227" s="195" t="str">
        <f t="shared" si="77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8"/>
        <v>https://d0f6bd738d7f1b3e5a7ca70fe4ff75f0.us-east-1.aws.found.io/app/kibana#/discover/Steve-Slow-Train-Analysis-(2080s-and-2083s)?_g=(refreshInterval:(display:Off,pause:!f,section:0,value:0),time:(from:'2017-07-15T22:37:41-0600',mode:absolute,to:'2017-07-16T01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197" t="str">
        <f>IF(AA227&lt;VLOOKUP(AG227,Variables!$AC$3:$AD$8,2,FALSE),"Y","N")</f>
        <v>Y</v>
      </c>
      <c r="X227" s="197">
        <f t="shared" si="88"/>
        <v>0</v>
      </c>
      <c r="Y227" s="197">
        <f t="shared" si="79"/>
        <v>23.297699999999999</v>
      </c>
      <c r="Z227" s="197">
        <f t="shared" si="80"/>
        <v>18.953299999999999</v>
      </c>
      <c r="AA227" s="197">
        <f t="shared" si="81"/>
        <v>4.3444000000000003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2"/>
        <v>84</v>
      </c>
      <c r="AE227" s="77" t="str">
        <f t="shared" si="83"/>
        <v>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 &amp; aws s3 cp s3://rtdc.mdm.uploadarchive.raw/RTDC4035/ "%USERPROFILE%\AppData\Local\Temp\OnboardLogs"\RTDC4035\2017-07-17 --exclude "*" --recursive --include "*20170717*" &amp; "%USERPROFILE%\Documents\GitHub\mrs-test-scripts\Headless Mode &amp; Sideloading\WalkAndUnGZ.bat" "%USERPROFILE%\AppData\Local\Temp\OnboardLogs"\RTDC4035\2017-07-17</v>
      </c>
      <c r="AF227" s="74" t="str">
        <f t="shared" si="84"/>
        <v>"C:\Program Files (x86)\AstroGrep\AstroGrep.exe" /e /r /s /spath="%USERPROFILE%\AppData\Local\Temp\OnboardLogs" /stypes="app*4035*20170716*" /stext=" 06:.+((SYSTEM_STATE.+slice.+state.+changed )|(ment ac)|(multiple cpu faults)|(system.+state.+changed )|(\[timeout)|(PRM\|1\|D)|(kpr)|(kdp)|(train st.+moving)|(\|lc)|(penalty))"</v>
      </c>
      <c r="AG227" s="209" t="str">
        <f t="shared" si="85"/>
        <v>Shuttle/Test</v>
      </c>
      <c r="AH227" s="78" t="str">
        <f t="shared" si="71"/>
        <v>"%USERPROFILE%\Documents\GitHub\eaglep3\Utilities\RefineRTDCRunTimes.py" --tripid 84-15 --locoid 4035 --swversion DE.1.0.9.0 --startMP 204:232977 --initTime 2017-07-15T23:37:41 --startdatetime 2017-07-16T00:18:40 --delay 1 --endMP 204:189533 --enddatetime 2017-07-16T00:57:33 --enforcementcount 0 &gt;&gt;C:\Users\stu\Documents\GitHub\eaglep3-reporting\EC\2017-07-15-refined-times.txt</v>
      </c>
      <c r="AI227" s="96" t="str">
        <f t="shared" si="72"/>
        <v>echo {"issue":{"subject":"","project_id":79,"tracker_id":40,"status_id":1,"priority_id":2,"assigned_to_id":23,"start_date":"2017-07-16","description":"","custom_fields":[{"id":1,"name":"Subdivision","value":"Shuttle/Test"},{"id":4,"name":"Milepost","value":"18.9533"},{"id":17,"name":"Train ID","value":"84-15"},{"id":16,"name":"Locomotive ID","value":"4035"},{"id":130,"name":"Impact","value":""},{"id":150,"name":"Time of Event (Mountain Time)","value":"00:57:33"},{"id":151,"name":"Denver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73"/>
        <v>start /low /b %USERPROFILE%\Documents\GitHub\eaglep3\Utilities\DownloadLogsFromS3.py --loco 4035 --day 2017-07-16</v>
      </c>
      <c r="AN227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06:57:33"},{"id":29,"name":"Sharepoint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810</v>
      </c>
      <c r="B228" s="7">
        <v>4035</v>
      </c>
      <c r="C228" s="21" t="s">
        <v>199</v>
      </c>
      <c r="D228" s="21" t="s">
        <v>969</v>
      </c>
      <c r="E228" s="13">
        <v>42931.964560185188</v>
      </c>
      <c r="F228" s="13">
        <v>42931.986157407409</v>
      </c>
      <c r="G228" s="7">
        <v>1</v>
      </c>
      <c r="H228" s="21" t="s">
        <v>970</v>
      </c>
      <c r="I228" s="13">
        <v>42931.992743055554</v>
      </c>
      <c r="J228" s="7">
        <v>0</v>
      </c>
      <c r="K228" s="89" t="str">
        <f t="shared" si="75"/>
        <v>4035/4036</v>
      </c>
      <c r="L228" s="21" t="str">
        <f>VLOOKUP(A228,'Trips&amp;Operators'!$C$1:$G$99999,5,FALSE)</f>
        <v>BIRENBAUM THOMAS</v>
      </c>
      <c r="M228" s="6">
        <f t="shared" si="76"/>
        <v>6.5856481451191939E-3</v>
      </c>
      <c r="N228" s="7">
        <f t="shared" si="86"/>
        <v>9.4833333289716393</v>
      </c>
      <c r="O228" s="7"/>
      <c r="P228" s="7"/>
      <c r="Q228" s="22"/>
      <c r="R228" s="170"/>
      <c r="S228" s="213">
        <f t="shared" si="87"/>
        <v>0</v>
      </c>
      <c r="T228" s="195" t="str">
        <f t="shared" si="77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8"/>
        <v>https://d0f6bd738d7f1b3e5a7ca70fe4ff75f0.us-east-1.aws.found.io/app/kibana#/discover/Steve-Slow-Train-Analysis-(2080s-and-2083s)?_g=(refreshInterval:(display:Off,pause:!f,section:0,value:0),time:(from:'2017-07-15T22:08:58-0600',mode:absolute,to:'2017-07-16T00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8" s="197" t="str">
        <f>IF(AA228&lt;VLOOKUP(AG228,Variables!$AC$3:$AD$8,2,FALSE),"Y","N")</f>
        <v>Y</v>
      </c>
      <c r="X228" s="197">
        <f t="shared" si="88"/>
        <v>0</v>
      </c>
      <c r="Y228" s="197">
        <f t="shared" si="79"/>
        <v>23.297899999999998</v>
      </c>
      <c r="Z228" s="197">
        <f t="shared" si="80"/>
        <v>18.9575</v>
      </c>
      <c r="AA228" s="197">
        <f t="shared" si="81"/>
        <v>4.3403999999999989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2"/>
        <v>84</v>
      </c>
      <c r="AE228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28" s="74" t="str">
        <f t="shared" si="84"/>
        <v>"C:\Program Files (x86)\AstroGrep\AstroGrep.exe" /e /r /s /spath="%USERPROFILE%\AppData\Local\Temp\OnboardLogs" /stypes="app*4035*20170716*" /stext=" 05:.+((SYSTEM_STATE.+slice.+state.+changed )|(ment ac)|(multiple cpu faults)|(system.+state.+changed )|(\[timeout)|(PRM\|1\|D)|(kpr)|(kdp)|(train st.+moving)|(\|lc)|(penalty))"</v>
      </c>
      <c r="AG228" s="209" t="str">
        <f t="shared" si="85"/>
        <v>Shuttle/Test</v>
      </c>
      <c r="AH228" s="78" t="str">
        <f t="shared" si="71"/>
        <v>"%USERPROFILE%\Documents\GitHub\eaglep3\Utilities\RefineRTDCRunTimes.py" --tripid 84-15 --locoid 4035 --swversion DE.1.0.9.0 --startMP 204:232979 --initTime 2017-07-15T23:08:58 --startdatetime 2017-07-15T23:40:04 --delay 1 --endMP 204:189575 --enddatetime 2017-07-15T23:49:33 --enforcementcount 0 &gt;&gt;C:\Users\stu\Documents\GitHub\eaglep3-reporting\EC\2017-07-15-refined-times.txt</v>
      </c>
      <c r="AI228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18.9575"},{"id":17,"name":"Train ID","value":"84-15"},{"id":16,"name":"Locomotive ID","value":"4035"},{"id":130,"name":"Impact","value":""},{"id":150,"name":"Time of Event (Mountain Time)","value":"23:49:33"},{"id":151,"name":"Denver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3"/>
        <v>start /low /b %USERPROFILE%\Documents\GitHub\eaglep3\Utilities\DownloadLogsFromS3.py --loco 4035 --day 2017-07-15</v>
      </c>
      <c r="AN228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810</v>
      </c>
      <c r="B229" s="7">
        <v>4035</v>
      </c>
      <c r="C229" s="21" t="s">
        <v>199</v>
      </c>
      <c r="D229" s="21" t="s">
        <v>529</v>
      </c>
      <c r="E229" s="13">
        <v>42931.88144675926</v>
      </c>
      <c r="F229" s="13">
        <v>42931.900775462964</v>
      </c>
      <c r="G229" s="7">
        <v>1</v>
      </c>
      <c r="H229" s="21" t="s">
        <v>971</v>
      </c>
      <c r="I229" s="13">
        <v>42931.91028935185</v>
      </c>
      <c r="J229" s="7">
        <v>0</v>
      </c>
      <c r="K229" s="89" t="str">
        <f t="shared" si="75"/>
        <v>4035/4036</v>
      </c>
      <c r="L229" s="21" t="str">
        <f>VLOOKUP(A229,'Trips&amp;Operators'!$C$1:$G$99999,5,FALSE)</f>
        <v>BIRENBAUM THOMAS</v>
      </c>
      <c r="M229" s="6">
        <f t="shared" si="76"/>
        <v>9.5138888864312321E-3</v>
      </c>
      <c r="N229" s="7">
        <f t="shared" si="86"/>
        <v>13.699999996460974</v>
      </c>
      <c r="O229" s="7"/>
      <c r="P229" s="7"/>
      <c r="Q229" s="22"/>
      <c r="R229" s="170"/>
      <c r="S229" s="213">
        <f t="shared" si="87"/>
        <v>0</v>
      </c>
      <c r="T229" s="195" t="str">
        <f t="shared" si="77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8"/>
        <v>https://d0f6bd738d7f1b3e5a7ca70fe4ff75f0.us-east-1.aws.found.io/app/kibana#/discover/Steve-Slow-Train-Analysis-(2080s-and-2083s)?_g=(refreshInterval:(display:Off,pause:!f,section:0,value:0),time:(from:'2017-07-15T20:09:17-0600',mode:absolute,to:'2017-07-15T22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9" s="197" t="str">
        <f>IF(AA229&lt;VLOOKUP(AG229,Variables!$AC$3:$AD$8,2,FALSE),"Y","N")</f>
        <v>Y</v>
      </c>
      <c r="X229" s="197">
        <f t="shared" si="88"/>
        <v>0</v>
      </c>
      <c r="Y229" s="197">
        <f t="shared" si="79"/>
        <v>23.2987</v>
      </c>
      <c r="Z229" s="197">
        <f t="shared" si="80"/>
        <v>18.9724</v>
      </c>
      <c r="AA229" s="197">
        <f t="shared" si="81"/>
        <v>4.3262999999999998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2"/>
        <v>84</v>
      </c>
      <c r="AE229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29" s="74" t="str">
        <f t="shared" si="84"/>
        <v>"C:\Program Files (x86)\AstroGrep\AstroGrep.exe" /e /r /s /spath="%USERPROFILE%\AppData\Local\Temp\OnboardLogs" /stypes="app*4035*20170716*" /stext=" 03:.+((SYSTEM_STATE.+slice.+state.+changed )|(ment ac)|(multiple cpu faults)|(system.+state.+changed )|(\[timeout)|(PRM\|1\|D)|(kpr)|(kdp)|(train st.+moving)|(\|lc)|(penalty))"</v>
      </c>
      <c r="AG229" s="209" t="str">
        <f t="shared" si="85"/>
        <v>Shuttle/Test</v>
      </c>
      <c r="AH229" s="78" t="str">
        <f t="shared" si="71"/>
        <v>"%USERPROFILE%\Documents\GitHub\eaglep3\Utilities\RefineRTDCRunTimes.py" --tripid 84-15 --locoid 4035 --swversion DE.1.0.9.0 --startMP 204:232987 --initTime 2017-07-15T21:09:17 --startdatetime 2017-07-15T21:37:07 --delay 1 --endMP 204:189724 --enddatetime 2017-07-15T21:50:49 --enforcementcount 0 &gt;&gt;C:\Users\stu\Documents\GitHub\eaglep3-reporting\EC\2017-07-15-refined-times.txt</v>
      </c>
      <c r="AI229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18.9724"},{"id":17,"name":"Train ID","value":"84-15"},{"id":16,"name":"Locomotive ID","value":"4035"},{"id":130,"name":"Impact","value":""},{"id":150,"name":"Time of Event (Mountain Time)","value":"21:50:49"},{"id":151,"name":"Denver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3"/>
        <v>start /low /b %USERPROFILE%\Documents\GitHub\eaglep3\Utilities\DownloadLogsFromS3.py --loco 4035 --day 2017-07-15</v>
      </c>
      <c r="AN229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810</v>
      </c>
      <c r="B230" s="7">
        <v>4035</v>
      </c>
      <c r="C230" s="21" t="s">
        <v>199</v>
      </c>
      <c r="D230" s="21" t="s">
        <v>506</v>
      </c>
      <c r="E230" s="13">
        <v>42931.899340277778</v>
      </c>
      <c r="F230" s="13">
        <v>42931.922511574077</v>
      </c>
      <c r="G230" s="7">
        <v>1</v>
      </c>
      <c r="H230" s="21" t="s">
        <v>972</v>
      </c>
      <c r="I230" s="13">
        <v>42931.929444444446</v>
      </c>
      <c r="J230" s="7">
        <v>0</v>
      </c>
      <c r="K230" s="89" t="str">
        <f t="shared" si="75"/>
        <v>4035/4036</v>
      </c>
      <c r="L230" s="21" t="str">
        <f>VLOOKUP(A230,'Trips&amp;Operators'!$C$1:$G$99999,5,FALSE)</f>
        <v>BIRENBAUM THOMAS</v>
      </c>
      <c r="M230" s="6">
        <f t="shared" si="76"/>
        <v>6.9328703684732318E-3</v>
      </c>
      <c r="N230" s="7">
        <f t="shared" si="86"/>
        <v>9.9833333306014538</v>
      </c>
      <c r="O230" s="7"/>
      <c r="P230" s="7"/>
      <c r="Q230" s="22"/>
      <c r="R230" s="170"/>
      <c r="S230" s="213">
        <f t="shared" si="87"/>
        <v>0</v>
      </c>
      <c r="T230" s="195" t="str">
        <f t="shared" si="77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78"/>
        <v>https://d0f6bd738d7f1b3e5a7ca70fe4ff75f0.us-east-1.aws.found.io/app/kibana#/discover/Steve-Slow-Train-Analysis-(2080s-and-2083s)?_g=(refreshInterval:(display:Off,pause:!f,section:0,value:0),time:(from:'2017-07-15T20:35:03-0600',mode:absolute,to:'2017-07-15T23:18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0" s="197" t="str">
        <f>IF(AA230&lt;VLOOKUP(AG230,Variables!$AC$3:$AD$8,2,FALSE),"Y","N")</f>
        <v>Y</v>
      </c>
      <c r="X230" s="197">
        <f t="shared" si="88"/>
        <v>0</v>
      </c>
      <c r="Y230" s="197">
        <f t="shared" si="79"/>
        <v>23.299399999999999</v>
      </c>
      <c r="Z230" s="197">
        <f t="shared" si="80"/>
        <v>18.9681</v>
      </c>
      <c r="AA230" s="197">
        <f t="shared" si="81"/>
        <v>4.3312999999999988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2"/>
        <v>84</v>
      </c>
      <c r="AE230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30" s="74" t="str">
        <f t="shared" si="84"/>
        <v>"C:\Program Files (x86)\AstroGrep\AstroGrep.exe" /e /r /s /spath="%USERPROFILE%\AppData\Local\Temp\OnboardLogs" /stypes="app*4035*20170716*" /stext=" 04:.+((SYSTEM_STATE.+slice.+state.+changed )|(ment ac)|(multiple cpu faults)|(system.+state.+changed )|(\[timeout)|(PRM\|1\|D)|(kpr)|(kdp)|(train st.+moving)|(\|lc)|(penalty))"</v>
      </c>
      <c r="AG230" s="209" t="str">
        <f t="shared" si="85"/>
        <v>Shuttle/Test</v>
      </c>
      <c r="AH230" s="78" t="str">
        <f t="shared" si="71"/>
        <v>"%USERPROFILE%\Documents\GitHub\eaglep3\Utilities\RefineRTDCRunTimes.py" --tripid 84-15 --locoid 4035 --swversion DE.1.0.9.0 --startMP 204:232994 --initTime 2017-07-15T21:35:03 --startdatetime 2017-07-15T22:08:25 --delay 1 --endMP 204:189681 --enddatetime 2017-07-15T22:18:24 --enforcementcount 0 &gt;&gt;C:\Users\stu\Documents\GitHub\eaglep3-reporting\EC\2017-07-15-refined-times.txt</v>
      </c>
      <c r="AI230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18.9681"},{"id":17,"name":"Train ID","value":"84-15"},{"id":16,"name":"Locomotive ID","value":"4035"},{"id":130,"name":"Impact","value":""},{"id":150,"name":"Time of Event (Mountain Time)","value":"22:18:24"},{"id":151,"name":"Denver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3"/>
        <v>start /low /b %USERPROFILE%\Documents\GitHub\eaglep3\Utilities\DownloadLogsFromS3.py --loco 4035 --day 2017-07-15</v>
      </c>
      <c r="AN230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04:18:24"},{"id":29,"name":"Sharepoint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810</v>
      </c>
      <c r="B231" s="7">
        <v>4035</v>
      </c>
      <c r="C231" s="21" t="s">
        <v>199</v>
      </c>
      <c r="D231" s="21" t="s">
        <v>506</v>
      </c>
      <c r="E231" s="13">
        <v>42932.010613425926</v>
      </c>
      <c r="F231" s="13">
        <v>42932.044120370374</v>
      </c>
      <c r="G231" s="7">
        <v>2</v>
      </c>
      <c r="H231" s="21" t="s">
        <v>973</v>
      </c>
      <c r="I231" s="13">
        <v>42932.052256944444</v>
      </c>
      <c r="J231" s="7">
        <v>0</v>
      </c>
      <c r="K231" s="89" t="str">
        <f t="shared" si="75"/>
        <v>4035/4036</v>
      </c>
      <c r="L231" s="21" t="str">
        <f>VLOOKUP(A231,'Trips&amp;Operators'!$C$1:$G$99999,5,FALSE)</f>
        <v>BIRENBAUM THOMAS</v>
      </c>
      <c r="M231" s="6">
        <f t="shared" si="76"/>
        <v>8.1365740697947331E-3</v>
      </c>
      <c r="N231" s="7">
        <f t="shared" si="86"/>
        <v>11.716666660504416</v>
      </c>
      <c r="O231" s="7"/>
      <c r="P231" s="7"/>
      <c r="Q231" s="22"/>
      <c r="R231" s="170"/>
      <c r="S231" s="213">
        <f t="shared" si="87"/>
        <v>1</v>
      </c>
      <c r="T231" s="195" t="str">
        <f t="shared" si="77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8"/>
        <v>https://d0f6bd738d7f1b3e5a7ca70fe4ff75f0.us-east-1.aws.found.io/app/kibana#/discover/Steve-Slow-Train-Analysis-(2080s-and-2083s)?_g=(refreshInterval:(display:Off,pause:!f,section:0,value:0),time:(from:'2017-07-15T23:15:17-0600',mode:absolute,to:'2017-07-16T02:15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1" s="197" t="str">
        <f>IF(AA231&lt;VLOOKUP(AG231,Variables!$AC$3:$AD$8,2,FALSE),"Y","N")</f>
        <v>Y</v>
      </c>
      <c r="X231" s="197">
        <f t="shared" si="88"/>
        <v>0</v>
      </c>
      <c r="Y231" s="197">
        <f t="shared" si="79"/>
        <v>23.299399999999999</v>
      </c>
      <c r="Z231" s="197">
        <f t="shared" si="80"/>
        <v>0.1028</v>
      </c>
      <c r="AA231" s="197">
        <f t="shared" si="81"/>
        <v>23.1966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2"/>
        <v>84</v>
      </c>
      <c r="AE231" s="77" t="str">
        <f t="shared" si="83"/>
        <v>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 &amp; aws s3 cp s3://rtdc.mdm.uploadarchive.raw/RTDC4035/ "%USERPROFILE%\AppData\Local\Temp\OnboardLogs"\RTDC4035\2017-07-17 --exclude "*" --recursive --include "*20170717*" &amp; "%USERPROFILE%\Documents\GitHub\mrs-test-scripts\Headless Mode &amp; Sideloading\WalkAndUnGZ.bat" "%USERPROFILE%\AppData\Local\Temp\OnboardLogs"\RTDC4035\2017-07-17</v>
      </c>
      <c r="AF231" s="74" t="str">
        <f t="shared" si="84"/>
        <v>"C:\Program Files (x86)\AstroGrep\AstroGrep.exe" /e /r /s /spath="%USERPROFILE%\AppData\Local\Temp\OnboardLogs" /stypes="app*4035*20170716*" /stext=" 07:.+((SYSTEM_STATE.+slice.+state.+changed )|(ment ac)|(multiple cpu faults)|(system.+state.+changed )|(\[timeout)|(PRM\|1\|D)|(kpr)|(kdp)|(train st.+moving)|(\|lc)|(penalty))"</v>
      </c>
      <c r="AG231" s="209" t="str">
        <f t="shared" si="85"/>
        <v>Shuttle/Test</v>
      </c>
      <c r="AH231" s="78" t="str">
        <f t="shared" si="71"/>
        <v>"%USERPROFILE%\Documents\GitHub\eaglep3\Utilities\RefineRTDCRunTimes.py" --tripid 84-15 --locoid 4035 --swversion DE.1.0.9.0 --startMP 204:232994 --initTime 2017-07-16T00:15:17 --startdatetime 2017-07-16T01:03:32 --delay 2 --endMP 204:1028 --enddatetime 2017-07-16T01:15:15 --enforcementcount 0 &gt;&gt;C:\Users\stu\Documents\GitHub\eaglep3-reporting\EC\2017-07-15-refined-times.txt</v>
      </c>
      <c r="AI231" s="96" t="str">
        <f t="shared" si="72"/>
        <v>echo {"issue":{"subject":"","project_id":79,"tracker_id":40,"status_id":1,"priority_id":2,"assigned_to_id":23,"start_date":"2017-07-16","description":"","custom_fields":[{"id":1,"name":"Subdivision","value":"Shuttle/Test"},{"id":4,"name":"Milepost","value":"0.1028"},{"id":17,"name":"Train ID","value":"84-15"},{"id":16,"name":"Locomotive ID","value":"4035"},{"id":130,"name":"Impact","value":""},{"id":150,"name":"Time of Event (Mountain Time)","value":"01:15:15"},{"id":151,"name":"Denver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3"/>
        <v>start /low /b %USERPROFILE%\Documents\GitHub\eaglep3\Utilities\DownloadLogsFromS3.py --loco 4035 --day 2017-07-16</v>
      </c>
      <c r="AN231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07:15:15"},{"id":29,"name":"Sharepoint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810</v>
      </c>
      <c r="B232" s="7">
        <v>4035</v>
      </c>
      <c r="C232" s="21" t="s">
        <v>199</v>
      </c>
      <c r="D232" s="21" t="s">
        <v>837</v>
      </c>
      <c r="E232" s="13">
        <v>42931.852858796294</v>
      </c>
      <c r="F232" s="13">
        <v>42931.883194444446</v>
      </c>
      <c r="G232" s="7">
        <v>1</v>
      </c>
      <c r="H232" s="21" t="s">
        <v>974</v>
      </c>
      <c r="I232" s="13">
        <v>42931.889791666668</v>
      </c>
      <c r="J232" s="7">
        <v>0</v>
      </c>
      <c r="K232" s="89" t="str">
        <f t="shared" si="75"/>
        <v>4035/4036</v>
      </c>
      <c r="L232" s="21" t="str">
        <f>VLOOKUP(A232,'Trips&amp;Operators'!$C$1:$G$99999,5,FALSE)</f>
        <v>BIRENBAUM THOMAS</v>
      </c>
      <c r="M232" s="6">
        <f t="shared" si="76"/>
        <v>6.5972222218988463E-3</v>
      </c>
      <c r="N232" s="7">
        <f t="shared" si="86"/>
        <v>9.4999999995343387</v>
      </c>
      <c r="O232" s="7"/>
      <c r="P232" s="7"/>
      <c r="Q232" s="22"/>
      <c r="R232" s="170"/>
      <c r="S232" s="213">
        <f t="shared" si="87"/>
        <v>0</v>
      </c>
      <c r="T232" s="195" t="str">
        <f t="shared" si="77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8"/>
        <v>https://d0f6bd738d7f1b3e5a7ca70fe4ff75f0.us-east-1.aws.found.io/app/kibana#/discover/Steve-Slow-Train-Analysis-(2080s-and-2083s)?_g=(refreshInterval:(display:Off,pause:!f,section:0,value:0),time:(from:'2017-07-15T19:28:07-0600',mode:absolute,to:'2017-07-15T22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2" s="197" t="str">
        <f>IF(AA232&lt;VLOOKUP(AG232,Variables!$AC$3:$AD$8,2,FALSE),"Y","N")</f>
        <v>Y</v>
      </c>
      <c r="X232" s="197">
        <f t="shared" si="88"/>
        <v>0</v>
      </c>
      <c r="Y232" s="197">
        <f t="shared" si="79"/>
        <v>23.3002</v>
      </c>
      <c r="Z232" s="197">
        <f t="shared" si="80"/>
        <v>18.964400000000001</v>
      </c>
      <c r="AA232" s="197">
        <f t="shared" si="81"/>
        <v>4.335799999999999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2"/>
        <v>84</v>
      </c>
      <c r="AE232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32" s="74" t="str">
        <f t="shared" si="84"/>
        <v>"C:\Program Files (x86)\AstroGrep\AstroGrep.exe" /e /r /s /spath="%USERPROFILE%\AppData\Local\Temp\OnboardLogs" /stypes="app*4035*20170716*" /stext=" 03:.+((SYSTEM_STATE.+slice.+state.+changed )|(ment ac)|(multiple cpu faults)|(system.+state.+changed )|(\[timeout)|(PRM\|1\|D)|(kpr)|(kdp)|(train st.+moving)|(\|lc)|(penalty))"</v>
      </c>
      <c r="AG232" s="209" t="str">
        <f t="shared" si="85"/>
        <v>Shuttle/Test</v>
      </c>
      <c r="AH232" s="78" t="str">
        <f t="shared" si="71"/>
        <v>"%USERPROFILE%\Documents\GitHub\eaglep3\Utilities\RefineRTDCRunTimes.py" --tripid 84-15 --locoid 4035 --swversion DE.1.0.9.0 --startMP 204:233002 --initTime 2017-07-15T20:28:07 --startdatetime 2017-07-15T21:11:48 --delay 1 --endMP 204:189644 --enddatetime 2017-07-15T21:21:18 --enforcementcount 0 &gt;&gt;C:\Users\stu\Documents\GitHub\eaglep3-reporting\EC\2017-07-15-refined-times.txt</v>
      </c>
      <c r="AI232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18.9644"},{"id":17,"name":"Train ID","value":"84-15"},{"id":16,"name":"Locomotive ID","value":"4035"},{"id":130,"name":"Impact","value":""},{"id":150,"name":"Time of Event (Mountain Time)","value":"21:21:18"},{"id":151,"name":"Denver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3"/>
        <v>start /low /b %USERPROFILE%\Documents\GitHub\eaglep3\Utilities\DownloadLogsFromS3.py --loco 4035 --day 2017-07-15</v>
      </c>
      <c r="AN232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03:21:18"},{"id":29,"name":"Sharepoint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810</v>
      </c>
      <c r="B233" s="7">
        <v>4035</v>
      </c>
      <c r="C233" s="21" t="s">
        <v>199</v>
      </c>
      <c r="D233" s="21" t="s">
        <v>837</v>
      </c>
      <c r="E233" s="13">
        <v>42931.942766203705</v>
      </c>
      <c r="F233" s="13">
        <v>42931.967152777775</v>
      </c>
      <c r="G233" s="7">
        <v>1</v>
      </c>
      <c r="H233" s="21" t="s">
        <v>975</v>
      </c>
      <c r="I233" s="13">
        <v>42931.97252314815</v>
      </c>
      <c r="J233" s="7">
        <v>0</v>
      </c>
      <c r="K233" s="89" t="str">
        <f t="shared" si="75"/>
        <v>4035/4036</v>
      </c>
      <c r="L233" s="21" t="str">
        <f>VLOOKUP(A233,'Trips&amp;Operators'!$C$1:$G$99999,5,FALSE)</f>
        <v>BIRENBAUM THOMAS</v>
      </c>
      <c r="M233" s="6">
        <f t="shared" si="76"/>
        <v>5.3703703742939979E-3</v>
      </c>
      <c r="N233" s="7">
        <f t="shared" si="86"/>
        <v>7.733333338983357</v>
      </c>
      <c r="O233" s="7"/>
      <c r="P233" s="7"/>
      <c r="Q233" s="22"/>
      <c r="R233" s="170"/>
      <c r="S233" s="213">
        <f t="shared" si="87"/>
        <v>0</v>
      </c>
      <c r="T233" s="195" t="str">
        <f t="shared" si="77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8"/>
        <v>https://d0f6bd738d7f1b3e5a7ca70fe4ff75f0.us-east-1.aws.found.io/app/kibana#/discover/Steve-Slow-Train-Analysis-(2080s-and-2083s)?_g=(refreshInterval:(display:Off,pause:!f,section:0,value:0),time:(from:'2017-07-15T21:37:35-0600',mode:absolute,to:'2017-07-16T00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3" s="197" t="str">
        <f>IF(AA233&lt;VLOOKUP(AG233,Variables!$AC$3:$AD$8,2,FALSE),"Y","N")</f>
        <v>Y</v>
      </c>
      <c r="X233" s="197">
        <f t="shared" si="88"/>
        <v>0</v>
      </c>
      <c r="Y233" s="197">
        <f t="shared" si="79"/>
        <v>23.3002</v>
      </c>
      <c r="Z233" s="197">
        <f t="shared" si="80"/>
        <v>18.933</v>
      </c>
      <c r="AA233" s="197">
        <f t="shared" si="81"/>
        <v>4.3672000000000004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2"/>
        <v>84</v>
      </c>
      <c r="AE233" s="77" t="str">
        <f t="shared" si="83"/>
        <v>aws s3 cp s3://rtdc.mdm.uploadarchive.raw/RTDC4035/ "%USERPROFILE%\AppData\Local\Temp\OnboardLogs"\RTDC4035\2017-07-15 --exclude "*" --recursive --include "*20170715*" &amp; "%USERPROFILE%\Documents\GitHub\mrs-test-scripts\Headless Mode &amp; Sideloading\WalkAndUnGZ.bat" "%USERPROFILE%\AppData\Local\Temp\OnboardLogs"\RTDC4035\2017-07-15 &amp; aws s3 cp s3://rtdc.mdm.uploadarchive.raw/RTDC4035/ "%USERPROFILE%\AppData\Local\Temp\OnboardLogs"\RTDC4035\2017-07-16 --exclude "*" --recursive --include "*20170716*" &amp; "%USERPROFILE%\Documents\GitHub\mrs-test-scripts\Headless Mode &amp; Sideloading\WalkAndUnGZ.bat" "%USERPROFILE%\AppData\Local\Temp\OnboardLogs"\RTDC4035\2017-07-16</v>
      </c>
      <c r="AF233" s="74" t="str">
        <f t="shared" si="84"/>
        <v>"C:\Program Files (x86)\AstroGrep\AstroGrep.exe" /e /r /s /spath="%USERPROFILE%\AppData\Local\Temp\OnboardLogs" /stypes="app*4035*20170716*" /stext=" 05:.+((SYSTEM_STATE.+slice.+state.+changed )|(ment ac)|(multiple cpu faults)|(system.+state.+changed )|(\[timeout)|(PRM\|1\|D)|(kpr)|(kdp)|(train st.+moving)|(\|lc)|(penalty))"</v>
      </c>
      <c r="AG233" s="209" t="str">
        <f t="shared" si="85"/>
        <v>Shuttle/Test</v>
      </c>
      <c r="AH233" s="78" t="str">
        <f t="shared" si="71"/>
        <v>"%USERPROFILE%\Documents\GitHub\eaglep3\Utilities\RefineRTDCRunTimes.py" --tripid 84-15 --locoid 4035 --swversion DE.1.0.9.0 --startMP 204:233002 --initTime 2017-07-15T22:37:35 --startdatetime 2017-07-15T23:12:42 --delay 1 --endMP 204:189330 --enddatetime 2017-07-15T23:20:26 --enforcementcount 0 &gt;&gt;C:\Users\stu\Documents\GitHub\eaglep3-reporting\EC\2017-07-15-refined-times.txt</v>
      </c>
      <c r="AI233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18.933"},{"id":17,"name":"Train ID","value":"84-15"},{"id":16,"name":"Locomotive ID","value":"4035"},{"id":130,"name":"Impact","value":""},{"id":150,"name":"Time of Event (Mountain Time)","value":"23:20:26"},{"id":151,"name":"Denver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73"/>
        <v>start /low /b %USERPROFILE%\Documents\GitHub\eaglep3\Utilities\DownloadLogsFromS3.py --loco 4035 --day 2017-07-15</v>
      </c>
      <c r="AN233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05:20:26"},{"id":29,"name":"Sharepoint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810</v>
      </c>
      <c r="B234" s="7">
        <v>4036</v>
      </c>
      <c r="C234" s="21" t="s">
        <v>199</v>
      </c>
      <c r="D234" s="21" t="s">
        <v>976</v>
      </c>
      <c r="E234" s="13">
        <v>42932.042685185188</v>
      </c>
      <c r="F234" s="13">
        <v>42932.044120370374</v>
      </c>
      <c r="G234" s="7">
        <v>1</v>
      </c>
      <c r="H234" s="21" t="s">
        <v>942</v>
      </c>
      <c r="I234" s="13">
        <v>42932.052256944444</v>
      </c>
      <c r="J234" s="7">
        <v>0</v>
      </c>
      <c r="K234" s="89" t="str">
        <f t="shared" si="75"/>
        <v>4035/4036</v>
      </c>
      <c r="L234" s="21" t="str">
        <f>VLOOKUP(A234,'Trips&amp;Operators'!$C$1:$G$99999,5,FALSE)</f>
        <v>BIRENBAUM THOMAS</v>
      </c>
      <c r="M234" s="6">
        <f t="shared" si="76"/>
        <v>8.1365740697947331E-3</v>
      </c>
      <c r="N234" s="7">
        <f t="shared" si="86"/>
        <v>11.716666660504416</v>
      </c>
      <c r="O234" s="7"/>
      <c r="P234" s="7"/>
      <c r="Q234" s="22"/>
      <c r="R234" s="170"/>
      <c r="S234" s="213">
        <f t="shared" si="87"/>
        <v>0</v>
      </c>
      <c r="T234" s="195" t="str">
        <f t="shared" si="77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8"/>
        <v>https://d0f6bd738d7f1b3e5a7ca70fe4ff75f0.us-east-1.aws.found.io/app/kibana#/discover/Steve-Slow-Train-Analysis-(2080s-and-2083s)?_g=(refreshInterval:(display:Off,pause:!f,section:0,value:0),time:(from:'2017-07-16T00:01:28-0600',mode:absolute,to:'2017-07-16T02:15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4" s="197" t="str">
        <f>IF(AA234&lt;VLOOKUP(AG234,Variables!$AC$3:$AD$8,2,FALSE),"Y","N")</f>
        <v>Y</v>
      </c>
      <c r="X234" s="197">
        <f t="shared" si="88"/>
        <v>0</v>
      </c>
      <c r="Y234" s="197">
        <f t="shared" si="79"/>
        <v>0.13420000000000001</v>
      </c>
      <c r="Z234" s="197">
        <f t="shared" si="80"/>
        <v>2.3306</v>
      </c>
      <c r="AA234" s="197">
        <f t="shared" si="81"/>
        <v>2.1964000000000001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2"/>
        <v>84</v>
      </c>
      <c r="AE234" s="77" t="str">
        <f t="shared" si="83"/>
        <v>aws s3 cp s3://rtdc.mdm.uploadarchive.raw/RTDC4036/ "%USERPROFILE%\AppData\Local\Temp\OnboardLogs"\RTDC4036\2017-07-16 --exclude "*" --recursive --include "*20170716*" &amp; "%USERPROFILE%\Documents\GitHub\mrs-test-scripts\Headless Mode &amp; Sideloading\WalkAndUnGZ.bat" "%USERPROFILE%\AppData\Local\Temp\OnboardLogs"\RTDC4036\2017-07-16 &amp; aws s3 cp s3://rtdc.mdm.uploadarchive.raw/RTDC4036/ "%USERPROFILE%\AppData\Local\Temp\OnboardLogs"\RTDC4036\2017-07-17 --exclude "*" --recursive --include "*20170717*" &amp; "%USERPROFILE%\Documents\GitHub\mrs-test-scripts\Headless Mode &amp; Sideloading\WalkAndUnGZ.bat" "%USERPROFILE%\AppData\Local\Temp\OnboardLogs"\RTDC4036\2017-07-17</v>
      </c>
      <c r="AF234" s="74" t="str">
        <f t="shared" si="84"/>
        <v>"C:\Program Files (x86)\AstroGrep\AstroGrep.exe" /e /r /s /spath="%USERPROFILE%\AppData\Local\Temp\OnboardLogs" /stypes="app*4036*20170716*" /stext=" 07:.+((SYSTEM_STATE.+slice.+state.+changed )|(ment ac)|(multiple cpu faults)|(system.+state.+changed )|(\[timeout)|(PRM\|1\|D)|(kpr)|(kdp)|(train st.+moving)|(\|lc)|(penalty))"</v>
      </c>
      <c r="AG234" s="209" t="str">
        <f t="shared" si="85"/>
        <v>Shuttle/Test</v>
      </c>
      <c r="AH234" s="78" t="str">
        <f t="shared" si="71"/>
        <v>"%USERPROFILE%\Documents\GitHub\eaglep3\Utilities\RefineRTDCRunTimes.py" --tripid 84-15 --locoid 4036 --swversion DE.1.0.9.0 --startMP 204:1342 --initTime 2017-07-16T01:01:28 --startdatetime 2017-07-16T01:03:32 --delay 1 --endMP 300:23306 --enddatetime 2017-07-16T01:15:15 --enforcementcount 0 &gt;&gt;C:\Users\stu\Documents\GitHub\eaglep3-reporting\EC\2017-07-15-refined-times.txt</v>
      </c>
      <c r="AI234" s="96" t="str">
        <f t="shared" si="72"/>
        <v>echo {"issue":{"subject":"","project_id":79,"tracker_id":40,"status_id":1,"priority_id":2,"assigned_to_id":23,"start_date":"2017-07-16","description":"","custom_fields":[{"id":1,"name":"Subdivision","value":"Shuttle/Test"},{"id":4,"name":"Milepost","value":"2.3306"},{"id":17,"name":"Train ID","value":"84-15"},{"id":16,"name":"Locomotive ID","value":"4036"},{"id":130,"name":"Impact","value":""},{"id":150,"name":"Time of Event (Mountain Time)","value":"01:15:15"},{"id":151,"name":"Denver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3"/>
        <v>start /low /b %USERPROFILE%\Documents\GitHub\eaglep3\Utilities\DownloadLogsFromS3.py --loco 4036 --day 2017-07-16</v>
      </c>
      <c r="AN234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07:15:15"},{"id":29,"name":"Sharepoint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771</v>
      </c>
      <c r="B235" s="7">
        <v>4050</v>
      </c>
      <c r="C235" s="21" t="s">
        <v>199</v>
      </c>
      <c r="D235" s="21" t="s">
        <v>977</v>
      </c>
      <c r="E235" s="13">
        <v>42931.700624999998</v>
      </c>
      <c r="F235" s="13">
        <v>42931.704768518517</v>
      </c>
      <c r="G235" s="7">
        <v>4</v>
      </c>
      <c r="H235" s="21" t="s">
        <v>580</v>
      </c>
      <c r="I235" s="13">
        <v>42931.7109837963</v>
      </c>
      <c r="J235" s="7">
        <v>0</v>
      </c>
      <c r="K235" s="89" t="str">
        <f t="shared" si="75"/>
        <v>4049/4050</v>
      </c>
      <c r="L235" s="21" t="str">
        <f>VLOOKUP(A235,'Trips&amp;Operators'!$C$1:$G$99999,5,FALSE)</f>
        <v>LOPES KIMBERLY</v>
      </c>
      <c r="M235" s="6">
        <f t="shared" si="76"/>
        <v>6.2152777827577665E-3</v>
      </c>
      <c r="N235" s="7">
        <f t="shared" si="86"/>
        <v>8.9500000071711838</v>
      </c>
      <c r="O235" s="7"/>
      <c r="P235" s="7"/>
      <c r="Q235" s="22"/>
      <c r="R235" s="170"/>
      <c r="S235" s="213">
        <f t="shared" si="87"/>
        <v>0</v>
      </c>
      <c r="T235" s="195" t="str">
        <f t="shared" si="77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8"/>
        <v>https://d0f6bd738d7f1b3e5a7ca70fe4ff75f0.us-east-1.aws.found.io/app/kibana#/discover/Steve-Slow-Train-Analysis-(2080s-and-2083s)?_g=(refreshInterval:(display:Off,pause:!f,section:0,value:0),time:(from:'2017-07-15T15:48:54-0600',mode:absolute,to:'2017-07-15T18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97" t="str">
        <f>IF(AA235&lt;VLOOKUP(AG235,Variables!$AC$3:$AD$8,2,FALSE),"Y","N")</f>
        <v>Y</v>
      </c>
      <c r="X235" s="197">
        <f t="shared" si="88"/>
        <v>4</v>
      </c>
      <c r="Y235" s="197">
        <f t="shared" si="79"/>
        <v>0.1469</v>
      </c>
      <c r="Z235" s="197">
        <f t="shared" si="80"/>
        <v>2.3298999999999999</v>
      </c>
      <c r="AA235" s="197">
        <f t="shared" si="81"/>
        <v>2.1829999999999998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2"/>
        <v>88</v>
      </c>
      <c r="AE235" s="77" t="str">
        <f t="shared" si="83"/>
        <v>aws s3 cp s3://rtdc.mdm.uploadarchive.raw/RTDC4050/ "%USERPROFILE%\AppData\Local\Temp\OnboardLogs"\RTDC4050\2017-07-15 --exclude "*" --recursive --include "*20170715*" &amp; "%USERPROFILE%\Documents\GitHub\mrs-test-scripts\Headless Mode &amp; Sideloading\WalkAndUnGZ.bat" "%USERPROFILE%\AppData\Local\Temp\OnboardLogs"\RTDC4050\2017-07-15 &amp; 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</v>
      </c>
      <c r="AF235" s="74" t="str">
        <f t="shared" si="84"/>
        <v>"C:\Program Files (x86)\AstroGrep\AstroGrep.exe" /e /r /s /spath="%USERPROFILE%\AppData\Local\Temp\OnboardLogs" /stypes="app*4050*20170715*" /stext=" 23:.+((SYSTEM_STATE.+slice.+state.+changed )|(ment ac)|(multiple cpu faults)|(system.+state.+changed )|(\[timeout)|(PRM\|1\|D)|(kpr)|(kdp)|(train st.+moving)|(\|lc)|(penalty))"</v>
      </c>
      <c r="AG235" s="209" t="str">
        <f t="shared" si="85"/>
        <v>Shuttle/Test</v>
      </c>
      <c r="AH235" s="78" t="str">
        <f t="shared" si="71"/>
        <v>"%USERPROFILE%\Documents\GitHub\eaglep3\Utilities\RefineRTDCRunTimes.py" --tripid 88-15 --locoid 4050 --swversion DE.1.0.9.0 --startMP 204:1469 --initTime 2017-07-15T16:48:54 --startdatetime 2017-07-15T16:54:52 --delay 4 --endMP 300:23299 --enddatetime 2017-07-15T17:03:49 --enforcementcount 0 &gt;&gt;C:\Users\stu\Documents\GitHub\eaglep3-reporting\EC\2017-07-15-refined-times.txt</v>
      </c>
      <c r="AI235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2.3299"},{"id":17,"name":"Train ID","value":"88-15"},{"id":16,"name":"Locomotive ID","value":"4050"},{"id":130,"name":"Impact","value":""},{"id":150,"name":"Time of Event (Mountain Time)","value":"17:03:49"},{"id":151,"name":"Denver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3"/>
        <v>start /low /b %USERPROFILE%\Documents\GitHub\eaglep3\Utilities\DownloadLogsFromS3.py --loco 4050 --day 2017-07-15</v>
      </c>
      <c r="AN235" s="151" t="str">
        <f t="shared" si="74"/>
        <v>echo {"issue":{"subject":"","project_id":30,"tracker_id":4,"status_id":1,"priority_id":1,"assigned_to_id":10,"start_date":"2017-07-15","description":"","custom_fields":[{"id":30,"name":"Category","value":"Issue"},{"id":3,"name":"Functional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UTC","value":"2017-07-15 23:03:49"},{"id":29,"name":"Sharepoint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778</v>
      </c>
      <c r="B236" s="7">
        <v>4008</v>
      </c>
      <c r="C236" s="21" t="s">
        <v>199</v>
      </c>
      <c r="D236" s="21" t="s">
        <v>978</v>
      </c>
      <c r="E236" s="13">
        <v>42931.730115740742</v>
      </c>
      <c r="F236" s="13">
        <v>42931.746631944443</v>
      </c>
      <c r="G236" s="7">
        <v>2</v>
      </c>
      <c r="H236" s="21" t="s">
        <v>979</v>
      </c>
      <c r="I236" s="13">
        <v>42931.753530092596</v>
      </c>
      <c r="J236" s="7">
        <v>0</v>
      </c>
      <c r="K236" s="89" t="str">
        <f t="shared" si="75"/>
        <v>4007/4008</v>
      </c>
      <c r="L236" s="21" t="str">
        <f>VLOOKUP(A236,'Trips&amp;Operators'!$C$1:$G$99999,5,FALSE)</f>
        <v>SAFIEF AEIMEN</v>
      </c>
      <c r="M236" s="6">
        <f t="shared" si="76"/>
        <v>6.8981481526861899E-3</v>
      </c>
      <c r="N236" s="7">
        <f t="shared" si="86"/>
        <v>9.9333333398681134</v>
      </c>
      <c r="O236" s="7"/>
      <c r="P236" s="7"/>
      <c r="Q236" s="22"/>
      <c r="R236" s="170"/>
      <c r="S236" s="213">
        <f t="shared" si="87"/>
        <v>1</v>
      </c>
      <c r="T236" s="195" t="str">
        <f t="shared" si="77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78"/>
        <v>https://d0f6bd738d7f1b3e5a7ca70fe4ff75f0.us-east-1.aws.found.io/app/kibana#/discover/Steve-Slow-Train-Analysis-(2080s-and-2083s)?_g=(refreshInterval:(display:Off,pause:!f,section:0,value:0),time:(from:'2017-07-15T16:31:22-0600',mode:absolute,to:'2017-07-15T19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6" s="197" t="str">
        <f>IF(AA236&lt;VLOOKUP(AG236,Variables!$AC$3:$AD$8,2,FALSE),"Y","N")</f>
        <v>Y</v>
      </c>
      <c r="X236" s="197">
        <f t="shared" si="88"/>
        <v>1</v>
      </c>
      <c r="Y236" s="197">
        <f t="shared" si="79"/>
        <v>0.1145</v>
      </c>
      <c r="Z236" s="197">
        <f t="shared" si="80"/>
        <v>2.3308</v>
      </c>
      <c r="AA236" s="197">
        <f t="shared" si="81"/>
        <v>2.2162999999999999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2"/>
        <v>89</v>
      </c>
      <c r="AE236" s="77" t="str">
        <f t="shared" si="83"/>
        <v>aws s3 cp s3://rtdc.mdm.uploadarchive.raw/RTDC4008/ "%USERPROFILE%\AppData\Local\Temp\OnboardLogs"\RTDC4008\2017-07-15 --exclude "*" --recursive --include "*20170715*" &amp; "%USERPROFILE%\Documents\GitHub\mrs-test-scripts\Headless Mode &amp; Sideloading\WalkAndUnGZ.bat" "%USERPROFILE%\AppData\Local\Temp\OnboardLogs"\RTDC4008\2017-07-15 &amp; 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</v>
      </c>
      <c r="AF236" s="74" t="str">
        <f t="shared" si="84"/>
        <v>"C:\Program Files (x86)\AstroGrep\AstroGrep.exe" /e /r /s /spath="%USERPROFILE%\AppData\Local\Temp\OnboardLogs" /stypes="app*4008*20170716*" /stext=" 00:.+((SYSTEM_STATE.+slice.+state.+changed )|(ment ac)|(multiple cpu faults)|(system.+state.+changed )|(\[timeout)|(PRM\|1\|D)|(kpr)|(kdp)|(train st.+moving)|(\|lc)|(penalty))"</v>
      </c>
      <c r="AG236" s="209" t="str">
        <f t="shared" si="85"/>
        <v>Shuttle/Test</v>
      </c>
      <c r="AH236" s="78" t="str">
        <f t="shared" si="71"/>
        <v>"%USERPROFILE%\Documents\GitHub\eaglep3\Utilities\RefineRTDCRunTimes.py" --tripid 89-15 --locoid 4008 --swversion DE.1.0.9.0 --startMP 204:1145 --initTime 2017-07-15T17:31:22 --startdatetime 2017-07-15T17:55:09 --delay 2 --endMP 300:23308 --enddatetime 2017-07-15T18:05:05 --enforcementcount 0 &gt;&gt;C:\Users\stu\Documents\GitHub\eaglep3-reporting\EC\2017-07-15-refined-times.txt</v>
      </c>
      <c r="AI236" s="96" t="str">
        <f t="shared" si="72"/>
        <v>echo {"issue":{"subject":"","project_id":79,"tracker_id":40,"status_id":1,"priority_id":2,"assigned_to_id":23,"start_date":"2017-07-15","description":"","custom_fields":[{"id":1,"name":"Subdivision","value":"Shuttle/Test"},{"id":4,"name":"Milepost","value":"2.3308"},{"id":17,"name":"Train ID","value":"89-15"},{"id":16,"name":"Locomotive ID","value":"4008"},{"id":130,"name":"Impact","value":""},{"id":150,"name":"Time of Event (Mountain Time)","value":"18:05:05"},{"id":151,"name":"Denver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3"/>
        <v>start /low /b %USERPROFILE%\Documents\GitHub\eaglep3\Utilities\DownloadLogsFromS3.py --loco 4008 --day 2017-07-15</v>
      </c>
      <c r="AN236" s="151" t="str">
        <f t="shared" si="74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00:05:05"},{"id":29,"name":"Sharepoint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</sheetData>
  <autoFilter ref="A12:AG268">
    <sortState ref="A13:AG268">
      <sortCondition ref="AG13:AG236"/>
      <sortCondition ref="AD13:AD236"/>
    </sortState>
  </autoFilter>
  <sortState ref="A13:AN225">
    <sortCondition ref="AG13:AG225"/>
    <sortCondition ref="AD13:AD225"/>
  </sortState>
  <mergeCells count="1">
    <mergeCell ref="A11:P11"/>
  </mergeCells>
  <conditionalFormatting sqref="W11:W12 W273:X1048576 W13:X236">
    <cfRule type="cellIs" dxfId="10" priority="415" operator="equal">
      <formula>"Y"</formula>
    </cfRule>
  </conditionalFormatting>
  <conditionalFormatting sqref="X273:X1048576 X13:X236">
    <cfRule type="cellIs" dxfId="9" priority="398" operator="greaterThan">
      <formula>1</formula>
    </cfRule>
  </conditionalFormatting>
  <conditionalFormatting sqref="X273:X1048576 X12:X236">
    <cfRule type="cellIs" dxfId="8" priority="395" operator="equal">
      <formula>0</formula>
    </cfRule>
  </conditionalFormatting>
  <conditionalFormatting sqref="A13:S23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workbookViewId="0">
      <selection activeCell="A17" sqref="A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22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410</v>
      </c>
      <c r="X6" s="208" t="s">
        <v>403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42932.099120370367</v>
      </c>
      <c r="B7" s="30" t="s">
        <v>488</v>
      </c>
      <c r="C7" s="30" t="s">
        <v>612</v>
      </c>
      <c r="D7" s="30" t="s">
        <v>49</v>
      </c>
      <c r="E7" s="30" t="s">
        <v>187</v>
      </c>
      <c r="F7" s="42">
        <v>150</v>
      </c>
      <c r="G7" s="42">
        <v>528</v>
      </c>
      <c r="H7" s="42">
        <v>51606</v>
      </c>
      <c r="I7" s="42">
        <v>49656</v>
      </c>
      <c r="J7" s="30" t="s">
        <v>188</v>
      </c>
      <c r="K7" s="42">
        <v>48048</v>
      </c>
      <c r="L7" s="131" t="s">
        <v>51</v>
      </c>
      <c r="M7" s="132">
        <f t="shared" ref="M7:M33" si="0">CONVERT((I7-K7)/10000,"mi","ft")*IF(L7="Increasing Mileposts (1)",-1,1)</f>
        <v>849.024</v>
      </c>
      <c r="N7" s="133" t="str">
        <f>VLOOKUP(C7,'Trips&amp;Operators'!$C$1:$G$99999,5,FALSE)</f>
        <v>LAMAR NEKESHA</v>
      </c>
      <c r="O7" s="203" t="s">
        <v>180</v>
      </c>
      <c r="P7" s="134" t="s">
        <v>418</v>
      </c>
      <c r="Q7" s="30"/>
      <c r="R7" s="81" t="str">
        <f>VLOOKUP(C7,'Train Runs'!$A$13:$AE$9927,31,0)</f>
        <v>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 &amp; aws s3 cp s3://rtdc.mdm.uploadarchive.raw/RTDC4015/ "%USERPROFILE%\AppData\Local\Temp\OnboardLogs"\RTDC4015\2017-07-17 --exclude "*" --recursive --include "*20170717*" &amp; "%USERPROFILE%\Documents\GitHub\mrs-test-scripts\Headless Mode &amp; Sideloading\WalkAndUnGZ.bat" "%USERPROFILE%\AppData\Local\Temp\OnboardLogs"\RTDC4015\2017-07-17</v>
      </c>
      <c r="S7" s="84" t="str">
        <f>VLOOKUP(C7,'Train Runs'!$A$13:$AE$9927,22,0)</f>
        <v>https://d0f6bd738d7f1b3e5a7ca70fe4ff75f0.us-east-1.aws.found.io/app/kibana#/discover/Steve-Slow-Train-Analysis-(2080s-and-2083s)?_g=(refreshInterval:(display:Off,pause:!f,section:0,value:0),time:(from:'2017-07-16T00:50:44-0600',mode:absolute,to:'2017-07-16T03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7" s="86" t="str">
        <f t="shared" ref="T7:T3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/stypes="*4015*201707160*" /stext=" 08:.+((SYSTEM_STATE.+slice.+state.+changed )|(ment ac)|(multiple cpu faults)|(system.+state.+changed )|(\[timeout)|(PRM\|1\|D)|(kpr)|(kdp)|(train st.+moving)|(\|lc)|(penalty))"</v>
      </c>
      <c r="U7" s="9" t="str">
        <f t="shared" ref="U7:U33" si="2">MID(B7,13,4)</f>
        <v>4015</v>
      </c>
      <c r="V7" s="31">
        <f t="shared" ref="V7:V33" si="3">A7-utc_offset/24</f>
        <v>42932.349120370367</v>
      </c>
      <c r="W7" s="45" t="str">
        <f t="shared" ref="W7:W33" si="4">DetSubdiv(C7)</f>
        <v>EC</v>
      </c>
      <c r="X7" s="22">
        <f t="shared" ref="X7:X33" si="5">VALUE(LEFT(C7,LEN(C7)-3))</f>
        <v>246</v>
      </c>
      <c r="Y7" s="96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arrival","project_id":79,"tracker_id":40,"status_id":1,"priority_id":2,"assigned_to_id":23,"start_date":"2017-07-16","description":"","custom_fields":[{"id":1,"name":"Subdivision","value":"EC"},{"id":4,"name":"Milepost","value":"4.8048"},{"id":17,"name":"Train ID","value":"246-15"},{"id":16,"name":"Locomotive ID","value":"4015"},{"id":130,"name":"Impact","value":""},{"id":150,"name":"Time of Event (Mountain Time)","value":"02:22:44"},{"id":151,"name":"Denver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/c/Users/stu/AppData/Local/Temp/OnboardLogs/RTDC4015 --include="*4015*201707160*"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"%USERPROFILE%\AppData\Local\Temp\OnboardLogs"\RTDC4015\*4015*201707160* &gt;&gt; 2017-07-15-SliceDisagreementCheck.txt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4015 --day 2017-07-16</v>
      </c>
    </row>
    <row r="8" spans="1:32" s="1" customFormat="1" x14ac:dyDescent="0.25">
      <c r="A8" s="31">
        <v>42931.911458333336</v>
      </c>
      <c r="B8" s="30" t="s">
        <v>552</v>
      </c>
      <c r="C8" s="30" t="s">
        <v>608</v>
      </c>
      <c r="D8" s="30" t="s">
        <v>49</v>
      </c>
      <c r="E8" s="30" t="s">
        <v>187</v>
      </c>
      <c r="F8" s="42">
        <v>0</v>
      </c>
      <c r="G8" s="42">
        <v>281</v>
      </c>
      <c r="H8" s="42">
        <v>58669</v>
      </c>
      <c r="I8" s="42">
        <v>57865</v>
      </c>
      <c r="J8" s="30" t="s">
        <v>188</v>
      </c>
      <c r="K8" s="42">
        <v>58301</v>
      </c>
      <c r="L8" s="131" t="s">
        <v>51</v>
      </c>
      <c r="M8" s="132">
        <f t="shared" si="0"/>
        <v>-230.208</v>
      </c>
      <c r="N8" s="133" t="str">
        <f>VLOOKUP(C8,'Trips&amp;Operators'!$C$1:$G$99999,5,FALSE)</f>
        <v>FORTUNATO FRANK</v>
      </c>
      <c r="O8" s="203" t="s">
        <v>180</v>
      </c>
      <c r="P8" s="134" t="s">
        <v>418</v>
      </c>
      <c r="Q8" s="30"/>
      <c r="R8" s="81" t="str">
        <f>VLOOKUP(C8,'Train Runs'!$A$13:$AE$9927,31,0)</f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S8" s="84" t="str">
        <f>VLOOKUP(C8,'Train Runs'!$A$13:$AE$9927,22,0)</f>
        <v>https://d0f6bd738d7f1b3e5a7ca70fe4ff75f0.us-east-1.aws.found.io/app/kibana#/discover/Steve-Slow-Train-Analysis-(2080s-and-2083s)?_g=(refreshInterval:(display:Off,pause:!f,section:0,value:0),time:(from:'2017-07-15T20:16:54-0600',mode:absolute,to:'2017-07-15T23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86" t="str">
        <f t="shared" si="1"/>
        <v>"C:\Program Files (x86)\AstroGrep\AstroGrep.exe" /e /r /s /spath="%USERPROFILE%\AppData\Local\Temp\OnboardLogs" /stypes="*4053*201707160*"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4053</v>
      </c>
      <c r="V8" s="31">
        <f t="shared" si="3"/>
        <v>42932.161458333336</v>
      </c>
      <c r="W8" s="45" t="str">
        <f t="shared" si="4"/>
        <v>EC</v>
      </c>
      <c r="X8" s="22">
        <f t="shared" si="5"/>
        <v>228</v>
      </c>
      <c r="Y8" s="96" t="str">
        <f t="shared" si="6"/>
        <v>echo {"issue":{"subject":"Early arrival","project_id":79,"tracker_id":40,"status_id":1,"priority_id":2,"assigned_to_id":23,"start_date":"2017-07-15","description":"","custom_fields":[{"id":1,"name":"Subdivision","value":"EC"},{"id":4,"name":"Milepost","value":"5.8301"},{"id":17,"name":"Train ID","value":"228-15"},{"id":16,"name":"Locomotive ID","value":"4053"},{"id":130,"name":"Impact","value":""},{"id":150,"name":"Time of Event (Mountain Time)","value":"21:52:30"},{"id":151,"name":"Denver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/c/Users/stu/AppData/Local/Temp/OnboardLogs/RTDC4053 --include="*4053*201707160*"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"%USERPROFILE%\AppData\Local\Temp\OnboardLogs"\RTDC4053\*4053*201707160* &gt;&gt; 2017-07-15-SliceDisagreementCheck.txt</v>
      </c>
      <c r="AE8" s="145" t="str">
        <f t="shared" ref="AE8:AE33" si="9">"start /low /b "&amp;dls3logs&amp;" --loco "&amp;U8&amp;" --day "&amp;TEXT(V8,"YYYY-MM-DD")</f>
        <v>start /low /b %USERPROFILE%\Documents\GitHub\eaglep3\Utilities\DownloadLogsFromS3.py --loco 4053 --day 2017-07-16</v>
      </c>
    </row>
    <row r="9" spans="1:32" s="1" customFormat="1" x14ac:dyDescent="0.25">
      <c r="A9" s="31">
        <v>42932.057118055556</v>
      </c>
      <c r="B9" s="30" t="s">
        <v>477</v>
      </c>
      <c r="C9" s="30" t="s">
        <v>611</v>
      </c>
      <c r="D9" s="30" t="s">
        <v>96</v>
      </c>
      <c r="E9" s="30" t="s">
        <v>187</v>
      </c>
      <c r="F9" s="42">
        <v>130</v>
      </c>
      <c r="G9" s="42">
        <v>188</v>
      </c>
      <c r="H9" s="42">
        <v>63044</v>
      </c>
      <c r="I9" s="42">
        <v>59805</v>
      </c>
      <c r="J9" s="30" t="s">
        <v>188</v>
      </c>
      <c r="K9" s="42">
        <v>63309</v>
      </c>
      <c r="L9" s="131" t="s">
        <v>51</v>
      </c>
      <c r="M9" s="132">
        <f t="shared" si="0"/>
        <v>-1850.1120000000001</v>
      </c>
      <c r="N9" s="133" t="str">
        <f>VLOOKUP(C9,'Trips&amp;Operators'!$C$1:$G$99999,5,FALSE)</f>
        <v>PERKINS DARREN</v>
      </c>
      <c r="O9" s="203" t="s">
        <v>180</v>
      </c>
      <c r="P9" s="134" t="s">
        <v>418</v>
      </c>
      <c r="Q9" s="30"/>
      <c r="R9" s="81" t="str">
        <f>VLOOKUP(C9,'Train Runs'!$A$13:$AE$9927,31,0)</f>
        <v>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 &amp; aws s3 cp s3://rtdc.mdm.uploadarchive.raw/RTDC4031/ "%USERPROFILE%\AppData\Local\Temp\OnboardLogs"\RTDC4031\2017-07-17 --exclude "*" --recursive --include "*20170717*" &amp; "%USERPROFILE%\Documents\GitHub\mrs-test-scripts\Headless Mode &amp; Sideloading\WalkAndUnGZ.bat" "%USERPROFILE%\AppData\Local\Temp\OnboardLogs"\RTDC4031\2017-07-17</v>
      </c>
      <c r="S9" s="84" t="str">
        <f>VLOOKUP(C9,'Train Runs'!$A$13:$AE$9927,22,0)</f>
        <v>https://d0f6bd738d7f1b3e5a7ca70fe4ff75f0.us-east-1.aws.found.io/app/kibana#/discover/Steve-Slow-Train-Analysis-(2080s-and-2083s)?_g=(refreshInterval:(display:Off,pause:!f,section:0,value:0),time:(from:'2017-07-15T23:46:02-0600',mode:absolute,to:'2017-07-16T02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/stypes="*4031*201707160*" /stext=" 07:.+((SYSTEM_STATE.+slice.+state.+changed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42932.307118055556</v>
      </c>
      <c r="W9" s="45" t="str">
        <f t="shared" si="4"/>
        <v>EC</v>
      </c>
      <c r="X9" s="22">
        <f t="shared" si="5"/>
        <v>242</v>
      </c>
      <c r="Y9" s="96" t="str">
        <f t="shared" si="6"/>
        <v>echo {"issue":{"subject":"Early arrival","project_id":79,"tracker_id":40,"status_id":1,"priority_id":2,"assigned_to_id":23,"start_date":"2017-07-16","description":"","custom_fields":[{"id":1,"name":"Subdivision","value":"EC"},{"id":4,"name":"Milepost","value":"6.3309"},{"id":17,"name":"Train ID","value":"242-15"},{"id":16,"name":"Locomotive ID","value":"4031"},{"id":130,"name":"Impact","value":""},{"id":150,"name":"Time of Event (Mountain Time)","value":"01:22:15"},{"id":151,"name":"Denver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/c/Users/stu/AppData/Local/Temp/OnboardLogs/RTDC4031 --include="*4031*201707160*"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"%USERPROFILE%\AppData\Local\Temp\OnboardLogs"\RTDC4031\*4031*201707160* &gt;&gt; 2017-07-15-SliceDisagreementCheck.txt</v>
      </c>
      <c r="AE9" s="145" t="str">
        <f t="shared" si="9"/>
        <v>start /low /b %USERPROFILE%\Documents\GitHub\eaglep3\Utilities\DownloadLogsFromS3.py --loco 4031 --day 2017-07-16</v>
      </c>
    </row>
    <row r="10" spans="1:32" s="1" customFormat="1" x14ac:dyDescent="0.25">
      <c r="A10" s="31">
        <v>42931.3753125</v>
      </c>
      <c r="B10" s="30" t="s">
        <v>477</v>
      </c>
      <c r="C10" s="30" t="s">
        <v>593</v>
      </c>
      <c r="D10" s="30" t="s">
        <v>49</v>
      </c>
      <c r="E10" s="30" t="s">
        <v>187</v>
      </c>
      <c r="F10" s="42">
        <v>0</v>
      </c>
      <c r="G10" s="42">
        <v>395</v>
      </c>
      <c r="H10" s="42">
        <v>109349</v>
      </c>
      <c r="I10" s="42">
        <v>108331</v>
      </c>
      <c r="J10" s="30" t="s">
        <v>188</v>
      </c>
      <c r="K10" s="42">
        <v>109135</v>
      </c>
      <c r="L10" s="131" t="s">
        <v>51</v>
      </c>
      <c r="M10" s="132">
        <f t="shared" si="0"/>
        <v>-424.512</v>
      </c>
      <c r="N10" s="133" t="str">
        <f>VLOOKUP(C10,'Trips&amp;Operators'!$C$1:$G$99999,5,FALSE)</f>
        <v>DAVIS WENDY</v>
      </c>
      <c r="O10" s="203" t="s">
        <v>180</v>
      </c>
      <c r="P10" s="134" t="s">
        <v>418</v>
      </c>
      <c r="Q10" s="30"/>
      <c r="R10" s="81" t="str">
        <f>VLOOKUP(C10,'Train Runs'!$A$13:$AE$9927,31,0)</f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S10" s="84" t="str">
        <f>VLOOKUP(C10,'Train Runs'!$A$13:$AE$9927,22,0)</f>
        <v>https://d0f6bd738d7f1b3e5a7ca70fe4ff75f0.us-east-1.aws.found.io/app/kibana#/discover/Steve-Slow-Train-Analysis-(2080s-and-2083s)?_g=(refreshInterval:(display:Off,pause:!f,section:0,value:0),time:(from:'2017-07-15T07:38:18-0600',mode:absolute,to:'2017-07-15T10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6" t="str">
        <f t="shared" si="1"/>
        <v>"C:\Program Files (x86)\AstroGrep\AstroGrep.exe" /e /r /s /spath="%USERPROFILE%\AppData\Local\Temp\OnboardLogs" /stypes="*4031*201707151*"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4031</v>
      </c>
      <c r="V10" s="31">
        <f t="shared" si="3"/>
        <v>42931.6253125</v>
      </c>
      <c r="W10" s="45" t="str">
        <f t="shared" si="4"/>
        <v>EC</v>
      </c>
      <c r="X10" s="22">
        <f t="shared" si="5"/>
        <v>134</v>
      </c>
      <c r="Y10" s="96" t="str">
        <f t="shared" si="6"/>
        <v>echo {"issue":{"subject":"Early arrival","project_id":79,"tracker_id":40,"status_id":1,"priority_id":2,"assigned_to_id":23,"start_date":"2017-07-15","description":"","custom_fields":[{"id":1,"name":"Subdivision","value":"EC"},{"id":4,"name":"Milepost","value":"10.9135"},{"id":17,"name":"Train ID","value":"134-15"},{"id":16,"name":"Locomotive ID","value":"4031"},{"id":130,"name":"Impact","value":""},{"id":150,"name":"Time of Event (Mountain Time)","value":"09:00:27"},{"id":151,"name":"Denver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/c/Users/stu/AppData/Local/Temp/OnboardLogs/RTDC4031 --include="*4031*201707151*"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"%USERPROFILE%\AppData\Local\Temp\OnboardLogs"\RTDC4031\*4031*201707151* &gt;&gt; 2017-07-15-SliceDisagreementCheck.txt</v>
      </c>
      <c r="AE10" s="145" t="str">
        <f t="shared" si="9"/>
        <v>start /low /b %USERPROFILE%\Documents\GitHub\eaglep3\Utilities\DownloadLogsFromS3.py --loco 4031 --day 2017-07-15</v>
      </c>
    </row>
    <row r="11" spans="1:32" s="1" customFormat="1" x14ac:dyDescent="0.25">
      <c r="A11" s="31">
        <v>42931.729085648149</v>
      </c>
      <c r="B11" s="30" t="s">
        <v>361</v>
      </c>
      <c r="C11" s="30" t="s">
        <v>603</v>
      </c>
      <c r="D11" s="30" t="s">
        <v>49</v>
      </c>
      <c r="E11" s="30" t="s">
        <v>187</v>
      </c>
      <c r="F11" s="42">
        <v>0</v>
      </c>
      <c r="G11" s="42">
        <v>419</v>
      </c>
      <c r="H11" s="42">
        <v>109467</v>
      </c>
      <c r="I11" s="42">
        <v>108539</v>
      </c>
      <c r="J11" s="30" t="s">
        <v>188</v>
      </c>
      <c r="K11" s="42">
        <v>109135</v>
      </c>
      <c r="L11" s="131" t="s">
        <v>51</v>
      </c>
      <c r="M11" s="132">
        <f t="shared" si="0"/>
        <v>-314.68799999999999</v>
      </c>
      <c r="N11" s="133" t="str">
        <f>VLOOKUP(C11,'Trips&amp;Operators'!$C$1:$G$99999,5,FALSE)</f>
        <v>DUNCAN SHEILA</v>
      </c>
      <c r="O11" s="203" t="s">
        <v>180</v>
      </c>
      <c r="P11" s="134" t="s">
        <v>418</v>
      </c>
      <c r="Q11" s="30"/>
      <c r="R11" s="81" t="str">
        <f>VLOOKUP(C11,'Train Runs'!$A$13:$AE$9927,31,0)</f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S11" s="84" t="str">
        <f>VLOOKUP(C11,'Train Runs'!$A$13:$AE$9927,22,0)</f>
        <v>https://d0f6bd738d7f1b3e5a7ca70fe4ff75f0.us-east-1.aws.found.io/app/kibana#/discover/Steve-Slow-Train-Analysis-(2080s-and-2083s)?_g=(refreshInterval:(display:Off,pause:!f,section:0,value:0),time:(from:'2017-07-15T16:02:31-0600',mode:absolute,to:'2017-07-15T18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 t="shared" si="1"/>
        <v>"C:\Program Files (x86)\AstroGrep\AstroGrep.exe" /e /r /s /spath="%USERPROFILE%\AppData\Local\Temp\OnboardLogs" /stypes="*4013*201707152*"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42931.979085648149</v>
      </c>
      <c r="W11" s="45" t="str">
        <f t="shared" si="4"/>
        <v>EC</v>
      </c>
      <c r="X11" s="22">
        <f t="shared" si="5"/>
        <v>202</v>
      </c>
      <c r="Y11" s="96" t="str">
        <f t="shared" si="6"/>
        <v>echo {"issue":{"subject":"Early arrival","project_id":79,"tracker_id":40,"status_id":1,"priority_id":2,"assigned_to_id":23,"start_date":"2017-07-15","description":"","custom_fields":[{"id":1,"name":"Subdivision","value":"EC"},{"id":4,"name":"Milepost","value":"10.9135"},{"id":17,"name":"Train ID","value":"202-15"},{"id":16,"name":"Locomotive ID","value":"4013"},{"id":130,"name":"Impact","value":""},{"id":150,"name":"Time of Event (Mountain Time)","value":"17:29:53"},{"id":151,"name":"Denver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/c/Users/stu/AppData/Local/Temp/OnboardLogs/RTDC4013 --include="*4013*201707152*"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"%USERPROFILE%\AppData\Local\Temp\OnboardLogs"\RTDC4013\*4013*201707152* &gt;&gt; 2017-07-15-SliceDisagreementCheck.txt</v>
      </c>
      <c r="AE11" s="145" t="str">
        <f t="shared" si="9"/>
        <v>start /low /b %USERPROFILE%\Documents\GitHub\eaglep3\Utilities\DownloadLogsFromS3.py --loco 4013 --day 2017-07-15</v>
      </c>
    </row>
    <row r="12" spans="1:32" s="1" customFormat="1" x14ac:dyDescent="0.25">
      <c r="A12" s="31">
        <v>42931.604039351849</v>
      </c>
      <c r="B12" s="30" t="s">
        <v>552</v>
      </c>
      <c r="C12" s="30" t="s">
        <v>598</v>
      </c>
      <c r="D12" s="30" t="s">
        <v>49</v>
      </c>
      <c r="E12" s="30" t="s">
        <v>187</v>
      </c>
      <c r="F12" s="42">
        <v>360</v>
      </c>
      <c r="G12" s="42">
        <v>413</v>
      </c>
      <c r="H12" s="42">
        <v>110237</v>
      </c>
      <c r="I12" s="42">
        <v>108975</v>
      </c>
      <c r="J12" s="30" t="s">
        <v>188</v>
      </c>
      <c r="K12" s="42">
        <v>109135</v>
      </c>
      <c r="L12" s="131" t="s">
        <v>51</v>
      </c>
      <c r="M12" s="132">
        <f t="shared" si="0"/>
        <v>-84.48</v>
      </c>
      <c r="N12" s="133" t="str">
        <f>VLOOKUP(C12,'Trips&amp;Operators'!$C$1:$G$99999,5,FALSE)</f>
        <v>THOMPSON LESTER</v>
      </c>
      <c r="O12" s="203" t="s">
        <v>180</v>
      </c>
      <c r="P12" s="134" t="s">
        <v>418</v>
      </c>
      <c r="Q12" s="30"/>
      <c r="R12" s="81" t="str">
        <f>VLOOKUP(C12,'Train Runs'!$A$13:$AE$9927,31,0)</f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S12" s="84" t="str">
        <f>VLOOKUP(C12,'Train Runs'!$A$13:$AE$9927,22,0)</f>
        <v>https://d0f6bd738d7f1b3e5a7ca70fe4ff75f0.us-east-1.aws.found.io/app/kibana#/discover/Steve-Slow-Train-Analysis-(2080s-and-2083s)?_g=(refreshInterval:(display:Off,pause:!f,section:0,value:0),time:(from:'2017-07-15T13:07:40-0600',mode:absolute,to:'2017-07-15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86" t="str">
        <f t="shared" si="1"/>
        <v>"C:\Program Files (x86)\AstroGrep\AstroGrep.exe" /e /r /s /spath="%USERPROFILE%\AppData\Local\Temp\OnboardLogs" /stypes="*4053*201707152*"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4053</v>
      </c>
      <c r="V12" s="31">
        <f t="shared" si="3"/>
        <v>42931.854039351849</v>
      </c>
      <c r="W12" s="45" t="str">
        <f t="shared" si="4"/>
        <v>EC</v>
      </c>
      <c r="X12" s="22">
        <f t="shared" si="5"/>
        <v>178</v>
      </c>
      <c r="Y12" s="96" t="str">
        <f t="shared" si="6"/>
        <v>echo {"issue":{"subject":"Early arrival","project_id":79,"tracker_id":40,"status_id":1,"priority_id":2,"assigned_to_id":23,"start_date":"2017-07-15","description":"","custom_fields":[{"id":1,"name":"Subdivision","value":"EC"},{"id":4,"name":"Milepost","value":"10.9135"},{"id":17,"name":"Train ID","value":"178-15"},{"id":16,"name":"Locomotive ID","value":"4053"},{"id":130,"name":"Impact","value":""},{"id":150,"name":"Time of Event (Mountain Time)","value":"14:29:49"},{"id":151,"name":"Denver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/c/Users/stu/AppData/Local/Temp/OnboardLogs/RTDC4053 --include="*4053*201707152*"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"%USERPROFILE%\AppData\Local\Temp\OnboardLogs"\RTDC4053\*4053*201707152* &gt;&gt; 2017-07-15-SliceDisagreementCheck.txt</v>
      </c>
      <c r="AE12" s="145" t="str">
        <f t="shared" si="9"/>
        <v>start /low /b %USERPROFILE%\Documents\GitHub\eaglep3\Utilities\DownloadLogsFromS3.py --loco 4053 --day 2017-07-15</v>
      </c>
    </row>
    <row r="13" spans="1:32" s="1" customFormat="1" x14ac:dyDescent="0.25">
      <c r="A13" s="31">
        <v>42931.5937037037</v>
      </c>
      <c r="B13" s="30" t="s">
        <v>552</v>
      </c>
      <c r="C13" s="30" t="s">
        <v>598</v>
      </c>
      <c r="D13" s="30" t="s">
        <v>96</v>
      </c>
      <c r="E13" s="30" t="s">
        <v>197</v>
      </c>
      <c r="F13" s="42">
        <v>350</v>
      </c>
      <c r="G13" s="42">
        <v>400</v>
      </c>
      <c r="H13" s="42">
        <v>224552</v>
      </c>
      <c r="I13" s="42">
        <v>222595</v>
      </c>
      <c r="J13" s="30" t="s">
        <v>198</v>
      </c>
      <c r="K13" s="42">
        <v>232107</v>
      </c>
      <c r="L13" s="131" t="s">
        <v>51</v>
      </c>
      <c r="M13" s="132">
        <f t="shared" si="0"/>
        <v>-5022.3360000000002</v>
      </c>
      <c r="N13" s="133" t="str">
        <f>VLOOKUP(C13,'Trips&amp;Operators'!$C$1:$G$99999,5,FALSE)</f>
        <v>THOMPSON LESTER</v>
      </c>
      <c r="O13" s="203" t="s">
        <v>180</v>
      </c>
      <c r="P13" s="134"/>
      <c r="Q13" s="30"/>
      <c r="R13" s="81" t="str">
        <f>VLOOKUP(C13,'Train Runs'!$A$13:$AE$9927,31,0)</f>
        <v>aws s3 cp s3://rtdc.mdm.uploadarchive.raw/RTDC4053/ "%USERPROFILE%\AppData\Local\Temp\OnboardLogs"\RTDC4053\2017-07-15 --exclude "*" --recursive --include "*20170715*" &amp; "%USERPROFILE%\Documents\GitHub\mrs-test-scripts\Headless Mode &amp; Sideloading\WalkAndUnGZ.bat" "%USERPROFILE%\AppData\Local\Temp\OnboardLogs"\RTDC4053\2017-07-15 &amp; aws s3 cp s3://rtdc.mdm.uploadarchive.raw/RTDC4053/ "%USERPROFILE%\AppData\Local\Temp\OnboardLogs"\RTDC4053\2017-07-16 --exclude "*" --recursive --include "*20170716*" &amp; "%USERPROFILE%\Documents\GitHub\mrs-test-scripts\Headless Mode &amp; Sideloading\WalkAndUnGZ.bat" "%USERPROFILE%\AppData\Local\Temp\OnboardLogs"\RTDC4053\2017-07-16</v>
      </c>
      <c r="S13" s="84" t="str">
        <f>VLOOKUP(C13,'Train Runs'!$A$13:$AE$9927,22,0)</f>
        <v>https://d0f6bd738d7f1b3e5a7ca70fe4ff75f0.us-east-1.aws.found.io/app/kibana#/discover/Steve-Slow-Train-Analysis-(2080s-and-2083s)?_g=(refreshInterval:(display:Off,pause:!f,section:0,value:0),time:(from:'2017-07-15T13:07:40-0600',mode:absolute,to:'2017-07-15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6" t="str">
        <f t="shared" si="1"/>
        <v>"C:\Program Files (x86)\AstroGrep\AstroGrep.exe" /e /r /s /spath="%USERPROFILE%\AppData\Local\Temp\OnboardLogs" /stypes="*4053*201707152*"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4053</v>
      </c>
      <c r="V13" s="31">
        <f t="shared" si="3"/>
        <v>42931.8437037037</v>
      </c>
      <c r="W13" s="45" t="str">
        <f t="shared" si="4"/>
        <v>EC</v>
      </c>
      <c r="X13" s="22">
        <f t="shared" si="5"/>
        <v>178</v>
      </c>
      <c r="Y13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{"issue":{"subject":"","project_id":79,"tracker_id":40,"status_id":1,"priority_id":2,"assigned_to_id":23,"start_date":"2017-07-15","description":"","custom_fields":[{"id":1,"name":"Subdivision","value":"EC"},{"id":4,"name":"Milepost","value":"23.2107"},{"id":17,"name":"Train ID","value":"178-15"},{"id":16,"name":"Locomotive ID","value":"4053"},{"id":130,"name":"Impact","value":""},{"id":150,"name":"Time of Event (Mountain Time)","value":"14:14:56"},{"id":151,"name":"Denver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/c/Users/stu/AppData/Local/Temp/OnboardLogs/RTDC4053 --include="*4053*201707152*"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"%USERPROFILE%\AppData\Local\Temp\OnboardLogs"\RTDC4053\*4053*201707152* &gt;&gt; 2017-07-15-SliceDisagreementCheck.txt</v>
      </c>
      <c r="AE13" s="145" t="str">
        <f t="shared" si="9"/>
        <v>start /low /b %USERPROFILE%\Documents\GitHub\eaglep3\Utilities\DownloadLogsFromS3.py --loco 4053 --day 2017-07-15</v>
      </c>
    </row>
    <row r="14" spans="1:32" x14ac:dyDescent="0.25">
      <c r="A14" s="31">
        <v>42931.63071759259</v>
      </c>
      <c r="B14" s="30" t="s">
        <v>488</v>
      </c>
      <c r="C14" s="30" t="s">
        <v>599</v>
      </c>
      <c r="D14" s="30" t="s">
        <v>49</v>
      </c>
      <c r="E14" s="30" t="s">
        <v>356</v>
      </c>
      <c r="F14" s="42">
        <v>0</v>
      </c>
      <c r="G14" s="42">
        <v>552</v>
      </c>
      <c r="H14" s="42">
        <v>51995</v>
      </c>
      <c r="I14" s="42">
        <v>49866</v>
      </c>
      <c r="J14" s="30" t="s">
        <v>357</v>
      </c>
      <c r="K14" s="42">
        <v>50763</v>
      </c>
      <c r="L14" s="131" t="s">
        <v>51</v>
      </c>
      <c r="M14" s="132">
        <f t="shared" si="0"/>
        <v>-473.61599999999999</v>
      </c>
      <c r="N14" s="133" t="str">
        <f>VLOOKUP(C14,'Trips&amp;Operators'!$C$1:$G$99999,5,FALSE)</f>
        <v>SULLIVAN BRANDON</v>
      </c>
      <c r="O14" s="203" t="s">
        <v>441</v>
      </c>
      <c r="P14" s="134" t="s">
        <v>544</v>
      </c>
      <c r="Q14" s="30"/>
      <c r="R14" s="81" t="str">
        <f>VLOOKUP(C14,'Train Runs'!$A$13:$AE$9927,31,0)</f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S14" s="84" t="str">
        <f>VLOOKUP(C14,'Train Runs'!$A$13:$AE$9927,22,0)</f>
        <v>https://d0f6bd738d7f1b3e5a7ca70fe4ff75f0.us-east-1.aws.found.io/app/kibana#/discover/Steve-Slow-Train-Analysis-(2080s-and-2083s)?_g=(refreshInterval:(display:Off,pause:!f,section:0,value:0),time:(from:'2017-07-15T13:33:30-0600',mode:absolute,to:'2017-07-15T16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 t="shared" si="1"/>
        <v>"C:\Program Files (x86)\AstroGrep\AstroGrep.exe" /e /r /s /spath="%USERPROFILE%\AppData\Local\Temp\OnboardLogs" /stypes="*4015*201707152*"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42931.88071759259</v>
      </c>
      <c r="W14" s="45" t="str">
        <f t="shared" si="4"/>
        <v>EC</v>
      </c>
      <c r="X14" s="22">
        <f t="shared" si="5"/>
        <v>182</v>
      </c>
      <c r="Y14" s="96" t="str">
        <f t="shared" si="6"/>
        <v>echo {"issue":{"subject":"Wi-MAX data drop","project_id":79,"tracker_id":40,"status_id":1,"priority_id":2,"assigned_to_id":23,"start_date":"2017-07-15","description":"","custom_fields":[{"id":1,"name":"Subdivision","value":"EC"},{"id":4,"name":"Milepost","value":"5.0763"},{"id":17,"name":"Train ID","value":"182-15"},{"id":16,"name":"Locomotive ID","value":"4015"},{"id":130,"name":"Impact","value":""},{"id":150,"name":"Time of Event (Mountain Time)","value":"15:08:14"},{"id":151,"name":"Denver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/c/Users/stu/AppData/Local/Temp/OnboardLogs/RTDC4015 --include="*4015*201707152*"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"%USERPROFILE%\AppData\Local\Temp\OnboardLogs"\RTDC4015\*4015*201707152* &gt;&gt; 2017-07-15-SliceDisagreementCheck.txt</v>
      </c>
      <c r="AE14" s="145" t="str">
        <f t="shared" si="9"/>
        <v>start /low /b %USERPROFILE%\Documents\GitHub\eaglep3\Utilities\DownloadLogsFromS3.py --loco 4015 --day 2017-07-15</v>
      </c>
      <c r="AF14" s="1"/>
    </row>
    <row r="15" spans="1:32" x14ac:dyDescent="0.25">
      <c r="A15" s="31">
        <v>42931.703680555554</v>
      </c>
      <c r="B15" s="30" t="s">
        <v>488</v>
      </c>
      <c r="C15" s="30" t="s">
        <v>602</v>
      </c>
      <c r="D15" s="30" t="s">
        <v>96</v>
      </c>
      <c r="E15" s="30" t="s">
        <v>356</v>
      </c>
      <c r="F15" s="42">
        <v>0</v>
      </c>
      <c r="G15" s="42">
        <v>511</v>
      </c>
      <c r="H15" s="42">
        <v>50693</v>
      </c>
      <c r="I15" s="42">
        <v>48976</v>
      </c>
      <c r="J15" s="30" t="s">
        <v>357</v>
      </c>
      <c r="K15" s="42">
        <v>50763</v>
      </c>
      <c r="L15" s="131" t="s">
        <v>51</v>
      </c>
      <c r="M15" s="132">
        <f t="shared" si="0"/>
        <v>-943.53599999999994</v>
      </c>
      <c r="N15" s="133" t="str">
        <f>VLOOKUP(C15,'Trips&amp;Operators'!$C$1:$G$99999,5,FALSE)</f>
        <v>SULLIVAN BRANDON</v>
      </c>
      <c r="O15" s="203" t="s">
        <v>441</v>
      </c>
      <c r="P15" s="134" t="s">
        <v>544</v>
      </c>
      <c r="Q15" s="30"/>
      <c r="R15" s="81" t="str">
        <f>VLOOKUP(C15,'Train Runs'!$A$13:$AE$9927,31,0)</f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S15" s="84" t="str">
        <f>VLOOKUP(C15,'Train Runs'!$A$13:$AE$9927,22,0)</f>
        <v>https://d0f6bd738d7f1b3e5a7ca70fe4ff75f0.us-east-1.aws.found.io/app/kibana#/discover/Steve-Slow-Train-Analysis-(2080s-and-2083s)?_g=(refreshInterval:(display:Off,pause:!f,section:0,value:0),time:(from:'2017-07-15T15:18:45-0600',mode:absolute,to:'2017-07-15T18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 t="shared" si="1"/>
        <v>"C:\Program Files (x86)\AstroGrep\AstroGrep.exe" /e /r /s /spath="%USERPROFILE%\AppData\Local\Temp\OnboardLogs" /stypes="*4015*201707152*"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4015</v>
      </c>
      <c r="V15" s="31">
        <f t="shared" si="3"/>
        <v>42931.953680555554</v>
      </c>
      <c r="W15" s="45" t="str">
        <f t="shared" si="4"/>
        <v>EC</v>
      </c>
      <c r="X15" s="22">
        <f t="shared" si="5"/>
        <v>196</v>
      </c>
      <c r="Y15" s="96" t="str">
        <f t="shared" si="6"/>
        <v>echo {"issue":{"subject":"Wi-MAX data drop","project_id":79,"tracker_id":40,"status_id":1,"priority_id":2,"assigned_to_id":23,"start_date":"2017-07-15","description":"","custom_fields":[{"id":1,"name":"Subdivision","value":"EC"},{"id":4,"name":"Milepost","value":"5.0763"},{"id":17,"name":"Train ID","value":"196-15"},{"id":16,"name":"Locomotive ID","value":"4015"},{"id":130,"name":"Impact","value":""},{"id":150,"name":"Time of Event (Mountain Time)","value":"16:53:18"},{"id":151,"name":"Denver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/c/Users/stu/AppData/Local/Temp/OnboardLogs/RTDC4015 --include="*4015*201707152*"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"%USERPROFILE%\AppData\Local\Temp\OnboardLogs"\RTDC4015\*4015*201707152* &gt;&gt; 2017-07-15-SliceDisagreementCheck.txt</v>
      </c>
      <c r="AE15" s="145" t="str">
        <f t="shared" si="9"/>
        <v>start /low /b %USERPROFILE%\Documents\GitHub\eaglep3\Utilities\DownloadLogsFromS3.py --loco 4015 --day 2017-07-15</v>
      </c>
      <c r="AF15" s="1"/>
    </row>
    <row r="16" spans="1:32" x14ac:dyDescent="0.25">
      <c r="A16" s="31">
        <v>42931.729525462964</v>
      </c>
      <c r="B16" s="30" t="s">
        <v>471</v>
      </c>
      <c r="C16" s="30" t="s">
        <v>604</v>
      </c>
      <c r="D16" s="30" t="s">
        <v>49</v>
      </c>
      <c r="E16" s="30" t="s">
        <v>356</v>
      </c>
      <c r="F16" s="42">
        <v>0</v>
      </c>
      <c r="G16" s="42">
        <v>392</v>
      </c>
      <c r="H16" s="42">
        <v>63052</v>
      </c>
      <c r="I16" s="42">
        <v>63780</v>
      </c>
      <c r="J16" s="30" t="s">
        <v>357</v>
      </c>
      <c r="K16" s="42">
        <v>63995</v>
      </c>
      <c r="L16" s="131" t="s">
        <v>50</v>
      </c>
      <c r="M16" s="132">
        <f t="shared" si="0"/>
        <v>113.52</v>
      </c>
      <c r="N16" s="133" t="str">
        <f>VLOOKUP(C16,'Trips&amp;Operators'!$C$1:$G$99999,5,FALSE)</f>
        <v>SULLIVAN BRANDON</v>
      </c>
      <c r="O16" s="203" t="s">
        <v>441</v>
      </c>
      <c r="P16" s="134" t="s">
        <v>544</v>
      </c>
      <c r="Q16" s="30"/>
      <c r="R16" s="81" t="str">
        <f>VLOOKUP(C16,'Train Runs'!$A$13:$AE$9927,31,0)</f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S16" s="84" t="str">
        <f>VLOOKUP(C16,'Train Runs'!$A$13:$AE$9927,22,0)</f>
        <v>https://d0f6bd738d7f1b3e5a7ca70fe4ff75f0.us-east-1.aws.found.io/app/kibana#/discover/Steve-Slow-Train-Analysis-(2080s-and-2083s)?_g=(refreshInterval:(display:Off,pause:!f,section:0,value:0),time:(from:'2017-07-15T16:15:02-0600',mode:absolute,to:'2017-07-15T18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86" t="str">
        <f t="shared" si="1"/>
        <v>"C:\Program Files (x86)\AstroGrep\AstroGrep.exe" /e /r /s /spath="%USERPROFILE%\AppData\Local\Temp\OnboardLogs" /stypes="*4016*201707152*"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4016</v>
      </c>
      <c r="V16" s="31">
        <f t="shared" si="3"/>
        <v>42931.979525462964</v>
      </c>
      <c r="W16" s="45" t="str">
        <f t="shared" si="4"/>
        <v>EC</v>
      </c>
      <c r="X16" s="22">
        <f t="shared" si="5"/>
        <v>209</v>
      </c>
      <c r="Y16" s="96" t="str">
        <f t="shared" si="6"/>
        <v>echo {"issue":{"subject":"Wi-MAX data drop","project_id":79,"tracker_id":40,"status_id":1,"priority_id":2,"assigned_to_id":23,"start_date":"2017-07-15","description":"","custom_fields":[{"id":1,"name":"Subdivision","value":"EC"},{"id":4,"name":"Milepost","value":"6.3995"},{"id":17,"name":"Train ID","value":"209-15"},{"id":16,"name":"Locomotive ID","value":"4016"},{"id":130,"name":"Impact","value":""},{"id":150,"name":"Time of Event (Mountain Time)","value":"17:30:31"},{"id":151,"name":"Denver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/c/Users/stu/AppData/Local/Temp/OnboardLogs/RTDC4016 --include="*4016*201707152*"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"%USERPROFILE%\AppData\Local\Temp\OnboardLogs"\RTDC4016\*4016*201707152* &gt;&gt; 2017-07-15-SliceDisagreementCheck.txt</v>
      </c>
      <c r="AE16" s="145" t="str">
        <f t="shared" si="9"/>
        <v>start /low /b %USERPROFILE%\Documents\GitHub\eaglep3\Utilities\DownloadLogsFromS3.py --loco 4016 --day 2017-07-15</v>
      </c>
      <c r="AF16" s="1"/>
    </row>
    <row r="17" spans="1:32" x14ac:dyDescent="0.25">
      <c r="A17" s="31">
        <v>42931.455555555556</v>
      </c>
      <c r="B17" s="30" t="s">
        <v>337</v>
      </c>
      <c r="C17" s="30" t="s">
        <v>594</v>
      </c>
      <c r="D17" s="30" t="s">
        <v>49</v>
      </c>
      <c r="E17" s="30" t="s">
        <v>356</v>
      </c>
      <c r="F17" s="42">
        <v>0</v>
      </c>
      <c r="G17" s="42">
        <v>772</v>
      </c>
      <c r="H17" s="42">
        <v>146418</v>
      </c>
      <c r="I17" s="42">
        <v>149857</v>
      </c>
      <c r="J17" s="30" t="s">
        <v>357</v>
      </c>
      <c r="K17" s="42">
        <v>149694</v>
      </c>
      <c r="L17" s="131" t="s">
        <v>50</v>
      </c>
      <c r="M17" s="132">
        <f t="shared" si="0"/>
        <v>-86.063999999999993</v>
      </c>
      <c r="N17" s="133" t="str">
        <f>VLOOKUP(C17,'Trips&amp;Operators'!$C$1:$G$99999,5,FALSE)</f>
        <v>DAVIDSON DAVID</v>
      </c>
      <c r="O17" s="203" t="s">
        <v>441</v>
      </c>
      <c r="P17" s="134" t="s">
        <v>544</v>
      </c>
      <c r="Q17" s="30"/>
      <c r="R17" s="81" t="str">
        <f>VLOOKUP(C17,'Train Runs'!$A$13:$AE$9927,31,0)</f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S17" s="84" t="str">
        <f>VLOOKUP(C17,'Train Runs'!$A$13:$AE$9927,22,0)</f>
        <v>https://d0f6bd738d7f1b3e5a7ca70fe4ff75f0.us-east-1.aws.found.io/app/kibana#/discover/Steve-Slow-Train-Analysis-(2080s-and-2083s)?_g=(refreshInterval:(display:Off,pause:!f,section:0,value:0),time:(from:'2017-07-15T09:23:52-0600',mode:absolute,to:'2017-07-15T12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86" t="str">
        <f t="shared" si="1"/>
        <v>"C:\Program Files (x86)\AstroGrep\AstroGrep.exe" /e /r /s /spath="%USERPROFILE%\AppData\Local\Temp\OnboardLogs" /stypes="*4022*201707151*"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4022</v>
      </c>
      <c r="V17" s="31">
        <f t="shared" si="3"/>
        <v>42931.705555555556</v>
      </c>
      <c r="W17" s="45" t="str">
        <f t="shared" si="4"/>
        <v>EC</v>
      </c>
      <c r="X17" s="22">
        <f t="shared" si="5"/>
        <v>155</v>
      </c>
      <c r="Y17" s="96" t="str">
        <f t="shared" si="6"/>
        <v>echo {"issue":{"subject":"Wi-MAX data drop","project_id":79,"tracker_id":40,"status_id":1,"priority_id":2,"assigned_to_id":23,"start_date":"2017-07-15","description":"","custom_fields":[{"id":1,"name":"Subdivision","value":"EC"},{"id":4,"name":"Milepost","value":"14.9694"},{"id":17,"name":"Train ID","value":"155-15"},{"id":16,"name":"Locomotive ID","value":"4022"},{"id":130,"name":"Impact","value":""},{"id":150,"name":"Time of Event (Mountain Time)","value":"10:56:00"},{"id":151,"name":"Denver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/c/Users/stu/AppData/Local/Temp/OnboardLogs/RTDC4022 --include="*4022*201707151*"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"%USERPROFILE%\AppData\Local\Temp\OnboardLogs"\RTDC4022\*4022*201707151* &gt;&gt; 2017-07-15-SliceDisagreementCheck.txt</v>
      </c>
      <c r="AE17" s="145" t="str">
        <f t="shared" si="9"/>
        <v>start /low /b %USERPROFILE%\Documents\GitHub\eaglep3\Utilities\DownloadLogsFromS3.py --loco 4022 --day 2017-07-15</v>
      </c>
      <c r="AF17" s="1"/>
    </row>
    <row r="18" spans="1:32" x14ac:dyDescent="0.25">
      <c r="A18" s="31">
        <v>42931.521956018521</v>
      </c>
      <c r="B18" s="30" t="s">
        <v>361</v>
      </c>
      <c r="C18" s="30" t="s">
        <v>597</v>
      </c>
      <c r="D18" s="30" t="s">
        <v>49</v>
      </c>
      <c r="E18" s="30" t="s">
        <v>482</v>
      </c>
      <c r="F18" s="42">
        <v>0</v>
      </c>
      <c r="G18" s="42">
        <v>353</v>
      </c>
      <c r="H18" s="42">
        <v>18205</v>
      </c>
      <c r="I18" s="42">
        <v>17616</v>
      </c>
      <c r="J18" s="30" t="s">
        <v>483</v>
      </c>
      <c r="K18" s="42">
        <v>17100</v>
      </c>
      <c r="L18" s="131" t="s">
        <v>51</v>
      </c>
      <c r="M18" s="132">
        <f t="shared" si="0"/>
        <v>272.44799999999998</v>
      </c>
      <c r="N18" s="133" t="str">
        <f>VLOOKUP(C18,'Trips&amp;Operators'!$C$1:$G$99999,5,FALSE)</f>
        <v>GUZMAN DANNY</v>
      </c>
      <c r="O18" s="203" t="s">
        <v>441</v>
      </c>
      <c r="P18" s="134" t="s">
        <v>544</v>
      </c>
      <c r="Q18" s="30"/>
      <c r="R18" s="81" t="str">
        <f>VLOOKUP(C18,'Train Runs'!$A$13:$AE$9927,31,0)</f>
        <v>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 &amp; aws s3 cp s3://rtdc.mdm.uploadarchive.raw/RTDC4013/ "%USERPROFILE%\AppData\Local\Temp\OnboardLogs"\RTDC4013\2017-07-16 --exclude "*" --recursive --include "*20170716*" &amp; "%USERPROFILE%\Documents\GitHub\mrs-test-scripts\Headless Mode &amp; Sideloading\WalkAndUnGZ.bat" "%USERPROFILE%\AppData\Local\Temp\OnboardLogs"\RTDC4013\2017-07-16</v>
      </c>
      <c r="S18" s="84" t="str">
        <f>VLOOKUP(C18,'Train Runs'!$A$13:$AE$9927,22,0)</f>
        <v>https://d0f6bd738d7f1b3e5a7ca70fe4ff75f0.us-east-1.aws.found.io/app/kibana#/discover/Steve-Slow-Train-Analysis-(2080s-and-2083s)?_g=(refreshInterval:(display:Off,pause:!f,section:0,value:0),time:(from:'2017-07-15T10:41:00-0600',mode:absolute,to:'2017-07-15T13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86" t="str">
        <f t="shared" si="1"/>
        <v>"C:\Program Files (x86)\AstroGrep\AstroGrep.exe" /e /r /s /spath="%USERPROFILE%\AppData\Local\Temp\OnboardLogs" /stypes="*4013*201707151*" /stext=" 18:.+((SYSTEM_STATE.+slice.+state.+changed )|(ment ac)|(multiple cpu faults)|(system.+state.+changed )|(\[timeout)|(PRM\|1\|D)|(kpr)|(kdp)|(train st.+moving)|(\|lc)|(penalty))"</v>
      </c>
      <c r="U18" s="9" t="str">
        <f t="shared" si="2"/>
        <v>4013</v>
      </c>
      <c r="V18" s="31">
        <f t="shared" si="3"/>
        <v>42931.771956018521</v>
      </c>
      <c r="W18" s="45" t="str">
        <f t="shared" si="4"/>
        <v>EC</v>
      </c>
      <c r="X18" s="22">
        <f t="shared" si="5"/>
        <v>160</v>
      </c>
      <c r="Y18" s="96" t="str">
        <f t="shared" si="6"/>
        <v>echo {"issue":{"subject":"Wi-MAX data drop","project_id":79,"tracker_id":40,"status_id":1,"priority_id":2,"assigned_to_id":23,"start_date":"2017-07-15","description":"","custom_fields":[{"id":1,"name":"Subdivision","value":"EC"},{"id":4,"name":"Milepost","value":"1.71"},{"id":17,"name":"Train ID","value":"160-15"},{"id":16,"name":"Locomotive ID","value":"4013"},{"id":130,"name":"Impact","value":""},{"id":150,"name":"Time of Event (Mountain Time)","value":"12:31:37"},{"id":151,"name":"Denver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/c/Users/stu/AppData/Local/Temp/OnboardLogs/RTDC4013 --include="*4013*201707151*"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"%USERPROFILE%\AppData\Local\Temp\OnboardLogs"\RTDC4013\*4013*201707151* &gt;&gt; 2017-07-15-SliceDisagreementCheck.txt</v>
      </c>
      <c r="AE18" s="145" t="str">
        <f t="shared" si="9"/>
        <v>start /low /b %USERPROFILE%\Documents\GitHub\eaglep3\Utilities\DownloadLogsFromS3.py --loco 4013 --day 2017-07-15</v>
      </c>
      <c r="AF18" s="1"/>
    </row>
    <row r="19" spans="1:32" x14ac:dyDescent="0.25">
      <c r="A19" s="31">
        <v>42931.264513888891</v>
      </c>
      <c r="B19" s="30" t="s">
        <v>589</v>
      </c>
      <c r="C19" s="30" t="s">
        <v>590</v>
      </c>
      <c r="D19" s="30" t="s">
        <v>49</v>
      </c>
      <c r="E19" s="30" t="s">
        <v>181</v>
      </c>
      <c r="F19" s="42">
        <v>0</v>
      </c>
      <c r="G19" s="42">
        <v>79</v>
      </c>
      <c r="H19" s="42">
        <v>311</v>
      </c>
      <c r="I19" s="42">
        <v>223</v>
      </c>
      <c r="J19" s="30" t="s">
        <v>182</v>
      </c>
      <c r="K19" s="42">
        <v>1</v>
      </c>
      <c r="L19" s="131" t="s">
        <v>51</v>
      </c>
      <c r="M19" s="132">
        <f t="shared" si="0"/>
        <v>117.21599999999999</v>
      </c>
      <c r="N19" s="133" t="str">
        <f>VLOOKUP(C19,'Trips&amp;Operators'!$C$1:$G$99999,5,FALSE)</f>
        <v>BROWN JACOB</v>
      </c>
      <c r="O19" s="203" t="s">
        <v>180</v>
      </c>
      <c r="P19" s="134"/>
      <c r="Q19" s="30"/>
      <c r="R19" s="81" t="str">
        <f>VLOOKUP(C19,'Train Runs'!$A$13:$AE$9927,31,0)</f>
        <v>aws s3 cp s3://rtdc.mdm.uploadarchive.raw/RTDC4055/ "%USERPROFILE%\AppData\Local\Temp\OnboardLogs"\RTDC4055\2017-07-15 --exclude "*" --recursive --include "*20170715*" &amp; "%USERPROFILE%\Documents\GitHub\mrs-test-scripts\Headless Mode &amp; Sideloading\WalkAndUnGZ.bat" "%USERPROFILE%\AppData\Local\Temp\OnboardLogs"\RTDC4055\2017-07-15 &amp; 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</v>
      </c>
      <c r="S19" s="84" t="str">
        <f>VLOOKUP(C19,'Train Runs'!$A$13:$AE$9927,22,0)</f>
        <v>https://d0f6bd738d7f1b3e5a7ca70fe4ff75f0.us-east-1.aws.found.io/app/kibana#/discover/Steve-Slow-Train-Analysis-(2080s-and-2083s)?_g=(refreshInterval:(display:Off,pause:!f,section:0,value:0),time:(from:'2017-07-15T04:36:55-0600',mode:absolute,to:'2017-07-15T07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9" s="86" t="str">
        <f t="shared" si="1"/>
        <v>"C:\Program Files (x86)\AstroGrep\AstroGrep.exe" /e /r /s /spath="%USERPROFILE%\AppData\Local\Temp\OnboardLogs" /stypes="*4055*201707151*"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4055</v>
      </c>
      <c r="V19" s="31">
        <f t="shared" si="3"/>
        <v>42931.514513888891</v>
      </c>
      <c r="W19" s="45" t="str">
        <f t="shared" si="4"/>
        <v>EC</v>
      </c>
      <c r="X19" s="22">
        <f t="shared" si="5"/>
        <v>110</v>
      </c>
      <c r="Y19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{"issue":{"subject":"","project_id":79,"tracker_id":40,"status_id":1,"priority_id":2,"assigned_to_id":23,"start_date":"2017-07-15","description":"","custom_fields":[{"id":1,"name":"Subdivision","value":"EC"},{"id":4,"name":"Milepost","value":"0.0001"},{"id":17,"name":"Train ID","value":"110-15"},{"id":16,"name":"Locomotive ID","value":"4055"},{"id":130,"name":"Impact","value":""},{"id":150,"name":"Time of Event (Mountain Time)","value":"06:20:54"},{"id":151,"name":"Denver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/c/Users/stu/AppData/Local/Temp/OnboardLogs/RTDC4055 --include="*4055*201707151*"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"%USERPROFILE%\AppData\Local\Temp\OnboardLogs"\RTDC4055\*4055*201707151* &gt;&gt; 2017-07-15-SliceDisagreementCheck.txt</v>
      </c>
      <c r="AE19" s="145" t="str">
        <f t="shared" si="9"/>
        <v>start /low /b %USERPROFILE%\Documents\GitHub\eaglep3\Utilities\DownloadLogsFromS3.py --loco 4055 --day 2017-07-15</v>
      </c>
      <c r="AF19" s="1"/>
    </row>
    <row r="20" spans="1:32" x14ac:dyDescent="0.25">
      <c r="A20" s="31">
        <v>42931.462708333333</v>
      </c>
      <c r="B20" s="30" t="s">
        <v>477</v>
      </c>
      <c r="C20" s="30" t="s">
        <v>595</v>
      </c>
      <c r="D20" s="30" t="s">
        <v>49</v>
      </c>
      <c r="E20" s="30" t="s">
        <v>181</v>
      </c>
      <c r="F20" s="42">
        <v>0</v>
      </c>
      <c r="G20" s="42">
        <v>71</v>
      </c>
      <c r="H20" s="42">
        <v>252</v>
      </c>
      <c r="I20" s="42">
        <v>178</v>
      </c>
      <c r="J20" s="30" t="s">
        <v>182</v>
      </c>
      <c r="K20" s="42">
        <v>1</v>
      </c>
      <c r="L20" s="131" t="s">
        <v>51</v>
      </c>
      <c r="M20" s="132">
        <f t="shared" si="0"/>
        <v>93.456000000000003</v>
      </c>
      <c r="N20" s="133" t="str">
        <f>VLOOKUP(C20,'Trips&amp;Operators'!$C$1:$G$99999,5,FALSE)</f>
        <v>DAVIS WENDY</v>
      </c>
      <c r="O20" s="203" t="s">
        <v>180</v>
      </c>
      <c r="P20" s="134"/>
      <c r="Q20" s="30"/>
      <c r="R20" s="81" t="str">
        <f>VLOOKUP(C20,'Train Runs'!$A$13:$AE$9927,31,0)</f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S20" s="84" t="str">
        <f>VLOOKUP(C20,'Train Runs'!$A$13:$AE$9927,22,0)</f>
        <v>https://d0f6bd738d7f1b3e5a7ca70fe4ff75f0.us-east-1.aws.found.io/app/kibana#/discover/Steve-Slow-Train-Analysis-(2080s-and-2083s)?_g=(refreshInterval:(display:Off,pause:!f,section:0,value:0),time:(from:'2017-07-15T09:23:06-0600',mode:absolute,to:'2017-07-15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6" t="str">
        <f t="shared" si="1"/>
        <v>"C:\Program Files (x86)\AstroGrep\AstroGrep.exe" /e /r /s /spath="%USERPROFILE%\AppData\Local\Temp\OnboardLogs" /stypes="*4031*201707151*"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4031</v>
      </c>
      <c r="V20" s="31">
        <f t="shared" si="3"/>
        <v>42931.712708333333</v>
      </c>
      <c r="W20" s="45" t="str">
        <f t="shared" si="4"/>
        <v>EC</v>
      </c>
      <c r="X20" s="22">
        <f t="shared" si="5"/>
        <v>148</v>
      </c>
      <c r="Y20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{"issue":{"subject":"","project_id":79,"tracker_id":40,"status_id":1,"priority_id":2,"assigned_to_id":23,"start_date":"2017-07-15","description":"","custom_fields":[{"id":1,"name":"Subdivision","value":"EC"},{"id":4,"name":"Milepost","value":"0.0001"},{"id":17,"name":"Train ID","value":"148-15"},{"id":16,"name":"Locomotive ID","value":"4031"},{"id":130,"name":"Impact","value":""},{"id":150,"name":"Time of Event (Mountain Time)","value":"11:06:18"},{"id":151,"name":"Denver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/c/Users/stu/AppData/Local/Temp/OnboardLogs/RTDC4031 --include="*4031*201707151*"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"%USERPROFILE%\AppData\Local\Temp\OnboardLogs"\RTDC4031\*4031*201707151* &gt;&gt; 2017-07-15-SliceDisagreementCheck.txt</v>
      </c>
      <c r="AE20" s="145" t="str">
        <f t="shared" si="9"/>
        <v>start /low /b %USERPROFILE%\Documents\GitHub\eaglep3\Utilities\DownloadLogsFromS3.py --loco 4031 --day 2017-07-15</v>
      </c>
      <c r="AF20" s="1"/>
    </row>
    <row r="21" spans="1:32" x14ac:dyDescent="0.25">
      <c r="A21" s="31">
        <v>42931.463055555556</v>
      </c>
      <c r="B21" s="30" t="s">
        <v>477</v>
      </c>
      <c r="C21" s="30" t="s">
        <v>595</v>
      </c>
      <c r="D21" s="30" t="s">
        <v>49</v>
      </c>
      <c r="E21" s="30" t="s">
        <v>181</v>
      </c>
      <c r="F21" s="42">
        <v>0</v>
      </c>
      <c r="G21" s="42">
        <v>29</v>
      </c>
      <c r="H21" s="42">
        <v>141</v>
      </c>
      <c r="I21" s="42">
        <v>123</v>
      </c>
      <c r="J21" s="30" t="s">
        <v>182</v>
      </c>
      <c r="K21" s="42">
        <v>1</v>
      </c>
      <c r="L21" s="131" t="s">
        <v>51</v>
      </c>
      <c r="M21" s="132">
        <f t="shared" si="0"/>
        <v>64.415999999999997</v>
      </c>
      <c r="N21" s="133" t="str">
        <f>VLOOKUP(C21,'Trips&amp;Operators'!$C$1:$G$99999,5,FALSE)</f>
        <v>DAVIS WENDY</v>
      </c>
      <c r="O21" s="203" t="s">
        <v>180</v>
      </c>
      <c r="P21" s="134"/>
      <c r="Q21" s="30"/>
      <c r="R21" s="81" t="str">
        <f>VLOOKUP(C21,'Train Runs'!$A$13:$AE$9927,31,0)</f>
        <v>aws s3 cp s3://rtdc.mdm.uploadarchive.raw/RTDC4031/ "%USERPROFILE%\AppData\Local\Temp\OnboardLogs"\RTDC4031\2017-07-15 --exclude "*" --recursive --include "*20170715*" &amp; "%USERPROFILE%\Documents\GitHub\mrs-test-scripts\Headless Mode &amp; Sideloading\WalkAndUnGZ.bat" "%USERPROFILE%\AppData\Local\Temp\OnboardLogs"\RTDC4031\2017-07-15 &amp; aws s3 cp s3://rtdc.mdm.uploadarchive.raw/RTDC4031/ "%USERPROFILE%\AppData\Local\Temp\OnboardLogs"\RTDC4031\2017-07-16 --exclude "*" --recursive --include "*20170716*" &amp; "%USERPROFILE%\Documents\GitHub\mrs-test-scripts\Headless Mode &amp; Sideloading\WalkAndUnGZ.bat" "%USERPROFILE%\AppData\Local\Temp\OnboardLogs"\RTDC4031\2017-07-16</v>
      </c>
      <c r="S21" s="84" t="str">
        <f>VLOOKUP(C21,'Train Runs'!$A$13:$AE$9927,22,0)</f>
        <v>https://d0f6bd738d7f1b3e5a7ca70fe4ff75f0.us-east-1.aws.found.io/app/kibana#/discover/Steve-Slow-Train-Analysis-(2080s-and-2083s)?_g=(refreshInterval:(display:Off,pause:!f,section:0,value:0),time:(from:'2017-07-15T09:23:06-0600',mode:absolute,to:'2017-07-15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 t="shared" si="1"/>
        <v>"C:\Program Files (x86)\AstroGrep\AstroGrep.exe" /e /r /s /spath="%USERPROFILE%\AppData\Local\Temp\OnboardLogs" /stypes="*4031*201707151*"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42931.713055555556</v>
      </c>
      <c r="W21" s="45" t="str">
        <f t="shared" si="4"/>
        <v>EC</v>
      </c>
      <c r="X21" s="22">
        <f t="shared" si="5"/>
        <v>148</v>
      </c>
      <c r="Y21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{"issue":{"subject":"","project_id":79,"tracker_id":40,"status_id":1,"priority_id":2,"assigned_to_id":23,"start_date":"2017-07-15","description":"","custom_fields":[{"id":1,"name":"Subdivision","value":"EC"},{"id":4,"name":"Milepost","value":"0.0001"},{"id":17,"name":"Train ID","value":"148-15"},{"id":16,"name":"Locomotive ID","value":"4031"},{"id":130,"name":"Impact","value":""},{"id":150,"name":"Time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/c/Users/stu/AppData/Local/Temp/OnboardLogs/RTDC4031 --include="*4031*201707151*"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"%USERPROFILE%\AppData\Local\Temp\OnboardLogs"\RTDC4031\*4031*201707151* &gt;&gt; 2017-07-15-SliceDisagreementCheck.txt</v>
      </c>
      <c r="AE21" s="145" t="str">
        <f t="shared" si="9"/>
        <v>start /low /b %USERPROFILE%\Documents\GitHub\eaglep3\Utilities\DownloadLogsFromS3.py --loco 4031 --day 2017-07-15</v>
      </c>
      <c r="AF21" s="1"/>
    </row>
    <row r="22" spans="1:32" x14ac:dyDescent="0.25">
      <c r="A22" s="31">
        <v>42931.516805555555</v>
      </c>
      <c r="B22" s="30" t="s">
        <v>481</v>
      </c>
      <c r="C22" s="30" t="s">
        <v>596</v>
      </c>
      <c r="D22" s="30" t="s">
        <v>49</v>
      </c>
      <c r="E22" s="30" t="s">
        <v>181</v>
      </c>
      <c r="F22" s="42">
        <v>0</v>
      </c>
      <c r="G22" s="42">
        <v>52</v>
      </c>
      <c r="H22" s="42">
        <v>198</v>
      </c>
      <c r="I22" s="42">
        <v>141</v>
      </c>
      <c r="J22" s="30" t="s">
        <v>182</v>
      </c>
      <c r="K22" s="42">
        <v>1</v>
      </c>
      <c r="L22" s="131" t="s">
        <v>51</v>
      </c>
      <c r="M22" s="132">
        <f t="shared" si="0"/>
        <v>73.92</v>
      </c>
      <c r="N22" s="133" t="str">
        <f>VLOOKUP(C22,'Trips&amp;Operators'!$C$1:$G$99999,5,FALSE)</f>
        <v>STEWART MICHAEL</v>
      </c>
      <c r="O22" s="203" t="s">
        <v>180</v>
      </c>
      <c r="P22" s="134"/>
      <c r="Q22" s="30"/>
      <c r="R22" s="81" t="str">
        <f>VLOOKUP(C22,'Train Runs'!$A$13:$AE$9927,31,0)</f>
        <v>aws s3 cp s3://rtdc.mdm.uploadarchive.raw/RTDC4023/ "%USERPROFILE%\AppData\Local\Temp\OnboardLogs"\RTDC4023\2017-07-15 --exclude "*" --recursive --include "*20170715*" &amp; "%USERPROFILE%\Documents\GitHub\mrs-test-scripts\Headless Mode &amp; Sideloading\WalkAndUnGZ.bat" "%USERPROFILE%\AppData\Local\Temp\OnboardLogs"\RTDC4023\2017-07-15 &amp; aws s3 cp s3://rtdc.mdm.uploadarchive.raw/RTDC4023/ "%USERPROFILE%\AppData\Local\Temp\OnboardLogs"\RTDC4023\2017-07-16 --exclude "*" --recursive --include "*20170716*" &amp; "%USERPROFILE%\Documents\GitHub\mrs-test-scripts\Headless Mode &amp; Sideloading\WalkAndUnGZ.bat" "%USERPROFILE%\AppData\Local\Temp\OnboardLogs"\RTDC4023\2017-07-16</v>
      </c>
      <c r="S22" s="84" t="str">
        <f>VLOOKUP(C22,'Train Runs'!$A$13:$AE$9927,22,0)</f>
        <v>https://d0f6bd738d7f1b3e5a7ca70fe4ff75f0.us-east-1.aws.found.io/app/kibana#/discover/Steve-Slow-Train-Analysis-(2080s-and-2083s)?_g=(refreshInterval:(display:Off,pause:!f,section:0,value:0),time:(from:'2017-07-15T10:39:58-0600',mode:absolute,to:'2017-07-15T13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6" t="str">
        <f t="shared" si="1"/>
        <v>"C:\Program Files (x86)\AstroGrep\AstroGrep.exe" /e /r /s /spath="%USERPROFILE%\AppData\Local\Temp\OnboardLogs" /stypes="*4023*201707151*"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4023</v>
      </c>
      <c r="V22" s="31">
        <f t="shared" si="3"/>
        <v>42931.766805555555</v>
      </c>
      <c r="W22" s="45" t="str">
        <f t="shared" si="4"/>
        <v>EC</v>
      </c>
      <c r="X22" s="22">
        <f t="shared" si="5"/>
        <v>158</v>
      </c>
      <c r="Y22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{"issue":{"subject":"","project_id":79,"tracker_id":40,"status_id":1,"priority_id":2,"assigned_to_id":23,"start_date":"2017-07-15","description":"","custom_fields":[{"id":1,"name":"Subdivision","value":"EC"},{"id":4,"name":"Milepost","value":"0.0001"},{"id":17,"name":"Train ID","value":"158-15"},{"id":16,"name":"Locomotive ID","value":"4023"},{"id":130,"name":"Impact","value":""},{"id":150,"name":"Time of Event (Mountain Time)","value":"12:24:12"},{"id":151,"name":"Denver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/c/Users/stu/AppData/Local/Temp/OnboardLogs/RTDC4023 --include="*4023*201707151*"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"%USERPROFILE%\AppData\Local\Temp\OnboardLogs"\RTDC4023\*4023*201707151* &gt;&gt; 2017-07-15-SliceDisagreementCheck.txt</v>
      </c>
      <c r="AE22" s="145" t="str">
        <f t="shared" si="9"/>
        <v>start /low /b %USERPROFILE%\Documents\GitHub\eaglep3\Utilities\DownloadLogsFromS3.py --loco 4023 --day 2017-07-15</v>
      </c>
      <c r="AF22" s="1"/>
    </row>
    <row r="23" spans="1:32" x14ac:dyDescent="0.25">
      <c r="A23" s="31">
        <v>42931.713333333333</v>
      </c>
      <c r="B23" s="30" t="s">
        <v>488</v>
      </c>
      <c r="C23" s="30" t="s">
        <v>602</v>
      </c>
      <c r="D23" s="30" t="s">
        <v>49</v>
      </c>
      <c r="E23" s="30" t="s">
        <v>181</v>
      </c>
      <c r="F23" s="42">
        <v>0</v>
      </c>
      <c r="G23" s="42">
        <v>42</v>
      </c>
      <c r="H23" s="42">
        <v>145</v>
      </c>
      <c r="I23" s="42">
        <v>116</v>
      </c>
      <c r="J23" s="30" t="s">
        <v>182</v>
      </c>
      <c r="K23" s="42">
        <v>1</v>
      </c>
      <c r="L23" s="131" t="s">
        <v>51</v>
      </c>
      <c r="M23" s="132">
        <f t="shared" si="0"/>
        <v>60.72</v>
      </c>
      <c r="N23" s="133" t="str">
        <f>VLOOKUP(C23,'Trips&amp;Operators'!$C$1:$G$99999,5,FALSE)</f>
        <v>SULLIVAN BRANDON</v>
      </c>
      <c r="O23" s="203" t="s">
        <v>180</v>
      </c>
      <c r="P23" s="134"/>
      <c r="Q23" s="30"/>
      <c r="R23" s="81" t="str">
        <f>VLOOKUP(C23,'Train Runs'!$A$13:$AE$9927,31,0)</f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S23" s="84" t="str">
        <f>VLOOKUP(C23,'Train Runs'!$A$13:$AE$9927,22,0)</f>
        <v>https://d0f6bd738d7f1b3e5a7ca70fe4ff75f0.us-east-1.aws.found.io/app/kibana#/discover/Steve-Slow-Train-Analysis-(2080s-and-2083s)?_g=(refreshInterval:(display:Off,pause:!f,section:0,value:0),time:(from:'2017-07-15T15:18:45-0600',mode:absolute,to:'2017-07-15T18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6" t="str">
        <f t="shared" si="1"/>
        <v>"C:\Program Files (x86)\AstroGrep\AstroGrep.exe" /e /r /s /spath="%USERPROFILE%\AppData\Local\Temp\OnboardLogs" /stypes="*4015*201707152*"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42931.963333333333</v>
      </c>
      <c r="W23" s="45" t="str">
        <f t="shared" si="4"/>
        <v>EC</v>
      </c>
      <c r="X23" s="22">
        <f t="shared" si="5"/>
        <v>196</v>
      </c>
      <c r="Y23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{"issue":{"subject":"","project_id":79,"tracker_id":40,"status_id":1,"priority_id":2,"assigned_to_id":23,"start_date":"2017-07-15","description":"","custom_fields":[{"id":1,"name":"Subdivision","value":"EC"},{"id":4,"name":"Milepost","value":"0.0001"},{"id":17,"name":"Train ID","value":"196-15"},{"id":16,"name":"Locomotive ID","value":"4015"},{"id":130,"name":"Impact","value":""},{"id":150,"name":"Time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/c/Users/stu/AppData/Local/Temp/OnboardLogs/RTDC4015 --include="*4015*201707152*"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"%USERPROFILE%\AppData\Local\Temp\OnboardLogs"\RTDC4015\*4015*201707152* &gt;&gt; 2017-07-15-SliceDisagreementCheck.txt</v>
      </c>
      <c r="AE23" s="145" t="str">
        <f t="shared" si="9"/>
        <v>start /low /b %USERPROFILE%\Documents\GitHub\eaglep3\Utilities\DownloadLogsFromS3.py --loco 4015 --day 2017-07-15</v>
      </c>
      <c r="AF23" s="1"/>
    </row>
    <row r="24" spans="1:32" x14ac:dyDescent="0.25">
      <c r="A24" s="31">
        <v>42932.025439814817</v>
      </c>
      <c r="B24" s="30" t="s">
        <v>488</v>
      </c>
      <c r="C24" s="30" t="s">
        <v>610</v>
      </c>
      <c r="D24" s="30" t="s">
        <v>49</v>
      </c>
      <c r="E24" s="30" t="s">
        <v>181</v>
      </c>
      <c r="F24" s="42">
        <v>0</v>
      </c>
      <c r="G24" s="42">
        <v>58</v>
      </c>
      <c r="H24" s="42">
        <v>201</v>
      </c>
      <c r="I24" s="42">
        <v>134</v>
      </c>
      <c r="J24" s="30" t="s">
        <v>182</v>
      </c>
      <c r="K24" s="42">
        <v>1</v>
      </c>
      <c r="L24" s="131" t="s">
        <v>51</v>
      </c>
      <c r="M24" s="132">
        <f t="shared" si="0"/>
        <v>70.224000000000004</v>
      </c>
      <c r="N24" s="133" t="str">
        <f>VLOOKUP(C24,'Trips&amp;Operators'!$C$1:$G$99999,5,FALSE)</f>
        <v>LAMAR NEKESHA</v>
      </c>
      <c r="O24" s="203" t="s">
        <v>180</v>
      </c>
      <c r="P24" s="134"/>
      <c r="Q24" s="30"/>
      <c r="R24" s="81" t="str">
        <f>VLOOKUP(C24,'Train Runs'!$A$13:$AE$9927,31,0)</f>
        <v>aws s3 cp s3://rtdc.mdm.uploadarchive.raw/RTDC4015/ "%USERPROFILE%\AppData\Local\Temp\OnboardLogs"\RTDC4015\2017-07-15 --exclude "*" --recursive --include "*20170715*" &amp; "%USERPROFILE%\Documents\GitHub\mrs-test-scripts\Headless Mode &amp; Sideloading\WalkAndUnGZ.bat" "%USERPROFILE%\AppData\Local\Temp\OnboardLogs"\RTDC4015\2017-07-15 &amp; aws s3 cp s3://rtdc.mdm.uploadarchive.raw/RTDC4015/ "%USERPROFILE%\AppData\Local\Temp\OnboardLogs"\RTDC4015\2017-07-16 --exclude "*" --recursive --include "*20170716*" &amp; "%USERPROFILE%\Documents\GitHub\mrs-test-scripts\Headless Mode &amp; Sideloading\WalkAndUnGZ.bat" "%USERPROFILE%\AppData\Local\Temp\OnboardLogs"\RTDC4015\2017-07-16</v>
      </c>
      <c r="S24" s="84" t="str">
        <f>VLOOKUP(C24,'Train Runs'!$A$13:$AE$9927,22,0)</f>
        <v>https://d0f6bd738d7f1b3e5a7ca70fe4ff75f0.us-east-1.aws.found.io/app/kibana#/discover/Steve-Slow-Train-Analysis-(2080s-and-2083s)?_g=(refreshInterval:(display:Off,pause:!f,section:0,value:0),time:(from:'2017-07-15T22:52:43-0600',mode:absolute,to:'2017-07-16T01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86" t="str">
        <f t="shared" si="1"/>
        <v>"C:\Program Files (x86)\AstroGrep\AstroGrep.exe" /e /r /s /spath="%USERPROFILE%\AppData\Local\Temp\OnboardLogs" /stypes="*4015*201707160*" /stext=" 06:.+((SYSTEM_STATE.+slice.+state.+changed )|(ment ac)|(multiple cpu faults)|(system.+state.+changed )|(\[timeout)|(PRM\|1\|D)|(kpr)|(kdp)|(train st.+moving)|(\|lc)|(penalty))"</v>
      </c>
      <c r="U24" s="9" t="str">
        <f t="shared" si="2"/>
        <v>4015</v>
      </c>
      <c r="V24" s="31">
        <f t="shared" si="3"/>
        <v>42932.275439814817</v>
      </c>
      <c r="W24" s="45" t="str">
        <f t="shared" si="4"/>
        <v>EC</v>
      </c>
      <c r="X24" s="22">
        <f t="shared" si="5"/>
        <v>238</v>
      </c>
      <c r="Y24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{"issue":{"subject":"","project_id":79,"tracker_id":40,"status_id":1,"priority_id":2,"assigned_to_id":23,"start_date":"2017-07-16","description":"","custom_fields":[{"id":1,"name":"Subdivision","value":"EC"},{"id":4,"name":"Milepost","value":"0.0001"},{"id":17,"name":"Train ID","value":"238-15"},{"id":16,"name":"Locomotive ID","value":"4015"},{"id":130,"name":"Impact","value":""},{"id":150,"name":"Time of Event (Mountain Time)","value":"00:36:38"},{"id":151,"name":"Denver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/c/Users/stu/AppData/Local/Temp/OnboardLogs/RTDC4015 --include="*4015*201707160*"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"%USERPROFILE%\AppData\Local\Temp\OnboardLogs"\RTDC4015\*4015*201707160* &gt;&gt; 2017-07-15-SliceDisagreementCheck.txt</v>
      </c>
      <c r="AE24" s="145" t="str">
        <f t="shared" si="9"/>
        <v>start /low /b %USERPROFILE%\Documents\GitHub\eaglep3\Utilities\DownloadLogsFromS3.py --loco 4015 --day 2017-07-16</v>
      </c>
      <c r="AF24" s="1"/>
    </row>
    <row r="25" spans="1:32" x14ac:dyDescent="0.25">
      <c r="A25" s="31">
        <v>42931.224293981482</v>
      </c>
      <c r="B25" s="30" t="s">
        <v>587</v>
      </c>
      <c r="C25" s="30" t="s">
        <v>588</v>
      </c>
      <c r="D25" s="30" t="s">
        <v>49</v>
      </c>
      <c r="E25" s="30" t="s">
        <v>181</v>
      </c>
      <c r="F25" s="42">
        <v>0</v>
      </c>
      <c r="G25" s="42">
        <v>49</v>
      </c>
      <c r="H25" s="42">
        <v>233321</v>
      </c>
      <c r="I25" s="42">
        <v>233351</v>
      </c>
      <c r="J25" s="30" t="s">
        <v>182</v>
      </c>
      <c r="K25" s="42">
        <v>233491</v>
      </c>
      <c r="L25" s="131" t="s">
        <v>50</v>
      </c>
      <c r="M25" s="132">
        <f t="shared" si="0"/>
        <v>73.92</v>
      </c>
      <c r="N25" s="133" t="str">
        <f>VLOOKUP(C25,'Trips&amp;Operators'!$C$1:$G$99999,5,FALSE)</f>
        <v>BROWN JACOB</v>
      </c>
      <c r="O25" s="203" t="s">
        <v>180</v>
      </c>
      <c r="P25" s="134"/>
      <c r="Q25" s="30"/>
      <c r="R25" s="81" t="str">
        <f>VLOOKUP(C25,'Train Runs'!$A$13:$AE$9927,31,0)</f>
        <v>aws s3 cp s3://rtdc.mdm.uploadarchive.raw/RTDC4056/ "%USERPROFILE%\AppData\Local\Temp\OnboardLogs"\RTDC4056\2017-07-15 --exclude "*" --recursive --include "*20170715*" &amp; "%USERPROFILE%\Documents\GitHub\mrs-test-scripts\Headless Mode &amp; Sideloading\WalkAndUnGZ.bat" "%USERPROFILE%\AppData\Local\Temp\OnboardLogs"\RTDC4056\2017-07-15 &amp; aws s3 cp s3://rtdc.mdm.uploadarchive.raw/RTDC4056/ "%USERPROFILE%\AppData\Local\Temp\OnboardLogs"\RTDC4056\2017-07-16 --exclude "*" --recursive --include "*20170716*" &amp; "%USERPROFILE%\Documents\GitHub\mrs-test-scripts\Headless Mode &amp; Sideloading\WalkAndUnGZ.bat" "%USERPROFILE%\AppData\Local\Temp\OnboardLogs"\RTDC4056\2017-07-16</v>
      </c>
      <c r="S25" s="84" t="str">
        <f>VLOOKUP(C25,'Train Runs'!$A$13:$AE$9927,22,0)</f>
        <v>https://d0f6bd738d7f1b3e5a7ca70fe4ff75f0.us-east-1.aws.found.io/app/kibana#/discover/Steve-Slow-Train-Analysis-(2080s-and-2083s)?_g=(refreshInterval:(display:Off,pause:!f,section:0,value:0),time:(from:'2017-07-15T03:42:20-0600',mode:absolute,to:'2017-07-15T06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5" s="86" t="str">
        <f t="shared" si="1"/>
        <v>"C:\Program Files (x86)\AstroGrep\AstroGrep.exe" /e /r /s /spath="%USERPROFILE%\AppData\Local\Temp\OnboardLogs" /stypes="*4056*201707151*"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4056</v>
      </c>
      <c r="V25" s="31">
        <f t="shared" si="3"/>
        <v>42931.474293981482</v>
      </c>
      <c r="W25" s="45" t="str">
        <f t="shared" si="4"/>
        <v>EC</v>
      </c>
      <c r="X25" s="22">
        <f t="shared" si="5"/>
        <v>109</v>
      </c>
      <c r="Y25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{"issue":{"subject":"","project_id":79,"tracker_id":40,"status_id":1,"priority_id":2,"assigned_to_id":23,"start_date":"2017-07-15","description":"","custom_fields":[{"id":1,"name":"Subdivision","value":"EC"},{"id":4,"name":"Milepost","value":"23.3491"},{"id":17,"name":"Train ID","value":"109-15"},{"id":16,"name":"Locomotive ID","value":"4056"},{"id":130,"name":"Impact","value":""},{"id":150,"name":"Time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/c/Users/stu/AppData/Local/Temp/OnboardLogs/RTDC4056 --include="*4056*201707151*"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"%USERPROFILE%\AppData\Local\Temp\OnboardLogs"\RTDC4056\*4056*201707151* &gt;&gt; 2017-07-15-SliceDisagreementCheck.txt</v>
      </c>
      <c r="AE25" s="145" t="str">
        <f t="shared" si="9"/>
        <v>start /low /b %USERPROFILE%\Documents\GitHub\eaglep3\Utilities\DownloadLogsFromS3.py --loco 4056 --day 2017-07-15</v>
      </c>
      <c r="AF25" s="1"/>
    </row>
    <row r="26" spans="1:32" x14ac:dyDescent="0.25">
      <c r="A26" s="31">
        <v>42931.306307870371</v>
      </c>
      <c r="B26" s="30" t="s">
        <v>471</v>
      </c>
      <c r="C26" s="30" t="s">
        <v>591</v>
      </c>
      <c r="D26" s="30" t="s">
        <v>49</v>
      </c>
      <c r="E26" s="30" t="s">
        <v>181</v>
      </c>
      <c r="F26" s="42">
        <v>0</v>
      </c>
      <c r="G26" s="42">
        <v>56</v>
      </c>
      <c r="H26" s="42">
        <v>233280</v>
      </c>
      <c r="I26" s="42">
        <v>233338</v>
      </c>
      <c r="J26" s="30" t="s">
        <v>182</v>
      </c>
      <c r="K26" s="42">
        <v>233491</v>
      </c>
      <c r="L26" s="131" t="s">
        <v>50</v>
      </c>
      <c r="M26" s="132">
        <f t="shared" si="0"/>
        <v>80.784000000000006</v>
      </c>
      <c r="N26" s="133" t="str">
        <f>VLOOKUP(C26,'Trips&amp;Operators'!$C$1:$G$99999,5,FALSE)</f>
        <v>MAELZER KURT</v>
      </c>
      <c r="O26" s="203" t="s">
        <v>180</v>
      </c>
      <c r="P26" s="134"/>
      <c r="Q26" s="30"/>
      <c r="R26" s="81" t="str">
        <f>VLOOKUP(C26,'Train Runs'!$A$13:$AE$9927,31,0)</f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S26" s="84" t="str">
        <f>VLOOKUP(C26,'Train Runs'!$A$13:$AE$9927,22,0)</f>
        <v>https://d0f6bd738d7f1b3e5a7ca70fe4ff75f0.us-east-1.aws.found.io/app/kibana#/discover/Steve-Slow-Train-Analysis-(2080s-and-2083s)?_g=(refreshInterval:(display:Off,pause:!f,section:0,value:0),time:(from:'2017-07-15T05:38:17-0600',mode:absolute,to:'2017-07-15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6" s="86" t="str">
        <f t="shared" si="1"/>
        <v>"C:\Program Files (x86)\AstroGrep\AstroGrep.exe" /e /r /s /spath="%USERPROFILE%\AppData\Local\Temp\OnboardLogs" /stypes="*4016*201707151*"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4016</v>
      </c>
      <c r="V26" s="31">
        <f t="shared" si="3"/>
        <v>42931.556307870371</v>
      </c>
      <c r="W26" s="45" t="str">
        <f t="shared" si="4"/>
        <v>EC</v>
      </c>
      <c r="X26" s="22">
        <f t="shared" si="5"/>
        <v>125</v>
      </c>
      <c r="Y26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{"issue":{"subject":"","project_id":79,"tracker_id":40,"status_id":1,"priority_id":2,"assigned_to_id":23,"start_date":"2017-07-15","description":"","custom_fields":[{"id":1,"name":"Subdivision","value":"EC"},{"id":4,"name":"Milepost","value":"23.3491"},{"id":17,"name":"Train ID","value":"125-15"},{"id":16,"name":"Locomotive ID","value":"4016"},{"id":130,"name":"Impact","value":""},{"id":150,"name":"Time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/c/Users/stu/AppData/Local/Temp/OnboardLogs/RTDC4016 --include="*4016*201707151*"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"%USERPROFILE%\AppData\Local\Temp\OnboardLogs"\RTDC4016\*4016*201707151* &gt;&gt; 2017-07-15-SliceDisagreementCheck.txt</v>
      </c>
      <c r="AE26" s="145" t="str">
        <f t="shared" si="9"/>
        <v>start /low /b %USERPROFILE%\Documents\GitHub\eaglep3\Utilities\DownloadLogsFromS3.py --loco 4016 --day 2017-07-15</v>
      </c>
      <c r="AF26" s="1"/>
    </row>
    <row r="27" spans="1:32" x14ac:dyDescent="0.25">
      <c r="A27" s="31">
        <v>42931.671782407408</v>
      </c>
      <c r="B27" s="30" t="s">
        <v>471</v>
      </c>
      <c r="C27" s="30" t="s">
        <v>600</v>
      </c>
      <c r="D27" s="30" t="s">
        <v>49</v>
      </c>
      <c r="E27" s="30" t="s">
        <v>181</v>
      </c>
      <c r="F27" s="42">
        <v>0</v>
      </c>
      <c r="G27" s="42">
        <v>49</v>
      </c>
      <c r="H27" s="42">
        <v>233378</v>
      </c>
      <c r="I27" s="42">
        <v>233414</v>
      </c>
      <c r="J27" s="30" t="s">
        <v>182</v>
      </c>
      <c r="K27" s="42">
        <v>233491</v>
      </c>
      <c r="L27" s="131" t="s">
        <v>50</v>
      </c>
      <c r="M27" s="132">
        <f t="shared" si="0"/>
        <v>40.655999999999999</v>
      </c>
      <c r="N27" s="133" t="str">
        <f>VLOOKUP(C27,'Trips&amp;Operators'!$C$1:$G$99999,5,FALSE)</f>
        <v>SULLIVAN BRANDON</v>
      </c>
      <c r="O27" s="203" t="s">
        <v>180</v>
      </c>
      <c r="P27" s="134"/>
      <c r="Q27" s="30"/>
      <c r="R27" s="81" t="str">
        <f>VLOOKUP(C27,'Train Runs'!$A$13:$AE$9927,31,0)</f>
        <v>aws s3 cp s3://rtdc.mdm.uploadarchive.raw/RTDC4016/ "%USERPROFILE%\AppData\Local\Temp\OnboardLogs"\RTDC4016\2017-07-15 --exclude "*" --recursive --include "*20170715*" &amp; "%USERPROFILE%\Documents\GitHub\mrs-test-scripts\Headless Mode &amp; Sideloading\WalkAndUnGZ.bat" "%USERPROFILE%\AppData\Local\Temp\OnboardLogs"\RTDC4016\2017-07-15 &amp; 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</v>
      </c>
      <c r="S27" s="84" t="str">
        <f>VLOOKUP(C27,'Train Runs'!$A$13:$AE$9927,22,0)</f>
        <v>https://d0f6bd738d7f1b3e5a7ca70fe4ff75f0.us-east-1.aws.found.io/app/kibana#/discover/Steve-Slow-Train-Analysis-(2080s-and-2083s)?_g=(refreshInterval:(display:Off,pause:!f,section:0,value:0),time:(from:'2017-07-15T14:25:42-0600',mode:absolute,to:'2017-07-15T17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7" s="86" t="str">
        <f t="shared" si="1"/>
        <v>"C:\Program Files (x86)\AstroGrep\AstroGrep.exe" /e /r /s /spath="%USERPROFILE%\AppData\Local\Temp\OnboardLogs" /stypes="*4016*201707152*"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4016</v>
      </c>
      <c r="V27" s="31">
        <f t="shared" si="3"/>
        <v>42931.921782407408</v>
      </c>
      <c r="W27" s="45" t="str">
        <f t="shared" si="4"/>
        <v>EC</v>
      </c>
      <c r="X27" s="22">
        <f t="shared" si="5"/>
        <v>195</v>
      </c>
      <c r="Y27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{"issue":{"subject":"","project_id":79,"tracker_id":40,"status_id":1,"priority_id":2,"assigned_to_id":23,"start_date":"2017-07-15","description":"","custom_fields":[{"id":1,"name":"Subdivision","value":"EC"},{"id":4,"name":"Milepost","value":"23.3491"},{"id":17,"name":"Train ID","value":"195-15"},{"id":16,"name":"Locomotive ID","value":"4016"},{"id":130,"name":"Impact","value":""},{"id":150,"name":"Time of Event (Mountain Time)","value":"16:07:22"},{"id":151,"name":"Denver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/c/Users/stu/AppData/Local/Temp/OnboardLogs/RTDC4016 --include="*4016*201707152*"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"%USERPROFILE%\AppData\Local\Temp\OnboardLogs"\RTDC4016\*4016*201707152* &gt;&gt; 2017-07-15-SliceDisagreementCheck.txt</v>
      </c>
      <c r="AE27" s="145" t="str">
        <f t="shared" si="9"/>
        <v>start /low /b %USERPROFILE%\Documents\GitHub\eaglep3\Utilities\DownloadLogsFromS3.py --loco 4016 --day 2017-07-15</v>
      </c>
      <c r="AF27" s="1"/>
    </row>
    <row r="28" spans="1:32" x14ac:dyDescent="0.25">
      <c r="A28" s="31">
        <v>42931.680972222224</v>
      </c>
      <c r="B28" s="30" t="s">
        <v>337</v>
      </c>
      <c r="C28" s="30" t="s">
        <v>601</v>
      </c>
      <c r="D28" s="30" t="s">
        <v>49</v>
      </c>
      <c r="E28" s="30" t="s">
        <v>181</v>
      </c>
      <c r="F28" s="42">
        <v>0</v>
      </c>
      <c r="G28" s="42">
        <v>52</v>
      </c>
      <c r="H28" s="42">
        <v>233391</v>
      </c>
      <c r="I28" s="42">
        <v>233421</v>
      </c>
      <c r="J28" s="30" t="s">
        <v>182</v>
      </c>
      <c r="K28" s="42">
        <v>233491</v>
      </c>
      <c r="L28" s="131" t="s">
        <v>50</v>
      </c>
      <c r="M28" s="132">
        <f t="shared" si="0"/>
        <v>36.96</v>
      </c>
      <c r="N28" s="133" t="str">
        <f>VLOOKUP(C28,'Trips&amp;Operators'!$C$1:$G$99999,5,FALSE)</f>
        <v>DELGADO DIANAH</v>
      </c>
      <c r="O28" s="203" t="s">
        <v>180</v>
      </c>
      <c r="P28" s="134"/>
      <c r="Q28" s="30"/>
      <c r="R28" s="81" t="str">
        <f>VLOOKUP(C28,'Train Runs'!$A$13:$AE$9927,31,0)</f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S28" s="84" t="str">
        <f>VLOOKUP(C28,'Train Runs'!$A$13:$AE$9927,22,0)</f>
        <v>https://d0f6bd738d7f1b3e5a7ca70fe4ff75f0.us-east-1.aws.found.io/app/kibana#/discover/Steve-Slow-Train-Analysis-(2080s-and-2083s)?_g=(refreshInterval:(display:Off,pause:!f,section:0,value:0),time:(from:'2017-07-15T14:40:25-0600',mode:absolute,to:'2017-07-15T17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8" s="86" t="str">
        <f t="shared" si="1"/>
        <v>"C:\Program Files (x86)\AstroGrep\AstroGrep.exe" /e /r /s /spath="%USERPROFILE%\AppData\Local\Temp\OnboardLogs" /stypes="*4022*201707152*"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4022</v>
      </c>
      <c r="V28" s="31">
        <f t="shared" si="3"/>
        <v>42931.930972222224</v>
      </c>
      <c r="W28" s="45" t="str">
        <f t="shared" si="4"/>
        <v>EC</v>
      </c>
      <c r="X28" s="22">
        <f t="shared" si="5"/>
        <v>197</v>
      </c>
      <c r="Y28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{"issue":{"subject":"","project_id":79,"tracker_id":40,"status_id":1,"priority_id":2,"assigned_to_id":23,"start_date":"2017-07-15","description":"","custom_fields":[{"id":1,"name":"Subdivision","value":"EC"},{"id":4,"name":"Milepost","value":"23.3491"},{"id":17,"name":"Train ID","value":"197-15"},{"id":16,"name":"Locomotive ID","value":"4022"},{"id":130,"name":"Impact","value":""},{"id":150,"name":"Time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/c/Users/stu/AppData/Local/Temp/OnboardLogs/RTDC4022 --include="*4022*201707152*"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"%USERPROFILE%\AppData\Local\Temp\OnboardLogs"\RTDC4022\*4022*201707152* &gt;&gt; 2017-07-15-SliceDisagreementCheck.txt</v>
      </c>
      <c r="AE28" s="145" t="str">
        <f t="shared" si="9"/>
        <v>start /low /b %USERPROFILE%\Documents\GitHub\eaglep3\Utilities\DownloadLogsFromS3.py --loco 4022 --day 2017-07-15</v>
      </c>
      <c r="AF28" s="1"/>
    </row>
    <row r="29" spans="1:32" x14ac:dyDescent="0.25">
      <c r="A29" s="31">
        <v>42931.754351851851</v>
      </c>
      <c r="B29" s="30" t="s">
        <v>337</v>
      </c>
      <c r="C29" s="30" t="s">
        <v>605</v>
      </c>
      <c r="D29" s="30" t="s">
        <v>49</v>
      </c>
      <c r="E29" s="30" t="s">
        <v>181</v>
      </c>
      <c r="F29" s="42">
        <v>0</v>
      </c>
      <c r="G29" s="42">
        <v>45</v>
      </c>
      <c r="H29" s="42">
        <v>233410</v>
      </c>
      <c r="I29" s="42">
        <v>233428</v>
      </c>
      <c r="J29" s="30" t="s">
        <v>182</v>
      </c>
      <c r="K29" s="42">
        <v>233491</v>
      </c>
      <c r="L29" s="131" t="s">
        <v>50</v>
      </c>
      <c r="M29" s="132">
        <f t="shared" si="0"/>
        <v>33.264000000000003</v>
      </c>
      <c r="N29" s="133" t="str">
        <f>VLOOKUP(C29,'Trips&amp;Operators'!$C$1:$G$99999,5,FALSE)</f>
        <v>DELGADO DIANAH</v>
      </c>
      <c r="O29" s="203" t="s">
        <v>180</v>
      </c>
      <c r="P29" s="134"/>
      <c r="Q29" s="30"/>
      <c r="R29" s="81" t="str">
        <f>VLOOKUP(C29,'Train Runs'!$A$13:$AE$9927,31,0)</f>
        <v>aws s3 cp s3://rtdc.mdm.uploadarchive.raw/RTDC4022/ "%USERPROFILE%\AppData\Local\Temp\OnboardLogs"\RTDC4022\2017-07-15 --exclude "*" --recursive --include "*20170715*" &amp; "%USERPROFILE%\Documents\GitHub\mrs-test-scripts\Headless Mode &amp; Sideloading\WalkAndUnGZ.bat" "%USERPROFILE%\AppData\Local\Temp\OnboardLogs"\RTDC4022\2017-07-15 &amp; aws s3 cp s3://rtdc.mdm.uploadarchive.raw/RTDC4022/ "%USERPROFILE%\AppData\Local\Temp\OnboardLogs"\RTDC4022\2017-07-16 --exclude "*" --recursive --include "*20170716*" &amp; "%USERPROFILE%\Documents\GitHub\mrs-test-scripts\Headless Mode &amp; Sideloading\WalkAndUnGZ.bat" "%USERPROFILE%\AppData\Local\Temp\OnboardLogs"\RTDC4022\2017-07-16</v>
      </c>
      <c r="S29" s="84" t="str">
        <f>VLOOKUP(C29,'Train Runs'!$A$13:$AE$9927,22,0)</f>
        <v>https://d0f6bd738d7f1b3e5a7ca70fe4ff75f0.us-east-1.aws.found.io/app/kibana#/discover/Steve-Slow-Train-Analysis-(2080s-and-2083s)?_g=(refreshInterval:(display:Off,pause:!f,section:0,value:0),time:(from:'2017-07-15T16:25:29-0600',mode:absolute,to:'2017-07-15T19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6" t="str">
        <f t="shared" si="1"/>
        <v>"C:\Program Files (x86)\AstroGrep\AstroGrep.exe" /e /r /s /spath="%USERPROFILE%\AppData\Local\Temp\OnboardLogs" /stypes="*4022*201707160*"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4022</v>
      </c>
      <c r="V29" s="31">
        <f t="shared" si="3"/>
        <v>42932.004351851851</v>
      </c>
      <c r="W29" s="45" t="str">
        <f t="shared" si="4"/>
        <v>EC</v>
      </c>
      <c r="X29" s="22">
        <f t="shared" si="5"/>
        <v>211</v>
      </c>
      <c r="Y29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{"issue":{"subject":"","project_id":79,"tracker_id":40,"status_id":1,"priority_id":2,"assigned_to_id":23,"start_date":"2017-07-15","description":"","custom_fields":[{"id":1,"name":"Subdivision","value":"EC"},{"id":4,"name":"Milepost","value":"23.3491"},{"id":17,"name":"Train ID","value":"211-15"},{"id":16,"name":"Locomotive ID","value":"4022"},{"id":130,"name":"Impact","value":""},{"id":150,"name":"Time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/c/Users/stu/AppData/Local/Temp/OnboardLogs/RTDC4022 --include="*4022*201707160*"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"%USERPROFILE%\AppData\Local\Temp\OnboardLogs"\RTDC4022\*4022*201707160* &gt;&gt; 2017-07-15-SliceDisagreementCheck.txt</v>
      </c>
      <c r="AE29" s="145" t="str">
        <f t="shared" si="9"/>
        <v>start /low /b %USERPROFILE%\Documents\GitHub\eaglep3\Utilities\DownloadLogsFromS3.py --loco 4022 --day 2017-07-16</v>
      </c>
      <c r="AF29" s="1"/>
    </row>
    <row r="30" spans="1:32" s="20" customFormat="1" x14ac:dyDescent="0.25">
      <c r="A30" s="31">
        <v>42931.942430555559</v>
      </c>
      <c r="B30" s="30" t="s">
        <v>484</v>
      </c>
      <c r="C30" s="30" t="s">
        <v>609</v>
      </c>
      <c r="D30" s="30" t="s">
        <v>49</v>
      </c>
      <c r="E30" s="30" t="s">
        <v>181</v>
      </c>
      <c r="F30" s="42">
        <v>0</v>
      </c>
      <c r="G30" s="42">
        <v>88</v>
      </c>
      <c r="H30" s="42">
        <v>233241</v>
      </c>
      <c r="I30" s="42">
        <v>233320</v>
      </c>
      <c r="J30" s="30" t="s">
        <v>182</v>
      </c>
      <c r="K30" s="42">
        <v>233491</v>
      </c>
      <c r="L30" s="131" t="s">
        <v>50</v>
      </c>
      <c r="M30" s="132">
        <f t="shared" si="0"/>
        <v>90.287999999999997</v>
      </c>
      <c r="N30" s="133" t="str">
        <f>VLOOKUP(C30,'Trips&amp;Operators'!$C$1:$G$99999,5,FALSE)</f>
        <v>PERKINS DARREN</v>
      </c>
      <c r="O30" s="203" t="s">
        <v>180</v>
      </c>
      <c r="P30" s="134"/>
      <c r="Q30" s="30"/>
      <c r="R30" s="81" t="str">
        <f>VLOOKUP(C30,'Train Runs'!$A$13:$AE$9927,31,0)</f>
        <v>aws s3 cp s3://rtdc.mdm.uploadarchive.raw/RTDC4032/ "%USERPROFILE%\AppData\Local\Temp\OnboardLogs"\RTDC4032\2017-07-15 --exclude "*" --recursive --include "*20170715*" &amp; "%USERPROFILE%\Documents\GitHub\mrs-test-scripts\Headless Mode &amp; Sideloading\WalkAndUnGZ.bat" "%USERPROFILE%\AppData\Local\Temp\OnboardLogs"\RTDC4032\2017-07-15 &amp; aws s3 cp s3://rtdc.mdm.uploadarchive.raw/RTDC4032/ "%USERPROFILE%\AppData\Local\Temp\OnboardLogs"\RTDC4032\2017-07-16 --exclude "*" --recursive --include "*20170716*" &amp; "%USERPROFILE%\Documents\GitHub\mrs-test-scripts\Headless Mode &amp; Sideloading\WalkAndUnGZ.bat" "%USERPROFILE%\AppData\Local\Temp\OnboardLogs"\RTDC4032\2017-07-16</v>
      </c>
      <c r="S30" s="84" t="str">
        <f>VLOOKUP(C30,'Train Runs'!$A$13:$AE$9927,22,0)</f>
        <v>https://d0f6bd738d7f1b3e5a7ca70fe4ff75f0.us-east-1.aws.found.io/app/kibana#/discover/Steve-Slow-Train-Analysis-(2080s-and-2083s)?_g=(refreshInterval:(display:Off,pause:!f,section:0,value:0),time:(from:'2017-07-15T20:43:10-0600',mode:absolute,to:'2017-07-15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0" s="86" t="str">
        <f t="shared" si="1"/>
        <v>"C:\Program Files (x86)\AstroGrep\AstroGrep.exe" /e /r /s /spath="%USERPROFILE%\AppData\Local\Temp\OnboardLogs" /stypes="*4032*201707160*" /stext=" 04:.+((SYSTEM_STATE.+slice.+state.+changed )|(ment ac)|(multiple cpu faults)|(system.+state.+changed )|(\[timeout)|(PRM\|1\|D)|(kpr)|(kdp)|(train st.+moving)|(\|lc)|(penalty))"</v>
      </c>
      <c r="U30" s="9" t="str">
        <f t="shared" si="2"/>
        <v>4032</v>
      </c>
      <c r="V30" s="31">
        <f t="shared" si="3"/>
        <v>42932.192430555559</v>
      </c>
      <c r="W30" s="45" t="str">
        <f t="shared" si="4"/>
        <v>EC</v>
      </c>
      <c r="X30" s="22">
        <f t="shared" si="5"/>
        <v>233</v>
      </c>
      <c r="Y30" s="96" t="str">
        <f t="shared" si="6"/>
        <v>echo {"issue":{"subject":"","project_id":79,"tracker_id":40,"status_id":1,"priority_id":2,"assigned_to_id":23,"start_date":"2017-07-15","description":"","custom_fields":[{"id":1,"name":"Subdivision","value":"EC"},{"id":4,"name":"Milepost","value":"23.3491"},{"id":17,"name":"Train ID","value":"233-15"},{"id":16,"name":"Locomotive ID","value":"4032"},{"id":130,"name":"Impact","value":""},{"id":150,"name":"Time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/c/Users/stu/AppData/Local/Temp/OnboardLogs/RTDC4032 --include="*4032*201707160*"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"%USERPROFILE%\AppData\Local\Temp\OnboardLogs"\RTDC4032\*4032*201707160* &gt;&gt; 2017-07-15-SliceDisagreementCheck.txt</v>
      </c>
      <c r="AE30" s="145" t="str">
        <f t="shared" si="9"/>
        <v>start /low /b %USERPROFILE%\Documents\GitHub\eaglep3\Utilities\DownloadLogsFromS3.py --loco 4032 --day 2017-07-16</v>
      </c>
      <c r="AF30" s="1"/>
    </row>
    <row r="31" spans="1:32" x14ac:dyDescent="0.25">
      <c r="A31" s="31">
        <v>42931.309293981481</v>
      </c>
      <c r="B31" s="30" t="s">
        <v>547</v>
      </c>
      <c r="C31" s="30" t="s">
        <v>592</v>
      </c>
      <c r="D31" s="30" t="s">
        <v>49</v>
      </c>
      <c r="E31" s="30" t="s">
        <v>187</v>
      </c>
      <c r="F31" s="42">
        <v>0</v>
      </c>
      <c r="G31" s="42">
        <v>175</v>
      </c>
      <c r="H31" s="42">
        <v>10678</v>
      </c>
      <c r="I31" s="42">
        <v>10960</v>
      </c>
      <c r="J31" s="30" t="s">
        <v>188</v>
      </c>
      <c r="K31" s="42">
        <v>10714</v>
      </c>
      <c r="L31" s="131" t="s">
        <v>50</v>
      </c>
      <c r="M31" s="132">
        <f t="shared" si="0"/>
        <v>-129.88800000000001</v>
      </c>
      <c r="N31" s="133" t="str">
        <f>VLOOKUP(C31,'Trips&amp;Operators'!$C$1:$G$99999,5,FALSE)</f>
        <v>MACDONALD THOMAS</v>
      </c>
      <c r="O31" s="203" t="s">
        <v>180</v>
      </c>
      <c r="P31" s="134" t="s">
        <v>418</v>
      </c>
      <c r="Q31" s="30"/>
      <c r="R31" s="81" t="str">
        <f>VLOOKUP(C31,'Train Runs'!$A$13:$AE$9927,31,0)</f>
        <v>aws s3 cp s3://rtdc.mdm.uploadarchive.raw/RTDC4012/ "%USERPROFILE%\AppData\Local\Temp\OnboardLogs"\RTDC4012\2017-07-15 --exclude "*" --recursive --include "*20170715*" &amp; "%USERPROFILE%\Documents\GitHub\mrs-test-scripts\Headless Mode &amp; Sideloading\WalkAndUnGZ.bat" "%USERPROFILE%\AppData\Local\Temp\OnboardLogs"\RTDC4012\2017-07-15 &amp; 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</v>
      </c>
      <c r="S31" s="84" t="str">
        <f>VLOOKUP(C31,'Train Runs'!$A$13:$AE$9927,22,0)</f>
        <v>https://d0f6bd738d7f1b3e5a7ca70fe4ff75f0.us-east-1.aws.found.io/app/kibana#/discover/Steve-Slow-Train-Analysis-(2080s-and-2083s)?_g=(refreshInterval:(display:Off,pause:!f,section:0,value:0),time:(from:'2017-07-15T05:57:00-0600',mode:absolute,to:'2017-07-15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1" s="86" t="str">
        <f t="shared" si="1"/>
        <v>"C:\Program Files (x86)\AstroGrep\AstroGrep.exe" /e /r /s /spath="%USERPROFILE%\AppData\Local\Temp\OnboardLogs" /stypes="*4012*201707151*"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4012</v>
      </c>
      <c r="V31" s="31">
        <f t="shared" si="3"/>
        <v>42931.559293981481</v>
      </c>
      <c r="W31" s="45" t="str">
        <f t="shared" si="4"/>
        <v>NW</v>
      </c>
      <c r="X31" s="22">
        <f t="shared" si="5"/>
        <v>1803</v>
      </c>
      <c r="Y31" s="96" t="str">
        <f t="shared" si="6"/>
        <v>echo {"issue":{"subject":"Early arrival","project_id":79,"tracker_id":40,"status_id":1,"priority_id":2,"assigned_to_id":23,"start_date":"2017-07-15","description":"","custom_fields":[{"id":1,"name":"Subdivision","value":"NW"},{"id":4,"name":"Milepost","value":"1.0714"},{"id":17,"name":"Train ID","value":"1803-15"},{"id":16,"name":"Locomotive ID","value":"4012"},{"id":130,"name":"Impact","value":""},{"id":150,"name":"Time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/c/Users/stu/AppData/Local/Temp/OnboardLogs/RTDC4012 --include="*4012*201707151*"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"%USERPROFILE%\AppData\Local\Temp\OnboardLogs"\RTDC4012\*4012*201707151* &gt;&gt; 2017-07-15-SliceDisagreementCheck.txt</v>
      </c>
      <c r="AE31" s="145" t="str">
        <f t="shared" si="9"/>
        <v>start /low /b %USERPROFILE%\Documents\GitHub\eaglep3\Utilities\DownloadLogsFromS3.py --loco 4012 --day 2017-07-15</v>
      </c>
      <c r="AF31" s="1"/>
    </row>
    <row r="32" spans="1:32" x14ac:dyDescent="0.25">
      <c r="A32" s="31">
        <v>42931.757789351854</v>
      </c>
      <c r="B32" s="30" t="s">
        <v>606</v>
      </c>
      <c r="C32" s="30" t="s">
        <v>607</v>
      </c>
      <c r="D32" s="30" t="s">
        <v>49</v>
      </c>
      <c r="E32" s="30" t="s">
        <v>181</v>
      </c>
      <c r="F32" s="42">
        <v>0</v>
      </c>
      <c r="G32" s="42">
        <v>14</v>
      </c>
      <c r="H32" s="42">
        <v>864</v>
      </c>
      <c r="I32" s="42">
        <v>856</v>
      </c>
      <c r="J32" s="30" t="s">
        <v>182</v>
      </c>
      <c r="K32" s="42">
        <v>839</v>
      </c>
      <c r="L32" s="131" t="s">
        <v>51</v>
      </c>
      <c r="M32" s="132">
        <f t="shared" si="0"/>
        <v>8.9760000000000009</v>
      </c>
      <c r="N32" s="133" t="str">
        <f>VLOOKUP(C32,'Trips&amp;Operators'!$C$1:$G$99999,5,FALSE)</f>
        <v>HUFFSMITH MONTY</v>
      </c>
      <c r="O32" s="203" t="s">
        <v>180</v>
      </c>
      <c r="P32" s="134"/>
      <c r="Q32" s="30"/>
      <c r="R32" s="81" t="str">
        <f>VLOOKUP(C32,'Train Runs'!$A$13:$AE$9927,31,0)</f>
        <v>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 &amp; aws s3 cp s3://rtdc.mdm.uploadarchive.raw/RTDC4025/ "%USERPROFILE%\AppData\Local\Temp\OnboardLogs"\RTDC4025\2017-07-16 --exclude "*" --recursive --include "*20170716*" &amp; "%USERPROFILE%\Documents\GitHub\mrs-test-scripts\Headless Mode &amp; Sideloading\WalkAndUnGZ.bat" "%USERPROFILE%\AppData\Local\Temp\OnboardLogs"\RTDC4025\2017-07-16</v>
      </c>
      <c r="S32" s="84" t="str">
        <f>VLOOKUP(C32,'Train Runs'!$A$13:$AE$9927,22,0)</f>
        <v>https://d0f6bd738d7f1b3e5a7ca70fe4ff75f0.us-east-1.aws.found.io/app/kibana#/discover/Steve-Slow-Train-Analysis-(2080s-and-2083s)?_g=(refreshInterval:(display:Off,pause:!f,section:0,value:0),time:(from:'2017-07-15T16:48:54-0600',mode:absolute,to:'2017-07-15T19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2" s="86" t="str">
        <f t="shared" si="1"/>
        <v>"C:\Program Files (x86)\AstroGrep\AstroGrep.exe" /e /r /s /spath="%USERPROFILE%\AppData\Local\Temp\OnboardLogs" /stypes="*4025*201707160*"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4025</v>
      </c>
      <c r="V32" s="31">
        <f t="shared" si="3"/>
        <v>42932.007789351854</v>
      </c>
      <c r="W32" s="45" t="str">
        <f t="shared" si="4"/>
        <v>Shuttle/Test</v>
      </c>
      <c r="X32" s="22">
        <f t="shared" si="5"/>
        <v>55</v>
      </c>
      <c r="Y32" s="96" t="str">
        <f t="shared" si="6"/>
        <v>echo {"issue":{"subject":"","project_id":79,"tracker_id":40,"status_id":1,"priority_id":2,"assigned_to_id":23,"start_date":"2017-07-15","description":"","custom_fields":[{"id":1,"name":"Subdivision","value":"Shuttle/Test"},{"id":4,"name":"Milepost","value":"0.0839"},{"id":17,"name":"Train ID","value":"55-15"},{"id":16,"name":"Locomotive ID","value":"4025"},{"id":130,"name":"Impact","value":""},{"id":150,"name":"Time of Event (Mountain Time)","value":"18:11:13"},{"id":151,"name":"Denver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/c/Users/stu/AppData/Local/Temp/OnboardLogs/RTDC4025 --include="*4025*201707160*"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"%USERPROFILE%\AppData\Local\Temp\OnboardLogs"\RTDC4025\*4025*201707160* &gt;&gt; 2017-07-15-SliceDisagreementCheck.txt</v>
      </c>
      <c r="AE32" s="145" t="str">
        <f t="shared" si="9"/>
        <v>start /low /b %USERPROFILE%\Documents\GitHub\eaglep3\Utilities\DownloadLogsFromS3.py --loco 4025 --day 2017-07-16</v>
      </c>
      <c r="AF32" s="1"/>
    </row>
    <row r="33" spans="1:32" x14ac:dyDescent="0.25">
      <c r="A33" s="31">
        <v>42931.758217592593</v>
      </c>
      <c r="B33" s="30" t="s">
        <v>606</v>
      </c>
      <c r="C33" s="30" t="s">
        <v>607</v>
      </c>
      <c r="D33" s="30" t="s">
        <v>96</v>
      </c>
      <c r="E33" s="30" t="s">
        <v>181</v>
      </c>
      <c r="F33" s="42">
        <v>0</v>
      </c>
      <c r="G33" s="42">
        <v>6</v>
      </c>
      <c r="H33" s="42">
        <v>839</v>
      </c>
      <c r="I33" s="42">
        <v>0</v>
      </c>
      <c r="J33" s="30" t="s">
        <v>182</v>
      </c>
      <c r="K33" s="42">
        <v>839</v>
      </c>
      <c r="L33" s="131" t="s">
        <v>51</v>
      </c>
      <c r="M33" s="132">
        <f t="shared" si="0"/>
        <v>-442.99200000000002</v>
      </c>
      <c r="N33" s="133" t="str">
        <f>VLOOKUP(C33,'Trips&amp;Operators'!$C$1:$G$99999,5,FALSE)</f>
        <v>HUFFSMITH MONTY</v>
      </c>
      <c r="O33" s="203" t="s">
        <v>180</v>
      </c>
      <c r="P33" s="134"/>
      <c r="Q33" s="30"/>
      <c r="R33" s="81" t="str">
        <f>VLOOKUP(C33,'Train Runs'!$A$13:$AE$9927,31,0)</f>
        <v>aws s3 cp s3://rtdc.mdm.uploadarchive.raw/RTDC4025/ "%USERPROFILE%\AppData\Local\Temp\OnboardLogs"\RTDC4025\2017-07-15 --exclude "*" --recursive --include "*20170715*" &amp; "%USERPROFILE%\Documents\GitHub\mrs-test-scripts\Headless Mode &amp; Sideloading\WalkAndUnGZ.bat" "%USERPROFILE%\AppData\Local\Temp\OnboardLogs"\RTDC4025\2017-07-15 &amp; aws s3 cp s3://rtdc.mdm.uploadarchive.raw/RTDC4025/ "%USERPROFILE%\AppData\Local\Temp\OnboardLogs"\RTDC4025\2017-07-16 --exclude "*" --recursive --include "*20170716*" &amp; "%USERPROFILE%\Documents\GitHub\mrs-test-scripts\Headless Mode &amp; Sideloading\WalkAndUnGZ.bat" "%USERPROFILE%\AppData\Local\Temp\OnboardLogs"\RTDC4025\2017-07-16</v>
      </c>
      <c r="S33" s="84" t="str">
        <f>VLOOKUP(C33,'Train Runs'!$A$13:$AE$9927,22,0)</f>
        <v>https://d0f6bd738d7f1b3e5a7ca70fe4ff75f0.us-east-1.aws.found.io/app/kibana#/discover/Steve-Slow-Train-Analysis-(2080s-and-2083s)?_g=(refreshInterval:(display:Off,pause:!f,section:0,value:0),time:(from:'2017-07-15T16:48:54-0600',mode:absolute,to:'2017-07-15T19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3" s="86" t="str">
        <f t="shared" si="1"/>
        <v>"C:\Program Files (x86)\AstroGrep\AstroGrep.exe" /e /r /s /spath="%USERPROFILE%\AppData\Local\Temp\OnboardLogs" /stypes="*4025*201707160*"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4025</v>
      </c>
      <c r="V33" s="31">
        <f t="shared" si="3"/>
        <v>42932.008217592593</v>
      </c>
      <c r="W33" s="45" t="str">
        <f t="shared" si="4"/>
        <v>Shuttle/Test</v>
      </c>
      <c r="X33" s="22">
        <f t="shared" si="5"/>
        <v>55</v>
      </c>
      <c r="Y33" s="96" t="str">
        <f t="shared" si="6"/>
        <v>echo {"issue":{"subject":"","project_id":79,"tracker_id":40,"status_id":1,"priority_id":2,"assigned_to_id":23,"start_date":"2017-07-15","description":"","custom_fields":[{"id":1,"name":"Subdivision","value":"Shuttle/Test"},{"id":4,"name":"Milepost","value":"0.0839"},{"id":17,"name":"Train ID","value":"55-15"},{"id":16,"name":"Locomotive ID","value":"4025"},{"id":130,"name":"Impact","value":""},{"id":150,"name":"Time of Event (Mountain Time)","value":"18:11:50"},{"id":151,"name":"Denver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/c/Users/stu/AppData/Local/Temp/OnboardLogs/RTDC4025 --include="*4025*201707160*"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"%USERPROFILE%\AppData\Local\Temp\OnboardLogs"\RTDC4025\*4025*201707160* &gt;&gt; 2017-07-15-SliceDisagreementCheck.txt</v>
      </c>
      <c r="AE33" s="145" t="str">
        <f t="shared" si="9"/>
        <v>start /low /b %USERPROFILE%\Documents\GitHub\eaglep3\Utilities\DownloadLogsFromS3.py --loco 4025 --day 2017-07-16</v>
      </c>
      <c r="AF33" s="1"/>
    </row>
    <row r="34" spans="1:32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3">
    <sortState ref="A7:AC73">
      <sortCondition ref="W7:W33"/>
      <sortCondition ref="E7:E33"/>
      <sortCondition ref="K7:K33"/>
      <sortCondition ref="F7:F33"/>
    </sortState>
  </autoFilter>
  <sortState ref="A7:AE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5:O1048576 O7:O3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-15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Runs'!$A$13:$A$99924,1,FALSE)</f>
        <v>#N/A</v>
      </c>
    </row>
    <row r="4" spans="1:10" x14ac:dyDescent="0.25">
      <c r="A4" s="195"/>
      <c r="B4" s="42" t="str">
        <f>A4&amp;"-"&amp;IF(DAY(Variables!$A$2)&lt;10,0,"")&amp;DAY(Variables!$A$2)</f>
        <v>-15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Runs'!$A$13:$A$99924,1,FALSE)</f>
        <v>#N/A</v>
      </c>
    </row>
    <row r="5" spans="1:10" x14ac:dyDescent="0.25">
      <c r="A5" s="195"/>
      <c r="B5" s="42" t="str">
        <f>A5&amp;"-"&amp;IF(DAY(Variables!$A$2)&lt;10,0,"")&amp;DAY(Variables!$A$2)</f>
        <v>-15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Runs'!$A$13:$A$99924,1,FALSE)</f>
        <v>#N/A</v>
      </c>
    </row>
    <row r="6" spans="1:10" x14ac:dyDescent="0.25">
      <c r="A6" s="195"/>
      <c r="B6" s="42" t="str">
        <f>A6&amp;"-"&amp;IF(DAY(Variables!$A$2)&lt;10,0,"")&amp;DAY(Variables!$A$2)</f>
        <v>-15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Runs'!$A$13:$A$99924,1,FALSE)</f>
        <v>#N/A</v>
      </c>
    </row>
    <row r="7" spans="1:10" x14ac:dyDescent="0.25">
      <c r="A7" s="195"/>
      <c r="B7" s="42" t="str">
        <f>A7&amp;"-"&amp;IF(DAY(Variables!$A$2)&lt;10,0,"")&amp;DAY(Variables!$A$2)</f>
        <v>-15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Runs'!$A$13:$A$99924,1,FALSE)</f>
        <v>#N/A</v>
      </c>
    </row>
    <row r="8" spans="1:10" x14ac:dyDescent="0.25">
      <c r="A8" s="195"/>
      <c r="B8" s="42" t="str">
        <f>A8&amp;"-"&amp;IF(DAY(Variables!$A$2)&lt;10,0,"")&amp;DAY(Variables!$A$2)</f>
        <v>-15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Runs'!$A$13:$A$99924,1,FALSE)</f>
        <v>#N/A</v>
      </c>
    </row>
    <row r="9" spans="1:10" x14ac:dyDescent="0.25">
      <c r="A9" s="195"/>
      <c r="B9" s="42" t="str">
        <f>A9&amp;"-"&amp;IF(DAY(Variables!$A$2)&lt;10,0,"")&amp;DAY(Variables!$A$2)</f>
        <v>-15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Runs'!$A$13:$A$99924,1,FALSE)</f>
        <v>#N/A</v>
      </c>
    </row>
    <row r="10" spans="1:10" x14ac:dyDescent="0.25">
      <c r="A10" s="195"/>
      <c r="B10" s="42" t="str">
        <f>A10&amp;"-"&amp;IF(DAY(Variables!$A$2)&lt;10,0,"")&amp;DAY(Variables!$A$2)</f>
        <v>-15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Runs'!$A$13:$A$99924,1,FALSE)</f>
        <v>#N/A</v>
      </c>
    </row>
    <row r="11" spans="1:10" x14ac:dyDescent="0.25">
      <c r="A11" s="195"/>
      <c r="B11" s="42" t="str">
        <f>A11&amp;"-"&amp;IF(DAY(Variables!$A$2)&lt;10,0,"")&amp;DAY(Variables!$A$2)</f>
        <v>-15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Runs'!$A$13:$A$99924,1,FALSE)</f>
        <v>#N/A</v>
      </c>
    </row>
    <row r="12" spans="1:10" x14ac:dyDescent="0.25">
      <c r="A12" s="195"/>
      <c r="B12" s="42" t="str">
        <f>A12&amp;"-"&amp;IF(DAY(Variables!$A$2)&lt;10,0,"")&amp;DAY(Variables!$A$2)</f>
        <v>-15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Runs'!$A$13:$A$99924,1,FALSE)</f>
        <v>#N/A</v>
      </c>
    </row>
    <row r="13" spans="1:10" x14ac:dyDescent="0.25">
      <c r="A13" s="195"/>
      <c r="B13" s="42" t="str">
        <f>A13&amp;"-"&amp;IF(DAY(Variables!$A$2)&lt;10,0,"")&amp;DAY(Variables!$A$2)</f>
        <v>-15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Runs'!$A$13:$A$99924,1,FALSE)</f>
        <v>#N/A</v>
      </c>
    </row>
    <row r="14" spans="1:10" x14ac:dyDescent="0.25">
      <c r="A14" s="195"/>
      <c r="B14" s="42" t="str">
        <f>A14&amp;"-"&amp;IF(DAY(Variables!$A$2)&lt;10,0,"")&amp;DAY(Variables!$A$2)</f>
        <v>-15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Runs'!$A$13:$A$99924,1,FALSE)</f>
        <v>#N/A</v>
      </c>
    </row>
    <row r="15" spans="1:10" x14ac:dyDescent="0.25">
      <c r="A15" s="195"/>
      <c r="B15" s="42" t="str">
        <f>A15&amp;"-"&amp;IF(DAY(Variables!$A$2)&lt;10,0,"")&amp;DAY(Variables!$A$2)</f>
        <v>-15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Runs'!$A$13:$A$99924,1,FALSE)</f>
        <v>#N/A</v>
      </c>
    </row>
    <row r="16" spans="1:10" x14ac:dyDescent="0.25">
      <c r="A16" s="195"/>
      <c r="B16" s="42" t="str">
        <f>A16&amp;"-"&amp;IF(DAY(Variables!$A$2)&lt;10,0,"")&amp;DAY(Variables!$A$2)</f>
        <v>-15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Runs'!$A$13:$A$99924,1,FALSE)</f>
        <v>#N/A</v>
      </c>
    </row>
    <row r="17" spans="1:10" x14ac:dyDescent="0.25">
      <c r="A17" s="195"/>
      <c r="B17" s="42" t="str">
        <f>A17&amp;"-"&amp;IF(DAY(Variables!$A$2)&lt;10,0,"")&amp;DAY(Variables!$A$2)</f>
        <v>-15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Runs'!$A$13:$A$99924,1,FALSE)</f>
        <v>#N/A</v>
      </c>
    </row>
    <row r="18" spans="1:10" x14ac:dyDescent="0.25">
      <c r="A18" s="195"/>
      <c r="B18" s="42" t="str">
        <f>A18&amp;"-"&amp;IF(DAY(Variables!$A$2)&lt;10,0,"")&amp;DAY(Variables!$A$2)</f>
        <v>-15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Runs'!$A$13:$A$99924,1,FALSE)</f>
        <v>#N/A</v>
      </c>
    </row>
    <row r="19" spans="1:10" x14ac:dyDescent="0.25">
      <c r="A19" s="195"/>
      <c r="B19" s="42" t="str">
        <f>A19&amp;"-"&amp;IF(DAY(Variables!$A$2)&lt;10,0,"")&amp;DAY(Variables!$A$2)</f>
        <v>-15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Runs'!$A$13:$A$99924,1,FALSE)</f>
        <v>#N/A</v>
      </c>
    </row>
    <row r="20" spans="1:10" x14ac:dyDescent="0.25">
      <c r="A20" s="195"/>
      <c r="B20" s="42" t="str">
        <f>A20&amp;"-"&amp;IF(DAY(Variables!$A$2)&lt;10,0,"")&amp;DAY(Variables!$A$2)</f>
        <v>-15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Runs'!$A$13:$A$99924,1,FALSE)</f>
        <v>#N/A</v>
      </c>
    </row>
    <row r="21" spans="1:10" x14ac:dyDescent="0.25">
      <c r="A21" s="195"/>
      <c r="B21" s="42" t="str">
        <f>A21&amp;"-"&amp;IF(DAY(Variables!$A$2)&lt;10,0,"")&amp;DAY(Variables!$A$2)</f>
        <v>-15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Runs'!$A$13:$A$99924,1,FALSE)</f>
        <v>#N/A</v>
      </c>
    </row>
    <row r="22" spans="1:10" x14ac:dyDescent="0.25">
      <c r="A22" s="195"/>
      <c r="B22" s="42" t="str">
        <f>A22&amp;"-"&amp;IF(DAY(Variables!$A$2)&lt;10,0,"")&amp;DAY(Variables!$A$2)</f>
        <v>-15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Runs'!$A$13:$A$99924,1,FALSE)</f>
        <v>#N/A</v>
      </c>
    </row>
    <row r="23" spans="1:10" x14ac:dyDescent="0.25">
      <c r="A23" s="195"/>
      <c r="B23" s="42" t="str">
        <f>A23&amp;"-"&amp;IF(DAY(Variables!$A$2)&lt;10,0,"")&amp;DAY(Variables!$A$2)</f>
        <v>-15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Runs'!$A$13:$A$99924,1,FALSE)</f>
        <v>#N/A</v>
      </c>
    </row>
    <row r="24" spans="1:10" x14ac:dyDescent="0.25">
      <c r="A24" s="195"/>
      <c r="B24" s="42" t="str">
        <f>A24&amp;"-"&amp;IF(DAY(Variables!$A$2)&lt;10,0,"")&amp;DAY(Variables!$A$2)</f>
        <v>-15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Runs'!$A$13:$A$99924,1,FALSE)</f>
        <v>#N/A</v>
      </c>
    </row>
    <row r="25" spans="1:10" x14ac:dyDescent="0.25">
      <c r="A25" s="195"/>
      <c r="B25" s="42" t="str">
        <f>A25&amp;"-"&amp;IF(DAY(Variables!$A$2)&lt;10,0,"")&amp;DAY(Variables!$A$2)</f>
        <v>-15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Runs'!$A$13:$A$99924,1,FALSE)</f>
        <v>#N/A</v>
      </c>
    </row>
    <row r="26" spans="1:10" x14ac:dyDescent="0.25">
      <c r="A26" s="195"/>
      <c r="B26" s="42" t="str">
        <f>A26&amp;"-"&amp;IF(DAY(Variables!$A$2)&lt;10,0,"")&amp;DAY(Variables!$A$2)</f>
        <v>-15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Runs'!$A$13:$A$99924,1,FALSE)</f>
        <v>#N/A</v>
      </c>
    </row>
    <row r="27" spans="1:10" x14ac:dyDescent="0.25">
      <c r="A27" s="195"/>
      <c r="B27" s="42" t="str">
        <f>A27&amp;"-"&amp;IF(DAY(Variables!$A$2)&lt;10,0,"")&amp;DAY(Variables!$A$2)</f>
        <v>-15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Runs'!$A$13:$A$99924,1,FALSE)</f>
        <v>#N/A</v>
      </c>
    </row>
    <row r="28" spans="1:10" x14ac:dyDescent="0.25">
      <c r="A28" s="195"/>
      <c r="B28" s="42" t="str">
        <f>A28&amp;"-"&amp;IF(DAY(Variables!$A$2)&lt;10,0,"")&amp;DAY(Variables!$A$2)</f>
        <v>-15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Runs'!$A$13:$A$99924,1,FALSE)</f>
        <v>#N/A</v>
      </c>
    </row>
    <row r="29" spans="1:10" x14ac:dyDescent="0.25">
      <c r="A29" s="195"/>
      <c r="B29" s="42" t="str">
        <f>A29&amp;"-"&amp;IF(DAY(Variables!$A$2)&lt;10,0,"")&amp;DAY(Variables!$A$2)</f>
        <v>-15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Runs'!$A$13:$A$99924,1,FALSE)</f>
        <v>#N/A</v>
      </c>
    </row>
    <row r="30" spans="1:10" x14ac:dyDescent="0.25">
      <c r="A30" s="195"/>
      <c r="B30" s="42" t="str">
        <f>A30&amp;"-"&amp;IF(DAY(Variables!$A$2)&lt;10,0,"")&amp;DAY(Variables!$A$2)</f>
        <v>-15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Runs'!$A$13:$A$99924,1,FALSE)</f>
        <v>#N/A</v>
      </c>
    </row>
    <row r="31" spans="1:10" x14ac:dyDescent="0.25">
      <c r="A31" s="195"/>
      <c r="B31" s="42" t="str">
        <f>A31&amp;"-"&amp;IF(DAY(Variables!$A$2)&lt;10,0,"")&amp;DAY(Variables!$A$2)</f>
        <v>-15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Runs'!$A$13:$A$99924,1,FALSE)</f>
        <v>#N/A</v>
      </c>
    </row>
    <row r="32" spans="1:10" x14ac:dyDescent="0.25">
      <c r="A32" s="195"/>
      <c r="B32" s="42" t="str">
        <f>A32&amp;"-"&amp;IF(DAY(Variables!$A$2)&lt;10,0,"")&amp;DAY(Variables!$A$2)</f>
        <v>-15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Runs'!$A$13:$A$99924,1,FALSE)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42931.047488425924</v>
      </c>
      <c r="B2" s="20" t="s">
        <v>470</v>
      </c>
      <c r="C2" s="20" t="s">
        <v>613</v>
      </c>
      <c r="D2" s="138">
        <v>3300000</v>
      </c>
      <c r="E2" s="20" t="s">
        <v>513</v>
      </c>
      <c r="F2" s="20" t="s">
        <v>514</v>
      </c>
      <c r="G2" s="8" t="str">
        <f>E2&amp;" "&amp;F2</f>
        <v>LANGERAK WILLIAM</v>
      </c>
    </row>
    <row r="3" spans="1:7" x14ac:dyDescent="0.25">
      <c r="A3" s="8">
        <v>42931.048692129632</v>
      </c>
      <c r="B3" s="20" t="s">
        <v>546</v>
      </c>
      <c r="C3" s="20" t="s">
        <v>614</v>
      </c>
      <c r="D3" s="138">
        <v>3000000</v>
      </c>
      <c r="E3" s="20" t="s">
        <v>387</v>
      </c>
      <c r="F3" s="20" t="s">
        <v>388</v>
      </c>
      <c r="G3" s="8" t="str">
        <f t="shared" ref="G3:G66" si="0">E3&amp;" "&amp;F3</f>
        <v>FORTUNATO FRANK</v>
      </c>
    </row>
    <row r="4" spans="1:7" x14ac:dyDescent="0.25">
      <c r="A4" s="8">
        <v>42931.072418981479</v>
      </c>
      <c r="B4" s="20" t="s">
        <v>393</v>
      </c>
      <c r="C4" s="20" t="s">
        <v>615</v>
      </c>
      <c r="D4" s="138">
        <v>3130000</v>
      </c>
      <c r="E4" s="20" t="s">
        <v>375</v>
      </c>
      <c r="F4" s="20" t="s">
        <v>376</v>
      </c>
      <c r="G4" s="8" t="str">
        <f t="shared" si="0"/>
        <v>ZEWDU DEREJE</v>
      </c>
    </row>
    <row r="5" spans="1:7" x14ac:dyDescent="0.25">
      <c r="A5" s="8">
        <v>42931.077118055553</v>
      </c>
      <c r="B5" s="20" t="s">
        <v>437</v>
      </c>
      <c r="C5" s="20" t="s">
        <v>616</v>
      </c>
      <c r="D5" s="138">
        <v>3090000</v>
      </c>
      <c r="E5" s="20" t="s">
        <v>368</v>
      </c>
      <c r="F5" s="20" t="s">
        <v>369</v>
      </c>
      <c r="G5" s="8" t="str">
        <f t="shared" si="0"/>
        <v>LAMAR NEKESHA</v>
      </c>
    </row>
    <row r="6" spans="1:7" x14ac:dyDescent="0.25">
      <c r="A6" s="8">
        <v>42931.091099537036</v>
      </c>
      <c r="B6" s="20" t="s">
        <v>548</v>
      </c>
      <c r="C6" s="20" t="s">
        <v>617</v>
      </c>
      <c r="D6" s="138">
        <v>3000000</v>
      </c>
      <c r="E6" s="20" t="s">
        <v>387</v>
      </c>
      <c r="F6" s="20" t="s">
        <v>388</v>
      </c>
      <c r="G6" s="8" t="str">
        <f t="shared" si="0"/>
        <v>FORTUNATO FRANK</v>
      </c>
    </row>
    <row r="7" spans="1:7" x14ac:dyDescent="0.25">
      <c r="A7" s="8">
        <v>42931.111030092594</v>
      </c>
      <c r="B7" s="20" t="s">
        <v>429</v>
      </c>
      <c r="C7" s="20" t="s">
        <v>618</v>
      </c>
      <c r="D7" s="138">
        <v>3090000</v>
      </c>
      <c r="E7" s="20" t="s">
        <v>368</v>
      </c>
      <c r="F7" s="20" t="s">
        <v>369</v>
      </c>
      <c r="G7" s="8" t="str">
        <f t="shared" si="0"/>
        <v>LAMAR NEKESHA</v>
      </c>
    </row>
    <row r="8" spans="1:7" x14ac:dyDescent="0.25">
      <c r="A8" s="8">
        <v>42931.119606481479</v>
      </c>
      <c r="B8" s="20" t="s">
        <v>481</v>
      </c>
      <c r="C8" s="20" t="s">
        <v>619</v>
      </c>
      <c r="D8" s="138">
        <v>2010000</v>
      </c>
      <c r="E8" s="20" t="s">
        <v>620</v>
      </c>
      <c r="F8" s="20" t="s">
        <v>621</v>
      </c>
      <c r="G8" s="8" t="str">
        <f t="shared" si="0"/>
        <v>MAELZER KURT</v>
      </c>
    </row>
    <row r="9" spans="1:7" ht="15.75" thickBot="1" x14ac:dyDescent="0.3">
      <c r="A9" s="24">
        <v>42931.13349537037</v>
      </c>
      <c r="B9" s="20" t="s">
        <v>471</v>
      </c>
      <c r="C9" s="20" t="s">
        <v>622</v>
      </c>
      <c r="D9" s="138">
        <v>2010000</v>
      </c>
      <c r="E9" s="20" t="s">
        <v>620</v>
      </c>
      <c r="F9" s="20" t="s">
        <v>621</v>
      </c>
      <c r="G9" s="8" t="str">
        <f t="shared" si="0"/>
        <v>MAELZER KURT</v>
      </c>
    </row>
    <row r="10" spans="1:7" x14ac:dyDescent="0.25">
      <c r="A10" s="8">
        <v>42931.136192129627</v>
      </c>
      <c r="B10" s="20" t="s">
        <v>436</v>
      </c>
      <c r="C10" s="20" t="s">
        <v>623</v>
      </c>
      <c r="D10" s="138">
        <v>1830000</v>
      </c>
      <c r="E10" s="20" t="s">
        <v>624</v>
      </c>
      <c r="F10" s="20" t="s">
        <v>625</v>
      </c>
      <c r="G10" s="8" t="str">
        <f t="shared" si="0"/>
        <v>YORK EDGAR</v>
      </c>
    </row>
    <row r="11" spans="1:7" x14ac:dyDescent="0.25">
      <c r="A11" s="8">
        <v>42931.13826388889</v>
      </c>
      <c r="B11" s="20" t="s">
        <v>550</v>
      </c>
      <c r="C11" s="20" t="s">
        <v>626</v>
      </c>
      <c r="D11" s="138">
        <v>1800000</v>
      </c>
      <c r="E11" s="20" t="s">
        <v>627</v>
      </c>
      <c r="F11" s="20" t="s">
        <v>628</v>
      </c>
      <c r="G11" s="8" t="str">
        <f t="shared" si="0"/>
        <v>CHANDLER KELVIN</v>
      </c>
    </row>
    <row r="12" spans="1:7" x14ac:dyDescent="0.25">
      <c r="A12" s="8">
        <v>42931.14203703704</v>
      </c>
      <c r="B12" s="20" t="s">
        <v>481</v>
      </c>
      <c r="C12" s="20" t="s">
        <v>629</v>
      </c>
      <c r="D12" s="138">
        <v>1800000</v>
      </c>
      <c r="E12" s="20" t="s">
        <v>627</v>
      </c>
      <c r="F12" s="20" t="s">
        <v>628</v>
      </c>
      <c r="G12" s="8" t="str">
        <f t="shared" si="0"/>
        <v>CHANDLER KELVIN</v>
      </c>
    </row>
    <row r="13" spans="1:7" x14ac:dyDescent="0.25">
      <c r="A13" s="8">
        <v>42931.151782407411</v>
      </c>
      <c r="B13" s="20" t="s">
        <v>352</v>
      </c>
      <c r="C13" s="20" t="s">
        <v>630</v>
      </c>
      <c r="D13" s="138">
        <v>1830000</v>
      </c>
      <c r="E13" s="20" t="s">
        <v>624</v>
      </c>
      <c r="F13" s="20" t="s">
        <v>625</v>
      </c>
      <c r="G13" s="8" t="str">
        <f t="shared" si="0"/>
        <v>YORK EDGAR</v>
      </c>
    </row>
    <row r="14" spans="1:7" x14ac:dyDescent="0.25">
      <c r="A14" s="8">
        <v>42931.157743055555</v>
      </c>
      <c r="B14" s="20" t="s">
        <v>477</v>
      </c>
      <c r="C14" s="20" t="s">
        <v>631</v>
      </c>
      <c r="D14" s="138">
        <v>1990000</v>
      </c>
      <c r="E14" s="20" t="s">
        <v>383</v>
      </c>
      <c r="F14" s="20" t="s">
        <v>512</v>
      </c>
      <c r="G14" s="8" t="str">
        <f t="shared" si="0"/>
        <v>DAVIS WENDY</v>
      </c>
    </row>
    <row r="15" spans="1:7" x14ac:dyDescent="0.25">
      <c r="A15" s="8">
        <v>42931.165983796294</v>
      </c>
      <c r="B15" s="20" t="s">
        <v>488</v>
      </c>
      <c r="C15" s="20" t="s">
        <v>632</v>
      </c>
      <c r="D15" s="138">
        <v>2010000</v>
      </c>
      <c r="E15" s="20" t="s">
        <v>620</v>
      </c>
      <c r="F15" s="20" t="s">
        <v>621</v>
      </c>
      <c r="G15" s="8" t="str">
        <f t="shared" si="0"/>
        <v>MAELZER KURT</v>
      </c>
    </row>
    <row r="16" spans="1:7" x14ac:dyDescent="0.25">
      <c r="A16" s="8">
        <v>42931.169050925928</v>
      </c>
      <c r="B16" s="20" t="s">
        <v>484</v>
      </c>
      <c r="C16" s="20" t="s">
        <v>633</v>
      </c>
      <c r="D16" s="138">
        <v>1990000</v>
      </c>
      <c r="E16" s="20" t="s">
        <v>383</v>
      </c>
      <c r="F16" s="20" t="s">
        <v>512</v>
      </c>
      <c r="G16" s="8" t="str">
        <f t="shared" si="0"/>
        <v>DAVIS WENDY</v>
      </c>
    </row>
    <row r="17" spans="1:7" x14ac:dyDescent="0.25">
      <c r="A17" s="8">
        <v>42931.170937499999</v>
      </c>
      <c r="B17" s="20" t="s">
        <v>552</v>
      </c>
      <c r="C17" s="20" t="s">
        <v>634</v>
      </c>
      <c r="D17" s="138">
        <v>1100000</v>
      </c>
      <c r="E17" s="20" t="s">
        <v>635</v>
      </c>
      <c r="F17" s="20" t="s">
        <v>636</v>
      </c>
      <c r="G17" s="8" t="str">
        <f t="shared" si="0"/>
        <v>GEBRETEKLE DAGNEW</v>
      </c>
    </row>
    <row r="18" spans="1:7" x14ac:dyDescent="0.25">
      <c r="A18" s="8">
        <v>42931.180798611109</v>
      </c>
      <c r="B18" s="20" t="s">
        <v>589</v>
      </c>
      <c r="C18" s="20" t="s">
        <v>637</v>
      </c>
      <c r="D18" s="138">
        <v>2270000</v>
      </c>
      <c r="E18" s="20" t="s">
        <v>638</v>
      </c>
      <c r="F18" s="20" t="s">
        <v>639</v>
      </c>
      <c r="G18" s="8" t="str">
        <f t="shared" si="0"/>
        <v>BROWN JACOB</v>
      </c>
    </row>
    <row r="19" spans="1:7" x14ac:dyDescent="0.25">
      <c r="A19" s="8">
        <v>42931.181932870371</v>
      </c>
      <c r="B19" s="20" t="s">
        <v>436</v>
      </c>
      <c r="C19" s="20" t="s">
        <v>640</v>
      </c>
      <c r="D19" s="138">
        <v>1830000</v>
      </c>
      <c r="E19" s="20" t="s">
        <v>624</v>
      </c>
      <c r="F19" s="20" t="s">
        <v>625</v>
      </c>
      <c r="G19" s="8" t="str">
        <f t="shared" si="0"/>
        <v>YORK EDGAR</v>
      </c>
    </row>
    <row r="20" spans="1:7" x14ac:dyDescent="0.25">
      <c r="A20" s="8">
        <v>42931.183518518519</v>
      </c>
      <c r="B20" s="20" t="s">
        <v>589</v>
      </c>
      <c r="C20" s="20" t="s">
        <v>637</v>
      </c>
      <c r="D20" s="138">
        <v>2270000</v>
      </c>
      <c r="E20" s="20" t="s">
        <v>638</v>
      </c>
      <c r="F20" s="20" t="s">
        <v>639</v>
      </c>
      <c r="G20" s="8" t="str">
        <f t="shared" si="0"/>
        <v>BROWN JACOB</v>
      </c>
    </row>
    <row r="21" spans="1:7" x14ac:dyDescent="0.25">
      <c r="A21" s="8">
        <v>42931.185393518521</v>
      </c>
      <c r="B21" s="20" t="s">
        <v>641</v>
      </c>
      <c r="C21" s="20" t="s">
        <v>642</v>
      </c>
      <c r="D21" s="138">
        <v>1100000</v>
      </c>
      <c r="E21" s="20" t="s">
        <v>635</v>
      </c>
      <c r="F21" s="20" t="s">
        <v>636</v>
      </c>
      <c r="G21" s="8" t="str">
        <f t="shared" si="0"/>
        <v>GEBRETEKLE DAGNEW</v>
      </c>
    </row>
    <row r="22" spans="1:7" x14ac:dyDescent="0.25">
      <c r="A22" s="26">
        <v>42931.195567129631</v>
      </c>
      <c r="B22" s="20" t="s">
        <v>587</v>
      </c>
      <c r="C22" s="20" t="s">
        <v>588</v>
      </c>
      <c r="D22" s="138">
        <v>2270000</v>
      </c>
      <c r="E22" s="20" t="s">
        <v>638</v>
      </c>
      <c r="F22" s="20" t="s">
        <v>639</v>
      </c>
      <c r="G22" s="8" t="str">
        <f t="shared" si="0"/>
        <v>BROWN JACOB</v>
      </c>
    </row>
    <row r="23" spans="1:7" x14ac:dyDescent="0.25">
      <c r="A23" s="8">
        <v>42931.196423611109</v>
      </c>
      <c r="B23" s="20" t="s">
        <v>587</v>
      </c>
      <c r="C23" s="20" t="s">
        <v>588</v>
      </c>
      <c r="D23" s="138">
        <v>2270000</v>
      </c>
      <c r="E23" s="20" t="s">
        <v>638</v>
      </c>
      <c r="F23" s="20" t="s">
        <v>639</v>
      </c>
      <c r="G23" s="8" t="str">
        <f t="shared" si="0"/>
        <v>BROWN JACOB</v>
      </c>
    </row>
    <row r="24" spans="1:7" x14ac:dyDescent="0.25">
      <c r="A24" s="8">
        <v>42931.196550925924</v>
      </c>
      <c r="B24" s="20" t="s">
        <v>545</v>
      </c>
      <c r="C24" s="20" t="s">
        <v>643</v>
      </c>
      <c r="D24" s="138">
        <v>2600000</v>
      </c>
      <c r="E24" s="20" t="s">
        <v>644</v>
      </c>
      <c r="F24" s="20" t="s">
        <v>645</v>
      </c>
      <c r="G24" s="8" t="str">
        <f t="shared" si="0"/>
        <v>DAVIDSON DAVID</v>
      </c>
    </row>
    <row r="25" spans="1:7" x14ac:dyDescent="0.25">
      <c r="A25" s="8">
        <v>42931.204641203702</v>
      </c>
      <c r="B25" s="20" t="s">
        <v>471</v>
      </c>
      <c r="C25" s="20" t="s">
        <v>646</v>
      </c>
      <c r="D25" s="138">
        <v>2010000</v>
      </c>
      <c r="E25" s="20" t="s">
        <v>620</v>
      </c>
      <c r="F25" s="20" t="s">
        <v>621</v>
      </c>
      <c r="G25" s="8" t="str">
        <f t="shared" si="0"/>
        <v>MAELZER KURT</v>
      </c>
    </row>
    <row r="26" spans="1:7" x14ac:dyDescent="0.25">
      <c r="A26" s="8">
        <v>42931.209363425929</v>
      </c>
      <c r="B26" s="20" t="s">
        <v>337</v>
      </c>
      <c r="C26" s="20" t="s">
        <v>647</v>
      </c>
      <c r="D26" s="138">
        <v>2600000</v>
      </c>
      <c r="E26" s="20" t="s">
        <v>644</v>
      </c>
      <c r="F26" s="20" t="s">
        <v>645</v>
      </c>
      <c r="G26" s="8" t="str">
        <f t="shared" si="0"/>
        <v>DAVIDSON DAVID</v>
      </c>
    </row>
    <row r="27" spans="1:7" x14ac:dyDescent="0.25">
      <c r="A27" s="8">
        <v>42931.210972222223</v>
      </c>
      <c r="B27" s="20" t="s">
        <v>550</v>
      </c>
      <c r="C27" s="20" t="s">
        <v>648</v>
      </c>
      <c r="D27" s="138">
        <v>1800000</v>
      </c>
      <c r="E27" s="20" t="s">
        <v>627</v>
      </c>
      <c r="F27" s="20" t="s">
        <v>628</v>
      </c>
      <c r="G27" s="8" t="str">
        <f t="shared" si="0"/>
        <v>CHANDLER KELVIN</v>
      </c>
    </row>
    <row r="28" spans="1:7" x14ac:dyDescent="0.25">
      <c r="A28" s="8">
        <v>42931.213888888888</v>
      </c>
      <c r="B28" s="20" t="s">
        <v>552</v>
      </c>
      <c r="C28" s="20" t="s">
        <v>649</v>
      </c>
      <c r="D28" s="138">
        <v>1100000</v>
      </c>
      <c r="E28" s="20" t="s">
        <v>635</v>
      </c>
      <c r="F28" s="20" t="s">
        <v>636</v>
      </c>
      <c r="G28" s="8" t="str">
        <f t="shared" si="0"/>
        <v>GEBRETEKLE DAGNEW</v>
      </c>
    </row>
    <row r="29" spans="1:7" x14ac:dyDescent="0.25">
      <c r="A29" s="8">
        <v>42931.214409722219</v>
      </c>
      <c r="B29" s="20" t="s">
        <v>650</v>
      </c>
      <c r="C29" s="20" t="s">
        <v>651</v>
      </c>
      <c r="D29" s="138">
        <v>1810000</v>
      </c>
      <c r="E29" s="20" t="s">
        <v>652</v>
      </c>
      <c r="F29" s="20" t="s">
        <v>189</v>
      </c>
      <c r="G29" s="8" t="str">
        <f t="shared" si="0"/>
        <v>NEWELL JAMES</v>
      </c>
    </row>
    <row r="30" spans="1:7" x14ac:dyDescent="0.25">
      <c r="A30" s="8">
        <v>42931.214583333334</v>
      </c>
      <c r="B30" s="20" t="s">
        <v>477</v>
      </c>
      <c r="C30" s="20" t="s">
        <v>653</v>
      </c>
      <c r="D30" s="138">
        <v>1990000</v>
      </c>
      <c r="E30" s="20" t="s">
        <v>383</v>
      </c>
      <c r="F30" s="20" t="s">
        <v>512</v>
      </c>
      <c r="G30" s="8" t="str">
        <f t="shared" si="0"/>
        <v>DAVIS WENDY</v>
      </c>
    </row>
    <row r="31" spans="1:7" x14ac:dyDescent="0.25">
      <c r="A31" s="8">
        <v>42931.214606481481</v>
      </c>
      <c r="B31" s="20" t="s">
        <v>481</v>
      </c>
      <c r="C31" s="20" t="s">
        <v>654</v>
      </c>
      <c r="D31" s="138">
        <v>1800000</v>
      </c>
      <c r="E31" s="20" t="s">
        <v>627</v>
      </c>
      <c r="F31" s="20" t="s">
        <v>628</v>
      </c>
      <c r="G31" s="8" t="str">
        <f t="shared" si="0"/>
        <v>CHANDLER KELVIN</v>
      </c>
    </row>
    <row r="32" spans="1:7" x14ac:dyDescent="0.25">
      <c r="A32" s="8">
        <v>42931.220636574071</v>
      </c>
      <c r="B32" s="20" t="s">
        <v>361</v>
      </c>
      <c r="C32" s="20" t="s">
        <v>655</v>
      </c>
      <c r="D32" s="138">
        <v>2970000</v>
      </c>
      <c r="E32" s="20" t="s">
        <v>370</v>
      </c>
      <c r="F32" s="20" t="s">
        <v>371</v>
      </c>
      <c r="G32" s="8" t="str">
        <f t="shared" si="0"/>
        <v>GUZMAN DANNY</v>
      </c>
    </row>
    <row r="33" spans="1:7" x14ac:dyDescent="0.25">
      <c r="A33" s="8">
        <v>42931.223287037035</v>
      </c>
      <c r="B33" s="20" t="s">
        <v>547</v>
      </c>
      <c r="C33" s="20" t="s">
        <v>656</v>
      </c>
      <c r="D33" s="138">
        <v>2560000</v>
      </c>
      <c r="E33" s="20" t="s">
        <v>657</v>
      </c>
      <c r="F33" s="20" t="s">
        <v>360</v>
      </c>
      <c r="G33" s="8" t="str">
        <f t="shared" si="0"/>
        <v>MACDONALD THOMAS</v>
      </c>
    </row>
    <row r="34" spans="1:7" x14ac:dyDescent="0.25">
      <c r="A34" s="8">
        <v>42931.227731481478</v>
      </c>
      <c r="B34" s="20" t="s">
        <v>550</v>
      </c>
      <c r="C34" s="20" t="s">
        <v>658</v>
      </c>
      <c r="D34" s="138">
        <v>1830000</v>
      </c>
      <c r="E34" s="20" t="s">
        <v>624</v>
      </c>
      <c r="F34" s="20" t="s">
        <v>625</v>
      </c>
      <c r="G34" s="8" t="str">
        <f t="shared" si="0"/>
        <v>YORK EDGAR</v>
      </c>
    </row>
    <row r="35" spans="1:7" x14ac:dyDescent="0.25">
      <c r="A35" s="8">
        <v>42931.228344907409</v>
      </c>
      <c r="B35" s="20" t="s">
        <v>550</v>
      </c>
      <c r="C35" s="20" t="s">
        <v>658</v>
      </c>
      <c r="D35" s="138">
        <v>1830000</v>
      </c>
      <c r="E35" s="20" t="s">
        <v>624</v>
      </c>
      <c r="F35" s="20" t="s">
        <v>625</v>
      </c>
      <c r="G35" s="8" t="str">
        <f t="shared" si="0"/>
        <v>YORK EDGAR</v>
      </c>
    </row>
    <row r="36" spans="1:7" x14ac:dyDescent="0.25">
      <c r="A36" s="8">
        <v>42931.231342592589</v>
      </c>
      <c r="B36" s="20" t="s">
        <v>352</v>
      </c>
      <c r="C36" s="20" t="s">
        <v>659</v>
      </c>
      <c r="D36" s="138">
        <v>900000</v>
      </c>
      <c r="E36" s="20" t="s">
        <v>660</v>
      </c>
      <c r="F36" s="20" t="s">
        <v>661</v>
      </c>
      <c r="G36" s="8" t="str">
        <f t="shared" si="0"/>
        <v>ROCHA YAOTL</v>
      </c>
    </row>
    <row r="37" spans="1:7" x14ac:dyDescent="0.25">
      <c r="A37" s="8">
        <v>42931.2343287037</v>
      </c>
      <c r="B37" s="20" t="s">
        <v>589</v>
      </c>
      <c r="C37" s="20" t="s">
        <v>590</v>
      </c>
      <c r="D37" s="138">
        <v>2270000</v>
      </c>
      <c r="E37" s="20" t="s">
        <v>638</v>
      </c>
      <c r="F37" s="20" t="s">
        <v>639</v>
      </c>
      <c r="G37" s="8" t="str">
        <f t="shared" si="0"/>
        <v>BROWN JACOB</v>
      </c>
    </row>
    <row r="38" spans="1:7" x14ac:dyDescent="0.25">
      <c r="A38" s="8">
        <v>42931.234722222223</v>
      </c>
      <c r="B38" s="20" t="s">
        <v>367</v>
      </c>
      <c r="C38" s="20" t="s">
        <v>662</v>
      </c>
      <c r="D38" s="138">
        <v>2970000</v>
      </c>
      <c r="E38" s="20" t="s">
        <v>370</v>
      </c>
      <c r="F38" s="20" t="s">
        <v>371</v>
      </c>
      <c r="G38" s="8" t="str">
        <f t="shared" si="0"/>
        <v>GUZMAN DANNY</v>
      </c>
    </row>
    <row r="39" spans="1:7" x14ac:dyDescent="0.25">
      <c r="A39" s="8">
        <v>42931.234756944446</v>
      </c>
      <c r="B39" s="20" t="s">
        <v>549</v>
      </c>
      <c r="C39" s="20" t="s">
        <v>663</v>
      </c>
      <c r="D39" s="138">
        <v>2560000</v>
      </c>
      <c r="E39" s="20" t="s">
        <v>657</v>
      </c>
      <c r="F39" s="20" t="s">
        <v>360</v>
      </c>
      <c r="G39" s="8" t="str">
        <f t="shared" si="0"/>
        <v>MACDONALD THOMAS</v>
      </c>
    </row>
    <row r="40" spans="1:7" x14ac:dyDescent="0.25">
      <c r="A40" s="8">
        <v>42931.241076388891</v>
      </c>
      <c r="B40" s="25" t="s">
        <v>488</v>
      </c>
      <c r="C40" s="20" t="s">
        <v>664</v>
      </c>
      <c r="D40" s="138">
        <v>2010000</v>
      </c>
      <c r="E40" s="20" t="s">
        <v>620</v>
      </c>
      <c r="F40" s="20" t="s">
        <v>621</v>
      </c>
      <c r="G40" s="8" t="str">
        <f t="shared" si="0"/>
        <v>MAELZER KURT</v>
      </c>
    </row>
    <row r="41" spans="1:7" x14ac:dyDescent="0.25">
      <c r="A41" s="8">
        <v>42931.245972222219</v>
      </c>
      <c r="B41" s="20" t="s">
        <v>484</v>
      </c>
      <c r="C41" s="20" t="s">
        <v>665</v>
      </c>
      <c r="D41" s="138">
        <v>1990000</v>
      </c>
      <c r="E41" s="20" t="s">
        <v>383</v>
      </c>
      <c r="F41" s="20" t="s">
        <v>512</v>
      </c>
      <c r="G41" s="8" t="str">
        <f t="shared" si="0"/>
        <v>DAVIS WENDY</v>
      </c>
    </row>
    <row r="42" spans="1:7" x14ac:dyDescent="0.25">
      <c r="A42" s="8">
        <v>42931.248310185183</v>
      </c>
      <c r="B42" s="20" t="s">
        <v>545</v>
      </c>
      <c r="C42" s="20" t="s">
        <v>666</v>
      </c>
      <c r="D42" s="138">
        <v>2600000</v>
      </c>
      <c r="E42" s="20" t="s">
        <v>644</v>
      </c>
      <c r="F42" s="20" t="s">
        <v>645</v>
      </c>
      <c r="G42" s="8" t="str">
        <f t="shared" si="0"/>
        <v>DAVIDSON DAVID</v>
      </c>
    </row>
    <row r="43" spans="1:7" x14ac:dyDescent="0.25">
      <c r="A43" s="8">
        <v>42931.248333333337</v>
      </c>
      <c r="B43" s="20" t="s">
        <v>547</v>
      </c>
      <c r="C43" s="20" t="s">
        <v>667</v>
      </c>
      <c r="D43" s="138">
        <v>2560000</v>
      </c>
      <c r="E43" s="20" t="s">
        <v>657</v>
      </c>
      <c r="F43" s="20" t="s">
        <v>360</v>
      </c>
      <c r="G43" s="8" t="str">
        <f t="shared" si="0"/>
        <v>MACDONALD THOMAS</v>
      </c>
    </row>
    <row r="44" spans="1:7" x14ac:dyDescent="0.25">
      <c r="A44" s="8">
        <v>42931.255231481482</v>
      </c>
      <c r="B44" s="20" t="s">
        <v>641</v>
      </c>
      <c r="C44" s="20" t="s">
        <v>668</v>
      </c>
      <c r="D44" s="138">
        <v>1100000</v>
      </c>
      <c r="E44" s="20" t="s">
        <v>635</v>
      </c>
      <c r="F44" s="20" t="s">
        <v>636</v>
      </c>
      <c r="G44" s="8" t="str">
        <f t="shared" si="0"/>
        <v>GEBRETEKLE DAGNEW</v>
      </c>
    </row>
    <row r="45" spans="1:7" x14ac:dyDescent="0.25">
      <c r="A45" s="8">
        <v>42931.256018518521</v>
      </c>
      <c r="B45" s="20" t="s">
        <v>481</v>
      </c>
      <c r="C45" s="20" t="s">
        <v>669</v>
      </c>
      <c r="D45" s="138">
        <v>1830000</v>
      </c>
      <c r="E45" s="20" t="s">
        <v>624</v>
      </c>
      <c r="F45" s="20" t="s">
        <v>625</v>
      </c>
      <c r="G45" s="8" t="str">
        <f t="shared" si="0"/>
        <v>YORK EDGAR</v>
      </c>
    </row>
    <row r="46" spans="1:7" x14ac:dyDescent="0.25">
      <c r="A46" s="8">
        <v>42931.267314814817</v>
      </c>
      <c r="B46" s="20" t="s">
        <v>361</v>
      </c>
      <c r="C46" s="20" t="s">
        <v>670</v>
      </c>
      <c r="D46" s="138">
        <v>2970000</v>
      </c>
      <c r="E46" s="20" t="s">
        <v>370</v>
      </c>
      <c r="F46" s="20" t="s">
        <v>371</v>
      </c>
      <c r="G46" s="8" t="str">
        <f t="shared" si="0"/>
        <v>GUZMAN DANNY</v>
      </c>
    </row>
    <row r="47" spans="1:7" x14ac:dyDescent="0.25">
      <c r="A47" s="8">
        <v>42931.268541666665</v>
      </c>
      <c r="B47" s="20" t="s">
        <v>587</v>
      </c>
      <c r="C47" s="20" t="s">
        <v>671</v>
      </c>
      <c r="D47" s="138">
        <v>2270000</v>
      </c>
      <c r="E47" s="20" t="s">
        <v>638</v>
      </c>
      <c r="F47" s="20" t="s">
        <v>639</v>
      </c>
      <c r="G47" s="8" t="str">
        <f t="shared" si="0"/>
        <v>BROWN JACOB</v>
      </c>
    </row>
    <row r="48" spans="1:7" x14ac:dyDescent="0.25">
      <c r="A48" s="8">
        <v>42931.276400462964</v>
      </c>
      <c r="B48" s="20" t="s">
        <v>549</v>
      </c>
      <c r="C48" s="20" t="s">
        <v>672</v>
      </c>
      <c r="D48" s="138">
        <v>2560000</v>
      </c>
      <c r="E48" s="20" t="s">
        <v>657</v>
      </c>
      <c r="F48" s="20" t="s">
        <v>360</v>
      </c>
      <c r="G48" s="8" t="str">
        <f t="shared" si="0"/>
        <v>MACDONALD THOMAS</v>
      </c>
    </row>
    <row r="49" spans="1:7" x14ac:dyDescent="0.25">
      <c r="A49" s="8">
        <v>42931.27685185185</v>
      </c>
      <c r="B49" s="20" t="s">
        <v>471</v>
      </c>
      <c r="C49" s="20" t="s">
        <v>591</v>
      </c>
      <c r="D49" s="138">
        <v>2010000</v>
      </c>
      <c r="E49" s="20" t="s">
        <v>620</v>
      </c>
      <c r="F49" s="20" t="s">
        <v>621</v>
      </c>
      <c r="G49" s="8" t="str">
        <f t="shared" si="0"/>
        <v>MAELZER KURT</v>
      </c>
    </row>
    <row r="50" spans="1:7" x14ac:dyDescent="0.25">
      <c r="A50" s="8">
        <v>42931.286898148152</v>
      </c>
      <c r="B50" s="20" t="s">
        <v>552</v>
      </c>
      <c r="C50" s="20" t="s">
        <v>673</v>
      </c>
      <c r="D50" s="138">
        <v>1100000</v>
      </c>
      <c r="E50" s="20" t="s">
        <v>635</v>
      </c>
      <c r="F50" s="20" t="s">
        <v>636</v>
      </c>
      <c r="G50" s="8" t="str">
        <f t="shared" si="0"/>
        <v>GEBRETEKLE DAGNEW</v>
      </c>
    </row>
    <row r="51" spans="1:7" x14ac:dyDescent="0.25">
      <c r="A51" s="8">
        <v>42931.287418981483</v>
      </c>
      <c r="B51" s="20" t="s">
        <v>477</v>
      </c>
      <c r="C51" s="20" t="s">
        <v>674</v>
      </c>
      <c r="D51" s="138">
        <v>1990000</v>
      </c>
      <c r="E51" s="20" t="s">
        <v>383</v>
      </c>
      <c r="F51" s="20" t="s">
        <v>512</v>
      </c>
      <c r="G51" s="8" t="str">
        <f t="shared" si="0"/>
        <v>DAVIS WENDY</v>
      </c>
    </row>
    <row r="52" spans="1:7" x14ac:dyDescent="0.25">
      <c r="A52" s="8">
        <v>42931.288078703707</v>
      </c>
      <c r="B52" s="20" t="s">
        <v>337</v>
      </c>
      <c r="C52" s="20" t="s">
        <v>675</v>
      </c>
      <c r="D52" s="138">
        <v>2600000</v>
      </c>
      <c r="E52" s="20" t="s">
        <v>644</v>
      </c>
      <c r="F52" s="20" t="s">
        <v>645</v>
      </c>
      <c r="G52" s="8" t="str">
        <f t="shared" si="0"/>
        <v>DAVIDSON DAVID</v>
      </c>
    </row>
    <row r="53" spans="1:7" x14ac:dyDescent="0.25">
      <c r="A53" s="8">
        <v>42931.289849537039</v>
      </c>
      <c r="B53" s="20" t="s">
        <v>547</v>
      </c>
      <c r="C53" s="20" t="s">
        <v>592</v>
      </c>
      <c r="D53" s="138">
        <v>2560000</v>
      </c>
      <c r="E53" s="20" t="s">
        <v>657</v>
      </c>
      <c r="F53" s="20" t="s">
        <v>360</v>
      </c>
      <c r="G53" s="8" t="str">
        <f t="shared" si="0"/>
        <v>MACDONALD THOMAS</v>
      </c>
    </row>
    <row r="54" spans="1:7" x14ac:dyDescent="0.25">
      <c r="A54" s="8">
        <v>42931.298055555555</v>
      </c>
      <c r="B54" s="20" t="s">
        <v>550</v>
      </c>
      <c r="C54" s="20" t="s">
        <v>676</v>
      </c>
      <c r="D54" s="138">
        <v>1800000</v>
      </c>
      <c r="E54" s="20" t="s">
        <v>627</v>
      </c>
      <c r="F54" s="20" t="s">
        <v>628</v>
      </c>
      <c r="G54" s="8" t="str">
        <f t="shared" si="0"/>
        <v>CHANDLER KELVIN</v>
      </c>
    </row>
    <row r="55" spans="1:7" x14ac:dyDescent="0.25">
      <c r="A55" s="8">
        <v>42931.301203703704</v>
      </c>
      <c r="B55" s="20" t="s">
        <v>589</v>
      </c>
      <c r="C55" s="20" t="s">
        <v>677</v>
      </c>
      <c r="D55" s="138">
        <v>2270000</v>
      </c>
      <c r="E55" s="20" t="s">
        <v>638</v>
      </c>
      <c r="F55" s="20" t="s">
        <v>639</v>
      </c>
      <c r="G55" s="8" t="str">
        <f t="shared" si="0"/>
        <v>BROWN JACOB</v>
      </c>
    </row>
    <row r="56" spans="1:7" x14ac:dyDescent="0.25">
      <c r="A56" s="8">
        <v>42931.308518518519</v>
      </c>
      <c r="B56" s="20" t="s">
        <v>367</v>
      </c>
      <c r="C56" s="20" t="s">
        <v>678</v>
      </c>
      <c r="D56" s="138">
        <v>2970000</v>
      </c>
      <c r="E56" s="20" t="s">
        <v>370</v>
      </c>
      <c r="F56" s="20" t="s">
        <v>371</v>
      </c>
      <c r="G56" s="8" t="str">
        <f t="shared" si="0"/>
        <v>GUZMAN DANNY</v>
      </c>
    </row>
    <row r="57" spans="1:7" x14ac:dyDescent="0.25">
      <c r="A57" s="8">
        <v>42931.315127314818</v>
      </c>
      <c r="B57" s="20" t="s">
        <v>488</v>
      </c>
      <c r="C57" s="20" t="s">
        <v>679</v>
      </c>
      <c r="D57" s="138">
        <v>2010000</v>
      </c>
      <c r="E57" s="20" t="s">
        <v>620</v>
      </c>
      <c r="F57" s="20" t="s">
        <v>621</v>
      </c>
      <c r="G57" s="8" t="str">
        <f t="shared" si="0"/>
        <v>MAELZER KURT</v>
      </c>
    </row>
    <row r="58" spans="1:7" x14ac:dyDescent="0.25">
      <c r="A58" s="8">
        <v>42931.318472222221</v>
      </c>
      <c r="B58" s="20" t="s">
        <v>549</v>
      </c>
      <c r="C58" s="20" t="s">
        <v>680</v>
      </c>
      <c r="D58" s="138">
        <v>2560000</v>
      </c>
      <c r="E58" s="20" t="s">
        <v>657</v>
      </c>
      <c r="F58" s="20" t="s">
        <v>360</v>
      </c>
      <c r="G58" s="8" t="str">
        <f t="shared" si="0"/>
        <v>MACDONALD THOMAS</v>
      </c>
    </row>
    <row r="59" spans="1:7" x14ac:dyDescent="0.25">
      <c r="A59" s="8">
        <v>42931.318749999999</v>
      </c>
      <c r="B59" s="20" t="s">
        <v>545</v>
      </c>
      <c r="C59" s="20" t="s">
        <v>681</v>
      </c>
      <c r="D59" s="138">
        <v>2600000</v>
      </c>
      <c r="E59" s="20" t="s">
        <v>644</v>
      </c>
      <c r="F59" s="20" t="s">
        <v>645</v>
      </c>
      <c r="G59" s="8" t="str">
        <f t="shared" si="0"/>
        <v>DAVIDSON DAVID</v>
      </c>
    </row>
    <row r="60" spans="1:7" x14ac:dyDescent="0.25">
      <c r="A60" s="8">
        <v>42931.319340277776</v>
      </c>
      <c r="B60" s="20" t="s">
        <v>484</v>
      </c>
      <c r="C60" s="20" t="s">
        <v>682</v>
      </c>
      <c r="D60" s="138">
        <v>1990000</v>
      </c>
      <c r="E60" s="20" t="s">
        <v>383</v>
      </c>
      <c r="F60" s="20" t="s">
        <v>512</v>
      </c>
      <c r="G60" s="8" t="str">
        <f t="shared" si="0"/>
        <v>DAVIS WENDY</v>
      </c>
    </row>
    <row r="61" spans="1:7" x14ac:dyDescent="0.25">
      <c r="A61" s="8">
        <v>42931.329189814816</v>
      </c>
      <c r="B61" s="20" t="s">
        <v>641</v>
      </c>
      <c r="C61" s="20" t="s">
        <v>683</v>
      </c>
      <c r="D61" s="138">
        <v>1100000</v>
      </c>
      <c r="E61" s="20" t="s">
        <v>635</v>
      </c>
      <c r="F61" s="20" t="s">
        <v>636</v>
      </c>
      <c r="G61" s="8" t="str">
        <f t="shared" si="0"/>
        <v>GEBRETEKLE DAGNEW</v>
      </c>
    </row>
    <row r="62" spans="1:7" x14ac:dyDescent="0.25">
      <c r="A62" s="8">
        <v>42931.332546296297</v>
      </c>
      <c r="B62" s="20" t="s">
        <v>547</v>
      </c>
      <c r="C62" s="20" t="s">
        <v>684</v>
      </c>
      <c r="D62" s="138">
        <v>2560000</v>
      </c>
      <c r="E62" s="20" t="s">
        <v>657</v>
      </c>
      <c r="F62" s="20" t="s">
        <v>360</v>
      </c>
      <c r="G62" s="8" t="str">
        <f t="shared" si="0"/>
        <v>MACDONALD THOMAS</v>
      </c>
    </row>
    <row r="63" spans="1:7" x14ac:dyDescent="0.25">
      <c r="A63" s="8">
        <v>42931.339872685188</v>
      </c>
      <c r="B63" s="20" t="s">
        <v>481</v>
      </c>
      <c r="C63" s="20" t="s">
        <v>685</v>
      </c>
      <c r="D63" s="138">
        <v>1800000</v>
      </c>
      <c r="E63" s="20" t="s">
        <v>627</v>
      </c>
      <c r="F63" s="20" t="s">
        <v>628</v>
      </c>
      <c r="G63" s="8" t="str">
        <f t="shared" si="0"/>
        <v>CHANDLER KELVIN</v>
      </c>
    </row>
    <row r="64" spans="1:7" x14ac:dyDescent="0.25">
      <c r="A64" s="26">
        <v>42931.340567129628</v>
      </c>
      <c r="B64" s="20" t="s">
        <v>361</v>
      </c>
      <c r="C64" s="20" t="s">
        <v>686</v>
      </c>
      <c r="D64" s="138">
        <v>2970000</v>
      </c>
      <c r="E64" s="20" t="s">
        <v>370</v>
      </c>
      <c r="F64" s="20" t="s">
        <v>371</v>
      </c>
      <c r="G64" s="8" t="str">
        <f t="shared" si="0"/>
        <v>GUZMAN DANNY</v>
      </c>
    </row>
    <row r="65" spans="1:7" x14ac:dyDescent="0.25">
      <c r="A65" s="8">
        <v>42931.341145833336</v>
      </c>
      <c r="B65" s="20" t="s">
        <v>587</v>
      </c>
      <c r="C65" s="20" t="s">
        <v>687</v>
      </c>
      <c r="D65" s="138">
        <v>2270000</v>
      </c>
      <c r="E65" s="20" t="s">
        <v>638</v>
      </c>
      <c r="F65" s="20" t="s">
        <v>639</v>
      </c>
      <c r="G65" s="8" t="str">
        <f t="shared" si="0"/>
        <v>BROWN JACOB</v>
      </c>
    </row>
    <row r="66" spans="1:7" x14ac:dyDescent="0.25">
      <c r="A66" s="8">
        <v>42931.350219907406</v>
      </c>
      <c r="B66" s="20" t="s">
        <v>471</v>
      </c>
      <c r="C66" s="20" t="s">
        <v>688</v>
      </c>
      <c r="D66" s="138">
        <v>2010000</v>
      </c>
      <c r="E66" s="20" t="s">
        <v>620</v>
      </c>
      <c r="F66" s="20" t="s">
        <v>621</v>
      </c>
      <c r="G66" s="8" t="str">
        <f t="shared" si="0"/>
        <v>MAELZER KURT</v>
      </c>
    </row>
    <row r="67" spans="1:7" x14ac:dyDescent="0.25">
      <c r="A67" s="8">
        <v>42931.359872685185</v>
      </c>
      <c r="B67" s="20" t="s">
        <v>549</v>
      </c>
      <c r="C67" s="20" t="s">
        <v>689</v>
      </c>
      <c r="D67" s="138">
        <v>2560000</v>
      </c>
      <c r="E67" s="20" t="s">
        <v>657</v>
      </c>
      <c r="F67" s="20" t="s">
        <v>360</v>
      </c>
      <c r="G67" s="8" t="str">
        <f t="shared" ref="G67:G130" si="1">E67&amp;" "&amp;F67</f>
        <v>MACDONALD THOMAS</v>
      </c>
    </row>
    <row r="68" spans="1:7" x14ac:dyDescent="0.25">
      <c r="A68" s="8">
        <v>42931.359930555554</v>
      </c>
      <c r="B68" s="20" t="s">
        <v>552</v>
      </c>
      <c r="C68" s="20" t="s">
        <v>690</v>
      </c>
      <c r="D68" s="138">
        <v>1100000</v>
      </c>
      <c r="E68" s="20" t="s">
        <v>635</v>
      </c>
      <c r="F68" s="20" t="s">
        <v>636</v>
      </c>
      <c r="G68" s="8" t="str">
        <f t="shared" si="1"/>
        <v>GEBRETEKLE DAGNEW</v>
      </c>
    </row>
    <row r="69" spans="1:7" x14ac:dyDescent="0.25">
      <c r="A69" s="8">
        <v>42931.360277777778</v>
      </c>
      <c r="B69" s="20" t="s">
        <v>477</v>
      </c>
      <c r="C69" s="20" t="s">
        <v>593</v>
      </c>
      <c r="D69" s="138">
        <v>1990000</v>
      </c>
      <c r="E69" s="20" t="s">
        <v>383</v>
      </c>
      <c r="F69" s="20" t="s">
        <v>512</v>
      </c>
      <c r="G69" s="8" t="str">
        <f t="shared" si="1"/>
        <v>DAVIS WENDY</v>
      </c>
    </row>
    <row r="70" spans="1:7" x14ac:dyDescent="0.25">
      <c r="A70" s="8">
        <v>42931.360393518517</v>
      </c>
      <c r="B70" s="20" t="s">
        <v>337</v>
      </c>
      <c r="C70" s="20" t="s">
        <v>691</v>
      </c>
      <c r="D70" s="138">
        <v>2600000</v>
      </c>
      <c r="E70" s="20" t="s">
        <v>644</v>
      </c>
      <c r="F70" s="20" t="s">
        <v>645</v>
      </c>
      <c r="G70" s="8" t="str">
        <f t="shared" si="1"/>
        <v>DAVIDSON DAVID</v>
      </c>
    </row>
    <row r="71" spans="1:7" x14ac:dyDescent="0.25">
      <c r="A71" s="8">
        <v>42931.371435185189</v>
      </c>
      <c r="B71" s="20" t="s">
        <v>550</v>
      </c>
      <c r="C71" s="20" t="s">
        <v>692</v>
      </c>
      <c r="D71" s="138">
        <v>1830000</v>
      </c>
      <c r="E71" s="20" t="s">
        <v>624</v>
      </c>
      <c r="F71" s="20" t="s">
        <v>625</v>
      </c>
      <c r="G71" s="8" t="str">
        <f t="shared" si="1"/>
        <v>YORK EDGAR</v>
      </c>
    </row>
    <row r="72" spans="1:7" x14ac:dyDescent="0.25">
      <c r="A72" s="8">
        <v>42931.373402777775</v>
      </c>
      <c r="B72" s="20" t="s">
        <v>547</v>
      </c>
      <c r="C72" s="20" t="s">
        <v>693</v>
      </c>
      <c r="D72" s="138">
        <v>2560000</v>
      </c>
      <c r="E72" s="20" t="s">
        <v>657</v>
      </c>
      <c r="F72" s="20" t="s">
        <v>360</v>
      </c>
      <c r="G72" s="8" t="str">
        <f t="shared" si="1"/>
        <v>MACDONALD THOMAS</v>
      </c>
    </row>
    <row r="73" spans="1:7" x14ac:dyDescent="0.25">
      <c r="A73" s="8">
        <v>42931.379780092589</v>
      </c>
      <c r="B73" s="20" t="s">
        <v>589</v>
      </c>
      <c r="C73" s="20" t="s">
        <v>694</v>
      </c>
      <c r="D73" s="138">
        <v>2270000</v>
      </c>
      <c r="E73" s="20" t="s">
        <v>638</v>
      </c>
      <c r="F73" s="20" t="s">
        <v>639</v>
      </c>
      <c r="G73" s="8" t="str">
        <f t="shared" si="1"/>
        <v>BROWN JACOB</v>
      </c>
    </row>
    <row r="74" spans="1:7" x14ac:dyDescent="0.25">
      <c r="A74" s="8">
        <v>42931.381157407406</v>
      </c>
      <c r="B74" s="20" t="s">
        <v>367</v>
      </c>
      <c r="C74" s="20" t="s">
        <v>695</v>
      </c>
      <c r="D74" s="138">
        <v>2970000</v>
      </c>
      <c r="E74" s="20" t="s">
        <v>370</v>
      </c>
      <c r="F74" s="20" t="s">
        <v>371</v>
      </c>
      <c r="G74" s="8" t="str">
        <f t="shared" si="1"/>
        <v>GUZMAN DANNY</v>
      </c>
    </row>
    <row r="75" spans="1:7" x14ac:dyDescent="0.25">
      <c r="A75" s="8">
        <v>42931.387442129628</v>
      </c>
      <c r="B75" s="20" t="s">
        <v>488</v>
      </c>
      <c r="C75" s="20" t="s">
        <v>696</v>
      </c>
      <c r="D75" s="138">
        <v>2010000</v>
      </c>
      <c r="E75" s="20" t="s">
        <v>620</v>
      </c>
      <c r="F75" s="20" t="s">
        <v>621</v>
      </c>
      <c r="G75" s="8" t="str">
        <f t="shared" si="1"/>
        <v>MAELZER KURT</v>
      </c>
    </row>
    <row r="76" spans="1:7" x14ac:dyDescent="0.25">
      <c r="A76" s="8">
        <v>42931.38962962963</v>
      </c>
      <c r="B76" s="20" t="s">
        <v>547</v>
      </c>
      <c r="C76" s="20" t="s">
        <v>693</v>
      </c>
      <c r="D76" s="138">
        <v>2560000</v>
      </c>
      <c r="E76" s="20" t="s">
        <v>657</v>
      </c>
      <c r="F76" s="20" t="s">
        <v>360</v>
      </c>
      <c r="G76" s="8" t="str">
        <f t="shared" si="1"/>
        <v>MACDONALD THOMAS</v>
      </c>
    </row>
    <row r="77" spans="1:7" x14ac:dyDescent="0.25">
      <c r="A77" s="8">
        <v>42931.392592592594</v>
      </c>
      <c r="B77" s="20" t="s">
        <v>484</v>
      </c>
      <c r="C77" s="20" t="s">
        <v>697</v>
      </c>
      <c r="D77" s="138">
        <v>1990000</v>
      </c>
      <c r="E77" s="20" t="s">
        <v>383</v>
      </c>
      <c r="F77" s="20" t="s">
        <v>512</v>
      </c>
      <c r="G77" s="8" t="str">
        <f t="shared" si="1"/>
        <v>DAVIS WENDY</v>
      </c>
    </row>
    <row r="78" spans="1:7" x14ac:dyDescent="0.25">
      <c r="A78" s="8">
        <v>42931.393043981479</v>
      </c>
      <c r="B78" s="20" t="s">
        <v>545</v>
      </c>
      <c r="C78" s="20" t="s">
        <v>698</v>
      </c>
      <c r="D78" s="138">
        <v>2600000</v>
      </c>
      <c r="E78" s="20" t="s">
        <v>644</v>
      </c>
      <c r="F78" s="20" t="s">
        <v>645</v>
      </c>
      <c r="G78" s="8" t="str">
        <f t="shared" si="1"/>
        <v>DAVIDSON DAVID</v>
      </c>
    </row>
    <row r="79" spans="1:7" x14ac:dyDescent="0.25">
      <c r="A79" s="8">
        <v>42931.400914351849</v>
      </c>
      <c r="B79" s="20" t="s">
        <v>481</v>
      </c>
      <c r="C79" s="20" t="s">
        <v>699</v>
      </c>
      <c r="D79" s="138">
        <v>1830000</v>
      </c>
      <c r="E79" s="20" t="s">
        <v>624</v>
      </c>
      <c r="F79" s="20" t="s">
        <v>625</v>
      </c>
      <c r="G79" s="8" t="str">
        <f t="shared" si="1"/>
        <v>YORK EDGAR</v>
      </c>
    </row>
    <row r="80" spans="1:7" x14ac:dyDescent="0.25">
      <c r="A80" s="8">
        <v>42931.401203703703</v>
      </c>
      <c r="B80" s="20" t="s">
        <v>549</v>
      </c>
      <c r="C80" s="20" t="s">
        <v>700</v>
      </c>
      <c r="D80" s="138">
        <v>2560000</v>
      </c>
      <c r="E80" s="20" t="s">
        <v>657</v>
      </c>
      <c r="F80" s="20" t="s">
        <v>360</v>
      </c>
      <c r="G80" s="8" t="str">
        <f t="shared" si="1"/>
        <v>MACDONALD THOMAS</v>
      </c>
    </row>
    <row r="81" spans="1:7" x14ac:dyDescent="0.25">
      <c r="A81" s="8">
        <v>42931.402962962966</v>
      </c>
      <c r="B81" s="20" t="s">
        <v>641</v>
      </c>
      <c r="C81" s="20" t="s">
        <v>701</v>
      </c>
      <c r="D81" s="138">
        <v>1100000</v>
      </c>
      <c r="E81" s="20" t="s">
        <v>635</v>
      </c>
      <c r="F81" s="20" t="s">
        <v>636</v>
      </c>
      <c r="G81" s="8" t="str">
        <f t="shared" si="1"/>
        <v>GEBRETEKLE DAGNEW</v>
      </c>
    </row>
    <row r="82" spans="1:7" x14ac:dyDescent="0.25">
      <c r="A82" s="8">
        <v>42931.413553240738</v>
      </c>
      <c r="B82" s="20" t="s">
        <v>361</v>
      </c>
      <c r="C82" s="20" t="s">
        <v>702</v>
      </c>
      <c r="D82" s="138">
        <v>2970000</v>
      </c>
      <c r="E82" s="20" t="s">
        <v>370</v>
      </c>
      <c r="F82" s="20" t="s">
        <v>371</v>
      </c>
      <c r="G82" s="8" t="str">
        <f t="shared" si="1"/>
        <v>GUZMAN DANNY</v>
      </c>
    </row>
    <row r="83" spans="1:7" x14ac:dyDescent="0.25">
      <c r="A83" s="8">
        <v>42931.414282407408</v>
      </c>
      <c r="B83" s="20" t="s">
        <v>587</v>
      </c>
      <c r="C83" s="20" t="s">
        <v>703</v>
      </c>
      <c r="D83" s="138">
        <v>2270000</v>
      </c>
      <c r="E83" s="20" t="s">
        <v>638</v>
      </c>
      <c r="F83" s="20" t="s">
        <v>639</v>
      </c>
      <c r="G83" s="8" t="str">
        <f t="shared" si="1"/>
        <v>BROWN JACOB</v>
      </c>
    </row>
    <row r="84" spans="1:7" x14ac:dyDescent="0.25">
      <c r="A84" s="8">
        <v>42931.423391203702</v>
      </c>
      <c r="B84" s="20" t="s">
        <v>547</v>
      </c>
      <c r="C84" s="20" t="s">
        <v>704</v>
      </c>
      <c r="D84" s="138">
        <v>2560000</v>
      </c>
      <c r="E84" s="20" t="s">
        <v>657</v>
      </c>
      <c r="F84" s="20" t="s">
        <v>360</v>
      </c>
      <c r="G84" s="8" t="str">
        <f t="shared" si="1"/>
        <v>MACDONALD THOMAS</v>
      </c>
    </row>
    <row r="85" spans="1:7" x14ac:dyDescent="0.25">
      <c r="A85" s="8">
        <v>42931.424247685187</v>
      </c>
      <c r="B85" s="20" t="s">
        <v>471</v>
      </c>
      <c r="C85" s="20" t="s">
        <v>705</v>
      </c>
      <c r="D85" s="138">
        <v>3010000</v>
      </c>
      <c r="E85" s="20" t="s">
        <v>551</v>
      </c>
      <c r="F85" s="20" t="s">
        <v>474</v>
      </c>
      <c r="G85" s="8" t="str">
        <f t="shared" si="1"/>
        <v>SULLIVAN BRANDON</v>
      </c>
    </row>
    <row r="86" spans="1:7" x14ac:dyDescent="0.25">
      <c r="A86" s="8">
        <v>42931.433020833334</v>
      </c>
      <c r="B86" s="20" t="s">
        <v>477</v>
      </c>
      <c r="C86" s="20" t="s">
        <v>595</v>
      </c>
      <c r="D86" s="138">
        <v>1990000</v>
      </c>
      <c r="E86" s="20" t="s">
        <v>383</v>
      </c>
      <c r="F86" s="20" t="s">
        <v>512</v>
      </c>
      <c r="G86" s="8" t="str">
        <f t="shared" si="1"/>
        <v>DAVIS WENDY</v>
      </c>
    </row>
    <row r="87" spans="1:7" x14ac:dyDescent="0.25">
      <c r="A87" s="8">
        <v>42931.433692129627</v>
      </c>
      <c r="B87" s="20" t="s">
        <v>337</v>
      </c>
      <c r="C87" s="20" t="s">
        <v>594</v>
      </c>
      <c r="D87" s="138">
        <v>2600000</v>
      </c>
      <c r="E87" s="20" t="s">
        <v>644</v>
      </c>
      <c r="F87" s="20" t="s">
        <v>645</v>
      </c>
      <c r="G87" s="8" t="str">
        <f t="shared" si="1"/>
        <v>DAVIDSON DAVID</v>
      </c>
    </row>
    <row r="88" spans="1:7" x14ac:dyDescent="0.25">
      <c r="A88" s="8">
        <v>42931.434872685182</v>
      </c>
      <c r="B88" s="20" t="s">
        <v>552</v>
      </c>
      <c r="C88" s="20" t="s">
        <v>706</v>
      </c>
      <c r="D88" s="138">
        <v>1100000</v>
      </c>
      <c r="E88" s="20" t="s">
        <v>635</v>
      </c>
      <c r="F88" s="20" t="s">
        <v>636</v>
      </c>
      <c r="G88" s="8" t="str">
        <f t="shared" si="1"/>
        <v>GEBRETEKLE DAGNEW</v>
      </c>
    </row>
    <row r="89" spans="1:7" x14ac:dyDescent="0.25">
      <c r="A89" s="8">
        <v>42931.443668981483</v>
      </c>
      <c r="B89" s="20" t="s">
        <v>549</v>
      </c>
      <c r="C89" s="20" t="s">
        <v>707</v>
      </c>
      <c r="D89" s="138">
        <v>2560000</v>
      </c>
      <c r="E89" s="20" t="s">
        <v>657</v>
      </c>
      <c r="F89" s="20" t="s">
        <v>360</v>
      </c>
      <c r="G89" s="8" t="str">
        <f t="shared" si="1"/>
        <v>MACDONALD THOMAS</v>
      </c>
    </row>
    <row r="90" spans="1:7" x14ac:dyDescent="0.25">
      <c r="A90" s="8">
        <v>42931.443715277775</v>
      </c>
      <c r="B90" s="20" t="s">
        <v>550</v>
      </c>
      <c r="C90" s="20" t="s">
        <v>708</v>
      </c>
      <c r="D90" s="138">
        <v>880000</v>
      </c>
      <c r="E90" s="20" t="s">
        <v>709</v>
      </c>
      <c r="F90" s="20" t="s">
        <v>192</v>
      </c>
      <c r="G90" s="8" t="str">
        <f t="shared" si="1"/>
        <v>STEWART MICHAEL</v>
      </c>
    </row>
    <row r="91" spans="1:7" x14ac:dyDescent="0.25">
      <c r="A91" s="8">
        <v>42931.446018518516</v>
      </c>
      <c r="B91" s="20" t="s">
        <v>589</v>
      </c>
      <c r="C91" s="20" t="s">
        <v>710</v>
      </c>
      <c r="D91" s="138">
        <v>2270000</v>
      </c>
      <c r="E91" s="20" t="s">
        <v>638</v>
      </c>
      <c r="F91" s="20" t="s">
        <v>639</v>
      </c>
      <c r="G91" s="8" t="str">
        <f t="shared" si="1"/>
        <v>BROWN JACOB</v>
      </c>
    </row>
    <row r="92" spans="1:7" x14ac:dyDescent="0.25">
      <c r="A92" s="8">
        <v>42931.454722222225</v>
      </c>
      <c r="B92" s="20" t="s">
        <v>367</v>
      </c>
      <c r="C92" s="20" t="s">
        <v>711</v>
      </c>
      <c r="D92" s="138">
        <v>2970000</v>
      </c>
      <c r="E92" s="20" t="s">
        <v>370</v>
      </c>
      <c r="F92" s="20" t="s">
        <v>371</v>
      </c>
      <c r="G92" s="8" t="str">
        <f t="shared" si="1"/>
        <v>GUZMAN DANNY</v>
      </c>
    </row>
    <row r="93" spans="1:7" x14ac:dyDescent="0.25">
      <c r="A93" s="8">
        <v>42931.458680555559</v>
      </c>
      <c r="B93" s="20" t="s">
        <v>547</v>
      </c>
      <c r="C93" s="20" t="s">
        <v>712</v>
      </c>
      <c r="D93" s="138">
        <v>2560000</v>
      </c>
      <c r="E93" s="20" t="s">
        <v>657</v>
      </c>
      <c r="F93" s="20" t="s">
        <v>360</v>
      </c>
      <c r="G93" s="8" t="str">
        <f t="shared" si="1"/>
        <v>MACDONALD THOMAS</v>
      </c>
    </row>
    <row r="94" spans="1:7" x14ac:dyDescent="0.25">
      <c r="A94" s="8">
        <v>42931.458877314813</v>
      </c>
      <c r="B94" s="20" t="s">
        <v>488</v>
      </c>
      <c r="C94" s="20" t="s">
        <v>713</v>
      </c>
      <c r="D94" s="138">
        <v>3010000</v>
      </c>
      <c r="E94" s="20" t="s">
        <v>551</v>
      </c>
      <c r="F94" s="20" t="s">
        <v>474</v>
      </c>
      <c r="G94" s="8" t="str">
        <f t="shared" si="1"/>
        <v>SULLIVAN BRANDON</v>
      </c>
    </row>
    <row r="95" spans="1:7" x14ac:dyDescent="0.25">
      <c r="A95" s="8">
        <v>42931.466099537036</v>
      </c>
      <c r="B95" s="20" t="s">
        <v>545</v>
      </c>
      <c r="C95" s="20" t="s">
        <v>714</v>
      </c>
      <c r="D95" s="138">
        <v>2600000</v>
      </c>
      <c r="E95" s="20" t="s">
        <v>644</v>
      </c>
      <c r="F95" s="20" t="s">
        <v>645</v>
      </c>
      <c r="G95" s="8" t="str">
        <f t="shared" si="1"/>
        <v>DAVIDSON DAVID</v>
      </c>
    </row>
    <row r="96" spans="1:7" x14ac:dyDescent="0.25">
      <c r="A96" s="8">
        <v>42931.466608796298</v>
      </c>
      <c r="B96" s="20" t="s">
        <v>484</v>
      </c>
      <c r="C96" s="20" t="s">
        <v>715</v>
      </c>
      <c r="D96" s="138">
        <v>920000</v>
      </c>
      <c r="E96" s="20" t="s">
        <v>383</v>
      </c>
      <c r="F96" s="20" t="s">
        <v>192</v>
      </c>
      <c r="G96" s="8" t="str">
        <f t="shared" si="1"/>
        <v>DAVIS MICHAEL</v>
      </c>
    </row>
    <row r="97" spans="1:7" x14ac:dyDescent="0.25">
      <c r="A97" s="8">
        <v>42931.476076388892</v>
      </c>
      <c r="B97" s="20" t="s">
        <v>641</v>
      </c>
      <c r="C97" s="20" t="s">
        <v>716</v>
      </c>
      <c r="D97" s="138">
        <v>3120000</v>
      </c>
      <c r="E97" s="20" t="s">
        <v>717</v>
      </c>
      <c r="F97" s="20" t="s">
        <v>718</v>
      </c>
      <c r="G97" s="8" t="str">
        <f t="shared" si="1"/>
        <v>THOMPSON LESTER</v>
      </c>
    </row>
    <row r="98" spans="1:7" x14ac:dyDescent="0.25">
      <c r="A98" s="8">
        <v>42931.484733796293</v>
      </c>
      <c r="B98" s="20" t="s">
        <v>549</v>
      </c>
      <c r="C98" s="20" t="s">
        <v>719</v>
      </c>
      <c r="D98" s="138">
        <v>2560000</v>
      </c>
      <c r="E98" s="20" t="s">
        <v>657</v>
      </c>
      <c r="F98" s="20" t="s">
        <v>360</v>
      </c>
      <c r="G98" s="8" t="str">
        <f t="shared" si="1"/>
        <v>MACDONALD THOMAS</v>
      </c>
    </row>
    <row r="99" spans="1:7" x14ac:dyDescent="0.25">
      <c r="A99" s="8">
        <v>42931.486724537041</v>
      </c>
      <c r="B99" s="20" t="s">
        <v>481</v>
      </c>
      <c r="C99" s="20" t="s">
        <v>596</v>
      </c>
      <c r="D99" s="138">
        <v>880000</v>
      </c>
      <c r="E99" s="20" t="s">
        <v>709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42931.48710648148</v>
      </c>
      <c r="B100" s="20" t="s">
        <v>361</v>
      </c>
      <c r="C100" s="20" t="s">
        <v>597</v>
      </c>
      <c r="D100" s="138">
        <v>2970000</v>
      </c>
      <c r="E100" s="20" t="s">
        <v>370</v>
      </c>
      <c r="F100" s="20" t="s">
        <v>371</v>
      </c>
      <c r="G100" s="8" t="str">
        <f t="shared" si="1"/>
        <v>GUZMAN DANNY</v>
      </c>
    </row>
    <row r="101" spans="1:7" x14ac:dyDescent="0.25">
      <c r="A101" s="8">
        <v>42931.487500000003</v>
      </c>
      <c r="B101" s="20" t="s">
        <v>587</v>
      </c>
      <c r="C101" s="20" t="s">
        <v>720</v>
      </c>
      <c r="D101" s="138">
        <v>1770000</v>
      </c>
      <c r="E101" s="20" t="s">
        <v>721</v>
      </c>
      <c r="F101" s="20" t="s">
        <v>722</v>
      </c>
      <c r="G101" s="8" t="str">
        <f t="shared" si="1"/>
        <v>BRUDER RICHARD</v>
      </c>
    </row>
    <row r="102" spans="1:7" x14ac:dyDescent="0.25">
      <c r="A102" s="8">
        <v>42931.495567129627</v>
      </c>
      <c r="B102" s="20" t="s">
        <v>471</v>
      </c>
      <c r="C102" s="20" t="s">
        <v>723</v>
      </c>
      <c r="D102" s="138">
        <v>3010000</v>
      </c>
      <c r="E102" s="20" t="s">
        <v>551</v>
      </c>
      <c r="F102" s="20" t="s">
        <v>474</v>
      </c>
      <c r="G102" s="8" t="str">
        <f t="shared" si="1"/>
        <v>SULLIVAN BRANDON</v>
      </c>
    </row>
    <row r="103" spans="1:7" x14ac:dyDescent="0.25">
      <c r="A103" s="8">
        <v>42931.50708333333</v>
      </c>
      <c r="B103" s="20" t="s">
        <v>337</v>
      </c>
      <c r="C103" s="20" t="s">
        <v>724</v>
      </c>
      <c r="D103" s="138">
        <v>2370000</v>
      </c>
      <c r="E103" s="20" t="s">
        <v>515</v>
      </c>
      <c r="F103" s="20" t="s">
        <v>516</v>
      </c>
      <c r="G103" s="8" t="str">
        <f t="shared" si="1"/>
        <v>DELGADO DIANAH</v>
      </c>
    </row>
    <row r="104" spans="1:7" x14ac:dyDescent="0.25">
      <c r="A104" s="8">
        <v>42931.507569444446</v>
      </c>
      <c r="B104" s="20" t="s">
        <v>477</v>
      </c>
      <c r="C104" s="20" t="s">
        <v>725</v>
      </c>
      <c r="D104" s="138">
        <v>920000</v>
      </c>
      <c r="E104" s="20" t="s">
        <v>383</v>
      </c>
      <c r="F104" s="20" t="s">
        <v>192</v>
      </c>
      <c r="G104" s="8" t="str">
        <f t="shared" si="1"/>
        <v>DAVIS MICHAEL</v>
      </c>
    </row>
    <row r="105" spans="1:7" x14ac:dyDescent="0.25">
      <c r="A105" s="8">
        <v>42931.513935185183</v>
      </c>
      <c r="B105" s="20" t="s">
        <v>547</v>
      </c>
      <c r="C105" s="20" t="s">
        <v>726</v>
      </c>
      <c r="D105" s="138">
        <v>2560000</v>
      </c>
      <c r="E105" s="20" t="s">
        <v>657</v>
      </c>
      <c r="F105" s="20" t="s">
        <v>360</v>
      </c>
      <c r="G105" s="8" t="str">
        <f t="shared" si="1"/>
        <v>MACDONALD THOMAS</v>
      </c>
    </row>
    <row r="106" spans="1:7" x14ac:dyDescent="0.25">
      <c r="A106" s="8">
        <v>42931.517210648148</v>
      </c>
      <c r="B106" s="20" t="s">
        <v>552</v>
      </c>
      <c r="C106" s="20" t="s">
        <v>727</v>
      </c>
      <c r="D106" s="138">
        <v>3120000</v>
      </c>
      <c r="E106" s="20" t="s">
        <v>717</v>
      </c>
      <c r="F106" s="20" t="s">
        <v>718</v>
      </c>
      <c r="G106" s="8" t="str">
        <f t="shared" si="1"/>
        <v>THOMPSON LESTER</v>
      </c>
    </row>
    <row r="107" spans="1:7" x14ac:dyDescent="0.25">
      <c r="A107" s="8">
        <v>42931.519976851851</v>
      </c>
      <c r="B107" s="20" t="s">
        <v>550</v>
      </c>
      <c r="C107" s="20" t="s">
        <v>728</v>
      </c>
      <c r="D107" s="138">
        <v>880000</v>
      </c>
      <c r="E107" s="20" t="s">
        <v>709</v>
      </c>
      <c r="F107" s="20" t="s">
        <v>192</v>
      </c>
      <c r="G107" s="8" t="str">
        <f t="shared" si="1"/>
        <v>STEWART MICHAEL</v>
      </c>
    </row>
    <row r="108" spans="1:7" x14ac:dyDescent="0.25">
      <c r="A108" s="8">
        <v>42931.525868055556</v>
      </c>
      <c r="B108" s="20" t="s">
        <v>549</v>
      </c>
      <c r="C108" s="20" t="s">
        <v>729</v>
      </c>
      <c r="D108" s="138">
        <v>2560000</v>
      </c>
      <c r="E108" s="20" t="s">
        <v>657</v>
      </c>
      <c r="F108" s="20" t="s">
        <v>360</v>
      </c>
      <c r="G108" s="8" t="str">
        <f t="shared" si="1"/>
        <v>MACDONALD THOMAS</v>
      </c>
    </row>
    <row r="109" spans="1:7" x14ac:dyDescent="0.25">
      <c r="A109" s="8">
        <v>42931.526574074072</v>
      </c>
      <c r="B109" s="20" t="s">
        <v>589</v>
      </c>
      <c r="C109" s="20" t="s">
        <v>730</v>
      </c>
      <c r="D109" s="138">
        <v>1770000</v>
      </c>
      <c r="E109" s="20" t="s">
        <v>721</v>
      </c>
      <c r="F109" s="20" t="s">
        <v>722</v>
      </c>
      <c r="G109" s="8" t="str">
        <f t="shared" si="1"/>
        <v>BRUDER RICHARD</v>
      </c>
    </row>
    <row r="110" spans="1:7" x14ac:dyDescent="0.25">
      <c r="A110" s="8">
        <v>42931.528761574074</v>
      </c>
      <c r="B110" s="20" t="s">
        <v>367</v>
      </c>
      <c r="C110" s="20" t="s">
        <v>731</v>
      </c>
      <c r="D110" s="138">
        <v>2680000</v>
      </c>
      <c r="E110" s="20" t="s">
        <v>732</v>
      </c>
      <c r="F110" s="20" t="s">
        <v>733</v>
      </c>
      <c r="G110" s="8" t="str">
        <f t="shared" si="1"/>
        <v>DUNCAN SHEILA</v>
      </c>
    </row>
    <row r="111" spans="1:7" x14ac:dyDescent="0.25">
      <c r="A111" s="8">
        <v>42931.535393518519</v>
      </c>
      <c r="B111" s="20" t="s">
        <v>488</v>
      </c>
      <c r="C111" s="20" t="s">
        <v>734</v>
      </c>
      <c r="D111" s="138">
        <v>3010000</v>
      </c>
      <c r="E111" s="20" t="s">
        <v>551</v>
      </c>
      <c r="F111" s="20" t="s">
        <v>474</v>
      </c>
      <c r="G111" s="8" t="str">
        <f t="shared" si="1"/>
        <v>SULLIVAN BRANDON</v>
      </c>
    </row>
    <row r="112" spans="1:7" x14ac:dyDescent="0.25">
      <c r="A112" s="8">
        <v>42931.539618055554</v>
      </c>
      <c r="B112" s="20" t="s">
        <v>547</v>
      </c>
      <c r="C112" s="20" t="s">
        <v>726</v>
      </c>
      <c r="D112" s="138">
        <v>2560000</v>
      </c>
      <c r="E112" s="20" t="s">
        <v>657</v>
      </c>
      <c r="F112" s="20" t="s">
        <v>360</v>
      </c>
      <c r="G112" s="8" t="str">
        <f t="shared" si="1"/>
        <v>MACDONALD THOMAS</v>
      </c>
    </row>
    <row r="113" spans="1:7" x14ac:dyDescent="0.25">
      <c r="A113" s="8">
        <v>42931.540682870371</v>
      </c>
      <c r="B113" s="20" t="s">
        <v>484</v>
      </c>
      <c r="C113" s="20" t="s">
        <v>735</v>
      </c>
      <c r="D113" s="138">
        <v>920000</v>
      </c>
      <c r="E113" s="20" t="s">
        <v>383</v>
      </c>
      <c r="F113" s="20" t="s">
        <v>192</v>
      </c>
      <c r="G113" s="8" t="str">
        <f t="shared" si="1"/>
        <v>DAVIS MICHAEL</v>
      </c>
    </row>
    <row r="114" spans="1:7" x14ac:dyDescent="0.25">
      <c r="A114" s="8">
        <v>42931.547592592593</v>
      </c>
      <c r="B114" s="20" t="s">
        <v>545</v>
      </c>
      <c r="C114" s="20" t="s">
        <v>736</v>
      </c>
      <c r="D114" s="138">
        <v>2370000</v>
      </c>
      <c r="E114" s="20" t="s">
        <v>515</v>
      </c>
      <c r="F114" s="20" t="s">
        <v>516</v>
      </c>
      <c r="G114" s="8" t="str">
        <f t="shared" si="1"/>
        <v>DELGADO DIANAH</v>
      </c>
    </row>
    <row r="115" spans="1:7" x14ac:dyDescent="0.25">
      <c r="A115" s="8">
        <v>42931.549155092594</v>
      </c>
      <c r="B115" s="20" t="s">
        <v>641</v>
      </c>
      <c r="C115" s="20" t="s">
        <v>737</v>
      </c>
      <c r="D115" s="138">
        <v>3120000</v>
      </c>
      <c r="E115" s="20" t="s">
        <v>717</v>
      </c>
      <c r="F115" s="20" t="s">
        <v>718</v>
      </c>
      <c r="G115" s="8" t="str">
        <f t="shared" si="1"/>
        <v>THOMPSON LESTER</v>
      </c>
    </row>
    <row r="116" spans="1:7" x14ac:dyDescent="0.25">
      <c r="A116" s="8">
        <v>42931.559016203704</v>
      </c>
      <c r="B116" s="20" t="s">
        <v>587</v>
      </c>
      <c r="C116" s="20" t="s">
        <v>738</v>
      </c>
      <c r="D116" s="138">
        <v>1770000</v>
      </c>
      <c r="E116" s="20" t="s">
        <v>721</v>
      </c>
      <c r="F116" s="20" t="s">
        <v>722</v>
      </c>
      <c r="G116" s="8" t="str">
        <f t="shared" si="1"/>
        <v>BRUDER RICHARD</v>
      </c>
    </row>
    <row r="117" spans="1:7" x14ac:dyDescent="0.25">
      <c r="A117" s="8">
        <v>42931.559016203704</v>
      </c>
      <c r="B117" s="20" t="s">
        <v>481</v>
      </c>
      <c r="C117" s="20" t="s">
        <v>739</v>
      </c>
      <c r="D117" s="138">
        <v>880000</v>
      </c>
      <c r="E117" s="20" t="s">
        <v>709</v>
      </c>
      <c r="F117" s="20" t="s">
        <v>192</v>
      </c>
      <c r="G117" s="8" t="str">
        <f t="shared" si="1"/>
        <v>STEWART MICHAEL</v>
      </c>
    </row>
    <row r="118" spans="1:7" x14ac:dyDescent="0.25">
      <c r="A118" s="8">
        <v>42931.5627662037</v>
      </c>
      <c r="B118" s="20" t="s">
        <v>361</v>
      </c>
      <c r="C118" s="20" t="s">
        <v>740</v>
      </c>
      <c r="D118" s="138">
        <v>2680000</v>
      </c>
      <c r="E118" s="20" t="s">
        <v>732</v>
      </c>
      <c r="F118" s="20" t="s">
        <v>733</v>
      </c>
      <c r="G118" s="8" t="str">
        <f t="shared" si="1"/>
        <v>DUNCAN SHEILA</v>
      </c>
    </row>
    <row r="119" spans="1:7" x14ac:dyDescent="0.25">
      <c r="A119" s="8">
        <v>42931.567719907405</v>
      </c>
      <c r="B119" s="20" t="s">
        <v>549</v>
      </c>
      <c r="C119" s="20" t="s">
        <v>741</v>
      </c>
      <c r="D119" s="138">
        <v>2560000</v>
      </c>
      <c r="E119" s="20" t="s">
        <v>657</v>
      </c>
      <c r="F119" s="20" t="s">
        <v>360</v>
      </c>
      <c r="G119" s="8" t="str">
        <f t="shared" si="1"/>
        <v>MACDONALD THOMAS</v>
      </c>
    </row>
    <row r="120" spans="1:7" x14ac:dyDescent="0.25">
      <c r="A120" s="8">
        <v>42931.568888888891</v>
      </c>
      <c r="B120" s="20" t="s">
        <v>471</v>
      </c>
      <c r="C120" s="20" t="s">
        <v>742</v>
      </c>
      <c r="D120" s="138">
        <v>3010000</v>
      </c>
      <c r="E120" s="20" t="s">
        <v>551</v>
      </c>
      <c r="F120" s="20" t="s">
        <v>474</v>
      </c>
      <c r="G120" s="8" t="str">
        <f t="shared" si="1"/>
        <v>SULLIVAN BRANDON</v>
      </c>
    </row>
    <row r="121" spans="1:7" x14ac:dyDescent="0.25">
      <c r="A121" s="8">
        <v>42931.579594907409</v>
      </c>
      <c r="B121" s="20" t="s">
        <v>477</v>
      </c>
      <c r="C121" s="20" t="s">
        <v>743</v>
      </c>
      <c r="D121" s="138">
        <v>920000</v>
      </c>
      <c r="E121" s="20" t="s">
        <v>383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42931.579895833333</v>
      </c>
      <c r="B122" s="25" t="s">
        <v>337</v>
      </c>
      <c r="C122" s="20" t="s">
        <v>744</v>
      </c>
      <c r="D122" s="138">
        <v>2370000</v>
      </c>
      <c r="E122" s="20" t="s">
        <v>515</v>
      </c>
      <c r="F122" s="20" t="s">
        <v>516</v>
      </c>
      <c r="G122" s="8" t="str">
        <f t="shared" si="1"/>
        <v>DELGADO DIANAH</v>
      </c>
    </row>
    <row r="123" spans="1:7" x14ac:dyDescent="0.25">
      <c r="A123" s="8">
        <v>42931.582662037035</v>
      </c>
      <c r="B123" s="20" t="s">
        <v>547</v>
      </c>
      <c r="C123" s="20" t="s">
        <v>745</v>
      </c>
      <c r="D123" s="138">
        <v>2540000</v>
      </c>
      <c r="E123" s="20" t="s">
        <v>746</v>
      </c>
      <c r="F123" s="20" t="s">
        <v>747</v>
      </c>
      <c r="G123" s="8" t="str">
        <f t="shared" si="1"/>
        <v>MCREYNOLDS KYLE</v>
      </c>
    </row>
    <row r="124" spans="1:7" x14ac:dyDescent="0.25">
      <c r="A124" s="8">
        <v>42931.589097222219</v>
      </c>
      <c r="B124" s="20" t="s">
        <v>552</v>
      </c>
      <c r="C124" s="20" t="s">
        <v>598</v>
      </c>
      <c r="D124" s="138">
        <v>3120000</v>
      </c>
      <c r="E124" s="20" t="s">
        <v>717</v>
      </c>
      <c r="F124" s="20" t="s">
        <v>718</v>
      </c>
      <c r="G124" s="8" t="str">
        <f t="shared" si="1"/>
        <v>THOMPSON LESTER</v>
      </c>
    </row>
    <row r="125" spans="1:7" x14ac:dyDescent="0.25">
      <c r="A125" s="8">
        <v>42931.592199074075</v>
      </c>
      <c r="B125" s="20" t="s">
        <v>550</v>
      </c>
      <c r="C125" s="20" t="s">
        <v>748</v>
      </c>
      <c r="D125" s="138">
        <v>880000</v>
      </c>
      <c r="E125" s="20" t="s">
        <v>709</v>
      </c>
      <c r="F125" s="20" t="s">
        <v>192</v>
      </c>
      <c r="G125" s="8" t="str">
        <f t="shared" si="1"/>
        <v>STEWART MICHAEL</v>
      </c>
    </row>
    <row r="126" spans="1:7" x14ac:dyDescent="0.25">
      <c r="A126" s="8">
        <v>42931.598854166667</v>
      </c>
      <c r="B126" s="20" t="s">
        <v>589</v>
      </c>
      <c r="C126" s="20" t="s">
        <v>749</v>
      </c>
      <c r="D126" s="138">
        <v>1770000</v>
      </c>
      <c r="E126" s="20" t="s">
        <v>721</v>
      </c>
      <c r="F126" s="20" t="s">
        <v>722</v>
      </c>
      <c r="G126" s="8" t="str">
        <f t="shared" si="1"/>
        <v>BRUDER RICHARD</v>
      </c>
    </row>
    <row r="127" spans="1:7" x14ac:dyDescent="0.25">
      <c r="A127" s="8">
        <v>42931.599374999998</v>
      </c>
      <c r="B127" s="20" t="s">
        <v>367</v>
      </c>
      <c r="C127" s="20" t="s">
        <v>750</v>
      </c>
      <c r="D127" s="138">
        <v>2680000</v>
      </c>
      <c r="E127" s="20" t="s">
        <v>732</v>
      </c>
      <c r="F127" s="20" t="s">
        <v>733</v>
      </c>
      <c r="G127" s="8" t="str">
        <f t="shared" si="1"/>
        <v>DUNCAN SHEILA</v>
      </c>
    </row>
    <row r="128" spans="1:7" x14ac:dyDescent="0.25">
      <c r="A128" s="8">
        <v>42931.606956018521</v>
      </c>
      <c r="B128" s="20" t="s">
        <v>488</v>
      </c>
      <c r="C128" s="20" t="s">
        <v>599</v>
      </c>
      <c r="D128" s="138">
        <v>3010000</v>
      </c>
      <c r="E128" s="20" t="s">
        <v>551</v>
      </c>
      <c r="F128" s="20" t="s">
        <v>474</v>
      </c>
      <c r="G128" s="8" t="str">
        <f t="shared" si="1"/>
        <v>SULLIVAN BRANDON</v>
      </c>
    </row>
    <row r="129" spans="1:7" x14ac:dyDescent="0.25">
      <c r="A129" s="8">
        <v>42931.6096875</v>
      </c>
      <c r="B129" s="20" t="s">
        <v>549</v>
      </c>
      <c r="C129" s="20" t="s">
        <v>751</v>
      </c>
      <c r="D129" s="138">
        <v>2540000</v>
      </c>
      <c r="E129" s="20" t="s">
        <v>746</v>
      </c>
      <c r="F129" s="20" t="s">
        <v>747</v>
      </c>
      <c r="G129" s="8" t="str">
        <f t="shared" si="1"/>
        <v>MCREYNOLDS KYLE</v>
      </c>
    </row>
    <row r="130" spans="1:7" x14ac:dyDescent="0.25">
      <c r="A130" s="8">
        <v>42931.613495370373</v>
      </c>
      <c r="B130" s="20" t="s">
        <v>484</v>
      </c>
      <c r="C130" s="20" t="s">
        <v>752</v>
      </c>
      <c r="D130" s="138">
        <v>920000</v>
      </c>
      <c r="E130" s="20" t="s">
        <v>383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42931.616724537038</v>
      </c>
      <c r="B131" s="20" t="s">
        <v>545</v>
      </c>
      <c r="C131" s="20" t="s">
        <v>753</v>
      </c>
      <c r="D131" s="138">
        <v>2370000</v>
      </c>
      <c r="E131" s="20" t="s">
        <v>515</v>
      </c>
      <c r="F131" s="20" t="s">
        <v>516</v>
      </c>
      <c r="G131" s="8" t="str">
        <f t="shared" ref="G131:G194" si="2">E131&amp;" "&amp;F131</f>
        <v>DELGADO DIANAH</v>
      </c>
    </row>
    <row r="132" spans="1:7" x14ac:dyDescent="0.25">
      <c r="A132" s="8">
        <v>42931.622604166667</v>
      </c>
      <c r="B132" s="20" t="s">
        <v>641</v>
      </c>
      <c r="C132" s="20" t="s">
        <v>754</v>
      </c>
      <c r="D132" s="138">
        <v>3120000</v>
      </c>
      <c r="E132" s="20" t="s">
        <v>717</v>
      </c>
      <c r="F132" s="20" t="s">
        <v>718</v>
      </c>
      <c r="G132" s="8" t="str">
        <f t="shared" si="2"/>
        <v>THOMPSON LESTER</v>
      </c>
    </row>
    <row r="133" spans="1:7" x14ac:dyDescent="0.25">
      <c r="A133" s="8">
        <v>42931.623796296299</v>
      </c>
      <c r="B133" s="20" t="s">
        <v>547</v>
      </c>
      <c r="C133" s="20" t="s">
        <v>755</v>
      </c>
      <c r="D133" s="138">
        <v>2540000</v>
      </c>
      <c r="E133" s="20" t="s">
        <v>746</v>
      </c>
      <c r="F133" s="20" t="s">
        <v>747</v>
      </c>
      <c r="G133" s="8" t="str">
        <f t="shared" si="2"/>
        <v>MCREYNOLDS KYLE</v>
      </c>
    </row>
    <row r="134" spans="1:7" x14ac:dyDescent="0.25">
      <c r="A134" s="8">
        <v>42931.630937499998</v>
      </c>
      <c r="B134" s="20" t="s">
        <v>587</v>
      </c>
      <c r="C134" s="20" t="s">
        <v>756</v>
      </c>
      <c r="D134" s="138">
        <v>1770000</v>
      </c>
      <c r="E134" s="20" t="s">
        <v>721</v>
      </c>
      <c r="F134" s="20" t="s">
        <v>722</v>
      </c>
      <c r="G134" s="8" t="str">
        <f t="shared" si="2"/>
        <v>BRUDER RICHARD</v>
      </c>
    </row>
    <row r="135" spans="1:7" x14ac:dyDescent="0.25">
      <c r="A135" s="8">
        <v>42931.631550925929</v>
      </c>
      <c r="B135" s="20" t="s">
        <v>481</v>
      </c>
      <c r="C135" s="20" t="s">
        <v>757</v>
      </c>
      <c r="D135" s="138">
        <v>880000</v>
      </c>
      <c r="E135" s="20" t="s">
        <v>709</v>
      </c>
      <c r="F135" s="20" t="s">
        <v>192</v>
      </c>
      <c r="G135" s="8" t="str">
        <f t="shared" si="2"/>
        <v>STEWART MICHAEL</v>
      </c>
    </row>
    <row r="136" spans="1:7" x14ac:dyDescent="0.25">
      <c r="A136" s="8">
        <v>42931.637592592589</v>
      </c>
      <c r="B136" s="20" t="s">
        <v>361</v>
      </c>
      <c r="C136" s="20" t="s">
        <v>758</v>
      </c>
      <c r="D136" s="138">
        <v>2680000</v>
      </c>
      <c r="E136" s="20" t="s">
        <v>732</v>
      </c>
      <c r="F136" s="20" t="s">
        <v>733</v>
      </c>
      <c r="G136" s="8" t="str">
        <f t="shared" si="2"/>
        <v>DUNCAN SHEILA</v>
      </c>
    </row>
    <row r="137" spans="1:7" x14ac:dyDescent="0.25">
      <c r="A137" s="8">
        <v>42931.643171296295</v>
      </c>
      <c r="B137" s="20" t="s">
        <v>471</v>
      </c>
      <c r="C137" s="20" t="s">
        <v>600</v>
      </c>
      <c r="D137" s="138">
        <v>3010000</v>
      </c>
      <c r="E137" s="20" t="s">
        <v>551</v>
      </c>
      <c r="F137" s="20" t="s">
        <v>474</v>
      </c>
      <c r="G137" s="8" t="str">
        <f t="shared" si="2"/>
        <v>SULLIVAN BRANDON</v>
      </c>
    </row>
    <row r="138" spans="1:7" x14ac:dyDescent="0.25">
      <c r="A138" s="8">
        <v>42931.649756944447</v>
      </c>
      <c r="B138" s="20" t="s">
        <v>472</v>
      </c>
      <c r="C138" s="20" t="s">
        <v>626</v>
      </c>
      <c r="D138" s="138">
        <v>3130000</v>
      </c>
      <c r="E138" s="20" t="s">
        <v>375</v>
      </c>
      <c r="F138" s="20" t="s">
        <v>376</v>
      </c>
      <c r="G138" s="8" t="str">
        <f t="shared" si="2"/>
        <v>ZEWDU DEREJE</v>
      </c>
    </row>
    <row r="139" spans="1:7" x14ac:dyDescent="0.25">
      <c r="A139" s="8">
        <v>42931.652199074073</v>
      </c>
      <c r="B139" s="20" t="s">
        <v>549</v>
      </c>
      <c r="C139" s="20" t="s">
        <v>759</v>
      </c>
      <c r="D139" s="138">
        <v>2540000</v>
      </c>
      <c r="E139" s="20" t="s">
        <v>746</v>
      </c>
      <c r="F139" s="20" t="s">
        <v>747</v>
      </c>
      <c r="G139" s="8" t="str">
        <f t="shared" si="2"/>
        <v>MCREYNOLDS KYLE</v>
      </c>
    </row>
    <row r="140" spans="1:7" x14ac:dyDescent="0.25">
      <c r="A140" s="8">
        <v>42931.652256944442</v>
      </c>
      <c r="B140" s="20" t="s">
        <v>477</v>
      </c>
      <c r="C140" s="20" t="s">
        <v>760</v>
      </c>
      <c r="D140" s="138">
        <v>920000</v>
      </c>
      <c r="E140" s="20" t="s">
        <v>383</v>
      </c>
      <c r="F140" s="20" t="s">
        <v>192</v>
      </c>
      <c r="G140" s="8" t="str">
        <f t="shared" si="2"/>
        <v>DAVIS MICHAEL</v>
      </c>
    </row>
    <row r="141" spans="1:7" x14ac:dyDescent="0.25">
      <c r="A141" s="8">
        <v>42931.653402777774</v>
      </c>
      <c r="B141" s="20" t="s">
        <v>337</v>
      </c>
      <c r="C141" s="20" t="s">
        <v>601</v>
      </c>
      <c r="D141" s="138">
        <v>2370000</v>
      </c>
      <c r="E141" s="20" t="s">
        <v>515</v>
      </c>
      <c r="F141" s="20" t="s">
        <v>516</v>
      </c>
      <c r="G141" s="8" t="str">
        <f t="shared" si="2"/>
        <v>DELGADO DIANAH</v>
      </c>
    </row>
    <row r="142" spans="1:7" x14ac:dyDescent="0.25">
      <c r="A142" s="8">
        <v>42931.662893518522</v>
      </c>
      <c r="B142" s="20" t="s">
        <v>552</v>
      </c>
      <c r="C142" s="20" t="s">
        <v>761</v>
      </c>
      <c r="D142" s="138">
        <v>3120000</v>
      </c>
      <c r="E142" s="20" t="s">
        <v>717</v>
      </c>
      <c r="F142" s="20" t="s">
        <v>718</v>
      </c>
      <c r="G142" s="8" t="str">
        <f t="shared" si="2"/>
        <v>THOMPSON LESTER</v>
      </c>
    </row>
    <row r="143" spans="1:7" x14ac:dyDescent="0.25">
      <c r="A143" s="8">
        <v>42931.664259259262</v>
      </c>
      <c r="B143" s="20" t="s">
        <v>550</v>
      </c>
      <c r="C143" s="20" t="s">
        <v>762</v>
      </c>
      <c r="D143" s="138">
        <v>880000</v>
      </c>
      <c r="E143" s="20" t="s">
        <v>709</v>
      </c>
      <c r="F143" s="20" t="s">
        <v>192</v>
      </c>
      <c r="G143" s="8" t="str">
        <f t="shared" si="2"/>
        <v>STEWART MICHAEL</v>
      </c>
    </row>
    <row r="144" spans="1:7" x14ac:dyDescent="0.25">
      <c r="A144" s="8">
        <v>42931.665497685186</v>
      </c>
      <c r="B144" s="20" t="s">
        <v>547</v>
      </c>
      <c r="C144" s="20" t="s">
        <v>763</v>
      </c>
      <c r="D144" s="138">
        <v>2540000</v>
      </c>
      <c r="E144" s="20" t="s">
        <v>746</v>
      </c>
      <c r="F144" s="20" t="s">
        <v>747</v>
      </c>
      <c r="G144" s="8" t="str">
        <f t="shared" si="2"/>
        <v>MCREYNOLDS KYLE</v>
      </c>
    </row>
    <row r="145" spans="1:7" x14ac:dyDescent="0.25">
      <c r="A145" s="8">
        <v>42931.672129629631</v>
      </c>
      <c r="B145" s="20" t="s">
        <v>589</v>
      </c>
      <c r="C145" s="20" t="s">
        <v>764</v>
      </c>
      <c r="D145" s="138">
        <v>1770000</v>
      </c>
      <c r="E145" s="20" t="s">
        <v>721</v>
      </c>
      <c r="F145" s="20" t="s">
        <v>722</v>
      </c>
      <c r="G145" s="8" t="str">
        <f t="shared" si="2"/>
        <v>BRUDER RICHARD</v>
      </c>
    </row>
    <row r="146" spans="1:7" x14ac:dyDescent="0.25">
      <c r="A146" s="8">
        <v>42931.672685185185</v>
      </c>
      <c r="B146" s="20" t="s">
        <v>367</v>
      </c>
      <c r="C146" s="20" t="s">
        <v>765</v>
      </c>
      <c r="D146" s="138">
        <v>2680000</v>
      </c>
      <c r="E146" s="20" t="s">
        <v>732</v>
      </c>
      <c r="F146" s="20" t="s">
        <v>733</v>
      </c>
      <c r="G146" s="8" t="str">
        <f t="shared" si="2"/>
        <v>DUNCAN SHEILA</v>
      </c>
    </row>
    <row r="147" spans="1:7" x14ac:dyDescent="0.25">
      <c r="A147" s="8">
        <v>42931.680081018516</v>
      </c>
      <c r="B147" s="20" t="s">
        <v>488</v>
      </c>
      <c r="C147" s="20" t="s">
        <v>602</v>
      </c>
      <c r="D147" s="138">
        <v>3010000</v>
      </c>
      <c r="E147" s="20" t="s">
        <v>551</v>
      </c>
      <c r="F147" s="20" t="s">
        <v>474</v>
      </c>
      <c r="G147" s="8" t="str">
        <f t="shared" si="2"/>
        <v>SULLIVAN BRANDON</v>
      </c>
    </row>
    <row r="148" spans="1:7" x14ac:dyDescent="0.25">
      <c r="A148" s="8">
        <v>42931.686666666668</v>
      </c>
      <c r="B148" s="20" t="s">
        <v>484</v>
      </c>
      <c r="C148" s="20" t="s">
        <v>766</v>
      </c>
      <c r="D148" s="138">
        <v>920000</v>
      </c>
      <c r="E148" s="20" t="s">
        <v>383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42931.690335648149</v>
      </c>
      <c r="B149" s="20" t="s">
        <v>545</v>
      </c>
      <c r="C149" s="20" t="s">
        <v>767</v>
      </c>
      <c r="D149" s="138">
        <v>2370000</v>
      </c>
      <c r="E149" s="20" t="s">
        <v>515</v>
      </c>
      <c r="F149" s="20" t="s">
        <v>516</v>
      </c>
      <c r="G149" s="8" t="str">
        <f t="shared" si="2"/>
        <v>DELGADO DIANAH</v>
      </c>
    </row>
    <row r="150" spans="1:7" x14ac:dyDescent="0.25">
      <c r="A150" s="8">
        <v>42931.693668981483</v>
      </c>
      <c r="B150" s="20" t="s">
        <v>549</v>
      </c>
      <c r="C150" s="20" t="s">
        <v>768</v>
      </c>
      <c r="D150" s="138">
        <v>2540000</v>
      </c>
      <c r="E150" s="20" t="s">
        <v>746</v>
      </c>
      <c r="F150" s="20" t="s">
        <v>747</v>
      </c>
      <c r="G150" s="8" t="str">
        <f t="shared" si="2"/>
        <v>MCREYNOLDS KYLE</v>
      </c>
    </row>
    <row r="151" spans="1:7" x14ac:dyDescent="0.25">
      <c r="A151" s="8">
        <v>42931.695949074077</v>
      </c>
      <c r="B151" s="20" t="s">
        <v>641</v>
      </c>
      <c r="C151" s="20" t="s">
        <v>769</v>
      </c>
      <c r="D151" s="138">
        <v>3120000</v>
      </c>
      <c r="E151" s="20" t="s">
        <v>717</v>
      </c>
      <c r="F151" s="20" t="s">
        <v>718</v>
      </c>
      <c r="G151" s="8" t="str">
        <f t="shared" si="2"/>
        <v>THOMPSON LESTER</v>
      </c>
    </row>
    <row r="152" spans="1:7" x14ac:dyDescent="0.25">
      <c r="A152" s="8">
        <v>42931.702164351853</v>
      </c>
      <c r="B152" s="20" t="s">
        <v>770</v>
      </c>
      <c r="C152" s="20" t="s">
        <v>771</v>
      </c>
      <c r="D152" s="138">
        <v>2440000</v>
      </c>
      <c r="E152" s="20" t="s">
        <v>772</v>
      </c>
      <c r="F152" s="20" t="s">
        <v>773</v>
      </c>
      <c r="G152" s="8" t="str">
        <f t="shared" si="2"/>
        <v>LOPES KIMBERLY</v>
      </c>
    </row>
    <row r="153" spans="1:7" x14ac:dyDescent="0.25">
      <c r="A153" s="8">
        <v>42931.703541666669</v>
      </c>
      <c r="B153" s="20" t="s">
        <v>481</v>
      </c>
      <c r="C153" s="20" t="s">
        <v>774</v>
      </c>
      <c r="D153" s="138">
        <v>880000</v>
      </c>
      <c r="E153" s="20" t="s">
        <v>709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42931.705613425926</v>
      </c>
      <c r="B154" s="20" t="s">
        <v>488</v>
      </c>
      <c r="C154" s="20" t="s">
        <v>602</v>
      </c>
      <c r="D154" s="138">
        <v>3010000</v>
      </c>
      <c r="E154" s="20" t="s">
        <v>551</v>
      </c>
      <c r="F154" s="20" t="s">
        <v>474</v>
      </c>
      <c r="G154" s="8" t="str">
        <f t="shared" si="2"/>
        <v>SULLIVAN BRANDON</v>
      </c>
    </row>
    <row r="155" spans="1:7" x14ac:dyDescent="0.25">
      <c r="A155" s="8">
        <v>42931.705717592595</v>
      </c>
      <c r="B155" s="20" t="s">
        <v>587</v>
      </c>
      <c r="C155" s="20" t="s">
        <v>775</v>
      </c>
      <c r="D155" s="138">
        <v>1770000</v>
      </c>
      <c r="E155" s="20" t="s">
        <v>721</v>
      </c>
      <c r="F155" s="20" t="s">
        <v>722</v>
      </c>
      <c r="G155" s="8" t="str">
        <f t="shared" si="2"/>
        <v>BRUDER RICHARD</v>
      </c>
    </row>
    <row r="156" spans="1:7" x14ac:dyDescent="0.25">
      <c r="A156" s="8">
        <v>42931.708414351851</v>
      </c>
      <c r="B156" s="20" t="s">
        <v>361</v>
      </c>
      <c r="C156" s="20" t="s">
        <v>603</v>
      </c>
      <c r="D156" s="138">
        <v>2680000</v>
      </c>
      <c r="E156" s="20" t="s">
        <v>732</v>
      </c>
      <c r="F156" s="20" t="s">
        <v>733</v>
      </c>
      <c r="G156" s="8" t="str">
        <f t="shared" si="2"/>
        <v>DUNCAN SHEILA</v>
      </c>
    </row>
    <row r="157" spans="1:7" x14ac:dyDescent="0.25">
      <c r="A157" s="8">
        <v>42931.710393518515</v>
      </c>
      <c r="B157" s="20" t="s">
        <v>361</v>
      </c>
      <c r="C157" s="20" t="s">
        <v>603</v>
      </c>
      <c r="D157" s="138">
        <v>2680000</v>
      </c>
      <c r="E157" s="20" t="s">
        <v>732</v>
      </c>
      <c r="F157" s="20" t="s">
        <v>733</v>
      </c>
      <c r="G157" s="8" t="str">
        <f t="shared" si="2"/>
        <v>DUNCAN SHEILA</v>
      </c>
    </row>
    <row r="158" spans="1:7" x14ac:dyDescent="0.25">
      <c r="A158" s="8">
        <v>42931.717048611114</v>
      </c>
      <c r="B158" s="20" t="s">
        <v>547</v>
      </c>
      <c r="C158" s="20" t="s">
        <v>776</v>
      </c>
      <c r="D158" s="138">
        <v>2540000</v>
      </c>
      <c r="E158" s="20" t="s">
        <v>746</v>
      </c>
      <c r="F158" s="20" t="s">
        <v>747</v>
      </c>
      <c r="G158" s="8" t="str">
        <f t="shared" si="2"/>
        <v>MCREYNOLDS KYLE</v>
      </c>
    </row>
    <row r="159" spans="1:7" x14ac:dyDescent="0.25">
      <c r="A159" s="8">
        <v>42931.719305555554</v>
      </c>
      <c r="B159" s="20" t="s">
        <v>471</v>
      </c>
      <c r="C159" s="20" t="s">
        <v>604</v>
      </c>
      <c r="D159" s="138">
        <v>3010000</v>
      </c>
      <c r="E159" s="20" t="s">
        <v>551</v>
      </c>
      <c r="F159" s="20" t="s">
        <v>474</v>
      </c>
      <c r="G159" s="8" t="str">
        <f t="shared" si="2"/>
        <v>SULLIVAN BRANDON</v>
      </c>
    </row>
    <row r="160" spans="1:7" x14ac:dyDescent="0.25">
      <c r="A160" s="8">
        <v>42931.726168981484</v>
      </c>
      <c r="B160" s="20" t="s">
        <v>477</v>
      </c>
      <c r="C160" s="20" t="s">
        <v>777</v>
      </c>
      <c r="D160" s="138">
        <v>920000</v>
      </c>
      <c r="E160" s="20" t="s">
        <v>383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42931.726331018515</v>
      </c>
      <c r="B161" s="20" t="s">
        <v>337</v>
      </c>
      <c r="C161" s="20" t="s">
        <v>605</v>
      </c>
      <c r="D161" s="138">
        <v>2370000</v>
      </c>
      <c r="E161" s="20" t="s">
        <v>515</v>
      </c>
      <c r="F161" s="20" t="s">
        <v>516</v>
      </c>
      <c r="G161" s="8" t="str">
        <f t="shared" si="2"/>
        <v>DELGADO DIANAH</v>
      </c>
    </row>
    <row r="162" spans="1:7" x14ac:dyDescent="0.25">
      <c r="A162" s="8">
        <v>42931.730914351851</v>
      </c>
      <c r="B162" s="20" t="s">
        <v>382</v>
      </c>
      <c r="C162" s="20" t="s">
        <v>778</v>
      </c>
      <c r="D162" s="138">
        <v>2630000</v>
      </c>
      <c r="E162" s="20" t="s">
        <v>517</v>
      </c>
      <c r="F162" s="20" t="s">
        <v>518</v>
      </c>
      <c r="G162" s="8" t="str">
        <f t="shared" si="2"/>
        <v>SAFIEF AEIMEN</v>
      </c>
    </row>
    <row r="163" spans="1:7" x14ac:dyDescent="0.25">
      <c r="A163" s="8">
        <v>42931.734594907408</v>
      </c>
      <c r="B163" s="20" t="s">
        <v>549</v>
      </c>
      <c r="C163" s="20" t="s">
        <v>779</v>
      </c>
      <c r="D163" s="138">
        <v>2540000</v>
      </c>
      <c r="E163" s="20" t="s">
        <v>746</v>
      </c>
      <c r="F163" s="20" t="s">
        <v>747</v>
      </c>
      <c r="G163" s="8" t="str">
        <f t="shared" si="2"/>
        <v>MCREYNOLDS KYLE</v>
      </c>
    </row>
    <row r="164" spans="1:7" x14ac:dyDescent="0.25">
      <c r="A164" s="8">
        <v>42931.735671296294</v>
      </c>
      <c r="B164" s="20" t="s">
        <v>552</v>
      </c>
      <c r="C164" s="20" t="s">
        <v>780</v>
      </c>
      <c r="D164" s="138">
        <v>3120000</v>
      </c>
      <c r="E164" s="20" t="s">
        <v>717</v>
      </c>
      <c r="F164" s="20" t="s">
        <v>718</v>
      </c>
      <c r="G164" s="8" t="str">
        <f t="shared" si="2"/>
        <v>THOMPSON LESTER</v>
      </c>
    </row>
    <row r="165" spans="1:7" x14ac:dyDescent="0.25">
      <c r="A165" s="8">
        <v>42931.736944444441</v>
      </c>
      <c r="B165" s="20" t="s">
        <v>552</v>
      </c>
      <c r="C165" s="20" t="s">
        <v>780</v>
      </c>
      <c r="D165" s="138">
        <v>3120000</v>
      </c>
      <c r="E165" s="20" t="s">
        <v>717</v>
      </c>
      <c r="F165" s="20" t="s">
        <v>718</v>
      </c>
      <c r="G165" s="8" t="str">
        <f t="shared" si="2"/>
        <v>THOMPSON LESTER</v>
      </c>
    </row>
    <row r="166" spans="1:7" x14ac:dyDescent="0.25">
      <c r="A166" s="8">
        <v>42931.737604166665</v>
      </c>
      <c r="B166" s="20" t="s">
        <v>550</v>
      </c>
      <c r="C166" s="20" t="s">
        <v>781</v>
      </c>
      <c r="D166" s="138">
        <v>2730000</v>
      </c>
      <c r="E166" s="20" t="s">
        <v>420</v>
      </c>
      <c r="F166" s="20" t="s">
        <v>421</v>
      </c>
      <c r="G166" s="8" t="str">
        <f t="shared" si="2"/>
        <v>YANG JAN</v>
      </c>
    </row>
    <row r="167" spans="1:7" x14ac:dyDescent="0.25">
      <c r="A167" s="8">
        <v>42931.742743055554</v>
      </c>
      <c r="B167" s="20" t="s">
        <v>606</v>
      </c>
      <c r="C167" s="20" t="s">
        <v>607</v>
      </c>
      <c r="D167" s="138">
        <v>3180000</v>
      </c>
      <c r="E167" s="20" t="s">
        <v>553</v>
      </c>
      <c r="F167" s="20" t="s">
        <v>554</v>
      </c>
      <c r="G167" s="8" t="str">
        <f t="shared" si="2"/>
        <v>HUFFSMITH MONTY</v>
      </c>
    </row>
    <row r="168" spans="1:7" x14ac:dyDescent="0.25">
      <c r="A168" s="8">
        <v>42931.745949074073</v>
      </c>
      <c r="B168" s="20" t="s">
        <v>589</v>
      </c>
      <c r="C168" s="20" t="s">
        <v>782</v>
      </c>
      <c r="D168" s="138">
        <v>1770000</v>
      </c>
      <c r="E168" s="20" t="s">
        <v>721</v>
      </c>
      <c r="F168" s="20" t="s">
        <v>722</v>
      </c>
      <c r="G168" s="8" t="str">
        <f t="shared" si="2"/>
        <v>BRUDER RICHARD</v>
      </c>
    </row>
    <row r="169" spans="1:7" x14ac:dyDescent="0.25">
      <c r="A169" s="8">
        <v>42931.747083333335</v>
      </c>
      <c r="B169" s="20" t="s">
        <v>367</v>
      </c>
      <c r="C169" s="20" t="s">
        <v>783</v>
      </c>
      <c r="D169" s="138">
        <v>2680000</v>
      </c>
      <c r="E169" s="20" t="s">
        <v>732</v>
      </c>
      <c r="F169" s="20" t="s">
        <v>733</v>
      </c>
      <c r="G169" s="8" t="str">
        <f t="shared" si="2"/>
        <v>DUNCAN SHEILA</v>
      </c>
    </row>
    <row r="170" spans="1:7" x14ac:dyDescent="0.25">
      <c r="A170" s="8">
        <v>42931.751759259256</v>
      </c>
      <c r="B170" s="20" t="s">
        <v>547</v>
      </c>
      <c r="C170" s="20" t="s">
        <v>784</v>
      </c>
      <c r="D170" s="138">
        <v>2540000</v>
      </c>
      <c r="E170" s="20" t="s">
        <v>746</v>
      </c>
      <c r="F170" s="20" t="s">
        <v>747</v>
      </c>
      <c r="G170" s="8" t="str">
        <f t="shared" si="2"/>
        <v>MCREYNOLDS KYLE</v>
      </c>
    </row>
    <row r="171" spans="1:7" x14ac:dyDescent="0.25">
      <c r="A171" s="8">
        <v>42931.752129629633</v>
      </c>
      <c r="B171" s="20" t="s">
        <v>488</v>
      </c>
      <c r="C171" s="20" t="s">
        <v>785</v>
      </c>
      <c r="D171" s="138">
        <v>3010000</v>
      </c>
      <c r="E171" s="20" t="s">
        <v>551</v>
      </c>
      <c r="F171" s="20" t="s">
        <v>474</v>
      </c>
      <c r="G171" s="8" t="str">
        <f t="shared" si="2"/>
        <v>SULLIVAN BRANDON</v>
      </c>
    </row>
    <row r="172" spans="1:7" x14ac:dyDescent="0.25">
      <c r="A172" s="8">
        <v>42931.756631944445</v>
      </c>
      <c r="B172" s="20" t="s">
        <v>484</v>
      </c>
      <c r="C172" s="20" t="s">
        <v>786</v>
      </c>
      <c r="D172" s="138">
        <v>2620000</v>
      </c>
      <c r="E172" s="20" t="s">
        <v>555</v>
      </c>
      <c r="F172" s="20" t="s">
        <v>556</v>
      </c>
      <c r="G172" s="8" t="str">
        <f t="shared" si="2"/>
        <v>PERKINS DARREN</v>
      </c>
    </row>
    <row r="173" spans="1:7" x14ac:dyDescent="0.25">
      <c r="A173" s="8">
        <v>42931.764085648145</v>
      </c>
      <c r="B173" s="20" t="s">
        <v>545</v>
      </c>
      <c r="C173" s="20" t="s">
        <v>787</v>
      </c>
      <c r="D173" s="138">
        <v>2370000</v>
      </c>
      <c r="E173" s="20" t="s">
        <v>515</v>
      </c>
      <c r="F173" s="20" t="s">
        <v>516</v>
      </c>
      <c r="G173" s="8" t="str">
        <f t="shared" si="2"/>
        <v>DELGADO DIANAH</v>
      </c>
    </row>
    <row r="174" spans="1:7" x14ac:dyDescent="0.25">
      <c r="A174" s="8">
        <v>42931.769305555557</v>
      </c>
      <c r="B174" s="20" t="s">
        <v>641</v>
      </c>
      <c r="C174" s="20" t="s">
        <v>788</v>
      </c>
      <c r="D174" s="138">
        <v>3000000</v>
      </c>
      <c r="E174" s="20" t="s">
        <v>387</v>
      </c>
      <c r="F174" s="20" t="s">
        <v>388</v>
      </c>
      <c r="G174" s="8" t="str">
        <f t="shared" si="2"/>
        <v>FORTUNATO FRANK</v>
      </c>
    </row>
    <row r="175" spans="1:7" x14ac:dyDescent="0.25">
      <c r="A175" s="8">
        <v>42931.775023148148</v>
      </c>
      <c r="B175" s="20" t="s">
        <v>481</v>
      </c>
      <c r="C175" s="20" t="s">
        <v>789</v>
      </c>
      <c r="D175" s="138">
        <v>2730000</v>
      </c>
      <c r="E175" s="20" t="s">
        <v>420</v>
      </c>
      <c r="F175" s="20" t="s">
        <v>421</v>
      </c>
      <c r="G175" s="8" t="str">
        <f t="shared" si="2"/>
        <v>YANG JAN</v>
      </c>
    </row>
    <row r="176" spans="1:7" x14ac:dyDescent="0.25">
      <c r="A176" s="8">
        <v>42931.77621527778</v>
      </c>
      <c r="B176" s="20" t="s">
        <v>587</v>
      </c>
      <c r="C176" s="20" t="s">
        <v>790</v>
      </c>
      <c r="D176" s="138">
        <v>1770000</v>
      </c>
      <c r="E176" s="20" t="s">
        <v>721</v>
      </c>
      <c r="F176" s="20" t="s">
        <v>722</v>
      </c>
      <c r="G176" s="8" t="str">
        <f t="shared" si="2"/>
        <v>BRUDER RICHARD</v>
      </c>
    </row>
    <row r="177" spans="1:7" x14ac:dyDescent="0.25">
      <c r="A177" s="8">
        <v>42931.776585648149</v>
      </c>
      <c r="B177" s="20" t="s">
        <v>549</v>
      </c>
      <c r="C177" s="20" t="s">
        <v>791</v>
      </c>
      <c r="D177" s="138">
        <v>2540000</v>
      </c>
      <c r="E177" s="20" t="s">
        <v>746</v>
      </c>
      <c r="F177" s="20" t="s">
        <v>747</v>
      </c>
      <c r="G177" s="8" t="str">
        <f t="shared" si="2"/>
        <v>MCREYNOLDS KYLE</v>
      </c>
    </row>
    <row r="178" spans="1:7" x14ac:dyDescent="0.25">
      <c r="A178" s="8">
        <v>42931.783425925925</v>
      </c>
      <c r="B178" s="20" t="s">
        <v>361</v>
      </c>
      <c r="C178" s="20" t="s">
        <v>792</v>
      </c>
      <c r="D178" s="138">
        <v>2680000</v>
      </c>
      <c r="E178" s="20" t="s">
        <v>732</v>
      </c>
      <c r="F178" s="20" t="s">
        <v>733</v>
      </c>
      <c r="G178" s="8" t="str">
        <f t="shared" si="2"/>
        <v>DUNCAN SHEILA</v>
      </c>
    </row>
    <row r="179" spans="1:7" x14ac:dyDescent="0.25">
      <c r="A179" s="8">
        <v>42931.789236111108</v>
      </c>
      <c r="B179" s="20" t="s">
        <v>471</v>
      </c>
      <c r="C179" s="20" t="s">
        <v>793</v>
      </c>
      <c r="D179" s="138">
        <v>3090000</v>
      </c>
      <c r="E179" s="20" t="s">
        <v>368</v>
      </c>
      <c r="F179" s="20" t="s">
        <v>369</v>
      </c>
      <c r="G179" s="8" t="str">
        <f t="shared" si="2"/>
        <v>LAMAR NEKESHA</v>
      </c>
    </row>
    <row r="180" spans="1:7" x14ac:dyDescent="0.25">
      <c r="A180" s="8">
        <v>42931.79482638889</v>
      </c>
      <c r="B180" s="20" t="s">
        <v>477</v>
      </c>
      <c r="C180" s="20" t="s">
        <v>794</v>
      </c>
      <c r="D180" s="138">
        <v>2620000</v>
      </c>
      <c r="E180" s="20" t="s">
        <v>555</v>
      </c>
      <c r="F180" s="20" t="s">
        <v>556</v>
      </c>
      <c r="G180" s="8" t="str">
        <f t="shared" si="2"/>
        <v>PERKINS DARREN</v>
      </c>
    </row>
    <row r="181" spans="1:7" x14ac:dyDescent="0.25">
      <c r="A181" s="8">
        <v>42931.794942129629</v>
      </c>
      <c r="B181" s="20" t="s">
        <v>547</v>
      </c>
      <c r="C181" s="20" t="s">
        <v>795</v>
      </c>
      <c r="D181" s="138">
        <v>2540000</v>
      </c>
      <c r="E181" s="20" t="s">
        <v>746</v>
      </c>
      <c r="F181" s="20" t="s">
        <v>747</v>
      </c>
      <c r="G181" s="8" t="str">
        <f t="shared" si="2"/>
        <v>MCREYNOLDS KYLE</v>
      </c>
    </row>
    <row r="182" spans="1:7" x14ac:dyDescent="0.25">
      <c r="A182" s="8">
        <v>42931.797673611109</v>
      </c>
      <c r="B182" s="20" t="s">
        <v>337</v>
      </c>
      <c r="C182" s="20" t="s">
        <v>796</v>
      </c>
      <c r="D182" s="138">
        <v>2370000</v>
      </c>
      <c r="E182" s="20" t="s">
        <v>515</v>
      </c>
      <c r="F182" s="20" t="s">
        <v>516</v>
      </c>
      <c r="G182" s="8" t="str">
        <f t="shared" si="2"/>
        <v>DELGADO DIANAH</v>
      </c>
    </row>
    <row r="183" spans="1:7" x14ac:dyDescent="0.25">
      <c r="A183" s="8">
        <v>42931.804988425924</v>
      </c>
      <c r="B183" s="20" t="s">
        <v>552</v>
      </c>
      <c r="C183" s="20" t="s">
        <v>797</v>
      </c>
      <c r="D183" s="138">
        <v>3000000</v>
      </c>
      <c r="E183" s="20" t="s">
        <v>387</v>
      </c>
      <c r="F183" s="20" t="s">
        <v>388</v>
      </c>
      <c r="G183" s="8" t="str">
        <f t="shared" si="2"/>
        <v>FORTUNATO FRANK</v>
      </c>
    </row>
    <row r="184" spans="1:7" x14ac:dyDescent="0.25">
      <c r="A184" s="8">
        <v>42931.806192129632</v>
      </c>
      <c r="B184" s="20" t="s">
        <v>798</v>
      </c>
      <c r="C184" s="20" t="s">
        <v>799</v>
      </c>
      <c r="D184" s="138">
        <v>3030000</v>
      </c>
      <c r="E184" s="20" t="s">
        <v>372</v>
      </c>
      <c r="F184" s="20" t="s">
        <v>360</v>
      </c>
      <c r="G184" s="8" t="str">
        <f t="shared" si="2"/>
        <v>BIRENBAUM THOMAS</v>
      </c>
    </row>
    <row r="185" spans="1:7" x14ac:dyDescent="0.25">
      <c r="A185" s="8">
        <v>42931.808310185188</v>
      </c>
      <c r="B185" s="20" t="s">
        <v>550</v>
      </c>
      <c r="C185" s="20" t="s">
        <v>800</v>
      </c>
      <c r="D185" s="138">
        <v>2730000</v>
      </c>
      <c r="E185" s="20" t="s">
        <v>420</v>
      </c>
      <c r="F185" s="20" t="s">
        <v>421</v>
      </c>
      <c r="G185" s="8" t="str">
        <f t="shared" si="2"/>
        <v>YANG JAN</v>
      </c>
    </row>
    <row r="186" spans="1:7" x14ac:dyDescent="0.25">
      <c r="A186" s="8">
        <v>42931.817326388889</v>
      </c>
      <c r="B186" s="20" t="s">
        <v>801</v>
      </c>
      <c r="C186" s="20" t="s">
        <v>799</v>
      </c>
      <c r="D186" s="138">
        <v>3030000</v>
      </c>
      <c r="E186" s="20" t="s">
        <v>372</v>
      </c>
      <c r="F186" s="20" t="s">
        <v>360</v>
      </c>
      <c r="G186" s="8" t="str">
        <f t="shared" si="2"/>
        <v>BIRENBAUM THOMAS</v>
      </c>
    </row>
    <row r="187" spans="1:7" x14ac:dyDescent="0.25">
      <c r="A187" s="8">
        <v>42931.818333333336</v>
      </c>
      <c r="B187" s="20" t="s">
        <v>367</v>
      </c>
      <c r="C187" s="20" t="s">
        <v>802</v>
      </c>
      <c r="D187" s="138">
        <v>2680000</v>
      </c>
      <c r="E187" s="20" t="s">
        <v>732</v>
      </c>
      <c r="F187" s="20" t="s">
        <v>733</v>
      </c>
      <c r="G187" s="8" t="str">
        <f t="shared" si="2"/>
        <v>DUNCAN SHEILA</v>
      </c>
    </row>
    <row r="188" spans="1:7" x14ac:dyDescent="0.25">
      <c r="A188" s="8">
        <v>42931.819780092592</v>
      </c>
      <c r="B188" s="20" t="s">
        <v>549</v>
      </c>
      <c r="C188" s="20" t="s">
        <v>803</v>
      </c>
      <c r="D188" s="138">
        <v>2540000</v>
      </c>
      <c r="E188" s="20" t="s">
        <v>746</v>
      </c>
      <c r="F188" s="20" t="s">
        <v>747</v>
      </c>
      <c r="G188" s="8" t="str">
        <f t="shared" si="2"/>
        <v>MCREYNOLDS KYLE</v>
      </c>
    </row>
    <row r="189" spans="1:7" x14ac:dyDescent="0.25">
      <c r="A189" s="8">
        <v>42931.820254629631</v>
      </c>
      <c r="B189" s="20" t="s">
        <v>801</v>
      </c>
      <c r="C189" s="20" t="s">
        <v>804</v>
      </c>
      <c r="D189" s="138">
        <v>3030000</v>
      </c>
      <c r="E189" s="20" t="s">
        <v>372</v>
      </c>
      <c r="F189" s="20" t="s">
        <v>360</v>
      </c>
      <c r="G189" s="8" t="str">
        <f t="shared" si="2"/>
        <v>BIRENBAUM THOMAS</v>
      </c>
    </row>
    <row r="190" spans="1:7" x14ac:dyDescent="0.25">
      <c r="A190" s="8">
        <v>42931.821932870371</v>
      </c>
      <c r="B190" s="20" t="s">
        <v>801</v>
      </c>
      <c r="C190" s="20" t="s">
        <v>804</v>
      </c>
      <c r="D190" s="138">
        <v>3030000</v>
      </c>
      <c r="E190" s="20" t="s">
        <v>372</v>
      </c>
      <c r="F190" s="20" t="s">
        <v>360</v>
      </c>
      <c r="G190" s="8" t="str">
        <f t="shared" si="2"/>
        <v>BIRENBAUM THOMAS</v>
      </c>
    </row>
    <row r="191" spans="1:7" x14ac:dyDescent="0.25">
      <c r="A191" s="8">
        <v>42931.824918981481</v>
      </c>
      <c r="B191" s="20" t="s">
        <v>801</v>
      </c>
      <c r="C191" s="20" t="s">
        <v>804</v>
      </c>
      <c r="D191" s="138">
        <v>3030000</v>
      </c>
      <c r="E191" s="20" t="s">
        <v>372</v>
      </c>
      <c r="F191" s="20" t="s">
        <v>360</v>
      </c>
      <c r="G191" s="8" t="str">
        <f t="shared" si="2"/>
        <v>BIRENBAUM THOMAS</v>
      </c>
    </row>
    <row r="192" spans="1:7" x14ac:dyDescent="0.25">
      <c r="A192" s="8">
        <v>42931.827037037037</v>
      </c>
      <c r="B192" s="20" t="s">
        <v>488</v>
      </c>
      <c r="C192" s="20" t="s">
        <v>805</v>
      </c>
      <c r="D192" s="138">
        <v>3090000</v>
      </c>
      <c r="E192" s="20" t="s">
        <v>368</v>
      </c>
      <c r="F192" s="20" t="s">
        <v>369</v>
      </c>
      <c r="G192" s="8" t="str">
        <f t="shared" si="2"/>
        <v>LAMAR NEKESHA</v>
      </c>
    </row>
    <row r="193" spans="1:7" x14ac:dyDescent="0.25">
      <c r="A193" s="8">
        <v>42931.828773148147</v>
      </c>
      <c r="B193" s="20" t="s">
        <v>484</v>
      </c>
      <c r="C193" s="20" t="s">
        <v>806</v>
      </c>
      <c r="D193" s="138">
        <v>2620000</v>
      </c>
      <c r="E193" s="20" t="s">
        <v>555</v>
      </c>
      <c r="F193" s="20" t="s">
        <v>556</v>
      </c>
      <c r="G193" s="8" t="str">
        <f t="shared" si="2"/>
        <v>PERKINS DARREN</v>
      </c>
    </row>
    <row r="194" spans="1:7" x14ac:dyDescent="0.25">
      <c r="A194" s="8">
        <v>42931.844143518516</v>
      </c>
      <c r="B194" s="20" t="s">
        <v>481</v>
      </c>
      <c r="C194" s="20" t="s">
        <v>807</v>
      </c>
      <c r="D194" s="138">
        <v>2730000</v>
      </c>
      <c r="E194" s="20" t="s">
        <v>420</v>
      </c>
      <c r="F194" s="20" t="s">
        <v>421</v>
      </c>
      <c r="G194" s="8" t="str">
        <f t="shared" si="2"/>
        <v>YANG JAN</v>
      </c>
    </row>
    <row r="195" spans="1:7" x14ac:dyDescent="0.25">
      <c r="A195" s="8">
        <v>42931.844733796293</v>
      </c>
      <c r="B195" s="20" t="s">
        <v>547</v>
      </c>
      <c r="C195" s="20" t="s">
        <v>808</v>
      </c>
      <c r="D195" s="138">
        <v>2540000</v>
      </c>
      <c r="E195" s="20" t="s">
        <v>746</v>
      </c>
      <c r="F195" s="20" t="s">
        <v>747</v>
      </c>
      <c r="G195" s="8" t="str">
        <f t="shared" ref="G195:G258" si="3">E195&amp;" "&amp;F195</f>
        <v>MCREYNOLDS KYLE</v>
      </c>
    </row>
    <row r="196" spans="1:7" x14ac:dyDescent="0.25">
      <c r="A196" s="8">
        <v>42931.845821759256</v>
      </c>
      <c r="B196" s="20" t="s">
        <v>641</v>
      </c>
      <c r="C196" s="20" t="s">
        <v>809</v>
      </c>
      <c r="D196" s="138">
        <v>3000000</v>
      </c>
      <c r="E196" s="20" t="s">
        <v>387</v>
      </c>
      <c r="F196" s="20" t="s">
        <v>388</v>
      </c>
      <c r="G196" s="8" t="str">
        <f t="shared" si="3"/>
        <v>FORTUNATO FRANK</v>
      </c>
    </row>
    <row r="197" spans="1:7" x14ac:dyDescent="0.25">
      <c r="A197" s="8">
        <v>42931.853194444448</v>
      </c>
      <c r="B197" s="20" t="s">
        <v>798</v>
      </c>
      <c r="C197" s="20" t="s">
        <v>810</v>
      </c>
      <c r="D197" s="138">
        <v>3030000</v>
      </c>
      <c r="E197" s="20" t="s">
        <v>372</v>
      </c>
      <c r="F197" s="20" t="s">
        <v>360</v>
      </c>
      <c r="G197" s="8" t="str">
        <f t="shared" si="3"/>
        <v>BIRENBAUM THOMAS</v>
      </c>
    </row>
    <row r="198" spans="1:7" x14ac:dyDescent="0.25">
      <c r="A198" s="8">
        <v>42931.859560185185</v>
      </c>
      <c r="B198" s="20" t="s">
        <v>549</v>
      </c>
      <c r="C198" s="20" t="s">
        <v>811</v>
      </c>
      <c r="D198" s="138">
        <v>2540000</v>
      </c>
      <c r="E198" s="20" t="s">
        <v>746</v>
      </c>
      <c r="F198" s="20" t="s">
        <v>747</v>
      </c>
      <c r="G198" s="8" t="str">
        <f t="shared" si="3"/>
        <v>MCREYNOLDS KYLE</v>
      </c>
    </row>
    <row r="199" spans="1:7" x14ac:dyDescent="0.25">
      <c r="A199" s="8">
        <v>42931.86513888889</v>
      </c>
      <c r="B199" s="20" t="s">
        <v>477</v>
      </c>
      <c r="C199" s="20" t="s">
        <v>812</v>
      </c>
      <c r="D199" s="138">
        <v>2620000</v>
      </c>
      <c r="E199" s="20" t="s">
        <v>555</v>
      </c>
      <c r="F199" s="20" t="s">
        <v>556</v>
      </c>
      <c r="G199" s="8" t="str">
        <f t="shared" si="3"/>
        <v>PERKINS DARREN</v>
      </c>
    </row>
    <row r="200" spans="1:7" x14ac:dyDescent="0.25">
      <c r="A200" s="8">
        <v>42931.865219907406</v>
      </c>
      <c r="B200" s="20" t="s">
        <v>801</v>
      </c>
      <c r="C200" s="20" t="s">
        <v>804</v>
      </c>
      <c r="D200" s="138">
        <v>3030000</v>
      </c>
      <c r="E200" s="20" t="s">
        <v>372</v>
      </c>
      <c r="F200" s="20" t="s">
        <v>360</v>
      </c>
      <c r="G200" s="8" t="str">
        <f t="shared" si="3"/>
        <v>BIRENBAUM THOMAS</v>
      </c>
    </row>
    <row r="201" spans="1:7" x14ac:dyDescent="0.25">
      <c r="A201" s="8">
        <v>42931.871886574074</v>
      </c>
      <c r="B201" s="20" t="s">
        <v>471</v>
      </c>
      <c r="C201" s="20" t="s">
        <v>813</v>
      </c>
      <c r="D201" s="138">
        <v>3090000</v>
      </c>
      <c r="E201" s="20" t="s">
        <v>368</v>
      </c>
      <c r="F201" s="20" t="s">
        <v>369</v>
      </c>
      <c r="G201" s="8" t="str">
        <f t="shared" si="3"/>
        <v>LAMAR NEKESHA</v>
      </c>
    </row>
    <row r="202" spans="1:7" x14ac:dyDescent="0.25">
      <c r="A202" s="26">
        <v>42931.882060185184</v>
      </c>
      <c r="B202" s="20" t="s">
        <v>798</v>
      </c>
      <c r="C202" s="20" t="s">
        <v>810</v>
      </c>
      <c r="D202" s="138">
        <v>3030000</v>
      </c>
      <c r="E202" s="20" t="s">
        <v>372</v>
      </c>
      <c r="F202" s="20" t="s">
        <v>360</v>
      </c>
      <c r="G202" s="8" t="str">
        <f t="shared" si="3"/>
        <v>BIRENBAUM THOMAS</v>
      </c>
    </row>
    <row r="203" spans="1:7" x14ac:dyDescent="0.25">
      <c r="A203" s="8">
        <v>42931.886516203704</v>
      </c>
      <c r="B203" s="20" t="s">
        <v>547</v>
      </c>
      <c r="C203" s="20" t="s">
        <v>814</v>
      </c>
      <c r="D203" s="138">
        <v>2540000</v>
      </c>
      <c r="E203" s="20" t="s">
        <v>746</v>
      </c>
      <c r="F203" s="20" t="s">
        <v>747</v>
      </c>
      <c r="G203" s="8" t="str">
        <f t="shared" si="3"/>
        <v>MCREYNOLDS KYLE</v>
      </c>
    </row>
    <row r="204" spans="1:7" x14ac:dyDescent="0.25">
      <c r="A204" s="8">
        <v>42931.887060185189</v>
      </c>
      <c r="B204" s="20" t="s">
        <v>552</v>
      </c>
      <c r="C204" s="20" t="s">
        <v>608</v>
      </c>
      <c r="D204" s="138">
        <v>3000000</v>
      </c>
      <c r="E204" s="20" t="s">
        <v>387</v>
      </c>
      <c r="F204" s="20" t="s">
        <v>388</v>
      </c>
      <c r="G204" s="8" t="str">
        <f t="shared" si="3"/>
        <v>FORTUNATO FRANK</v>
      </c>
    </row>
    <row r="205" spans="1:7" x14ac:dyDescent="0.25">
      <c r="A205" s="8">
        <v>42931.887789351851</v>
      </c>
      <c r="B205" s="20" t="s">
        <v>550</v>
      </c>
      <c r="C205" s="20" t="s">
        <v>815</v>
      </c>
      <c r="D205" s="138">
        <v>2730000</v>
      </c>
      <c r="E205" s="20" t="s">
        <v>420</v>
      </c>
      <c r="F205" s="20" t="s">
        <v>421</v>
      </c>
      <c r="G205" s="8" t="str">
        <f t="shared" si="3"/>
        <v>YANG JAN</v>
      </c>
    </row>
    <row r="206" spans="1:7" x14ac:dyDescent="0.25">
      <c r="A206" s="8">
        <v>42931.891134259262</v>
      </c>
      <c r="B206" s="20" t="s">
        <v>801</v>
      </c>
      <c r="C206" s="20" t="s">
        <v>804</v>
      </c>
      <c r="D206" s="138">
        <v>3030000</v>
      </c>
      <c r="E206" s="20" t="s">
        <v>372</v>
      </c>
      <c r="F206" s="20" t="s">
        <v>360</v>
      </c>
      <c r="G206" s="8" t="str">
        <f t="shared" si="3"/>
        <v>BIRENBAUM THOMAS</v>
      </c>
    </row>
    <row r="207" spans="1:7" x14ac:dyDescent="0.25">
      <c r="A207" s="8">
        <v>42931.899745370371</v>
      </c>
      <c r="B207" s="20" t="s">
        <v>798</v>
      </c>
      <c r="C207" s="20" t="s">
        <v>810</v>
      </c>
      <c r="D207" s="138">
        <v>3030000</v>
      </c>
      <c r="E207" s="20" t="s">
        <v>372</v>
      </c>
      <c r="F207" s="20" t="s">
        <v>360</v>
      </c>
      <c r="G207" s="8" t="str">
        <f t="shared" si="3"/>
        <v>BIRENBAUM THOMAS</v>
      </c>
    </row>
    <row r="208" spans="1:7" x14ac:dyDescent="0.25">
      <c r="A208" s="8">
        <v>42931.901585648149</v>
      </c>
      <c r="B208" s="20" t="s">
        <v>549</v>
      </c>
      <c r="C208" s="20" t="s">
        <v>816</v>
      </c>
      <c r="D208" s="138">
        <v>2540000</v>
      </c>
      <c r="E208" s="20" t="s">
        <v>746</v>
      </c>
      <c r="F208" s="20" t="s">
        <v>747</v>
      </c>
      <c r="G208" s="8" t="str">
        <f t="shared" si="3"/>
        <v>MCREYNOLDS KYLE</v>
      </c>
    </row>
    <row r="209" spans="1:7" x14ac:dyDescent="0.25">
      <c r="A209" s="8">
        <v>42931.905370370368</v>
      </c>
      <c r="B209" s="20" t="s">
        <v>484</v>
      </c>
      <c r="C209" s="20" t="s">
        <v>609</v>
      </c>
      <c r="D209" s="138">
        <v>2620000</v>
      </c>
      <c r="E209" s="20" t="s">
        <v>555</v>
      </c>
      <c r="F209" s="20" t="s">
        <v>556</v>
      </c>
      <c r="G209" s="8" t="str">
        <f t="shared" si="3"/>
        <v>PERKINS DARREN</v>
      </c>
    </row>
    <row r="210" spans="1:7" x14ac:dyDescent="0.25">
      <c r="A210" s="8">
        <v>42931.910520833335</v>
      </c>
      <c r="B210" s="20" t="s">
        <v>488</v>
      </c>
      <c r="C210" s="20" t="s">
        <v>817</v>
      </c>
      <c r="D210" s="138">
        <v>3090000</v>
      </c>
      <c r="E210" s="20" t="s">
        <v>368</v>
      </c>
      <c r="F210" s="20" t="s">
        <v>369</v>
      </c>
      <c r="G210" s="8" t="str">
        <f t="shared" si="3"/>
        <v>LAMAR NEKESHA</v>
      </c>
    </row>
    <row r="211" spans="1:7" x14ac:dyDescent="0.25">
      <c r="A211" s="8">
        <v>42931.911666666667</v>
      </c>
      <c r="B211" s="20" t="s">
        <v>801</v>
      </c>
      <c r="C211" s="20" t="s">
        <v>804</v>
      </c>
      <c r="D211" s="138">
        <v>3030000</v>
      </c>
      <c r="E211" s="20" t="s">
        <v>372</v>
      </c>
      <c r="F211" s="20" t="s">
        <v>360</v>
      </c>
      <c r="G211" s="8" t="str">
        <f t="shared" si="3"/>
        <v>BIRENBAUM THOMAS</v>
      </c>
    </row>
    <row r="212" spans="1:7" x14ac:dyDescent="0.25">
      <c r="A212" s="8">
        <v>42931.91474537037</v>
      </c>
      <c r="B212" s="20" t="s">
        <v>547</v>
      </c>
      <c r="C212" s="20" t="s">
        <v>818</v>
      </c>
      <c r="D212" s="138">
        <v>2540000</v>
      </c>
      <c r="E212" s="20" t="s">
        <v>746</v>
      </c>
      <c r="F212" s="20" t="s">
        <v>747</v>
      </c>
      <c r="G212" s="8" t="str">
        <f t="shared" si="3"/>
        <v>MCREYNOLDS KYLE</v>
      </c>
    </row>
    <row r="213" spans="1:7" x14ac:dyDescent="0.25">
      <c r="A213" s="8">
        <v>42931.920717592591</v>
      </c>
      <c r="B213" s="20" t="s">
        <v>798</v>
      </c>
      <c r="C213" s="20" t="s">
        <v>810</v>
      </c>
      <c r="D213" s="138">
        <v>3030000</v>
      </c>
      <c r="E213" s="20" t="s">
        <v>372</v>
      </c>
      <c r="F213" s="20" t="s">
        <v>360</v>
      </c>
      <c r="G213" s="8" t="str">
        <f t="shared" si="3"/>
        <v>BIRENBAUM THOMAS</v>
      </c>
    </row>
    <row r="214" spans="1:7" x14ac:dyDescent="0.25">
      <c r="A214" s="8">
        <v>42931.927384259259</v>
      </c>
      <c r="B214" s="20" t="s">
        <v>641</v>
      </c>
      <c r="C214" s="20" t="s">
        <v>819</v>
      </c>
      <c r="D214" s="138">
        <v>3000000</v>
      </c>
      <c r="E214" s="20" t="s">
        <v>387</v>
      </c>
      <c r="F214" s="20" t="s">
        <v>388</v>
      </c>
      <c r="G214" s="8" t="str">
        <f t="shared" si="3"/>
        <v>FORTUNATO FRANK</v>
      </c>
    </row>
    <row r="215" spans="1:7" x14ac:dyDescent="0.25">
      <c r="A215" s="8">
        <v>42931.930821759262</v>
      </c>
      <c r="B215" s="20" t="s">
        <v>801</v>
      </c>
      <c r="C215" s="20" t="s">
        <v>804</v>
      </c>
      <c r="D215" s="138">
        <v>3030000</v>
      </c>
      <c r="E215" s="20" t="s">
        <v>372</v>
      </c>
      <c r="F215" s="20" t="s">
        <v>360</v>
      </c>
      <c r="G215" s="8" t="str">
        <f t="shared" si="3"/>
        <v>BIRENBAUM THOMAS</v>
      </c>
    </row>
    <row r="216" spans="1:7" x14ac:dyDescent="0.25">
      <c r="A216" s="8">
        <v>42931.932118055556</v>
      </c>
      <c r="B216" s="20" t="s">
        <v>481</v>
      </c>
      <c r="C216" s="20" t="s">
        <v>820</v>
      </c>
      <c r="D216" s="138">
        <v>2730000</v>
      </c>
      <c r="E216" s="20" t="s">
        <v>420</v>
      </c>
      <c r="F216" s="20" t="s">
        <v>421</v>
      </c>
      <c r="G216" s="8" t="str">
        <f t="shared" si="3"/>
        <v>YANG JAN</v>
      </c>
    </row>
    <row r="217" spans="1:7" x14ac:dyDescent="0.25">
      <c r="A217" s="8">
        <v>42931.943194444444</v>
      </c>
      <c r="B217" s="20" t="s">
        <v>798</v>
      </c>
      <c r="C217" s="20" t="s">
        <v>810</v>
      </c>
      <c r="D217" s="138">
        <v>3030000</v>
      </c>
      <c r="E217" s="20" t="s">
        <v>372</v>
      </c>
      <c r="F217" s="20" t="s">
        <v>360</v>
      </c>
      <c r="G217" s="8" t="str">
        <f t="shared" si="3"/>
        <v>BIRENBAUM THOMAS</v>
      </c>
    </row>
    <row r="218" spans="1:7" x14ac:dyDescent="0.25">
      <c r="A218" s="8">
        <v>42931.943460648145</v>
      </c>
      <c r="B218" s="20" t="s">
        <v>549</v>
      </c>
      <c r="C218" s="20" t="s">
        <v>821</v>
      </c>
      <c r="D218" s="138">
        <v>2540000</v>
      </c>
      <c r="E218" s="20" t="s">
        <v>746</v>
      </c>
      <c r="F218" s="20" t="s">
        <v>747</v>
      </c>
      <c r="G218" s="8" t="str">
        <f t="shared" si="3"/>
        <v>MCREYNOLDS KYLE</v>
      </c>
    </row>
    <row r="219" spans="1:7" x14ac:dyDescent="0.25">
      <c r="A219" s="8">
        <v>42931.945532407408</v>
      </c>
      <c r="B219" s="20" t="s">
        <v>471</v>
      </c>
      <c r="C219" s="20" t="s">
        <v>822</v>
      </c>
      <c r="D219" s="138">
        <v>3090000</v>
      </c>
      <c r="E219" s="20" t="s">
        <v>368</v>
      </c>
      <c r="F219" s="20" t="s">
        <v>369</v>
      </c>
      <c r="G219" s="8" t="str">
        <f t="shared" si="3"/>
        <v>LAMAR NEKESHA</v>
      </c>
    </row>
    <row r="220" spans="1:7" x14ac:dyDescent="0.25">
      <c r="A220" s="8">
        <v>42931.946412037039</v>
      </c>
      <c r="B220" s="20" t="s">
        <v>477</v>
      </c>
      <c r="C220" s="20" t="s">
        <v>823</v>
      </c>
      <c r="D220" s="138">
        <v>2620000</v>
      </c>
      <c r="E220" s="20" t="s">
        <v>555</v>
      </c>
      <c r="F220" s="20" t="s">
        <v>556</v>
      </c>
      <c r="G220" s="8" t="str">
        <f t="shared" si="3"/>
        <v>PERKINS DARREN</v>
      </c>
    </row>
    <row r="221" spans="1:7" x14ac:dyDescent="0.25">
      <c r="A221" s="8">
        <v>42931.953136574077</v>
      </c>
      <c r="B221" s="20" t="s">
        <v>801</v>
      </c>
      <c r="C221" s="20" t="s">
        <v>804</v>
      </c>
      <c r="D221" s="138">
        <v>3030000</v>
      </c>
      <c r="E221" s="20" t="s">
        <v>372</v>
      </c>
      <c r="F221" s="20" t="s">
        <v>360</v>
      </c>
      <c r="G221" s="8" t="str">
        <f t="shared" si="3"/>
        <v>BIRENBAUM THOMAS</v>
      </c>
    </row>
    <row r="222" spans="1:7" x14ac:dyDescent="0.25">
      <c r="A222" s="8">
        <v>42931.965370370373</v>
      </c>
      <c r="B222" s="20" t="s">
        <v>798</v>
      </c>
      <c r="C222" s="20" t="s">
        <v>810</v>
      </c>
      <c r="D222" s="138">
        <v>3030000</v>
      </c>
      <c r="E222" s="20" t="s">
        <v>372</v>
      </c>
      <c r="F222" s="20" t="s">
        <v>360</v>
      </c>
      <c r="G222" s="8" t="str">
        <f t="shared" si="3"/>
        <v>BIRENBAUM THOMAS</v>
      </c>
    </row>
    <row r="223" spans="1:7" x14ac:dyDescent="0.25">
      <c r="A223" s="8">
        <v>42931.971145833333</v>
      </c>
      <c r="B223" s="20" t="s">
        <v>550</v>
      </c>
      <c r="C223" s="20" t="s">
        <v>824</v>
      </c>
      <c r="D223" s="138">
        <v>2730000</v>
      </c>
      <c r="E223" s="20" t="s">
        <v>420</v>
      </c>
      <c r="F223" s="20" t="s">
        <v>421</v>
      </c>
      <c r="G223" s="8" t="str">
        <f t="shared" si="3"/>
        <v>YANG JAN</v>
      </c>
    </row>
    <row r="224" spans="1:7" x14ac:dyDescent="0.25">
      <c r="A224" s="8">
        <v>42931.973715277774</v>
      </c>
      <c r="B224" t="s">
        <v>552</v>
      </c>
      <c r="C224" t="s">
        <v>825</v>
      </c>
      <c r="D224" s="138">
        <v>3000000</v>
      </c>
      <c r="E224" t="s">
        <v>387</v>
      </c>
      <c r="F224" s="20" t="s">
        <v>388</v>
      </c>
      <c r="G224" s="8" t="str">
        <f t="shared" si="3"/>
        <v>FORTUNATO FRANK</v>
      </c>
    </row>
    <row r="225" spans="1:7" x14ac:dyDescent="0.25">
      <c r="A225" s="8">
        <v>42931.973958333336</v>
      </c>
      <c r="B225" t="s">
        <v>801</v>
      </c>
      <c r="C225" t="s">
        <v>804</v>
      </c>
      <c r="D225" s="138">
        <v>3030000</v>
      </c>
      <c r="E225" t="s">
        <v>372</v>
      </c>
      <c r="F225" s="20" t="s">
        <v>360</v>
      </c>
      <c r="G225" s="8" t="str">
        <f t="shared" si="3"/>
        <v>BIRENBAUM THOMAS</v>
      </c>
    </row>
    <row r="226" spans="1:7" x14ac:dyDescent="0.25">
      <c r="A226" s="8">
        <v>42931.984988425924</v>
      </c>
      <c r="B226" t="s">
        <v>798</v>
      </c>
      <c r="C226" t="s">
        <v>810</v>
      </c>
      <c r="D226" s="138">
        <v>3030000</v>
      </c>
      <c r="E226" t="s">
        <v>372</v>
      </c>
      <c r="F226" s="20" t="s">
        <v>360</v>
      </c>
      <c r="G226" s="8" t="str">
        <f t="shared" si="3"/>
        <v>BIRENBAUM THOMAS</v>
      </c>
    </row>
    <row r="227" spans="1:7" x14ac:dyDescent="0.25">
      <c r="A227" s="8">
        <v>42931.994537037041</v>
      </c>
      <c r="B227" t="s">
        <v>801</v>
      </c>
      <c r="C227" t="s">
        <v>804</v>
      </c>
      <c r="D227" s="138">
        <v>3030000</v>
      </c>
      <c r="E227" t="s">
        <v>372</v>
      </c>
      <c r="F227" s="20" t="s">
        <v>360</v>
      </c>
      <c r="G227" s="8" t="str">
        <f t="shared" si="3"/>
        <v>BIRENBAUM THOMAS</v>
      </c>
    </row>
    <row r="228" spans="1:7" x14ac:dyDescent="0.25">
      <c r="A228" s="8">
        <v>42931.995474537034</v>
      </c>
      <c r="B228" t="s">
        <v>488</v>
      </c>
      <c r="C228" t="s">
        <v>610</v>
      </c>
      <c r="D228" s="138">
        <v>3090000</v>
      </c>
      <c r="E228" t="s">
        <v>368</v>
      </c>
      <c r="F228" s="20" t="s">
        <v>369</v>
      </c>
      <c r="G228" s="8" t="str">
        <f t="shared" si="3"/>
        <v>LAMAR NEKESHA</v>
      </c>
    </row>
    <row r="229" spans="1:7" x14ac:dyDescent="0.25">
      <c r="A229" s="8">
        <v>42931.997511574074</v>
      </c>
      <c r="B229" t="s">
        <v>484</v>
      </c>
      <c r="C229" t="s">
        <v>826</v>
      </c>
      <c r="D229" s="138">
        <v>2620000</v>
      </c>
      <c r="E229" t="s">
        <v>555</v>
      </c>
      <c r="F229" s="20" t="s">
        <v>556</v>
      </c>
      <c r="G229" s="8" t="str">
        <f t="shared" si="3"/>
        <v>PERKINS DARREN</v>
      </c>
    </row>
    <row r="230" spans="1:7" x14ac:dyDescent="0.25">
      <c r="A230" s="8">
        <v>42932.011446759258</v>
      </c>
      <c r="B230" t="s">
        <v>798</v>
      </c>
      <c r="C230" t="s">
        <v>810</v>
      </c>
      <c r="D230" s="138">
        <v>3030000</v>
      </c>
      <c r="E230" t="s">
        <v>372</v>
      </c>
      <c r="F230" s="20" t="s">
        <v>360</v>
      </c>
      <c r="G230" s="8" t="str">
        <f t="shared" si="3"/>
        <v>BIRENBAUM THOMAS</v>
      </c>
    </row>
    <row r="231" spans="1:7" x14ac:dyDescent="0.25">
      <c r="A231" s="8">
        <v>42932.012662037036</v>
      </c>
      <c r="B231" t="s">
        <v>641</v>
      </c>
      <c r="C231" t="s">
        <v>827</v>
      </c>
      <c r="D231" s="138">
        <v>3000000</v>
      </c>
      <c r="E231" t="s">
        <v>387</v>
      </c>
      <c r="F231" s="20" t="s">
        <v>388</v>
      </c>
      <c r="G231" s="8" t="str">
        <f t="shared" si="3"/>
        <v>FORTUNATO FRANK</v>
      </c>
    </row>
    <row r="232" spans="1:7" x14ac:dyDescent="0.25">
      <c r="A232" s="8">
        <v>42932.0159375</v>
      </c>
      <c r="B232" t="s">
        <v>481</v>
      </c>
      <c r="C232" t="s">
        <v>828</v>
      </c>
      <c r="D232" s="138">
        <v>2730000</v>
      </c>
      <c r="E232" t="s">
        <v>420</v>
      </c>
      <c r="F232" s="20" t="s">
        <v>421</v>
      </c>
      <c r="G232" s="8" t="str">
        <f t="shared" si="3"/>
        <v>YANG JAN</v>
      </c>
    </row>
    <row r="233" spans="1:7" x14ac:dyDescent="0.25">
      <c r="A233" s="8">
        <v>42932.032384259262</v>
      </c>
      <c r="B233" t="s">
        <v>477</v>
      </c>
      <c r="C233" t="s">
        <v>611</v>
      </c>
      <c r="D233" s="138">
        <v>2620000</v>
      </c>
      <c r="E233" t="s">
        <v>555</v>
      </c>
      <c r="F233" s="20" t="s">
        <v>556</v>
      </c>
      <c r="G233" s="8" t="str">
        <f t="shared" si="3"/>
        <v>PERKINS DARREN</v>
      </c>
    </row>
    <row r="234" spans="1:7" x14ac:dyDescent="0.25">
      <c r="A234" s="8">
        <v>42932.037395833337</v>
      </c>
      <c r="B234" t="s">
        <v>471</v>
      </c>
      <c r="C234" t="s">
        <v>829</v>
      </c>
      <c r="D234" s="138">
        <v>3090000</v>
      </c>
      <c r="E234" t="s">
        <v>368</v>
      </c>
      <c r="F234" s="20" t="s">
        <v>369</v>
      </c>
      <c r="G234" s="8" t="str">
        <f t="shared" si="3"/>
        <v>LAMAR NEKESHA</v>
      </c>
    </row>
    <row r="235" spans="1:7" x14ac:dyDescent="0.25">
      <c r="A235" s="8">
        <v>42932.043217592596</v>
      </c>
      <c r="B235" t="s">
        <v>801</v>
      </c>
      <c r="C235" t="s">
        <v>810</v>
      </c>
      <c r="D235" s="138">
        <v>3030000</v>
      </c>
      <c r="E235" t="s">
        <v>372</v>
      </c>
      <c r="F235" s="20" t="s">
        <v>360</v>
      </c>
      <c r="G235" s="8" t="str">
        <f t="shared" si="3"/>
        <v>BIRENBAUM THOMAS</v>
      </c>
    </row>
    <row r="236" spans="1:7" x14ac:dyDescent="0.25">
      <c r="A236" s="8">
        <v>42932.048483796294</v>
      </c>
      <c r="B236" t="s">
        <v>552</v>
      </c>
      <c r="C236" t="s">
        <v>830</v>
      </c>
      <c r="D236" s="138">
        <v>3000000</v>
      </c>
      <c r="E236" t="s">
        <v>387</v>
      </c>
      <c r="F236" s="20" t="s">
        <v>388</v>
      </c>
      <c r="G236" s="8" t="str">
        <f t="shared" si="3"/>
        <v>FORTUNATO FRANK</v>
      </c>
    </row>
    <row r="237" spans="1:7" x14ac:dyDescent="0.25">
      <c r="A237" s="8">
        <v>42932.048738425925</v>
      </c>
      <c r="B237" t="s">
        <v>550</v>
      </c>
      <c r="C237" t="s">
        <v>831</v>
      </c>
      <c r="D237" s="138">
        <v>2730000</v>
      </c>
      <c r="E237" t="s">
        <v>420</v>
      </c>
      <c r="F237" s="20" t="s">
        <v>421</v>
      </c>
      <c r="G237" s="8" t="str">
        <f t="shared" si="3"/>
        <v>YANG JAN</v>
      </c>
    </row>
    <row r="238" spans="1:7" x14ac:dyDescent="0.25">
      <c r="A238" s="8">
        <v>42932.069710648146</v>
      </c>
      <c r="B238" t="s">
        <v>484</v>
      </c>
      <c r="C238" t="s">
        <v>832</v>
      </c>
      <c r="D238" s="138">
        <v>2620000</v>
      </c>
      <c r="E238" t="s">
        <v>555</v>
      </c>
      <c r="F238" s="20" t="s">
        <v>556</v>
      </c>
      <c r="G238" s="8" t="str">
        <f t="shared" si="3"/>
        <v>PERKINS DARREN</v>
      </c>
    </row>
    <row r="239" spans="1:7" x14ac:dyDescent="0.25">
      <c r="A239" s="8">
        <v>42932.077314814815</v>
      </c>
      <c r="B239" t="s">
        <v>488</v>
      </c>
      <c r="C239" t="s">
        <v>612</v>
      </c>
      <c r="D239" s="138">
        <v>3090000</v>
      </c>
      <c r="E239" t="s">
        <v>368</v>
      </c>
      <c r="F239" s="20" t="s">
        <v>369</v>
      </c>
      <c r="G239" s="8" t="str">
        <f t="shared" si="3"/>
        <v>LAMAR NEKESHA</v>
      </c>
    </row>
    <row r="240" spans="1:7" x14ac:dyDescent="0.25">
      <c r="A240" s="8">
        <v>42932.088877314818</v>
      </c>
      <c r="B240" t="s">
        <v>641</v>
      </c>
      <c r="C240" t="s">
        <v>833</v>
      </c>
      <c r="D240" s="138">
        <v>3000000</v>
      </c>
      <c r="E240" t="s">
        <v>387</v>
      </c>
      <c r="F240" s="20" t="s">
        <v>388</v>
      </c>
      <c r="G240" s="8" t="str">
        <f t="shared" si="3"/>
        <v>FORTUNATO FRANK</v>
      </c>
    </row>
    <row r="241" spans="1:7" x14ac:dyDescent="0.25">
      <c r="A241" s="8">
        <v>42932.110868055555</v>
      </c>
      <c r="B241" t="s">
        <v>471</v>
      </c>
      <c r="C241" t="s">
        <v>834</v>
      </c>
      <c r="D241" s="138">
        <v>3090000</v>
      </c>
      <c r="E241" t="s">
        <v>368</v>
      </c>
      <c r="F241" s="20" t="s">
        <v>369</v>
      </c>
      <c r="G241" s="8" t="str">
        <f t="shared" si="3"/>
        <v>LAMAR NEKESHA</v>
      </c>
    </row>
    <row r="242" spans="1:7" x14ac:dyDescent="0.25">
      <c r="A242" s="8">
        <v>42929.028043981481</v>
      </c>
      <c r="B242" t="s">
        <v>470</v>
      </c>
      <c r="C242" t="s">
        <v>519</v>
      </c>
      <c r="D242" s="138">
        <v>3000000</v>
      </c>
      <c r="E242" t="s">
        <v>387</v>
      </c>
      <c r="F242" s="20" t="s">
        <v>388</v>
      </c>
      <c r="G242" s="8" t="str">
        <f t="shared" si="3"/>
        <v>FORTUNATO FRANK</v>
      </c>
    </row>
    <row r="243" spans="1:7" x14ac:dyDescent="0.25">
      <c r="A243" s="8">
        <v>42929.029398148145</v>
      </c>
      <c r="B243" t="s">
        <v>470</v>
      </c>
      <c r="C243" t="s">
        <v>519</v>
      </c>
      <c r="D243" s="138">
        <v>3000000</v>
      </c>
      <c r="E243" t="s">
        <v>387</v>
      </c>
      <c r="F243" s="20" t="s">
        <v>388</v>
      </c>
      <c r="G243" s="8" t="str">
        <f t="shared" si="3"/>
        <v>FORTUNATO FRANK</v>
      </c>
    </row>
    <row r="244" spans="1:7" x14ac:dyDescent="0.25">
      <c r="A244" s="8">
        <v>42929.030925925923</v>
      </c>
      <c r="B244" t="s">
        <v>415</v>
      </c>
      <c r="C244" t="s">
        <v>520</v>
      </c>
      <c r="D244" s="138">
        <v>2230000</v>
      </c>
      <c r="E244" t="s">
        <v>338</v>
      </c>
      <c r="F244" s="20" t="s">
        <v>192</v>
      </c>
      <c r="G244" s="8" t="str">
        <f t="shared" si="3"/>
        <v>SMITH MICHAEL</v>
      </c>
    </row>
    <row r="245" spans="1:7" x14ac:dyDescent="0.25">
      <c r="A245" s="8">
        <v>42929.048171296294</v>
      </c>
      <c r="B245" t="s">
        <v>429</v>
      </c>
      <c r="C245" t="s">
        <v>521</v>
      </c>
      <c r="D245" s="138">
        <v>2630000</v>
      </c>
      <c r="E245" t="s">
        <v>517</v>
      </c>
      <c r="F245" s="20" t="s">
        <v>518</v>
      </c>
      <c r="G245" s="8" t="str">
        <f t="shared" si="3"/>
        <v>SAFIEF AEIMEN</v>
      </c>
    </row>
    <row r="246" spans="1:7" x14ac:dyDescent="0.25">
      <c r="A246" s="8">
        <v>42929.049131944441</v>
      </c>
      <c r="B246" t="s">
        <v>429</v>
      </c>
      <c r="C246" t="s">
        <v>521</v>
      </c>
      <c r="D246" s="138">
        <v>2630000</v>
      </c>
      <c r="E246" t="s">
        <v>517</v>
      </c>
      <c r="F246" s="20" t="s">
        <v>518</v>
      </c>
      <c r="G246" s="8" t="str">
        <f t="shared" si="3"/>
        <v>SAFIEF AEIMEN</v>
      </c>
    </row>
    <row r="247" spans="1:7" x14ac:dyDescent="0.25">
      <c r="A247" s="8">
        <v>42929.050497685188</v>
      </c>
      <c r="B247" t="s">
        <v>429</v>
      </c>
      <c r="C247" t="s">
        <v>521</v>
      </c>
      <c r="D247" s="138">
        <v>2630000</v>
      </c>
      <c r="E247" t="s">
        <v>517</v>
      </c>
      <c r="F247" s="20" t="s">
        <v>518</v>
      </c>
      <c r="G247" s="8" t="str">
        <f t="shared" si="3"/>
        <v>SAFIEF AEIMEN</v>
      </c>
    </row>
    <row r="248" spans="1:7" x14ac:dyDescent="0.25">
      <c r="A248" s="8">
        <v>42929.055717592593</v>
      </c>
      <c r="B248" t="s">
        <v>392</v>
      </c>
      <c r="C248" t="s">
        <v>511</v>
      </c>
      <c r="D248" s="138">
        <v>3090000</v>
      </c>
      <c r="E248" t="s">
        <v>368</v>
      </c>
      <c r="F248" s="20" t="s">
        <v>369</v>
      </c>
      <c r="G248" s="8" t="str">
        <f t="shared" si="3"/>
        <v>LAMAR NEKESHA</v>
      </c>
    </row>
    <row r="249" spans="1:7" x14ac:dyDescent="0.25">
      <c r="A249" s="8">
        <v>42929.068784722222</v>
      </c>
      <c r="B249" t="s">
        <v>413</v>
      </c>
      <c r="C249" t="s">
        <v>522</v>
      </c>
      <c r="D249" s="138">
        <v>2230000</v>
      </c>
      <c r="E249" t="s">
        <v>338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42929.090856481482</v>
      </c>
      <c r="B250" t="s">
        <v>393</v>
      </c>
      <c r="C250" t="s">
        <v>523</v>
      </c>
      <c r="D250" s="138">
        <v>3090000</v>
      </c>
      <c r="E250" t="s">
        <v>368</v>
      </c>
      <c r="F250" s="20" t="s">
        <v>369</v>
      </c>
      <c r="G250" s="8" t="str">
        <f t="shared" si="3"/>
        <v>LAMAR NEKESHA</v>
      </c>
    </row>
    <row r="251" spans="1:7" x14ac:dyDescent="0.25">
      <c r="A251" s="8">
        <v>42929.091932870368</v>
      </c>
      <c r="B251" t="s">
        <v>393</v>
      </c>
      <c r="C251" t="s">
        <v>523</v>
      </c>
      <c r="D251" s="138">
        <v>3090000</v>
      </c>
      <c r="E251" t="s">
        <v>368</v>
      </c>
      <c r="F251" s="20" t="s">
        <v>369</v>
      </c>
      <c r="G251" s="8" t="str">
        <f t="shared" si="3"/>
        <v>LAMAR NEKESHA</v>
      </c>
    </row>
    <row r="252" spans="1:7" x14ac:dyDescent="0.25">
      <c r="A252" s="8">
        <v>42929.092905092592</v>
      </c>
      <c r="B252" t="s">
        <v>393</v>
      </c>
      <c r="C252" t="s">
        <v>523</v>
      </c>
      <c r="D252" s="138">
        <v>3090000</v>
      </c>
      <c r="E252" t="s">
        <v>368</v>
      </c>
      <c r="F252" s="20" t="s">
        <v>369</v>
      </c>
      <c r="G252" s="8" t="str">
        <f t="shared" si="3"/>
        <v>LAMAR NEKESHA</v>
      </c>
    </row>
    <row r="253" spans="1:7" x14ac:dyDescent="0.25">
      <c r="A253" s="8">
        <v>42929.114247685182</v>
      </c>
      <c r="B253" t="s">
        <v>481</v>
      </c>
      <c r="C253" t="s">
        <v>524</v>
      </c>
      <c r="D253" s="138">
        <v>1110000</v>
      </c>
      <c r="E253" t="s">
        <v>430</v>
      </c>
      <c r="F253" s="20" t="s">
        <v>431</v>
      </c>
      <c r="G253" s="8" t="str">
        <f t="shared" si="3"/>
        <v>STARKS ANGELINA</v>
      </c>
    </row>
    <row r="254" spans="1:7" x14ac:dyDescent="0.25">
      <c r="A254" s="8">
        <v>42928.012627314813</v>
      </c>
      <c r="B254" t="s">
        <v>419</v>
      </c>
      <c r="C254" t="s">
        <v>489</v>
      </c>
      <c r="D254" s="138">
        <v>3280000</v>
      </c>
      <c r="E254" t="s">
        <v>475</v>
      </c>
      <c r="F254" s="20" t="s">
        <v>476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352</v>
      </c>
      <c r="C255" t="s">
        <v>490</v>
      </c>
      <c r="D255" s="138">
        <v>3090000</v>
      </c>
      <c r="E255" t="s">
        <v>368</v>
      </c>
      <c r="F255" s="20" t="s">
        <v>369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484</v>
      </c>
      <c r="C256" t="s">
        <v>491</v>
      </c>
      <c r="D256" s="138">
        <v>2090000</v>
      </c>
      <c r="E256" t="s">
        <v>398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484</v>
      </c>
      <c r="C257" t="s">
        <v>491</v>
      </c>
      <c r="D257" s="138">
        <v>2090000</v>
      </c>
      <c r="E257" t="s">
        <v>398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472</v>
      </c>
      <c r="C258" t="s">
        <v>492</v>
      </c>
      <c r="D258" s="138">
        <v>3000000</v>
      </c>
      <c r="E258" t="s">
        <v>387</v>
      </c>
      <c r="F258" s="20" t="s">
        <v>388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382</v>
      </c>
      <c r="C259" t="s">
        <v>493</v>
      </c>
      <c r="D259" s="138">
        <v>3280000</v>
      </c>
      <c r="E259" t="s">
        <v>475</v>
      </c>
      <c r="F259" s="20" t="s">
        <v>476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436</v>
      </c>
      <c r="C260" t="s">
        <v>494</v>
      </c>
      <c r="D260" s="138">
        <v>3090000</v>
      </c>
      <c r="E260" t="s">
        <v>368</v>
      </c>
      <c r="F260" s="20" t="s">
        <v>369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495</v>
      </c>
      <c r="D261" s="138">
        <v>3000000</v>
      </c>
      <c r="E261" t="s">
        <v>387</v>
      </c>
      <c r="F261" s="20" t="s">
        <v>388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495</v>
      </c>
      <c r="D262" s="138">
        <v>3000000</v>
      </c>
      <c r="E262" t="s">
        <v>387</v>
      </c>
      <c r="F262" s="20" t="s">
        <v>388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495</v>
      </c>
      <c r="D263" s="138">
        <v>3000000</v>
      </c>
      <c r="E263" t="s">
        <v>387</v>
      </c>
      <c r="F263" s="20" t="s">
        <v>388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496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473</v>
      </c>
      <c r="D265" s="138">
        <v>3000000</v>
      </c>
      <c r="E265" t="s">
        <v>387</v>
      </c>
      <c r="F265" s="20" t="s">
        <v>388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477</v>
      </c>
      <c r="C266" t="s">
        <v>478</v>
      </c>
      <c r="D266" s="138">
        <v>1110000</v>
      </c>
      <c r="E266" t="s">
        <v>430</v>
      </c>
      <c r="F266" s="20" t="s">
        <v>431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413</v>
      </c>
      <c r="C267" t="s">
        <v>442</v>
      </c>
      <c r="D267" s="138">
        <v>2090000</v>
      </c>
      <c r="E267" t="s">
        <v>398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393</v>
      </c>
      <c r="C268" t="s">
        <v>443</v>
      </c>
      <c r="D268" s="138">
        <v>2000000</v>
      </c>
      <c r="E268" t="s">
        <v>399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419</v>
      </c>
      <c r="C269" t="s">
        <v>444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394</v>
      </c>
      <c r="C270" t="s">
        <v>445</v>
      </c>
      <c r="D270" s="138">
        <v>2610000</v>
      </c>
      <c r="E270" t="s">
        <v>384</v>
      </c>
      <c r="F270" s="20" t="s">
        <v>385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413</v>
      </c>
      <c r="C271" t="s">
        <v>442</v>
      </c>
      <c r="D271" s="138">
        <v>2090000</v>
      </c>
      <c r="E271" t="s">
        <v>398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392</v>
      </c>
      <c r="C272" t="s">
        <v>446</v>
      </c>
      <c r="D272" s="138">
        <v>2000000</v>
      </c>
      <c r="E272" t="s">
        <v>399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395</v>
      </c>
      <c r="C273" t="s">
        <v>445</v>
      </c>
      <c r="D273" s="138">
        <v>2610000</v>
      </c>
      <c r="E273" t="s">
        <v>384</v>
      </c>
      <c r="F273" s="20" t="s">
        <v>385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439</v>
      </c>
      <c r="C274" t="s">
        <v>447</v>
      </c>
      <c r="D274" s="138">
        <v>3000000</v>
      </c>
      <c r="E274" t="s">
        <v>387</v>
      </c>
      <c r="F274" s="20" t="s">
        <v>388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394</v>
      </c>
      <c r="C275" t="s">
        <v>448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393</v>
      </c>
      <c r="C276" t="s">
        <v>449</v>
      </c>
      <c r="D276" s="138">
        <v>2000000</v>
      </c>
      <c r="E276" t="s">
        <v>399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415</v>
      </c>
      <c r="C277" t="s">
        <v>450</v>
      </c>
      <c r="D277" s="138">
        <v>2090000</v>
      </c>
      <c r="E277" t="s">
        <v>398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451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392</v>
      </c>
      <c r="C279" t="s">
        <v>452</v>
      </c>
      <c r="D279" s="138">
        <v>2000000</v>
      </c>
      <c r="E279" t="s">
        <v>399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438</v>
      </c>
      <c r="C280" t="s">
        <v>453</v>
      </c>
      <c r="D280" s="138">
        <v>3000000</v>
      </c>
      <c r="E280" t="s">
        <v>387</v>
      </c>
      <c r="F280" s="20" t="s">
        <v>388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395</v>
      </c>
      <c r="C281" t="s">
        <v>454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393</v>
      </c>
      <c r="C282" t="s">
        <v>452</v>
      </c>
      <c r="D282" s="138">
        <v>2000000</v>
      </c>
      <c r="E282" t="s">
        <v>399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413</v>
      </c>
      <c r="C283" t="s">
        <v>455</v>
      </c>
      <c r="D283" s="138">
        <v>2090000</v>
      </c>
      <c r="E283" t="s">
        <v>398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456</v>
      </c>
      <c r="D284" s="138">
        <v>2610000</v>
      </c>
      <c r="E284" t="s">
        <v>384</v>
      </c>
      <c r="F284" s="20" t="s">
        <v>385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436</v>
      </c>
      <c r="C285" t="s">
        <v>457</v>
      </c>
      <c r="D285" s="138">
        <v>2610000</v>
      </c>
      <c r="E285" t="s">
        <v>384</v>
      </c>
      <c r="F285" s="20" t="s">
        <v>385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419</v>
      </c>
      <c r="C286" t="s">
        <v>458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439</v>
      </c>
      <c r="C287" t="s">
        <v>459</v>
      </c>
      <c r="D287" s="138">
        <v>3000000</v>
      </c>
      <c r="E287" t="s">
        <v>387</v>
      </c>
      <c r="F287" s="20" t="s">
        <v>388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460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415</v>
      </c>
      <c r="C289" t="s">
        <v>440</v>
      </c>
      <c r="D289" s="138">
        <v>2090000</v>
      </c>
      <c r="E289" t="s">
        <v>398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461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438</v>
      </c>
      <c r="C291" t="s">
        <v>462</v>
      </c>
      <c r="D291" s="138">
        <v>3000000</v>
      </c>
      <c r="E291" t="s">
        <v>387</v>
      </c>
      <c r="F291" s="20" t="s">
        <v>388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413</v>
      </c>
      <c r="C292" t="s">
        <v>463</v>
      </c>
      <c r="D292" s="138">
        <v>2090000</v>
      </c>
      <c r="E292" t="s">
        <v>398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419</v>
      </c>
      <c r="C293" t="s">
        <v>464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465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466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466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466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497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400</v>
      </c>
      <c r="P1" s="171" t="s">
        <v>156</v>
      </c>
      <c r="Q1" s="171" t="s">
        <v>163</v>
      </c>
      <c r="R1" s="171" t="s">
        <v>401</v>
      </c>
      <c r="S1" s="171" t="s">
        <v>160</v>
      </c>
    </row>
    <row r="2" spans="1:19" x14ac:dyDescent="0.25">
      <c r="A2" s="172">
        <v>70.400000000000006</v>
      </c>
      <c r="B2" s="172">
        <v>0.38</v>
      </c>
      <c r="C2" s="172">
        <v>52.86</v>
      </c>
      <c r="D2" s="8">
        <v>42931</v>
      </c>
      <c r="E2" s="172">
        <v>0.54</v>
      </c>
      <c r="F2" s="172" t="s">
        <v>467</v>
      </c>
      <c r="G2" s="172">
        <v>288.29000000000002</v>
      </c>
      <c r="H2" s="172">
        <v>0</v>
      </c>
      <c r="I2" s="172">
        <v>0</v>
      </c>
      <c r="J2" s="172"/>
      <c r="K2" s="172">
        <v>1018.64</v>
      </c>
      <c r="L2" s="172" t="s">
        <v>412</v>
      </c>
      <c r="M2" s="172">
        <v>70.400000000000006</v>
      </c>
      <c r="N2" s="172">
        <v>1500098400</v>
      </c>
      <c r="O2" s="172">
        <v>0</v>
      </c>
      <c r="P2" s="172">
        <v>9.9</v>
      </c>
      <c r="Q2" s="172">
        <v>205</v>
      </c>
      <c r="R2" s="172">
        <v>5.74</v>
      </c>
      <c r="S2" s="172">
        <v>4.1900000000000004</v>
      </c>
    </row>
    <row r="3" spans="1:19" x14ac:dyDescent="0.25">
      <c r="A3" s="172">
        <v>69.77</v>
      </c>
      <c r="B3" s="172">
        <v>0.33</v>
      </c>
      <c r="C3" s="172">
        <v>52.64</v>
      </c>
      <c r="D3" s="8">
        <v>42931.041666666664</v>
      </c>
      <c r="E3" s="172">
        <v>0.55000000000000004</v>
      </c>
      <c r="F3" s="172" t="s">
        <v>467</v>
      </c>
      <c r="G3" s="172">
        <v>286.69</v>
      </c>
      <c r="H3" s="172">
        <v>0</v>
      </c>
      <c r="I3" s="172">
        <v>0</v>
      </c>
      <c r="J3" s="172"/>
      <c r="K3" s="172">
        <v>1018.53</v>
      </c>
      <c r="L3" s="172" t="s">
        <v>412</v>
      </c>
      <c r="M3" s="172">
        <v>69.77</v>
      </c>
      <c r="N3" s="172">
        <v>1500102000</v>
      </c>
      <c r="O3" s="172">
        <v>0</v>
      </c>
      <c r="P3" s="172">
        <v>10</v>
      </c>
      <c r="Q3" s="172">
        <v>212</v>
      </c>
      <c r="R3" s="172">
        <v>5.13</v>
      </c>
      <c r="S3" s="172">
        <v>3.92</v>
      </c>
    </row>
    <row r="4" spans="1:19" x14ac:dyDescent="0.25">
      <c r="A4" s="172">
        <v>68.760000000000005</v>
      </c>
      <c r="B4" s="172">
        <v>0.32</v>
      </c>
      <c r="C4" s="172">
        <v>52.41</v>
      </c>
      <c r="D4" s="8">
        <v>42931.083333333336</v>
      </c>
      <c r="E4" s="172">
        <v>0.56000000000000005</v>
      </c>
      <c r="F4" s="172" t="s">
        <v>467</v>
      </c>
      <c r="G4" s="172">
        <v>284.62</v>
      </c>
      <c r="H4" s="172">
        <v>0</v>
      </c>
      <c r="I4" s="172">
        <v>0</v>
      </c>
      <c r="J4" s="172"/>
      <c r="K4" s="172">
        <v>1018.72</v>
      </c>
      <c r="L4" s="172" t="s">
        <v>412</v>
      </c>
      <c r="M4" s="172">
        <v>68.760000000000005</v>
      </c>
      <c r="N4" s="172">
        <v>1500105600</v>
      </c>
      <c r="O4" s="172">
        <v>0</v>
      </c>
      <c r="P4" s="172">
        <v>10</v>
      </c>
      <c r="Q4" s="172">
        <v>229</v>
      </c>
      <c r="R4" s="172">
        <v>4.18</v>
      </c>
      <c r="S4" s="172">
        <v>3.26</v>
      </c>
    </row>
    <row r="5" spans="1:19" x14ac:dyDescent="0.25">
      <c r="A5" s="172">
        <v>67.52</v>
      </c>
      <c r="B5" s="172">
        <v>0.35</v>
      </c>
      <c r="C5" s="172">
        <v>51.83</v>
      </c>
      <c r="D5" s="8">
        <v>42931.125</v>
      </c>
      <c r="E5" s="172">
        <v>0.56999999999999995</v>
      </c>
      <c r="F5" s="172" t="s">
        <v>467</v>
      </c>
      <c r="G5" s="172">
        <v>283</v>
      </c>
      <c r="H5" s="172">
        <v>0</v>
      </c>
      <c r="I5" s="172">
        <v>0</v>
      </c>
      <c r="J5" s="172"/>
      <c r="K5" s="172">
        <v>1019.45</v>
      </c>
      <c r="L5" s="172" t="s">
        <v>412</v>
      </c>
      <c r="M5" s="172">
        <v>67.52</v>
      </c>
      <c r="N5" s="172">
        <v>1500109200</v>
      </c>
      <c r="O5" s="172">
        <v>0</v>
      </c>
      <c r="P5" s="172">
        <v>10</v>
      </c>
      <c r="Q5" s="172">
        <v>225</v>
      </c>
      <c r="R5" s="172">
        <v>3.69</v>
      </c>
      <c r="S5" s="172">
        <v>2.2599999999999998</v>
      </c>
    </row>
    <row r="6" spans="1:19" x14ac:dyDescent="0.25">
      <c r="A6" s="172">
        <v>66.180000000000007</v>
      </c>
      <c r="B6" s="172">
        <v>0.33</v>
      </c>
      <c r="C6" s="172">
        <v>51.33</v>
      </c>
      <c r="D6" s="8">
        <v>42931.166666666664</v>
      </c>
      <c r="E6" s="172">
        <v>0.59</v>
      </c>
      <c r="F6" s="172" t="s">
        <v>467</v>
      </c>
      <c r="G6" s="172">
        <v>282.19</v>
      </c>
      <c r="H6" s="172">
        <v>0</v>
      </c>
      <c r="I6" s="172">
        <v>0</v>
      </c>
      <c r="J6" s="172"/>
      <c r="K6" s="172">
        <v>1019.81</v>
      </c>
      <c r="L6" s="172" t="s">
        <v>412</v>
      </c>
      <c r="M6" s="172">
        <v>66.180000000000007</v>
      </c>
      <c r="N6" s="172">
        <v>1500112800</v>
      </c>
      <c r="O6" s="172">
        <v>0</v>
      </c>
      <c r="P6" s="172">
        <v>10</v>
      </c>
      <c r="Q6" s="172">
        <v>153</v>
      </c>
      <c r="R6" s="172">
        <v>3.82</v>
      </c>
      <c r="S6" s="172">
        <v>2.13</v>
      </c>
    </row>
    <row r="7" spans="1:19" x14ac:dyDescent="0.25">
      <c r="A7" s="172">
        <v>64.569999999999993</v>
      </c>
      <c r="B7" s="172">
        <v>0.48</v>
      </c>
      <c r="C7" s="172">
        <v>51.18</v>
      </c>
      <c r="D7" s="8">
        <v>42931.208333333336</v>
      </c>
      <c r="E7" s="172">
        <v>0.62</v>
      </c>
      <c r="F7" s="172" t="s">
        <v>467</v>
      </c>
      <c r="G7" s="172">
        <v>281.85000000000002</v>
      </c>
      <c r="H7" s="172">
        <v>0</v>
      </c>
      <c r="I7" s="172">
        <v>0</v>
      </c>
      <c r="J7" s="172"/>
      <c r="K7" s="172">
        <v>1020.17</v>
      </c>
      <c r="L7" s="172" t="s">
        <v>412</v>
      </c>
      <c r="M7" s="172">
        <v>64.569999999999993</v>
      </c>
      <c r="N7" s="172">
        <v>1500116400</v>
      </c>
      <c r="O7" s="172">
        <v>0</v>
      </c>
      <c r="P7" s="172">
        <v>10</v>
      </c>
      <c r="Q7" s="172">
        <v>49</v>
      </c>
      <c r="R7" s="172">
        <v>4.8</v>
      </c>
      <c r="S7" s="172">
        <v>2.4500000000000002</v>
      </c>
    </row>
    <row r="8" spans="1:19" x14ac:dyDescent="0.25">
      <c r="A8" s="172">
        <v>66.069999999999993</v>
      </c>
      <c r="B8" s="172">
        <v>0.5</v>
      </c>
      <c r="C8" s="172">
        <v>51.17</v>
      </c>
      <c r="D8" s="8">
        <v>42931.25</v>
      </c>
      <c r="E8" s="172">
        <v>0.59</v>
      </c>
      <c r="F8" s="172" t="s">
        <v>411</v>
      </c>
      <c r="G8" s="172">
        <v>282.55</v>
      </c>
      <c r="H8" s="172">
        <v>0</v>
      </c>
      <c r="I8" s="172">
        <v>0</v>
      </c>
      <c r="J8" s="172"/>
      <c r="K8" s="172">
        <v>1020.79</v>
      </c>
      <c r="L8" s="172" t="s">
        <v>412</v>
      </c>
      <c r="M8" s="172">
        <v>66.069999999999993</v>
      </c>
      <c r="N8" s="172">
        <v>1500120000</v>
      </c>
      <c r="O8" s="172">
        <v>0</v>
      </c>
      <c r="P8" s="172">
        <v>10</v>
      </c>
      <c r="Q8" s="172">
        <v>256</v>
      </c>
      <c r="R8" s="172">
        <v>4.32</v>
      </c>
      <c r="S8" s="172">
        <v>2.66</v>
      </c>
    </row>
    <row r="9" spans="1:19" x14ac:dyDescent="0.25">
      <c r="A9" s="172">
        <v>67.52</v>
      </c>
      <c r="B9" s="172">
        <v>0.56000000000000005</v>
      </c>
      <c r="C9" s="172">
        <v>51.07</v>
      </c>
      <c r="D9" s="8">
        <v>42931.291666666664</v>
      </c>
      <c r="E9" s="172">
        <v>0.56000000000000005</v>
      </c>
      <c r="F9" s="172" t="s">
        <v>411</v>
      </c>
      <c r="G9" s="172">
        <v>282.08999999999997</v>
      </c>
      <c r="H9" s="172">
        <v>0</v>
      </c>
      <c r="I9" s="172">
        <v>0</v>
      </c>
      <c r="J9" s="172"/>
      <c r="K9" s="172">
        <v>1020.7</v>
      </c>
      <c r="L9" s="172" t="s">
        <v>412</v>
      </c>
      <c r="M9" s="172">
        <v>67.52</v>
      </c>
      <c r="N9" s="172">
        <v>1500123600</v>
      </c>
      <c r="O9" s="172">
        <v>0</v>
      </c>
      <c r="P9" s="172">
        <v>10</v>
      </c>
      <c r="Q9" s="172">
        <v>184</v>
      </c>
      <c r="R9" s="172">
        <v>4.82</v>
      </c>
      <c r="S9" s="172">
        <v>3.86</v>
      </c>
    </row>
    <row r="10" spans="1:19" x14ac:dyDescent="0.25">
      <c r="A10" s="172">
        <v>70.58</v>
      </c>
      <c r="B10" s="172">
        <v>0.59</v>
      </c>
      <c r="C10" s="172">
        <v>51.69</v>
      </c>
      <c r="D10" s="8">
        <v>42931.333333333336</v>
      </c>
      <c r="E10" s="172">
        <v>0.51</v>
      </c>
      <c r="F10" s="172" t="s">
        <v>411</v>
      </c>
      <c r="G10" s="172">
        <v>281.5</v>
      </c>
      <c r="H10" s="172">
        <v>0</v>
      </c>
      <c r="I10" s="172">
        <v>0</v>
      </c>
      <c r="J10" s="172"/>
      <c r="K10" s="172">
        <v>1020.54</v>
      </c>
      <c r="L10" s="172" t="s">
        <v>412</v>
      </c>
      <c r="M10" s="172">
        <v>70.58</v>
      </c>
      <c r="N10" s="172">
        <v>1500127200</v>
      </c>
      <c r="O10" s="172">
        <v>1</v>
      </c>
      <c r="P10" s="172">
        <v>10</v>
      </c>
      <c r="Q10" s="172">
        <v>39</v>
      </c>
      <c r="R10" s="172">
        <v>5.12</v>
      </c>
      <c r="S10" s="172">
        <v>3.47</v>
      </c>
    </row>
    <row r="11" spans="1:19" x14ac:dyDescent="0.25">
      <c r="A11" s="172">
        <v>74.75</v>
      </c>
      <c r="B11" s="172">
        <v>0.65</v>
      </c>
      <c r="C11" s="172">
        <v>52.4</v>
      </c>
      <c r="D11" s="8">
        <v>42931.375</v>
      </c>
      <c r="E11" s="172">
        <v>0.46</v>
      </c>
      <c r="F11" s="172" t="s">
        <v>411</v>
      </c>
      <c r="G11" s="172">
        <v>280.91000000000003</v>
      </c>
      <c r="H11" s="172">
        <v>0</v>
      </c>
      <c r="I11" s="172">
        <v>0</v>
      </c>
      <c r="J11" s="172"/>
      <c r="K11" s="172">
        <v>1020.13</v>
      </c>
      <c r="L11" s="172" t="s">
        <v>498</v>
      </c>
      <c r="M11" s="172">
        <v>74.75</v>
      </c>
      <c r="N11" s="172">
        <v>1500130800</v>
      </c>
      <c r="O11" s="172">
        <v>2</v>
      </c>
      <c r="P11" s="172">
        <v>10</v>
      </c>
      <c r="Q11" s="172">
        <v>26</v>
      </c>
      <c r="R11" s="172">
        <v>4.93</v>
      </c>
      <c r="S11" s="172">
        <v>3.06</v>
      </c>
    </row>
    <row r="12" spans="1:19" x14ac:dyDescent="0.25">
      <c r="A12" s="172">
        <v>78.680000000000007</v>
      </c>
      <c r="B12" s="172">
        <v>0.61</v>
      </c>
      <c r="C12" s="172">
        <v>51.87</v>
      </c>
      <c r="D12" s="8">
        <v>42931.416666666664</v>
      </c>
      <c r="E12" s="172">
        <v>0.39</v>
      </c>
      <c r="F12" s="172" t="s">
        <v>411</v>
      </c>
      <c r="G12" s="172">
        <v>280.32</v>
      </c>
      <c r="H12" s="172">
        <v>0</v>
      </c>
      <c r="I12" s="172">
        <v>0</v>
      </c>
      <c r="J12" s="172"/>
      <c r="K12" s="172">
        <v>1019.73</v>
      </c>
      <c r="L12" s="172" t="s">
        <v>498</v>
      </c>
      <c r="M12" s="172">
        <v>78.680000000000007</v>
      </c>
      <c r="N12" s="172">
        <v>1500134400</v>
      </c>
      <c r="O12" s="172">
        <v>4</v>
      </c>
      <c r="P12" s="172">
        <v>10</v>
      </c>
      <c r="Q12" s="172">
        <v>32</v>
      </c>
      <c r="R12" s="172">
        <v>5.24</v>
      </c>
      <c r="S12" s="172">
        <v>4.3499999999999996</v>
      </c>
    </row>
    <row r="13" spans="1:19" x14ac:dyDescent="0.25">
      <c r="A13" s="172">
        <v>81.55</v>
      </c>
      <c r="B13" s="172">
        <v>0.62</v>
      </c>
      <c r="C13" s="172">
        <v>51.86</v>
      </c>
      <c r="D13" s="8">
        <v>42931.458333333336</v>
      </c>
      <c r="E13" s="172">
        <v>0.36</v>
      </c>
      <c r="F13" s="172" t="s">
        <v>411</v>
      </c>
      <c r="G13" s="172">
        <v>279.61</v>
      </c>
      <c r="H13" s="172">
        <v>0</v>
      </c>
      <c r="I13" s="172">
        <v>0</v>
      </c>
      <c r="J13" s="172"/>
      <c r="K13" s="172">
        <v>1019.41</v>
      </c>
      <c r="L13" s="172" t="s">
        <v>498</v>
      </c>
      <c r="M13" s="172">
        <v>81.55</v>
      </c>
      <c r="N13" s="172">
        <v>1500138000</v>
      </c>
      <c r="O13" s="172">
        <v>6</v>
      </c>
      <c r="P13" s="172">
        <v>10</v>
      </c>
      <c r="Q13" s="172">
        <v>60</v>
      </c>
      <c r="R13" s="172">
        <v>6.41</v>
      </c>
      <c r="S13" s="172">
        <v>5.83</v>
      </c>
    </row>
    <row r="14" spans="1:19" x14ac:dyDescent="0.25">
      <c r="A14" s="172">
        <v>83.73</v>
      </c>
      <c r="B14" s="172">
        <v>0.59</v>
      </c>
      <c r="C14" s="172">
        <v>51.76</v>
      </c>
      <c r="D14" s="8">
        <v>42931.5</v>
      </c>
      <c r="E14" s="172">
        <v>0.33</v>
      </c>
      <c r="F14" s="172" t="s">
        <v>411</v>
      </c>
      <c r="G14" s="172">
        <v>282.19</v>
      </c>
      <c r="H14" s="172">
        <v>0</v>
      </c>
      <c r="I14" s="172">
        <v>0</v>
      </c>
      <c r="J14" s="172"/>
      <c r="K14" s="172">
        <v>1019.21</v>
      </c>
      <c r="L14" s="172" t="s">
        <v>412</v>
      </c>
      <c r="M14" s="172">
        <v>83.73</v>
      </c>
      <c r="N14" s="172">
        <v>1500141600</v>
      </c>
      <c r="O14" s="172">
        <v>8</v>
      </c>
      <c r="P14" s="172">
        <v>10</v>
      </c>
      <c r="Q14" s="172">
        <v>75</v>
      </c>
      <c r="R14" s="172">
        <v>7.01</v>
      </c>
      <c r="S14" s="172">
        <v>7</v>
      </c>
    </row>
    <row r="15" spans="1:19" x14ac:dyDescent="0.25">
      <c r="A15" s="172">
        <v>84.33</v>
      </c>
      <c r="B15" s="172">
        <v>0.49</v>
      </c>
      <c r="C15" s="172">
        <v>52.31</v>
      </c>
      <c r="D15" s="8">
        <v>42931.541666666664</v>
      </c>
      <c r="E15" s="172">
        <v>0.33</v>
      </c>
      <c r="F15" s="172" t="s">
        <v>411</v>
      </c>
      <c r="G15" s="172">
        <v>281.83999999999997</v>
      </c>
      <c r="H15" s="172">
        <v>3.3999999999999998E-3</v>
      </c>
      <c r="I15" s="172">
        <v>0.01</v>
      </c>
      <c r="J15" s="172" t="s">
        <v>499</v>
      </c>
      <c r="K15" s="172">
        <v>1018.56</v>
      </c>
      <c r="L15" s="172" t="s">
        <v>412</v>
      </c>
      <c r="M15" s="172">
        <v>84.33</v>
      </c>
      <c r="N15" s="172">
        <v>1500145200</v>
      </c>
      <c r="O15" s="172">
        <v>10</v>
      </c>
      <c r="P15" s="172">
        <v>10</v>
      </c>
      <c r="Q15" s="172">
        <v>84</v>
      </c>
      <c r="R15" s="172">
        <v>9.82</v>
      </c>
      <c r="S15" s="172">
        <v>8.5299999999999994</v>
      </c>
    </row>
    <row r="16" spans="1:19" x14ac:dyDescent="0.25">
      <c r="A16" s="172">
        <v>83.94</v>
      </c>
      <c r="B16" s="172">
        <v>0.42</v>
      </c>
      <c r="C16" s="172">
        <v>52.71</v>
      </c>
      <c r="D16" s="8">
        <v>42931.583333333336</v>
      </c>
      <c r="E16" s="172">
        <v>0.34</v>
      </c>
      <c r="F16" s="172" t="s">
        <v>411</v>
      </c>
      <c r="G16" s="172">
        <v>281.25</v>
      </c>
      <c r="H16" s="172">
        <v>0</v>
      </c>
      <c r="I16" s="172">
        <v>0</v>
      </c>
      <c r="J16" s="172"/>
      <c r="K16" s="172">
        <v>1017.85</v>
      </c>
      <c r="L16" s="172" t="s">
        <v>412</v>
      </c>
      <c r="M16" s="172">
        <v>83.94</v>
      </c>
      <c r="N16" s="172">
        <v>1500148800</v>
      </c>
      <c r="O16" s="172">
        <v>9</v>
      </c>
      <c r="P16" s="172">
        <v>10</v>
      </c>
      <c r="Q16" s="172">
        <v>83</v>
      </c>
      <c r="R16" s="172">
        <v>8.69</v>
      </c>
      <c r="S16" s="172">
        <v>8.2100000000000009</v>
      </c>
    </row>
    <row r="17" spans="1:19" x14ac:dyDescent="0.25">
      <c r="A17" s="172">
        <v>82.53</v>
      </c>
      <c r="B17" s="172">
        <v>0.34</v>
      </c>
      <c r="C17" s="172">
        <v>51.82</v>
      </c>
      <c r="D17" s="8">
        <v>42931.625</v>
      </c>
      <c r="E17" s="172">
        <v>0.35</v>
      </c>
      <c r="F17" s="172" t="s">
        <v>411</v>
      </c>
      <c r="G17" s="172">
        <v>280.77999999999997</v>
      </c>
      <c r="H17" s="172">
        <v>0</v>
      </c>
      <c r="I17" s="172">
        <v>0</v>
      </c>
      <c r="J17" s="172"/>
      <c r="K17" s="172">
        <v>1017.34</v>
      </c>
      <c r="L17" s="172" t="s">
        <v>412</v>
      </c>
      <c r="M17" s="172">
        <v>82.53</v>
      </c>
      <c r="N17" s="172">
        <v>1500152400</v>
      </c>
      <c r="O17" s="172">
        <v>7</v>
      </c>
      <c r="P17" s="172">
        <v>10</v>
      </c>
      <c r="Q17" s="172">
        <v>79</v>
      </c>
      <c r="R17" s="172">
        <v>8.65</v>
      </c>
      <c r="S17" s="172">
        <v>8.02</v>
      </c>
    </row>
    <row r="18" spans="1:19" x14ac:dyDescent="0.25">
      <c r="A18" s="172">
        <v>82.63</v>
      </c>
      <c r="B18" s="172">
        <v>0.34</v>
      </c>
      <c r="C18" s="172">
        <v>51.97</v>
      </c>
      <c r="D18" s="8">
        <v>42931.666666666664</v>
      </c>
      <c r="E18" s="172">
        <v>0.35</v>
      </c>
      <c r="F18" s="172" t="s">
        <v>411</v>
      </c>
      <c r="G18" s="172">
        <v>280.55</v>
      </c>
      <c r="H18" s="172">
        <v>0</v>
      </c>
      <c r="I18" s="172">
        <v>0</v>
      </c>
      <c r="J18" s="172"/>
      <c r="K18" s="172">
        <v>1016.84</v>
      </c>
      <c r="L18" s="172" t="s">
        <v>412</v>
      </c>
      <c r="M18" s="172">
        <v>82.63</v>
      </c>
      <c r="N18" s="172">
        <v>1500156000</v>
      </c>
      <c r="O18" s="172">
        <v>5</v>
      </c>
      <c r="P18" s="172">
        <v>10</v>
      </c>
      <c r="Q18" s="172">
        <v>87</v>
      </c>
      <c r="R18" s="172">
        <v>9.57</v>
      </c>
      <c r="S18" s="172">
        <v>7.56</v>
      </c>
    </row>
    <row r="19" spans="1:19" x14ac:dyDescent="0.25">
      <c r="A19" s="172">
        <v>81.41</v>
      </c>
      <c r="B19" s="172">
        <v>0.45</v>
      </c>
      <c r="C19" s="172">
        <v>52.78</v>
      </c>
      <c r="D19" s="8">
        <v>42931.708333333336</v>
      </c>
      <c r="E19" s="172">
        <v>0.37</v>
      </c>
      <c r="F19" s="172" t="s">
        <v>411</v>
      </c>
      <c r="G19" s="172">
        <v>280.43</v>
      </c>
      <c r="H19" s="172">
        <v>0</v>
      </c>
      <c r="I19" s="172">
        <v>0</v>
      </c>
      <c r="J19" s="172"/>
      <c r="K19" s="172">
        <v>1016.91</v>
      </c>
      <c r="L19" s="172" t="s">
        <v>412</v>
      </c>
      <c r="M19" s="172">
        <v>81.41</v>
      </c>
      <c r="N19" s="172">
        <v>1500159600</v>
      </c>
      <c r="O19" s="172">
        <v>2</v>
      </c>
      <c r="P19" s="172">
        <v>10</v>
      </c>
      <c r="Q19" s="172">
        <v>111</v>
      </c>
      <c r="R19" s="172">
        <v>9.75</v>
      </c>
      <c r="S19" s="172">
        <v>8.58</v>
      </c>
    </row>
    <row r="20" spans="1:19" x14ac:dyDescent="0.25">
      <c r="A20" s="172">
        <v>78.569999999999993</v>
      </c>
      <c r="B20" s="172">
        <v>0.49</v>
      </c>
      <c r="C20" s="172">
        <v>53.46</v>
      </c>
      <c r="D20" s="8">
        <v>42931.75</v>
      </c>
      <c r="E20" s="172">
        <v>0.42</v>
      </c>
      <c r="F20" s="172" t="s">
        <v>411</v>
      </c>
      <c r="G20" s="172">
        <v>277.35000000000002</v>
      </c>
      <c r="H20" s="172">
        <v>2.5999999999999999E-3</v>
      </c>
      <c r="I20" s="172">
        <v>0.01</v>
      </c>
      <c r="J20" s="172" t="s">
        <v>499</v>
      </c>
      <c r="K20" s="172">
        <v>1017.59</v>
      </c>
      <c r="L20" s="172" t="s">
        <v>412</v>
      </c>
      <c r="M20" s="172">
        <v>78.569999999999993</v>
      </c>
      <c r="N20" s="172">
        <v>1500163200</v>
      </c>
      <c r="O20" s="172">
        <v>1</v>
      </c>
      <c r="P20" s="172">
        <v>10</v>
      </c>
      <c r="Q20" s="172">
        <v>125</v>
      </c>
      <c r="R20" s="172">
        <v>15.1</v>
      </c>
      <c r="S20" s="172">
        <v>11.23</v>
      </c>
    </row>
    <row r="21" spans="1:19" x14ac:dyDescent="0.25">
      <c r="A21" s="172">
        <v>77.22</v>
      </c>
      <c r="B21" s="172">
        <v>0.37</v>
      </c>
      <c r="C21" s="172">
        <v>53.68</v>
      </c>
      <c r="D21" s="8">
        <v>42931.791666666664</v>
      </c>
      <c r="E21" s="172">
        <v>0.44</v>
      </c>
      <c r="F21" s="172" t="s">
        <v>411</v>
      </c>
      <c r="G21" s="172">
        <v>277.94</v>
      </c>
      <c r="H21" s="172">
        <v>2.8E-3</v>
      </c>
      <c r="I21" s="172">
        <v>0.01</v>
      </c>
      <c r="J21" s="172" t="s">
        <v>499</v>
      </c>
      <c r="K21" s="172">
        <v>1017.63</v>
      </c>
      <c r="L21" s="172" t="s">
        <v>412</v>
      </c>
      <c r="M21" s="172">
        <v>77.22</v>
      </c>
      <c r="N21" s="172">
        <v>1500166800</v>
      </c>
      <c r="O21" s="172">
        <v>1</v>
      </c>
      <c r="P21" s="172">
        <v>10</v>
      </c>
      <c r="Q21" s="172">
        <v>146</v>
      </c>
      <c r="R21" s="172">
        <v>12.05</v>
      </c>
      <c r="S21" s="172">
        <v>9.51</v>
      </c>
    </row>
    <row r="22" spans="1:19" x14ac:dyDescent="0.25">
      <c r="A22" s="172">
        <v>74.58</v>
      </c>
      <c r="B22" s="172">
        <v>0.33</v>
      </c>
      <c r="C22" s="172">
        <v>53.63</v>
      </c>
      <c r="D22" s="8">
        <v>42931.833333333336</v>
      </c>
      <c r="E22" s="172">
        <v>0.48</v>
      </c>
      <c r="F22" s="172" t="s">
        <v>411</v>
      </c>
      <c r="G22" s="172">
        <v>279.24</v>
      </c>
      <c r="H22" s="172">
        <v>0</v>
      </c>
      <c r="I22" s="172">
        <v>0</v>
      </c>
      <c r="J22" s="172"/>
      <c r="K22" s="172">
        <v>1018.14</v>
      </c>
      <c r="L22" s="172" t="s">
        <v>412</v>
      </c>
      <c r="M22" s="172">
        <v>74.58</v>
      </c>
      <c r="N22" s="172">
        <v>1500170400</v>
      </c>
      <c r="O22" s="172">
        <v>0</v>
      </c>
      <c r="P22" s="172">
        <v>10</v>
      </c>
      <c r="Q22" s="172">
        <v>167</v>
      </c>
      <c r="R22" s="172">
        <v>10.11</v>
      </c>
      <c r="S22" s="172">
        <v>8</v>
      </c>
    </row>
    <row r="23" spans="1:19" x14ac:dyDescent="0.25">
      <c r="A23" s="172">
        <v>71.44</v>
      </c>
      <c r="B23" s="172">
        <v>0.19</v>
      </c>
      <c r="C23" s="172">
        <v>53.2</v>
      </c>
      <c r="D23" s="8">
        <v>42931.875</v>
      </c>
      <c r="E23" s="172">
        <v>0.53</v>
      </c>
      <c r="F23" s="172" t="s">
        <v>557</v>
      </c>
      <c r="G23" s="172">
        <v>280.3</v>
      </c>
      <c r="H23" s="172">
        <v>0</v>
      </c>
      <c r="I23" s="172">
        <v>0</v>
      </c>
      <c r="J23" s="172"/>
      <c r="K23" s="172">
        <v>1019.06</v>
      </c>
      <c r="L23" s="172" t="s">
        <v>558</v>
      </c>
      <c r="M23" s="172">
        <v>71.44</v>
      </c>
      <c r="N23" s="172">
        <v>1500174000</v>
      </c>
      <c r="O23" s="172">
        <v>0</v>
      </c>
      <c r="P23" s="172">
        <v>10</v>
      </c>
      <c r="Q23" s="172">
        <v>183</v>
      </c>
      <c r="R23" s="172">
        <v>8.14</v>
      </c>
      <c r="S23" s="172">
        <v>6.03</v>
      </c>
    </row>
    <row r="24" spans="1:19" x14ac:dyDescent="0.25">
      <c r="A24" s="172">
        <v>69.38</v>
      </c>
      <c r="B24" s="172">
        <v>0.2</v>
      </c>
      <c r="C24" s="172">
        <v>52.98</v>
      </c>
      <c r="D24" s="8">
        <v>42931.916666666664</v>
      </c>
      <c r="E24" s="172">
        <v>0.56000000000000005</v>
      </c>
      <c r="F24" s="172" t="s">
        <v>557</v>
      </c>
      <c r="G24" s="172">
        <v>281</v>
      </c>
      <c r="H24" s="172">
        <v>0</v>
      </c>
      <c r="I24" s="172">
        <v>0</v>
      </c>
      <c r="J24" s="172"/>
      <c r="K24" s="172">
        <v>1019.37</v>
      </c>
      <c r="L24" s="172" t="s">
        <v>558</v>
      </c>
      <c r="M24" s="172">
        <v>69.38</v>
      </c>
      <c r="N24" s="172">
        <v>1500177600</v>
      </c>
      <c r="O24" s="172">
        <v>0</v>
      </c>
      <c r="P24" s="172">
        <v>10</v>
      </c>
      <c r="Q24" s="172">
        <v>189</v>
      </c>
      <c r="R24" s="172">
        <v>7.83</v>
      </c>
      <c r="S24" s="172">
        <v>5.12</v>
      </c>
    </row>
    <row r="25" spans="1:19" x14ac:dyDescent="0.25">
      <c r="A25" s="172">
        <v>68.38</v>
      </c>
      <c r="B25" s="172">
        <v>7.0000000000000007E-2</v>
      </c>
      <c r="C25" s="172">
        <v>52.36</v>
      </c>
      <c r="D25" s="8">
        <v>42931.958333333336</v>
      </c>
      <c r="E25" s="172">
        <v>0.56999999999999995</v>
      </c>
      <c r="F25" s="172" t="s">
        <v>557</v>
      </c>
      <c r="G25" s="172">
        <v>281.36</v>
      </c>
      <c r="H25" s="172">
        <v>0</v>
      </c>
      <c r="I25" s="172">
        <v>0</v>
      </c>
      <c r="J25" s="172"/>
      <c r="K25" s="172">
        <v>1019.26</v>
      </c>
      <c r="L25" s="172" t="s">
        <v>558</v>
      </c>
      <c r="M25" s="172">
        <v>68.38</v>
      </c>
      <c r="N25" s="172">
        <v>1500181200</v>
      </c>
      <c r="O25" s="172">
        <v>0</v>
      </c>
      <c r="P25" s="172">
        <v>10</v>
      </c>
      <c r="Q25" s="172">
        <v>210</v>
      </c>
      <c r="R25" s="172">
        <v>6.94</v>
      </c>
      <c r="S25" s="172">
        <v>5.26</v>
      </c>
    </row>
    <row r="26" spans="1:19" x14ac:dyDescent="0.25">
      <c r="A26" s="172">
        <v>67.08</v>
      </c>
      <c r="B26" s="172">
        <v>0.05</v>
      </c>
      <c r="C26" s="172">
        <v>51.61</v>
      </c>
      <c r="D26" s="8">
        <v>42932</v>
      </c>
      <c r="E26" s="172">
        <v>0.57999999999999996</v>
      </c>
      <c r="F26" s="172" t="s">
        <v>557</v>
      </c>
      <c r="G26" s="172">
        <v>281.70999999999998</v>
      </c>
      <c r="H26" s="172">
        <v>1.9E-3</v>
      </c>
      <c r="I26" s="172">
        <v>0.01</v>
      </c>
      <c r="J26" s="172" t="s">
        <v>499</v>
      </c>
      <c r="K26" s="172">
        <v>1018.99</v>
      </c>
      <c r="L26" s="172" t="s">
        <v>558</v>
      </c>
      <c r="M26" s="172">
        <v>67.08</v>
      </c>
      <c r="N26" s="172">
        <v>1500184800</v>
      </c>
      <c r="O26" s="172">
        <v>0</v>
      </c>
      <c r="P26" s="172">
        <v>10</v>
      </c>
      <c r="Q26" s="172">
        <v>207</v>
      </c>
      <c r="R26" s="172">
        <v>6.75</v>
      </c>
      <c r="S26" s="172">
        <v>4.9000000000000004</v>
      </c>
    </row>
    <row r="27" spans="1:19" x14ac:dyDescent="0.25">
      <c r="A27" s="172">
        <v>66.14</v>
      </c>
      <c r="B27" s="172">
        <v>0.03</v>
      </c>
      <c r="C27" s="172">
        <v>51.04</v>
      </c>
      <c r="D27" s="8">
        <v>42932.041666666664</v>
      </c>
      <c r="E27" s="172">
        <v>0.57999999999999996</v>
      </c>
      <c r="F27" s="172" t="s">
        <v>557</v>
      </c>
      <c r="G27" s="172">
        <v>281.58999999999997</v>
      </c>
      <c r="H27" s="172">
        <v>1.9E-3</v>
      </c>
      <c r="I27" s="172">
        <v>0.01</v>
      </c>
      <c r="J27" s="172" t="s">
        <v>499</v>
      </c>
      <c r="K27" s="172">
        <v>1018.64</v>
      </c>
      <c r="L27" s="172" t="s">
        <v>558</v>
      </c>
      <c r="M27" s="172">
        <v>66.14</v>
      </c>
      <c r="N27" s="172">
        <v>1500188400</v>
      </c>
      <c r="O27" s="172">
        <v>0</v>
      </c>
      <c r="P27" s="172">
        <v>10</v>
      </c>
      <c r="Q27" s="172">
        <v>221</v>
      </c>
      <c r="R27" s="172">
        <v>5.13</v>
      </c>
      <c r="S27" s="172">
        <v>4.0199999999999996</v>
      </c>
    </row>
    <row r="28" spans="1:19" x14ac:dyDescent="0.25">
      <c r="A28" s="172">
        <v>65.260000000000005</v>
      </c>
      <c r="B28" s="172">
        <v>0.02</v>
      </c>
      <c r="C28" s="172">
        <v>50.52</v>
      </c>
      <c r="D28" s="8">
        <v>42932.083333333336</v>
      </c>
      <c r="E28" s="172">
        <v>0.59</v>
      </c>
      <c r="F28" s="172" t="s">
        <v>557</v>
      </c>
      <c r="G28" s="172">
        <v>281.13</v>
      </c>
      <c r="H28" s="172">
        <v>0</v>
      </c>
      <c r="I28" s="172">
        <v>0</v>
      </c>
      <c r="J28" s="172"/>
      <c r="K28" s="172">
        <v>1018.04</v>
      </c>
      <c r="L28" s="172" t="s">
        <v>558</v>
      </c>
      <c r="M28" s="172">
        <v>65.260000000000005</v>
      </c>
      <c r="N28" s="172">
        <v>1500192000</v>
      </c>
      <c r="O28" s="172">
        <v>0</v>
      </c>
      <c r="P28" s="172">
        <v>10</v>
      </c>
      <c r="Q28" s="172">
        <v>212</v>
      </c>
      <c r="R28" s="172">
        <v>3.69</v>
      </c>
      <c r="S28" s="172">
        <v>3.4</v>
      </c>
    </row>
    <row r="29" spans="1:19" x14ac:dyDescent="0.25">
      <c r="A29" s="172">
        <v>64.239999999999995</v>
      </c>
      <c r="B29" s="172">
        <v>0.01</v>
      </c>
      <c r="C29" s="172">
        <v>49.95</v>
      </c>
      <c r="D29" s="8">
        <v>42932.125</v>
      </c>
      <c r="E29" s="172">
        <v>0.6</v>
      </c>
      <c r="F29" s="172" t="s">
        <v>557</v>
      </c>
      <c r="G29" s="172">
        <v>281.01</v>
      </c>
      <c r="H29" s="172">
        <v>0</v>
      </c>
      <c r="I29" s="172">
        <v>0</v>
      </c>
      <c r="J29" s="172"/>
      <c r="K29" s="172">
        <v>1017.42</v>
      </c>
      <c r="L29" s="172" t="s">
        <v>558</v>
      </c>
      <c r="M29" s="172">
        <v>64.239999999999995</v>
      </c>
      <c r="N29" s="172">
        <v>1500195600</v>
      </c>
      <c r="O29" s="172">
        <v>0</v>
      </c>
      <c r="P29" s="172">
        <v>10</v>
      </c>
      <c r="Q29" s="172">
        <v>210</v>
      </c>
      <c r="R29" s="172">
        <v>4.8099999999999996</v>
      </c>
      <c r="S29" s="172">
        <v>3.24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42931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404</v>
      </c>
      <c r="AE2" s="56" t="s">
        <v>407</v>
      </c>
      <c r="AF2" s="56" t="s">
        <v>408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409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982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983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987</v>
      </c>
      <c r="J25" s="140" t="s">
        <v>146</v>
      </c>
      <c r="M25" s="154" t="b">
        <v>1</v>
      </c>
    </row>
    <row r="26" spans="3:24" x14ac:dyDescent="0.25">
      <c r="C26" t="s">
        <v>988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C:\Users\stu\Documents\GitHub\eaglep3-reporting\EC\2017-07-15-refined-times.txt</v>
      </c>
    </row>
    <row r="27" spans="3:24" x14ac:dyDescent="0.25">
      <c r="C27" t="s">
        <v>989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C:\Users\stu\Documents\GitHub\eaglep3-reporting\EC\2017-07-15-Enforcements.txt</v>
      </c>
    </row>
    <row r="28" spans="3:24" x14ac:dyDescent="0.25">
      <c r="C28" t="s">
        <v>990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C:\Users\stu\Documents\GitHub\eaglep3-reporting\EC\2017-07-15-Runs-refined.txt</v>
      </c>
    </row>
    <row r="29" spans="3:24" x14ac:dyDescent="0.25">
      <c r="C29" t="s">
        <v>991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C:\Users\stu\Documents\GitHub\eaglep3-reporting\EC\2017-07-15-Trips.txt</v>
      </c>
    </row>
    <row r="30" spans="3:24" x14ac:dyDescent="0.25">
      <c r="C30" t="s">
        <v>992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C:\Users\stu\Documents\GitHub\eaglep3-reporting\EC\2017-07-15-Weather.txt</v>
      </c>
    </row>
    <row r="31" spans="3:24" x14ac:dyDescent="0.25">
      <c r="C31" t="s">
        <v>993</v>
      </c>
      <c r="J31" s="140" t="s">
        <v>194</v>
      </c>
      <c r="M31" s="154" t="s">
        <v>195</v>
      </c>
    </row>
    <row r="32" spans="3:24" x14ac:dyDescent="0.25">
      <c r="C32" t="s">
        <v>994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2017-07-17T18:10:30Z</dcterms:modified>
</cp:coreProperties>
</file>