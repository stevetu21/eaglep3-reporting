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6" i="9" l="1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Y55" i="1"/>
  <c r="Y56" i="1"/>
  <c r="Y57" i="1"/>
  <c r="Y58" i="1"/>
  <c r="Y59" i="1"/>
  <c r="K54" i="1"/>
  <c r="M54" i="1"/>
  <c r="N54" i="1" s="1"/>
  <c r="V54" i="1"/>
  <c r="AA54" i="1"/>
  <c r="AB54" i="1"/>
  <c r="AC54" i="1"/>
  <c r="AD54" i="1"/>
  <c r="T54" i="1" s="1"/>
  <c r="AE54" i="1"/>
  <c r="AF54" i="1"/>
  <c r="AH54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V15" i="1"/>
  <c r="Y15" i="1"/>
  <c r="Z15" i="1"/>
  <c r="AB15" i="1"/>
  <c r="AC15" i="1"/>
  <c r="AD15" i="1"/>
  <c r="AG15" i="1" s="1"/>
  <c r="AE15" i="1"/>
  <c r="AF15" i="1"/>
  <c r="AH15" i="1"/>
  <c r="K16" i="1"/>
  <c r="L16" i="1"/>
  <c r="M16" i="1"/>
  <c r="V16" i="1"/>
  <c r="Y16" i="1"/>
  <c r="AB16" i="1"/>
  <c r="AC16" i="1"/>
  <c r="AD16" i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P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V21" i="1"/>
  <c r="Y21" i="1"/>
  <c r="Z21" i="1"/>
  <c r="AB21" i="1"/>
  <c r="AC21" i="1"/>
  <c r="AD21" i="1"/>
  <c r="AG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S45" i="3" s="1"/>
  <c r="Y23" i="1"/>
  <c r="Z23" i="1"/>
  <c r="AB23" i="1"/>
  <c r="AC23" i="1"/>
  <c r="AD23" i="1"/>
  <c r="AE23" i="1"/>
  <c r="R45" i="3" s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AG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K30" i="1"/>
  <c r="L30" i="1"/>
  <c r="M30" i="1"/>
  <c r="N30" i="1" s="1"/>
  <c r="V30" i="1"/>
  <c r="S28" i="3" s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K34" i="1"/>
  <c r="L34" i="1"/>
  <c r="M34" i="1"/>
  <c r="N34" i="1" s="1"/>
  <c r="V34" i="1"/>
  <c r="S29" i="3" s="1"/>
  <c r="Y34" i="1"/>
  <c r="Z34" i="1"/>
  <c r="AB34" i="1"/>
  <c r="AC34" i="1"/>
  <c r="AD34" i="1"/>
  <c r="AG34" i="1" s="1"/>
  <c r="AE34" i="1"/>
  <c r="R7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K36" i="1"/>
  <c r="L36" i="1"/>
  <c r="M36" i="1"/>
  <c r="N36" i="1" s="1"/>
  <c r="V36" i="1"/>
  <c r="S39" i="3" s="1"/>
  <c r="Y36" i="1"/>
  <c r="Z36" i="1"/>
  <c r="AB36" i="1"/>
  <c r="AC36" i="1"/>
  <c r="AD36" i="1"/>
  <c r="AE36" i="1"/>
  <c r="R39" i="3" s="1"/>
  <c r="AF36" i="1"/>
  <c r="AH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K42" i="1"/>
  <c r="L42" i="1"/>
  <c r="M42" i="1"/>
  <c r="N42" i="1" s="1"/>
  <c r="V42" i="1"/>
  <c r="S30" i="3" s="1"/>
  <c r="Y42" i="1"/>
  <c r="Z42" i="1"/>
  <c r="AB42" i="1"/>
  <c r="AC42" i="1"/>
  <c r="AD42" i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K47" i="1"/>
  <c r="L47" i="1"/>
  <c r="M47" i="1"/>
  <c r="N47" i="1" s="1"/>
  <c r="V47" i="1"/>
  <c r="S9" i="3" s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K49" i="1"/>
  <c r="L49" i="1"/>
  <c r="M49" i="1"/>
  <c r="N49" i="1" s="1"/>
  <c r="V49" i="1"/>
  <c r="S8" i="3" s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AG51" i="1" s="1"/>
  <c r="AE51" i="1"/>
  <c r="AF51" i="1"/>
  <c r="AH51" i="1"/>
  <c r="K52" i="1"/>
  <c r="L52" i="1"/>
  <c r="M52" i="1"/>
  <c r="N52" i="1" s="1"/>
  <c r="V52" i="1"/>
  <c r="S31" i="3" s="1"/>
  <c r="Y52" i="1"/>
  <c r="Z52" i="1"/>
  <c r="AB52" i="1"/>
  <c r="AC52" i="1"/>
  <c r="AD52" i="1"/>
  <c r="T52" i="1" s="1"/>
  <c r="AE52" i="1"/>
  <c r="R31" i="3" s="1"/>
  <c r="AF52" i="1"/>
  <c r="AH52" i="1"/>
  <c r="K53" i="1"/>
  <c r="L53" i="1"/>
  <c r="M53" i="1"/>
  <c r="N53" i="1" s="1"/>
  <c r="T53" i="1"/>
  <c r="V53" i="1"/>
  <c r="Y53" i="1"/>
  <c r="Z53" i="1"/>
  <c r="AB53" i="1"/>
  <c r="AC53" i="1"/>
  <c r="AD53" i="1"/>
  <c r="AE53" i="1"/>
  <c r="AF53" i="1"/>
  <c r="AH53" i="1"/>
  <c r="K55" i="1"/>
  <c r="L55" i="1"/>
  <c r="M55" i="1"/>
  <c r="N55" i="1" s="1"/>
  <c r="V55" i="1"/>
  <c r="Z55" i="1"/>
  <c r="AB55" i="1"/>
  <c r="AC55" i="1"/>
  <c r="AD55" i="1"/>
  <c r="T55" i="1" s="1"/>
  <c r="AE55" i="1"/>
  <c r="AF55" i="1"/>
  <c r="AH55" i="1"/>
  <c r="K56" i="1"/>
  <c r="L56" i="1"/>
  <c r="M56" i="1"/>
  <c r="N56" i="1" s="1"/>
  <c r="V56" i="1"/>
  <c r="Z56" i="1"/>
  <c r="AB56" i="1"/>
  <c r="AC56" i="1"/>
  <c r="AD56" i="1"/>
  <c r="AE56" i="1"/>
  <c r="AF56" i="1"/>
  <c r="AH56" i="1"/>
  <c r="K57" i="1"/>
  <c r="L57" i="1"/>
  <c r="M57" i="1"/>
  <c r="N57" i="1" s="1"/>
  <c r="V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S15" i="3" s="1"/>
  <c r="Z58" i="1"/>
  <c r="AB58" i="1"/>
  <c r="AC58" i="1"/>
  <c r="AD58" i="1"/>
  <c r="T58" i="1" s="1"/>
  <c r="AE58" i="1"/>
  <c r="R15" i="3" s="1"/>
  <c r="AF58" i="1"/>
  <c r="AH58" i="1"/>
  <c r="K59" i="1"/>
  <c r="L59" i="1"/>
  <c r="M59" i="1"/>
  <c r="N59" i="1" s="1"/>
  <c r="V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R32" i="3" s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R20" i="3" s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X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X76" i="1" s="1"/>
  <c r="AE76" i="1"/>
  <c r="R41" i="3" s="1"/>
  <c r="AF76" i="1"/>
  <c r="AH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X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X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K82" i="1"/>
  <c r="L82" i="1"/>
  <c r="M82" i="1"/>
  <c r="N82" i="1" s="1"/>
  <c r="V82" i="1"/>
  <c r="S42" i="3" s="1"/>
  <c r="Y82" i="1"/>
  <c r="Z82" i="1"/>
  <c r="AB82" i="1"/>
  <c r="AC82" i="1"/>
  <c r="AD82" i="1"/>
  <c r="AE82" i="1"/>
  <c r="AF82" i="1"/>
  <c r="AH82" i="1"/>
  <c r="K83" i="1"/>
  <c r="L83" i="1"/>
  <c r="M83" i="1"/>
  <c r="N83" i="1" s="1"/>
  <c r="V83" i="1"/>
  <c r="S13" i="3" s="1"/>
  <c r="Y83" i="1"/>
  <c r="Z83" i="1"/>
  <c r="AB83" i="1"/>
  <c r="AC83" i="1"/>
  <c r="AD83" i="1"/>
  <c r="AE83" i="1"/>
  <c r="R13" i="3" s="1"/>
  <c r="AF83" i="1"/>
  <c r="AH83" i="1"/>
  <c r="K84" i="1"/>
  <c r="L84" i="1"/>
  <c r="M84" i="1"/>
  <c r="N84" i="1" s="1"/>
  <c r="V84" i="1"/>
  <c r="S33" i="3" s="1"/>
  <c r="Y84" i="1"/>
  <c r="Z84" i="1"/>
  <c r="AB84" i="1"/>
  <c r="AC84" i="1"/>
  <c r="AD84" i="1"/>
  <c r="AE84" i="1"/>
  <c r="AF84" i="1"/>
  <c r="AH84" i="1"/>
  <c r="K85" i="1"/>
  <c r="L85" i="1"/>
  <c r="M85" i="1"/>
  <c r="N85" i="1" s="1"/>
  <c r="V85" i="1"/>
  <c r="S16" i="3" s="1"/>
  <c r="Y85" i="1"/>
  <c r="Z85" i="1"/>
  <c r="AB85" i="1"/>
  <c r="AC85" i="1"/>
  <c r="AD85" i="1"/>
  <c r="T85" i="1" s="1"/>
  <c r="AE85" i="1"/>
  <c r="R16" i="3" s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K90" i="1"/>
  <c r="L90" i="1"/>
  <c r="M90" i="1"/>
  <c r="N90" i="1" s="1"/>
  <c r="V90" i="1"/>
  <c r="S34" i="3" s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K94" i="1"/>
  <c r="L94" i="1"/>
  <c r="M94" i="1"/>
  <c r="N94" i="1" s="1"/>
  <c r="V94" i="1"/>
  <c r="Y94" i="1"/>
  <c r="Z94" i="1"/>
  <c r="AB94" i="1"/>
  <c r="AC94" i="1"/>
  <c r="AD94" i="1"/>
  <c r="AE94" i="1"/>
  <c r="R35" i="3" s="1"/>
  <c r="AF94" i="1"/>
  <c r="AH94" i="1"/>
  <c r="K95" i="1"/>
  <c r="L95" i="1"/>
  <c r="M95" i="1"/>
  <c r="N95" i="1" s="1"/>
  <c r="V95" i="1"/>
  <c r="S24" i="3" s="1"/>
  <c r="Y95" i="1"/>
  <c r="Z95" i="1"/>
  <c r="AB95" i="1"/>
  <c r="AC95" i="1"/>
  <c r="AD95" i="1"/>
  <c r="AE95" i="1"/>
  <c r="R24" i="3" s="1"/>
  <c r="AF95" i="1"/>
  <c r="AH95" i="1"/>
  <c r="K96" i="1"/>
  <c r="L96" i="1"/>
  <c r="M96" i="1"/>
  <c r="N96" i="1" s="1"/>
  <c r="V96" i="1"/>
  <c r="S36" i="3" s="1"/>
  <c r="Y96" i="1"/>
  <c r="Z96" i="1"/>
  <c r="AB96" i="1"/>
  <c r="AC96" i="1"/>
  <c r="AD96" i="1"/>
  <c r="AE96" i="1"/>
  <c r="R36" i="3" s="1"/>
  <c r="AF96" i="1"/>
  <c r="AH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K99" i="1"/>
  <c r="L99" i="1"/>
  <c r="M99" i="1"/>
  <c r="N99" i="1" s="1"/>
  <c r="V99" i="1"/>
  <c r="S25" i="3" s="1"/>
  <c r="Y99" i="1"/>
  <c r="Z99" i="1"/>
  <c r="AB99" i="1"/>
  <c r="AC99" i="1"/>
  <c r="AD99" i="1"/>
  <c r="AG99" i="1" s="1"/>
  <c r="AE99" i="1"/>
  <c r="AF99" i="1"/>
  <c r="AH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K102" i="1"/>
  <c r="L102" i="1"/>
  <c r="M102" i="1"/>
  <c r="P102" i="1" s="1"/>
  <c r="V102" i="1"/>
  <c r="Y102" i="1"/>
  <c r="Z102" i="1"/>
  <c r="AB102" i="1"/>
  <c r="AC102" i="1"/>
  <c r="AD102" i="1"/>
  <c r="T102" i="1" s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S17" i="3" s="1"/>
  <c r="Y104" i="1"/>
  <c r="Z104" i="1"/>
  <c r="AB104" i="1"/>
  <c r="AC104" i="1"/>
  <c r="AD104" i="1"/>
  <c r="AE104" i="1"/>
  <c r="R17" i="3" s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K106" i="1"/>
  <c r="L106" i="1"/>
  <c r="M106" i="1"/>
  <c r="N106" i="1" s="1"/>
  <c r="V106" i="1"/>
  <c r="S43" i="3" s="1"/>
  <c r="Y106" i="1"/>
  <c r="Z106" i="1"/>
  <c r="AB106" i="1"/>
  <c r="AC106" i="1"/>
  <c r="AD106" i="1"/>
  <c r="AE106" i="1"/>
  <c r="R43" i="3" s="1"/>
  <c r="AF106" i="1"/>
  <c r="AH106" i="1"/>
  <c r="K107" i="1"/>
  <c r="L107" i="1"/>
  <c r="M107" i="1"/>
  <c r="N107" i="1" s="1"/>
  <c r="V107" i="1"/>
  <c r="S22" i="3" s="1"/>
  <c r="Y107" i="1"/>
  <c r="Z107" i="1"/>
  <c r="AB107" i="1"/>
  <c r="AC107" i="1"/>
  <c r="AD107" i="1"/>
  <c r="AE107" i="1"/>
  <c r="R22" i="3" s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K110" i="1"/>
  <c r="L110" i="1"/>
  <c r="M110" i="1"/>
  <c r="N110" i="1" s="1"/>
  <c r="V110" i="1"/>
  <c r="S37" i="3" s="1"/>
  <c r="Y110" i="1"/>
  <c r="Z110" i="1"/>
  <c r="AB110" i="1"/>
  <c r="AC110" i="1"/>
  <c r="AD110" i="1"/>
  <c r="AG110" i="1" s="1"/>
  <c r="AE110" i="1"/>
  <c r="R37" i="3" s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K112" i="1"/>
  <c r="L112" i="1"/>
  <c r="M112" i="1"/>
  <c r="N112" i="1" s="1"/>
  <c r="V112" i="1"/>
  <c r="S11" i="3" s="1"/>
  <c r="Y112" i="1"/>
  <c r="Z112" i="1"/>
  <c r="AB112" i="1"/>
  <c r="AC112" i="1"/>
  <c r="AD112" i="1"/>
  <c r="AG112" i="1" s="1"/>
  <c r="AE112" i="1"/>
  <c r="R11" i="3" s="1"/>
  <c r="AF112" i="1"/>
  <c r="AH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15" i="1"/>
  <c r="K116" i="1"/>
  <c r="L116" i="1"/>
  <c r="M116" i="1"/>
  <c r="P116" i="1" s="1"/>
  <c r="V116" i="1"/>
  <c r="S12" i="3" s="1"/>
  <c r="Y116" i="1"/>
  <c r="Z116" i="1"/>
  <c r="AB116" i="1"/>
  <c r="AC116" i="1"/>
  <c r="AD116" i="1"/>
  <c r="AG116" i="1" s="1"/>
  <c r="AE116" i="1"/>
  <c r="R12" i="3" s="1"/>
  <c r="AF116" i="1"/>
  <c r="AH116" i="1"/>
  <c r="K117" i="1"/>
  <c r="L117" i="1"/>
  <c r="M117" i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P119" i="1" s="1"/>
  <c r="V119" i="1"/>
  <c r="Y119" i="1"/>
  <c r="Z119" i="1"/>
  <c r="AB119" i="1"/>
  <c r="AC119" i="1"/>
  <c r="AD119" i="1"/>
  <c r="AE119" i="1"/>
  <c r="AF119" i="1"/>
  <c r="AH119" i="1"/>
  <c r="K120" i="1"/>
  <c r="L120" i="1"/>
  <c r="M120" i="1"/>
  <c r="V120" i="1"/>
  <c r="Y120" i="1"/>
  <c r="Z120" i="1"/>
  <c r="AB120" i="1"/>
  <c r="AC120" i="1"/>
  <c r="AD120" i="1"/>
  <c r="AE120" i="1"/>
  <c r="AF120" i="1"/>
  <c r="AH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K127" i="1"/>
  <c r="L127" i="1"/>
  <c r="M127" i="1"/>
  <c r="P127" i="1" s="1"/>
  <c r="V127" i="1"/>
  <c r="Y127" i="1"/>
  <c r="Z127" i="1"/>
  <c r="AB127" i="1"/>
  <c r="AC127" i="1"/>
  <c r="AD127" i="1"/>
  <c r="AE127" i="1"/>
  <c r="AF127" i="1"/>
  <c r="AH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K129" i="1"/>
  <c r="L129" i="1"/>
  <c r="M129" i="1"/>
  <c r="N129" i="1" s="1"/>
  <c r="V129" i="1"/>
  <c r="S19" i="3" s="1"/>
  <c r="Y129" i="1"/>
  <c r="Z129" i="1"/>
  <c r="AB129" i="1"/>
  <c r="AC129" i="1"/>
  <c r="AD129" i="1"/>
  <c r="T129" i="1" s="1"/>
  <c r="AE129" i="1"/>
  <c r="R19" i="3" s="1"/>
  <c r="AF129" i="1"/>
  <c r="AH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K131" i="1"/>
  <c r="L131" i="1"/>
  <c r="M131" i="1"/>
  <c r="N131" i="1" s="1"/>
  <c r="V131" i="1"/>
  <c r="S21" i="3" s="1"/>
  <c r="Y131" i="1"/>
  <c r="Z131" i="1"/>
  <c r="AB131" i="1"/>
  <c r="AC131" i="1"/>
  <c r="AD131" i="1"/>
  <c r="AE131" i="1"/>
  <c r="R21" i="3" s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S10" i="3" s="1"/>
  <c r="Y135" i="1"/>
  <c r="Z135" i="1"/>
  <c r="AB135" i="1"/>
  <c r="AC135" i="1"/>
  <c r="AD135" i="1"/>
  <c r="AE135" i="1"/>
  <c r="R26" i="3" s="1"/>
  <c r="AF135" i="1"/>
  <c r="AH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39" i="1"/>
  <c r="K140" i="1"/>
  <c r="L140" i="1"/>
  <c r="M140" i="1"/>
  <c r="N140" i="1" s="1"/>
  <c r="V140" i="1"/>
  <c r="S38" i="3" s="1"/>
  <c r="Y140" i="1"/>
  <c r="Z140" i="1"/>
  <c r="AB140" i="1"/>
  <c r="AC140" i="1"/>
  <c r="AD140" i="1"/>
  <c r="AE140" i="1"/>
  <c r="R38" i="3" s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K144" i="1"/>
  <c r="L144" i="1"/>
  <c r="M144" i="1"/>
  <c r="N144" i="1" s="1"/>
  <c r="V144" i="1"/>
  <c r="S14" i="3" s="1"/>
  <c r="Y144" i="1"/>
  <c r="Z144" i="1"/>
  <c r="AB144" i="1"/>
  <c r="AC144" i="1"/>
  <c r="AD144" i="1"/>
  <c r="AG144" i="1" s="1"/>
  <c r="AE144" i="1"/>
  <c r="R14" i="3" s="1"/>
  <c r="AF144" i="1"/>
  <c r="AH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E149" i="1"/>
  <c r="AF149" i="1"/>
  <c r="AH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K151" i="1"/>
  <c r="L151" i="1"/>
  <c r="M151" i="1"/>
  <c r="N151" i="1"/>
  <c r="V151" i="1"/>
  <c r="Y151" i="1"/>
  <c r="Z151" i="1"/>
  <c r="AB151" i="1"/>
  <c r="AC151" i="1"/>
  <c r="AD151" i="1"/>
  <c r="AG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52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53" i="1"/>
  <c r="K154" i="1"/>
  <c r="L154" i="1"/>
  <c r="M154" i="1"/>
  <c r="P154" i="1" s="1"/>
  <c r="V154" i="1"/>
  <c r="Y154" i="1"/>
  <c r="AB154" i="1"/>
  <c r="AC154" i="1"/>
  <c r="AD154" i="1"/>
  <c r="AE154" i="1"/>
  <c r="AF154" i="1"/>
  <c r="AH154" i="1"/>
  <c r="K155" i="1"/>
  <c r="L155" i="1"/>
  <c r="M155" i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/>
  <c r="V156" i="1"/>
  <c r="Y156" i="1"/>
  <c r="Z156" i="1"/>
  <c r="AB156" i="1"/>
  <c r="AC156" i="1"/>
  <c r="AD156" i="1"/>
  <c r="AG156" i="1" s="1"/>
  <c r="AE156" i="1"/>
  <c r="AF156" i="1"/>
  <c r="AH156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59" i="1"/>
  <c r="K160" i="1"/>
  <c r="L160" i="1"/>
  <c r="M160" i="1"/>
  <c r="N160" i="1" s="1"/>
  <c r="V160" i="1"/>
  <c r="Y160" i="1"/>
  <c r="Z160" i="1"/>
  <c r="AB160" i="1"/>
  <c r="AC160" i="1"/>
  <c r="AD160" i="1"/>
  <c r="AG160" i="1" s="1"/>
  <c r="AE160" i="1"/>
  <c r="AF160" i="1"/>
  <c r="AH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62" i="1"/>
  <c r="K163" i="1"/>
  <c r="L163" i="1"/>
  <c r="M163" i="1"/>
  <c r="V163" i="1"/>
  <c r="Y163" i="1"/>
  <c r="Z163" i="1"/>
  <c r="AB163" i="1"/>
  <c r="AC163" i="1"/>
  <c r="AD163" i="1"/>
  <c r="T163" i="1" s="1"/>
  <c r="AE163" i="1"/>
  <c r="AF163" i="1"/>
  <c r="AH163" i="1"/>
  <c r="K164" i="1"/>
  <c r="L164" i="1"/>
  <c r="M164" i="1"/>
  <c r="V164" i="1"/>
  <c r="Y164" i="1"/>
  <c r="Z164" i="1"/>
  <c r="AB164" i="1"/>
  <c r="AC164" i="1"/>
  <c r="AD164" i="1"/>
  <c r="AG164" i="1" s="1"/>
  <c r="AE164" i="1"/>
  <c r="AF164" i="1"/>
  <c r="AH164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5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6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67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8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169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AH170" i="1"/>
  <c r="K219" i="1"/>
  <c r="L219" i="1"/>
  <c r="M219" i="1"/>
  <c r="N219" i="1" s="1"/>
  <c r="V219" i="1"/>
  <c r="Y219" i="1"/>
  <c r="Z219" i="1"/>
  <c r="AB219" i="1"/>
  <c r="AC219" i="1"/>
  <c r="AD219" i="1"/>
  <c r="T219" i="1" s="1"/>
  <c r="AE219" i="1"/>
  <c r="AF219" i="1"/>
  <c r="AH171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172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173" i="1"/>
  <c r="K227" i="1"/>
  <c r="L227" i="1"/>
  <c r="M227" i="1"/>
  <c r="N227" i="1" s="1"/>
  <c r="V227" i="1"/>
  <c r="S54" i="3" s="1"/>
  <c r="Y227" i="1"/>
  <c r="Z227" i="1"/>
  <c r="AB227" i="1"/>
  <c r="AC227" i="1"/>
  <c r="AD227" i="1"/>
  <c r="AG227" i="1" s="1"/>
  <c r="AE227" i="1"/>
  <c r="R54" i="3" s="1"/>
  <c r="AF227" i="1"/>
  <c r="AH174" i="1"/>
  <c r="K228" i="1"/>
  <c r="L228" i="1"/>
  <c r="M228" i="1"/>
  <c r="N228" i="1" s="1"/>
  <c r="V228" i="1"/>
  <c r="Y228" i="1"/>
  <c r="Z228" i="1"/>
  <c r="AB228" i="1"/>
  <c r="AC228" i="1"/>
  <c r="AD228" i="1"/>
  <c r="X228" i="1" s="1"/>
  <c r="AE228" i="1"/>
  <c r="AF228" i="1"/>
  <c r="AH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K231" i="1"/>
  <c r="L231" i="1"/>
  <c r="M231" i="1"/>
  <c r="N231" i="1" s="1"/>
  <c r="V231" i="1"/>
  <c r="S56" i="3" s="1"/>
  <c r="Y231" i="1"/>
  <c r="Z231" i="1"/>
  <c r="AB231" i="1"/>
  <c r="AC231" i="1"/>
  <c r="AD231" i="1"/>
  <c r="AG231" i="1" s="1"/>
  <c r="AE231" i="1"/>
  <c r="R56" i="3" s="1"/>
  <c r="AF231" i="1"/>
  <c r="AH178" i="1"/>
  <c r="K232" i="1"/>
  <c r="L232" i="1"/>
  <c r="M232" i="1"/>
  <c r="N232" i="1" s="1"/>
  <c r="V232" i="1"/>
  <c r="Y232" i="1"/>
  <c r="Z232" i="1"/>
  <c r="AB232" i="1"/>
  <c r="AC232" i="1"/>
  <c r="AD232" i="1"/>
  <c r="T232" i="1" s="1"/>
  <c r="AE232" i="1"/>
  <c r="AF232" i="1"/>
  <c r="AH179" i="1"/>
  <c r="K233" i="1"/>
  <c r="L233" i="1"/>
  <c r="M233" i="1"/>
  <c r="N233" i="1" s="1"/>
  <c r="V233" i="1"/>
  <c r="Y233" i="1"/>
  <c r="Z233" i="1"/>
  <c r="AB233" i="1"/>
  <c r="AC233" i="1"/>
  <c r="AD233" i="1"/>
  <c r="AG233" i="1" s="1"/>
  <c r="AE233" i="1"/>
  <c r="AF233" i="1"/>
  <c r="AH180" i="1"/>
  <c r="K234" i="1"/>
  <c r="L234" i="1"/>
  <c r="M234" i="1"/>
  <c r="N234" i="1" s="1"/>
  <c r="V234" i="1"/>
  <c r="Y234" i="1"/>
  <c r="Z234" i="1"/>
  <c r="AB234" i="1"/>
  <c r="AC234" i="1"/>
  <c r="AD234" i="1"/>
  <c r="AE234" i="1"/>
  <c r="AF234" i="1"/>
  <c r="AH181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2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83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184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85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86" i="1"/>
  <c r="K170" i="1"/>
  <c r="L170" i="1"/>
  <c r="M170" i="1"/>
  <c r="N170" i="1" s="1"/>
  <c r="V170" i="1"/>
  <c r="S47" i="3" s="1"/>
  <c r="Y170" i="1"/>
  <c r="Z170" i="1"/>
  <c r="AB170" i="1"/>
  <c r="AC170" i="1"/>
  <c r="AD170" i="1"/>
  <c r="AG170" i="1" s="1"/>
  <c r="AE170" i="1"/>
  <c r="R49" i="3" s="1"/>
  <c r="AF170" i="1"/>
  <c r="AH187" i="1"/>
  <c r="K171" i="1"/>
  <c r="L171" i="1"/>
  <c r="M171" i="1"/>
  <c r="N171" i="1" s="1"/>
  <c r="V171" i="1"/>
  <c r="S50" i="3" s="1"/>
  <c r="Y171" i="1"/>
  <c r="Z171" i="1"/>
  <c r="AB171" i="1"/>
  <c r="AC171" i="1"/>
  <c r="AD171" i="1"/>
  <c r="AE171" i="1"/>
  <c r="R46" i="3" s="1"/>
  <c r="AF171" i="1"/>
  <c r="AH188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89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90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191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92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3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4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195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6" i="1"/>
  <c r="K180" i="1"/>
  <c r="L180" i="1"/>
  <c r="M180" i="1"/>
  <c r="N180" i="1" s="1"/>
  <c r="V180" i="1"/>
  <c r="S52" i="3" s="1"/>
  <c r="Y180" i="1"/>
  <c r="Z180" i="1"/>
  <c r="AB180" i="1"/>
  <c r="AC180" i="1"/>
  <c r="AD180" i="1"/>
  <c r="AE180" i="1"/>
  <c r="R52" i="3" s="1"/>
  <c r="AF180" i="1"/>
  <c r="AH19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98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99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200" i="1"/>
  <c r="K184" i="1"/>
  <c r="L184" i="1"/>
  <c r="M184" i="1"/>
  <c r="N184" i="1" s="1"/>
  <c r="V184" i="1"/>
  <c r="Y184" i="1"/>
  <c r="Z184" i="1"/>
  <c r="AB184" i="1"/>
  <c r="AC184" i="1"/>
  <c r="AD184" i="1"/>
  <c r="X184" i="1" s="1"/>
  <c r="AE184" i="1"/>
  <c r="AF184" i="1"/>
  <c r="AH201" i="1"/>
  <c r="AH202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3" i="1"/>
  <c r="K186" i="1"/>
  <c r="L186" i="1"/>
  <c r="M186" i="1"/>
  <c r="N186" i="1" s="1"/>
  <c r="V186" i="1"/>
  <c r="S48" i="3" s="1"/>
  <c r="Y186" i="1"/>
  <c r="Z186" i="1"/>
  <c r="AB186" i="1"/>
  <c r="AC186" i="1"/>
  <c r="AD186" i="1"/>
  <c r="X186" i="1" s="1"/>
  <c r="AE186" i="1"/>
  <c r="R48" i="3" s="1"/>
  <c r="AF186" i="1"/>
  <c r="AH204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205" i="1"/>
  <c r="K188" i="1"/>
  <c r="L188" i="1"/>
  <c r="M188" i="1"/>
  <c r="N188" i="1" s="1"/>
  <c r="V188" i="1"/>
  <c r="Y188" i="1"/>
  <c r="Z188" i="1"/>
  <c r="AB188" i="1"/>
  <c r="AC188" i="1"/>
  <c r="AD188" i="1"/>
  <c r="X188" i="1" s="1"/>
  <c r="AE188" i="1"/>
  <c r="AF188" i="1"/>
  <c r="AH206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208" i="1"/>
  <c r="K191" i="1"/>
  <c r="L191" i="1"/>
  <c r="M191" i="1"/>
  <c r="N191" i="1" s="1"/>
  <c r="V191" i="1"/>
  <c r="S51" i="3" s="1"/>
  <c r="Y191" i="1"/>
  <c r="Z191" i="1"/>
  <c r="AB191" i="1"/>
  <c r="AC191" i="1"/>
  <c r="AD191" i="1"/>
  <c r="AG191" i="1" s="1"/>
  <c r="AE191" i="1"/>
  <c r="AF191" i="1"/>
  <c r="AH209" i="1"/>
  <c r="K192" i="1"/>
  <c r="L192" i="1"/>
  <c r="M192" i="1"/>
  <c r="N192" i="1" s="1"/>
  <c r="V192" i="1"/>
  <c r="Y192" i="1"/>
  <c r="Z192" i="1"/>
  <c r="AB192" i="1"/>
  <c r="AC192" i="1"/>
  <c r="AD192" i="1"/>
  <c r="AG192" i="1" s="1"/>
  <c r="AE192" i="1"/>
  <c r="AF192" i="1"/>
  <c r="AH210" i="1"/>
  <c r="K193" i="1"/>
  <c r="L193" i="1"/>
  <c r="M193" i="1"/>
  <c r="P193" i="1" s="1"/>
  <c r="V193" i="1"/>
  <c r="S53" i="3" s="1"/>
  <c r="Y193" i="1"/>
  <c r="Z193" i="1"/>
  <c r="AB193" i="1"/>
  <c r="AC193" i="1"/>
  <c r="AD193" i="1"/>
  <c r="AG193" i="1" s="1"/>
  <c r="AE193" i="1"/>
  <c r="R53" i="3" s="1"/>
  <c r="AF193" i="1"/>
  <c r="AH211" i="1"/>
  <c r="K194" i="1"/>
  <c r="L194" i="1"/>
  <c r="M194" i="1"/>
  <c r="V194" i="1"/>
  <c r="Y194" i="1"/>
  <c r="Z194" i="1"/>
  <c r="AB194" i="1"/>
  <c r="AC194" i="1"/>
  <c r="AD194" i="1"/>
  <c r="AG194" i="1" s="1"/>
  <c r="AE194" i="1"/>
  <c r="AF194" i="1"/>
  <c r="AH212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13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4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215" i="1"/>
  <c r="K198" i="1"/>
  <c r="L198" i="1"/>
  <c r="M198" i="1"/>
  <c r="N198" i="1" s="1"/>
  <c r="V198" i="1"/>
  <c r="Y198" i="1"/>
  <c r="Z198" i="1"/>
  <c r="AB198" i="1"/>
  <c r="AC198" i="1"/>
  <c r="AD198" i="1"/>
  <c r="AE198" i="1"/>
  <c r="AF198" i="1"/>
  <c r="AH216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17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8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9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20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21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22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23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24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25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26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27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28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29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30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E222" i="1"/>
  <c r="AF222" i="1"/>
  <c r="AH231" i="1"/>
  <c r="K223" i="1"/>
  <c r="L223" i="1"/>
  <c r="M223" i="1"/>
  <c r="N223" i="1" s="1"/>
  <c r="V223" i="1"/>
  <c r="Y223" i="1"/>
  <c r="Z223" i="1"/>
  <c r="AA223" i="1" s="1"/>
  <c r="AB223" i="1"/>
  <c r="AC223" i="1"/>
  <c r="AD223" i="1"/>
  <c r="T223" i="1" s="1"/>
  <c r="AE223" i="1"/>
  <c r="AF223" i="1"/>
  <c r="AH232" i="1"/>
  <c r="K224" i="1"/>
  <c r="L224" i="1"/>
  <c r="M224" i="1"/>
  <c r="N224" i="1" s="1"/>
  <c r="V224" i="1"/>
  <c r="Y224" i="1"/>
  <c r="Z224" i="1"/>
  <c r="AA224" i="1" s="1"/>
  <c r="AB224" i="1"/>
  <c r="AC224" i="1"/>
  <c r="AD224" i="1"/>
  <c r="X224" i="1" s="1"/>
  <c r="AE224" i="1"/>
  <c r="AF224" i="1"/>
  <c r="AH233" i="1"/>
  <c r="K225" i="1"/>
  <c r="L225" i="1"/>
  <c r="M225" i="1"/>
  <c r="N225" i="1" s="1"/>
  <c r="V225" i="1"/>
  <c r="S55" i="3" s="1"/>
  <c r="Y225" i="1"/>
  <c r="Z225" i="1"/>
  <c r="AB225" i="1"/>
  <c r="AC225" i="1"/>
  <c r="AD225" i="1"/>
  <c r="T225" i="1" s="1"/>
  <c r="AE225" i="1"/>
  <c r="R55" i="3" s="1"/>
  <c r="AF225" i="1"/>
  <c r="AH234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235" i="1"/>
  <c r="M27" i="3"/>
  <c r="R27" i="3"/>
  <c r="S27" i="3"/>
  <c r="U27" i="3"/>
  <c r="T27" i="3" s="1"/>
  <c r="V27" i="3"/>
  <c r="W27" i="3"/>
  <c r="X27" i="3"/>
  <c r="AC27" i="3"/>
  <c r="M23" i="3"/>
  <c r="R23" i="3"/>
  <c r="S23" i="3"/>
  <c r="U23" i="3"/>
  <c r="V23" i="3"/>
  <c r="W23" i="3"/>
  <c r="X23" i="3"/>
  <c r="AC23" i="3"/>
  <c r="M44" i="3"/>
  <c r="R44" i="3"/>
  <c r="S44" i="3"/>
  <c r="U44" i="3"/>
  <c r="T44" i="3" s="1"/>
  <c r="V44" i="3"/>
  <c r="W44" i="3"/>
  <c r="X44" i="3"/>
  <c r="AC44" i="3"/>
  <c r="M45" i="3"/>
  <c r="U45" i="3"/>
  <c r="T45" i="3" s="1"/>
  <c r="V45" i="3"/>
  <c r="W45" i="3"/>
  <c r="X45" i="3"/>
  <c r="AC45" i="3"/>
  <c r="M28" i="3"/>
  <c r="R28" i="3"/>
  <c r="U28" i="3"/>
  <c r="T28" i="3" s="1"/>
  <c r="V28" i="3"/>
  <c r="W28" i="3"/>
  <c r="X28" i="3"/>
  <c r="AC28" i="3"/>
  <c r="M47" i="3"/>
  <c r="U47" i="3"/>
  <c r="V47" i="3"/>
  <c r="W47" i="3"/>
  <c r="X47" i="3"/>
  <c r="AC47" i="3"/>
  <c r="M49" i="3"/>
  <c r="U49" i="3"/>
  <c r="T49" i="3" s="1"/>
  <c r="V49" i="3"/>
  <c r="W49" i="3"/>
  <c r="X49" i="3"/>
  <c r="AC49" i="3"/>
  <c r="M29" i="3"/>
  <c r="U29" i="3"/>
  <c r="T29" i="3" s="1"/>
  <c r="V29" i="3"/>
  <c r="W29" i="3"/>
  <c r="X29" i="3"/>
  <c r="AC29" i="3"/>
  <c r="M50" i="3"/>
  <c r="U50" i="3"/>
  <c r="T50" i="3" s="1"/>
  <c r="V50" i="3"/>
  <c r="W50" i="3"/>
  <c r="X50" i="3"/>
  <c r="AC50" i="3"/>
  <c r="M46" i="3"/>
  <c r="U46" i="3"/>
  <c r="V46" i="3"/>
  <c r="W46" i="3"/>
  <c r="X46" i="3"/>
  <c r="AC46" i="3"/>
  <c r="M7" i="3"/>
  <c r="U7" i="3"/>
  <c r="T7" i="3" s="1"/>
  <c r="V7" i="3"/>
  <c r="W7" i="3"/>
  <c r="X7" i="3"/>
  <c r="AC7" i="3"/>
  <c r="M39" i="3"/>
  <c r="U39" i="3"/>
  <c r="T39" i="3" s="1"/>
  <c r="V39" i="3"/>
  <c r="W39" i="3"/>
  <c r="X39" i="3"/>
  <c r="AC39" i="3"/>
  <c r="M9" i="3"/>
  <c r="R9" i="3"/>
  <c r="U9" i="3"/>
  <c r="T9" i="3" s="1"/>
  <c r="V9" i="3"/>
  <c r="W9" i="3"/>
  <c r="X9" i="3"/>
  <c r="AC9" i="3"/>
  <c r="M8" i="3"/>
  <c r="R8" i="3"/>
  <c r="U8" i="3"/>
  <c r="V8" i="3"/>
  <c r="W8" i="3"/>
  <c r="X8" i="3"/>
  <c r="AC8" i="3"/>
  <c r="M30" i="3"/>
  <c r="R30" i="3"/>
  <c r="U30" i="3"/>
  <c r="T30" i="3" s="1"/>
  <c r="V30" i="3"/>
  <c r="W30" i="3"/>
  <c r="X30" i="3"/>
  <c r="AC30" i="3"/>
  <c r="M31" i="3"/>
  <c r="U31" i="3"/>
  <c r="T31" i="3" s="1"/>
  <c r="V31" i="3"/>
  <c r="W31" i="3"/>
  <c r="X31" i="3"/>
  <c r="AC31" i="3"/>
  <c r="M15" i="3"/>
  <c r="U15" i="3"/>
  <c r="T15" i="3" s="1"/>
  <c r="V15" i="3"/>
  <c r="W15" i="3"/>
  <c r="X15" i="3"/>
  <c r="AC15" i="3"/>
  <c r="M52" i="3"/>
  <c r="U52" i="3"/>
  <c r="V52" i="3"/>
  <c r="W52" i="3"/>
  <c r="X52" i="3"/>
  <c r="AC52" i="3"/>
  <c r="M54" i="3"/>
  <c r="U54" i="3"/>
  <c r="T54" i="3" s="1"/>
  <c r="V54" i="3"/>
  <c r="W54" i="3"/>
  <c r="X54" i="3"/>
  <c r="AC54" i="3"/>
  <c r="M40" i="3"/>
  <c r="R40" i="3"/>
  <c r="S40" i="3"/>
  <c r="U40" i="3"/>
  <c r="T40" i="3" s="1"/>
  <c r="V40" i="3"/>
  <c r="W40" i="3"/>
  <c r="X40" i="3"/>
  <c r="AC40" i="3"/>
  <c r="M32" i="3"/>
  <c r="S32" i="3"/>
  <c r="U32" i="3"/>
  <c r="T32" i="3" s="1"/>
  <c r="V32" i="3"/>
  <c r="W32" i="3"/>
  <c r="X32" i="3"/>
  <c r="AC32" i="3"/>
  <c r="M20" i="3"/>
  <c r="S20" i="3"/>
  <c r="U20" i="3"/>
  <c r="V20" i="3"/>
  <c r="W20" i="3"/>
  <c r="X20" i="3"/>
  <c r="M13" i="3"/>
  <c r="U13" i="3"/>
  <c r="T13" i="3" s="1"/>
  <c r="V13" i="3"/>
  <c r="W13" i="3"/>
  <c r="X13" i="3"/>
  <c r="AC13" i="3"/>
  <c r="M41" i="3"/>
  <c r="S41" i="3"/>
  <c r="U41" i="3"/>
  <c r="T41" i="3" s="1"/>
  <c r="V41" i="3"/>
  <c r="W41" i="3"/>
  <c r="X41" i="3"/>
  <c r="AC41" i="3"/>
  <c r="M16" i="3"/>
  <c r="U16" i="3"/>
  <c r="T16" i="3" s="1"/>
  <c r="V16" i="3"/>
  <c r="W16" i="3"/>
  <c r="X16" i="3"/>
  <c r="AC16" i="3"/>
  <c r="M48" i="3"/>
  <c r="U48" i="3"/>
  <c r="V48" i="3"/>
  <c r="W48" i="3"/>
  <c r="X48" i="3"/>
  <c r="AC48" i="3"/>
  <c r="M33" i="3"/>
  <c r="R33" i="3"/>
  <c r="U33" i="3"/>
  <c r="T33" i="3" s="1"/>
  <c r="V33" i="3"/>
  <c r="W33" i="3"/>
  <c r="X33" i="3"/>
  <c r="AC33" i="3"/>
  <c r="M42" i="3"/>
  <c r="R42" i="3"/>
  <c r="U42" i="3"/>
  <c r="T42" i="3" s="1"/>
  <c r="V42" i="3"/>
  <c r="W42" i="3"/>
  <c r="X42" i="3"/>
  <c r="AC42" i="3"/>
  <c r="M34" i="3"/>
  <c r="R34" i="3"/>
  <c r="U34" i="3"/>
  <c r="T34" i="3" s="1"/>
  <c r="V34" i="3"/>
  <c r="W34" i="3"/>
  <c r="X34" i="3"/>
  <c r="M24" i="3"/>
  <c r="U24" i="3"/>
  <c r="V24" i="3"/>
  <c r="W24" i="3"/>
  <c r="X24" i="3"/>
  <c r="AC24" i="3"/>
  <c r="M25" i="3"/>
  <c r="R25" i="3"/>
  <c r="U25" i="3"/>
  <c r="T25" i="3" s="1"/>
  <c r="V25" i="3"/>
  <c r="W25" i="3"/>
  <c r="X25" i="3"/>
  <c r="AC25" i="3"/>
  <c r="M35" i="3"/>
  <c r="S35" i="3"/>
  <c r="U35" i="3"/>
  <c r="T35" i="3" s="1"/>
  <c r="V35" i="3"/>
  <c r="W35" i="3"/>
  <c r="X35" i="3"/>
  <c r="AC35" i="3"/>
  <c r="M36" i="3"/>
  <c r="U36" i="3"/>
  <c r="T36" i="3" s="1"/>
  <c r="V36" i="3"/>
  <c r="W36" i="3"/>
  <c r="X36" i="3"/>
  <c r="AC36" i="3"/>
  <c r="M55" i="3"/>
  <c r="U55" i="3"/>
  <c r="V55" i="3"/>
  <c r="W55" i="3"/>
  <c r="X55" i="3"/>
  <c r="AC55" i="3"/>
  <c r="M22" i="3"/>
  <c r="U22" i="3"/>
  <c r="T22" i="3" s="1"/>
  <c r="V22" i="3"/>
  <c r="W22" i="3"/>
  <c r="X22" i="3"/>
  <c r="AC22" i="3"/>
  <c r="M17" i="3"/>
  <c r="U17" i="3"/>
  <c r="T17" i="3" s="1"/>
  <c r="V17" i="3"/>
  <c r="W17" i="3"/>
  <c r="X17" i="3"/>
  <c r="AC17" i="3"/>
  <c r="M51" i="3"/>
  <c r="R51" i="3"/>
  <c r="U51" i="3"/>
  <c r="T51" i="3" s="1"/>
  <c r="V51" i="3"/>
  <c r="W51" i="3"/>
  <c r="X51" i="3"/>
  <c r="AC51" i="3"/>
  <c r="M53" i="3"/>
  <c r="U53" i="3"/>
  <c r="V53" i="3"/>
  <c r="W53" i="3"/>
  <c r="X53" i="3"/>
  <c r="M43" i="3"/>
  <c r="U43" i="3"/>
  <c r="T43" i="3" s="1"/>
  <c r="V43" i="3"/>
  <c r="W43" i="3"/>
  <c r="X43" i="3"/>
  <c r="AC43" i="3"/>
  <c r="M37" i="3"/>
  <c r="U37" i="3"/>
  <c r="T37" i="3" s="1"/>
  <c r="V37" i="3"/>
  <c r="W37" i="3"/>
  <c r="X37" i="3"/>
  <c r="AC37" i="3"/>
  <c r="M11" i="3"/>
  <c r="U11" i="3"/>
  <c r="T11" i="3" s="1"/>
  <c r="V11" i="3"/>
  <c r="W11" i="3"/>
  <c r="X11" i="3"/>
  <c r="AC11" i="3"/>
  <c r="M12" i="3"/>
  <c r="U12" i="3"/>
  <c r="V12" i="3"/>
  <c r="W12" i="3"/>
  <c r="X12" i="3"/>
  <c r="AC12" i="3"/>
  <c r="M56" i="3"/>
  <c r="U56" i="3"/>
  <c r="T56" i="3" s="1"/>
  <c r="V56" i="3"/>
  <c r="W56" i="3"/>
  <c r="X56" i="3"/>
  <c r="AC56" i="3"/>
  <c r="M19" i="3"/>
  <c r="U19" i="3"/>
  <c r="T19" i="3" s="1"/>
  <c r="V19" i="3"/>
  <c r="W19" i="3"/>
  <c r="X19" i="3"/>
  <c r="AC19" i="3"/>
  <c r="M21" i="3"/>
  <c r="U21" i="3"/>
  <c r="T21" i="3" s="1"/>
  <c r="V21" i="3"/>
  <c r="W21" i="3"/>
  <c r="X21" i="3"/>
  <c r="AC21" i="3"/>
  <c r="M26" i="3"/>
  <c r="U26" i="3"/>
  <c r="AD26" i="3" s="1"/>
  <c r="V26" i="3"/>
  <c r="W26" i="3"/>
  <c r="X26" i="3"/>
  <c r="M10" i="3"/>
  <c r="U10" i="3"/>
  <c r="T10" i="3" s="1"/>
  <c r="V10" i="3"/>
  <c r="W10" i="3"/>
  <c r="X10" i="3"/>
  <c r="AC10" i="3"/>
  <c r="M38" i="3"/>
  <c r="U38" i="3"/>
  <c r="T38" i="3" s="1"/>
  <c r="V38" i="3"/>
  <c r="W38" i="3"/>
  <c r="X38" i="3"/>
  <c r="AC38" i="3"/>
  <c r="M14" i="3"/>
  <c r="U14" i="3"/>
  <c r="T14" i="3" s="1"/>
  <c r="V14" i="3"/>
  <c r="W14" i="3"/>
  <c r="X14" i="3"/>
  <c r="AC14" i="3"/>
  <c r="M28" i="5"/>
  <c r="AA115" i="1" l="1"/>
  <c r="AI114" i="1"/>
  <c r="AA108" i="1"/>
  <c r="X103" i="1"/>
  <c r="AA87" i="1"/>
  <c r="AI233" i="1"/>
  <c r="AG102" i="1"/>
  <c r="X56" i="1"/>
  <c r="P163" i="1"/>
  <c r="AG159" i="1"/>
  <c r="U159" i="1" s="1"/>
  <c r="S159" i="1" s="1"/>
  <c r="X187" i="1"/>
  <c r="AG203" i="1"/>
  <c r="X203" i="1"/>
  <c r="AI229" i="1"/>
  <c r="AA68" i="1"/>
  <c r="AA65" i="1"/>
  <c r="W65" i="1" s="1"/>
  <c r="X57" i="1"/>
  <c r="T26" i="1"/>
  <c r="U26" i="1" s="1"/>
  <c r="S26" i="1" s="1"/>
  <c r="AA225" i="1"/>
  <c r="R47" i="3"/>
  <c r="AI35" i="1"/>
  <c r="AI27" i="1"/>
  <c r="X189" i="1"/>
  <c r="X185" i="1"/>
  <c r="Y48" i="3"/>
  <c r="AD43" i="3"/>
  <c r="AI110" i="1"/>
  <c r="AA110" i="1"/>
  <c r="AA85" i="1"/>
  <c r="S26" i="3"/>
  <c r="R29" i="3"/>
  <c r="T202" i="1"/>
  <c r="AI187" i="1"/>
  <c r="AA233" i="1"/>
  <c r="W233" i="1" s="1"/>
  <c r="AI142" i="1"/>
  <c r="AI134" i="1"/>
  <c r="AA131" i="1"/>
  <c r="AI130" i="1"/>
  <c r="AA127" i="1"/>
  <c r="AA126" i="1"/>
  <c r="W126" i="1" s="1"/>
  <c r="AI122" i="1"/>
  <c r="AG85" i="1"/>
  <c r="AI85" i="1" s="1"/>
  <c r="X22" i="1"/>
  <c r="AI15" i="1"/>
  <c r="X58" i="1"/>
  <c r="AC34" i="3"/>
  <c r="AA202" i="1"/>
  <c r="W202" i="1" s="1"/>
  <c r="AA168" i="1"/>
  <c r="AG89" i="1"/>
  <c r="U89" i="1" s="1"/>
  <c r="S89" i="1" s="1"/>
  <c r="X89" i="1"/>
  <c r="AG30" i="1"/>
  <c r="AI30" i="1" s="1"/>
  <c r="X30" i="1"/>
  <c r="X59" i="1"/>
  <c r="X55" i="1"/>
  <c r="AG54" i="1"/>
  <c r="X54" i="1"/>
  <c r="Y20" i="3"/>
  <c r="Y52" i="3"/>
  <c r="X81" i="1"/>
  <c r="X77" i="1"/>
  <c r="Y24" i="3"/>
  <c r="Y23" i="3"/>
  <c r="AA212" i="1"/>
  <c r="AG211" i="1"/>
  <c r="AA208" i="1"/>
  <c r="AA171" i="1"/>
  <c r="X160" i="1"/>
  <c r="AG141" i="1"/>
  <c r="AA86" i="1"/>
  <c r="AG81" i="1"/>
  <c r="U81" i="1" s="1"/>
  <c r="S81" i="1" s="1"/>
  <c r="AA71" i="1"/>
  <c r="W71" i="1" s="1"/>
  <c r="AA28" i="1"/>
  <c r="P15" i="1"/>
  <c r="R10" i="3"/>
  <c r="Y12" i="3"/>
  <c r="AD55" i="3"/>
  <c r="AA197" i="1"/>
  <c r="W197" i="1" s="1"/>
  <c r="AA193" i="1"/>
  <c r="W193" i="1" s="1"/>
  <c r="AA190" i="1"/>
  <c r="AA166" i="1"/>
  <c r="AA229" i="1"/>
  <c r="AA220" i="1"/>
  <c r="W220" i="1" s="1"/>
  <c r="X159" i="1"/>
  <c r="AG145" i="1"/>
  <c r="X145" i="1"/>
  <c r="T137" i="1"/>
  <c r="U137" i="1" s="1"/>
  <c r="S137" i="1" s="1"/>
  <c r="T109" i="1"/>
  <c r="AA89" i="1"/>
  <c r="AG88" i="1"/>
  <c r="U88" i="1" s="1"/>
  <c r="S88" i="1" s="1"/>
  <c r="AG39" i="1"/>
  <c r="U39" i="1" s="1"/>
  <c r="S39" i="1" s="1"/>
  <c r="X31" i="1"/>
  <c r="AG22" i="1"/>
  <c r="X79" i="1"/>
  <c r="AA185" i="1"/>
  <c r="W185" i="1" s="1"/>
  <c r="AA164" i="1"/>
  <c r="W164" i="1" s="1"/>
  <c r="AI160" i="1"/>
  <c r="X142" i="1"/>
  <c r="AI138" i="1"/>
  <c r="AA77" i="1"/>
  <c r="W77" i="1" s="1"/>
  <c r="AA20" i="1"/>
  <c r="X74" i="1"/>
  <c r="W110" i="1"/>
  <c r="T105" i="1"/>
  <c r="AI89" i="1"/>
  <c r="AD12" i="3"/>
  <c r="Y53" i="3"/>
  <c r="AD20" i="3"/>
  <c r="S7" i="3"/>
  <c r="Y47" i="3"/>
  <c r="AA207" i="1"/>
  <c r="AA196" i="1"/>
  <c r="W196" i="1" s="1"/>
  <c r="AA195" i="1"/>
  <c r="AA182" i="1"/>
  <c r="W182" i="1" s="1"/>
  <c r="AA179" i="1"/>
  <c r="AA178" i="1"/>
  <c r="W178" i="1" s="1"/>
  <c r="AA221" i="1"/>
  <c r="AG163" i="1"/>
  <c r="U163" i="1" s="1"/>
  <c r="X163" i="1"/>
  <c r="AA162" i="1"/>
  <c r="W162" i="1" s="1"/>
  <c r="AI156" i="1"/>
  <c r="AA149" i="1"/>
  <c r="AA147" i="1"/>
  <c r="AA138" i="1"/>
  <c r="W138" i="1" s="1"/>
  <c r="AA134" i="1"/>
  <c r="W134" i="1" s="1"/>
  <c r="T126" i="1"/>
  <c r="AA122" i="1"/>
  <c r="W122" i="1" s="1"/>
  <c r="AA119" i="1"/>
  <c r="AA118" i="1"/>
  <c r="AA114" i="1"/>
  <c r="AA107" i="1"/>
  <c r="AA106" i="1"/>
  <c r="AA98" i="1"/>
  <c r="AA95" i="1"/>
  <c r="AI77" i="1"/>
  <c r="AA76" i="1"/>
  <c r="AA72" i="1"/>
  <c r="AG71" i="1"/>
  <c r="AI71" i="1" s="1"/>
  <c r="AG55" i="1"/>
  <c r="U55" i="1" s="1"/>
  <c r="S55" i="1" s="1"/>
  <c r="AA51" i="1"/>
  <c r="W51" i="1" s="1"/>
  <c r="AA23" i="1"/>
  <c r="AA19" i="1"/>
  <c r="AG14" i="1"/>
  <c r="U14" i="1" s="1"/>
  <c r="S14" i="1" s="1"/>
  <c r="W229" i="1"/>
  <c r="Y26" i="3"/>
  <c r="Y46" i="3"/>
  <c r="Y55" i="3"/>
  <c r="Y8" i="3"/>
  <c r="X197" i="1"/>
  <c r="AD53" i="3"/>
  <c r="AG210" i="1"/>
  <c r="AI210" i="1" s="1"/>
  <c r="AA200" i="1"/>
  <c r="AA199" i="1"/>
  <c r="AA198" i="1"/>
  <c r="AI176" i="1"/>
  <c r="AA174" i="1"/>
  <c r="W174" i="1" s="1"/>
  <c r="AA173" i="1"/>
  <c r="AI172" i="1"/>
  <c r="AA230" i="1"/>
  <c r="AG219" i="1"/>
  <c r="U219" i="1" s="1"/>
  <c r="S219" i="1" s="1"/>
  <c r="AA215" i="1"/>
  <c r="AI214" i="1"/>
  <c r="AG158" i="1"/>
  <c r="AI158" i="1" s="1"/>
  <c r="AA155" i="1"/>
  <c r="AA153" i="1"/>
  <c r="AA135" i="1"/>
  <c r="AA124" i="1"/>
  <c r="AA78" i="1"/>
  <c r="AA53" i="1"/>
  <c r="AA36" i="1"/>
  <c r="AA27" i="1"/>
  <c r="W27" i="1" s="1"/>
  <c r="AA26" i="1"/>
  <c r="W26" i="1" s="1"/>
  <c r="AA15" i="1"/>
  <c r="W15" i="1" s="1"/>
  <c r="AA14" i="1"/>
  <c r="T113" i="1"/>
  <c r="U113" i="1" s="1"/>
  <c r="S113" i="1" s="1"/>
  <c r="X113" i="1"/>
  <c r="AG113" i="1"/>
  <c r="AI113" i="1" s="1"/>
  <c r="T92" i="1"/>
  <c r="X92" i="1"/>
  <c r="AG92" i="1"/>
  <c r="AI92" i="1" s="1"/>
  <c r="AG84" i="1"/>
  <c r="T84" i="1"/>
  <c r="X85" i="1"/>
  <c r="X192" i="1"/>
  <c r="T169" i="1"/>
  <c r="U169" i="1" s="1"/>
  <c r="S169" i="1" s="1"/>
  <c r="AG165" i="1"/>
  <c r="AA161" i="1"/>
  <c r="T75" i="1"/>
  <c r="AG75" i="1"/>
  <c r="AI75" i="1" s="1"/>
  <c r="T67" i="1"/>
  <c r="AG67" i="1"/>
  <c r="AI65" i="1"/>
  <c r="AA31" i="1"/>
  <c r="W31" i="1" s="1"/>
  <c r="AI31" i="1"/>
  <c r="U202" i="1"/>
  <c r="S202" i="1" s="1"/>
  <c r="AI191" i="1"/>
  <c r="S49" i="3"/>
  <c r="X211" i="1"/>
  <c r="AA210" i="1"/>
  <c r="W210" i="1" s="1"/>
  <c r="X207" i="1"/>
  <c r="AA206" i="1"/>
  <c r="AA205" i="1"/>
  <c r="AA203" i="1"/>
  <c r="W203" i="1" s="1"/>
  <c r="AA189" i="1"/>
  <c r="W189" i="1" s="1"/>
  <c r="AA187" i="1"/>
  <c r="W187" i="1" s="1"/>
  <c r="AA170" i="1"/>
  <c r="W170" i="1" s="1"/>
  <c r="AG166" i="1"/>
  <c r="W166" i="1" s="1"/>
  <c r="X166" i="1"/>
  <c r="X220" i="1"/>
  <c r="AA218" i="1"/>
  <c r="X164" i="1"/>
  <c r="AA160" i="1"/>
  <c r="W160" i="1" s="1"/>
  <c r="AA158" i="1"/>
  <c r="AA157" i="1"/>
  <c r="AA142" i="1"/>
  <c r="W142" i="1" s="1"/>
  <c r="U141" i="1"/>
  <c r="S141" i="1" s="1"/>
  <c r="T125" i="1"/>
  <c r="U125" i="1" s="1"/>
  <c r="S125" i="1" s="1"/>
  <c r="U109" i="1"/>
  <c r="S109" i="1" s="1"/>
  <c r="AA99" i="1"/>
  <c r="W99" i="1" s="1"/>
  <c r="AI99" i="1"/>
  <c r="T62" i="1"/>
  <c r="X62" i="1"/>
  <c r="AG62" i="1"/>
  <c r="AI62" i="1" s="1"/>
  <c r="AG47" i="1"/>
  <c r="AI47" i="1" s="1"/>
  <c r="X47" i="1"/>
  <c r="T42" i="1"/>
  <c r="AG42" i="1"/>
  <c r="AA192" i="1"/>
  <c r="W192" i="1" s="1"/>
  <c r="X177" i="1"/>
  <c r="AA175" i="1"/>
  <c r="X232" i="1"/>
  <c r="AA231" i="1"/>
  <c r="AA227" i="1"/>
  <c r="W227" i="1" s="1"/>
  <c r="T149" i="1"/>
  <c r="U149" i="1" s="1"/>
  <c r="S149" i="1" s="1"/>
  <c r="X126" i="1"/>
  <c r="T121" i="1"/>
  <c r="AG121" i="1"/>
  <c r="X122" i="1"/>
  <c r="AG23" i="1"/>
  <c r="AI23" i="1" s="1"/>
  <c r="X23" i="1"/>
  <c r="AA123" i="1"/>
  <c r="AA120" i="1"/>
  <c r="AA112" i="1"/>
  <c r="W112" i="1" s="1"/>
  <c r="AA103" i="1"/>
  <c r="AA102" i="1"/>
  <c r="W102" i="1" s="1"/>
  <c r="AA96" i="1"/>
  <c r="AG93" i="1"/>
  <c r="U93" i="1" s="1"/>
  <c r="S93" i="1" s="1"/>
  <c r="X93" i="1"/>
  <c r="AA84" i="1"/>
  <c r="AG74" i="1"/>
  <c r="U74" i="1" s="1"/>
  <c r="S74" i="1" s="1"/>
  <c r="AA67" i="1"/>
  <c r="AA63" i="1"/>
  <c r="AG59" i="1"/>
  <c r="AI59" i="1" s="1"/>
  <c r="AA57" i="1"/>
  <c r="AA48" i="1"/>
  <c r="AA47" i="1"/>
  <c r="W47" i="1" s="1"/>
  <c r="X43" i="1"/>
  <c r="AA39" i="1"/>
  <c r="X35" i="1"/>
  <c r="AA32" i="1"/>
  <c r="AA17" i="1"/>
  <c r="AA211" i="1"/>
  <c r="W211" i="1" s="1"/>
  <c r="AA204" i="1"/>
  <c r="AA186" i="1"/>
  <c r="AA184" i="1"/>
  <c r="AA183" i="1"/>
  <c r="AA216" i="1"/>
  <c r="W216" i="1" s="1"/>
  <c r="AA213" i="1"/>
  <c r="AA156" i="1"/>
  <c r="W156" i="1" s="1"/>
  <c r="AA154" i="1"/>
  <c r="AA150" i="1"/>
  <c r="X149" i="1"/>
  <c r="AA143" i="1"/>
  <c r="AA140" i="1"/>
  <c r="AA139" i="1"/>
  <c r="AA133" i="1"/>
  <c r="AA129" i="1"/>
  <c r="AA111" i="1"/>
  <c r="X110" i="1"/>
  <c r="AA93" i="1"/>
  <c r="AA91" i="1"/>
  <c r="AA90" i="1"/>
  <c r="T77" i="1"/>
  <c r="U77" i="1" s="1"/>
  <c r="S77" i="1" s="1"/>
  <c r="AA74" i="1"/>
  <c r="X71" i="1"/>
  <c r="AA69" i="1"/>
  <c r="W69" i="1" s="1"/>
  <c r="AA64" i="1"/>
  <c r="AA59" i="1"/>
  <c r="W59" i="1" s="1"/>
  <c r="AA58" i="1"/>
  <c r="AA55" i="1"/>
  <c r="X53" i="1"/>
  <c r="AA44" i="1"/>
  <c r="AA43" i="1"/>
  <c r="W43" i="1" s="1"/>
  <c r="AA35" i="1"/>
  <c r="W35" i="1" s="1"/>
  <c r="AI149" i="1"/>
  <c r="T196" i="1"/>
  <c r="U196" i="1" s="1"/>
  <c r="S196" i="1" s="1"/>
  <c r="T182" i="1"/>
  <c r="U182" i="1" s="1"/>
  <c r="S182" i="1" s="1"/>
  <c r="T178" i="1"/>
  <c r="U178" i="1" s="1"/>
  <c r="S178" i="1" s="1"/>
  <c r="T173" i="1"/>
  <c r="T224" i="1"/>
  <c r="T207" i="1"/>
  <c r="T189" i="1"/>
  <c r="U189" i="1" s="1"/>
  <c r="S189" i="1" s="1"/>
  <c r="AA181" i="1"/>
  <c r="AA177" i="1"/>
  <c r="AA169" i="1"/>
  <c r="W169" i="1" s="1"/>
  <c r="T233" i="1"/>
  <c r="U233" i="1" s="1"/>
  <c r="S233" i="1" s="1"/>
  <c r="T229" i="1"/>
  <c r="U229" i="1" s="1"/>
  <c r="S229" i="1" s="1"/>
  <c r="AA217" i="1"/>
  <c r="X216" i="1"/>
  <c r="AG215" i="1"/>
  <c r="AI215" i="1" s="1"/>
  <c r="X156" i="1"/>
  <c r="AG155" i="1"/>
  <c r="U155" i="1" s="1"/>
  <c r="W149" i="1"/>
  <c r="AA144" i="1"/>
  <c r="W144" i="1" s="1"/>
  <c r="T138" i="1"/>
  <c r="U138" i="1" s="1"/>
  <c r="S138" i="1" s="1"/>
  <c r="X134" i="1"/>
  <c r="AG133" i="1"/>
  <c r="AI133" i="1" s="1"/>
  <c r="X130" i="1"/>
  <c r="AG129" i="1"/>
  <c r="AI129" i="1" s="1"/>
  <c r="X129" i="1"/>
  <c r="AA117" i="1"/>
  <c r="W117" i="1" s="1"/>
  <c r="T114" i="1"/>
  <c r="U114" i="1" s="1"/>
  <c r="S114" i="1" s="1"/>
  <c r="AG98" i="1"/>
  <c r="AI98" i="1" s="1"/>
  <c r="X98" i="1"/>
  <c r="T80" i="1"/>
  <c r="AG80" i="1"/>
  <c r="AI80" i="1" s="1"/>
  <c r="AI43" i="1"/>
  <c r="AG19" i="1"/>
  <c r="AI19" i="1" s="1"/>
  <c r="X19" i="1"/>
  <c r="T170" i="1"/>
  <c r="U170" i="1" s="1"/>
  <c r="S170" i="1" s="1"/>
  <c r="T197" i="1"/>
  <c r="X196" i="1"/>
  <c r="T164" i="1"/>
  <c r="U164" i="1" s="1"/>
  <c r="T160" i="1"/>
  <c r="U160" i="1" s="1"/>
  <c r="S160" i="1" s="1"/>
  <c r="AA151" i="1"/>
  <c r="W151" i="1" s="1"/>
  <c r="T148" i="1"/>
  <c r="T142" i="1"/>
  <c r="U142" i="1" s="1"/>
  <c r="S142" i="1" s="1"/>
  <c r="AG118" i="1"/>
  <c r="AI118" i="1" s="1"/>
  <c r="X118" i="1"/>
  <c r="X99" i="1"/>
  <c r="W89" i="1"/>
  <c r="AG72" i="1"/>
  <c r="AI72" i="1" s="1"/>
  <c r="X72" i="1"/>
  <c r="T63" i="1"/>
  <c r="AG63" i="1"/>
  <c r="AI63" i="1" s="1"/>
  <c r="U59" i="1"/>
  <c r="S59" i="1" s="1"/>
  <c r="T57" i="1"/>
  <c r="AG57" i="1"/>
  <c r="AI57" i="1" s="1"/>
  <c r="T18" i="1"/>
  <c r="AG18" i="1"/>
  <c r="U211" i="1"/>
  <c r="S211" i="1" s="1"/>
  <c r="U203" i="1"/>
  <c r="S203" i="1" s="1"/>
  <c r="AG106" i="1"/>
  <c r="X106" i="1"/>
  <c r="X174" i="1"/>
  <c r="AG173" i="1"/>
  <c r="W173" i="1" s="1"/>
  <c r="R50" i="3"/>
  <c r="AG224" i="1"/>
  <c r="AG223" i="1"/>
  <c r="U223" i="1" s="1"/>
  <c r="S223" i="1" s="1"/>
  <c r="AG207" i="1"/>
  <c r="AG206" i="1"/>
  <c r="U206" i="1" s="1"/>
  <c r="S206" i="1" s="1"/>
  <c r="AG199" i="1"/>
  <c r="AI199" i="1" s="1"/>
  <c r="AI211" i="1"/>
  <c r="T192" i="1"/>
  <c r="U192" i="1" s="1"/>
  <c r="S192" i="1" s="1"/>
  <c r="AA188" i="1"/>
  <c r="T188" i="1"/>
  <c r="AI203" i="1"/>
  <c r="T185" i="1"/>
  <c r="U185" i="1" s="1"/>
  <c r="S185" i="1" s="1"/>
  <c r="X182" i="1"/>
  <c r="AG181" i="1"/>
  <c r="U181" i="1" s="1"/>
  <c r="S181" i="1" s="1"/>
  <c r="X178" i="1"/>
  <c r="AG177" i="1"/>
  <c r="U177" i="1" s="1"/>
  <c r="S177" i="1" s="1"/>
  <c r="X170" i="1"/>
  <c r="T166" i="1"/>
  <c r="AA232" i="1"/>
  <c r="AA228" i="1"/>
  <c r="T228" i="1"/>
  <c r="T220" i="1"/>
  <c r="U220" i="1" s="1"/>
  <c r="S220" i="1" s="1"/>
  <c r="AA226" i="1"/>
  <c r="AA209" i="1"/>
  <c r="AA201" i="1"/>
  <c r="X195" i="1"/>
  <c r="AA194" i="1"/>
  <c r="W194" i="1" s="1"/>
  <c r="AG188" i="1"/>
  <c r="T174" i="1"/>
  <c r="U174" i="1" s="1"/>
  <c r="S174" i="1" s="1"/>
  <c r="AA172" i="1"/>
  <c r="W172" i="1" s="1"/>
  <c r="AA167" i="1"/>
  <c r="AA165" i="1"/>
  <c r="W165" i="1" s="1"/>
  <c r="AA234" i="1"/>
  <c r="X233" i="1"/>
  <c r="AG232" i="1"/>
  <c r="U232" i="1" s="1"/>
  <c r="X229" i="1"/>
  <c r="AG228" i="1"/>
  <c r="AI228" i="1" s="1"/>
  <c r="AA219" i="1"/>
  <c r="T216" i="1"/>
  <c r="U216" i="1" s="1"/>
  <c r="S216" i="1" s="1"/>
  <c r="AA163" i="1"/>
  <c r="W163" i="1" s="1"/>
  <c r="AA159" i="1"/>
  <c r="W159" i="1" s="1"/>
  <c r="T156" i="1"/>
  <c r="U156" i="1" s="1"/>
  <c r="S156" i="1" s="1"/>
  <c r="AA146" i="1"/>
  <c r="AA145" i="1"/>
  <c r="W145" i="1" s="1"/>
  <c r="AA141" i="1"/>
  <c r="W141" i="1" s="1"/>
  <c r="X138" i="1"/>
  <c r="AA137" i="1"/>
  <c r="W137" i="1" s="1"/>
  <c r="AA136" i="1"/>
  <c r="T134" i="1"/>
  <c r="U134" i="1" s="1"/>
  <c r="S134" i="1" s="1"/>
  <c r="AA130" i="1"/>
  <c r="W130" i="1" s="1"/>
  <c r="T130" i="1"/>
  <c r="U130" i="1" s="1"/>
  <c r="S130" i="1" s="1"/>
  <c r="AI126" i="1"/>
  <c r="AA125" i="1"/>
  <c r="W125" i="1" s="1"/>
  <c r="AA121" i="1"/>
  <c r="T117" i="1"/>
  <c r="U117" i="1" s="1"/>
  <c r="X114" i="1"/>
  <c r="T110" i="1"/>
  <c r="U110" i="1" s="1"/>
  <c r="S110" i="1" s="1"/>
  <c r="T106" i="1"/>
  <c r="AA100" i="1"/>
  <c r="AA94" i="1"/>
  <c r="AA81" i="1"/>
  <c r="AA61" i="1"/>
  <c r="T38" i="1"/>
  <c r="X38" i="1"/>
  <c r="AG38" i="1"/>
  <c r="AI38" i="1" s="1"/>
  <c r="X39" i="1"/>
  <c r="AA46" i="1"/>
  <c r="AA45" i="1"/>
  <c r="W45" i="1" s="1"/>
  <c r="AA34" i="1"/>
  <c r="W34" i="1" s="1"/>
  <c r="T34" i="1"/>
  <c r="U34" i="1" s="1"/>
  <c r="S34" i="1" s="1"/>
  <c r="T27" i="1"/>
  <c r="U27" i="1" s="1"/>
  <c r="S27" i="1" s="1"/>
  <c r="T15" i="1"/>
  <c r="U15" i="1" s="1"/>
  <c r="AA128" i="1"/>
  <c r="W128" i="1" s="1"/>
  <c r="T122" i="1"/>
  <c r="U122" i="1" s="1"/>
  <c r="S122" i="1" s="1"/>
  <c r="AA113" i="1"/>
  <c r="AA109" i="1"/>
  <c r="W109" i="1" s="1"/>
  <c r="AA105" i="1"/>
  <c r="W105" i="1" s="1"/>
  <c r="AA104" i="1"/>
  <c r="AA97" i="1"/>
  <c r="W97" i="1" s="1"/>
  <c r="AA92" i="1"/>
  <c r="AA88" i="1"/>
  <c r="AA75" i="1"/>
  <c r="AA52" i="1"/>
  <c r="AG50" i="1"/>
  <c r="T47" i="1"/>
  <c r="U47" i="1" s="1"/>
  <c r="S47" i="1" s="1"/>
  <c r="T46" i="1"/>
  <c r="T43" i="1"/>
  <c r="U43" i="1" s="1"/>
  <c r="S43" i="1" s="1"/>
  <c r="T35" i="1"/>
  <c r="AA25" i="1"/>
  <c r="T23" i="1"/>
  <c r="AA16" i="1"/>
  <c r="T99" i="1"/>
  <c r="U99" i="1" s="1"/>
  <c r="S99" i="1" s="1"/>
  <c r="AA83" i="1"/>
  <c r="AA82" i="1"/>
  <c r="AA60" i="1"/>
  <c r="AA56" i="1"/>
  <c r="AG52" i="1"/>
  <c r="U52" i="1" s="1"/>
  <c r="S52" i="1" s="1"/>
  <c r="X51" i="1"/>
  <c r="AG46" i="1"/>
  <c r="AA40" i="1"/>
  <c r="AA33" i="1"/>
  <c r="T31" i="1"/>
  <c r="U31" i="1" s="1"/>
  <c r="S31" i="1" s="1"/>
  <c r="X27" i="1"/>
  <c r="AA24" i="1"/>
  <c r="AA18" i="1"/>
  <c r="W18" i="1" s="1"/>
  <c r="X15" i="1"/>
  <c r="AI79" i="1"/>
  <c r="AI101" i="1"/>
  <c r="AI116" i="1"/>
  <c r="AI182" i="1"/>
  <c r="T198" i="1"/>
  <c r="X198" i="1"/>
  <c r="T180" i="1"/>
  <c r="X180" i="1"/>
  <c r="T103" i="1"/>
  <c r="AG103" i="1"/>
  <c r="X210" i="1"/>
  <c r="AG209" i="1"/>
  <c r="AI209" i="1" s="1"/>
  <c r="X206" i="1"/>
  <c r="AG205" i="1"/>
  <c r="AI205" i="1" s="1"/>
  <c r="X202" i="1"/>
  <c r="AG201" i="1"/>
  <c r="AG198" i="1"/>
  <c r="AI198" i="1" s="1"/>
  <c r="T184" i="1"/>
  <c r="X181" i="1"/>
  <c r="AG180" i="1"/>
  <c r="AI180" i="1" s="1"/>
  <c r="T168" i="1"/>
  <c r="X168" i="1"/>
  <c r="X165" i="1"/>
  <c r="T221" i="1"/>
  <c r="X221" i="1"/>
  <c r="AG221" i="1"/>
  <c r="AI221" i="1" s="1"/>
  <c r="X215" i="1"/>
  <c r="AI151" i="1"/>
  <c r="AI144" i="1"/>
  <c r="AI128" i="1"/>
  <c r="AI112" i="1"/>
  <c r="T107" i="1"/>
  <c r="X107" i="1"/>
  <c r="AG107" i="1"/>
  <c r="AI97" i="1"/>
  <c r="T83" i="1"/>
  <c r="X83" i="1"/>
  <c r="AG83" i="1"/>
  <c r="X84" i="1"/>
  <c r="AG60" i="1"/>
  <c r="X60" i="1"/>
  <c r="T60" i="1"/>
  <c r="U210" i="1"/>
  <c r="S210" i="1" s="1"/>
  <c r="T183" i="1"/>
  <c r="AG183" i="1"/>
  <c r="AI183" i="1" s="1"/>
  <c r="T167" i="1"/>
  <c r="X167" i="1"/>
  <c r="AG167" i="1"/>
  <c r="AI167" i="1" s="1"/>
  <c r="T217" i="1"/>
  <c r="X217" i="1"/>
  <c r="AG217" i="1"/>
  <c r="T214" i="1"/>
  <c r="U214" i="1" s="1"/>
  <c r="S214" i="1" s="1"/>
  <c r="X214" i="1"/>
  <c r="T153" i="1"/>
  <c r="X153" i="1"/>
  <c r="AG153" i="1"/>
  <c r="X152" i="1"/>
  <c r="AG152" i="1"/>
  <c r="AG150" i="1"/>
  <c r="W150" i="1" s="1"/>
  <c r="X150" i="1"/>
  <c r="T150" i="1"/>
  <c r="T135" i="1"/>
  <c r="X135" i="1"/>
  <c r="AG135" i="1"/>
  <c r="W135" i="1" s="1"/>
  <c r="T132" i="1"/>
  <c r="X132" i="1"/>
  <c r="T116" i="1"/>
  <c r="U116" i="1" s="1"/>
  <c r="X116" i="1"/>
  <c r="T101" i="1"/>
  <c r="U101" i="1" s="1"/>
  <c r="S101" i="1" s="1"/>
  <c r="X101" i="1"/>
  <c r="AG226" i="1"/>
  <c r="X223" i="1"/>
  <c r="AG222" i="1"/>
  <c r="T195" i="1"/>
  <c r="T186" i="1"/>
  <c r="AG186" i="1"/>
  <c r="AI186" i="1" s="1"/>
  <c r="T171" i="1"/>
  <c r="X171" i="1"/>
  <c r="AG171" i="1"/>
  <c r="AI171" i="1" s="1"/>
  <c r="T218" i="1"/>
  <c r="X218" i="1"/>
  <c r="T157" i="1"/>
  <c r="X157" i="1"/>
  <c r="AG157" i="1"/>
  <c r="T154" i="1"/>
  <c r="X154" i="1"/>
  <c r="T139" i="1"/>
  <c r="X139" i="1"/>
  <c r="AG139" i="1"/>
  <c r="AG132" i="1"/>
  <c r="T123" i="1"/>
  <c r="X123" i="1"/>
  <c r="AG123" i="1"/>
  <c r="X226" i="1"/>
  <c r="AG225" i="1"/>
  <c r="AI225" i="1" s="1"/>
  <c r="X222" i="1"/>
  <c r="AG212" i="1"/>
  <c r="AI212" i="1" s="1"/>
  <c r="X209" i="1"/>
  <c r="AG208" i="1"/>
  <c r="X205" i="1"/>
  <c r="AG204" i="1"/>
  <c r="AI220" i="1"/>
  <c r="X201" i="1"/>
  <c r="AG200" i="1"/>
  <c r="U197" i="1"/>
  <c r="S197" i="1" s="1"/>
  <c r="AG195" i="1"/>
  <c r="AI195" i="1" s="1"/>
  <c r="T193" i="1"/>
  <c r="U193" i="1" s="1"/>
  <c r="S193" i="1" s="1"/>
  <c r="AA191" i="1"/>
  <c r="W191" i="1" s="1"/>
  <c r="T190" i="1"/>
  <c r="X190" i="1"/>
  <c r="AG190" i="1"/>
  <c r="AI190" i="1" s="1"/>
  <c r="T187" i="1"/>
  <c r="U187" i="1" s="1"/>
  <c r="S187" i="1" s="1"/>
  <c r="AI202" i="1"/>
  <c r="AG184" i="1"/>
  <c r="AI184" i="1" s="1"/>
  <c r="AA176" i="1"/>
  <c r="W176" i="1" s="1"/>
  <c r="T175" i="1"/>
  <c r="X175" i="1"/>
  <c r="AG175" i="1"/>
  <c r="AI175" i="1" s="1"/>
  <c r="T172" i="1"/>
  <c r="U172" i="1" s="1"/>
  <c r="S172" i="1" s="1"/>
  <c r="X172" i="1"/>
  <c r="X169" i="1"/>
  <c r="AG168" i="1"/>
  <c r="AI168" i="1" s="1"/>
  <c r="W231" i="1"/>
  <c r="T230" i="1"/>
  <c r="X230" i="1"/>
  <c r="AG230" i="1"/>
  <c r="T227" i="1"/>
  <c r="U227" i="1" s="1"/>
  <c r="S227" i="1" s="1"/>
  <c r="X227" i="1"/>
  <c r="X219" i="1"/>
  <c r="AG218" i="1"/>
  <c r="T161" i="1"/>
  <c r="X161" i="1"/>
  <c r="AG161" i="1"/>
  <c r="T158" i="1"/>
  <c r="X158" i="1"/>
  <c r="AI155" i="1"/>
  <c r="X155" i="1"/>
  <c r="AG154" i="1"/>
  <c r="AG146" i="1"/>
  <c r="X146" i="1"/>
  <c r="AI145" i="1"/>
  <c r="U145" i="1"/>
  <c r="S145" i="1" s="1"/>
  <c r="T136" i="1"/>
  <c r="X136" i="1"/>
  <c r="AG136" i="1"/>
  <c r="W136" i="1" s="1"/>
  <c r="X137" i="1"/>
  <c r="X133" i="1"/>
  <c r="U129" i="1"/>
  <c r="S129" i="1" s="1"/>
  <c r="T120" i="1"/>
  <c r="X120" i="1"/>
  <c r="AG120" i="1"/>
  <c r="X121" i="1"/>
  <c r="AI117" i="1"/>
  <c r="X117" i="1"/>
  <c r="U105" i="1"/>
  <c r="S105" i="1" s="1"/>
  <c r="T104" i="1"/>
  <c r="X104" i="1"/>
  <c r="AG104" i="1"/>
  <c r="X105" i="1"/>
  <c r="AI102" i="1"/>
  <c r="U102" i="1"/>
  <c r="S102" i="1" s="1"/>
  <c r="X102" i="1"/>
  <c r="T86" i="1"/>
  <c r="X86" i="1"/>
  <c r="AG86" i="1"/>
  <c r="AI37" i="1"/>
  <c r="AI194" i="1"/>
  <c r="AI193" i="1"/>
  <c r="T235" i="1"/>
  <c r="U235" i="1" s="1"/>
  <c r="S235" i="1" s="1"/>
  <c r="X235" i="1"/>
  <c r="S232" i="1"/>
  <c r="AI178" i="1"/>
  <c r="AI164" i="1"/>
  <c r="AI163" i="1"/>
  <c r="AI162" i="1"/>
  <c r="T119" i="1"/>
  <c r="X119" i="1"/>
  <c r="AG119" i="1"/>
  <c r="T79" i="1"/>
  <c r="U79" i="1" s="1"/>
  <c r="S79" i="1" s="1"/>
  <c r="S46" i="3"/>
  <c r="X225" i="1"/>
  <c r="X212" i="1"/>
  <c r="X208" i="1"/>
  <c r="X204" i="1"/>
  <c r="X200" i="1"/>
  <c r="X199" i="1"/>
  <c r="T194" i="1"/>
  <c r="U194" i="1" s="1"/>
  <c r="X194" i="1"/>
  <c r="X193" i="1"/>
  <c r="T191" i="1"/>
  <c r="U191" i="1" s="1"/>
  <c r="S191" i="1" s="1"/>
  <c r="X191" i="1"/>
  <c r="AA180" i="1"/>
  <c r="T179" i="1"/>
  <c r="X179" i="1"/>
  <c r="AG179" i="1"/>
  <c r="AI179" i="1" s="1"/>
  <c r="T176" i="1"/>
  <c r="U176" i="1" s="1"/>
  <c r="S176" i="1" s="1"/>
  <c r="X176" i="1"/>
  <c r="AI189" i="1"/>
  <c r="U165" i="1"/>
  <c r="S165" i="1" s="1"/>
  <c r="AA235" i="1"/>
  <c r="W235" i="1" s="1"/>
  <c r="T234" i="1"/>
  <c r="X234" i="1"/>
  <c r="AG234" i="1"/>
  <c r="T231" i="1"/>
  <c r="U231" i="1" s="1"/>
  <c r="S231" i="1" s="1"/>
  <c r="X231" i="1"/>
  <c r="AI174" i="1"/>
  <c r="AA214" i="1"/>
  <c r="W214" i="1" s="1"/>
  <c r="T213" i="1"/>
  <c r="X213" i="1"/>
  <c r="AG213" i="1"/>
  <c r="T162" i="1"/>
  <c r="U162" i="1" s="1"/>
  <c r="S162" i="1" s="1"/>
  <c r="X162" i="1"/>
  <c r="AI159" i="1"/>
  <c r="AA152" i="1"/>
  <c r="T152" i="1"/>
  <c r="AG148" i="1"/>
  <c r="X148" i="1"/>
  <c r="W114" i="1"/>
  <c r="AI69" i="1"/>
  <c r="T147" i="1"/>
  <c r="X147" i="1"/>
  <c r="T143" i="1"/>
  <c r="X143" i="1"/>
  <c r="AG143" i="1"/>
  <c r="T140" i="1"/>
  <c r="X140" i="1"/>
  <c r="AI137" i="1"/>
  <c r="T127" i="1"/>
  <c r="X127" i="1"/>
  <c r="AG127" i="1"/>
  <c r="T124" i="1"/>
  <c r="X124" i="1"/>
  <c r="T111" i="1"/>
  <c r="X111" i="1"/>
  <c r="AG111" i="1"/>
  <c r="T108" i="1"/>
  <c r="X108" i="1"/>
  <c r="AI105" i="1"/>
  <c r="T96" i="1"/>
  <c r="X96" i="1"/>
  <c r="AG96" i="1"/>
  <c r="T95" i="1"/>
  <c r="X95" i="1"/>
  <c r="AG95" i="1"/>
  <c r="W95" i="1" s="1"/>
  <c r="AI91" i="1"/>
  <c r="T73" i="1"/>
  <c r="X73" i="1"/>
  <c r="X70" i="1"/>
  <c r="AG70" i="1"/>
  <c r="T70" i="1"/>
  <c r="X67" i="1"/>
  <c r="X66" i="1"/>
  <c r="AG66" i="1"/>
  <c r="T151" i="1"/>
  <c r="U151" i="1" s="1"/>
  <c r="S151" i="1" s="1"/>
  <c r="X151" i="1"/>
  <c r="AA148" i="1"/>
  <c r="AG147" i="1"/>
  <c r="T144" i="1"/>
  <c r="U144" i="1" s="1"/>
  <c r="S144" i="1" s="1"/>
  <c r="X144" i="1"/>
  <c r="AI141" i="1"/>
  <c r="X141" i="1"/>
  <c r="AG140" i="1"/>
  <c r="AA132" i="1"/>
  <c r="T131" i="1"/>
  <c r="X131" i="1"/>
  <c r="AG131" i="1"/>
  <c r="T128" i="1"/>
  <c r="U128" i="1" s="1"/>
  <c r="S128" i="1" s="1"/>
  <c r="X128" i="1"/>
  <c r="U126" i="1"/>
  <c r="S126" i="1" s="1"/>
  <c r="AI125" i="1"/>
  <c r="X125" i="1"/>
  <c r="AG124" i="1"/>
  <c r="AA116" i="1"/>
  <c r="W116" i="1" s="1"/>
  <c r="T115" i="1"/>
  <c r="X115" i="1"/>
  <c r="AG115" i="1"/>
  <c r="T112" i="1"/>
  <c r="U112" i="1" s="1"/>
  <c r="S112" i="1" s="1"/>
  <c r="X112" i="1"/>
  <c r="AI109" i="1"/>
  <c r="X109" i="1"/>
  <c r="AG108" i="1"/>
  <c r="W108" i="1" s="1"/>
  <c r="AA101" i="1"/>
  <c r="W101" i="1" s="1"/>
  <c r="T100" i="1"/>
  <c r="X100" i="1"/>
  <c r="AG100" i="1"/>
  <c r="T97" i="1"/>
  <c r="U97" i="1" s="1"/>
  <c r="S97" i="1" s="1"/>
  <c r="X97" i="1"/>
  <c r="T82" i="1"/>
  <c r="X82" i="1"/>
  <c r="AG82" i="1"/>
  <c r="AG73" i="1"/>
  <c r="U71" i="1"/>
  <c r="S71" i="1" s="1"/>
  <c r="W60" i="1"/>
  <c r="W91" i="1"/>
  <c r="T90" i="1"/>
  <c r="X90" i="1"/>
  <c r="AG90" i="1"/>
  <c r="T87" i="1"/>
  <c r="X87" i="1"/>
  <c r="T76" i="1"/>
  <c r="AG76" i="1"/>
  <c r="AG64" i="1"/>
  <c r="X64" i="1"/>
  <c r="AG56" i="1"/>
  <c r="T56" i="1"/>
  <c r="AG44" i="1"/>
  <c r="T44" i="1"/>
  <c r="X44" i="1"/>
  <c r="T94" i="1"/>
  <c r="X94" i="1"/>
  <c r="AG94" i="1"/>
  <c r="T91" i="1"/>
  <c r="U91" i="1" s="1"/>
  <c r="S91" i="1" s="1"/>
  <c r="X91" i="1"/>
  <c r="X88" i="1"/>
  <c r="AG87" i="1"/>
  <c r="W87" i="1" s="1"/>
  <c r="AA80" i="1"/>
  <c r="AA79" i="1"/>
  <c r="W79" i="1" s="1"/>
  <c r="T78" i="1"/>
  <c r="AG78" i="1"/>
  <c r="AA73" i="1"/>
  <c r="AA70" i="1"/>
  <c r="AG68" i="1"/>
  <c r="X68" i="1"/>
  <c r="T68" i="1"/>
  <c r="T61" i="1"/>
  <c r="X61" i="1"/>
  <c r="AG61" i="1"/>
  <c r="T49" i="1"/>
  <c r="X49" i="1"/>
  <c r="AG49" i="1"/>
  <c r="X50" i="1"/>
  <c r="AG16" i="1"/>
  <c r="T16" i="1"/>
  <c r="X16" i="1"/>
  <c r="T65" i="1"/>
  <c r="U65" i="1" s="1"/>
  <c r="S65" i="1" s="1"/>
  <c r="X65" i="1"/>
  <c r="X63" i="1"/>
  <c r="AA62" i="1"/>
  <c r="AG53" i="1"/>
  <c r="T51" i="1"/>
  <c r="U51" i="1" s="1"/>
  <c r="S51" i="1" s="1"/>
  <c r="AG24" i="1"/>
  <c r="T24" i="1"/>
  <c r="X24" i="1"/>
  <c r="AI21" i="1"/>
  <c r="T69" i="1"/>
  <c r="U69" i="1" s="1"/>
  <c r="S69" i="1" s="1"/>
  <c r="X69" i="1"/>
  <c r="AA66" i="1"/>
  <c r="AG58" i="1"/>
  <c r="AI51" i="1"/>
  <c r="AI45" i="1"/>
  <c r="T41" i="1"/>
  <c r="X41" i="1"/>
  <c r="AG41" i="1"/>
  <c r="X42" i="1"/>
  <c r="AG32" i="1"/>
  <c r="T32" i="1"/>
  <c r="X32" i="1"/>
  <c r="AI29" i="1"/>
  <c r="AI22" i="1"/>
  <c r="U22" i="1"/>
  <c r="S22" i="1" s="1"/>
  <c r="X52" i="1"/>
  <c r="AI50" i="1"/>
  <c r="AA42" i="1"/>
  <c r="AA41" i="1"/>
  <c r="AG40" i="1"/>
  <c r="T40" i="1"/>
  <c r="X40" i="1"/>
  <c r="T37" i="1"/>
  <c r="U37" i="1" s="1"/>
  <c r="S37" i="1" s="1"/>
  <c r="X37" i="1"/>
  <c r="U35" i="1"/>
  <c r="S35" i="1" s="1"/>
  <c r="T29" i="1"/>
  <c r="U29" i="1" s="1"/>
  <c r="S29" i="1" s="1"/>
  <c r="X29" i="1"/>
  <c r="T21" i="1"/>
  <c r="U21" i="1" s="1"/>
  <c r="X21" i="1"/>
  <c r="AA50" i="1"/>
  <c r="AA49" i="1"/>
  <c r="AG48" i="1"/>
  <c r="T48" i="1"/>
  <c r="X48" i="1"/>
  <c r="T45" i="1"/>
  <c r="U45" i="1" s="1"/>
  <c r="S45" i="1" s="1"/>
  <c r="X45" i="1"/>
  <c r="T33" i="1"/>
  <c r="X33" i="1"/>
  <c r="T25" i="1"/>
  <c r="X25" i="1"/>
  <c r="T17" i="1"/>
  <c r="X17" i="1"/>
  <c r="AA38" i="1"/>
  <c r="AA37" i="1"/>
  <c r="W37" i="1" s="1"/>
  <c r="AG36" i="1"/>
  <c r="T36" i="1"/>
  <c r="X36" i="1"/>
  <c r="AI34" i="1"/>
  <c r="X34" i="1"/>
  <c r="AG33" i="1"/>
  <c r="AA30" i="1"/>
  <c r="AA29" i="1"/>
  <c r="W29" i="1" s="1"/>
  <c r="AG28" i="1"/>
  <c r="T28" i="1"/>
  <c r="X28" i="1"/>
  <c r="AI26" i="1"/>
  <c r="X26" i="1"/>
  <c r="AG25" i="1"/>
  <c r="AA22" i="1"/>
  <c r="W22" i="1" s="1"/>
  <c r="AA21" i="1"/>
  <c r="W21" i="1" s="1"/>
  <c r="AG20" i="1"/>
  <c r="T20" i="1"/>
  <c r="X20" i="1"/>
  <c r="AI18" i="1"/>
  <c r="X18" i="1"/>
  <c r="AG17" i="1"/>
  <c r="Y56" i="3"/>
  <c r="Y43" i="3"/>
  <c r="AC53" i="3"/>
  <c r="Y22" i="3"/>
  <c r="Y25" i="3"/>
  <c r="Y33" i="3"/>
  <c r="AD52" i="3"/>
  <c r="AD8" i="3"/>
  <c r="Y7" i="3"/>
  <c r="AD46" i="3"/>
  <c r="Y50" i="3"/>
  <c r="Y49" i="3"/>
  <c r="AD47" i="3"/>
  <c r="Y28" i="3"/>
  <c r="Y44" i="3"/>
  <c r="AD23" i="3"/>
  <c r="Y27" i="3"/>
  <c r="Y10" i="3"/>
  <c r="AC26" i="3"/>
  <c r="AD24" i="3"/>
  <c r="AD48" i="3"/>
  <c r="Y13" i="3"/>
  <c r="AC20" i="3"/>
  <c r="Y54" i="3"/>
  <c r="Y30" i="3"/>
  <c r="AD14" i="3"/>
  <c r="AD10" i="3"/>
  <c r="AD21" i="3"/>
  <c r="AD56" i="3"/>
  <c r="AD11" i="3"/>
  <c r="AD51" i="3"/>
  <c r="AD22" i="3"/>
  <c r="AD36" i="3"/>
  <c r="AD25" i="3"/>
  <c r="AD34" i="3"/>
  <c r="AD33" i="3"/>
  <c r="AD16" i="3"/>
  <c r="AD13" i="3"/>
  <c r="AD32" i="3"/>
  <c r="AD54" i="3"/>
  <c r="AD15" i="3"/>
  <c r="AD30" i="3"/>
  <c r="AD9" i="3"/>
  <c r="AD50" i="3"/>
  <c r="AD49" i="3"/>
  <c r="AD28" i="3"/>
  <c r="AD44" i="3"/>
  <c r="AD27" i="3"/>
  <c r="Y38" i="3"/>
  <c r="Y19" i="3"/>
  <c r="Y37" i="3"/>
  <c r="Y17" i="3"/>
  <c r="Y14" i="3"/>
  <c r="AD38" i="3"/>
  <c r="T26" i="3"/>
  <c r="Y21" i="3"/>
  <c r="AD19" i="3"/>
  <c r="T12" i="3"/>
  <c r="Y11" i="3"/>
  <c r="AD37" i="3"/>
  <c r="T53" i="3"/>
  <c r="Y51" i="3"/>
  <c r="AD17" i="3"/>
  <c r="T55" i="3"/>
  <c r="Y36" i="3"/>
  <c r="AD35" i="3"/>
  <c r="T24" i="3"/>
  <c r="Y34" i="3"/>
  <c r="AD42" i="3"/>
  <c r="T48" i="3"/>
  <c r="Y16" i="3"/>
  <c r="AD41" i="3"/>
  <c r="T20" i="3"/>
  <c r="Y32" i="3"/>
  <c r="AD40" i="3"/>
  <c r="T52" i="3"/>
  <c r="Y15" i="3"/>
  <c r="AD31" i="3"/>
  <c r="T8" i="3"/>
  <c r="Y9" i="3"/>
  <c r="AD39" i="3"/>
  <c r="T46" i="3"/>
  <c r="AD29" i="3"/>
  <c r="T47" i="3"/>
  <c r="AD45" i="3"/>
  <c r="T23" i="3"/>
  <c r="Y35" i="3"/>
  <c r="Y42" i="3"/>
  <c r="Y41" i="3"/>
  <c r="Y40" i="3"/>
  <c r="Y31" i="3"/>
  <c r="Y39" i="3"/>
  <c r="Y29" i="3"/>
  <c r="Y45" i="3"/>
  <c r="M18" i="3"/>
  <c r="R18" i="3"/>
  <c r="U18" i="3"/>
  <c r="V18" i="3"/>
  <c r="W18" i="3"/>
  <c r="X18" i="3"/>
  <c r="U72" i="1" l="1"/>
  <c r="S72" i="1" s="1"/>
  <c r="W124" i="1"/>
  <c r="W73" i="1"/>
  <c r="W80" i="1"/>
  <c r="AI52" i="1"/>
  <c r="W188" i="1"/>
  <c r="U30" i="1"/>
  <c r="S30" i="1" s="1"/>
  <c r="W120" i="1"/>
  <c r="W158" i="1"/>
  <c r="W30" i="1"/>
  <c r="AI14" i="1"/>
  <c r="W140" i="1"/>
  <c r="U158" i="1"/>
  <c r="S158" i="1" s="1"/>
  <c r="AI166" i="1"/>
  <c r="W85" i="1"/>
  <c r="W40" i="1"/>
  <c r="U63" i="1"/>
  <c r="S63" i="1" s="1"/>
  <c r="U215" i="1"/>
  <c r="S215" i="1" s="1"/>
  <c r="W139" i="1"/>
  <c r="W232" i="1"/>
  <c r="AI93" i="1"/>
  <c r="AI81" i="1"/>
  <c r="W57" i="1"/>
  <c r="U75" i="1"/>
  <c r="S75" i="1" s="1"/>
  <c r="AI74" i="1"/>
  <c r="W62" i="1"/>
  <c r="AI88" i="1"/>
  <c r="U85" i="1"/>
  <c r="S85" i="1" s="1"/>
  <c r="U118" i="1"/>
  <c r="S118" i="1" s="1"/>
  <c r="U57" i="1"/>
  <c r="S57" i="1" s="1"/>
  <c r="AI232" i="1"/>
  <c r="U23" i="1"/>
  <c r="S23" i="1" s="1"/>
  <c r="W75" i="1"/>
  <c r="AI39" i="1"/>
  <c r="W81" i="1"/>
  <c r="U166" i="1"/>
  <c r="S166" i="1" s="1"/>
  <c r="W123" i="1"/>
  <c r="U67" i="1"/>
  <c r="S67" i="1" s="1"/>
  <c r="W42" i="1"/>
  <c r="W24" i="1"/>
  <c r="W204" i="1"/>
  <c r="W25" i="1"/>
  <c r="W88" i="1"/>
  <c r="W74" i="1"/>
  <c r="W93" i="1"/>
  <c r="AI54" i="1"/>
  <c r="U54" i="1"/>
  <c r="S54" i="1" s="1"/>
  <c r="W54" i="1"/>
  <c r="S163" i="1"/>
  <c r="S116" i="1"/>
  <c r="W154" i="1"/>
  <c r="W129" i="1"/>
  <c r="U121" i="1"/>
  <c r="S121" i="1" s="1"/>
  <c r="W106" i="1"/>
  <c r="W14" i="1"/>
  <c r="W38" i="1"/>
  <c r="W56" i="1"/>
  <c r="W92" i="1"/>
  <c r="W177" i="1"/>
  <c r="W180" i="1"/>
  <c r="W208" i="1"/>
  <c r="W226" i="1"/>
  <c r="U46" i="1"/>
  <c r="S46" i="1" s="1"/>
  <c r="U224" i="1"/>
  <c r="S224" i="1" s="1"/>
  <c r="W19" i="1"/>
  <c r="AI55" i="1"/>
  <c r="U42" i="1"/>
  <c r="S42" i="1" s="1"/>
  <c r="W86" i="1"/>
  <c r="U98" i="1"/>
  <c r="S98" i="1" s="1"/>
  <c r="W205" i="1"/>
  <c r="U38" i="1"/>
  <c r="S38" i="1" s="1"/>
  <c r="W55" i="1"/>
  <c r="W39" i="1"/>
  <c r="W61" i="1"/>
  <c r="W148" i="1"/>
  <c r="U133" i="1"/>
  <c r="S133" i="1" s="1"/>
  <c r="W83" i="1"/>
  <c r="U188" i="1"/>
  <c r="S188" i="1" s="1"/>
  <c r="W63" i="1"/>
  <c r="W17" i="1"/>
  <c r="U92" i="1"/>
  <c r="S92" i="1" s="1"/>
  <c r="AI224" i="1"/>
  <c r="W16" i="1"/>
  <c r="W52" i="1"/>
  <c r="W219" i="1"/>
  <c r="U80" i="1"/>
  <c r="S80" i="1" s="1"/>
  <c r="U19" i="1"/>
  <c r="S19" i="1" s="1"/>
  <c r="W23" i="1"/>
  <c r="U84" i="1"/>
  <c r="S84" i="1" s="1"/>
  <c r="W198" i="1"/>
  <c r="W98" i="1"/>
  <c r="W121" i="1"/>
  <c r="W224" i="1"/>
  <c r="W67" i="1"/>
  <c r="AI67" i="1"/>
  <c r="W104" i="1"/>
  <c r="W32" i="1"/>
  <c r="W66" i="1"/>
  <c r="AI84" i="1"/>
  <c r="U62" i="1"/>
  <c r="S62" i="1" s="1"/>
  <c r="AI42" i="1"/>
  <c r="AI121" i="1"/>
  <c r="W209" i="1"/>
  <c r="W228" i="1"/>
  <c r="W206" i="1"/>
  <c r="U199" i="1"/>
  <c r="S199" i="1" s="1"/>
  <c r="W155" i="1"/>
  <c r="U18" i="1"/>
  <c r="S18" i="1" s="1"/>
  <c r="W133" i="1"/>
  <c r="W70" i="1"/>
  <c r="W113" i="1"/>
  <c r="U228" i="1"/>
  <c r="S228" i="1" s="1"/>
  <c r="W84" i="1"/>
  <c r="W152" i="1"/>
  <c r="AI206" i="1"/>
  <c r="W225" i="1"/>
  <c r="U207" i="1"/>
  <c r="S207" i="1" s="1"/>
  <c r="AI207" i="1"/>
  <c r="U173" i="1"/>
  <c r="S173" i="1" s="1"/>
  <c r="W118" i="1"/>
  <c r="W217" i="1"/>
  <c r="AI217" i="1"/>
  <c r="U50" i="1"/>
  <c r="S50" i="1" s="1"/>
  <c r="W50" i="1"/>
  <c r="W132" i="1"/>
  <c r="W184" i="1"/>
  <c r="W46" i="1"/>
  <c r="W207" i="1"/>
  <c r="W199" i="1"/>
  <c r="W181" i="1"/>
  <c r="W223" i="1"/>
  <c r="AI46" i="1"/>
  <c r="W195" i="1"/>
  <c r="U106" i="1"/>
  <c r="S106" i="1" s="1"/>
  <c r="AI106" i="1"/>
  <c r="W72" i="1"/>
  <c r="W215" i="1"/>
  <c r="U20" i="1"/>
  <c r="S20" i="1" s="1"/>
  <c r="AI20" i="1"/>
  <c r="W20" i="1"/>
  <c r="AI33" i="1"/>
  <c r="U33" i="1"/>
  <c r="S33" i="1" s="1"/>
  <c r="AI41" i="1"/>
  <c r="U41" i="1"/>
  <c r="S41" i="1" s="1"/>
  <c r="U68" i="1"/>
  <c r="S68" i="1" s="1"/>
  <c r="AI68" i="1"/>
  <c r="W68" i="1"/>
  <c r="U179" i="1"/>
  <c r="S179" i="1" s="1"/>
  <c r="AI196" i="1"/>
  <c r="AI218" i="1"/>
  <c r="U200" i="1"/>
  <c r="S200" i="1" s="1"/>
  <c r="U183" i="1"/>
  <c r="S183" i="1" s="1"/>
  <c r="AI200" i="1"/>
  <c r="U48" i="1"/>
  <c r="S48" i="1" s="1"/>
  <c r="AI48" i="1"/>
  <c r="U53" i="1"/>
  <c r="S53" i="1" s="1"/>
  <c r="AI53" i="1"/>
  <c r="AI49" i="1"/>
  <c r="U49" i="1"/>
  <c r="S49" i="1" s="1"/>
  <c r="AI61" i="1"/>
  <c r="U61" i="1"/>
  <c r="S61" i="1" s="1"/>
  <c r="U94" i="1"/>
  <c r="S94" i="1" s="1"/>
  <c r="AI94" i="1"/>
  <c r="W94" i="1"/>
  <c r="AI76" i="1"/>
  <c r="U76" i="1"/>
  <c r="S76" i="1" s="1"/>
  <c r="U111" i="1"/>
  <c r="S111" i="1" s="1"/>
  <c r="AI111" i="1"/>
  <c r="W111" i="1"/>
  <c r="U143" i="1"/>
  <c r="S143" i="1" s="1"/>
  <c r="AI143" i="1"/>
  <c r="W143" i="1"/>
  <c r="U119" i="1"/>
  <c r="AI119" i="1"/>
  <c r="AI104" i="1"/>
  <c r="U104" i="1"/>
  <c r="S104" i="1" s="1"/>
  <c r="AI154" i="1"/>
  <c r="U154" i="1"/>
  <c r="S154" i="1" s="1"/>
  <c r="AI170" i="1"/>
  <c r="U218" i="1"/>
  <c r="S218" i="1" s="1"/>
  <c r="AI185" i="1"/>
  <c r="U168" i="1"/>
  <c r="S168" i="1" s="1"/>
  <c r="U175" i="1"/>
  <c r="S175" i="1" s="1"/>
  <c r="AI192" i="1"/>
  <c r="W175" i="1"/>
  <c r="U123" i="1"/>
  <c r="S123" i="1" s="1"/>
  <c r="AI123" i="1"/>
  <c r="AI132" i="1"/>
  <c r="U132" i="1"/>
  <c r="S132" i="1" s="1"/>
  <c r="U157" i="1"/>
  <c r="S157" i="1" s="1"/>
  <c r="AI157" i="1"/>
  <c r="U186" i="1"/>
  <c r="S186" i="1" s="1"/>
  <c r="AI204" i="1"/>
  <c r="AI231" i="1"/>
  <c r="U222" i="1"/>
  <c r="S222" i="1" s="1"/>
  <c r="U135" i="1"/>
  <c r="S135" i="1" s="1"/>
  <c r="AI135" i="1"/>
  <c r="U153" i="1"/>
  <c r="S153" i="1" s="1"/>
  <c r="AI153" i="1"/>
  <c r="U107" i="1"/>
  <c r="S107" i="1" s="1"/>
  <c r="AI107" i="1"/>
  <c r="AI216" i="1"/>
  <c r="U198" i="1"/>
  <c r="S198" i="1" s="1"/>
  <c r="W200" i="1"/>
  <c r="W157" i="1"/>
  <c r="W222" i="1"/>
  <c r="W186" i="1"/>
  <c r="U64" i="1"/>
  <c r="S64" i="1" s="1"/>
  <c r="AI64" i="1"/>
  <c r="U90" i="1"/>
  <c r="S90" i="1" s="1"/>
  <c r="AI90" i="1"/>
  <c r="W90" i="1"/>
  <c r="U82" i="1"/>
  <c r="S82" i="1" s="1"/>
  <c r="AI82" i="1"/>
  <c r="U213" i="1"/>
  <c r="S213" i="1" s="1"/>
  <c r="AI165" i="1"/>
  <c r="U146" i="1"/>
  <c r="S146" i="1" s="1"/>
  <c r="AI146" i="1"/>
  <c r="U161" i="1"/>
  <c r="S161" i="1" s="1"/>
  <c r="AI161" i="1"/>
  <c r="W161" i="1"/>
  <c r="U230" i="1"/>
  <c r="S230" i="1" s="1"/>
  <c r="AI177" i="1"/>
  <c r="W230" i="1"/>
  <c r="AI222" i="1"/>
  <c r="U204" i="1"/>
  <c r="S204" i="1" s="1"/>
  <c r="U167" i="1"/>
  <c r="S167" i="1" s="1"/>
  <c r="W33" i="1"/>
  <c r="W64" i="1"/>
  <c r="AI223" i="1"/>
  <c r="U205" i="1"/>
  <c r="S205" i="1" s="1"/>
  <c r="U103" i="1"/>
  <c r="S103" i="1" s="1"/>
  <c r="AI103" i="1"/>
  <c r="W167" i="1"/>
  <c r="U28" i="1"/>
  <c r="S28" i="1" s="1"/>
  <c r="AI28" i="1"/>
  <c r="W28" i="1"/>
  <c r="U96" i="1"/>
  <c r="S96" i="1" s="1"/>
  <c r="AI96" i="1"/>
  <c r="W96" i="1"/>
  <c r="U127" i="1"/>
  <c r="S127" i="1" s="1"/>
  <c r="AI127" i="1"/>
  <c r="W127" i="1"/>
  <c r="AI17" i="1"/>
  <c r="U17" i="1"/>
  <c r="S17" i="1" s="1"/>
  <c r="U36" i="1"/>
  <c r="S36" i="1" s="1"/>
  <c r="AI36" i="1"/>
  <c r="W36" i="1"/>
  <c r="W49" i="1"/>
  <c r="U40" i="1"/>
  <c r="S40" i="1" s="1"/>
  <c r="AI40" i="1"/>
  <c r="U32" i="1"/>
  <c r="S32" i="1" s="1"/>
  <c r="AI32" i="1"/>
  <c r="U58" i="1"/>
  <c r="S58" i="1" s="1"/>
  <c r="AI58" i="1"/>
  <c r="W58" i="1"/>
  <c r="U78" i="1"/>
  <c r="S78" i="1" s="1"/>
  <c r="AI78" i="1"/>
  <c r="W78" i="1"/>
  <c r="U44" i="1"/>
  <c r="S44" i="1" s="1"/>
  <c r="W44" i="1"/>
  <c r="AI44" i="1"/>
  <c r="AI73" i="1"/>
  <c r="U73" i="1"/>
  <c r="S73" i="1" s="1"/>
  <c r="AI95" i="1"/>
  <c r="U95" i="1"/>
  <c r="S95" i="1" s="1"/>
  <c r="W103" i="1"/>
  <c r="W119" i="1"/>
  <c r="U234" i="1"/>
  <c r="S234" i="1" s="1"/>
  <c r="AI181" i="1"/>
  <c r="AI120" i="1"/>
  <c r="U120" i="1"/>
  <c r="AI201" i="1"/>
  <c r="U184" i="1"/>
  <c r="S184" i="1" s="1"/>
  <c r="U190" i="1"/>
  <c r="S190" i="1" s="1"/>
  <c r="W190" i="1"/>
  <c r="AI208" i="1"/>
  <c r="AI213" i="1"/>
  <c r="U195" i="1"/>
  <c r="S195" i="1" s="1"/>
  <c r="AI230" i="1"/>
  <c r="U212" i="1"/>
  <c r="S212" i="1" s="1"/>
  <c r="U225" i="1"/>
  <c r="S225" i="1" s="1"/>
  <c r="AI234" i="1"/>
  <c r="U171" i="1"/>
  <c r="S171" i="1" s="1"/>
  <c r="AI188" i="1"/>
  <c r="U150" i="1"/>
  <c r="S150" i="1" s="1"/>
  <c r="AI150" i="1"/>
  <c r="W218" i="1"/>
  <c r="AI83" i="1"/>
  <c r="U83" i="1"/>
  <c r="S83" i="1" s="1"/>
  <c r="U221" i="1"/>
  <c r="S221" i="1" s="1"/>
  <c r="AI173" i="1"/>
  <c r="AI197" i="1"/>
  <c r="U180" i="1"/>
  <c r="S180" i="1" s="1"/>
  <c r="AI219" i="1"/>
  <c r="U201" i="1"/>
  <c r="S201" i="1" s="1"/>
  <c r="AI227" i="1"/>
  <c r="U209" i="1"/>
  <c r="S209" i="1" s="1"/>
  <c r="W201" i="1"/>
  <c r="W179" i="1"/>
  <c r="W153" i="1"/>
  <c r="AI148" i="1"/>
  <c r="U148" i="1"/>
  <c r="S148" i="1" s="1"/>
  <c r="AI25" i="1"/>
  <c r="U25" i="1"/>
  <c r="S25" i="1" s="1"/>
  <c r="W41" i="1"/>
  <c r="U24" i="1"/>
  <c r="S24" i="1" s="1"/>
  <c r="AI24" i="1"/>
  <c r="U16" i="1"/>
  <c r="S15" i="1" s="1"/>
  <c r="AI16" i="1"/>
  <c r="AI87" i="1"/>
  <c r="U87" i="1"/>
  <c r="S87" i="1" s="1"/>
  <c r="W48" i="1"/>
  <c r="AI56" i="1"/>
  <c r="U56" i="1"/>
  <c r="S56" i="1" s="1"/>
  <c r="W76" i="1"/>
  <c r="U100" i="1"/>
  <c r="S100" i="1" s="1"/>
  <c r="AI100" i="1"/>
  <c r="W100" i="1"/>
  <c r="AI108" i="1"/>
  <c r="U108" i="1"/>
  <c r="S108" i="1" s="1"/>
  <c r="U115" i="1"/>
  <c r="S115" i="1" s="1"/>
  <c r="AI115" i="1"/>
  <c r="W115" i="1"/>
  <c r="AI124" i="1"/>
  <c r="U124" i="1"/>
  <c r="S124" i="1" s="1"/>
  <c r="U131" i="1"/>
  <c r="S131" i="1" s="1"/>
  <c r="AI131" i="1"/>
  <c r="W131" i="1"/>
  <c r="AI140" i="1"/>
  <c r="U140" i="1"/>
  <c r="S140" i="1" s="1"/>
  <c r="U147" i="1"/>
  <c r="S147" i="1" s="1"/>
  <c r="AI147" i="1"/>
  <c r="W147" i="1"/>
  <c r="AI66" i="1"/>
  <c r="U66" i="1"/>
  <c r="S66" i="1" s="1"/>
  <c r="AI70" i="1"/>
  <c r="U70" i="1"/>
  <c r="S70" i="1" s="1"/>
  <c r="W82" i="1"/>
  <c r="W53" i="1"/>
  <c r="U86" i="1"/>
  <c r="S86" i="1" s="1"/>
  <c r="AI86" i="1"/>
  <c r="AI136" i="1"/>
  <c r="U136" i="1"/>
  <c r="S136" i="1" s="1"/>
  <c r="U208" i="1"/>
  <c r="S208" i="1" s="1"/>
  <c r="AI226" i="1"/>
  <c r="U139" i="1"/>
  <c r="S139" i="1" s="1"/>
  <c r="AI139" i="1"/>
  <c r="AI235" i="1"/>
  <c r="U226" i="1"/>
  <c r="S226" i="1" s="1"/>
  <c r="AI152" i="1"/>
  <c r="U152" i="1"/>
  <c r="S152" i="1" s="1"/>
  <c r="U217" i="1"/>
  <c r="S217" i="1" s="1"/>
  <c r="AI169" i="1"/>
  <c r="W168" i="1"/>
  <c r="AI60" i="1"/>
  <c r="U60" i="1"/>
  <c r="S60" i="1" s="1"/>
  <c r="W146" i="1"/>
  <c r="W107" i="1"/>
  <c r="W213" i="1"/>
  <c r="W171" i="1"/>
  <c r="W234" i="1"/>
  <c r="W212" i="1"/>
  <c r="W221" i="1"/>
  <c r="W183" i="1"/>
  <c r="T18" i="3"/>
  <c r="AD7" i="3"/>
  <c r="AC18" i="3"/>
  <c r="Y18" i="3"/>
  <c r="S18" i="3"/>
  <c r="B7" i="6"/>
  <c r="F7" i="6" s="1"/>
  <c r="I7" i="6"/>
  <c r="K7" i="6"/>
  <c r="B8" i="6"/>
  <c r="F8" i="6" s="1"/>
  <c r="K8" i="6"/>
  <c r="B9" i="6"/>
  <c r="G9" i="6" s="1"/>
  <c r="K9" i="6"/>
  <c r="B10" i="6"/>
  <c r="H10" i="6" s="1"/>
  <c r="K10" i="6"/>
  <c r="B11" i="6"/>
  <c r="H11" i="6" s="1"/>
  <c r="K11" i="6"/>
  <c r="B12" i="6"/>
  <c r="F12" i="6" s="1"/>
  <c r="K12" i="6"/>
  <c r="B13" i="6"/>
  <c r="G13" i="6" s="1"/>
  <c r="K13" i="6"/>
  <c r="B14" i="6"/>
  <c r="H14" i="6" s="1"/>
  <c r="F14" i="6"/>
  <c r="J14" i="6"/>
  <c r="K14" i="6"/>
  <c r="B15" i="6"/>
  <c r="G15" i="6" s="1"/>
  <c r="K15" i="6"/>
  <c r="S119" i="1" l="1"/>
  <c r="I14" i="6"/>
  <c r="G14" i="6"/>
  <c r="F11" i="6"/>
  <c r="J15" i="6"/>
  <c r="J11" i="6"/>
  <c r="I15" i="6"/>
  <c r="I12" i="6"/>
  <c r="I11" i="6"/>
  <c r="F9" i="6"/>
  <c r="G7" i="6"/>
  <c r="F15" i="6"/>
  <c r="G11" i="6"/>
  <c r="J10" i="6"/>
  <c r="J7" i="6"/>
  <c r="J13" i="6"/>
  <c r="I10" i="6"/>
  <c r="H15" i="6"/>
  <c r="I13" i="6"/>
  <c r="G10" i="6"/>
  <c r="J9" i="6"/>
  <c r="F13" i="6"/>
  <c r="F10" i="6"/>
  <c r="I9" i="6"/>
  <c r="I8" i="6"/>
  <c r="H12" i="6"/>
  <c r="H13" i="6"/>
  <c r="G12" i="6"/>
  <c r="G8" i="6"/>
  <c r="J12" i="6"/>
  <c r="J8" i="6"/>
  <c r="B81" i="9"/>
  <c r="B82" i="9"/>
  <c r="B83" i="9"/>
  <c r="B84" i="9"/>
  <c r="B85" i="9"/>
  <c r="C85" i="9" s="1"/>
  <c r="B86" i="9"/>
  <c r="B87" i="9"/>
  <c r="C83" i="9" l="1"/>
  <c r="C84" i="9"/>
  <c r="C82" i="9"/>
  <c r="AD18" i="3"/>
  <c r="B53" i="9" l="1"/>
  <c r="B54" i="9"/>
  <c r="B55" i="9"/>
  <c r="C55" i="9" s="1"/>
  <c r="B56" i="9"/>
  <c r="C56" i="9" s="1"/>
  <c r="B57" i="9"/>
  <c r="B58" i="9"/>
  <c r="B59" i="9"/>
  <c r="C59" i="9" s="1"/>
  <c r="B60" i="9"/>
  <c r="C60" i="9" s="1"/>
  <c r="B61" i="9"/>
  <c r="B62" i="9"/>
  <c r="B63" i="9"/>
  <c r="C63" i="9" s="1"/>
  <c r="B64" i="9"/>
  <c r="C64" i="9" s="1"/>
  <c r="B65" i="9"/>
  <c r="B66" i="9"/>
  <c r="B67" i="9"/>
  <c r="C67" i="9" s="1"/>
  <c r="B68" i="9"/>
  <c r="C68" i="9" s="1"/>
  <c r="B69" i="9"/>
  <c r="B70" i="9"/>
  <c r="B71" i="9"/>
  <c r="C71" i="9" s="1"/>
  <c r="B72" i="9"/>
  <c r="C72" i="9" s="1"/>
  <c r="B73" i="9"/>
  <c r="B74" i="9"/>
  <c r="B75" i="9"/>
  <c r="C75" i="9" s="1"/>
  <c r="B76" i="9"/>
  <c r="C76" i="9" s="1"/>
  <c r="B77" i="9"/>
  <c r="B78" i="9"/>
  <c r="B79" i="9"/>
  <c r="C79" i="9" s="1"/>
  <c r="B80" i="9"/>
  <c r="C80" i="9" l="1"/>
  <c r="C81" i="9"/>
  <c r="C78" i="9"/>
  <c r="C74" i="9"/>
  <c r="C70" i="9"/>
  <c r="C66" i="9"/>
  <c r="C62" i="9"/>
  <c r="C58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14" i="3" l="1"/>
  <c r="N38" i="3"/>
  <c r="H9" i="6"/>
  <c r="H7" i="6"/>
  <c r="N17" i="3"/>
  <c r="N55" i="3"/>
  <c r="N32" i="3"/>
  <c r="N52" i="3"/>
  <c r="N31" i="3"/>
  <c r="N9" i="3"/>
  <c r="N39" i="3"/>
  <c r="N21" i="3"/>
  <c r="N19" i="3"/>
  <c r="N37" i="3"/>
  <c r="N51" i="3"/>
  <c r="N36" i="3"/>
  <c r="N25" i="3"/>
  <c r="N34" i="3"/>
  <c r="N50" i="3"/>
  <c r="N46" i="3"/>
  <c r="N29" i="3"/>
  <c r="N7" i="3"/>
  <c r="N28" i="3"/>
  <c r="N45" i="3"/>
  <c r="N44" i="3"/>
  <c r="N27" i="3"/>
  <c r="N11" i="3"/>
  <c r="N42" i="3"/>
  <c r="N16" i="3"/>
  <c r="N41" i="3"/>
  <c r="H8" i="6"/>
  <c r="N43" i="3"/>
  <c r="N24" i="3"/>
  <c r="N48" i="3"/>
  <c r="N54" i="3"/>
  <c r="N15" i="3"/>
  <c r="N8" i="3"/>
  <c r="N47" i="3"/>
  <c r="N49" i="3"/>
  <c r="N26" i="3"/>
  <c r="N10" i="3"/>
  <c r="N56" i="3"/>
  <c r="N12" i="3"/>
  <c r="N53" i="3"/>
  <c r="N22" i="3"/>
  <c r="N35" i="3"/>
  <c r="N33" i="3"/>
  <c r="N13" i="3"/>
  <c r="N20" i="3"/>
  <c r="N40" i="3"/>
  <c r="N30" i="3"/>
  <c r="N23" i="3"/>
  <c r="N18" i="3"/>
  <c r="L13" i="1"/>
  <c r="B3" i="6" l="1"/>
  <c r="H3" i="6" s="1"/>
  <c r="K3" i="6"/>
  <c r="B4" i="6"/>
  <c r="G4" i="6" s="1"/>
  <c r="K4" i="6"/>
  <c r="B5" i="6"/>
  <c r="H5" i="6" s="1"/>
  <c r="K5" i="6"/>
  <c r="B6" i="6"/>
  <c r="H6" i="6" s="1"/>
  <c r="K6" i="6"/>
  <c r="F4" i="6" l="1"/>
  <c r="J5" i="6"/>
  <c r="I3" i="6"/>
  <c r="G6" i="6"/>
  <c r="J6" i="6"/>
  <c r="F6" i="6"/>
  <c r="I5" i="6"/>
  <c r="G3" i="6"/>
  <c r="G5" i="6"/>
  <c r="J4" i="6"/>
  <c r="J3" i="6"/>
  <c r="F3" i="6"/>
  <c r="I6" i="6"/>
  <c r="F5" i="6"/>
  <c r="I4" i="6"/>
  <c r="H4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4" i="4" l="1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<sst xmlns="http://schemas.openxmlformats.org/spreadsheetml/2006/main" count="2763" uniqueCount="968">
  <si>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</si>
  <si>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</si>
  <si>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</si>
  <si>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</si>
  <si>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</si>
  <si>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</si>
  <si>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</si>
  <si>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</si>
  <si>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</si>
  <si>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</si>
  <si>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</si>
  <si>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</si>
  <si>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</si>
  <si>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</si>
  <si>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</si>
  <si>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</si>
  <si>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</si>
  <si>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</si>
  <si>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</si>
  <si>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</si>
  <si>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</si>
  <si>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</si>
  <si>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</si>
  <si>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</si>
  <si>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</si>
  <si>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</si>
  <si>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</si>
  <si>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</si>
  <si>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</si>
  <si>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</si>
  <si>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</si>
  <si>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</si>
  <si>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</si>
  <si>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</si>
  <si>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</si>
  <si>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</si>
  <si>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</si>
  <si>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</si>
  <si>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</si>
  <si>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</si>
  <si>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</si>
  <si>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</si>
  <si>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</si>
  <si>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</si>
  <si>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</si>
  <si>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</si>
  <si>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</si>
  <si>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</si>
  <si>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</si>
  <si>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</si>
  <si>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</si>
  <si>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</si>
  <si>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</si>
  <si>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</si>
  <si>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</si>
  <si>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</si>
  <si>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</si>
  <si>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</si>
  <si>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</si>
  <si>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</si>
  <si>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</si>
  <si>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</si>
  <si>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</si>
  <si>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</si>
  <si>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</si>
  <si>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</si>
  <si>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</si>
  <si>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</si>
  <si>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</si>
  <si>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</si>
  <si>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</si>
  <si>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</si>
  <si>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</si>
  <si>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</si>
  <si>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</si>
  <si>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</si>
  <si>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</si>
  <si>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</si>
  <si>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</si>
  <si>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</si>
  <si>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</si>
  <si>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</si>
  <si>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</si>
  <si>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</si>
  <si>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</si>
  <si>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</si>
  <si>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</si>
  <si>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</si>
  <si>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</si>
  <si>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</si>
  <si>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</si>
  <si>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</si>
  <si>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</si>
  <si>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</si>
  <si>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</si>
  <si>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</si>
  <si>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</si>
  <si>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</si>
  <si>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</si>
  <si>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</si>
  <si>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</si>
  <si>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</si>
  <si>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</si>
  <si>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</si>
  <si>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</si>
  <si>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</si>
  <si>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</si>
  <si>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</si>
  <si>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</si>
  <si>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</si>
  <si>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</si>
  <si>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</si>
  <si>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</si>
  <si>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</si>
  <si>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</si>
  <si>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</si>
  <si>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</si>
  <si>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</si>
  <si>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</si>
  <si>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</si>
  <si>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</si>
  <si>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</si>
  <si>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</si>
  <si>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</si>
  <si>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</si>
  <si>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</si>
  <si>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</si>
  <si>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</si>
  <si>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</si>
  <si>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</si>
  <si>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</si>
  <si>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</si>
  <si>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</si>
  <si>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</si>
  <si>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</si>
  <si>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</si>
  <si>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</si>
  <si>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</si>
  <si>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</si>
  <si>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</si>
  <si>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</si>
  <si>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</si>
  <si>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</si>
  <si>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</si>
  <si>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</si>
  <si>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</si>
  <si>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</si>
  <si>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</si>
  <si>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</si>
  <si>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</si>
  <si>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</si>
  <si>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</si>
  <si>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</si>
  <si>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</si>
  <si>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</si>
  <si>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</si>
  <si>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</si>
  <si>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</si>
  <si>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</si>
  <si>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</si>
  <si>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</si>
  <si>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</si>
  <si>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</si>
  <si>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</si>
  <si>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</si>
  <si>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</si>
  <si>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</si>
  <si>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</si>
  <si>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</si>
  <si>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</si>
  <si>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</si>
  <si>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</si>
  <si>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</si>
  <si>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</si>
  <si>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</si>
  <si>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</si>
  <si>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</si>
  <si>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</si>
  <si>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</si>
  <si>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</si>
  <si>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</si>
  <si>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</si>
  <si>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</si>
  <si>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</si>
  <si>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</si>
  <si>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</si>
  <si>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</si>
  <si>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</si>
  <si>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</si>
  <si>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</si>
  <si>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</si>
  <si>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</si>
  <si>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</si>
  <si>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</si>
  <si>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</si>
  <si>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</si>
  <si>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</si>
  <si>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</si>
  <si>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</si>
  <si>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</si>
  <si>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</si>
  <si>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</si>
  <si>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</si>
  <si>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</si>
  <si>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</si>
  <si>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</si>
  <si>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</si>
  <si>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</si>
  <si>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</si>
  <si>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</si>
  <si>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</si>
  <si>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</si>
  <si>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</si>
  <si>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</si>
  <si>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</si>
  <si>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</si>
  <si>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</si>
  <si>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</si>
  <si>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</si>
  <si>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</si>
  <si>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</si>
  <si>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</si>
  <si>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</si>
  <si>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</si>
  <si>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</si>
  <si>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</si>
  <si>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</si>
  <si>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</si>
  <si>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204:141</t>
  </si>
  <si>
    <t>rtdc.l.rtdc.4014:itc</t>
  </si>
  <si>
    <t>rtdc.l.rtdc.4013:itc</t>
  </si>
  <si>
    <t>CLI Grep2 (for slice disagreement)</t>
  </si>
  <si>
    <t>Y</t>
  </si>
  <si>
    <t>204:165</t>
  </si>
  <si>
    <t>204:455</t>
  </si>
  <si>
    <t>rtdc.l.rtdc.4031:itc</t>
  </si>
  <si>
    <t>204:442</t>
  </si>
  <si>
    <t>rtdc.l.rtdc.4046:itc</t>
  </si>
  <si>
    <t>204:460</t>
  </si>
  <si>
    <t>204:457</t>
  </si>
  <si>
    <t>204:471</t>
  </si>
  <si>
    <t>rtdc.l.rtdc.4042:itc</t>
  </si>
  <si>
    <t>rtdc.l.rtdc.4041:itc</t>
  </si>
  <si>
    <t>DAVIDSON</t>
  </si>
  <si>
    <t>SAFIEF</t>
  </si>
  <si>
    <t>204:145</t>
  </si>
  <si>
    <t>rtdc.l.rtdc.4032:itc</t>
  </si>
  <si>
    <t>CHANDLER</t>
  </si>
  <si>
    <t>LALONDE</t>
  </si>
  <si>
    <t>81-25</t>
  </si>
  <si>
    <t>80-25</t>
  </si>
  <si>
    <t>309-25</t>
  </si>
  <si>
    <t>244-25</t>
  </si>
  <si>
    <t>311-25</t>
  </si>
  <si>
    <t>246-25</t>
  </si>
  <si>
    <t>313-25</t>
  </si>
  <si>
    <t>315-25</t>
  </si>
  <si>
    <t>partly-cloudy-night</t>
  </si>
  <si>
    <t>partly-cloudy-day</t>
  </si>
  <si>
    <t>204:458</t>
  </si>
  <si>
    <t>rtdc.l.rtdc.4016:itc</t>
  </si>
  <si>
    <t>LEVERE</t>
  </si>
  <si>
    <t>COOLAHAN</t>
  </si>
  <si>
    <t>204:163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</si>
  <si>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</si>
  <si>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</si>
  <si>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</si>
  <si>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</si>
  <si>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</si>
  <si>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rtdc.l.rtdc.4030:itc</t>
  </si>
  <si>
    <t>GRADE CROSSING</t>
  </si>
  <si>
    <t>Bulletin (2)</t>
  </si>
  <si>
    <t>rtdc.l.rtdc.4029:itc</t>
  </si>
  <si>
    <t>rtdc.l.rtdc.4043:itc</t>
  </si>
  <si>
    <t>204:233312</t>
  </si>
  <si>
    <t>JOHN</t>
  </si>
  <si>
    <t>IAN</t>
  </si>
  <si>
    <t>CRAIG</t>
  </si>
  <si>
    <t>SCOTT</t>
  </si>
  <si>
    <t>JAMES</t>
  </si>
  <si>
    <t>Last + First</t>
  </si>
  <si>
    <t>Employee First Name</t>
  </si>
  <si>
    <t>rtdc.l.rtdc.4017:itc</t>
  </si>
  <si>
    <t>rtdc.l.rtdc.4019:itc</t>
  </si>
  <si>
    <t>rtdc.l.rtdc.4020:itc</t>
  </si>
  <si>
    <t>rtdc.l.rtdc.4018:itc</t>
  </si>
  <si>
    <t>204:469</t>
  </si>
  <si>
    <t>204:232978</t>
  </si>
  <si>
    <t>KELVIN</t>
  </si>
  <si>
    <t>204:453</t>
  </si>
  <si>
    <t>204:444</t>
  </si>
  <si>
    <t>204:233315</t>
  </si>
  <si>
    <t>204:233291</t>
  </si>
  <si>
    <t>204:152</t>
  </si>
  <si>
    <t>204:464</t>
  </si>
  <si>
    <t>204:233321</t>
  </si>
  <si>
    <t>204:232994</t>
  </si>
  <si>
    <t>rtdc.l.rtdc.4015:itc</t>
  </si>
  <si>
    <t>MAGEE</t>
  </si>
  <si>
    <t>KENYA</t>
  </si>
  <si>
    <t>BONDS</t>
  </si>
  <si>
    <t>REYNALDO</t>
  </si>
  <si>
    <t>HELVIE</t>
  </si>
  <si>
    <t>ADAM</t>
  </si>
  <si>
    <t>204:233309</t>
  </si>
  <si>
    <t>204:233319</t>
  </si>
  <si>
    <t>TEMPORARY SPEED RESTRICTION</t>
  </si>
  <si>
    <t>rtdc.l.rtdc.4045:itc</t>
  </si>
  <si>
    <t>240-06</t>
  </si>
  <si>
    <t>242-06</t>
  </si>
  <si>
    <t>ROCHA</t>
  </si>
  <si>
    <t>YAOTL</t>
  </si>
  <si>
    <t>238-06</t>
  </si>
  <si>
    <t>243-06</t>
  </si>
  <si>
    <t>309-06</t>
  </si>
  <si>
    <t>311-06</t>
  </si>
  <si>
    <t>244-06</t>
  </si>
  <si>
    <t>313-06</t>
  </si>
  <si>
    <t>precipAccumulation</t>
  </si>
  <si>
    <t>precipType</t>
  </si>
  <si>
    <t>snow</t>
  </si>
  <si>
    <t>204:232998</t>
  </si>
  <si>
    <t>204:233314</t>
  </si>
  <si>
    <t>300:58630</t>
  </si>
  <si>
    <t>MAELZER</t>
  </si>
  <si>
    <t>KURT</t>
  </si>
  <si>
    <t>BROWN</t>
  </si>
  <si>
    <t>JACOB</t>
  </si>
  <si>
    <t>MOSES</t>
  </si>
  <si>
    <t>BRADLEY</t>
  </si>
  <si>
    <t>204:232675</t>
  </si>
  <si>
    <t>204:147</t>
  </si>
  <si>
    <t>204:232985</t>
  </si>
  <si>
    <t>204:130</t>
  </si>
  <si>
    <t>204:139</t>
  </si>
  <si>
    <t>204:232981</t>
  </si>
  <si>
    <t>204:232973</t>
  </si>
  <si>
    <t>204:232975</t>
  </si>
  <si>
    <t>204:449</t>
  </si>
  <si>
    <t>204:233332</t>
  </si>
  <si>
    <t>300:23299</t>
  </si>
  <si>
    <t>300:58636</t>
  </si>
  <si>
    <t>204:692</t>
  </si>
  <si>
    <t>300:58937</t>
  </si>
  <si>
    <t>300:58950</t>
  </si>
  <si>
    <t>300:58946</t>
  </si>
  <si>
    <t>300:58621</t>
  </si>
  <si>
    <t>300:58948</t>
  </si>
  <si>
    <t>MICHAEL</t>
  </si>
  <si>
    <t>ROBINSON</t>
  </si>
  <si>
    <t>KADDIBA</t>
  </si>
  <si>
    <t>STRICKLAND</t>
  </si>
  <si>
    <t>EVAN</t>
  </si>
  <si>
    <t>ISHMAEL</t>
  </si>
  <si>
    <t>JOSEPH</t>
  </si>
  <si>
    <t>SANTIZO</t>
  </si>
  <si>
    <t>D. EDY</t>
  </si>
  <si>
    <t>SMITH</t>
  </si>
  <si>
    <t>SHOOK</t>
  </si>
  <si>
    <t>HILLS</t>
  </si>
  <si>
    <t>DUSTIN</t>
  </si>
  <si>
    <t>NEWELL</t>
  </si>
  <si>
    <t>DAVIS</t>
  </si>
  <si>
    <t>309-08</t>
  </si>
  <si>
    <t>242-08</t>
  </si>
  <si>
    <t>311-08</t>
  </si>
  <si>
    <t>244-08</t>
  </si>
  <si>
    <t>313-08</t>
  </si>
  <si>
    <t>315-08</t>
  </si>
  <si>
    <t>204:768</t>
  </si>
  <si>
    <t>204:233011</t>
  </si>
  <si>
    <t>204:761</t>
  </si>
  <si>
    <t>204:737</t>
  </si>
  <si>
    <t>204:766</t>
  </si>
  <si>
    <t>204:233311</t>
  </si>
  <si>
    <t>204:233323</t>
  </si>
  <si>
    <t>204:232991</t>
  </si>
  <si>
    <t>204:233040</t>
  </si>
  <si>
    <t>204:198</t>
  </si>
  <si>
    <t>204:431</t>
  </si>
  <si>
    <t>204:233317</t>
  </si>
  <si>
    <t>204:233276</t>
  </si>
  <si>
    <t>204:233308</t>
  </si>
  <si>
    <t>300:23304</t>
  </si>
  <si>
    <t>300:23295</t>
  </si>
  <si>
    <t>204:86352</t>
  </si>
  <si>
    <t>300:58941</t>
  </si>
  <si>
    <t>204:673</t>
  </si>
  <si>
    <t>300:58939</t>
  </si>
  <si>
    <t>300:58617</t>
  </si>
  <si>
    <t>300:58928</t>
  </si>
  <si>
    <t>204:157</t>
  </si>
  <si>
    <t>300:58944</t>
  </si>
  <si>
    <t>rtdc.l.rtdc.4026:itc</t>
  </si>
  <si>
    <t>rtdc.l.rtdc.4021:itc</t>
  </si>
  <si>
    <t>242-09</t>
  </si>
  <si>
    <t>245-09</t>
  </si>
  <si>
    <t>309-09</t>
  </si>
  <si>
    <t>rtdc.l.rtdc.4001:itc</t>
  </si>
  <si>
    <t>244-09</t>
  </si>
  <si>
    <t>311-09</t>
  </si>
  <si>
    <t>246-09</t>
  </si>
  <si>
    <t>313-09</t>
  </si>
  <si>
    <t>315-09</t>
  </si>
  <si>
    <t>WENDY</t>
  </si>
  <si>
    <t>rtdc.l.rtdc.4025:itc</t>
  </si>
  <si>
    <t>YORK</t>
  </si>
  <si>
    <t>EDGAR</t>
  </si>
  <si>
    <t>STEWART</t>
  </si>
  <si>
    <t>LOPES</t>
  </si>
  <si>
    <t>KIMBERLY</t>
  </si>
  <si>
    <t>MACDONALD</t>
  </si>
  <si>
    <t>THOMAS</t>
  </si>
  <si>
    <t>Mostly Cloudy</t>
  </si>
  <si>
    <t>Flurries</t>
  </si>
  <si>
    <t>204:752</t>
  </si>
  <si>
    <t>204:741</t>
  </si>
  <si>
    <t>204:233306</t>
  </si>
  <si>
    <t>204:134</t>
  </si>
  <si>
    <t>204:136</t>
  </si>
  <si>
    <t>204:750</t>
  </si>
  <si>
    <t>204:233307</t>
  </si>
  <si>
    <t>204:233310</t>
  </si>
  <si>
    <t>204:167</t>
  </si>
  <si>
    <t>204:233325</t>
  </si>
  <si>
    <t>204:233000</t>
  </si>
  <si>
    <t>204:233326</t>
  </si>
  <si>
    <t>204:233002</t>
  </si>
  <si>
    <t>204:233004</t>
  </si>
  <si>
    <t>204:232980</t>
  </si>
  <si>
    <t>204:233304</t>
  </si>
  <si>
    <t>204:232989</t>
  </si>
  <si>
    <t>204:473</t>
  </si>
  <si>
    <t>204:233017</t>
  </si>
  <si>
    <t>204:232996</t>
  </si>
  <si>
    <t>204:232983</t>
  </si>
  <si>
    <t>204:127</t>
  </si>
  <si>
    <t>204:233303</t>
  </si>
  <si>
    <t>204:440</t>
  </si>
  <si>
    <t>204:467</t>
  </si>
  <si>
    <t>204:232977</t>
  </si>
  <si>
    <t>204:161</t>
  </si>
  <si>
    <t>204:488</t>
  </si>
  <si>
    <t>204:233295</t>
  </si>
  <si>
    <t>204:233302</t>
  </si>
  <si>
    <t>204:169</t>
  </si>
  <si>
    <t>204:232982</t>
  </si>
  <si>
    <t>204:733</t>
  </si>
  <si>
    <t>204:1021</t>
  </si>
  <si>
    <t>300:58613</t>
  </si>
  <si>
    <t>204:738</t>
  </si>
  <si>
    <t>204:736</t>
  </si>
  <si>
    <t>204:1023</t>
  </si>
  <si>
    <t>300:58952</t>
  </si>
  <si>
    <t>300:58615</t>
  </si>
  <si>
    <t>300:58624</t>
  </si>
  <si>
    <t>300:58611</t>
  </si>
  <si>
    <t>204:1014</t>
  </si>
  <si>
    <t>204:1044</t>
  </si>
  <si>
    <t>204:1027</t>
  </si>
  <si>
    <t>204:480</t>
  </si>
  <si>
    <t>204:233015</t>
  </si>
  <si>
    <t>204:119</t>
  </si>
  <si>
    <t>204:475</t>
  </si>
  <si>
    <t>204:178</t>
  </si>
  <si>
    <t>204:232987</t>
  </si>
  <si>
    <t>204:232984</t>
  </si>
  <si>
    <t>204:233300</t>
  </si>
  <si>
    <t>204:63294</t>
  </si>
  <si>
    <t>204:64167</t>
  </si>
  <si>
    <t>204:566</t>
  </si>
  <si>
    <t>300:23138</t>
  </si>
  <si>
    <t>300:23314</t>
  </si>
  <si>
    <t>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 &amp; 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</t>
  </si>
  <si>
    <t>107-09</t>
  </si>
  <si>
    <t>102-09</t>
  </si>
  <si>
    <t>104-09</t>
  </si>
  <si>
    <t>109-09</t>
  </si>
  <si>
    <t>116-09</t>
  </si>
  <si>
    <t>805-09</t>
  </si>
  <si>
    <t>120-09</t>
  </si>
  <si>
    <t>806-09</t>
  </si>
  <si>
    <t>122-09</t>
  </si>
  <si>
    <t>133-09</t>
  </si>
  <si>
    <t>135-09</t>
  </si>
  <si>
    <t>128-09</t>
  </si>
  <si>
    <t>138-09</t>
  </si>
  <si>
    <t>144-09</t>
  </si>
  <si>
    <t>815-09</t>
  </si>
  <si>
    <t>50-09</t>
  </si>
  <si>
    <t>146-09</t>
  </si>
  <si>
    <t>150-09</t>
  </si>
  <si>
    <t>152-09</t>
  </si>
  <si>
    <t>169-09</t>
  </si>
  <si>
    <t>162-09</t>
  </si>
  <si>
    <t>171-09</t>
  </si>
  <si>
    <t>821-09</t>
  </si>
  <si>
    <t>170-09</t>
  </si>
  <si>
    <t>168-09</t>
  </si>
  <si>
    <t>176-09</t>
  </si>
  <si>
    <t>181-09</t>
  </si>
  <si>
    <t>185-09</t>
  </si>
  <si>
    <t>180-09</t>
  </si>
  <si>
    <t>182-09</t>
  </si>
  <si>
    <t>904-09</t>
  </si>
  <si>
    <t>193-09</t>
  </si>
  <si>
    <t>190-09</t>
  </si>
  <si>
    <t>826-09</t>
  </si>
  <si>
    <t>828-09</t>
  </si>
  <si>
    <t>192-09</t>
  </si>
  <si>
    <t>196-09</t>
  </si>
  <si>
    <t>198-09</t>
  </si>
  <si>
    <t>202-09</t>
  </si>
  <si>
    <t>NON SYNCHRONIZED SUBDIV</t>
  </si>
  <si>
    <t>PTC function (8)</t>
  </si>
  <si>
    <t>72-09</t>
  </si>
  <si>
    <t>213-09</t>
  </si>
  <si>
    <t>215-09</t>
  </si>
  <si>
    <t>219-09</t>
  </si>
  <si>
    <t>224-09</t>
  </si>
  <si>
    <t>228-09</t>
  </si>
  <si>
    <t>101-09</t>
  </si>
  <si>
    <t>103-09</t>
  </si>
  <si>
    <t>306-09</t>
  </si>
  <si>
    <t>308-09</t>
  </si>
  <si>
    <t>105-09</t>
  </si>
  <si>
    <t>901-09</t>
  </si>
  <si>
    <t>111-09</t>
  </si>
  <si>
    <t>800-09</t>
  </si>
  <si>
    <t>106-09</t>
  </si>
  <si>
    <t>108-09</t>
  </si>
  <si>
    <t>113-09</t>
  </si>
  <si>
    <t>115-09</t>
  </si>
  <si>
    <t>802-09</t>
  </si>
  <si>
    <t>117-09</t>
  </si>
  <si>
    <t>110-09</t>
  </si>
  <si>
    <t>801-09</t>
  </si>
  <si>
    <t>112-09</t>
  </si>
  <si>
    <t>119-09</t>
  </si>
  <si>
    <t>902-09</t>
  </si>
  <si>
    <t>114-09</t>
  </si>
  <si>
    <t>121-09</t>
  </si>
  <si>
    <t>803-09</t>
  </si>
  <si>
    <t>123-09</t>
  </si>
  <si>
    <t>804-09</t>
  </si>
  <si>
    <t>118-09</t>
  </si>
  <si>
    <t>125-09</t>
  </si>
  <si>
    <t>127-09</t>
  </si>
  <si>
    <t>807-09</t>
  </si>
  <si>
    <t>124-09</t>
  </si>
  <si>
    <t>129-09</t>
  </si>
  <si>
    <t>131-09</t>
  </si>
  <si>
    <t>126-09</t>
  </si>
  <si>
    <t>809-09</t>
  </si>
  <si>
    <t>BEAM</t>
  </si>
  <si>
    <t>ROSS</t>
  </si>
  <si>
    <t>808-09</t>
  </si>
  <si>
    <t>811-09</t>
  </si>
  <si>
    <t>130-09</t>
  </si>
  <si>
    <t>810-09</t>
  </si>
  <si>
    <t>137-09</t>
  </si>
  <si>
    <t>132-09</t>
  </si>
  <si>
    <t>139-09</t>
  </si>
  <si>
    <t>134-09</t>
  </si>
  <si>
    <t>903-09</t>
  </si>
  <si>
    <t>812-09</t>
  </si>
  <si>
    <t>136-09</t>
  </si>
  <si>
    <t>141-09</t>
  </si>
  <si>
    <t>813-09</t>
  </si>
  <si>
    <t>143-09</t>
  </si>
  <si>
    <t>145-09</t>
  </si>
  <si>
    <t>147-09</t>
  </si>
  <si>
    <t>142-09</t>
  </si>
  <si>
    <t>149-09</t>
  </si>
  <si>
    <t>814-09</t>
  </si>
  <si>
    <t>151-09</t>
  </si>
  <si>
    <t>153-09</t>
  </si>
  <si>
    <t>148-09</t>
  </si>
  <si>
    <t>155-09</t>
  </si>
  <si>
    <t>157-09</t>
  </si>
  <si>
    <t>816-09</t>
  </si>
  <si>
    <t>817-09</t>
  </si>
  <si>
    <t>159-09</t>
  </si>
  <si>
    <t>154-09</t>
  </si>
  <si>
    <t>161-09</t>
  </si>
  <si>
    <t>51-09</t>
  </si>
  <si>
    <t>GRASTON</t>
  </si>
  <si>
    <t>MATHEU</t>
  </si>
  <si>
    <t>156-09</t>
  </si>
  <si>
    <t>163-09</t>
  </si>
  <si>
    <t>158-09</t>
  </si>
  <si>
    <t>818-09</t>
  </si>
  <si>
    <t>54-09</t>
  </si>
  <si>
    <t>KAMDEN</t>
  </si>
  <si>
    <t>165-09</t>
  </si>
  <si>
    <t>160-09</t>
  </si>
  <si>
    <t>167-09</t>
  </si>
  <si>
    <t>819-09</t>
  </si>
  <si>
    <t>55-09</t>
  </si>
  <si>
    <t>164-09</t>
  </si>
  <si>
    <t>166-09</t>
  </si>
  <si>
    <t>820-09</t>
  </si>
  <si>
    <t>173-09</t>
  </si>
  <si>
    <t>175-09</t>
  </si>
  <si>
    <t>177-09</t>
  </si>
  <si>
    <t>172-09</t>
  </si>
  <si>
    <t>58-09</t>
  </si>
  <si>
    <t>PELLITIER</t>
  </si>
  <si>
    <t>GEORGE</t>
  </si>
  <si>
    <t>179-09</t>
  </si>
  <si>
    <t>174-09</t>
  </si>
  <si>
    <t>822-09</t>
  </si>
  <si>
    <t>ADANE</t>
  </si>
  <si>
    <t>ELSHADAY</t>
  </si>
  <si>
    <t>183-09</t>
  </si>
  <si>
    <t>178-09</t>
  </si>
  <si>
    <t>823-09</t>
  </si>
  <si>
    <t>187-09</t>
  </si>
  <si>
    <t>824-09</t>
  </si>
  <si>
    <t>184-09</t>
  </si>
  <si>
    <t>189-09</t>
  </si>
  <si>
    <t>191-09</t>
  </si>
  <si>
    <t>186-09</t>
  </si>
  <si>
    <t>825-09</t>
  </si>
  <si>
    <t>188-09</t>
  </si>
  <si>
    <t>195-09</t>
  </si>
  <si>
    <t>827-09</t>
  </si>
  <si>
    <t>197-09</t>
  </si>
  <si>
    <t>199-09</t>
  </si>
  <si>
    <t>201-09</t>
  </si>
  <si>
    <t>194-09</t>
  </si>
  <si>
    <t>829-09</t>
  </si>
  <si>
    <t>203-09</t>
  </si>
  <si>
    <t>831-09</t>
  </si>
  <si>
    <t>830-09</t>
  </si>
  <si>
    <t>205-09</t>
  </si>
  <si>
    <t>200-09</t>
  </si>
  <si>
    <t>207-09</t>
  </si>
  <si>
    <t>832-09</t>
  </si>
  <si>
    <t>209-09</t>
  </si>
  <si>
    <t>75-09</t>
  </si>
  <si>
    <t>204-09</t>
  </si>
  <si>
    <t>833-09</t>
  </si>
  <si>
    <t>211-09</t>
  </si>
  <si>
    <t>835-09</t>
  </si>
  <si>
    <t>206-09</t>
  </si>
  <si>
    <t>834-09</t>
  </si>
  <si>
    <t>208-09</t>
  </si>
  <si>
    <t>74-09</t>
  </si>
  <si>
    <t>GREGORY</t>
  </si>
  <si>
    <t>836-09</t>
  </si>
  <si>
    <t>210-09</t>
  </si>
  <si>
    <t>837-09</t>
  </si>
  <si>
    <t>217-09</t>
  </si>
  <si>
    <t>77-09</t>
  </si>
  <si>
    <t>212-09</t>
  </si>
  <si>
    <t>838-09</t>
  </si>
  <si>
    <t>214-09</t>
  </si>
  <si>
    <t>839-09</t>
  </si>
  <si>
    <t>216-09</t>
  </si>
  <si>
    <t>221-09</t>
  </si>
  <si>
    <t>303-09</t>
  </si>
  <si>
    <t>906-09</t>
  </si>
  <si>
    <t>305-09</t>
  </si>
  <si>
    <t>218-09</t>
  </si>
  <si>
    <t>841-09</t>
  </si>
  <si>
    <t>307-09</t>
  </si>
  <si>
    <t>223-09</t>
  </si>
  <si>
    <t>220-09</t>
  </si>
  <si>
    <t>840-09</t>
  </si>
  <si>
    <t>79-09</t>
  </si>
  <si>
    <t>222-09</t>
  </si>
  <si>
    <t>225-09</t>
  </si>
  <si>
    <t>227-09</t>
  </si>
  <si>
    <t>842-09</t>
  </si>
  <si>
    <t>843-09</t>
  </si>
  <si>
    <t>229-09</t>
  </si>
  <si>
    <t>226-09</t>
  </si>
  <si>
    <t>845-09</t>
  </si>
  <si>
    <t>231-09</t>
  </si>
  <si>
    <t>844-09</t>
  </si>
  <si>
    <t>230-09</t>
  </si>
  <si>
    <t>233-09</t>
  </si>
  <si>
    <t>847-09</t>
  </si>
  <si>
    <t>232-09</t>
  </si>
  <si>
    <t>235-09</t>
  </si>
  <si>
    <t>909-09</t>
  </si>
  <si>
    <t>234-09</t>
  </si>
  <si>
    <t>237-09</t>
  </si>
  <si>
    <t>239-09</t>
  </si>
  <si>
    <t>236-09</t>
  </si>
  <si>
    <t>238-09</t>
  </si>
  <si>
    <t>241-09</t>
  </si>
  <si>
    <t>243-09</t>
  </si>
  <si>
    <t>240-09</t>
  </si>
  <si>
    <t>204:797</t>
  </si>
  <si>
    <t>204:233293</t>
  </si>
  <si>
    <t>204:232656</t>
  </si>
  <si>
    <t>204:64793</t>
  </si>
  <si>
    <t>204:754</t>
  </si>
  <si>
    <t>204:724</t>
  </si>
  <si>
    <t>204:233391</t>
  </si>
  <si>
    <t>204:232726</t>
  </si>
  <si>
    <t>204:19185</t>
  </si>
  <si>
    <t>204:376</t>
  </si>
  <si>
    <t>204:1045</t>
  </si>
  <si>
    <t>204:233007</t>
  </si>
  <si>
    <t>204:690</t>
  </si>
  <si>
    <t>204:232988</t>
  </si>
  <si>
    <t>204:721</t>
  </si>
  <si>
    <t>204:231308</t>
  </si>
  <si>
    <t>204:233286</t>
  </si>
  <si>
    <t>204:232965</t>
  </si>
  <si>
    <t>204:232993</t>
  </si>
  <si>
    <t>204:174</t>
  </si>
  <si>
    <t>204:477</t>
  </si>
  <si>
    <t>204:233299</t>
  </si>
  <si>
    <t>204:502</t>
  </si>
  <si>
    <t>204:462</t>
  </si>
  <si>
    <t>204:400</t>
  </si>
  <si>
    <t>204:232976</t>
  </si>
  <si>
    <t>204:1422</t>
  </si>
  <si>
    <t>204:232969</t>
  </si>
  <si>
    <t>204:110</t>
  </si>
  <si>
    <t>204:402</t>
  </si>
  <si>
    <t>204:233339</t>
  </si>
  <si>
    <t>204:233036</t>
  </si>
  <si>
    <t>204:233284</t>
  </si>
  <si>
    <t>204:233336</t>
  </si>
  <si>
    <t>204:183</t>
  </si>
  <si>
    <t>204:106304</t>
  </si>
  <si>
    <t>204:105219</t>
  </si>
  <si>
    <t>204:84481</t>
  </si>
  <si>
    <t>204:233320</t>
  </si>
  <si>
    <t>204:101794</t>
  </si>
  <si>
    <t>204:162</t>
  </si>
  <si>
    <t>204:233281</t>
  </si>
  <si>
    <t>204:233013</t>
  </si>
  <si>
    <t>204:232966</t>
  </si>
  <si>
    <t>204:233353</t>
  </si>
  <si>
    <t>204:233038</t>
  </si>
  <si>
    <t>204:99608</t>
  </si>
  <si>
    <t>204:249</t>
  </si>
  <si>
    <t>204:233351</t>
  </si>
  <si>
    <t>204:484</t>
  </si>
  <si>
    <t>300:23320</t>
  </si>
  <si>
    <t>204:486</t>
  </si>
  <si>
    <t>300:23312</t>
  </si>
  <si>
    <t>300:30869</t>
  </si>
  <si>
    <t>204:549</t>
  </si>
  <si>
    <t>300:23151</t>
  </si>
  <si>
    <t>300:22843</t>
  </si>
  <si>
    <t>300:22092</t>
  </si>
  <si>
    <t>300:17716</t>
  </si>
  <si>
    <t>204:1203</t>
  </si>
  <si>
    <t>300:21831</t>
  </si>
  <si>
    <t>204:872</t>
  </si>
  <si>
    <t>204:1186</t>
  </si>
  <si>
    <t>300:21914</t>
  </si>
  <si>
    <t>204:1658</t>
  </si>
  <si>
    <t>300:21909</t>
  </si>
  <si>
    <t>204:1656</t>
  </si>
  <si>
    <t>204:1171</t>
  </si>
  <si>
    <t>300:23310</t>
  </si>
  <si>
    <t>204:1488</t>
  </si>
  <si>
    <t>204:1477</t>
  </si>
  <si>
    <t>204:459</t>
  </si>
  <si>
    <t>300:23293</t>
  </si>
  <si>
    <t>300:58649</t>
  </si>
  <si>
    <t>204:745</t>
  </si>
  <si>
    <t>204:1046</t>
  </si>
  <si>
    <t>204:1060</t>
  </si>
  <si>
    <t>300:58929</t>
  </si>
  <si>
    <t>204:734</t>
  </si>
  <si>
    <t>204:1039</t>
  </si>
  <si>
    <t>300:58961</t>
  </si>
  <si>
    <t>204:757</t>
  </si>
  <si>
    <t>204:1016</t>
  </si>
  <si>
    <t>300:58931</t>
  </si>
  <si>
    <t>300:58609</t>
  </si>
  <si>
    <t>300:58924</t>
  </si>
  <si>
    <t>300:58608</t>
  </si>
  <si>
    <t>204:1032</t>
  </si>
  <si>
    <t>300:58926</t>
  </si>
  <si>
    <t>204:755</t>
  </si>
  <si>
    <t>204:1041</t>
  </si>
  <si>
    <t>204:958</t>
  </si>
  <si>
    <t>300:41860</t>
  </si>
  <si>
    <t>204:677</t>
  </si>
  <si>
    <t>300:57312</t>
  </si>
  <si>
    <t>204:1042</t>
  </si>
  <si>
    <t>204:972</t>
  </si>
  <si>
    <t>300:58920</t>
  </si>
  <si>
    <t>204:969</t>
  </si>
  <si>
    <t>300:58598</t>
  </si>
  <si>
    <t>204:710</t>
  </si>
  <si>
    <t>204:1034</t>
  </si>
  <si>
    <t>300:58606</t>
  </si>
  <si>
    <t>204:705</t>
  </si>
  <si>
    <t>204:976</t>
  </si>
  <si>
    <t>300:30519</t>
  </si>
  <si>
    <t>300:58967</t>
  </si>
  <si>
    <t>300:22130</t>
  </si>
  <si>
    <t>204:1055</t>
  </si>
  <si>
    <t>300:31146</t>
  </si>
  <si>
    <t>300:23531</t>
  </si>
  <si>
    <t>300:22906</t>
  </si>
  <si>
    <t>300:28731</t>
  </si>
  <si>
    <t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t>
  </si>
  <si>
    <t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t>
  </si>
  <si>
    <t>aws s3 cp s3://rtdc.mdm.uploadarchive.raw/RTDC4021/ "%USERPROFILE%\AppData\Local\Temp\OnboardLogs"\RTDC4021\2016-12-09 --exclude "*" --recursive --include "*20161209*" &amp; "%USERPROFILE%\Documents\GitHub\mrs-test-scripts\Headless Mode &amp; Sideloading\WalkAndUnGZ.bat" "%USERPROFILE%\AppData\Local\Temp\OnboardLogs"\RTDC4021\2016-12-09 &amp; aws s3 cp s3://rtdc.mdm.uploadarchive.raw/RTDC4021/ "%USERPROFILE%\AppData\Local\Temp\OnboardLogs"\RTDC4021\2016-12-10 --exclude "*" --recursive --include "*20161210*" &amp; "%USERPROFILE%\Documents\GitHub\mrs-test-scripts\Headless Mode &amp; Sideloading\WalkAndUnGZ.bat" "%USERPROFILE%\AppData\Local\Temp\OnboardLogs"\RTDC4021\2016-12-10</t>
  </si>
  <si>
    <t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t>
  </si>
  <si>
    <t>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 &amp; aws s3 cp s3://rtdc.mdm.uploadarchive.raw/RTDC4029/ "%USERPROFILE%\AppData\Local\Temp\OnboardLogs"\RTDC4029\2016-12-10 --exclude "*" --recursive --include "*20161210*" &amp; "%USERPROFILE%\Documents\GitHub\mrs-test-scripts\Headless Mode &amp; Sideloading\WalkAndUnGZ.bat" "%USERPROFILE%\AppData\Local\Temp\OnboardLogs"\RTDC4029\2016-12-10</t>
  </si>
  <si>
    <t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t>
  </si>
  <si>
    <t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t>
  </si>
  <si>
    <t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t>
  </si>
  <si>
    <t>aws s3 cp s3://rtdc.mdm.uploadarchive.raw/RTDC4026/ "%USERPROFILE%\AppData\Local\Temp\OnboardLogs"\RTDC4026\2016-12-09 --exclude "*" --recursive --include "*20161209*" &amp; "%USERPROFILE%\Documents\GitHub\mrs-test-scripts\Headless Mode &amp; Sideloading\WalkAndUnGZ.bat" "%USERPROFILE%\AppData\Local\Temp\OnboardLogs"\RTDC4026\2016-12-09 &amp; 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</t>
  </si>
  <si>
    <t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t>
  </si>
  <si>
    <t>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 &amp; 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</t>
  </si>
  <si>
    <t>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 &amp; 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</t>
  </si>
  <si>
    <t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t>
  </si>
  <si>
    <t>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 &amp; 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</t>
  </si>
  <si>
    <t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t>
  </si>
  <si>
    <t>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 &amp; 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</t>
  </si>
  <si>
    <t>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 &amp; aws s3 cp s3://rtdc.mdm.uploadarchive.raw/RTDC4044/ "%USERPROFILE%\AppData\Local\Temp\OnboardLogs"\RTDC4044\2016-12-10 --exclude "*" --recursive --include "*20161210*" &amp; "%USERPROFILE%\Documents\GitHub\mrs-test-scripts\Headless Mode &amp; Sideloading\WalkAndUnGZ.bat" "%USERPROFILE%\AppData\Local\Temp\OnboardLogs"\RTDC4044\2016-12-10</t>
  </si>
  <si>
    <t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t>
  </si>
  <si>
    <t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t>
  </si>
  <si>
    <t>Wheel tach slip</t>
  </si>
  <si>
    <t>DUS 2N/20N STOP</t>
  </si>
  <si>
    <t>Onboard in-route failure</t>
  </si>
  <si>
    <t>Failed PSS</t>
  </si>
  <si>
    <t>Delayed at Sable (signal system failure)</t>
  </si>
  <si>
    <t>Failed PSS, talked past Sable (signal system failure)</t>
  </si>
  <si>
    <t>Talked past Sable (signal system failure)</t>
  </si>
  <si>
    <t>Wheel tach error</t>
  </si>
  <si>
    <t>140-09</t>
  </si>
  <si>
    <t>ADANE ELSHADAY</t>
  </si>
  <si>
    <t>Went active too close to signal</t>
  </si>
  <si>
    <t>Early arrival</t>
  </si>
  <si>
    <t>CRMFN 2S STOP</t>
  </si>
  <si>
    <t>Overspeed</t>
  </si>
  <si>
    <t>Pena 4S STOP</t>
  </si>
  <si>
    <t>40th 4S STOP</t>
  </si>
  <si>
    <t>Wi-MAX data drop</t>
  </si>
  <si>
    <t>RESTRICTED aspect</t>
  </si>
  <si>
    <t>The PSS issued during the event timeframe failed track limit CRC check. This is usually due to milepost values being populated inconsistently vs the subdiv file</t>
  </si>
  <si>
    <t>SYS :2016/12/09 11:30:26.865:ENFORCEMENT:Predictive Enforcement Action:  Target Number: 0000600F  Target Speed:   0.0  Current Speed:  14.1</t>
  </si>
  <si>
    <t>SYS :2016/12/09 11:30:27.035:ENFORCEMENT:Predictive Enforcement Action:  Target Number: 0000600F  Target Speed:   0.0  Current Speed:  14.1</t>
  </si>
  <si>
    <t>SYS :2016/12/09 11:30:27.235:ENFORCEMENT:Predictive Enforcement Action:  Target Number: 0000600F  Target Speed:   0.0  Current Speed:  14.1</t>
  </si>
  <si>
    <t>SYS :2016/12/09 11:33:20.047:ENFORCEMENT:Predictive Enforcement Action:  Target Number: 0000A01F  Target Speed:  10.0  Current Speed:  27.5</t>
  </si>
  <si>
    <t>SYS :2016/12/09 11:33:20.567:ENFORCEMENT:Predictive Enforcement Action:  Target Number: 0000A01F  Target Speed:  10.0  Current Speed:  27.5</t>
  </si>
  <si>
    <t>SYS :2016/12/09 11:46:12.474:ENFORCEMENT:Predictive Enforcement Action:  Target Number: 00006022  Target Speed:   0.0  Current Speed:  51.4</t>
  </si>
  <si>
    <t>SYS :2016/12/09 11:46:12.588:ENFORCEMENT:Predictive Enforcement Action:  Target Number: 00006016  Target Speed:   0.0  Current Speed:  50.7</t>
  </si>
  <si>
    <t>SYS :2016/12/09 11:46:12.685:ENFORCEMENT:Predictive Enforcement Action:  Target Number: 00006016  Target Speed:   0.0  Current Speed:  50.7</t>
  </si>
  <si>
    <t>SYS :2016/12/09 12:09:16.010:ENFORCEMENT:Predictive Enforcement Action:  Target Number: 00001003  Target Speed:   0.0  Current Speed:   5.1</t>
  </si>
  <si>
    <t>SYS :2016/12/09 12:09:16.225:ENFORCEMENT:Predictive Enforcement Action:  Target Number: 00001003  Target Speed:   0.0  Current Speed:   5.1</t>
  </si>
  <si>
    <t>SYS :2016/12/09 12:20:05.642:ENFORCEMENT:Predictive Enforcement Action:  Target Number: 00001002  Target Speed:   0.0  Current Speed:  13.8</t>
  </si>
  <si>
    <t>SYS :2016/12/09 12:20:06.435:ENFORCEMENT:Predictive Enforcement Action:  Target Number: 00001002  Target Speed:   0.0  Current Speed:  13.8</t>
  </si>
  <si>
    <t>SYS :2016/12/09 12:20:06.530:ENFORCEMENT:Predictive Enforcement Action:  Target Number: 00001002  Target Speed:   0.0  Current Speed:  13.8</t>
  </si>
  <si>
    <t>SYS :2016/12/09 13:51:42.362:ENFORCEMENT:Predictive Enforcement Action:  Target Number: 0000A001  Target Speed:  10.0  Current Speed:  45.3</t>
  </si>
  <si>
    <t>SYS :2016/12/09 13:51:42.833:ENFORCEMENT:Predictive Enforcement Action:  Target Number: 0000A001  Target Speed:  10.0  Current Speed:  45.3</t>
  </si>
  <si>
    <t>SYS :2016/12/09 13:51:42.993:ENFORCEMENT:Predictive Enforcement Action:  Target Number: 0000A001  Target Speed:  10.0  Current Speed:  44.4</t>
  </si>
  <si>
    <t>SYS :2016/12/09 14:08:14.060:ENFORCEMENT:Predictive Enforcement Action:  Target Number: 000102B5  Target Speed:  30.0  Current Speed:  42.0</t>
  </si>
  <si>
    <t>SYS :2016/12/09 14:08:14.881:ENFORCEMENT:Predictive Enforcement Action:  Target Number: 000102B7  Target Speed:  30.0  Current Speed:  41.4</t>
  </si>
  <si>
    <t>SYS :2016/12/09 14:08:15.704:ENFORCEMENT:Predictive Enforcement Action:  Target Number: 000102B7  Target Speed:  30.0  Current Speed:  40.7</t>
  </si>
  <si>
    <t>SYS :2016/12/09 14:11:24.873:ENFORCEMENT:Predictive Enforcement Action:  Target Number: 000102BA  Target Speed:  15.0  Current Speed:  37.9</t>
  </si>
  <si>
    <t>SYS :2016/12/09 14:11:25.049:ENFORCEMENT:Predictive Enforcement Action:  Target Number: 000102B8  Target Speed:  15.0  Current Speed:  37.9</t>
  </si>
  <si>
    <t>SYS :2016/12/09 14:11:25.695:ENFORCEMENT:Predictive Enforcement Action:  Target Number: 000102BA  Target Speed:  15.0  Current Speed:  37.5</t>
  </si>
  <si>
    <t>SYS :2016/12/09 14:18:34.404:ENFORCEMENT:Predictive Enforcement Action:  Target Number: 0000A001  Target Speed:  10.0  Current Speed:  50.1</t>
  </si>
  <si>
    <t>SYS :2016/12/09 14:18:35.157:ENFORCEMENT:Predictive Enforcement Action:  Target Number: 0000A001  Target Speed:  10.0  Current Speed:  50.1</t>
  </si>
  <si>
    <t>SYS :2016/12/09 14:19:48.341:ENFORCEMENT:Reactive Enforcement Action:  Target Number: 00010316  Target Speed:  15.0  Current Speed:  20.7</t>
  </si>
  <si>
    <t>SYS :2016/12/09 14:27:31.338:ENFORCEMENT:Predictive Enforcement Action:  Target Number: 0000A01B  Target Speed:  10.0  Current Speed:  25.7</t>
  </si>
  <si>
    <t>SYS :2016/12/09 14:27:31.352:ENFORCEMENT:Predictive Enforcement Action:  Target Number: 000171C0  Target Speed:   9.0  Current Speed:  25.7</t>
  </si>
  <si>
    <t>SYS :2016/12/09 14:27:31.454:ENFORCEMENT:Predictive Enforcement Action:  Target Number: 0000A01B  Target Speed:  10.0  Current Speed:  25.4</t>
  </si>
  <si>
    <t>SYS :2016/12/09 14:27:31.468:ENFORCEMENT:Predictive Enforcement Action:  Target Number: 000171C0  Target Speed:   9.0  Current Speed:  25.4</t>
  </si>
  <si>
    <t>SYS :2016/12/09 14:30:55.381:ENFORCEMENT:Predictive Enforcement Action:  Target Number: 00017017  Target Speed:   9.0  Current Speed:  14.9</t>
  </si>
  <si>
    <t>SYS :2016/12/09 14:30:55.774:ENFORCEMENT:Predictive Enforcement Action:  Target Number: 00017017  Target Speed:   9.0  Current Speed:  14.9</t>
  </si>
  <si>
    <t>SYS :2016/12/09 14:30:56.142:ENFORCEMENT:Predictive Enforcement Action:  Target Number: 00017017  Target Speed:   9.0  Current Speed:  14.9</t>
  </si>
  <si>
    <t>SYS :2016/12/09 14:51:02.103:ENFORCEMENT:Predictive Enforcement Action:  Target Number: 00001005  Target Speed:   0.0  Current Speed:   6.7</t>
  </si>
  <si>
    <t>SYS :2016/12/09 14:51:02.357:ENFORCEMENT:Predictive Enforcement Action:  Target Number: 00001005  Target Speed:   0.0  Current Speed:   6.7</t>
  </si>
  <si>
    <t>SYS :2016/12/09 14:51:02.773:ENFORCEMENT:Predictive Enforcement Action:  Target Number: 00001005  Target Speed:   0.0  Current Speed:   6.7</t>
  </si>
  <si>
    <t>SYS :2016/12/09 14:54:11.959:ENFORCEMENT:Reactive Enforcement Action:  Target Number: 00017035  Target Speed:  17.0  Current Speed:  23.3</t>
  </si>
  <si>
    <t>SYS :2016/12/09 14:54:12.104:ENFORCEMENT:Reactive Enforcement Action:  Target Number: 00017035  Target Speed:  17.0  Current Speed:  23.3</t>
  </si>
  <si>
    <t>SYS :2016/12/09 15:08:05.032:ENFORCEMENT:Reactive Enforcement Action:  Target Number: 00017037  Target Speed:  15.0  Current Speed:  20.2</t>
  </si>
  <si>
    <t>SYS :2016/12/09 15:08:05.235:ENFORCEMENT:Reactive Enforcement Action:  Target Number: 00017037  Target Speed:  15.0  Current Speed:  20.2</t>
  </si>
  <si>
    <t>SYS :2016/12/09 15:18:36.562:ENFORCEMENT:Predictive Enforcement Action:  Target Number: 0000A023  Target Speed:  10.0  Current Speed:  29.9</t>
  </si>
  <si>
    <t>SYS :2016/12/09 16:33:26.286:ENFORCEMENT:Predictive Enforcement Action:  Target Number: 0000A005  Target Speed:  10.0  Current Speed:  31.5</t>
  </si>
  <si>
    <t>SYS :2016/12/09 16:33:26.294:ENFORCEMENT:Predictive Enforcement Action:  Target Number: 0000A005  Target Speed:  10.0  Current Speed:  31.5</t>
  </si>
  <si>
    <t>SYS :2016/12/09 16:58:42.994:ENFORCEMENT:Reactive Enforcement Action:  Target Number: 00010046  Target Speed:  55.0  Current Speed:  60.5</t>
  </si>
  <si>
    <t>SYS :2016/12/09 16:58:43.832:ENFORCEMENT:Reactive Enforcement Action:  Target Number: 00010046  Target Speed:  55.0  Current Speed:  60.5</t>
  </si>
  <si>
    <t>SYS :2016/12/09 17:24:17.682:ENFORCEMENT:Predictive Enforcement Action:  Target Number: 0000A00C  Target Speed:  10.0  Current Speed:  15.4</t>
  </si>
  <si>
    <t>SYS :2016/12/09 17:24:17.852:ENFORCEMENT:Predictive Enforcement Action:  Target Number: 0000A00C  Target Speed:  10.0  Current Speed:  15.2</t>
  </si>
  <si>
    <t>SYS :2016/12/09 17:24:17.993:ENFORCEMENT:Predictive Enforcement Action:  Target Number: 0000A00C  Target Speed:  10.0  Current Speed:  15.4</t>
  </si>
  <si>
    <t>SYS :2016/12/09 17:52:34.574:ENFORCEMENT:Predictive Enforcement Action:  Target Number: 0000100A  Target Speed:   0.0  Current Speed:   6.9</t>
  </si>
  <si>
    <t>SYS :2016/12/09 17:52:34.678:ENFORCEMENT:Predictive Enforcement Action:  Target Number: 0000100A  Target Speed:   0.0  Current Speed:   6.9</t>
  </si>
  <si>
    <t>SYS :2016/12/09 18:03:08.128:ENFORCEMENT:Predictive Enforcement Action:  Target Number: 0000A007  Target Speed:  10.0  Current Speed:  41.5</t>
  </si>
  <si>
    <t>SYS :2016/12/09 18:03:08.373:ENFORCEMENT:Predictive Enforcement Action:  Target Number: 0000A007  Target Speed:  10.0  Current Speed:  41.5</t>
  </si>
  <si>
    <t>SYS :2016/12/09 18:03:08.806:ENFORCEMENT:Predictive Enforcement Action:  Target Number: 0000A007  Target Speed:  10.0  Current Speed:  41.5</t>
  </si>
  <si>
    <t>SYS :2016/12/09 18:08:25.269:ENFORCEMENT:Predictive Enforcement Action:  Target Number: 000060EA  Target Speed:   0.0  Current Speed:  44.1</t>
  </si>
  <si>
    <t>SYS :2016/12/09 18:08:25.281:ENFORCEMENT:Predictive Enforcement Action:  Target Number: 000060EA  Target Speed:   0.0  Current Speed:  44.3</t>
  </si>
  <si>
    <t>SYS :2016/12/09 18:08:25.285:ENFORCEMENT:Predictive Enforcement Action:  Target Number: 000060EB  Target Speed:   0.0  Current Speed:  44.3</t>
  </si>
  <si>
    <t>SYS :2016/12/09 19:17:20.774:ENFORCEMENT:Reactive Enforcement Action:  Target Number: 000104EF  Target Speed:  15.0  Current Speed:  20.0</t>
  </si>
  <si>
    <t>SYS :2016/12/09 19:17:21.325:ENFORCEMENT:Reactive Enforcement Action:  Target Number: 00010134  Target Speed:  15.0  Current Speed:  20.0</t>
  </si>
  <si>
    <t>SYS :2016/12/09 19:17:21.815:ENFORCEMENT:Reactive Enforcement Action:  Target Number: 000104C2  Target Speed:  15.0  Current Speed:  20.0</t>
  </si>
  <si>
    <t>SYS :2016/12/09 19:34:44.793:ENFORCEMENT:Predictive Enforcement Action:  Target Number: 0000A007  Target Speed:  10.0  Current Speed:  32.8</t>
  </si>
  <si>
    <t>SYS :2016/12/09 19:51:26.140:ENFORCEMENT:Predictive Enforcement Action:  Target Number: 0000100A  Target Speed:   0.0  Current Speed:   4.8</t>
  </si>
  <si>
    <t>SYS :2016/12/09 19:51:26.385:ENFORCEMENT:Predictive Enforcement Action:  Target Number: 0000100B  Target Speed:   0.0  Current Speed:   4.8</t>
  </si>
  <si>
    <t>SYS :2016/12/09 20:04:19.236:ENFORCEMENT:Predictive Enforcement Action:  Target Number: 00010104  Target Speed:  35.0  Current Speed:  48.9</t>
  </si>
  <si>
    <t>SYS :2016/12/09 20:30:31.668:ENFORCEMENT:Reactive Enforcement Action:  Target Number: 0001013D  Target Speed:  30.0  Current Speed:  36.1</t>
  </si>
  <si>
    <t>SYS :2016/12/09 20:30:32.840:ENFORCEMENT:Reactive Enforcement Action:  Target Number: 0001013E  Target Speed:  30.0  Current Speed:  36.1</t>
  </si>
  <si>
    <t>SYS :2016/12/09 20:30:32.978:ENFORCEMENT:Reactive Enforcement Action:  Target Number: 0001013D  Target Speed:  30.0  Current Speed:  36.1</t>
  </si>
  <si>
    <t>SYS :2016/12/09 20:33:57.044:ENFORCEMENT:Predictive Enforcement Action:  Target Number: 0000A029  Target Speed:  10.0  Current Speed:  28.6</t>
  </si>
  <si>
    <t>SYS :2016/12/09 20:33:57.562:ENFORCEMENT:Predictive Enforcement Action:  Target Number: 0000A029  Target Speed:  10.0  Current Speed:  28.1</t>
  </si>
  <si>
    <t>SYS :2016/12/09 20:36:31.203:ENFORCEMENT:Predictive Enforcement Action:  Target Number: 0000100B  Target Speed:   0.0  Current Speed:   5.4</t>
  </si>
  <si>
    <t>SYS :2016/12/09 20:36:31.426:ENFORCEMENT:Predictive Enforcement Action:  Target Number: 0000100B  Target Speed:   0.0  Current Speed:   5.4</t>
  </si>
  <si>
    <t>SYS :2016/12/09 21:18:56.152:ENFORCEMENT:Predictive Enforcement Action:  Target Number: 0000A009  Target Speed:  10.0  Current Speed:  28.4</t>
  </si>
  <si>
    <t>SYS :2016/12/09 21:18:56.396:ENFORCEMENT:Predictive Enforcement Action:  Target Number: 0000A009  Target Speed:  10.0  Current Speed:  27.5</t>
  </si>
  <si>
    <t>SYS :2016/12/09 21:20:55.423:ENFORCEMENT:Reactive Enforcement Action:  Target Number: 000061ED  Target Speed:  20.0  Current Speed:  25.0</t>
  </si>
  <si>
    <t>SYS :2016/12/09 21:20:55.682:ENFORCEMENT:Reactive Enforcement Action:  Target Number: 000061F5  Target Speed:  20.0  Current Speed:  25.0</t>
  </si>
  <si>
    <t>SYS :2016/12/09 21:20:55.900:ENFORCEMENT:Reactive Enforcement Action:  Target Number: 000060ED  Target Speed:  20.0  Current Speed:  25.0</t>
  </si>
  <si>
    <t>SYS :2016/12/09 21:24:42.678:ENFORCEMENT:Predictive Enforcement Action:  Target Number: 00001011  Target Speed:   0.0  Current Speed:  10.2</t>
  </si>
  <si>
    <t>SYS :2016/12/09 21:24:42.895:ENFORCEMENT:Predictive Enforcement Action:  Target Number: 00001009  Target Speed:   0.0  Current Speed:  10.2</t>
  </si>
  <si>
    <t>SYS :2016/12/09 21:48:28.230:ENFORCEMENT:Predictive Enforcement Action:  Target Number: 000061EA  Target Speed:   0.0  Current Speed:  45.9</t>
  </si>
  <si>
    <t>SYS :2016/12/09 21:48:29.125:ENFORCEMENT:Predictive Enforcement Action:  Target Number: 000061F3  Target Speed:   0.0  Current Speed:  45.4</t>
  </si>
  <si>
    <t>SYS :2016/12/09 21:48:30.186:ENFORCEMENT:Predictive Enforcement Action:  Target Number: 000061FC  Target Speed:   0.0  Current Speed:  45.0</t>
  </si>
  <si>
    <t>SYS :2016/12/09 21:48:48.287:ENFORCEMENT:Predictive Enforcement Action:  Target Number: 0000A00B  Target Speed:  10.0  Current Speed:  36.0</t>
  </si>
  <si>
    <t>SYS :2016/12/09 21:48:48.288:ENFORCEMENT:Predictive Enforcement Action:  Target Number: 0000A00B  Target Speed:  10.0  Current Speed:  35.5</t>
  </si>
  <si>
    <t>SYS :2016/12/09 21:48:48.303:ENFORCEMENT:Predictive Enforcement Action:  Target Number: 0000A00B  Target Speed:  10.0  Current Speed:  36.0</t>
  </si>
  <si>
    <t>SYS :2016/12/09 21:58:09.556:ENFORCEMENT:Reactive Enforcement Action:  Target Number: 00010529  Target Speed:  35.0  Current Speed:  40.1</t>
  </si>
  <si>
    <t>SYS :2016/12/09 22:03:46.226:ENFORCEMENT:Predictive Enforcement Action:  Target Number: 0000A00B  Target Speed:  10.0  Current Speed:  28.6</t>
  </si>
  <si>
    <t>SYS :2016/12/09 22:03:46.456:ENFORCEMENT:Predictive Enforcement Action:  Target Number: 0000A00B  Target Speed:  10.0  Current Speed:  28.6</t>
  </si>
  <si>
    <t>SYS :2016/12/09 22:26:22.314:ENFORCEMENT:Reactive Enforcement Action:  Target Number: 000065E8  Target Speed:   0.0  Current Speed:  11.5</t>
  </si>
  <si>
    <t>SYS :2016/12/09 22:26:53.299:ENFORCEMENT:Reactive Enforcement Action:  Target Number: 000065E8  Target Speed:   0.0  Current Speed:   0.5</t>
  </si>
  <si>
    <t>SYS :2016/12/09 22:40:39.241:ENFORCEMENT:Predictive Enforcement Action:  Target Number: 000061F4  Target Speed:   0.0  Current Speed:  78.1</t>
  </si>
  <si>
    <t>SYS :2016/12/09 22:40:39.403:ENFORCEMENT:Predictive Enforcement Action:  Target Number: 000061F4  Target Speed:   0.0  Current Speed:  78.1</t>
  </si>
  <si>
    <t>SYS :2016/12/09 22:40:39.905:ENFORCEMENT:Predictive Enforcement Action:  Target Number: 000061EB  Target Speed:   0.0  Current Speed:  77.6</t>
  </si>
  <si>
    <t>SYS :2016/12/09 22:43:02.389:ENFORCEMENT:Reactive Enforcement Action:  Target Number: 000100AF  Target Speed:  35.0  Current Speed:  40.1</t>
  </si>
  <si>
    <t>SYS :2016/12/09 22:43:03.156:ENFORCEMENT:Reactive Enforcement Action:  Target Number: 000100AC  Target Speed:  35.0  Current Speed:  40.1</t>
  </si>
  <si>
    <t>SYS :2016/12/09 22:47:23.302:ENFORCEMENT:Predictive Enforcement Action:  Target Number: 000060FA  Target Speed:   0.0  Current Speed:  62.9</t>
  </si>
  <si>
    <t>SYS :2016/12/09 22:47:23.466:ENFORCEMENT:Predictive Enforcement Action:  Target Number: 00006109  Target Speed:   0.0  Current Speed:  63.0</t>
  </si>
  <si>
    <t>SYS :2016/12/09 22:47:23.867:ENFORCEMENT:Predictive Enforcement Action:  Target Number: 0000610C  Target Speed:   0.0  Current Speed:  63.0</t>
  </si>
  <si>
    <t>SYS :2016/12/09 23:28:17.318:ENFORCEMENT:Predictive Enforcement Action:  Target Number: 0000104D  Target Speed:   0.0  Current Speed:   3.9</t>
  </si>
  <si>
    <t>SYS :2016/12/09 23:28:17.432:ENFORCEMENT:Predictive Enforcement Action:  Target Number: 0000104C  Target Speed:   0.0  Current Speed:   3.9</t>
  </si>
  <si>
    <t>SYS :2016/12/09 23:40:09.104:ENFORCEMENT:Predictive Enforcement Action:  Target Number: 00001013  Target Speed:   0.0  Current Speed:   5.3</t>
  </si>
  <si>
    <t>SYS :2016/12/09 23:40:09.357:ENFORCEMENT:Predictive Enforcement Action:  Target Number: 00001013  Target Speed:   0.0  Current Speed:   5.3</t>
  </si>
  <si>
    <t>SYS :2016/12/09 23:40:09.705:ENFORCEMENT:Predictive Enforcement Action:  Target Number: 00001008  Target Speed:   0.0  Current Speed:   5.3</t>
  </si>
  <si>
    <t>SYS :2016/12/09 23:49:25.224:ENFORCEMENT:Predictive Enforcement Action:  Target Number: 0000A00D  Target Speed:  10.0  Current Speed:  26.5</t>
  </si>
  <si>
    <t>SYS :2016/12/09 23:49:25.460:ENFORCEMENT:Predictive Enforcement Action:  Target Number: 0000A00D  Target Speed:  10.0  Current Speed:  26.0</t>
  </si>
  <si>
    <t>SYS :2016/12/09 23:59:51.053:ENFORCEMENT:Predictive Enforcement Action:  Target Number: 00017349  Target Speed:   0.0  Current Speed:  65.4</t>
  </si>
  <si>
    <t>SYS :2016/12/09 23:59:51.572:ENFORCEMENT:Predictive Enforcement Action:  Target Number: 00017332  Target Speed:   0.0  Current Speed:  65.4</t>
  </si>
  <si>
    <t>SYS :2016/12/10 00:40:05.856:ENFORCEMENT:Reactive Enforcement Action:  Target Number: 0000C001  Target Speed:   0.0  Current Speed:   1.7</t>
  </si>
  <si>
    <t>SYS :2016/12/10 00:40:06.331:ENFORCEMENT:Reactive Enforcement Action:  Target Number: 0000C002  Target Speed:   0.0  Current Speed:   1.7</t>
  </si>
  <si>
    <t>SYS :2016/12/10 00:40:07.135:ENFORCEMENT:Reactive Enforcement Action:  Target Number: 0000C001  Target Speed:   0.0  Current Speed:   1.7</t>
  </si>
  <si>
    <t>SYS :2016/12/10 01:15:05.728:ENFORCEMENT:Reactive Enforcement Action:  Target Number: 000061BA  Target Speed:  20.0  Current Speed:  26.1</t>
  </si>
  <si>
    <t>SYS :2016/12/10 01:15:05.890:ENFORCEMENT:Reactive Enforcement Action:  Target Number: 000061D7  Target Speed:  20.0  Current Speed:  26.1</t>
  </si>
  <si>
    <t>SYS :2016/12/10 01:15:06.584:ENFORCEMENT:Reactive Enforcement Action:  Target Number: 000061DA  Target Speed:  20.0  Current Speed:  26.1</t>
  </si>
  <si>
    <t>SYS :2016/12/10 01:29:03.123:ENFORCEMENT:Predictive Enforcement Action:  Target Number: 00006279  Target Speed:   0.0  Current Speed:  77.1</t>
  </si>
  <si>
    <t>SYS :2016/12/10 01:29:03.198:ENFORCEMENT:Reactive Enforcement Action:  Target Number: 00006283  Target Speed:   0.0  Current Speed:  76.8</t>
  </si>
  <si>
    <t>SYS :2016/12/10 01:29:03.235:ENFORCEMENT:Reactive Enforcement Action:  Target Number: 00006271  Target Speed:   0.0  Current Speed:  77.1</t>
  </si>
  <si>
    <t>SYS :2016/12/10 01:39:48.952:ENFORCEMENT:Predictive Enforcement Action:  Target Number: 0000A020  Target Speed:  15.0  Current Speed:  35.6</t>
  </si>
  <si>
    <t>SYS :2016/12/10 01:39:49.114:ENFORCEMENT:Predictive Enforcement Action:  Target Number: 0000A01D  Target Speed:  15.0  Current Speed:  35.6</t>
  </si>
  <si>
    <t>SYS :2016/12/10 01:42:27.981:ENFORCEMENT:Predictive Enforcement Action:  Target Number: 000170BB  Target Speed:  36.0  Current Speed:  41.5</t>
  </si>
  <si>
    <t>SYS :2016/12/10 01:42:28.123:ENFORCEMENT:Predictive Enforcement Action:  Target Number: 000170BB  Target Speed:  36.0  Current Speed:  41.5</t>
  </si>
  <si>
    <t>SYS :2016/12/10 03:47:52.201:ENFORCEMENT:Predictive Enforcement Action:  Target Number: 0000A003  Target Speed:  10.0  Current Speed:  53.2</t>
  </si>
  <si>
    <t>SYS :2016/12/10 03:47:52.617:ENFORCEMENT:Predictive Enforcement Action:  Target Number: 0000A002  Target Speed:  10.0  Current Speed:  53.2</t>
  </si>
  <si>
    <t>SYS :2016/12/10 05:02:21.392:ENFORCEMENT:Predictive Enforcement Action:  Target Number: 0001012D  Target Speed:  20.0  Current Speed:  29.2</t>
  </si>
  <si>
    <t>SYS :2016/12/10 05:02:22.146:ENFORCEMENT:Predictive Enforcement Action:  Target Number: 0001012A  Target Speed:  20.0  Current Speed:  29.2</t>
  </si>
  <si>
    <t>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</si>
</sst>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85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6"/>
  <sheetViews>
    <sheetView tabSelected="1" zoomScaleNormal="100" workbookViewId="0">
      <selection activeCell="R193" sqref="R193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4.85546875" style="41" customWidth="1"/>
    <col min="15" max="15" width="3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42713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42713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146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47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COUNTIFS($N$13:$N$9360,"&gt;0",$AG$13:$AG$9360,I1)</f>
        <v>138</v>
      </c>
      <c r="K5" s="44"/>
      <c r="L5" s="44"/>
      <c r="M5" s="45">
        <f>AVERAGEIFS($N$13:$N$9360,$AG$13:$AG$9360,I1)</f>
        <v>39.047705314410649</v>
      </c>
      <c r="N5" s="43">
        <f t="array" ref="N5">MIN(IF($AG$13:$AG$9360=I1,IF(ISNUMBER($N$13:$N$9360),IF($N$13:$N$9360&gt;0,$N$13:$N$9360))))</f>
        <v>34.399999994784594</v>
      </c>
      <c r="O5" s="3">
        <f t="array" ref="O5">MAX(IF($AG$13:$AG$9360=I1,IF(ISNUMBER($N$13:$N$9360),IF($N$13:$N$9360&gt;0,$N$13:$N$9360))))</f>
        <v>60.600000000558794</v>
      </c>
      <c r="P5" s="2"/>
      <c r="R5" s="80" t="s">
        <v>17</v>
      </c>
      <c r="S5" s="55">
        <f>COUNTIFS($N$13:$N$9360,"&gt;0",$AG$13:$AG$9360,R1)</f>
        <v>46</v>
      </c>
      <c r="T5" s="44"/>
      <c r="U5" s="169"/>
      <c r="V5" s="45">
        <f>AVERAGEIFS($N$13:$N$9360,$AG$13:$AG$9360,R1)</f>
        <v>14.541304348487124</v>
      </c>
      <c r="W5" s="43">
        <f t="array" ref="W5">MIN(IF($AG$13:$AG$9360=R1,IF(ISNUMBER($N$13:$N$9360),IF($N$13:$N$9360&gt;0,$N$13:$N$9360))))</f>
        <v>12.266666673822328</v>
      </c>
      <c r="X5" s="173">
        <f t="array" ref="X5">MAX(IF($AG$13:$AG$9360=R1,IF(ISNUMBER($N$13:$N$9360),IF($N$13:$N$9360&gt;0,$N$13:$N$9360))))</f>
        <v>18.850000005913898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COUNT($O$13:$O$146)</f>
        <v>0</v>
      </c>
      <c r="K6" s="44"/>
      <c r="L6" s="44"/>
      <c r="M6" s="45">
        <f>IFERROR(AVERAGE($O$13:$O$146),0)</f>
        <v>0</v>
      </c>
      <c r="N6" s="43">
        <f>MIN($O$13:$O$146)</f>
        <v>0</v>
      </c>
      <c r="O6" s="3">
        <f>MAX($O$13:$O$146)</f>
        <v>0</v>
      </c>
      <c r="P6" s="2"/>
      <c r="R6" s="81" t="s">
        <v>43</v>
      </c>
      <c r="S6" s="55">
        <f>COUNT($O$13:$O$146)</f>
        <v>0</v>
      </c>
      <c r="T6" s="44"/>
      <c r="U6" s="169"/>
      <c r="V6" s="45">
        <f>IFERROR(AVERAGE($O$13:$O$146),0)</f>
        <v>0</v>
      </c>
      <c r="W6" s="43">
        <f>MIN($O$13:$O$146)</f>
        <v>0</v>
      </c>
      <c r="X6" s="173">
        <f>MAX($O$13:$O$146)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COUNTIFS($P$13:$P$9360,"&gt;0",$AG$13:$AG$9360,I1)</f>
        <v>8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COUNTIFS($P$13:$P$9360,"&gt;0",$AG$13:$AG$9360,R1)</f>
        <v>1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138</v>
      </c>
      <c r="K8" s="44"/>
      <c r="L8" s="44"/>
      <c r="M8" s="45">
        <f>M5</f>
        <v>39.047705314410649</v>
      </c>
      <c r="N8" s="43">
        <f>N5</f>
        <v>34.399999994784594</v>
      </c>
      <c r="O8" s="3">
        <f>O5</f>
        <v>60.600000000558794</v>
      </c>
      <c r="P8" s="2"/>
      <c r="R8" s="80" t="s">
        <v>16</v>
      </c>
      <c r="S8" s="55">
        <f>S5</f>
        <v>46</v>
      </c>
      <c r="T8" s="44"/>
      <c r="U8" s="169"/>
      <c r="V8" s="45">
        <f>V5</f>
        <v>14.541304348487124</v>
      </c>
      <c r="W8" s="43">
        <f>W5</f>
        <v>12.266666673822328</v>
      </c>
      <c r="X8" s="173">
        <f>X5</f>
        <v>18.850000005913898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0.9452054794520548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0.97872340425531912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3" t="str">
        <f>"Eagle P3 System Performance - "&amp;TEXT(Variables!A2,"yyyy-mm-dd")</f>
        <v>Eagle P3 System Performance - 2016-12-09</v>
      </c>
      <c r="B11" s="183"/>
      <c r="C11" s="183"/>
      <c r="D11" s="183"/>
      <c r="E11" s="183"/>
      <c r="F11" s="183"/>
      <c r="G11" s="183"/>
      <c r="H11" s="183"/>
      <c r="I11" s="183"/>
      <c r="J11" s="183"/>
      <c r="K11" s="183"/>
      <c r="L11" s="183"/>
      <c r="M11" s="183"/>
      <c r="N11" s="183"/>
      <c r="O11" s="183"/>
      <c r="P11" s="183"/>
      <c r="S11" s="69">
        <f>AVERAGE(S13:S100)</f>
        <v>0.99709302325581395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521</v>
      </c>
      <c r="B13" s="7">
        <v>4031</v>
      </c>
      <c r="C13" s="22" t="s">
        <v>206</v>
      </c>
      <c r="D13" s="22" t="s">
        <v>695</v>
      </c>
      <c r="E13" s="13">
        <v>42713.145069444443</v>
      </c>
      <c r="F13" s="13">
        <v>42713.146608796298</v>
      </c>
      <c r="G13" s="7">
        <v>1</v>
      </c>
      <c r="H13" s="22" t="s">
        <v>696</v>
      </c>
      <c r="I13" s="13">
        <v>42713.170798611114</v>
      </c>
      <c r="J13" s="7">
        <v>0</v>
      </c>
      <c r="K13" s="109" t="str">
        <f t="shared" ref="K13:K76" si="0">IF(ISEVEN(B13),(B13-1)&amp;"/"&amp;B13,B13&amp;"/"&amp;(B13+1))</f>
        <v>4031/4032</v>
      </c>
      <c r="L13" s="22" t="str">
        <f>VLOOKUP(A13,'Trips&amp;Operators'!$C$1:$G$99999,5,FALSE)</f>
        <v>MAELZER KURT</v>
      </c>
      <c r="M13" s="6">
        <f t="shared" ref="M13:M76" si="1">I13-F13</f>
        <v>2.4189814816054422E-2</v>
      </c>
      <c r="N13" s="7">
        <f>24*60*SUM($M13:$M13)</f>
        <v>34.833333335118368</v>
      </c>
      <c r="O13" s="7"/>
      <c r="P13" s="7"/>
      <c r="Q13" s="23"/>
      <c r="R13" s="23"/>
      <c r="S13" s="35">
        <f>SUM(U13:U13)/IF(AG13="EC",12,1)</f>
        <v>1</v>
      </c>
      <c r="T13" s="50" t="str">
        <f t="shared" ref="T13:T76" si="2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3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https://search-rtdc-monitor-bjffxe2xuh6vdkpspy63sjmuny.us-east-1.es.amazonaws.com/_plugin/kibana/#/discover/Steve-Slow-Train-Analysis-(2080s-and-2083s)?_g=(refreshInterval:(display:Off,section:0,value:0),time:(from:'2016-12-09 02:28:54-700',mode:absolute,to:'2016-12-09 05:05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" s="52" t="str">
        <f t="shared" ref="W13:W76" si="4">IF(AA13&lt;IF(AG13="EC",23,5.65),"Y","N")</f>
        <v>N</v>
      </c>
      <c r="X13" s="177" t="e">
        <f t="shared" ref="X13:X54" si="5">VALUE(LEFT(AD13,4))-VALUE(LEFT(AD12,4))</f>
        <v>#VALUE!</v>
      </c>
      <c r="Y13" s="67">
        <f t="shared" ref="Y13:Y53" si="6">RIGHT(D13,LEN(D13)-4)/10000</f>
        <v>7.9699999999999993E-2</v>
      </c>
      <c r="Z13" s="67">
        <f>RIGHT(H13,LEN(H13)-4)/10000</f>
        <v>23.3293</v>
      </c>
      <c r="AA13" s="67">
        <f t="shared" ref="AA13:AA76" si="7">ABS(Z13-Y13)</f>
        <v>23.249600000000001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8">IF(LEN(A13)=6,"0"&amp;A13,A13)</f>
        <v>0101-09</v>
      </c>
      <c r="AE13" s="91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 &amp; 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</v>
      </c>
      <c r="AF13" s="88" t="str">
        <f t="shared" ref="AF13:AF76" si="10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/stypes="app*4031*20161209*" /stext=" 11:.+((SYSTEM_STATE.+slice.+state.+changed )|(ment ac)|(multiple cpu faults)|(system.+state.+changed )|(\[timeout)|(PRM\|1\|D)|(kpr)|(kdp)|(\|lc)|(penalty))" /e /r /s</v>
      </c>
      <c r="AG13" s="1" t="str">
        <f t="shared" ref="AG13:AG76" si="11">IFERROR(IF(VALUE(LEFT(AD13,2))&lt;=2,"EC",IF(OR(VALUE(LEFT(AD13,2))=8,VALUE(LEFT(AD13,2))=18),"NW","Other")),"Other")</f>
        <v>EC</v>
      </c>
      <c r="AH13" s="92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101-09 --locoid 4031 --swversion DE.1.0.8.0 --startMP 204:797 --initTime 2016-12-09T03:28:54 --startdatetime 2016-12-09T03:31:07 --delay 1 --endMP 204:233293 --enddatetime 2016-12-09T04:05:57 --enforcementcount 0 &gt;&gt;C:\Users\stu\Documents\GitHub\eaglep3-reporting\EC\2016-12-09-refined-times.txt</v>
      </c>
      <c r="AI13" s="119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{"issue":{"subject":"","project_id":79,"tracker_id":40,"status_id":1,"priority_id":2,"assigned_to_id":23,"start_date":"2016-12-09","description":"","custom_fields":[{"id":1,"name":"Subdivision","value":"EC"},{"id":4,"name":"Milepost","value":"23.3293"},{"id":17,"name":"Train ID","value":"101-09"},{"id":16,"name":"Locomotive ID","value":"4031"},{"id":130,"name":"Impact","value":""},{"id":150,"name":"Time of Event (Mountain Time)","value":"04:05:57"},{"id":151,"name":"Denver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475</v>
      </c>
      <c r="B14" s="7">
        <v>4030</v>
      </c>
      <c r="C14" s="22" t="s">
        <v>206</v>
      </c>
      <c r="D14" s="22" t="s">
        <v>697</v>
      </c>
      <c r="E14" s="13">
        <v>42713.173541666663</v>
      </c>
      <c r="F14" s="13">
        <v>42713.175034722219</v>
      </c>
      <c r="G14" s="7">
        <v>1</v>
      </c>
      <c r="H14" s="22" t="s">
        <v>228</v>
      </c>
      <c r="I14" s="13">
        <v>42713.202638888892</v>
      </c>
      <c r="J14" s="7">
        <v>0</v>
      </c>
      <c r="K14" s="109" t="str">
        <f t="shared" si="0"/>
        <v>4029/4030</v>
      </c>
      <c r="L14" s="22" t="str">
        <f>VLOOKUP(A14,'Trips&amp;Operators'!$C$1:$G$99999,5,FALSE)</f>
        <v>MAELZER KURT</v>
      </c>
      <c r="M14" s="6">
        <f t="shared" si="1"/>
        <v>2.7604166672972497E-2</v>
      </c>
      <c r="N14" s="7">
        <f>24*60*SUM($M14:$M14)</f>
        <v>39.750000009080395</v>
      </c>
      <c r="O14" s="7"/>
      <c r="P14" s="7"/>
      <c r="Q14" s="23"/>
      <c r="R14" s="23"/>
      <c r="S14" s="35">
        <f>SUM(U14:U14)/IF(AG14="EC",12,1)</f>
        <v>1</v>
      </c>
      <c r="T14" s="50" t="str">
        <f t="shared" si="2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03:09:54-700',mode:absolute,to:'2016-12-09 05:51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" s="52" t="str">
        <f t="shared" si="4"/>
        <v>N</v>
      </c>
      <c r="X14" s="177">
        <f t="shared" si="5"/>
        <v>1</v>
      </c>
      <c r="Y14" s="67">
        <f t="shared" si="6"/>
        <v>23.265599999999999</v>
      </c>
      <c r="Z14" s="67">
        <f>RIGHT(H14,LEN(H14)-4)/10000</f>
        <v>1.41E-2</v>
      </c>
      <c r="AA14" s="67">
        <f t="shared" si="7"/>
        <v>23.2515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8"/>
        <v>0102-09</v>
      </c>
      <c r="AE14" s="91" t="str">
        <f t="shared" si="9"/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AF14" s="88" t="str">
        <f t="shared" si="10"/>
        <v>"C:\Program Files (x86)\AstroGrep\AstroGrep.exe" /spath="%USERPROFILE%\AppData\Local\Temp\OnboardLogs" /stypes="app*4030*20161209*" /stext=" 11:.+((SYSTEM_STATE.+slice.+state.+changed )|(ment ac)|(multiple cpu faults)|(system.+state.+changed )|(\[timeout)|(PRM\|1\|D)|(kpr)|(kdp)|(\|lc)|(penalty))" /e /r /s</v>
      </c>
      <c r="AG14" s="1" t="str">
        <f t="shared" si="11"/>
        <v>EC</v>
      </c>
      <c r="AH14" s="92" t="str">
        <f t="shared" ref="AH14:AH77" si="1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102-09 --locoid 4030 --swversion DE.1.0.8.0 --startMP 204:232656 --initTime 2016-12-09T04:09:54 --startdatetime 2016-12-09T04:12:03 --delay 1 --endMP 204:141 --enddatetime 2016-12-09T04:51:48 --enforcementcount 0 &gt;&gt;C:\Users\stu\Documents\GitHub\eaglep3-reporting\EC\2016-12-09-refined-times.txt</v>
      </c>
      <c r="AI14" s="119" t="str">
        <f t="shared" ref="AI14:AI77" si="1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{"issue":{"subject":"","project_id":79,"tracker_id":40,"status_id":1,"priority_id":2,"assigned_to_id":23,"start_date":"2016-12-09","description":"","custom_fields":[{"id":1,"name":"Subdivision","value":"EC"},{"id":4,"name":"Milepost","value":"0.0141"},{"id":17,"name":"Train ID","value":"102-09"},{"id":16,"name":"Locomotive ID","value":"4030"},{"id":130,"name":"Impact","value":""},{"id":150,"name":"Time of Event (Mountain Time)","value":"04:51:48"},{"id":151,"name":"Denver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522</v>
      </c>
      <c r="B15" s="7">
        <v>4025</v>
      </c>
      <c r="C15" s="22" t="s">
        <v>206</v>
      </c>
      <c r="D15" s="22" t="s">
        <v>698</v>
      </c>
      <c r="E15" s="13">
        <v>42713.170532407406</v>
      </c>
      <c r="F15" s="13">
        <v>42713.171458333331</v>
      </c>
      <c r="G15" s="7">
        <v>1</v>
      </c>
      <c r="H15" s="22" t="s">
        <v>444</v>
      </c>
      <c r="I15" s="13">
        <v>42713.188703703701</v>
      </c>
      <c r="J15" s="7">
        <v>0</v>
      </c>
      <c r="K15" s="109" t="str">
        <f t="shared" si="0"/>
        <v>4025/4026</v>
      </c>
      <c r="L15" s="22" t="str">
        <f>VLOOKUP(A15,'Trips&amp;Operators'!$C$1:$G$99999,5,FALSE)</f>
        <v>DAVIS WENDY</v>
      </c>
      <c r="M15" s="6">
        <f t="shared" si="1"/>
        <v>1.7245370370801538E-2</v>
      </c>
      <c r="N15" s="7"/>
      <c r="O15" s="7"/>
      <c r="P15" s="7">
        <f>24*60*SUM($M15:$M16)</f>
        <v>37.683333330787718</v>
      </c>
      <c r="Q15" s="23"/>
      <c r="R15" s="23" t="s">
        <v>827</v>
      </c>
      <c r="S15" s="35">
        <f>SUM(U15:U16)/IF(AG15="EC",12,1)</f>
        <v>0.75</v>
      </c>
      <c r="T15" s="50" t="str">
        <f t="shared" si="2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3</v>
      </c>
      <c r="V1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03:05:34-700',mode:absolute,to:'2016-12-09 05:31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5" s="52" t="str">
        <f t="shared" si="4"/>
        <v>Y</v>
      </c>
      <c r="X15" s="177">
        <f t="shared" si="5"/>
        <v>1</v>
      </c>
      <c r="Y15" s="67">
        <f t="shared" si="6"/>
        <v>6.4793000000000003</v>
      </c>
      <c r="Z15" s="67">
        <f>RIGHT(H15,LEN(H15)-4)/10000</f>
        <v>23.330200000000001</v>
      </c>
      <c r="AA15" s="67">
        <f t="shared" si="7"/>
        <v>16.850900000000003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8"/>
        <v>0103-09</v>
      </c>
      <c r="AE15" s="91" t="str">
        <f t="shared" si="9"/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AF15" s="88" t="str">
        <f t="shared" si="10"/>
        <v>"C:\Program Files (x86)\AstroGrep\AstroGrep.exe" /spath="%USERPROFILE%\AppData\Local\Temp\OnboardLogs" /stypes="app*4025*20161209*" /stext=" 11:.+((SYSTEM_STATE.+slice.+state.+changed )|(ment ac)|(multiple cpu faults)|(system.+state.+changed )|(\[timeout)|(PRM\|1\|D)|(kpr)|(kdp)|(\|lc)|(penalty))" /e /r /s</v>
      </c>
      <c r="AG15" s="1" t="str">
        <f t="shared" si="11"/>
        <v>EC</v>
      </c>
      <c r="AH15" s="92" t="str">
        <f t="shared" si="14"/>
        <v>"%USERPROFILE%\Documents\GitHub\eaglep3\Utilities\RefineRTDCRunTimes.py" --tripid 103-09 --locoid 4025 --swversion DE.1.0.8.0 --startMP 204:64793 --initTime 2016-12-09T04:05:34 --startdatetime 2016-12-09T04:06:54 --delay 1 --endMP 204:233302 --enddatetime 2016-12-09T04:31:44 --enforcementcount 0 &gt;&gt;C:\Users\stu\Documents\GitHub\eaglep3-reporting\EC\2016-12-09-refined-times.txt</v>
      </c>
      <c r="AI15" s="119" t="str">
        <f t="shared" si="15"/>
        <v>echo {"issue":{"subject":"Wheel tach slip","project_id":79,"tracker_id":40,"status_id":1,"priority_id":2,"assigned_to_id":23,"start_date":"2016-12-09","description":"","custom_fields":[{"id":1,"name":"Subdivision","value":"EC"},{"id":4,"name":"Milepost","value":"23.3302"},{"id":17,"name":"Train ID","value":"103-09"},{"id":16,"name":"Locomotive ID","value":"4025"},{"id":130,"name":"Impact","value":""},{"id":150,"name":"Time of Event (Mountain Time)","value":"04:31:44"},{"id":151,"name":"Denver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522</v>
      </c>
      <c r="B16" s="7">
        <v>4025</v>
      </c>
      <c r="C16" s="22" t="s">
        <v>206</v>
      </c>
      <c r="D16" s="22" t="s">
        <v>699</v>
      </c>
      <c r="E16" s="13">
        <v>42713.156712962962</v>
      </c>
      <c r="F16" s="13">
        <v>42713.157997685186</v>
      </c>
      <c r="G16" s="7">
        <v>1</v>
      </c>
      <c r="H16" s="22" t="s">
        <v>444</v>
      </c>
      <c r="I16" s="13">
        <v>42713.166921296295</v>
      </c>
      <c r="J16" s="7">
        <v>0</v>
      </c>
      <c r="K16" s="109" t="str">
        <f t="shared" si="0"/>
        <v>4025/4026</v>
      </c>
      <c r="L16" s="22" t="str">
        <f>VLOOKUP(A16,'Trips&amp;Operators'!$C$1:$G$99999,5,FALSE)</f>
        <v>DAVIS WENDY</v>
      </c>
      <c r="M16" s="6">
        <f t="shared" si="1"/>
        <v>8.923611108912155E-3</v>
      </c>
      <c r="N16" s="7"/>
      <c r="O16" s="7"/>
      <c r="P16" s="7"/>
      <c r="Q16" s="23"/>
      <c r="R16" s="23"/>
      <c r="S16" s="35"/>
      <c r="T16" s="50" t="str">
        <f t="shared" si="2"/>
        <v>NorthBound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6</v>
      </c>
      <c r="V1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02:45:40-700',mode:absolute,to:'2016-12-09 05:00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6" s="52" t="str">
        <f t="shared" si="4"/>
        <v>Y</v>
      </c>
      <c r="X16" s="177">
        <f t="shared" si="5"/>
        <v>0</v>
      </c>
      <c r="Y16" s="67">
        <f t="shared" si="6"/>
        <v>7.5399999999999995E-2</v>
      </c>
      <c r="Z16" s="67">
        <v>5.72</v>
      </c>
      <c r="AA16" s="67">
        <f t="shared" si="7"/>
        <v>5.6445999999999996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8"/>
        <v>0103-09</v>
      </c>
      <c r="AE16" s="91" t="str">
        <f t="shared" si="9"/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AF16" s="88" t="str">
        <f t="shared" si="10"/>
        <v>"C:\Program Files (x86)\AstroGrep\AstroGrep.exe" /spath="%USERPROFILE%\AppData\Local\Temp\OnboardLogs" /stypes="app*4025*20161209*" /stext=" 11:.+((SYSTEM_STATE.+slice.+state.+changed )|(ment ac)|(multiple cpu faults)|(system.+state.+changed )|(\[timeout)|(PRM\|1\|D)|(kpr)|(kdp)|(\|lc)|(penalty))" /e /r /s</v>
      </c>
      <c r="AG16" s="1" t="str">
        <f t="shared" si="11"/>
        <v>EC</v>
      </c>
      <c r="AH16" s="92" t="str">
        <f t="shared" si="14"/>
        <v>"%USERPROFILE%\Documents\GitHub\eaglep3\Utilities\RefineRTDCRunTimes.py" --tripid 103-09 --locoid 4025 --swversion DE.1.0.8.0 --startMP 204:754 --initTime 2016-12-09T03:45:40 --startdatetime 2016-12-09T03:47:31 --delay 1 --endMP 204:233302 --enddatetime 2016-12-09T04:00:22 --enforcementcount 0 &gt;&gt;C:\Users\stu\Documents\GitHub\eaglep3-reporting\EC\2016-12-09-refined-times.txt</v>
      </c>
      <c r="AI16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{"issue":{"subject":"","project_id":79,"tracker_id":40,"status_id":1,"priority_id":2,"assigned_to_id":23,"start_date":"2016-12-09","description":"","custom_fields":[{"id":1,"name":"Subdivision","value":"EC"},{"id":4,"name":"Milepost","value":"5.72"},{"id":17,"name":"Train ID","value":"103-09"},{"id":16,"name":"Locomotive ID","value":"4025"},{"id":130,"name":"Impact","value":""},{"id":150,"name":"Time of Event (Mountain Time)","value":"04:00:22"},{"id":151,"name":"Denver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476</v>
      </c>
      <c r="B17" s="7">
        <v>4052</v>
      </c>
      <c r="C17" s="22" t="s">
        <v>206</v>
      </c>
      <c r="D17" s="22" t="s">
        <v>330</v>
      </c>
      <c r="E17" s="13">
        <v>42713.191759259258</v>
      </c>
      <c r="F17" s="13">
        <v>42713.195324074077</v>
      </c>
      <c r="G17" s="7">
        <v>1</v>
      </c>
      <c r="H17" s="22" t="s">
        <v>418</v>
      </c>
      <c r="I17" s="13">
        <v>42713.2265625</v>
      </c>
      <c r="J17" s="7">
        <v>0</v>
      </c>
      <c r="K17" s="109" t="str">
        <f t="shared" si="0"/>
        <v>4051/4052</v>
      </c>
      <c r="L17" s="22" t="str">
        <f>VLOOKUP(A17,'Trips&amp;Operators'!$C$1:$G$99999,5,FALSE)</f>
        <v>DAVIS WENDY</v>
      </c>
      <c r="M17" s="6">
        <f t="shared" si="1"/>
        <v>3.1238425923220348E-2</v>
      </c>
      <c r="N17" s="7">
        <f>24*60*SUM($M17:$M17)</f>
        <v>44.983333329437301</v>
      </c>
      <c r="O17" s="7"/>
      <c r="P17" s="7"/>
      <c r="Q17" s="23"/>
      <c r="R17" s="23"/>
      <c r="S17" s="35">
        <f>SUM(U17:U17)/IF(AG17="EC",12,1)</f>
        <v>1</v>
      </c>
      <c r="T17" s="50" t="str">
        <f t="shared" si="2"/>
        <v>Southbound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03:36:08-700',mode:absolute,to:'2016-12-09 06:26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7" s="52" t="str">
        <f t="shared" si="4"/>
        <v>N</v>
      </c>
      <c r="X17" s="177">
        <f t="shared" si="5"/>
        <v>1</v>
      </c>
      <c r="Y17" s="67">
        <f t="shared" si="6"/>
        <v>23.267499999999998</v>
      </c>
      <c r="Z17" s="67">
        <f t="shared" ref="Z17:Z53" si="16">RIGHT(H17,LEN(H17)-4)/10000</f>
        <v>1.34E-2</v>
      </c>
      <c r="AA17" s="67">
        <f t="shared" si="7"/>
        <v>23.254099999999998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8"/>
        <v>0104-09</v>
      </c>
      <c r="AE17" s="91" t="str">
        <f t="shared" si="9"/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AF17" s="88" t="str">
        <f t="shared" si="10"/>
        <v>"C:\Program Files (x86)\AstroGrep\AstroGrep.exe" /spath="%USERPROFILE%\AppData\Local\Temp\OnboardLogs" /stypes="app*4052*20161209*" /stext=" 12:.+((SYSTEM_STATE.+slice.+state.+changed )|(ment ac)|(multiple cpu faults)|(system.+state.+changed )|(\[timeout)|(PRM\|1\|D)|(kpr)|(kdp)|(\|lc)|(penalty))" /e /r /s</v>
      </c>
      <c r="AG17" s="1" t="str">
        <f t="shared" si="11"/>
        <v>EC</v>
      </c>
      <c r="AH17" s="92" t="str">
        <f t="shared" si="14"/>
        <v>"%USERPROFILE%\Documents\GitHub\eaglep3\Utilities\RefineRTDCRunTimes.py" --tripid 104-09 --locoid 4052 --swversion DE.1.0.8.0 --startMP 204:232675 --initTime 2016-12-09T04:36:08 --startdatetime 2016-12-09T04:41:16 --delay 1 --endMP 204:134 --enddatetime 2016-12-09T05:26:15 --enforcementcount 0 &gt;&gt;C:\Users\stu\Documents\GitHub\eaglep3-reporting\EC\2016-12-09-refined-times.txt</v>
      </c>
      <c r="AI17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{"issue":{"subject":"","project_id":79,"tracker_id":40,"status_id":1,"priority_id":2,"assigned_to_id":23,"start_date":"2016-12-09","description":"","custom_fields":[{"id":1,"name":"Subdivision","value":"EC"},{"id":4,"name":"Milepost","value":"0.0134"},{"id":17,"name":"Train ID","value":"104-09"},{"id":16,"name":"Locomotive ID","value":"4052"},{"id":130,"name":"Impact","value":""},{"id":150,"name":"Time of Event (Mountain Time)","value":"05:26:15"},{"id":151,"name":"Denver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525</v>
      </c>
      <c r="B18" s="7">
        <v>4002</v>
      </c>
      <c r="C18" s="22" t="s">
        <v>206</v>
      </c>
      <c r="D18" s="22" t="s">
        <v>700</v>
      </c>
      <c r="E18" s="13">
        <v>42713.176412037035</v>
      </c>
      <c r="F18" s="13">
        <v>42713.177731481483</v>
      </c>
      <c r="G18" s="7">
        <v>1</v>
      </c>
      <c r="H18" s="22" t="s">
        <v>701</v>
      </c>
      <c r="I18" s="13">
        <v>42713.204444444447</v>
      </c>
      <c r="J18" s="7">
        <v>0</v>
      </c>
      <c r="K18" s="109" t="str">
        <f t="shared" si="0"/>
        <v>4001/4002</v>
      </c>
      <c r="L18" s="22" t="str">
        <f>VLOOKUP(A18,'Trips&amp;Operators'!$C$1:$G$99999,5,FALSE)</f>
        <v>ROBINSON KADDIBA</v>
      </c>
      <c r="M18" s="6">
        <f t="shared" si="1"/>
        <v>2.6712962964666076E-2</v>
      </c>
      <c r="N18" s="7">
        <f>24*60*SUM($M18:$M18)</f>
        <v>38.466666669119149</v>
      </c>
      <c r="O18" s="7"/>
      <c r="P18" s="7"/>
      <c r="Q18" s="23"/>
      <c r="R18" s="23"/>
      <c r="S18" s="35">
        <f>SUM(U18:U18)/IF(AG18="EC",12,1)</f>
        <v>1</v>
      </c>
      <c r="T18" s="50" t="str">
        <f t="shared" si="2"/>
        <v>NorthBound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03:14:02-700',mode:absolute,to:'2016-12-09 05:54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8" s="52" t="str">
        <f t="shared" si="4"/>
        <v>N</v>
      </c>
      <c r="X18" s="177">
        <f t="shared" si="5"/>
        <v>1</v>
      </c>
      <c r="Y18" s="67">
        <f t="shared" si="6"/>
        <v>7.2400000000000006E-2</v>
      </c>
      <c r="Z18" s="67">
        <f t="shared" si="16"/>
        <v>23.339099999999998</v>
      </c>
      <c r="AA18" s="67">
        <f t="shared" si="7"/>
        <v>23.2667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8"/>
        <v>0105-09</v>
      </c>
      <c r="AE18" s="91" t="str">
        <f t="shared" si="9"/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AF18" s="88" t="str">
        <f t="shared" si="10"/>
        <v>"C:\Program Files (x86)\AstroGrep\AstroGrep.exe" /spath="%USERPROFILE%\AppData\Local\Temp\OnboardLogs" /stypes="app*4002*20161209*" /stext=" 11:.+((SYSTEM_STATE.+slice.+state.+changed )|(ment ac)|(multiple cpu faults)|(system.+state.+changed )|(\[timeout)|(PRM\|1\|D)|(kpr)|(kdp)|(\|lc)|(penalty))" /e /r /s</v>
      </c>
      <c r="AG18" s="1" t="str">
        <f t="shared" si="11"/>
        <v>EC</v>
      </c>
      <c r="AH18" s="92" t="str">
        <f t="shared" si="14"/>
        <v>"%USERPROFILE%\Documents\GitHub\eaglep3\Utilities\RefineRTDCRunTimes.py" --tripid 105-09 --locoid 4002 --swversion DE.1.0.8.0 --startMP 204:724 --initTime 2016-12-09T04:14:02 --startdatetime 2016-12-09T04:15:56 --delay 1 --endMP 204:233391 --enddatetime 2016-12-09T04:54:24 --enforcementcount 0 &gt;&gt;C:\Users\stu\Documents\GitHub\eaglep3-reporting\EC\2016-12-09-refined-times.txt</v>
      </c>
      <c r="AI18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{"issue":{"subject":"","project_id":79,"tracker_id":40,"status_id":1,"priority_id":2,"assigned_to_id":23,"start_date":"2016-12-09","description":"","custom_fields":[{"id":1,"name":"Subdivision","value":"EC"},{"id":4,"name":"Milepost","value":"23.3391"},{"id":17,"name":"Train ID","value":"105-09"},{"id":16,"name":"Locomotive ID","value":"4002"},{"id":130,"name":"Impact","value":""},{"id":150,"name":"Time of Event (Mountain Time)","value":"04:54:24"},{"id":151,"name":"Denver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529</v>
      </c>
      <c r="B19" s="7">
        <v>4021</v>
      </c>
      <c r="C19" s="22" t="s">
        <v>206</v>
      </c>
      <c r="D19" s="22" t="s">
        <v>702</v>
      </c>
      <c r="E19" s="13">
        <v>42713.20820601852</v>
      </c>
      <c r="F19" s="13">
        <v>42713.216157407405</v>
      </c>
      <c r="G19" s="7">
        <v>1</v>
      </c>
      <c r="H19" s="22" t="s">
        <v>462</v>
      </c>
      <c r="I19" s="13">
        <v>42713.245613425926</v>
      </c>
      <c r="J19" s="7">
        <v>0</v>
      </c>
      <c r="K19" s="109" t="str">
        <f t="shared" si="0"/>
        <v>4021/4022</v>
      </c>
      <c r="L19" s="22" t="str">
        <f>VLOOKUP(A19,'Trips&amp;Operators'!$C$1:$G$99999,5,FALSE)</f>
        <v>ROBINSON KADDIBA</v>
      </c>
      <c r="M19" s="6">
        <f t="shared" si="1"/>
        <v>2.9456018521159422E-2</v>
      </c>
      <c r="N19" s="7">
        <f>24*60*SUM($M19:$M19)</f>
        <v>42.416666670469567</v>
      </c>
      <c r="O19" s="7"/>
      <c r="P19" s="7"/>
      <c r="Q19" s="23"/>
      <c r="R19" s="23"/>
      <c r="S19" s="35">
        <f>SUM(U19:U19)/IF(AG19="EC",12,1)</f>
        <v>1</v>
      </c>
      <c r="T19" s="50" t="str">
        <f t="shared" si="2"/>
        <v>Southbound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03:59:49-700',mode:absolute,to:'2016-12-09 06:53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9" s="52" t="str">
        <f t="shared" si="4"/>
        <v>N</v>
      </c>
      <c r="X19" s="177">
        <f t="shared" si="5"/>
        <v>1</v>
      </c>
      <c r="Y19" s="67">
        <f t="shared" si="6"/>
        <v>23.272600000000001</v>
      </c>
      <c r="Z19" s="67">
        <f t="shared" si="16"/>
        <v>1.1900000000000001E-2</v>
      </c>
      <c r="AA19" s="67">
        <f t="shared" si="7"/>
        <v>23.2607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8"/>
        <v>0106-09</v>
      </c>
      <c r="AE19" s="91" t="str">
        <f t="shared" si="9"/>
        <v>aws s3 cp s3://rtdc.mdm.uploadarchive.raw/RTDC4021/ "%USERPROFILE%\AppData\Local\Temp\OnboardLogs"\RTDC4021\2016-12-09 --exclude "*" --recursive --include "*20161209*" &amp; "%USERPROFILE%\Documents\GitHub\mrs-test-scripts\Headless Mode &amp; Sideloading\WalkAndUnGZ.bat" "%USERPROFILE%\AppData\Local\Temp\OnboardLogs"\RTDC4021\2016-12-09 &amp; aws s3 cp s3://rtdc.mdm.uploadarchive.raw/RTDC4021/ "%USERPROFILE%\AppData\Local\Temp\OnboardLogs"\RTDC4021\2016-12-10 --exclude "*" --recursive --include "*20161210*" &amp; "%USERPROFILE%\Documents\GitHub\mrs-test-scripts\Headless Mode &amp; Sideloading\WalkAndUnGZ.bat" "%USERPROFILE%\AppData\Local\Temp\OnboardLogs"\RTDC4021\2016-12-10</v>
      </c>
      <c r="AF19" s="88" t="str">
        <f t="shared" si="10"/>
        <v>"C:\Program Files (x86)\AstroGrep\AstroGrep.exe" /spath="%USERPROFILE%\AppData\Local\Temp\OnboardLogs" /stypes="app*4021*20161209*" /stext=" 12:.+((SYSTEM_STATE.+slice.+state.+changed )|(ment ac)|(multiple cpu faults)|(system.+state.+changed )|(\[timeout)|(PRM\|1\|D)|(kpr)|(kdp)|(\|lc)|(penalty))" /e /r /s</v>
      </c>
      <c r="AG19" s="1" t="str">
        <f t="shared" si="11"/>
        <v>EC</v>
      </c>
      <c r="AH19" s="92" t="str">
        <f t="shared" si="14"/>
        <v>"%USERPROFILE%\Documents\GitHub\eaglep3\Utilities\RefineRTDCRunTimes.py" --tripid 106-09 --locoid 4021 --swversion DE.1.0.8.0 --startMP 204:232726 --initTime 2016-12-09T04:59:49 --startdatetime 2016-12-09T05:11:16 --delay 1 --endMP 204:119 --enddatetime 2016-12-09T05:53:41 --enforcementcount 0 &gt;&gt;C:\Users\stu\Documents\GitHub\eaglep3-reporting\EC\2016-12-09-refined-times.txt</v>
      </c>
      <c r="AI19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{"issue":{"subject":"","project_id":79,"tracker_id":40,"status_id":1,"priority_id":2,"assigned_to_id":23,"start_date":"2016-12-09","description":"","custom_fields":[{"id":1,"name":"Subdivision","value":"EC"},{"id":4,"name":"Milepost","value":"0.0119"},{"id":17,"name":"Train ID","value":"106-09"},{"id":16,"name":"Locomotive ID","value":"4021"},{"id":130,"name":"Impact","value":""},{"id":150,"name":"Time of Event (Mountain Time)","value":"05:53:41"},{"id":151,"name":"Denver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474</v>
      </c>
      <c r="B20" s="7">
        <v>4011</v>
      </c>
      <c r="C20" s="22" t="s">
        <v>206</v>
      </c>
      <c r="D20" s="22" t="s">
        <v>703</v>
      </c>
      <c r="E20" s="13">
        <v>42713.191828703704</v>
      </c>
      <c r="F20" s="13">
        <v>42713.192685185182</v>
      </c>
      <c r="G20" s="7">
        <v>0</v>
      </c>
      <c r="H20" s="22" t="s">
        <v>374</v>
      </c>
      <c r="I20" s="13">
        <v>42713.214837962965</v>
      </c>
      <c r="J20" s="7">
        <v>0</v>
      </c>
      <c r="K20" s="109" t="str">
        <f t="shared" si="0"/>
        <v>4011/4012</v>
      </c>
      <c r="L20" s="22" t="str">
        <f>VLOOKUP(A20,'Trips&amp;Operators'!$C$1:$G$99999,5,FALSE)</f>
        <v>SANTIZO D. EDY</v>
      </c>
      <c r="M20" s="6">
        <f t="shared" si="1"/>
        <v>2.2152777783048805E-2</v>
      </c>
      <c r="N20" s="7"/>
      <c r="O20" s="7"/>
      <c r="P20" s="7">
        <f>24*60*SUM($M20:$M20)</f>
        <v>31.900000007590279</v>
      </c>
      <c r="Q20" s="23"/>
      <c r="R20" s="23" t="s">
        <v>828</v>
      </c>
      <c r="S20" s="35">
        <f>SUM(U20:U20)/IF(AG20="EC",12,1)</f>
        <v>1</v>
      </c>
      <c r="T20" s="50" t="str">
        <f t="shared" si="2"/>
        <v>NorthBound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03:36:14-700',mode:absolute,to:'2016-12-09 06:09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0" s="52" t="str">
        <f t="shared" si="4"/>
        <v>Y</v>
      </c>
      <c r="X20" s="177">
        <f t="shared" si="5"/>
        <v>1</v>
      </c>
      <c r="Y20" s="67">
        <f t="shared" si="6"/>
        <v>1.9185000000000001</v>
      </c>
      <c r="Z20" s="67">
        <f t="shared" si="16"/>
        <v>23.331099999999999</v>
      </c>
      <c r="AA20" s="67">
        <f t="shared" si="7"/>
        <v>21.412599999999998</v>
      </c>
      <c r="AB20" s="64" t="str">
        <f>VLOOKUP(A20,Enforcements!$C$7:$K$20,8,0)</f>
        <v>Signal based authority (5)</v>
      </c>
      <c r="AC20" s="60" t="str">
        <f>VLOOKUP(A20,Enforcements!$C$7:$E$20,3,0)</f>
        <v>SIGNAL</v>
      </c>
      <c r="AD20" s="61" t="str">
        <f t="shared" si="8"/>
        <v>0107-09</v>
      </c>
      <c r="AE20" s="91" t="str">
        <f t="shared" si="9"/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AF20" s="88" t="str">
        <f t="shared" si="10"/>
        <v>"C:\Program Files (x86)\AstroGrep\AstroGrep.exe" /spath="%USERPROFILE%\AppData\Local\Temp\OnboardLogs" /stypes="app*4011*20161209*" /stext=" 12:.+((SYSTEM_STATE.+slice.+state.+changed )|(ment ac)|(multiple cpu faults)|(system.+state.+changed )|(\[timeout)|(PRM\|1\|D)|(kpr)|(kdp)|(\|lc)|(penalty))" /e /r /s</v>
      </c>
      <c r="AG20" s="1" t="str">
        <f t="shared" si="11"/>
        <v>EC</v>
      </c>
      <c r="AH20" s="92" t="str">
        <f t="shared" si="14"/>
        <v>"%USERPROFILE%\Documents\GitHub\eaglep3\Utilities\RefineRTDCRunTimes.py" --tripid 107-09 --locoid 4011 --swversion DE.1.0.8.0 --startMP 204:19185 --initTime 2016-12-09T04:36:14 --startdatetime 2016-12-09T04:37:28 --delay 0 --endMP 204:233311 --enddatetime 2016-12-09T05:09:22 --enforcementcount 0 &gt;&gt;C:\Users\stu\Documents\GitHub\eaglep3-reporting\EC\2016-12-09-refined-times.txt</v>
      </c>
      <c r="AI20" s="119" t="str">
        <f t="shared" si="15"/>
        <v>echo {"issue":{"subject":"DUS 2N/20N STOP","project_id":79,"tracker_id":40,"status_id":1,"priority_id":2,"assigned_to_id":23,"start_date":"2016-12-09","description":"","custom_fields":[{"id":1,"name":"Subdivision","value":"EC"},{"id":4,"name":"Milepost","value":"23.3311"},{"id":17,"name":"Train ID","value":"107-09"},{"id":16,"name":"Locomotive ID","value":"4011"},{"id":130,"name":"Impact","value":""},{"id":150,"name":"Time of Event (Mountain Time)","value":"05:09:22"},{"id":151,"name":"Denver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474</v>
      </c>
      <c r="B21" s="7">
        <v>4011</v>
      </c>
      <c r="C21" s="22" t="s">
        <v>206</v>
      </c>
      <c r="D21" s="22" t="s">
        <v>704</v>
      </c>
      <c r="E21" s="13">
        <v>42713.184166666666</v>
      </c>
      <c r="F21" s="13">
        <v>42713.192685185182</v>
      </c>
      <c r="G21" s="7">
        <v>1</v>
      </c>
      <c r="H21" s="22" t="s">
        <v>705</v>
      </c>
      <c r="I21" s="13">
        <v>42713.214837962965</v>
      </c>
      <c r="J21" s="7">
        <v>0</v>
      </c>
      <c r="K21" s="109" t="str">
        <f t="shared" si="0"/>
        <v>4011/4012</v>
      </c>
      <c r="L21" s="22" t="str">
        <f>VLOOKUP(A21,'Trips&amp;Operators'!$C$1:$G$99999,5,FALSE)</f>
        <v>SANTIZO D. EDY</v>
      </c>
      <c r="M21" s="6">
        <f t="shared" si="1"/>
        <v>2.2152777783048805E-2</v>
      </c>
      <c r="N21" s="7"/>
      <c r="O21" s="7"/>
      <c r="P21" s="7"/>
      <c r="Q21" s="23"/>
      <c r="R21" s="23"/>
      <c r="S21" s="35"/>
      <c r="T21" s="50" t="str">
        <f t="shared" si="2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0</v>
      </c>
      <c r="V2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03:25:12-700',mode:absolute,to:'2016-12-09 06:09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" s="52" t="str">
        <f t="shared" si="4"/>
        <v>Y</v>
      </c>
      <c r="X21" s="177">
        <f t="shared" si="5"/>
        <v>0</v>
      </c>
      <c r="Y21" s="67">
        <f t="shared" si="6"/>
        <v>3.7600000000000001E-2</v>
      </c>
      <c r="Z21" s="67">
        <f t="shared" si="16"/>
        <v>0.1045</v>
      </c>
      <c r="AA21" s="67">
        <f t="shared" si="7"/>
        <v>6.6899999999999987E-2</v>
      </c>
      <c r="AB21" s="64" t="str">
        <f>VLOOKUP(A21,Enforcements!$C$7:$K$20,8,0)</f>
        <v>Signal based authority (5)</v>
      </c>
      <c r="AC21" s="60" t="str">
        <f>VLOOKUP(A21,Enforcements!$C$7:$E$20,3,0)</f>
        <v>SIGNAL</v>
      </c>
      <c r="AD21" s="61" t="str">
        <f t="shared" si="8"/>
        <v>0107-09</v>
      </c>
      <c r="AE21" s="91" t="str">
        <f t="shared" si="9"/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AF21" s="88" t="str">
        <f t="shared" si="10"/>
        <v>"C:\Program Files (x86)\AstroGrep\AstroGrep.exe" /spath="%USERPROFILE%\AppData\Local\Temp\OnboardLogs" /stypes="app*4011*20161209*" /stext=" 12:.+((SYSTEM_STATE.+slice.+state.+changed )|(ment ac)|(multiple cpu faults)|(system.+state.+changed )|(\[timeout)|(PRM\|1\|D)|(kpr)|(kdp)|(\|lc)|(penalty))" /e /r /s</v>
      </c>
      <c r="AG21" s="1" t="str">
        <f t="shared" si="11"/>
        <v>EC</v>
      </c>
      <c r="AH21" s="92" t="str">
        <f t="shared" si="14"/>
        <v>"%USERPROFILE%\Documents\GitHub\eaglep3\Utilities\RefineRTDCRunTimes.py" --tripid 107-09 --locoid 4011 --swversion DE.1.0.8.0 --startMP 204:376 --initTime 2016-12-09T04:25:12 --startdatetime 2016-12-09T04:37:28 --delay 1 --endMP 204:1045 --enddatetime 2016-12-09T05:09:22 --enforcementcount 0 &gt;&gt;C:\Users\stu\Documents\GitHub\eaglep3-reporting\EC\2016-12-09-refined-times.txt</v>
      </c>
      <c r="AI21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{"issue":{"subject":"","project_id":79,"tracker_id":40,"status_id":1,"priority_id":2,"assigned_to_id":23,"start_date":"2016-12-09","description":"","custom_fields":[{"id":1,"name":"Subdivision","value":"EC"},{"id":4,"name":"Milepost","value":"0.1045"},{"id":17,"name":"Train ID","value":"107-09"},{"id":16,"name":"Locomotive ID","value":"4011"},{"id":130,"name":"Impact","value":""},{"id":150,"name":"Time of Event (Mountain Time)","value":"05:09:22"},{"id":151,"name":"Denver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530</v>
      </c>
      <c r="B22" s="7">
        <v>4012</v>
      </c>
      <c r="C22" s="22" t="s">
        <v>206</v>
      </c>
      <c r="D22" s="22" t="s">
        <v>706</v>
      </c>
      <c r="E22" s="13">
        <v>42713.216747685183</v>
      </c>
      <c r="F22" s="13">
        <v>42713.226689814815</v>
      </c>
      <c r="G22" s="7">
        <v>1</v>
      </c>
      <c r="H22" s="22" t="s">
        <v>334</v>
      </c>
      <c r="I22" s="13">
        <v>42713.255983796298</v>
      </c>
      <c r="J22" s="7">
        <v>0</v>
      </c>
      <c r="K22" s="109" t="str">
        <f t="shared" si="0"/>
        <v>4011/4012</v>
      </c>
      <c r="L22" s="22" t="str">
        <f>VLOOKUP(A22,'Trips&amp;Operators'!$C$1:$G$99999,5,FALSE)</f>
        <v>SANTIZO D. EDY</v>
      </c>
      <c r="M22" s="6">
        <f t="shared" si="1"/>
        <v>2.9293981482624076E-2</v>
      </c>
      <c r="N22" s="7">
        <f t="shared" ref="N22:N53" si="17">24*60*SUM($M22:$M22)</f>
        <v>42.18333333497867</v>
      </c>
      <c r="O22" s="7"/>
      <c r="P22" s="7"/>
      <c r="Q22" s="23"/>
      <c r="R22" s="23"/>
      <c r="S22" s="35">
        <f t="shared" ref="S22:S53" si="18">SUM(U22:U22)/IF(AG22="EC",12,1)</f>
        <v>1</v>
      </c>
      <c r="T22" s="50" t="str">
        <f t="shared" si="2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04:12:07-700',mode:absolute,to:'2016-12-09 07:08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" s="52" t="str">
        <f t="shared" si="4"/>
        <v>N</v>
      </c>
      <c r="X22" s="177">
        <f t="shared" si="5"/>
        <v>1</v>
      </c>
      <c r="Y22" s="67">
        <f t="shared" si="6"/>
        <v>23.300699999999999</v>
      </c>
      <c r="Z22" s="67">
        <f t="shared" si="16"/>
        <v>1.3899999999999999E-2</v>
      </c>
      <c r="AA22" s="67">
        <f t="shared" si="7"/>
        <v>23.286799999999999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8"/>
        <v>0108-09</v>
      </c>
      <c r="AE22" s="91" t="str">
        <f t="shared" si="9"/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AF22" s="88" t="str">
        <f t="shared" si="10"/>
        <v>"C:\Program Files (x86)\AstroGrep\AstroGrep.exe" /spath="%USERPROFILE%\AppData\Local\Temp\OnboardLogs" /stypes="app*4012*20161209*" /stext=" 13:.+((SYSTEM_STATE.+slice.+state.+changed )|(ment ac)|(multiple cpu faults)|(system.+state.+changed )|(\[timeout)|(PRM\|1\|D)|(kpr)|(kdp)|(\|lc)|(penalty))" /e /r /s</v>
      </c>
      <c r="AG22" s="1" t="str">
        <f t="shared" si="11"/>
        <v>EC</v>
      </c>
      <c r="AH22" s="92" t="str">
        <f t="shared" si="14"/>
        <v>"%USERPROFILE%\Documents\GitHub\eaglep3\Utilities\RefineRTDCRunTimes.py" --tripid 108-09 --locoid 4012 --swversion DE.1.0.8.0 --startMP 204:233007 --initTime 2016-12-09T05:12:07 --startdatetime 2016-12-09T05:26:26 --delay 1 --endMP 204:139 --enddatetime 2016-12-09T06:08:37 --enforcementcount 0 &gt;&gt;C:\Users\stu\Documents\GitHub\eaglep3-reporting\EC\2016-12-09-refined-times.txt</v>
      </c>
      <c r="AI22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{"issue":{"subject":"","project_id":79,"tracker_id":40,"status_id":1,"priority_id":2,"assigned_to_id":23,"start_date":"2016-12-09","description":"","custom_fields":[{"id":1,"name":"Subdivision","value":"EC"},{"id":4,"name":"Milepost","value":"0.0139"},{"id":17,"name":"Train ID","value":"108-09"},{"id":16,"name":"Locomotive ID","value":"4012"},{"id":130,"name":"Impact","value":""},{"id":150,"name":"Time of Event (Mountain Time)","value":"06:08:37"},{"id":151,"name":"Denver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477</v>
      </c>
      <c r="B23" s="7">
        <v>4016</v>
      </c>
      <c r="C23" s="22" t="s">
        <v>206</v>
      </c>
      <c r="D23" s="22" t="s">
        <v>286</v>
      </c>
      <c r="E23" s="13">
        <v>42713.196458333332</v>
      </c>
      <c r="F23" s="13">
        <v>42713.198101851849</v>
      </c>
      <c r="G23" s="7">
        <v>1</v>
      </c>
      <c r="H23" s="22" t="s">
        <v>292</v>
      </c>
      <c r="I23" s="13">
        <v>42713.22216435185</v>
      </c>
      <c r="J23" s="7">
        <v>0</v>
      </c>
      <c r="K23" s="109" t="str">
        <f t="shared" si="0"/>
        <v>4015/4016</v>
      </c>
      <c r="L23" s="22" t="str">
        <f>VLOOKUP(A23,'Trips&amp;Operators'!$C$1:$G$99999,5,FALSE)</f>
        <v>MAGEE KENYA</v>
      </c>
      <c r="M23" s="6">
        <f t="shared" si="1"/>
        <v>2.4062500000582077E-2</v>
      </c>
      <c r="N23" s="7">
        <f t="shared" si="17"/>
        <v>34.65000000083819</v>
      </c>
      <c r="O23" s="7"/>
      <c r="P23" s="7"/>
      <c r="Q23" s="23"/>
      <c r="R23" s="23"/>
      <c r="S23" s="35">
        <f t="shared" si="18"/>
        <v>1</v>
      </c>
      <c r="T23" s="50" t="str">
        <f t="shared" si="2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03:42:54-700',mode:absolute,to:'2016-12-09 06:19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3" s="52" t="str">
        <f t="shared" si="4"/>
        <v>N</v>
      </c>
      <c r="X23" s="177">
        <f t="shared" si="5"/>
        <v>1</v>
      </c>
      <c r="Y23" s="67">
        <f t="shared" si="6"/>
        <v>4.6899999999999997E-2</v>
      </c>
      <c r="Z23" s="67">
        <f t="shared" si="16"/>
        <v>23.3291</v>
      </c>
      <c r="AA23" s="67">
        <f t="shared" si="7"/>
        <v>23.2822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8"/>
        <v>0109-09</v>
      </c>
      <c r="AE23" s="91" t="str">
        <f t="shared" si="9"/>
        <v>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 &amp; 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</v>
      </c>
      <c r="AF23" s="88" t="str">
        <f t="shared" si="10"/>
        <v>"C:\Program Files (x86)\AstroGrep\AstroGrep.exe" /spath="%USERPROFILE%\AppData\Local\Temp\OnboardLogs" /stypes="app*4016*20161209*" /stext=" 12:.+((SYSTEM_STATE.+slice.+state.+changed )|(ment ac)|(multiple cpu faults)|(system.+state.+changed )|(\[timeout)|(PRM\|1\|D)|(kpr)|(kdp)|(\|lc)|(penalty))" /e /r /s</v>
      </c>
      <c r="AG23" s="1" t="str">
        <f t="shared" si="11"/>
        <v>EC</v>
      </c>
      <c r="AH23" s="92" t="str">
        <f t="shared" si="14"/>
        <v>"%USERPROFILE%\Documents\GitHub\eaglep3\Utilities\RefineRTDCRunTimes.py" --tripid 109-09 --locoid 4016 --swversion DE.1.0.8.0 --startMP 204:469 --initTime 2016-12-09T04:42:54 --startdatetime 2016-12-09T04:45:16 --delay 1 --endMP 204:233291 --enddatetime 2016-12-09T05:19:55 --enforcementcount 0 &gt;&gt;C:\Users\stu\Documents\GitHub\eaglep3-reporting\EC\2016-12-09-refined-times.txt</v>
      </c>
      <c r="AI23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{"issue":{"subject":"","project_id":79,"tracker_id":40,"status_id":1,"priority_id":2,"assigned_to_id":23,"start_date":"2016-12-09","description":"","custom_fields":[{"id":1,"name":"Subdivision","value":"EC"},{"id":4,"name":"Milepost","value":"23.3291"},{"id":17,"name":"Train ID","value":"109-09"},{"id":16,"name":"Locomotive ID","value":"4016"},{"id":130,"name":"Impact","value":""},{"id":150,"name":"Time of Event (Mountain Time)","value":"05:19:55"},{"id":151,"name":"Denver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535</v>
      </c>
      <c r="B24" s="7">
        <v>4015</v>
      </c>
      <c r="C24" s="22" t="s">
        <v>206</v>
      </c>
      <c r="D24" s="22" t="s">
        <v>440</v>
      </c>
      <c r="E24" s="13">
        <v>42713.234733796293</v>
      </c>
      <c r="F24" s="13">
        <v>42713.237002314818</v>
      </c>
      <c r="G24" s="7">
        <v>1</v>
      </c>
      <c r="H24" s="22" t="s">
        <v>293</v>
      </c>
      <c r="I24" s="13">
        <v>42713.265590277777</v>
      </c>
      <c r="J24" s="7">
        <v>0</v>
      </c>
      <c r="K24" s="109" t="str">
        <f t="shared" si="0"/>
        <v>4015/4016</v>
      </c>
      <c r="L24" s="22" t="str">
        <f>VLOOKUP(A24,'Trips&amp;Operators'!$C$1:$G$99999,5,FALSE)</f>
        <v>MAGEE KENYA</v>
      </c>
      <c r="M24" s="6">
        <f t="shared" si="1"/>
        <v>2.8587962959136348E-2</v>
      </c>
      <c r="N24" s="7">
        <f t="shared" si="17"/>
        <v>41.166666661156341</v>
      </c>
      <c r="O24" s="7"/>
      <c r="P24" s="7"/>
      <c r="Q24" s="23"/>
      <c r="R24" s="23"/>
      <c r="S24" s="35">
        <f t="shared" si="18"/>
        <v>1</v>
      </c>
      <c r="T24" s="50" t="str">
        <f t="shared" si="2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04:38:01-700',mode:absolute,to:'2016-12-09 07:22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4" s="52" t="str">
        <f t="shared" si="4"/>
        <v>N</v>
      </c>
      <c r="X24" s="177">
        <f t="shared" si="5"/>
        <v>1</v>
      </c>
      <c r="Y24" s="67">
        <f t="shared" si="6"/>
        <v>23.297699999999999</v>
      </c>
      <c r="Z24" s="67">
        <f t="shared" si="16"/>
        <v>1.52E-2</v>
      </c>
      <c r="AA24" s="67">
        <f t="shared" si="7"/>
        <v>23.282499999999999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8"/>
        <v>0110-09</v>
      </c>
      <c r="AE24" s="91" t="str">
        <f t="shared" si="9"/>
        <v>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 &amp; 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</v>
      </c>
      <c r="AF24" s="88" t="str">
        <f t="shared" si="10"/>
        <v>"C:\Program Files (x86)\AstroGrep\AstroGrep.exe" /spath="%USERPROFILE%\AppData\Local\Temp\OnboardLogs" /stypes="app*4015*20161209*" /stext=" 13:.+((SYSTEM_STATE.+slice.+state.+changed )|(ment ac)|(multiple cpu faults)|(system.+state.+changed )|(\[timeout)|(PRM\|1\|D)|(kpr)|(kdp)|(\|lc)|(penalty))" /e /r /s</v>
      </c>
      <c r="AG24" s="1" t="str">
        <f t="shared" si="11"/>
        <v>EC</v>
      </c>
      <c r="AH24" s="92" t="str">
        <f t="shared" si="14"/>
        <v>"%USERPROFILE%\Documents\GitHub\eaglep3\Utilities\RefineRTDCRunTimes.py" --tripid 110-09 --locoid 4015 --swversion DE.1.0.8.0 --startMP 204:232977 --initTime 2016-12-09T05:38:01 --startdatetime 2016-12-09T05:41:17 --delay 1 --endMP 204:152 --enddatetime 2016-12-09T06:22:27 --enforcementcount 0 &gt;&gt;C:\Users\stu\Documents\GitHub\eaglep3-reporting\EC\2016-12-09-refined-times.txt</v>
      </c>
      <c r="AI24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{"issue":{"subject":"","project_id":79,"tracker_id":40,"status_id":1,"priority_id":2,"assigned_to_id":23,"start_date":"2016-12-09","description":"","custom_fields":[{"id":1,"name":"Subdivision","value":"EC"},{"id":4,"name":"Milepost","value":"0.0152"},{"id":17,"name":"Train ID","value":"110-09"},{"id":16,"name":"Locomotive ID","value":"4015"},{"id":130,"name":"Impact","value":""},{"id":150,"name":"Time of Event (Mountain Time)","value":"06:22:27"},{"id":151,"name":"Denver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527</v>
      </c>
      <c r="B25" s="7">
        <v>4031</v>
      </c>
      <c r="C25" s="22" t="s">
        <v>206</v>
      </c>
      <c r="D25" s="22" t="s">
        <v>707</v>
      </c>
      <c r="E25" s="13">
        <v>42713.207118055558</v>
      </c>
      <c r="F25" s="13">
        <v>42713.209166666667</v>
      </c>
      <c r="G25" s="7">
        <v>1</v>
      </c>
      <c r="H25" s="22" t="s">
        <v>274</v>
      </c>
      <c r="I25" s="13">
        <v>42713.235277777778</v>
      </c>
      <c r="J25" s="7">
        <v>0</v>
      </c>
      <c r="K25" s="109" t="str">
        <f t="shared" si="0"/>
        <v>4031/4032</v>
      </c>
      <c r="L25" s="22" t="str">
        <f>VLOOKUP(A25,'Trips&amp;Operators'!$C$1:$G$99999,5,FALSE)</f>
        <v>ISHMAEL JOSEPH</v>
      </c>
      <c r="M25" s="6">
        <f t="shared" si="1"/>
        <v>2.6111111110367347E-2</v>
      </c>
      <c r="N25" s="7">
        <f t="shared" si="17"/>
        <v>37.599999998928979</v>
      </c>
      <c r="O25" s="7"/>
      <c r="P25" s="7"/>
      <c r="Q25" s="23"/>
      <c r="R25" s="23"/>
      <c r="S25" s="35">
        <f t="shared" si="18"/>
        <v>1</v>
      </c>
      <c r="T25" s="50" t="str">
        <f t="shared" si="2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03:58:15-700',mode:absolute,to:'2016-12-09 06:38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5" s="52" t="str">
        <f t="shared" si="4"/>
        <v>N</v>
      </c>
      <c r="X25" s="177">
        <f t="shared" si="5"/>
        <v>1</v>
      </c>
      <c r="Y25" s="67">
        <f t="shared" si="6"/>
        <v>6.9000000000000006E-2</v>
      </c>
      <c r="Z25" s="67">
        <f t="shared" si="16"/>
        <v>23.331199999999999</v>
      </c>
      <c r="AA25" s="67">
        <f t="shared" si="7"/>
        <v>23.2622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8"/>
        <v>0111-09</v>
      </c>
      <c r="AE25" s="91" t="str">
        <f t="shared" si="9"/>
        <v>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 &amp; 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</v>
      </c>
      <c r="AF25" s="88" t="str">
        <f t="shared" si="10"/>
        <v>"C:\Program Files (x86)\AstroGrep\AstroGrep.exe" /spath="%USERPROFILE%\AppData\Local\Temp\OnboardLogs" /stypes="app*4031*20161209*" /stext=" 12:.+((SYSTEM_STATE.+slice.+state.+changed )|(ment ac)|(multiple cpu faults)|(system.+state.+changed )|(\[timeout)|(PRM\|1\|D)|(kpr)|(kdp)|(\|lc)|(penalty))" /e /r /s</v>
      </c>
      <c r="AG25" s="1" t="str">
        <f t="shared" si="11"/>
        <v>EC</v>
      </c>
      <c r="AH25" s="92" t="str">
        <f t="shared" si="14"/>
        <v>"%USERPROFILE%\Documents\GitHub\eaglep3\Utilities\RefineRTDCRunTimes.py" --tripid 111-09 --locoid 4031 --swversion DE.1.0.8.0 --startMP 204:690 --initTime 2016-12-09T04:58:15 --startdatetime 2016-12-09T05:01:12 --delay 1 --endMP 204:233312 --enddatetime 2016-12-09T05:38:48 --enforcementcount 0 &gt;&gt;C:\Users\stu\Documents\GitHub\eaglep3-reporting\EC\2016-12-09-refined-times.txt</v>
      </c>
      <c r="AI25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{"issue":{"subject":"","project_id":79,"tracker_id":40,"status_id":1,"priority_id":2,"assigned_to_id":23,"start_date":"2016-12-09","description":"","custom_fields":[{"id":1,"name":"Subdivision","value":"EC"},{"id":4,"name":"Milepost","value":"23.3312"},{"id":17,"name":"Train ID","value":"111-09"},{"id":16,"name":"Locomotive ID","value":"4031"},{"id":130,"name":"Impact","value":""},{"id":150,"name":"Time of Event (Mountain Time)","value":"05:38:48"},{"id":151,"name":"Denver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537</v>
      </c>
      <c r="B26" s="7">
        <v>4032</v>
      </c>
      <c r="C26" s="22" t="s">
        <v>206</v>
      </c>
      <c r="D26" s="22" t="s">
        <v>708</v>
      </c>
      <c r="E26" s="13">
        <v>42713.240694444445</v>
      </c>
      <c r="F26" s="13">
        <v>42713.247395833336</v>
      </c>
      <c r="G26" s="7">
        <v>1</v>
      </c>
      <c r="H26" s="22" t="s">
        <v>213</v>
      </c>
      <c r="I26" s="13">
        <v>42713.278090277781</v>
      </c>
      <c r="J26" s="7">
        <v>0</v>
      </c>
      <c r="K26" s="109" t="str">
        <f t="shared" si="0"/>
        <v>4031/4032</v>
      </c>
      <c r="L26" s="22" t="str">
        <f>VLOOKUP(A26,'Trips&amp;Operators'!$C$1:$G$99999,5,FALSE)</f>
        <v>ISHMAEL JOSEPH</v>
      </c>
      <c r="M26" s="6">
        <f t="shared" si="1"/>
        <v>3.0694444445543922E-2</v>
      </c>
      <c r="N26" s="7">
        <f t="shared" si="17"/>
        <v>44.200000001583248</v>
      </c>
      <c r="O26" s="7"/>
      <c r="P26" s="7"/>
      <c r="Q26" s="23"/>
      <c r="R26" s="23"/>
      <c r="S26" s="35">
        <f t="shared" si="18"/>
        <v>1</v>
      </c>
      <c r="T26" s="50" t="str">
        <f t="shared" si="2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04:46:36-700',mode:absolute,to:'2016-12-09 07:40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6" s="52" t="str">
        <f t="shared" si="4"/>
        <v>N</v>
      </c>
      <c r="X26" s="177">
        <f t="shared" si="5"/>
        <v>1</v>
      </c>
      <c r="Y26" s="67">
        <f t="shared" si="6"/>
        <v>23.2988</v>
      </c>
      <c r="Z26" s="67">
        <f t="shared" si="16"/>
        <v>1.4999999999999999E-2</v>
      </c>
      <c r="AA26" s="67">
        <f t="shared" si="7"/>
        <v>23.283799999999999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8"/>
        <v>0112-09</v>
      </c>
      <c r="AE26" s="91" t="str">
        <f t="shared" si="9"/>
        <v>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 &amp; 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</v>
      </c>
      <c r="AF26" s="88" t="str">
        <f t="shared" si="10"/>
        <v>"C:\Program Files (x86)\AstroGrep\AstroGrep.exe" /spath="%USERPROFILE%\AppData\Local\Temp\OnboardLogs" /stypes="app*4032*20161209*" /stext=" 13:.+((SYSTEM_STATE.+slice.+state.+changed )|(ment ac)|(multiple cpu faults)|(system.+state.+changed )|(\[timeout)|(PRM\|1\|D)|(kpr)|(kdp)|(\|lc)|(penalty))" /e /r /s</v>
      </c>
      <c r="AG26" s="1" t="str">
        <f t="shared" si="11"/>
        <v>EC</v>
      </c>
      <c r="AH26" s="92" t="str">
        <f t="shared" si="14"/>
        <v>"%USERPROFILE%\Documents\GitHub\eaglep3\Utilities\RefineRTDCRunTimes.py" --tripid 112-09 --locoid 4032 --swversion DE.1.0.8.0 --startMP 204:232988 --initTime 2016-12-09T05:46:36 --startdatetime 2016-12-09T05:56:15 --delay 1 --endMP 204:150 --enddatetime 2016-12-09T06:40:27 --enforcementcount 0 &gt;&gt;C:\Users\stu\Documents\GitHub\eaglep3-reporting\EC\2016-12-09-refined-times.txt</v>
      </c>
      <c r="AI26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{"issue":{"subject":"","project_id":79,"tracker_id":40,"status_id":1,"priority_id":2,"assigned_to_id":23,"start_date":"2016-12-09","description":"","custom_fields":[{"id":1,"name":"Subdivision","value":"EC"},{"id":4,"name":"Milepost","value":"0.015"},{"id":17,"name":"Train ID","value":"112-09"},{"id":16,"name":"Locomotive ID","value":"4032"},{"id":130,"name":"Impact","value":""},{"id":150,"name":"Time of Event (Mountain Time)","value":"06:40:27"},{"id":151,"name":"Denver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531</v>
      </c>
      <c r="B27" s="7">
        <v>4029</v>
      </c>
      <c r="C27" s="22" t="s">
        <v>206</v>
      </c>
      <c r="D27" s="22" t="s">
        <v>239</v>
      </c>
      <c r="E27" s="13">
        <v>42713.218657407408</v>
      </c>
      <c r="F27" s="13">
        <v>42713.219953703701</v>
      </c>
      <c r="G27" s="7">
        <v>0</v>
      </c>
      <c r="H27" s="22" t="s">
        <v>295</v>
      </c>
      <c r="I27" s="13">
        <v>42713.244687500002</v>
      </c>
      <c r="J27" s="7">
        <v>0</v>
      </c>
      <c r="K27" s="109" t="str">
        <f t="shared" si="0"/>
        <v>4029/4030</v>
      </c>
      <c r="L27" s="22" t="str">
        <f>VLOOKUP(A27,'Trips&amp;Operators'!$C$1:$G$99999,5,FALSE)</f>
        <v>MAELZER KURT</v>
      </c>
      <c r="M27" s="6">
        <f t="shared" si="1"/>
        <v>2.4733796301006805E-2</v>
      </c>
      <c r="N27" s="7">
        <f t="shared" si="17"/>
        <v>35.616666673449799</v>
      </c>
      <c r="O27" s="7"/>
      <c r="P27" s="7"/>
      <c r="Q27" s="23"/>
      <c r="R27" s="23"/>
      <c r="S27" s="35">
        <f t="shared" si="18"/>
        <v>1</v>
      </c>
      <c r="T27" s="50" t="str">
        <f t="shared" si="2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04:14:52-700',mode:absolute,to:'2016-12-09 06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7" s="52" t="str">
        <f t="shared" si="4"/>
        <v>N</v>
      </c>
      <c r="X27" s="177">
        <f t="shared" si="5"/>
        <v>1</v>
      </c>
      <c r="Y27" s="67">
        <f t="shared" si="6"/>
        <v>4.5699999999999998E-2</v>
      </c>
      <c r="Z27" s="67">
        <f t="shared" si="16"/>
        <v>23.332100000000001</v>
      </c>
      <c r="AA27" s="67">
        <f t="shared" si="7"/>
        <v>23.2864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8"/>
        <v>0113-09</v>
      </c>
      <c r="AE27" s="91" t="str">
        <f t="shared" si="9"/>
        <v>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 &amp; aws s3 cp s3://rtdc.mdm.uploadarchive.raw/RTDC4029/ "%USERPROFILE%\AppData\Local\Temp\OnboardLogs"\RTDC4029\2016-12-10 --exclude "*" --recursive --include "*20161210*" &amp; "%USERPROFILE%\Documents\GitHub\mrs-test-scripts\Headless Mode &amp; Sideloading\WalkAndUnGZ.bat" "%USERPROFILE%\AppData\Local\Temp\OnboardLogs"\RTDC4029\2016-12-10</v>
      </c>
      <c r="AF27" s="88" t="str">
        <f t="shared" si="10"/>
        <v>"C:\Program Files (x86)\AstroGrep\AstroGrep.exe" /spath="%USERPROFILE%\AppData\Local\Temp\OnboardLogs" /stypes="app*4029*20161209*" /stext=" 12:.+((SYSTEM_STATE.+slice.+state.+changed )|(ment ac)|(multiple cpu faults)|(system.+state.+changed )|(\[timeout)|(PRM\|1\|D)|(kpr)|(kdp)|(\|lc)|(penalty))" /e /r /s</v>
      </c>
      <c r="AG27" s="1" t="str">
        <f t="shared" si="11"/>
        <v>EC</v>
      </c>
      <c r="AH27" s="92" t="str">
        <f t="shared" si="14"/>
        <v>"%USERPROFILE%\Documents\GitHub\eaglep3\Utilities\RefineRTDCRunTimes.py" --tripid 113-09 --locoid 4029 --swversion DE.1.0.8.0 --startMP 204:457 --initTime 2016-12-09T05:14:52 --startdatetime 2016-12-09T05:16:44 --delay 0 --endMP 204:233321 --enddatetime 2016-12-09T05:52:21 --enforcementcount 0 &gt;&gt;C:\Users\stu\Documents\GitHub\eaglep3-reporting\EC\2016-12-09-refined-times.txt</v>
      </c>
      <c r="AI27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{"issue":{"subject":"","project_id":79,"tracker_id":40,"status_id":1,"priority_id":2,"assigned_to_id":23,"start_date":"2016-12-09","description":"","custom_fields":[{"id":1,"name":"Subdivision","value":"EC"},{"id":4,"name":"Milepost","value":"23.3321"},{"id":17,"name":"Train ID","value":"113-09"},{"id":16,"name":"Locomotive ID","value":"4029"},{"id":130,"name":"Impact","value":""},{"id":150,"name":"Time of Event (Mountain Time)","value":"05:52:21"},{"id":151,"name":"Denver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540</v>
      </c>
      <c r="B28" s="7">
        <v>4030</v>
      </c>
      <c r="C28" s="22" t="s">
        <v>206</v>
      </c>
      <c r="D28" s="22" t="s">
        <v>435</v>
      </c>
      <c r="E28" s="13">
        <v>42713.255254629628</v>
      </c>
      <c r="F28" s="13">
        <v>42713.258090277777</v>
      </c>
      <c r="G28" s="7">
        <v>1</v>
      </c>
      <c r="H28" s="22" t="s">
        <v>213</v>
      </c>
      <c r="I28" s="13">
        <v>42713.287245370368</v>
      </c>
      <c r="J28" s="7">
        <v>0</v>
      </c>
      <c r="K28" s="109" t="str">
        <f t="shared" si="0"/>
        <v>4029/4030</v>
      </c>
      <c r="L28" s="22" t="str">
        <f>VLOOKUP(A28,'Trips&amp;Operators'!$C$1:$G$99999,5,FALSE)</f>
        <v>MAELZER KURT</v>
      </c>
      <c r="M28" s="6">
        <f t="shared" si="1"/>
        <v>2.9155092590372078E-2</v>
      </c>
      <c r="N28" s="7">
        <f t="shared" si="17"/>
        <v>41.983333330135792</v>
      </c>
      <c r="O28" s="7"/>
      <c r="P28" s="7"/>
      <c r="Q28" s="23"/>
      <c r="R28" s="23"/>
      <c r="S28" s="35">
        <f t="shared" si="18"/>
        <v>1</v>
      </c>
      <c r="T28" s="50" t="str">
        <f t="shared" si="2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05:07:34-700',mode:absolute,to:'2016-12-09 07:53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8" s="52" t="str">
        <f t="shared" si="4"/>
        <v>N</v>
      </c>
      <c r="X28" s="177">
        <f t="shared" si="5"/>
        <v>1</v>
      </c>
      <c r="Y28" s="67">
        <f t="shared" si="6"/>
        <v>23.298300000000001</v>
      </c>
      <c r="Z28" s="67">
        <f t="shared" si="16"/>
        <v>1.4999999999999999E-2</v>
      </c>
      <c r="AA28" s="67">
        <f t="shared" si="7"/>
        <v>23.283300000000001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8"/>
        <v>0114-09</v>
      </c>
      <c r="AE28" s="91" t="str">
        <f t="shared" si="9"/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AF28" s="88" t="str">
        <f t="shared" si="10"/>
        <v>"C:\Program Files (x86)\AstroGrep\AstroGrep.exe" /spath="%USERPROFILE%\AppData\Local\Temp\OnboardLogs" /stypes="app*4030*20161209*" /stext=" 13:.+((SYSTEM_STATE.+slice.+state.+changed )|(ment ac)|(multiple cpu faults)|(system.+state.+changed )|(\[timeout)|(PRM\|1\|D)|(kpr)|(kdp)|(\|lc)|(penalty))" /e /r /s</v>
      </c>
      <c r="AG28" s="1" t="str">
        <f t="shared" si="11"/>
        <v>EC</v>
      </c>
      <c r="AH28" s="92" t="str">
        <f t="shared" si="14"/>
        <v>"%USERPROFILE%\Documents\GitHub\eaglep3\Utilities\RefineRTDCRunTimes.py" --tripid 114-09 --locoid 4030 --swversion DE.1.0.8.0 --startMP 204:232983 --initTime 2016-12-09T06:07:34 --startdatetime 2016-12-09T06:11:39 --delay 1 --endMP 204:150 --enddatetime 2016-12-09T06:53:38 --enforcementcount 0 &gt;&gt;C:\Users\stu\Documents\GitHub\eaglep3-reporting\EC\2016-12-09-refined-times.txt</v>
      </c>
      <c r="AI28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{"issue":{"subject":"","project_id":79,"tracker_id":40,"status_id":1,"priority_id":2,"assigned_to_id":23,"start_date":"2016-12-09","description":"","custom_fields":[{"id":1,"name":"Subdivision","value":"EC"},{"id":4,"name":"Milepost","value":"0.015"},{"id":17,"name":"Train ID","value":"114-09"},{"id":16,"name":"Locomotive ID","value":"4030"},{"id":130,"name":"Impact","value":""},{"id":150,"name":"Time of Event (Mountain Time)","value":"06:53:38"},{"id":151,"name":"Denver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532</v>
      </c>
      <c r="B29" s="7">
        <v>4025</v>
      </c>
      <c r="C29" s="22" t="s">
        <v>206</v>
      </c>
      <c r="D29" s="22" t="s">
        <v>709</v>
      </c>
      <c r="E29" s="13">
        <v>42713.230381944442</v>
      </c>
      <c r="F29" s="13">
        <v>42713.231979166667</v>
      </c>
      <c r="G29" s="7">
        <v>1</v>
      </c>
      <c r="H29" s="22" t="s">
        <v>710</v>
      </c>
      <c r="I29" s="13">
        <v>42713.255868055552</v>
      </c>
      <c r="J29" s="7">
        <v>0</v>
      </c>
      <c r="K29" s="109" t="str">
        <f t="shared" si="0"/>
        <v>4025/4026</v>
      </c>
      <c r="L29" s="22" t="str">
        <f>VLOOKUP(A29,'Trips&amp;Operators'!$C$1:$G$99999,5,FALSE)</f>
        <v>ROCHA YAOTL</v>
      </c>
      <c r="M29" s="6">
        <f t="shared" si="1"/>
        <v>2.3888888885267079E-2</v>
      </c>
      <c r="N29" s="7">
        <f t="shared" si="17"/>
        <v>34.399999994784594</v>
      </c>
      <c r="O29" s="7"/>
      <c r="P29" s="7"/>
      <c r="Q29" s="23"/>
      <c r="R29" s="23"/>
      <c r="S29" s="35">
        <f t="shared" si="18"/>
        <v>1</v>
      </c>
      <c r="T29" s="50" t="str">
        <f t="shared" si="2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04:31:45-700',mode:absolute,to:'2016-12-09 07:08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9" s="52" t="str">
        <f t="shared" si="4"/>
        <v>N</v>
      </c>
      <c r="X29" s="177">
        <f t="shared" si="5"/>
        <v>1</v>
      </c>
      <c r="Y29" s="67">
        <f t="shared" si="6"/>
        <v>7.2099999999999997E-2</v>
      </c>
      <c r="Z29" s="67">
        <f t="shared" si="16"/>
        <v>23.130800000000001</v>
      </c>
      <c r="AA29" s="67">
        <f t="shared" si="7"/>
        <v>23.058700000000002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8"/>
        <v>0115-09</v>
      </c>
      <c r="AE29" s="91" t="str">
        <f t="shared" si="9"/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AF29" s="88" t="str">
        <f t="shared" si="10"/>
        <v>"C:\Program Files (x86)\AstroGrep\AstroGrep.exe" /spath="%USERPROFILE%\AppData\Local\Temp\OnboardLogs" /stypes="app*4025*20161209*" /stext=" 13:.+((SYSTEM_STATE.+slice.+state.+changed )|(ment ac)|(multiple cpu faults)|(system.+state.+changed )|(\[timeout)|(PRM\|1\|D)|(kpr)|(kdp)|(\|lc)|(penalty))" /e /r /s</v>
      </c>
      <c r="AG29" s="1" t="str">
        <f t="shared" si="11"/>
        <v>EC</v>
      </c>
      <c r="AH29" s="92" t="str">
        <f t="shared" si="14"/>
        <v>"%USERPROFILE%\Documents\GitHub\eaglep3\Utilities\RefineRTDCRunTimes.py" --tripid 115-09 --locoid 4025 --swversion DE.1.0.8.0 --startMP 204:721 --initTime 2016-12-09T05:31:45 --startdatetime 2016-12-09T05:34:03 --delay 1 --endMP 204:231308 --enddatetime 2016-12-09T06:08:27 --enforcementcount 0 &gt;&gt;C:\Users\stu\Documents\GitHub\eaglep3-reporting\EC\2016-12-09-refined-times.txt</v>
      </c>
      <c r="AI29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{"issue":{"subject":"","project_id":79,"tracker_id":40,"status_id":1,"priority_id":2,"assigned_to_id":23,"start_date":"2016-12-09","description":"","custom_fields":[{"id":1,"name":"Subdivision","value":"EC"},{"id":4,"name":"Milepost","value":"23.1308"},{"id":17,"name":"Train ID","value":"115-09"},{"id":16,"name":"Locomotive ID","value":"4025"},{"id":130,"name":"Impact","value":""},{"id":150,"name":"Time of Event (Mountain Time)","value":"06:08:27"},{"id":151,"name":"Denver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478</v>
      </c>
      <c r="B30" s="7">
        <v>4026</v>
      </c>
      <c r="C30" s="22" t="s">
        <v>206</v>
      </c>
      <c r="D30" s="22" t="s">
        <v>466</v>
      </c>
      <c r="E30" s="13">
        <v>42713.267291666663</v>
      </c>
      <c r="F30" s="13">
        <v>42713.268946759257</v>
      </c>
      <c r="G30" s="7">
        <v>1</v>
      </c>
      <c r="H30" s="22" t="s">
        <v>204</v>
      </c>
      <c r="I30" s="13">
        <v>42713.298310185186</v>
      </c>
      <c r="J30" s="7">
        <v>0</v>
      </c>
      <c r="K30" s="109" t="str">
        <f t="shared" si="0"/>
        <v>4025/4026</v>
      </c>
      <c r="L30" s="22" t="str">
        <f>VLOOKUP(A30,'Trips&amp;Operators'!$C$1:$G$99999,5,FALSE)</f>
        <v>ROCHA YAOTL</v>
      </c>
      <c r="M30" s="6">
        <f t="shared" si="1"/>
        <v>2.9363425928750075E-2</v>
      </c>
      <c r="N30" s="7">
        <f t="shared" si="17"/>
        <v>42.283333337400109</v>
      </c>
      <c r="O30" s="7"/>
      <c r="P30" s="7"/>
      <c r="Q30" s="23"/>
      <c r="R30" s="23"/>
      <c r="S30" s="35">
        <f t="shared" si="18"/>
        <v>1</v>
      </c>
      <c r="T30" s="50" t="str">
        <f t="shared" si="2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05:24:54-700',mode:absolute,to:'2016-12-09 08:09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0" s="52" t="str">
        <f t="shared" si="4"/>
        <v>N</v>
      </c>
      <c r="X30" s="177">
        <f t="shared" si="5"/>
        <v>1</v>
      </c>
      <c r="Y30" s="67">
        <f t="shared" si="6"/>
        <v>23.298400000000001</v>
      </c>
      <c r="Z30" s="67">
        <f t="shared" si="16"/>
        <v>1.5599999999999999E-2</v>
      </c>
      <c r="AA30" s="67">
        <f t="shared" si="7"/>
        <v>23.282800000000002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8"/>
        <v>0116-09</v>
      </c>
      <c r="AE30" s="91" t="str">
        <f t="shared" si="9"/>
        <v>aws s3 cp s3://rtdc.mdm.uploadarchive.raw/RTDC4026/ "%USERPROFILE%\AppData\Local\Temp\OnboardLogs"\RTDC4026\2016-12-09 --exclude "*" --recursive --include "*20161209*" &amp; "%USERPROFILE%\Documents\GitHub\mrs-test-scripts\Headless Mode &amp; Sideloading\WalkAndUnGZ.bat" "%USERPROFILE%\AppData\Local\Temp\OnboardLogs"\RTDC4026\2016-12-09 &amp; 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</v>
      </c>
      <c r="AF30" s="88" t="str">
        <f t="shared" si="10"/>
        <v>"C:\Program Files (x86)\AstroGrep\AstroGrep.exe" /spath="%USERPROFILE%\AppData\Local\Temp\OnboardLogs" /stypes="app*4026*20161209*" /stext=" 14:.+((SYSTEM_STATE.+slice.+state.+changed )|(ment ac)|(multiple cpu faults)|(system.+state.+changed )|(\[timeout)|(PRM\|1\|D)|(kpr)|(kdp)|(\|lc)|(penalty))" /e /r /s</v>
      </c>
      <c r="AG30" s="1" t="str">
        <f t="shared" si="11"/>
        <v>EC</v>
      </c>
      <c r="AH30" s="92" t="str">
        <f t="shared" si="14"/>
        <v>"%USERPROFILE%\Documents\GitHub\eaglep3\Utilities\RefineRTDCRunTimes.py" --tripid 116-09 --locoid 4026 --swversion DE.1.0.8.0 --startMP 204:232984 --initTime 2016-12-09T06:24:54 --startdatetime 2016-12-09T06:27:17 --delay 1 --endMP 204:156 --enddatetime 2016-12-09T07:09:34 --enforcementcount 0 &gt;&gt;C:\Users\stu\Documents\GitHub\eaglep3-reporting\EC\2016-12-09-refined-times.txt</v>
      </c>
      <c r="AI30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{"issue":{"subject":"","project_id":79,"tracker_id":40,"status_id":1,"priority_id":2,"assigned_to_id":23,"start_date":"2016-12-09","description":"","custom_fields":[{"id":1,"name":"Subdivision","value":"EC"},{"id":4,"name":"Milepost","value":"0.0156"},{"id":17,"name":"Train ID","value":"116-09"},{"id":16,"name":"Locomotive ID","value":"4026"},{"id":130,"name":"Impact","value":""},{"id":150,"name":"Time of Event (Mountain Time)","value":"07:09:34"},{"id":151,"name":"Denver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534</v>
      </c>
      <c r="B31" s="7">
        <v>4051</v>
      </c>
      <c r="C31" s="22" t="s">
        <v>206</v>
      </c>
      <c r="D31" s="22" t="s">
        <v>338</v>
      </c>
      <c r="E31" s="13">
        <v>42713.233854166669</v>
      </c>
      <c r="F31" s="13">
        <v>42713.239930555559</v>
      </c>
      <c r="G31" s="7">
        <v>1</v>
      </c>
      <c r="H31" s="22" t="s">
        <v>292</v>
      </c>
      <c r="I31" s="13">
        <v>42713.266111111108</v>
      </c>
      <c r="J31" s="7">
        <v>0</v>
      </c>
      <c r="K31" s="109" t="str">
        <f t="shared" si="0"/>
        <v>4051/4052</v>
      </c>
      <c r="L31" s="22" t="str">
        <f>VLOOKUP(A31,'Trips&amp;Operators'!$C$1:$G$99999,5,FALSE)</f>
        <v>DAVIS WENDY</v>
      </c>
      <c r="M31" s="6">
        <f t="shared" si="1"/>
        <v>2.6180555549217388E-2</v>
      </c>
      <c r="N31" s="7">
        <f t="shared" si="17"/>
        <v>37.699999990873039</v>
      </c>
      <c r="O31" s="7"/>
      <c r="P31" s="7"/>
      <c r="Q31" s="23"/>
      <c r="R31" s="23"/>
      <c r="S31" s="35">
        <f t="shared" si="18"/>
        <v>1</v>
      </c>
      <c r="T31" s="50" t="str">
        <f t="shared" si="2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04:36:45-700',mode:absolute,to:'2016-12-09 07:23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31" s="52" t="str">
        <f t="shared" si="4"/>
        <v>N</v>
      </c>
      <c r="X31" s="177">
        <f t="shared" si="5"/>
        <v>1</v>
      </c>
      <c r="Y31" s="67">
        <f t="shared" si="6"/>
        <v>4.4900000000000002E-2</v>
      </c>
      <c r="Z31" s="67">
        <f t="shared" si="16"/>
        <v>23.3291</v>
      </c>
      <c r="AA31" s="67">
        <f t="shared" si="7"/>
        <v>23.284200000000002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8"/>
        <v>0117-09</v>
      </c>
      <c r="AE31" s="91" t="str">
        <f t="shared" si="9"/>
        <v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v>
      </c>
      <c r="AF31" s="88" t="str">
        <f t="shared" si="10"/>
        <v>"C:\Program Files (x86)\AstroGrep\AstroGrep.exe" /spath="%USERPROFILE%\AppData\Local\Temp\OnboardLogs" /stypes="app*4051*20161209*" /stext=" 13:.+((SYSTEM_STATE.+slice.+state.+changed )|(ment ac)|(multiple cpu faults)|(system.+state.+changed )|(\[timeout)|(PRM\|1\|D)|(kpr)|(kdp)|(\|lc)|(penalty))" /e /r /s</v>
      </c>
      <c r="AG31" s="1" t="str">
        <f t="shared" si="11"/>
        <v>EC</v>
      </c>
      <c r="AH31" s="92" t="str">
        <f t="shared" si="14"/>
        <v>"%USERPROFILE%\Documents\GitHub\eaglep3\Utilities\RefineRTDCRunTimes.py" --tripid 117-09 --locoid 4051 --swversion DE.1.0.8.0 --startMP 204:449 --initTime 2016-12-09T05:36:45 --startdatetime 2016-12-09T05:45:30 --delay 1 --endMP 204:233291 --enddatetime 2016-12-09T06:23:12 --enforcementcount 0 &gt;&gt;C:\Users\stu\Documents\GitHub\eaglep3-reporting\EC\2016-12-09-refined-times.txt</v>
      </c>
      <c r="AI31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{"issue":{"subject":"","project_id":79,"tracker_id":40,"status_id":1,"priority_id":2,"assigned_to_id":23,"start_date":"2016-12-09","description":"","custom_fields":[{"id":1,"name":"Subdivision","value":"EC"},{"id":4,"name":"Milepost","value":"23.3291"},{"id":17,"name":"Train ID","value":"117-09"},{"id":16,"name":"Locomotive ID","value":"4051"},{"id":130,"name":"Impact","value":""},{"id":150,"name":"Time of Event (Mountain Time)","value":"06:23:12"},{"id":151,"name":"Denver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545</v>
      </c>
      <c r="B32" s="7">
        <v>4052</v>
      </c>
      <c r="C32" s="22" t="s">
        <v>206</v>
      </c>
      <c r="D32" s="22" t="s">
        <v>465</v>
      </c>
      <c r="E32" s="13">
        <v>42713.276712962965</v>
      </c>
      <c r="F32" s="13">
        <v>42713.278726851851</v>
      </c>
      <c r="G32" s="7">
        <v>1</v>
      </c>
      <c r="H32" s="22" t="s">
        <v>334</v>
      </c>
      <c r="I32" s="13">
        <v>42713.30736111111</v>
      </c>
      <c r="J32" s="7">
        <v>0</v>
      </c>
      <c r="K32" s="109" t="str">
        <f t="shared" si="0"/>
        <v>4051/4052</v>
      </c>
      <c r="L32" s="22" t="str">
        <f>VLOOKUP(A32,'Trips&amp;Operators'!$C$1:$G$99999,5,FALSE)</f>
        <v>DAVIS WENDY</v>
      </c>
      <c r="M32" s="6">
        <f t="shared" si="1"/>
        <v>2.8634259258979E-2</v>
      </c>
      <c r="N32" s="7">
        <f t="shared" si="17"/>
        <v>41.23333333292976</v>
      </c>
      <c r="O32" s="7"/>
      <c r="P32" s="7"/>
      <c r="Q32" s="23"/>
      <c r="R32" s="23"/>
      <c r="S32" s="35">
        <f t="shared" si="18"/>
        <v>1</v>
      </c>
      <c r="T32" s="50" t="str">
        <f t="shared" si="2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05:38:28-700',mode:absolute,to:'2016-12-09 08:22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32" s="52" t="str">
        <f t="shared" si="4"/>
        <v>N</v>
      </c>
      <c r="X32" s="177">
        <f t="shared" si="5"/>
        <v>1</v>
      </c>
      <c r="Y32" s="67">
        <f t="shared" si="6"/>
        <v>23.2987</v>
      </c>
      <c r="Z32" s="67">
        <f t="shared" si="16"/>
        <v>1.3899999999999999E-2</v>
      </c>
      <c r="AA32" s="67">
        <f t="shared" si="7"/>
        <v>23.284800000000001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8"/>
        <v>0118-09</v>
      </c>
      <c r="AE32" s="91" t="str">
        <f t="shared" si="9"/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AF32" s="88" t="str">
        <f t="shared" si="10"/>
        <v>"C:\Program Files (x86)\AstroGrep\AstroGrep.exe" /spath="%USERPROFILE%\AppData\Local\Temp\OnboardLogs" /stypes="app*4052*20161209*" /stext=" 14:.+((SYSTEM_STATE.+slice.+state.+changed )|(ment ac)|(multiple cpu faults)|(system.+state.+changed )|(\[timeout)|(PRM\|1\|D)|(kpr)|(kdp)|(\|lc)|(penalty))" /e /r /s</v>
      </c>
      <c r="AG32" s="1" t="str">
        <f t="shared" si="11"/>
        <v>EC</v>
      </c>
      <c r="AH32" s="92" t="str">
        <f t="shared" si="14"/>
        <v>"%USERPROFILE%\Documents\GitHub\eaglep3\Utilities\RefineRTDCRunTimes.py" --tripid 118-09 --locoid 4052 --swversion DE.1.0.8.0 --startMP 204:232987 --initTime 2016-12-09T06:38:28 --startdatetime 2016-12-09T06:41:22 --delay 1 --endMP 204:139 --enddatetime 2016-12-09T07:22:36 --enforcementcount 0 &gt;&gt;C:\Users\stu\Documents\GitHub\eaglep3-reporting\EC\2016-12-09-refined-times.txt</v>
      </c>
      <c r="AI32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{"issue":{"subject":"","project_id":79,"tracker_id":40,"status_id":1,"priority_id":2,"assigned_to_id":23,"start_date":"2016-12-09","description":"","custom_fields":[{"id":1,"name":"Subdivision","value":"EC"},{"id":4,"name":"Milepost","value":"0.0139"},{"id":17,"name":"Train ID","value":"118-09"},{"id":16,"name":"Locomotive ID","value":"4052"},{"id":130,"name":"Impact","value":""},{"id":150,"name":"Time of Event (Mountain Time)","value":"07:22:36"},{"id":151,"name":"Denver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538</v>
      </c>
      <c r="B33" s="7">
        <v>4002</v>
      </c>
      <c r="C33" s="22" t="s">
        <v>206</v>
      </c>
      <c r="D33" s="22" t="s">
        <v>372</v>
      </c>
      <c r="E33" s="13">
        <v>42713.248564814814</v>
      </c>
      <c r="F33" s="13">
        <v>42713.250231481485</v>
      </c>
      <c r="G33" s="7">
        <v>1</v>
      </c>
      <c r="H33" s="22" t="s">
        <v>711</v>
      </c>
      <c r="I33" s="13">
        <v>42713.278252314813</v>
      </c>
      <c r="J33" s="7">
        <v>0</v>
      </c>
      <c r="K33" s="109" t="str">
        <f t="shared" si="0"/>
        <v>4001/4002</v>
      </c>
      <c r="L33" s="22" t="str">
        <f>VLOOKUP(A33,'Trips&amp;Operators'!$C$1:$G$99999,5,FALSE)</f>
        <v>ROBINSON KADDIBA</v>
      </c>
      <c r="M33" s="6">
        <f t="shared" si="1"/>
        <v>2.8020833327900618E-2</v>
      </c>
      <c r="N33" s="7">
        <f t="shared" si="17"/>
        <v>40.34999999217689</v>
      </c>
      <c r="O33" s="7"/>
      <c r="P33" s="7"/>
      <c r="Q33" s="23"/>
      <c r="R33" s="23" t="s">
        <v>827</v>
      </c>
      <c r="S33" s="35">
        <f t="shared" si="18"/>
        <v>1</v>
      </c>
      <c r="T33" s="50" t="str">
        <f t="shared" si="2"/>
        <v>NorthBound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04:57:56-700',mode:absolute,to:'2016-12-09 07:40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33" s="52" t="str">
        <f t="shared" si="4"/>
        <v>N</v>
      </c>
      <c r="X33" s="177">
        <f t="shared" si="5"/>
        <v>1</v>
      </c>
      <c r="Y33" s="67">
        <f t="shared" si="6"/>
        <v>7.3700000000000002E-2</v>
      </c>
      <c r="Z33" s="67">
        <f t="shared" si="16"/>
        <v>23.328600000000002</v>
      </c>
      <c r="AA33" s="67">
        <f t="shared" si="7"/>
        <v>23.254900000000003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8"/>
        <v>0119-09</v>
      </c>
      <c r="AE33" s="91" t="str">
        <f t="shared" si="9"/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AF33" s="88" t="str">
        <f t="shared" si="10"/>
        <v>"C:\Program Files (x86)\AstroGrep\AstroGrep.exe" /spath="%USERPROFILE%\AppData\Local\Temp\OnboardLogs" /stypes="app*4002*20161209*" /stext=" 13:.+((SYSTEM_STATE.+slice.+state.+changed )|(ment ac)|(multiple cpu faults)|(system.+state.+changed )|(\[timeout)|(PRM\|1\|D)|(kpr)|(kdp)|(\|lc)|(penalty))" /e /r /s</v>
      </c>
      <c r="AG33" s="1" t="str">
        <f t="shared" si="11"/>
        <v>EC</v>
      </c>
      <c r="AH33" s="92" t="str">
        <f t="shared" si="14"/>
        <v>"%USERPROFILE%\Documents\GitHub\eaglep3\Utilities\RefineRTDCRunTimes.py" --tripid 119-09 --locoid 4002 --swversion DE.1.0.8.0 --startMP 204:737 --initTime 2016-12-09T05:57:56 --startdatetime 2016-12-09T06:00:20 --delay 1 --endMP 204:233286 --enddatetime 2016-12-09T06:40:41 --enforcementcount 0 &gt;&gt;C:\Users\stu\Documents\GitHub\eaglep3-reporting\EC\2016-12-09-refined-times.txt</v>
      </c>
      <c r="AI33" s="119" t="str">
        <f t="shared" si="15"/>
        <v>echo {"issue":{"subject":"Wheel tach slip","project_id":79,"tracker_id":40,"status_id":1,"priority_id":2,"assigned_to_id":23,"start_date":"2016-12-09","description":"","custom_fields":[{"id":1,"name":"Subdivision","value":"EC"},{"id":4,"name":"Milepost","value":"23.3286"},{"id":17,"name":"Train ID","value":"119-09"},{"id":16,"name":"Locomotive ID","value":"4002"},{"id":130,"name":"Impact","value":""},{"id":150,"name":"Time of Event (Mountain Time)","value":"06:40:41"},{"id":151,"name":"Denver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480</v>
      </c>
      <c r="B34" s="7">
        <v>4001</v>
      </c>
      <c r="C34" s="22" t="s">
        <v>206</v>
      </c>
      <c r="D34" s="22" t="s">
        <v>712</v>
      </c>
      <c r="E34" s="13">
        <v>42713.285474537035</v>
      </c>
      <c r="F34" s="13">
        <v>42713.2890625</v>
      </c>
      <c r="G34" s="7">
        <v>1</v>
      </c>
      <c r="H34" s="22" t="s">
        <v>293</v>
      </c>
      <c r="I34" s="13">
        <v>42713.319108796299</v>
      </c>
      <c r="J34" s="7">
        <v>0</v>
      </c>
      <c r="K34" s="109" t="str">
        <f t="shared" si="0"/>
        <v>4001/4002</v>
      </c>
      <c r="L34" s="22" t="str">
        <f>VLOOKUP(A34,'Trips&amp;Operators'!$C$1:$G$99999,5,FALSE)</f>
        <v>ROBINSON KADDIBA</v>
      </c>
      <c r="M34" s="6">
        <f t="shared" si="1"/>
        <v>3.0046296298678499E-2</v>
      </c>
      <c r="N34" s="7">
        <f t="shared" si="17"/>
        <v>43.266666670097038</v>
      </c>
      <c r="O34" s="7"/>
      <c r="P34" s="7"/>
      <c r="Q34" s="23"/>
      <c r="R34" s="23"/>
      <c r="S34" s="35">
        <f t="shared" si="18"/>
        <v>1</v>
      </c>
      <c r="T34" s="50" t="str">
        <f t="shared" si="2"/>
        <v>Southbound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05:51:05-700',mode:absolute,to:'2016-12-09 08:39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34" s="52" t="str">
        <f t="shared" si="4"/>
        <v>N</v>
      </c>
      <c r="X34" s="177">
        <f t="shared" si="5"/>
        <v>1</v>
      </c>
      <c r="Y34" s="67">
        <f t="shared" si="6"/>
        <v>23.296500000000002</v>
      </c>
      <c r="Z34" s="67">
        <f t="shared" si="16"/>
        <v>1.52E-2</v>
      </c>
      <c r="AA34" s="67">
        <f t="shared" si="7"/>
        <v>23.281300000000002</v>
      </c>
      <c r="AB34" s="64" t="str">
        <f>VLOOKUP(A34,Enforcements!$C$7:$K$20,8,0)</f>
        <v>Bulletin (2)</v>
      </c>
      <c r="AC34" s="60" t="str">
        <f>VLOOKUP(A34,Enforcements!$C$7:$E$20,3,0)</f>
        <v>GRADE CROSSING</v>
      </c>
      <c r="AD34" s="61" t="str">
        <f t="shared" si="8"/>
        <v>0120-09</v>
      </c>
      <c r="AE34" s="91" t="str">
        <f t="shared" si="9"/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AF34" s="88" t="str">
        <f t="shared" si="10"/>
        <v>"C:\Program Files (x86)\AstroGrep\AstroGrep.exe" /spath="%USERPROFILE%\AppData\Local\Temp\OnboardLogs" /stypes="app*4001*20161209*" /stext=" 14:.+((SYSTEM_STATE.+slice.+state.+changed )|(ment ac)|(multiple cpu faults)|(system.+state.+changed )|(\[timeout)|(PRM\|1\|D)|(kpr)|(kdp)|(\|lc)|(penalty))" /e /r /s</v>
      </c>
      <c r="AG34" s="1" t="str">
        <f t="shared" si="11"/>
        <v>EC</v>
      </c>
      <c r="AH34" s="92" t="str">
        <f t="shared" si="14"/>
        <v>"%USERPROFILE%\Documents\GitHub\eaglep3\Utilities\RefineRTDCRunTimes.py" --tripid 120-09 --locoid 4001 --swversion DE.1.0.8.0 --startMP 204:232965 --initTime 2016-12-09T06:51:05 --startdatetime 2016-12-09T06:56:15 --delay 1 --endMP 204:152 --enddatetime 2016-12-09T07:39:31 --enforcementcount 0 &gt;&gt;C:\Users\stu\Documents\GitHub\eaglep3-reporting\EC\2016-12-09-refined-times.txt</v>
      </c>
      <c r="AI34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{"issue":{"subject":"","project_id":79,"tracker_id":40,"status_id":1,"priority_id":2,"assigned_to_id":23,"start_date":"2016-12-09","description":"","custom_fields":[{"id":1,"name":"Subdivision","value":"EC"},{"id":4,"name":"Milepost","value":"0.0152"},{"id":17,"name":"Train ID","value":"120-09"},{"id":16,"name":"Locomotive ID","value":"4001"},{"id":130,"name":"Impact","value":""},{"id":150,"name":"Time of Event (Mountain Time)","value":"07:39:31"},{"id":151,"name":"Denver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541</v>
      </c>
      <c r="B35" s="7">
        <v>4011</v>
      </c>
      <c r="C35" s="22" t="s">
        <v>206</v>
      </c>
      <c r="D35" s="22" t="s">
        <v>194</v>
      </c>
      <c r="E35" s="13">
        <v>42713.25744212963</v>
      </c>
      <c r="F35" s="13">
        <v>42713.260636574072</v>
      </c>
      <c r="G35" s="7">
        <v>1</v>
      </c>
      <c r="H35" s="22" t="s">
        <v>417</v>
      </c>
      <c r="I35" s="13">
        <v>42713.285567129627</v>
      </c>
      <c r="J35" s="7">
        <v>0</v>
      </c>
      <c r="K35" s="109" t="str">
        <f t="shared" si="0"/>
        <v>4011/4012</v>
      </c>
      <c r="L35" s="22" t="str">
        <f>VLOOKUP(A35,'Trips&amp;Operators'!$C$1:$G$99999,5,FALSE)</f>
        <v>SANTIZO D. EDY</v>
      </c>
      <c r="M35" s="6">
        <f t="shared" si="1"/>
        <v>2.4930555555329192E-2</v>
      </c>
      <c r="N35" s="7">
        <f t="shared" si="17"/>
        <v>35.899999999674037</v>
      </c>
      <c r="O35" s="7"/>
      <c r="P35" s="7"/>
      <c r="Q35" s="23"/>
      <c r="R35" s="23"/>
      <c r="S35" s="35">
        <f t="shared" si="18"/>
        <v>1</v>
      </c>
      <c r="T35" s="50" t="str">
        <f t="shared" si="2"/>
        <v>NorthBound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05:10:43-700',mode:absolute,to:'2016-12-09 07:51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35" s="52" t="str">
        <f t="shared" si="4"/>
        <v>N</v>
      </c>
      <c r="X35" s="177">
        <f t="shared" si="5"/>
        <v>1</v>
      </c>
      <c r="Y35" s="67">
        <f t="shared" si="6"/>
        <v>4.4699999999999997E-2</v>
      </c>
      <c r="Z35" s="67">
        <f t="shared" si="16"/>
        <v>23.3306</v>
      </c>
      <c r="AA35" s="67">
        <f t="shared" si="7"/>
        <v>23.285900000000002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8"/>
        <v>0121-09</v>
      </c>
      <c r="AE35" s="91" t="str">
        <f t="shared" si="9"/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AF35" s="88" t="str">
        <f t="shared" si="10"/>
        <v>"C:\Program Files (x86)\AstroGrep\AstroGrep.exe" /spath="%USERPROFILE%\AppData\Local\Temp\OnboardLogs" /stypes="app*4011*20161209*" /stext=" 13:.+((SYSTEM_STATE.+slice.+state.+changed )|(ment ac)|(multiple cpu faults)|(system.+state.+changed )|(\[timeout)|(PRM\|1\|D)|(kpr)|(kdp)|(\|lc)|(penalty))" /e /r /s</v>
      </c>
      <c r="AG35" s="1" t="str">
        <f t="shared" si="11"/>
        <v>EC</v>
      </c>
      <c r="AH35" s="92" t="str">
        <f t="shared" si="14"/>
        <v>"%USERPROFILE%\Documents\GitHub\eaglep3\Utilities\RefineRTDCRunTimes.py" --tripid 121-09 --locoid 4011 --swversion DE.1.0.8.0 --startMP 204:447 --initTime 2016-12-09T06:10:43 --startdatetime 2016-12-09T06:15:19 --delay 1 --endMP 204:233306 --enddatetime 2016-12-09T06:51:13 --enforcementcount 0 &gt;&gt;C:\Users\stu\Documents\GitHub\eaglep3-reporting\EC\2016-12-09-refined-times.txt</v>
      </c>
      <c r="AI35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{"issue":{"subject":"","project_id":79,"tracker_id":40,"status_id":1,"priority_id":2,"assigned_to_id":23,"start_date":"2016-12-09","description":"","custom_fields":[{"id":1,"name":"Subdivision","value":"EC"},{"id":4,"name":"Milepost","value":"23.3306"},{"id":17,"name":"Train ID","value":"121-09"},{"id":16,"name":"Locomotive ID","value":"4011"},{"id":130,"name":"Impact","value":""},{"id":150,"name":"Time of Event (Mountain Time)","value":"06:51:13"},{"id":151,"name":"Denver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482</v>
      </c>
      <c r="B36" s="7">
        <v>4012</v>
      </c>
      <c r="C36" s="22" t="s">
        <v>206</v>
      </c>
      <c r="D36" s="22" t="s">
        <v>713</v>
      </c>
      <c r="E36" s="13">
        <v>42713.287361111114</v>
      </c>
      <c r="F36" s="13">
        <v>42713.299571759257</v>
      </c>
      <c r="G36" s="7">
        <v>1</v>
      </c>
      <c r="H36" s="22" t="s">
        <v>714</v>
      </c>
      <c r="I36" s="13">
        <v>42713.327175925922</v>
      </c>
      <c r="J36" s="7">
        <v>0</v>
      </c>
      <c r="K36" s="109" t="str">
        <f t="shared" si="0"/>
        <v>4011/4012</v>
      </c>
      <c r="L36" s="22" t="str">
        <f>VLOOKUP(A36,'Trips&amp;Operators'!$C$1:$G$99999,5,FALSE)</f>
        <v>SANTIZO D. EDY</v>
      </c>
      <c r="M36" s="6">
        <f t="shared" si="1"/>
        <v>2.7604166665696539E-2</v>
      </c>
      <c r="N36" s="7">
        <f t="shared" si="17"/>
        <v>39.749999998603016</v>
      </c>
      <c r="O36" s="7"/>
      <c r="P36" s="7"/>
      <c r="Q36" s="23"/>
      <c r="R36" s="23"/>
      <c r="S36" s="35">
        <f t="shared" si="18"/>
        <v>1</v>
      </c>
      <c r="T36" s="50" t="str">
        <f t="shared" si="2"/>
        <v>Southbound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05:53:48-700',mode:absolute,to:'2016-12-09 08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36" s="52" t="str">
        <f t="shared" si="4"/>
        <v>N</v>
      </c>
      <c r="X36" s="177">
        <f t="shared" si="5"/>
        <v>1</v>
      </c>
      <c r="Y36" s="67">
        <f t="shared" si="6"/>
        <v>23.299299999999999</v>
      </c>
      <c r="Z36" s="67">
        <f t="shared" si="16"/>
        <v>1.7399999999999999E-2</v>
      </c>
      <c r="AA36" s="67">
        <f t="shared" si="7"/>
        <v>23.2819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8"/>
        <v>0122-09</v>
      </c>
      <c r="AE36" s="91" t="str">
        <f t="shared" si="9"/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AF36" s="88" t="str">
        <f t="shared" si="10"/>
        <v>"C:\Program Files (x86)\AstroGrep\AstroGrep.exe" /spath="%USERPROFILE%\AppData\Local\Temp\OnboardLogs" /stypes="app*4012*20161209*" /stext=" 14:.+((SYSTEM_STATE.+slice.+state.+changed )|(ment ac)|(multiple cpu faults)|(system.+state.+changed )|(\[timeout)|(PRM\|1\|D)|(kpr)|(kdp)|(\|lc)|(penalty))" /e /r /s</v>
      </c>
      <c r="AG36" s="1" t="str">
        <f t="shared" si="11"/>
        <v>EC</v>
      </c>
      <c r="AH36" s="92" t="str">
        <f t="shared" si="14"/>
        <v>"%USERPROFILE%\Documents\GitHub\eaglep3\Utilities\RefineRTDCRunTimes.py" --tripid 122-09 --locoid 4012 --swversion DE.1.0.8.0 --startMP 204:232993 --initTime 2016-12-09T06:53:48 --startdatetime 2016-12-09T07:11:23 --delay 1 --endMP 204:174 --enddatetime 2016-12-09T07:51:08 --enforcementcount 0 &gt;&gt;C:\Users\stu\Documents\GitHub\eaglep3-reporting\EC\2016-12-09-refined-times.txt</v>
      </c>
      <c r="AI36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{"issue":{"subject":"","project_id":79,"tracker_id":40,"status_id":1,"priority_id":2,"assigned_to_id":23,"start_date":"2016-12-09","description":"","custom_fields":[{"id":1,"name":"Subdivision","value":"EC"},{"id":4,"name":"Milepost","value":"0.0174"},{"id":17,"name":"Train ID","value":"122-09"},{"id":16,"name":"Locomotive ID","value":"4012"},{"id":130,"name":"Impact","value":""},{"id":150,"name":"Time of Event (Mountain Time)","value":"07:51:08"},{"id":151,"name":"Denver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543</v>
      </c>
      <c r="B37" s="7">
        <v>4016</v>
      </c>
      <c r="C37" s="22" t="s">
        <v>206</v>
      </c>
      <c r="D37" s="22" t="s">
        <v>715</v>
      </c>
      <c r="E37" s="13">
        <v>42713.266909722224</v>
      </c>
      <c r="F37" s="13">
        <v>42713.270972222221</v>
      </c>
      <c r="G37" s="7">
        <v>5</v>
      </c>
      <c r="H37" s="22" t="s">
        <v>716</v>
      </c>
      <c r="I37" s="13">
        <v>42713.296215277776</v>
      </c>
      <c r="J37" s="7">
        <v>0</v>
      </c>
      <c r="K37" s="109" t="str">
        <f t="shared" si="0"/>
        <v>4015/4016</v>
      </c>
      <c r="L37" s="22" t="str">
        <f>VLOOKUP(A37,'Trips&amp;Operators'!$C$1:$G$99999,5,FALSE)</f>
        <v>MAGEE KENYA</v>
      </c>
      <c r="M37" s="6">
        <f t="shared" si="1"/>
        <v>2.5243055555620231E-2</v>
      </c>
      <c r="N37" s="7">
        <f t="shared" si="17"/>
        <v>36.350000000093132</v>
      </c>
      <c r="O37" s="7"/>
      <c r="P37" s="7"/>
      <c r="Q37" s="23"/>
      <c r="R37" s="23"/>
      <c r="S37" s="35">
        <f t="shared" si="18"/>
        <v>1</v>
      </c>
      <c r="T37" s="50" t="str">
        <f t="shared" si="2"/>
        <v>NorthBound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05:24:21-700',mode:absolute,to:'2016-12-09 08:06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37" s="52" t="str">
        <f t="shared" si="4"/>
        <v>N</v>
      </c>
      <c r="X37" s="177">
        <f t="shared" si="5"/>
        <v>1</v>
      </c>
      <c r="Y37" s="67">
        <f t="shared" si="6"/>
        <v>4.7699999999999999E-2</v>
      </c>
      <c r="Z37" s="67">
        <f t="shared" si="16"/>
        <v>23.329899999999999</v>
      </c>
      <c r="AA37" s="67">
        <f t="shared" si="7"/>
        <v>23.2822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8"/>
        <v>0123-09</v>
      </c>
      <c r="AE37" s="91" t="str">
        <f t="shared" si="9"/>
        <v>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 &amp; 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</v>
      </c>
      <c r="AF37" s="88" t="str">
        <f t="shared" si="10"/>
        <v>"C:\Program Files (x86)\AstroGrep\AstroGrep.exe" /spath="%USERPROFILE%\AppData\Local\Temp\OnboardLogs" /stypes="app*4016*20161209*" /stext=" 14:.+((SYSTEM_STATE.+slice.+state.+changed )|(ment ac)|(multiple cpu faults)|(system.+state.+changed )|(\[timeout)|(PRM\|1\|D)|(kpr)|(kdp)|(\|lc)|(penalty))" /e /r /s</v>
      </c>
      <c r="AG37" s="1" t="str">
        <f t="shared" si="11"/>
        <v>EC</v>
      </c>
      <c r="AH37" s="92" t="str">
        <f t="shared" si="14"/>
        <v>"%USERPROFILE%\Documents\GitHub\eaglep3\Utilities\RefineRTDCRunTimes.py" --tripid 123-09 --locoid 4016 --swversion DE.1.0.8.0 --startMP 204:477 --initTime 2016-12-09T06:24:21 --startdatetime 2016-12-09T06:30:12 --delay 5 --endMP 204:233299 --enddatetime 2016-12-09T07:06:33 --enforcementcount 0 &gt;&gt;C:\Users\stu\Documents\GitHub\eaglep3-reporting\EC\2016-12-09-refined-times.txt</v>
      </c>
      <c r="AI37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{"issue":{"subject":"","project_id":79,"tracker_id":40,"status_id":1,"priority_id":2,"assigned_to_id":23,"start_date":"2016-12-09","description":"","custom_fields":[{"id":1,"name":"Subdivision","value":"EC"},{"id":4,"name":"Milepost","value":"23.3299"},{"id":17,"name":"Train ID","value":"123-09"},{"id":16,"name":"Locomotive ID","value":"4016"},{"id":130,"name":"Impact","value":""},{"id":150,"name":"Time of Event (Mountain Time)","value":"07:06:33"},{"id":151,"name":"Denver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549</v>
      </c>
      <c r="B38" s="7">
        <v>4015</v>
      </c>
      <c r="C38" s="22" t="s">
        <v>206</v>
      </c>
      <c r="D38" s="22" t="s">
        <v>429</v>
      </c>
      <c r="E38" s="13">
        <v>42713.297465277778</v>
      </c>
      <c r="F38" s="13">
        <v>42713.309953703705</v>
      </c>
      <c r="G38" s="7">
        <v>1</v>
      </c>
      <c r="H38" s="22" t="s">
        <v>331</v>
      </c>
      <c r="I38" s="13">
        <v>42713.338773148149</v>
      </c>
      <c r="J38" s="7">
        <v>0</v>
      </c>
      <c r="K38" s="109" t="str">
        <f t="shared" si="0"/>
        <v>4015/4016</v>
      </c>
      <c r="L38" s="22" t="str">
        <f>VLOOKUP(A38,'Trips&amp;Operators'!$C$1:$G$99999,5,FALSE)</f>
        <v>MAGEE KENYA</v>
      </c>
      <c r="M38" s="6">
        <f t="shared" si="1"/>
        <v>2.8819444443797693E-2</v>
      </c>
      <c r="N38" s="7">
        <f t="shared" si="17"/>
        <v>41.499999999068677</v>
      </c>
      <c r="O38" s="7"/>
      <c r="P38" s="7"/>
      <c r="Q38" s="23"/>
      <c r="R38" s="23"/>
      <c r="S38" s="35">
        <f t="shared" si="18"/>
        <v>1</v>
      </c>
      <c r="T38" s="50" t="str">
        <f t="shared" si="2"/>
        <v>Southbound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06:08:21-700',mode:absolute,to:'2016-12-09 09:07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38" s="52" t="str">
        <f t="shared" si="4"/>
        <v>N</v>
      </c>
      <c r="X38" s="177">
        <f t="shared" si="5"/>
        <v>1</v>
      </c>
      <c r="Y38" s="67">
        <f t="shared" si="6"/>
        <v>23.297999999999998</v>
      </c>
      <c r="Z38" s="67">
        <f t="shared" si="16"/>
        <v>1.47E-2</v>
      </c>
      <c r="AA38" s="67">
        <f t="shared" si="7"/>
        <v>23.283299999999997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8"/>
        <v>0124-09</v>
      </c>
      <c r="AE38" s="91" t="str">
        <f t="shared" si="9"/>
        <v>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 &amp; 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</v>
      </c>
      <c r="AF38" s="88" t="str">
        <f t="shared" si="10"/>
        <v>"C:\Program Files (x86)\AstroGrep\AstroGrep.exe" /spath="%USERPROFILE%\AppData\Local\Temp\OnboardLogs" /stypes="app*4015*20161209*" /stext=" 15:.+((SYSTEM_STATE.+slice.+state.+changed )|(ment ac)|(multiple cpu faults)|(system.+state.+changed )|(\[timeout)|(PRM\|1\|D)|(kpr)|(kdp)|(\|lc)|(penalty))" /e /r /s</v>
      </c>
      <c r="AG38" s="1" t="str">
        <f t="shared" si="11"/>
        <v>EC</v>
      </c>
      <c r="AH38" s="92" t="str">
        <f t="shared" si="14"/>
        <v>"%USERPROFILE%\Documents\GitHub\eaglep3\Utilities\RefineRTDCRunTimes.py" --tripid 124-09 --locoid 4015 --swversion DE.1.0.8.0 --startMP 204:232980 --initTime 2016-12-09T07:08:21 --startdatetime 2016-12-09T07:26:20 --delay 1 --endMP 204:147 --enddatetime 2016-12-09T08:07:50 --enforcementcount 0 &gt;&gt;C:\Users\stu\Documents\GitHub\eaglep3-reporting\EC\2016-12-09-refined-times.txt</v>
      </c>
      <c r="AI38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{"issue":{"subject":"","project_id":79,"tracker_id":40,"status_id":1,"priority_id":2,"assigned_to_id":23,"start_date":"2016-12-09","description":"","custom_fields":[{"id":1,"name":"Subdivision","value":"EC"},{"id":4,"name":"Milepost","value":"0.0147"},{"id":17,"name":"Train ID","value":"124-09"},{"id":16,"name":"Locomotive ID","value":"4015"},{"id":130,"name":"Impact","value":""},{"id":150,"name":"Time of Event (Mountain Time)","value":"08:07:50"},{"id":151,"name":"Denver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546</v>
      </c>
      <c r="B39" s="7">
        <v>4031</v>
      </c>
      <c r="C39" s="22" t="s">
        <v>206</v>
      </c>
      <c r="D39" s="22" t="s">
        <v>432</v>
      </c>
      <c r="E39" s="13">
        <v>42713.27921296296</v>
      </c>
      <c r="F39" s="13">
        <v>42713.281423611108</v>
      </c>
      <c r="G39" s="7">
        <v>0</v>
      </c>
      <c r="H39" s="22" t="s">
        <v>380</v>
      </c>
      <c r="I39" s="13">
        <v>42713.307071759256</v>
      </c>
      <c r="J39" s="7">
        <v>0</v>
      </c>
      <c r="K39" s="109" t="str">
        <f t="shared" si="0"/>
        <v>4031/4032</v>
      </c>
      <c r="L39" s="22" t="str">
        <f>VLOOKUP(A39,'Trips&amp;Operators'!$C$1:$G$99999,5,FALSE)</f>
        <v>ISHMAEL JOSEPH</v>
      </c>
      <c r="M39" s="6">
        <f t="shared" si="1"/>
        <v>2.5648148148320615E-2</v>
      </c>
      <c r="N39" s="7">
        <f t="shared" si="17"/>
        <v>36.933333333581686</v>
      </c>
      <c r="O39" s="7"/>
      <c r="P39" s="7"/>
      <c r="Q39" s="23"/>
      <c r="R39" s="23"/>
      <c r="S39" s="35">
        <f t="shared" si="18"/>
        <v>1</v>
      </c>
      <c r="T39" s="50" t="str">
        <f t="shared" si="2"/>
        <v>NorthBound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05:42:04-700',mode:absolute,to:'2016-12-09 08:22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9" s="52" t="str">
        <f t="shared" si="4"/>
        <v>N</v>
      </c>
      <c r="X39" s="177">
        <f t="shared" si="5"/>
        <v>1</v>
      </c>
      <c r="Y39" s="67">
        <f t="shared" si="6"/>
        <v>4.7300000000000002E-2</v>
      </c>
      <c r="Z39" s="67">
        <f t="shared" si="16"/>
        <v>23.331700000000001</v>
      </c>
      <c r="AA39" s="67">
        <f t="shared" si="7"/>
        <v>23.284400000000002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8"/>
        <v>0125-09</v>
      </c>
      <c r="AE39" s="91" t="str">
        <f t="shared" si="9"/>
        <v>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 &amp; 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</v>
      </c>
      <c r="AF39" s="88" t="str">
        <f t="shared" si="10"/>
        <v>"C:\Program Files (x86)\AstroGrep\AstroGrep.exe" /spath="%USERPROFILE%\AppData\Local\Temp\OnboardLogs" /stypes="app*4031*20161209*" /stext=" 14:.+((SYSTEM_STATE.+slice.+state.+changed )|(ment ac)|(multiple cpu faults)|(system.+state.+changed )|(\[timeout)|(PRM\|1\|D)|(kpr)|(kdp)|(\|lc)|(penalty))" /e /r /s</v>
      </c>
      <c r="AG39" s="1" t="str">
        <f t="shared" si="11"/>
        <v>EC</v>
      </c>
      <c r="AH39" s="92" t="str">
        <f t="shared" si="14"/>
        <v>"%USERPROFILE%\Documents\GitHub\eaglep3\Utilities\RefineRTDCRunTimes.py" --tripid 125-09 --locoid 4031 --swversion DE.1.0.8.0 --startMP 204:473 --initTime 2016-12-09T06:42:04 --startdatetime 2016-12-09T06:45:15 --delay 0 --endMP 204:233317 --enddatetime 2016-12-09T07:22:11 --enforcementcount 0 &gt;&gt;C:\Users\stu\Documents\GitHub\eaglep3-reporting\EC\2016-12-09-refined-times.txt</v>
      </c>
      <c r="AI39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{"issue":{"subject":"","project_id":79,"tracker_id":40,"status_id":1,"priority_id":2,"assigned_to_id":23,"start_date":"2016-12-09","description":"","custom_fields":[{"id":1,"name":"Subdivision","value":"EC"},{"id":4,"name":"Milepost","value":"23.3317"},{"id":17,"name":"Train ID","value":"125-09"},{"id":16,"name":"Locomotive ID","value":"4031"},{"id":130,"name":"Impact","value":""},{"id":150,"name":"Time of Event (Mountain Time)","value":"07:22:11"},{"id":151,"name":"Denver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552</v>
      </c>
      <c r="B40" s="7">
        <v>4032</v>
      </c>
      <c r="C40" s="22" t="s">
        <v>206</v>
      </c>
      <c r="D40" s="22" t="s">
        <v>425</v>
      </c>
      <c r="E40" s="13">
        <v>42713.317708333336</v>
      </c>
      <c r="F40" s="13">
        <v>42713.320324074077</v>
      </c>
      <c r="G40" s="7">
        <v>1</v>
      </c>
      <c r="H40" s="22" t="s">
        <v>331</v>
      </c>
      <c r="I40" s="13">
        <v>42713.348865740743</v>
      </c>
      <c r="J40" s="7">
        <v>0</v>
      </c>
      <c r="K40" s="109" t="str">
        <f t="shared" si="0"/>
        <v>4031/4032</v>
      </c>
      <c r="L40" s="22" t="str">
        <f>VLOOKUP(A40,'Trips&amp;Operators'!$C$1:$G$99999,5,FALSE)</f>
        <v>ISHMAEL JOSEPH</v>
      </c>
      <c r="M40" s="6">
        <f t="shared" si="1"/>
        <v>2.8541666666569654E-2</v>
      </c>
      <c r="N40" s="7">
        <f t="shared" si="17"/>
        <v>41.099999999860302</v>
      </c>
      <c r="O40" s="7"/>
      <c r="P40" s="7"/>
      <c r="Q40" s="23"/>
      <c r="R40" s="23"/>
      <c r="S40" s="35">
        <f t="shared" si="18"/>
        <v>1</v>
      </c>
      <c r="T40" s="50" t="str">
        <f t="shared" si="2"/>
        <v>Southbound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06:37:30-700',mode:absolute,to:'2016-12-09 09:22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0" s="52" t="str">
        <f t="shared" si="4"/>
        <v>N</v>
      </c>
      <c r="X40" s="177">
        <f t="shared" si="5"/>
        <v>1</v>
      </c>
      <c r="Y40" s="67">
        <f t="shared" si="6"/>
        <v>23.3</v>
      </c>
      <c r="Z40" s="67">
        <f t="shared" si="16"/>
        <v>1.47E-2</v>
      </c>
      <c r="AA40" s="67">
        <f t="shared" si="7"/>
        <v>23.285299999999999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8"/>
        <v>0126-09</v>
      </c>
      <c r="AE40" s="91" t="str">
        <f t="shared" si="9"/>
        <v>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 &amp; 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</v>
      </c>
      <c r="AF40" s="88" t="str">
        <f t="shared" si="10"/>
        <v>"C:\Program Files (x86)\AstroGrep\AstroGrep.exe" /spath="%USERPROFILE%\AppData\Local\Temp\OnboardLogs" /stypes="app*4032*20161209*" /stext=" 15:.+((SYSTEM_STATE.+slice.+state.+changed )|(ment ac)|(multiple cpu faults)|(system.+state.+changed )|(\[timeout)|(PRM\|1\|D)|(kpr)|(kdp)|(\|lc)|(penalty))" /e /r /s</v>
      </c>
      <c r="AG40" s="1" t="str">
        <f t="shared" si="11"/>
        <v>EC</v>
      </c>
      <c r="AH40" s="92" t="str">
        <f t="shared" si="14"/>
        <v>"%USERPROFILE%\Documents\GitHub\eaglep3\Utilities\RefineRTDCRunTimes.py" --tripid 126-09 --locoid 4032 --swversion DE.1.0.8.0 --startMP 204:233000 --initTime 2016-12-09T07:37:30 --startdatetime 2016-12-09T07:41:16 --delay 1 --endMP 204:147 --enddatetime 2016-12-09T08:22:22 --enforcementcount 0 &gt;&gt;C:\Users\stu\Documents\GitHub\eaglep3-reporting\EC\2016-12-09-refined-times.txt</v>
      </c>
      <c r="AI40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{"issue":{"subject":"","project_id":79,"tracker_id":40,"status_id":1,"priority_id":2,"assigned_to_id":23,"start_date":"2016-12-09","description":"","custom_fields":[{"id":1,"name":"Subdivision","value":"EC"},{"id":4,"name":"Milepost","value":"0.0147"},{"id":17,"name":"Train ID","value":"126-09"},{"id":16,"name":"Locomotive ID","value":"4032"},{"id":130,"name":"Impact","value":""},{"id":150,"name":"Time of Event (Mountain Time)","value":"08:22:22"},{"id":151,"name":"Denver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547</v>
      </c>
      <c r="B41" s="7">
        <v>4029</v>
      </c>
      <c r="C41" s="22" t="s">
        <v>206</v>
      </c>
      <c r="D41" s="22" t="s">
        <v>289</v>
      </c>
      <c r="E41" s="13">
        <v>42713.289421296293</v>
      </c>
      <c r="F41" s="13">
        <v>42713.292141203703</v>
      </c>
      <c r="G41" s="7">
        <v>1</v>
      </c>
      <c r="H41" s="22" t="s">
        <v>437</v>
      </c>
      <c r="I41" s="13">
        <v>42713.317129629628</v>
      </c>
      <c r="J41" s="7">
        <v>0</v>
      </c>
      <c r="K41" s="109" t="str">
        <f t="shared" si="0"/>
        <v>4029/4030</v>
      </c>
      <c r="L41" s="22" t="str">
        <f>VLOOKUP(A41,'Trips&amp;Operators'!$C$1:$G$99999,5,FALSE)</f>
        <v>MAELZER KURT</v>
      </c>
      <c r="M41" s="6">
        <f t="shared" si="1"/>
        <v>2.4988425924675539E-2</v>
      </c>
      <c r="N41" s="7">
        <f t="shared" si="17"/>
        <v>35.983333331532776</v>
      </c>
      <c r="O41" s="7"/>
      <c r="P41" s="7"/>
      <c r="Q41" s="23"/>
      <c r="R41" s="23"/>
      <c r="S41" s="35">
        <f t="shared" si="18"/>
        <v>1</v>
      </c>
      <c r="T41" s="50" t="str">
        <f t="shared" si="2"/>
        <v>NorthBound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05:56:46-700',mode:absolute,to:'2016-12-09 08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1" s="52" t="str">
        <f t="shared" si="4"/>
        <v>N</v>
      </c>
      <c r="X41" s="177">
        <f t="shared" si="5"/>
        <v>1</v>
      </c>
      <c r="Y41" s="67">
        <f t="shared" si="6"/>
        <v>4.53E-2</v>
      </c>
      <c r="Z41" s="67">
        <f t="shared" si="16"/>
        <v>23.330300000000001</v>
      </c>
      <c r="AA41" s="67">
        <f t="shared" si="7"/>
        <v>23.285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8"/>
        <v>0127-09</v>
      </c>
      <c r="AE41" s="91" t="str">
        <f t="shared" si="9"/>
        <v>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 &amp; aws s3 cp s3://rtdc.mdm.uploadarchive.raw/RTDC4029/ "%USERPROFILE%\AppData\Local\Temp\OnboardLogs"\RTDC4029\2016-12-10 --exclude "*" --recursive --include "*20161210*" &amp; "%USERPROFILE%\Documents\GitHub\mrs-test-scripts\Headless Mode &amp; Sideloading\WalkAndUnGZ.bat" "%USERPROFILE%\AppData\Local\Temp\OnboardLogs"\RTDC4029\2016-12-10</v>
      </c>
      <c r="AF41" s="88" t="str">
        <f t="shared" si="10"/>
        <v>"C:\Program Files (x86)\AstroGrep\AstroGrep.exe" /spath="%USERPROFILE%\AppData\Local\Temp\OnboardLogs" /stypes="app*4029*20161209*" /stext=" 14:.+((SYSTEM_STATE.+slice.+state.+changed )|(ment ac)|(multiple cpu faults)|(system.+state.+changed )|(\[timeout)|(PRM\|1\|D)|(kpr)|(kdp)|(\|lc)|(penalty))" /e /r /s</v>
      </c>
      <c r="AG41" s="1" t="str">
        <f t="shared" si="11"/>
        <v>EC</v>
      </c>
      <c r="AH41" s="92" t="str">
        <f t="shared" si="14"/>
        <v>"%USERPROFILE%\Documents\GitHub\eaglep3\Utilities\RefineRTDCRunTimes.py" --tripid 127-09 --locoid 4029 --swversion DE.1.0.8.0 --startMP 204:453 --initTime 2016-12-09T06:56:46 --startdatetime 2016-12-09T07:00:41 --delay 1 --endMP 204:233303 --enddatetime 2016-12-09T07:36:40 --enforcementcount 0 &gt;&gt;C:\Users\stu\Documents\GitHub\eaglep3-reporting\EC\2016-12-09-refined-times.txt</v>
      </c>
      <c r="AI41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{"issue":{"subject":"","project_id":79,"tracker_id":40,"status_id":1,"priority_id":2,"assigned_to_id":23,"start_date":"2016-12-09","description":"","custom_fields":[{"id":1,"name":"Subdivision","value":"EC"},{"id":4,"name":"Milepost","value":"23.3303"},{"id":17,"name":"Train ID","value":"127-09"},{"id":16,"name":"Locomotive ID","value":"4029"},{"id":130,"name":"Impact","value":""},{"id":150,"name":"Time of Event (Mountain Time)","value":"07:36:40"},{"id":151,"name":"Denver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485</v>
      </c>
      <c r="B42" s="7">
        <v>4030</v>
      </c>
      <c r="C42" s="22" t="s">
        <v>206</v>
      </c>
      <c r="D42" s="22" t="s">
        <v>434</v>
      </c>
      <c r="E42" s="13">
        <v>42713.325243055559</v>
      </c>
      <c r="F42" s="13">
        <v>42713.330821759257</v>
      </c>
      <c r="G42" s="7">
        <v>0</v>
      </c>
      <c r="H42" s="22" t="s">
        <v>293</v>
      </c>
      <c r="I42" s="13">
        <v>42713.359212962961</v>
      </c>
      <c r="J42" s="7">
        <v>0</v>
      </c>
      <c r="K42" s="109" t="str">
        <f t="shared" si="0"/>
        <v>4029/4030</v>
      </c>
      <c r="L42" s="22" t="str">
        <f>VLOOKUP(A42,'Trips&amp;Operators'!$C$1:$G$99999,5,FALSE)</f>
        <v>MAELZER KURT</v>
      </c>
      <c r="M42" s="6">
        <f t="shared" si="1"/>
        <v>2.8391203704813961E-2</v>
      </c>
      <c r="N42" s="7">
        <f t="shared" si="17"/>
        <v>40.883333334932104</v>
      </c>
      <c r="O42" s="7"/>
      <c r="P42" s="7"/>
      <c r="Q42" s="23"/>
      <c r="R42" s="23"/>
      <c r="S42" s="35">
        <f t="shared" si="18"/>
        <v>1</v>
      </c>
      <c r="T42" s="50" t="str">
        <f t="shared" si="2"/>
        <v>Southbound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06:48:21-700',mode:absolute,to:'2016-12-09 09:37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2" s="52" t="str">
        <f t="shared" si="4"/>
        <v>N</v>
      </c>
      <c r="X42" s="177">
        <f t="shared" si="5"/>
        <v>1</v>
      </c>
      <c r="Y42" s="67">
        <f t="shared" si="6"/>
        <v>23.299600000000002</v>
      </c>
      <c r="Z42" s="67">
        <f t="shared" si="16"/>
        <v>1.52E-2</v>
      </c>
      <c r="AA42" s="67">
        <f t="shared" si="7"/>
        <v>23.284400000000002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8"/>
        <v>0128-09</v>
      </c>
      <c r="AE42" s="91" t="str">
        <f t="shared" si="9"/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AF42" s="88" t="str">
        <f t="shared" si="10"/>
        <v>"C:\Program Files (x86)\AstroGrep\AstroGrep.exe" /spath="%USERPROFILE%\AppData\Local\Temp\OnboardLogs" /stypes="app*4030*20161209*" /stext=" 15:.+((SYSTEM_STATE.+slice.+state.+changed )|(ment ac)|(multiple cpu faults)|(system.+state.+changed )|(\[timeout)|(PRM\|1\|D)|(kpr)|(kdp)|(\|lc)|(penalty))" /e /r /s</v>
      </c>
      <c r="AG42" s="1" t="str">
        <f t="shared" si="11"/>
        <v>EC</v>
      </c>
      <c r="AH42" s="92" t="str">
        <f t="shared" si="14"/>
        <v>"%USERPROFILE%\Documents\GitHub\eaglep3\Utilities\RefineRTDCRunTimes.py" --tripid 128-09 --locoid 4030 --swversion DE.1.0.8.0 --startMP 204:232996 --initTime 2016-12-09T07:48:21 --startdatetime 2016-12-09T07:56:23 --delay 0 --endMP 204:152 --enddatetime 2016-12-09T08:37:16 --enforcementcount 0 &gt;&gt;C:\Users\stu\Documents\GitHub\eaglep3-reporting\EC\2016-12-09-refined-times.txt</v>
      </c>
      <c r="AI42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{"issue":{"subject":"","project_id":79,"tracker_id":40,"status_id":1,"priority_id":2,"assigned_to_id":23,"start_date":"2016-12-09","description":"","custom_fields":[{"id":1,"name":"Subdivision","value":"EC"},{"id":4,"name":"Milepost","value":"0.0152"},{"id":17,"name":"Train ID","value":"128-09"},{"id":16,"name":"Locomotive ID","value":"4030"},{"id":130,"name":"Impact","value":""},{"id":150,"name":"Time of Event (Mountain Time)","value":"08:37:16"},{"id":151,"name":"Denver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550</v>
      </c>
      <c r="B43" s="7">
        <v>4025</v>
      </c>
      <c r="C43" s="22" t="s">
        <v>206</v>
      </c>
      <c r="D43" s="22" t="s">
        <v>286</v>
      </c>
      <c r="E43" s="13">
        <v>42713.29991898148</v>
      </c>
      <c r="F43" s="13">
        <v>42713.302685185183</v>
      </c>
      <c r="G43" s="7">
        <v>1</v>
      </c>
      <c r="H43" s="22" t="s">
        <v>443</v>
      </c>
      <c r="I43" s="13">
        <v>42713.328715277778</v>
      </c>
      <c r="J43" s="7">
        <v>0</v>
      </c>
      <c r="K43" s="109" t="str">
        <f t="shared" si="0"/>
        <v>4025/4026</v>
      </c>
      <c r="L43" s="22" t="str">
        <f>VLOOKUP(A43,'Trips&amp;Operators'!$C$1:$G$99999,5,FALSE)</f>
        <v>ROCHA YAOTL</v>
      </c>
      <c r="M43" s="6">
        <f t="shared" si="1"/>
        <v>2.6030092594737653E-2</v>
      </c>
      <c r="N43" s="7">
        <f t="shared" si="17"/>
        <v>37.48333333642222</v>
      </c>
      <c r="O43" s="7"/>
      <c r="P43" s="7"/>
      <c r="Q43" s="23"/>
      <c r="R43" s="23"/>
      <c r="S43" s="35">
        <f t="shared" si="18"/>
        <v>1</v>
      </c>
      <c r="T43" s="50" t="str">
        <f t="shared" si="2"/>
        <v>NorthBound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06:11:53-700',mode:absolute,to:'2016-12-09 08:53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3" s="52" t="str">
        <f t="shared" si="4"/>
        <v>N</v>
      </c>
      <c r="X43" s="177">
        <f t="shared" si="5"/>
        <v>1</v>
      </c>
      <c r="Y43" s="67">
        <f t="shared" si="6"/>
        <v>4.6899999999999997E-2</v>
      </c>
      <c r="Z43" s="67">
        <f t="shared" si="16"/>
        <v>23.329499999999999</v>
      </c>
      <c r="AA43" s="67">
        <f t="shared" si="7"/>
        <v>23.282599999999999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8"/>
        <v>0129-09</v>
      </c>
      <c r="AE43" s="91" t="str">
        <f t="shared" si="9"/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AF43" s="88" t="str">
        <f t="shared" si="10"/>
        <v>"C:\Program Files (x86)\AstroGrep\AstroGrep.exe" /spath="%USERPROFILE%\AppData\Local\Temp\OnboardLogs" /stypes="app*4025*20161209*" /stext=" 14:.+((SYSTEM_STATE.+slice.+state.+changed )|(ment ac)|(multiple cpu faults)|(system.+state.+changed )|(\[timeout)|(PRM\|1\|D)|(kpr)|(kdp)|(\|lc)|(penalty))" /e /r /s</v>
      </c>
      <c r="AG43" s="1" t="str">
        <f t="shared" si="11"/>
        <v>EC</v>
      </c>
      <c r="AH43" s="92" t="str">
        <f t="shared" si="14"/>
        <v>"%USERPROFILE%\Documents\GitHub\eaglep3\Utilities\RefineRTDCRunTimes.py" --tripid 129-09 --locoid 4025 --swversion DE.1.0.8.0 --startMP 204:469 --initTime 2016-12-09T07:11:53 --startdatetime 2016-12-09T07:15:52 --delay 1 --endMP 204:233295 --enddatetime 2016-12-09T07:53:21 --enforcementcount 0 &gt;&gt;C:\Users\stu\Documents\GitHub\eaglep3-reporting\EC\2016-12-09-refined-times.txt</v>
      </c>
      <c r="AI43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{"issue":{"subject":"","project_id":79,"tracker_id":40,"status_id":1,"priority_id":2,"assigned_to_id":23,"start_date":"2016-12-09","description":"","custom_fields":[{"id":1,"name":"Subdivision","value":"EC"},{"id":4,"name":"Milepost","value":"23.3295"},{"id":17,"name":"Train ID","value":"129-09"},{"id":16,"name":"Locomotive ID","value":"4025"},{"id":130,"name":"Impact","value":""},{"id":150,"name":"Time of Event (Mountain Time)","value":"07:53:21"},{"id":151,"name":"Denver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558</v>
      </c>
      <c r="B44" s="7">
        <v>4026</v>
      </c>
      <c r="C44" s="22" t="s">
        <v>206</v>
      </c>
      <c r="D44" s="22" t="s">
        <v>435</v>
      </c>
      <c r="E44" s="13">
        <v>42713.334016203706</v>
      </c>
      <c r="F44" s="13">
        <v>42713.341203703705</v>
      </c>
      <c r="G44" s="7">
        <v>1</v>
      </c>
      <c r="H44" s="22" t="s">
        <v>331</v>
      </c>
      <c r="I44" s="13">
        <v>42713.37059027778</v>
      </c>
      <c r="J44" s="7">
        <v>0</v>
      </c>
      <c r="K44" s="109" t="str">
        <f t="shared" si="0"/>
        <v>4025/4026</v>
      </c>
      <c r="L44" s="22" t="str">
        <f>VLOOKUP(A44,'Trips&amp;Operators'!$C$1:$G$99999,5,FALSE)</f>
        <v>ROCHA YAOTL</v>
      </c>
      <c r="M44" s="6">
        <f t="shared" si="1"/>
        <v>2.9386574075033423E-2</v>
      </c>
      <c r="N44" s="7">
        <f t="shared" si="17"/>
        <v>42.316666668048128</v>
      </c>
      <c r="O44" s="7"/>
      <c r="P44" s="7"/>
      <c r="Q44" s="23"/>
      <c r="R44" s="23"/>
      <c r="S44" s="35">
        <f t="shared" si="18"/>
        <v>1</v>
      </c>
      <c r="T44" s="50" t="str">
        <f t="shared" si="2"/>
        <v>Southbound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07:00:59-700',mode:absolute,to:'2016-12-09 09:53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4" s="52" t="str">
        <f t="shared" si="4"/>
        <v>N</v>
      </c>
      <c r="X44" s="177">
        <f t="shared" si="5"/>
        <v>1</v>
      </c>
      <c r="Y44" s="67">
        <f t="shared" si="6"/>
        <v>23.298300000000001</v>
      </c>
      <c r="Z44" s="67">
        <f t="shared" si="16"/>
        <v>1.47E-2</v>
      </c>
      <c r="AA44" s="67">
        <f t="shared" si="7"/>
        <v>23.2836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8"/>
        <v>0130-09</v>
      </c>
      <c r="AE44" s="91" t="str">
        <f t="shared" si="9"/>
        <v>aws s3 cp s3://rtdc.mdm.uploadarchive.raw/RTDC4026/ "%USERPROFILE%\AppData\Local\Temp\OnboardLogs"\RTDC4026\2016-12-09 --exclude "*" --recursive --include "*20161209*" &amp; "%USERPROFILE%\Documents\GitHub\mrs-test-scripts\Headless Mode &amp; Sideloading\WalkAndUnGZ.bat" "%USERPROFILE%\AppData\Local\Temp\OnboardLogs"\RTDC4026\2016-12-09 &amp; 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</v>
      </c>
      <c r="AF44" s="88" t="str">
        <f t="shared" si="10"/>
        <v>"C:\Program Files (x86)\AstroGrep\AstroGrep.exe" /spath="%USERPROFILE%\AppData\Local\Temp\OnboardLogs" /stypes="app*4026*20161209*" /stext=" 15:.+((SYSTEM_STATE.+slice.+state.+changed )|(ment ac)|(multiple cpu faults)|(system.+state.+changed )|(\[timeout)|(PRM\|1\|D)|(kpr)|(kdp)|(\|lc)|(penalty))" /e /r /s</v>
      </c>
      <c r="AG44" s="1" t="str">
        <f t="shared" si="11"/>
        <v>EC</v>
      </c>
      <c r="AH44" s="92" t="str">
        <f t="shared" si="14"/>
        <v>"%USERPROFILE%\Documents\GitHub\eaglep3\Utilities\RefineRTDCRunTimes.py" --tripid 130-09 --locoid 4026 --swversion DE.1.0.8.0 --startMP 204:232983 --initTime 2016-12-09T08:00:59 --startdatetime 2016-12-09T08:11:20 --delay 1 --endMP 204:147 --enddatetime 2016-12-09T08:53:39 --enforcementcount 0 &gt;&gt;C:\Users\stu\Documents\GitHub\eaglep3-reporting\EC\2016-12-09-refined-times.txt</v>
      </c>
      <c r="AI44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{"issue":{"subject":"","project_id":79,"tracker_id":40,"status_id":1,"priority_id":2,"assigned_to_id":23,"start_date":"2016-12-09","description":"","custom_fields":[{"id":1,"name":"Subdivision","value":"EC"},{"id":4,"name":"Milepost","value":"0.0147"},{"id":17,"name":"Train ID","value":"130-09"},{"id":16,"name":"Locomotive ID","value":"4026"},{"id":130,"name":"Impact","value":""},{"id":150,"name":"Time of Event (Mountain Time)","value":"08:53:39"},{"id":151,"name":"Denver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551</v>
      </c>
      <c r="B45" s="7">
        <v>4051</v>
      </c>
      <c r="C45" s="22" t="s">
        <v>206</v>
      </c>
      <c r="D45" s="22" t="s">
        <v>238</v>
      </c>
      <c r="E45" s="13">
        <v>42713.308761574073</v>
      </c>
      <c r="F45" s="13">
        <v>42713.312777777777</v>
      </c>
      <c r="G45" s="7">
        <v>1</v>
      </c>
      <c r="H45" s="22" t="s">
        <v>437</v>
      </c>
      <c r="I45" s="13">
        <v>42713.338854166665</v>
      </c>
      <c r="J45" s="7">
        <v>0</v>
      </c>
      <c r="K45" s="109" t="str">
        <f t="shared" si="0"/>
        <v>4051/4052</v>
      </c>
      <c r="L45" s="22" t="str">
        <f>VLOOKUP(A45,'Trips&amp;Operators'!$C$1:$G$99999,5,FALSE)</f>
        <v>DAVIS WENDY</v>
      </c>
      <c r="M45" s="6">
        <f t="shared" si="1"/>
        <v>2.6076388887304347E-2</v>
      </c>
      <c r="N45" s="7">
        <f t="shared" si="17"/>
        <v>37.54999999771826</v>
      </c>
      <c r="O45" s="7"/>
      <c r="P45" s="7"/>
      <c r="Q45" s="23"/>
      <c r="R45" s="23"/>
      <c r="S45" s="35">
        <f t="shared" si="18"/>
        <v>1</v>
      </c>
      <c r="T45" s="50" t="str">
        <f t="shared" si="2"/>
        <v>NorthBound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06:24:37-700',mode:absolute,to:'2016-12-09 09:07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45" s="52" t="str">
        <f t="shared" si="4"/>
        <v>N</v>
      </c>
      <c r="X45" s="177">
        <f t="shared" si="5"/>
        <v>1</v>
      </c>
      <c r="Y45" s="67">
        <f t="shared" si="6"/>
        <v>4.5999999999999999E-2</v>
      </c>
      <c r="Z45" s="67">
        <f t="shared" si="16"/>
        <v>23.330300000000001</v>
      </c>
      <c r="AA45" s="67">
        <f t="shared" si="7"/>
        <v>23.284300000000002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8"/>
        <v>0131-09</v>
      </c>
      <c r="AE45" s="91" t="str">
        <f t="shared" si="9"/>
        <v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v>
      </c>
      <c r="AF45" s="88" t="str">
        <f t="shared" si="10"/>
        <v>"C:\Program Files (x86)\AstroGrep\AstroGrep.exe" /spath="%USERPROFILE%\AppData\Local\Temp\OnboardLogs" /stypes="app*4051*20161209*" /stext=" 15:.+((SYSTEM_STATE.+slice.+state.+changed )|(ment ac)|(multiple cpu faults)|(system.+state.+changed )|(\[timeout)|(PRM\|1\|D)|(kpr)|(kdp)|(\|lc)|(penalty))" /e /r /s</v>
      </c>
      <c r="AG45" s="1" t="str">
        <f t="shared" si="11"/>
        <v>EC</v>
      </c>
      <c r="AH45" s="92" t="str">
        <f t="shared" si="14"/>
        <v>"%USERPROFILE%\Documents\GitHub\eaglep3\Utilities\RefineRTDCRunTimes.py" --tripid 131-09 --locoid 4051 --swversion DE.1.0.8.0 --startMP 204:460 --initTime 2016-12-09T07:24:37 --startdatetime 2016-12-09T07:30:24 --delay 1 --endMP 204:233303 --enddatetime 2016-12-09T08:07:57 --enforcementcount 0 &gt;&gt;C:\Users\stu\Documents\GitHub\eaglep3-reporting\EC\2016-12-09-refined-times.txt</v>
      </c>
      <c r="AI45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{"issue":{"subject":"","project_id":79,"tracker_id":40,"status_id":1,"priority_id":2,"assigned_to_id":23,"start_date":"2016-12-09","description":"","custom_fields":[{"id":1,"name":"Subdivision","value":"EC"},{"id":4,"name":"Milepost","value":"23.3303"},{"id":17,"name":"Train ID","value":"131-09"},{"id":16,"name":"Locomotive ID","value":"4051"},{"id":130,"name":"Impact","value":""},{"id":150,"name":"Time of Event (Mountain Time)","value":"08:07:57"},{"id":151,"name":"Denver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561</v>
      </c>
      <c r="B46" s="7">
        <v>4052</v>
      </c>
      <c r="C46" s="22" t="s">
        <v>206</v>
      </c>
      <c r="D46" s="22" t="s">
        <v>336</v>
      </c>
      <c r="E46" s="13">
        <v>42713.347326388888</v>
      </c>
      <c r="F46" s="13">
        <v>42713.351550925923</v>
      </c>
      <c r="G46" s="7">
        <v>1</v>
      </c>
      <c r="H46" s="22" t="s">
        <v>204</v>
      </c>
      <c r="I46" s="13">
        <v>42713.380949074075</v>
      </c>
      <c r="J46" s="7">
        <v>0</v>
      </c>
      <c r="K46" s="109" t="str">
        <f t="shared" si="0"/>
        <v>4051/4052</v>
      </c>
      <c r="L46" s="22" t="str">
        <f>VLOOKUP(A46,'Trips&amp;Operators'!$C$1:$G$99999,5,FALSE)</f>
        <v>DAVIS WENDY</v>
      </c>
      <c r="M46" s="6">
        <f t="shared" si="1"/>
        <v>2.9398148151813075E-2</v>
      </c>
      <c r="N46" s="7">
        <f t="shared" si="17"/>
        <v>42.333333338610828</v>
      </c>
      <c r="O46" s="7"/>
      <c r="P46" s="7"/>
      <c r="Q46" s="23"/>
      <c r="R46" s="23"/>
      <c r="S46" s="35">
        <f t="shared" si="18"/>
        <v>1</v>
      </c>
      <c r="T46" s="50" t="str">
        <f t="shared" si="2"/>
        <v>Southbound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07:20:09-700',mode:absolute,to:'2016-12-09 10:08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46" s="52" t="str">
        <f t="shared" si="4"/>
        <v>N</v>
      </c>
      <c r="X46" s="177">
        <f t="shared" si="5"/>
        <v>1</v>
      </c>
      <c r="Y46" s="67">
        <f t="shared" si="6"/>
        <v>23.2973</v>
      </c>
      <c r="Z46" s="67">
        <f t="shared" si="16"/>
        <v>1.5599999999999999E-2</v>
      </c>
      <c r="AA46" s="67">
        <f t="shared" si="7"/>
        <v>23.281700000000001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8"/>
        <v>0132-09</v>
      </c>
      <c r="AE46" s="91" t="str">
        <f t="shared" si="9"/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AF46" s="88" t="str">
        <f t="shared" si="10"/>
        <v>"C:\Program Files (x86)\AstroGrep\AstroGrep.exe" /spath="%USERPROFILE%\AppData\Local\Temp\OnboardLogs" /stypes="app*4052*20161209*" /stext=" 16:.+((SYSTEM_STATE.+slice.+state.+changed )|(ment ac)|(multiple cpu faults)|(system.+state.+changed )|(\[timeout)|(PRM\|1\|D)|(kpr)|(kdp)|(\|lc)|(penalty))" /e /r /s</v>
      </c>
      <c r="AG46" s="1" t="str">
        <f t="shared" si="11"/>
        <v>EC</v>
      </c>
      <c r="AH46" s="92" t="str">
        <f t="shared" si="14"/>
        <v>"%USERPROFILE%\Documents\GitHub\eaglep3\Utilities\RefineRTDCRunTimes.py" --tripid 132-09 --locoid 4052 --swversion DE.1.0.8.0 --startMP 204:232973 --initTime 2016-12-09T08:20:09 --startdatetime 2016-12-09T08:26:14 --delay 1 --endMP 204:156 --enddatetime 2016-12-09T09:08:34 --enforcementcount 0 &gt;&gt;C:\Users\stu\Documents\GitHub\eaglep3-reporting\EC\2016-12-09-refined-times.txt</v>
      </c>
      <c r="AI46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{"issue":{"subject":"","project_id":79,"tracker_id":40,"status_id":1,"priority_id":2,"assigned_to_id":23,"start_date":"2016-12-09","description":"","custom_fields":[{"id":1,"name":"Subdivision","value":"EC"},{"id":4,"name":"Milepost","value":"0.0156"},{"id":17,"name":"Train ID","value":"132-09"},{"id":16,"name":"Locomotive ID","value":"4052"},{"id":130,"name":"Impact","value":""},{"id":150,"name":"Time of Event (Mountain Time)","value":"09:08:34"},{"id":151,"name":"Denver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483</v>
      </c>
      <c r="B47" s="7">
        <v>4002</v>
      </c>
      <c r="C47" s="22" t="s">
        <v>206</v>
      </c>
      <c r="D47" s="22" t="s">
        <v>238</v>
      </c>
      <c r="E47" s="13">
        <v>42713.321238425924</v>
      </c>
      <c r="F47" s="13">
        <v>42713.323148148149</v>
      </c>
      <c r="G47" s="7">
        <v>1</v>
      </c>
      <c r="H47" s="22" t="s">
        <v>274</v>
      </c>
      <c r="I47" s="13">
        <v>42713.34946759259</v>
      </c>
      <c r="J47" s="7">
        <v>0</v>
      </c>
      <c r="K47" s="109" t="str">
        <f t="shared" si="0"/>
        <v>4001/4002</v>
      </c>
      <c r="L47" s="22" t="str">
        <f>VLOOKUP(A47,'Trips&amp;Operators'!$C$1:$G$99999,5,FALSE)</f>
        <v>ROBINSON KADDIBA</v>
      </c>
      <c r="M47" s="6">
        <f t="shared" si="1"/>
        <v>2.6319444441469386E-2</v>
      </c>
      <c r="N47" s="7">
        <f t="shared" si="17"/>
        <v>37.899999995715916</v>
      </c>
      <c r="O47" s="7"/>
      <c r="P47" s="7"/>
      <c r="Q47" s="23"/>
      <c r="R47" s="23"/>
      <c r="S47" s="35">
        <f t="shared" si="18"/>
        <v>1</v>
      </c>
      <c r="T47" s="50" t="str">
        <f t="shared" si="2"/>
        <v>NorthBound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06:42:35-700',mode:absolute,to:'2016-12-09 09:23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7" s="52" t="str">
        <f t="shared" si="4"/>
        <v>N</v>
      </c>
      <c r="X47" s="177">
        <f t="shared" si="5"/>
        <v>1</v>
      </c>
      <c r="Y47" s="67">
        <f t="shared" si="6"/>
        <v>4.5999999999999999E-2</v>
      </c>
      <c r="Z47" s="67">
        <f t="shared" si="16"/>
        <v>23.331199999999999</v>
      </c>
      <c r="AA47" s="67">
        <f t="shared" si="7"/>
        <v>23.2852</v>
      </c>
      <c r="AB47" s="64" t="str">
        <f>VLOOKUP(A47,Enforcements!$C$7:$K$20,8,0)</f>
        <v>Bulletin (2)</v>
      </c>
      <c r="AC47" s="60" t="str">
        <f>VLOOKUP(A47,Enforcements!$C$7:$E$20,3,0)</f>
        <v>GRADE CROSSING</v>
      </c>
      <c r="AD47" s="61" t="str">
        <f t="shared" si="8"/>
        <v>0133-09</v>
      </c>
      <c r="AE47" s="91" t="str">
        <f t="shared" si="9"/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AF47" s="88" t="str">
        <f t="shared" si="10"/>
        <v>"C:\Program Files (x86)\AstroGrep\AstroGrep.exe" /spath="%USERPROFILE%\AppData\Local\Temp\OnboardLogs" /stypes="app*4002*20161209*" /stext=" 15:.+((SYSTEM_STATE.+slice.+state.+changed )|(ment ac)|(multiple cpu faults)|(system.+state.+changed )|(\[timeout)|(PRM\|1\|D)|(kpr)|(kdp)|(\|lc)|(penalty))" /e /r /s</v>
      </c>
      <c r="AG47" s="1" t="str">
        <f t="shared" si="11"/>
        <v>EC</v>
      </c>
      <c r="AH47" s="92" t="str">
        <f t="shared" si="14"/>
        <v>"%USERPROFILE%\Documents\GitHub\eaglep3\Utilities\RefineRTDCRunTimes.py" --tripid 133-09 --locoid 4002 --swversion DE.1.0.8.0 --startMP 204:460 --initTime 2016-12-09T07:42:35 --startdatetime 2016-12-09T07:45:20 --delay 1 --endMP 204:233312 --enddatetime 2016-12-09T08:23:14 --enforcementcount 0 &gt;&gt;C:\Users\stu\Documents\GitHub\eaglep3-reporting\EC\2016-12-09-refined-times.txt</v>
      </c>
      <c r="AI47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{"issue":{"subject":"","project_id":79,"tracker_id":40,"status_id":1,"priority_id":2,"assigned_to_id":23,"start_date":"2016-12-09","description":"","custom_fields":[{"id":1,"name":"Subdivision","value":"EC"},{"id":4,"name":"Milepost","value":"23.3312"},{"id":17,"name":"Train ID","value":"133-09"},{"id":16,"name":"Locomotive ID","value":"4002"},{"id":130,"name":"Impact","value":""},{"id":150,"name":"Time of Event (Mountain Time)","value":"08:23:14"},{"id":151,"name":"Denver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563</v>
      </c>
      <c r="B48" s="7">
        <v>4001</v>
      </c>
      <c r="C48" s="22" t="s">
        <v>206</v>
      </c>
      <c r="D48" s="22" t="s">
        <v>296</v>
      </c>
      <c r="E48" s="13">
        <v>42713.352164351854</v>
      </c>
      <c r="F48" s="13">
        <v>42713.362025462964</v>
      </c>
      <c r="G48" s="7">
        <v>1</v>
      </c>
      <c r="H48" s="22" t="s">
        <v>331</v>
      </c>
      <c r="I48" s="13">
        <v>42713.3903125</v>
      </c>
      <c r="J48" s="7">
        <v>0</v>
      </c>
      <c r="K48" s="109" t="str">
        <f t="shared" si="0"/>
        <v>4001/4002</v>
      </c>
      <c r="L48" s="22" t="str">
        <f>VLOOKUP(A48,'Trips&amp;Operators'!$C$1:$G$99999,5,FALSE)</f>
        <v>ROBINSON KADDIBA</v>
      </c>
      <c r="M48" s="6">
        <f t="shared" si="1"/>
        <v>2.8287037035624962E-2</v>
      </c>
      <c r="N48" s="7">
        <f t="shared" si="17"/>
        <v>40.733333331299946</v>
      </c>
      <c r="O48" s="7"/>
      <c r="P48" s="7"/>
      <c r="Q48" s="23"/>
      <c r="R48" s="23"/>
      <c r="S48" s="35">
        <f t="shared" si="18"/>
        <v>1</v>
      </c>
      <c r="T48" s="50" t="str">
        <f t="shared" si="2"/>
        <v>Southbound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07:27:07-700',mode:absolute,to:'2016-12-09 10:22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8" s="52" t="str">
        <f t="shared" si="4"/>
        <v>N</v>
      </c>
      <c r="X48" s="177">
        <f t="shared" si="5"/>
        <v>1</v>
      </c>
      <c r="Y48" s="67">
        <f t="shared" si="6"/>
        <v>23.299399999999999</v>
      </c>
      <c r="Z48" s="67">
        <f t="shared" si="16"/>
        <v>1.47E-2</v>
      </c>
      <c r="AA48" s="67">
        <f t="shared" si="7"/>
        <v>23.284699999999997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8"/>
        <v>0134-09</v>
      </c>
      <c r="AE48" s="91" t="str">
        <f t="shared" si="9"/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AF48" s="88" t="str">
        <f t="shared" si="10"/>
        <v>"C:\Program Files (x86)\AstroGrep\AstroGrep.exe" /spath="%USERPROFILE%\AppData\Local\Temp\OnboardLogs" /stypes="app*4001*20161209*" /stext=" 16:.+((SYSTEM_STATE.+slice.+state.+changed )|(ment ac)|(multiple cpu faults)|(system.+state.+changed )|(\[timeout)|(PRM\|1\|D)|(kpr)|(kdp)|(\|lc)|(penalty))" /e /r /s</v>
      </c>
      <c r="AG48" s="1" t="str">
        <f t="shared" si="11"/>
        <v>EC</v>
      </c>
      <c r="AH48" s="92" t="str">
        <f t="shared" si="14"/>
        <v>"%USERPROFILE%\Documents\GitHub\eaglep3\Utilities\RefineRTDCRunTimes.py" --tripid 134-09 --locoid 4001 --swversion DE.1.0.8.0 --startMP 204:232994 --initTime 2016-12-09T08:27:07 --startdatetime 2016-12-09T08:41:19 --delay 1 --endMP 204:147 --enddatetime 2016-12-09T09:22:03 --enforcementcount 0 &gt;&gt;C:\Users\stu\Documents\GitHub\eaglep3-reporting\EC\2016-12-09-refined-times.txt</v>
      </c>
      <c r="AI48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{"issue":{"subject":"","project_id":79,"tracker_id":40,"status_id":1,"priority_id":2,"assigned_to_id":23,"start_date":"2016-12-09","description":"","custom_fields":[{"id":1,"name":"Subdivision","value":"EC"},{"id":4,"name":"Milepost","value":"0.0147"},{"id":17,"name":"Train ID","value":"134-09"},{"id":16,"name":"Locomotive ID","value":"4001"},{"id":130,"name":"Impact","value":""},{"id":150,"name":"Time of Event (Mountain Time)","value":"09:22:03"},{"id":151,"name":"Denver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484</v>
      </c>
      <c r="B49" s="7">
        <v>4011</v>
      </c>
      <c r="C49" s="22" t="s">
        <v>206</v>
      </c>
      <c r="D49" s="22" t="s">
        <v>717</v>
      </c>
      <c r="E49" s="13">
        <v>42713.328726851854</v>
      </c>
      <c r="F49" s="13">
        <v>42713.333506944444</v>
      </c>
      <c r="G49" s="7">
        <v>1</v>
      </c>
      <c r="H49" s="22" t="s">
        <v>443</v>
      </c>
      <c r="I49" s="13">
        <v>42713.359837962962</v>
      </c>
      <c r="J49" s="7">
        <v>0</v>
      </c>
      <c r="K49" s="109" t="str">
        <f t="shared" si="0"/>
        <v>4011/4012</v>
      </c>
      <c r="L49" s="22" t="str">
        <f>VLOOKUP(A49,'Trips&amp;Operators'!$C$1:$G$99999,5,FALSE)</f>
        <v>SANTIZO D. EDY</v>
      </c>
      <c r="M49" s="6">
        <f t="shared" si="1"/>
        <v>2.6331018518249039E-2</v>
      </c>
      <c r="N49" s="7">
        <f t="shared" si="17"/>
        <v>37.916666666278616</v>
      </c>
      <c r="O49" s="7"/>
      <c r="P49" s="7"/>
      <c r="Q49" s="23"/>
      <c r="R49" s="23"/>
      <c r="S49" s="35">
        <f t="shared" si="18"/>
        <v>1</v>
      </c>
      <c r="T49" s="50" t="str">
        <f t="shared" si="2"/>
        <v>NorthBound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06:53:22-700',mode:absolute,to:'2016-12-09 09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9" s="52" t="str">
        <f t="shared" si="4"/>
        <v>N</v>
      </c>
      <c r="X49" s="177">
        <f t="shared" si="5"/>
        <v>1</v>
      </c>
      <c r="Y49" s="67">
        <f t="shared" si="6"/>
        <v>5.0200000000000002E-2</v>
      </c>
      <c r="Z49" s="67">
        <f t="shared" si="16"/>
        <v>23.329499999999999</v>
      </c>
      <c r="AA49" s="67">
        <f t="shared" si="7"/>
        <v>23.279299999999999</v>
      </c>
      <c r="AB49" s="64" t="str">
        <f>VLOOKUP(A49,Enforcements!$C$7:$K$20,8,0)</f>
        <v>Bulletin (2)</v>
      </c>
      <c r="AC49" s="60" t="str">
        <f>VLOOKUP(A49,Enforcements!$C$7:$E$20,3,0)</f>
        <v>GRADE CROSSING</v>
      </c>
      <c r="AD49" s="61" t="str">
        <f t="shared" si="8"/>
        <v>0135-09</v>
      </c>
      <c r="AE49" s="91" t="str">
        <f t="shared" si="9"/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AF49" s="88" t="str">
        <f t="shared" si="10"/>
        <v>"C:\Program Files (x86)\AstroGrep\AstroGrep.exe" /spath="%USERPROFILE%\AppData\Local\Temp\OnboardLogs" /stypes="app*4011*20161209*" /stext=" 15:.+((SYSTEM_STATE.+slice.+state.+changed )|(ment ac)|(multiple cpu faults)|(system.+state.+changed )|(\[timeout)|(PRM\|1\|D)|(kpr)|(kdp)|(\|lc)|(penalty))" /e /r /s</v>
      </c>
      <c r="AG49" s="1" t="str">
        <f t="shared" si="11"/>
        <v>EC</v>
      </c>
      <c r="AH49" s="92" t="str">
        <f t="shared" si="14"/>
        <v>"%USERPROFILE%\Documents\GitHub\eaglep3\Utilities\RefineRTDCRunTimes.py" --tripid 135-09 --locoid 4011 --swversion DE.1.0.8.0 --startMP 204:502 --initTime 2016-12-09T07:53:22 --startdatetime 2016-12-09T08:00:15 --delay 1 --endMP 204:233295 --enddatetime 2016-12-09T08:38:10 --enforcementcount 0 &gt;&gt;C:\Users\stu\Documents\GitHub\eaglep3-reporting\EC\2016-12-09-refined-times.txt</v>
      </c>
      <c r="AI49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{"issue":{"subject":"","project_id":79,"tracker_id":40,"status_id":1,"priority_id":2,"assigned_to_id":23,"start_date":"2016-12-09","description":"","custom_fields":[{"id":1,"name":"Subdivision","value":"EC"},{"id":4,"name":"Milepost","value":"23.3295"},{"id":17,"name":"Train ID","value":"135-09"},{"id":16,"name":"Locomotive ID","value":"4011"},{"id":130,"name":"Impact","value":""},{"id":150,"name":"Time of Event (Mountain Time)","value":"08:38:10"},{"id":151,"name":"Denver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566</v>
      </c>
      <c r="B50" s="7">
        <v>4012</v>
      </c>
      <c r="C50" s="22" t="s">
        <v>206</v>
      </c>
      <c r="D50" s="22" t="s">
        <v>336</v>
      </c>
      <c r="E50" s="13">
        <v>42713.361145833333</v>
      </c>
      <c r="F50" s="13">
        <v>42713.372442129628</v>
      </c>
      <c r="G50" s="7">
        <v>1</v>
      </c>
      <c r="H50" s="22" t="s">
        <v>226</v>
      </c>
      <c r="I50" s="13">
        <v>42713.400266203702</v>
      </c>
      <c r="J50" s="7">
        <v>0</v>
      </c>
      <c r="K50" s="109" t="str">
        <f t="shared" si="0"/>
        <v>4011/4012</v>
      </c>
      <c r="L50" s="22" t="str">
        <f>VLOOKUP(A50,'Trips&amp;Operators'!$C$1:$G$99999,5,FALSE)</f>
        <v>SANTIZO D. EDY</v>
      </c>
      <c r="M50" s="6">
        <f t="shared" si="1"/>
        <v>2.7824074073578231E-2</v>
      </c>
      <c r="N50" s="7">
        <f t="shared" si="17"/>
        <v>40.066666665952653</v>
      </c>
      <c r="O50" s="7"/>
      <c r="P50" s="7"/>
      <c r="Q50" s="23"/>
      <c r="R50" s="23"/>
      <c r="S50" s="35">
        <f t="shared" si="18"/>
        <v>1</v>
      </c>
      <c r="T50" s="50" t="str">
        <f t="shared" si="2"/>
        <v>Southbound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07:40:03-700',mode:absolute,to:'2016-12-09 10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0" s="52" t="str">
        <f t="shared" si="4"/>
        <v>N</v>
      </c>
      <c r="X50" s="177">
        <f t="shared" si="5"/>
        <v>1</v>
      </c>
      <c r="Y50" s="67">
        <f t="shared" si="6"/>
        <v>23.2973</v>
      </c>
      <c r="Z50" s="67">
        <f t="shared" si="16"/>
        <v>1.54E-2</v>
      </c>
      <c r="AA50" s="67">
        <f t="shared" si="7"/>
        <v>23.2819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8"/>
        <v>0136-09</v>
      </c>
      <c r="AE50" s="91" t="str">
        <f t="shared" si="9"/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AF50" s="88" t="str">
        <f t="shared" si="10"/>
        <v>"C:\Program Files (x86)\AstroGrep\AstroGrep.exe" /spath="%USERPROFILE%\AppData\Local\Temp\OnboardLogs" /stypes="app*4012*20161209*" /stext=" 16:.+((SYSTEM_STATE.+slice.+state.+changed )|(ment ac)|(multiple cpu faults)|(system.+state.+changed )|(\[timeout)|(PRM\|1\|D)|(kpr)|(kdp)|(\|lc)|(penalty))" /e /r /s</v>
      </c>
      <c r="AG50" s="1" t="str">
        <f t="shared" si="11"/>
        <v>EC</v>
      </c>
      <c r="AH50" s="92" t="str">
        <f t="shared" si="14"/>
        <v>"%USERPROFILE%\Documents\GitHub\eaglep3\Utilities\RefineRTDCRunTimes.py" --tripid 136-09 --locoid 4012 --swversion DE.1.0.8.0 --startMP 204:232973 --initTime 2016-12-09T08:40:03 --startdatetime 2016-12-09T08:56:19 --delay 1 --endMP 204:154 --enddatetime 2016-12-09T09:36:23 --enforcementcount 0 &gt;&gt;C:\Users\stu\Documents\GitHub\eaglep3-reporting\EC\2016-12-09-refined-times.txt</v>
      </c>
      <c r="AI50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{"issue":{"subject":"","project_id":79,"tracker_id":40,"status_id":1,"priority_id":2,"assigned_to_id":23,"start_date":"2016-12-09","description":"","custom_fields":[{"id":1,"name":"Subdivision","value":"EC"},{"id":4,"name":"Milepost","value":"0.0154"},{"id":17,"name":"Train ID","value":"136-09"},{"id":16,"name":"Locomotive ID","value":"4012"},{"id":130,"name":"Impact","value":""},{"id":150,"name":"Time of Event (Mountain Time)","value":"09:36:23"},{"id":151,"name":"Denver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560</v>
      </c>
      <c r="B51" s="7">
        <v>4016</v>
      </c>
      <c r="C51" s="22" t="s">
        <v>206</v>
      </c>
      <c r="D51" s="22" t="s">
        <v>718</v>
      </c>
      <c r="E51" s="13">
        <v>42713.344629629632</v>
      </c>
      <c r="F51" s="13">
        <v>42713.346053240741</v>
      </c>
      <c r="G51" s="7">
        <v>1</v>
      </c>
      <c r="H51" s="22" t="s">
        <v>422</v>
      </c>
      <c r="I51" s="13">
        <v>42713.370219907411</v>
      </c>
      <c r="J51" s="7">
        <v>0</v>
      </c>
      <c r="K51" s="109" t="str">
        <f t="shared" si="0"/>
        <v>4015/4016</v>
      </c>
      <c r="L51" s="22" t="str">
        <f>VLOOKUP(A51,'Trips&amp;Operators'!$C$1:$G$99999,5,FALSE)</f>
        <v>MAGEE KENYA</v>
      </c>
      <c r="M51" s="6">
        <f t="shared" si="1"/>
        <v>2.4166666669771075E-2</v>
      </c>
      <c r="N51" s="7">
        <f t="shared" si="17"/>
        <v>34.800000004470348</v>
      </c>
      <c r="O51" s="7"/>
      <c r="P51" s="7"/>
      <c r="Q51" s="23"/>
      <c r="R51" s="23"/>
      <c r="S51" s="35">
        <f t="shared" si="18"/>
        <v>1</v>
      </c>
      <c r="T51" s="50" t="str">
        <f t="shared" si="2"/>
        <v>NorthBound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07:16:16-700',mode:absolute,to:'2016-12-09 09:53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1" s="52" t="str">
        <f t="shared" si="4"/>
        <v>N</v>
      </c>
      <c r="X51" s="177">
        <f t="shared" si="5"/>
        <v>1</v>
      </c>
      <c r="Y51" s="67">
        <f t="shared" si="6"/>
        <v>4.6199999999999998E-2</v>
      </c>
      <c r="Z51" s="67">
        <f t="shared" si="16"/>
        <v>23.331</v>
      </c>
      <c r="AA51" s="67">
        <f t="shared" si="7"/>
        <v>23.284800000000001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8"/>
        <v>0137-09</v>
      </c>
      <c r="AE51" s="91" t="str">
        <f t="shared" si="9"/>
        <v>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 &amp; 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</v>
      </c>
      <c r="AF51" s="88" t="str">
        <f t="shared" si="10"/>
        <v>"C:\Program Files (x86)\AstroGrep\AstroGrep.exe" /spath="%USERPROFILE%\AppData\Local\Temp\OnboardLogs" /stypes="app*4016*20161209*" /stext=" 15:.+((SYSTEM_STATE.+slice.+state.+changed )|(ment ac)|(multiple cpu faults)|(system.+state.+changed )|(\[timeout)|(PRM\|1\|D)|(kpr)|(kdp)|(\|lc)|(penalty))" /e /r /s</v>
      </c>
      <c r="AG51" s="1" t="str">
        <f t="shared" si="11"/>
        <v>EC</v>
      </c>
      <c r="AH51" s="92" t="str">
        <f t="shared" si="14"/>
        <v>"%USERPROFILE%\Documents\GitHub\eaglep3\Utilities\RefineRTDCRunTimes.py" --tripid 137-09 --locoid 4016 --swversion DE.1.0.8.0 --startMP 204:462 --initTime 2016-12-09T08:16:16 --startdatetime 2016-12-09T08:18:19 --delay 1 --endMP 204:233310 --enddatetime 2016-12-09T08:53:07 --enforcementcount 0 &gt;&gt;C:\Users\stu\Documents\GitHub\eaglep3-reporting\EC\2016-12-09-refined-times.txt</v>
      </c>
      <c r="AI51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{"issue":{"subject":"","project_id":79,"tracker_id":40,"status_id":1,"priority_id":2,"assigned_to_id":23,"start_date":"2016-12-09","description":"","custom_fields":[{"id":1,"name":"Subdivision","value":"EC"},{"id":4,"name":"Milepost","value":"23.331"},{"id":17,"name":"Train ID","value":"137-09"},{"id":16,"name":"Locomotive ID","value":"4016"},{"id":130,"name":"Impact","value":""},{"id":150,"name":"Time of Event (Mountain Time)","value":"08:53:07"},{"id":151,"name":"Denver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486</v>
      </c>
      <c r="B52" s="7">
        <v>4015</v>
      </c>
      <c r="C52" s="22" t="s">
        <v>206</v>
      </c>
      <c r="D52" s="22" t="s">
        <v>332</v>
      </c>
      <c r="E52" s="13">
        <v>42713.379201388889</v>
      </c>
      <c r="F52" s="13">
        <v>42713.3828125</v>
      </c>
      <c r="G52" s="7">
        <v>1</v>
      </c>
      <c r="H52" s="22" t="s">
        <v>226</v>
      </c>
      <c r="I52" s="13">
        <v>42713.410439814812</v>
      </c>
      <c r="J52" s="7">
        <v>0</v>
      </c>
      <c r="K52" s="109" t="str">
        <f t="shared" si="0"/>
        <v>4015/4016</v>
      </c>
      <c r="L52" s="22" t="str">
        <f>VLOOKUP(A52,'Trips&amp;Operators'!$C$1:$G$99999,5,FALSE)</f>
        <v>MAGEE KENYA</v>
      </c>
      <c r="M52" s="6">
        <f t="shared" si="1"/>
        <v>2.7627314811979886E-2</v>
      </c>
      <c r="N52" s="7">
        <f t="shared" si="17"/>
        <v>39.783333329251036</v>
      </c>
      <c r="O52" s="7"/>
      <c r="P52" s="7"/>
      <c r="Q52" s="23"/>
      <c r="R52" s="23"/>
      <c r="S52" s="35">
        <f t="shared" si="18"/>
        <v>1</v>
      </c>
      <c r="T52" s="50" t="str">
        <f t="shared" si="2"/>
        <v>Southbound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08:06:03-700',mode:absolute,to:'2016-12-09 10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2" s="52" t="str">
        <f t="shared" si="4"/>
        <v>N</v>
      </c>
      <c r="X52" s="177">
        <f t="shared" si="5"/>
        <v>1</v>
      </c>
      <c r="Y52" s="67">
        <f t="shared" si="6"/>
        <v>23.298500000000001</v>
      </c>
      <c r="Z52" s="67">
        <f t="shared" si="16"/>
        <v>1.54E-2</v>
      </c>
      <c r="AA52" s="67">
        <f t="shared" si="7"/>
        <v>23.283100000000001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8"/>
        <v>0138-09</v>
      </c>
      <c r="AE52" s="91" t="str">
        <f t="shared" si="9"/>
        <v>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 &amp; 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</v>
      </c>
      <c r="AF52" s="88" t="str">
        <f t="shared" si="10"/>
        <v>"C:\Program Files (x86)\AstroGrep\AstroGrep.exe" /spath="%USERPROFILE%\AppData\Local\Temp\OnboardLogs" /stypes="app*4015*20161209*" /stext=" 16:.+((SYSTEM_STATE.+slice.+state.+changed )|(ment ac)|(multiple cpu faults)|(system.+state.+changed )|(\[timeout)|(PRM\|1\|D)|(kpr)|(kdp)|(\|lc)|(penalty))" /e /r /s</v>
      </c>
      <c r="AG52" s="1" t="str">
        <f t="shared" si="11"/>
        <v>EC</v>
      </c>
      <c r="AH52" s="92" t="str">
        <f t="shared" si="14"/>
        <v>"%USERPROFILE%\Documents\GitHub\eaglep3\Utilities\RefineRTDCRunTimes.py" --tripid 138-09 --locoid 4015 --swversion DE.1.0.8.0 --startMP 204:232985 --initTime 2016-12-09T09:06:03 --startdatetime 2016-12-09T09:11:15 --delay 1 --endMP 204:154 --enddatetime 2016-12-09T09:51:02 --enforcementcount 0 &gt;&gt;C:\Users\stu\Documents\GitHub\eaglep3-reporting\EC\2016-12-09-refined-times.txt</v>
      </c>
      <c r="AI52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{"issue":{"subject":"","project_id":79,"tracker_id":40,"status_id":1,"priority_id":2,"assigned_to_id":23,"start_date":"2016-12-09","description":"","custom_fields":[{"id":1,"name":"Subdivision","value":"EC"},{"id":4,"name":"Milepost","value":"0.0154"},{"id":17,"name":"Train ID","value":"138-09"},{"id":16,"name":"Locomotive ID","value":"4015"},{"id":130,"name":"Impact","value":""},{"id":150,"name":"Time of Event (Mountain Time)","value":"09:51:02"},{"id":151,"name":"Denver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562</v>
      </c>
      <c r="B53" s="7">
        <v>4031</v>
      </c>
      <c r="C53" s="22" t="s">
        <v>206</v>
      </c>
      <c r="D53" s="22" t="s">
        <v>227</v>
      </c>
      <c r="E53" s="13">
        <v>42713.349953703706</v>
      </c>
      <c r="F53" s="13">
        <v>42713.354317129626</v>
      </c>
      <c r="G53" s="7">
        <v>0</v>
      </c>
      <c r="H53" s="22" t="s">
        <v>716</v>
      </c>
      <c r="I53" s="13">
        <v>42713.379745370374</v>
      </c>
      <c r="J53" s="7">
        <v>0</v>
      </c>
      <c r="K53" s="109" t="str">
        <f t="shared" si="0"/>
        <v>4031/4032</v>
      </c>
      <c r="L53" s="22" t="str">
        <f>VLOOKUP(A53,'Trips&amp;Operators'!$C$1:$G$99999,5,FALSE)</f>
        <v>ISHMAEL JOSEPH</v>
      </c>
      <c r="M53" s="6">
        <f t="shared" si="1"/>
        <v>2.5428240747714881E-2</v>
      </c>
      <c r="N53" s="7">
        <f t="shared" si="17"/>
        <v>36.616666676709428</v>
      </c>
      <c r="O53" s="7"/>
      <c r="P53" s="7"/>
      <c r="Q53" s="23"/>
      <c r="R53" s="23"/>
      <c r="S53" s="35">
        <f t="shared" si="18"/>
        <v>1</v>
      </c>
      <c r="T53" s="50" t="str">
        <f t="shared" si="2"/>
        <v>NorthBound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07:23:56-700',mode:absolute,to:'2016-12-09 10:06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3" s="52" t="str">
        <f t="shared" si="4"/>
        <v>N</v>
      </c>
      <c r="X53" s="177">
        <f t="shared" si="5"/>
        <v>1</v>
      </c>
      <c r="Y53" s="67">
        <f t="shared" si="6"/>
        <v>4.6600000000000003E-2</v>
      </c>
      <c r="Z53" s="67">
        <f t="shared" si="16"/>
        <v>23.329899999999999</v>
      </c>
      <c r="AA53" s="67">
        <f t="shared" si="7"/>
        <v>23.283299999999997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8"/>
        <v>0139-09</v>
      </c>
      <c r="AE53" s="91" t="str">
        <f t="shared" si="9"/>
        <v>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 &amp; 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</v>
      </c>
      <c r="AF53" s="88" t="str">
        <f t="shared" si="10"/>
        <v>"C:\Program Files (x86)\AstroGrep\AstroGrep.exe" /spath="%USERPROFILE%\AppData\Local\Temp\OnboardLogs" /stypes="app*4031*20161209*" /stext=" 16:.+((SYSTEM_STATE.+slice.+state.+changed )|(ment ac)|(multiple cpu faults)|(system.+state.+changed )|(\[timeout)|(PRM\|1\|D)|(kpr)|(kdp)|(\|lc)|(penalty))" /e /r /s</v>
      </c>
      <c r="AG53" s="1" t="str">
        <f t="shared" si="11"/>
        <v>EC</v>
      </c>
      <c r="AH53" s="92" t="str">
        <f t="shared" si="14"/>
        <v>"%USERPROFILE%\Documents\GitHub\eaglep3\Utilities\RefineRTDCRunTimes.py" --tripid 139-09 --locoid 4031 --swversion DE.1.0.8.0 --startMP 204:466 --initTime 2016-12-09T08:23:56 --startdatetime 2016-12-09T08:30:13 --delay 0 --endMP 204:233299 --enddatetime 2016-12-09T09:06:50 --enforcementcount 0 &gt;&gt;C:\Users\stu\Documents\GitHub\eaglep3-reporting\EC\2016-12-09-refined-times.txt</v>
      </c>
      <c r="AI53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{"issue":{"subject":"","project_id":79,"tracker_id":40,"status_id":1,"priority_id":2,"assigned_to_id":23,"start_date":"2016-12-09","description":"","custom_fields":[{"id":1,"name":"Subdivision","value":"EC"},{"id":4,"name":"Milepost","value":"23.3299"},{"id":17,"name":"Train ID","value":"139-09"},{"id":16,"name":"Locomotive ID","value":"4031"},{"id":130,"name":"Impact","value":""},{"id":150,"name":"Time of Event (Mountain Time)","value":"09:06:50"},{"id":151,"name":"Denver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835</v>
      </c>
      <c r="B54" s="7">
        <v>4032</v>
      </c>
      <c r="C54" s="22" t="s">
        <v>206</v>
      </c>
      <c r="D54" s="22" t="s">
        <v>227</v>
      </c>
      <c r="E54" s="13">
        <v>42713.349953703706</v>
      </c>
      <c r="F54" s="13">
        <v>42713.393240740741</v>
      </c>
      <c r="G54" s="7">
        <v>0</v>
      </c>
      <c r="H54" s="22" t="s">
        <v>716</v>
      </c>
      <c r="I54" s="13">
        <v>42713.42082175926</v>
      </c>
      <c r="J54" s="7">
        <v>0</v>
      </c>
      <c r="K54" s="109" t="str">
        <f t="shared" si="0"/>
        <v>4031/4032</v>
      </c>
      <c r="L54" s="22" t="s">
        <v>836</v>
      </c>
      <c r="M54" s="6">
        <f t="shared" si="1"/>
        <v>2.7581018519413192E-2</v>
      </c>
      <c r="N54" s="7">
        <f t="shared" ref="N54:N85" si="19">24*60*SUM($M54:$M54)</f>
        <v>39.716666667954996</v>
      </c>
      <c r="O54" s="7"/>
      <c r="P54" s="7"/>
      <c r="Q54" s="23"/>
      <c r="R54" s="23"/>
      <c r="S54" s="35">
        <f t="shared" ref="S54:S85" si="20">SUM(U54:U54)/IF(AG54="EC",12,1)</f>
        <v>1</v>
      </c>
      <c r="T54" s="50" t="str">
        <f t="shared" si="2"/>
        <v>Southbound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07:23:56-700',mode:absolute,to:'2016-12-09 11:05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4" s="52" t="str">
        <f t="shared" si="4"/>
        <v>N</v>
      </c>
      <c r="X54" s="177">
        <f t="shared" si="5"/>
        <v>1</v>
      </c>
      <c r="Y54" s="67">
        <v>23.298500000000001</v>
      </c>
      <c r="Z54" s="67">
        <v>1.54E-2</v>
      </c>
      <c r="AA54" s="67">
        <f t="shared" si="7"/>
        <v>23.283100000000001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8"/>
        <v>0140-09</v>
      </c>
      <c r="AE54" s="91" t="str">
        <f t="shared" si="9"/>
        <v>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 &amp; 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</v>
      </c>
      <c r="AF54" s="88" t="str">
        <f t="shared" si="10"/>
        <v>"C:\Program Files (x86)\AstroGrep\AstroGrep.exe" /spath="%USERPROFILE%\AppData\Local\Temp\OnboardLogs" /stypes="app*4032*20161209*" /stext=" 17:.+((SYSTEM_STATE.+slice.+state.+changed )|(ment ac)|(multiple cpu faults)|(system.+state.+changed )|(\[timeout)|(PRM\|1\|D)|(kpr)|(kdp)|(\|lc)|(penalty))" /e /r /s</v>
      </c>
      <c r="AG54" s="1" t="str">
        <f t="shared" si="11"/>
        <v>EC</v>
      </c>
      <c r="AH54" s="92" t="str">
        <f t="shared" ref="AH54" si="21">refinertdcruntimes&amp;" --tripid "&amp;A54&amp;" --locoid "&amp;B54&amp;" --swversion "&amp;C54&amp;" --startMP "&amp;D54&amp;" --initTime "&amp;TEXT(E54,"yyyy-mm-ddTHH:MM:SS")&amp;" --startdatetime "&amp;TEXT(F54,"yyyy-mm-ddTHH:MM:SS")&amp;" --delay "&amp;G54&amp;" --endMP "&amp;H54&amp;" --enddatetime "&amp;TEXT(I54,"yyyy-mm-ddTHH:MM:SS")&amp;" --enforcementcount "&amp;J54&amp;IF(outputrefinedruntimes," &gt;&gt;"&amp;RefinedRTDCRunTimesOutputFile,"")</f>
        <v>"%USERPROFILE%\Documents\GitHub\eaglep3\Utilities\RefineRTDCRunTimes.py" --tripid 140-09 --locoid 4032 --swversion DE.1.0.8.0 --startMP 204:466 --initTime 2016-12-09T08:23:56 --startdatetime 2016-12-09T09:26:16 --delay 0 --endMP 204:233299 --enddatetime 2016-12-09T10:05:59 --enforcementcount 0 &gt;&gt;C:\Users\stu\Documents\GitHub\eaglep3-reporting\EC\2016-12-09-refined-times.txt</v>
      </c>
      <c r="AI54" s="119" t="str">
        <f t="shared" ref="AI54" si="22">"echo {""issue"":{""subject"":"""&amp;R54&amp;""",""project_id"":79,""tracker_id"":40,""status_id"":"&amp;redmine_status&amp;",""priority_id"":"&amp;redmine_priority&amp;",""assigned_to_id"":"&amp;redmine_assignee&amp;",""start_date"":"""&amp;TEXT(I54,"YYYY-mm-dd")&amp;""",""description"":"""&amp;AJ54&amp;""",""custom_fields"":[{""id"":1,""name"":""Subdivision"",""value"":"""&amp;AG54&amp;"""},{""id"":4,""name"":""Milepost"",""value"":"""&amp;Z54&amp;"""},{""id"":17,""name"":""Train ID"",""value"":"""&amp;A54&amp;"""},{""id"":16,""name"":""Locomotive ID"",""value"":"""&amp;B54&amp;"""},{""id"":130,""name"":""Impact"",""value"":"""&amp;AK54&amp;"""},{""id"":150,""name"":""Time of Event (Mountain Time)"",""value"":"""&amp;TEXT(I54,"hh:mm:ss")&amp;"""},{""id"":151,""name"":""Denver Issue ID"",""value"":"""&amp;"""},{""id"":178,""name"":""Operational Impact"",""value"":"""&amp;redmine_op_impact&amp;"""},{""id"":179,""name"":""Denver Segment Assigned"",""value"":"""&amp;AL54&amp;"""}]}}"&amp;"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{"issue":{"subject":"","project_id":79,"tracker_id":40,"status_id":1,"priority_id":2,"assigned_to_id":23,"start_date":"2016-12-09","description":"","custom_fields":[{"id":1,"name":"Subdivision","value":"EC"},{"id":4,"name":"Milepost","value":"0.0154"},{"id":17,"name":"Train ID","value":"140-09"},{"id":16,"name":"Locomotive ID","value":"4032"},{"id":130,"name":"Impact","value":""},{"id":150,"name":"Time of Event (Mountain Time)","value":"10:05:59"},{"id":151,"name":"Denver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 s="21"/>
      <c r="AN54" s="21"/>
      <c r="AO54" s="21"/>
      <c r="AP54" s="21"/>
      <c r="AQ54" s="21"/>
      <c r="AR54" s="21"/>
      <c r="AS54" s="21"/>
      <c r="AT54" s="21"/>
      <c r="AU54" s="21"/>
      <c r="AV54" s="21"/>
      <c r="AW54" s="21"/>
      <c r="AX54" s="21"/>
      <c r="AY54" s="21"/>
      <c r="AZ54" s="21"/>
      <c r="BA54" s="21"/>
      <c r="BB54" s="21"/>
      <c r="BC54" s="21"/>
      <c r="BD54" s="21"/>
      <c r="BE54" s="21"/>
      <c r="BF54" s="21"/>
      <c r="BG54" s="21"/>
      <c r="BH54" s="21"/>
      <c r="BI54" s="21"/>
      <c r="BJ54" s="21"/>
      <c r="BK54" s="21"/>
      <c r="BL54" s="21"/>
      <c r="BM54" s="21"/>
      <c r="BN54" s="21"/>
      <c r="BO54" s="21"/>
      <c r="BP54" s="21"/>
      <c r="BQ54" s="21"/>
      <c r="BR54" s="21"/>
      <c r="BS54" s="21"/>
      <c r="BT54" s="21"/>
      <c r="BU54" s="21"/>
      <c r="BV54" s="21"/>
      <c r="BW54" s="21"/>
      <c r="BX54" s="21"/>
      <c r="BY54" s="21"/>
      <c r="BZ54" s="21"/>
      <c r="CA54" s="21"/>
      <c r="CB54" s="21"/>
      <c r="CC54" s="21"/>
      <c r="CD54" s="21"/>
      <c r="CE54" s="21"/>
      <c r="CF54" s="21"/>
      <c r="CG54" s="21"/>
      <c r="CH54" s="21"/>
      <c r="CI54" s="21"/>
      <c r="CJ54" s="21"/>
      <c r="CK54" s="21"/>
      <c r="CL54" s="21"/>
      <c r="CM54" s="21"/>
    </row>
    <row r="55" spans="1:91" s="1" customFormat="1" x14ac:dyDescent="0.25">
      <c r="A55" s="37" t="s">
        <v>567</v>
      </c>
      <c r="B55" s="7">
        <v>4029</v>
      </c>
      <c r="C55" s="22" t="s">
        <v>206</v>
      </c>
      <c r="D55" s="22" t="s">
        <v>432</v>
      </c>
      <c r="E55" s="13">
        <v>42713.361493055556</v>
      </c>
      <c r="F55" s="13">
        <v>42713.365277777775</v>
      </c>
      <c r="G55" s="7">
        <v>5</v>
      </c>
      <c r="H55" s="22" t="s">
        <v>322</v>
      </c>
      <c r="I55" s="13">
        <v>42713.390011574076</v>
      </c>
      <c r="J55" s="7">
        <v>0</v>
      </c>
      <c r="K55" s="109" t="str">
        <f t="shared" si="0"/>
        <v>4029/4030</v>
      </c>
      <c r="L55" s="22" t="str">
        <f>VLOOKUP(A55,'Trips&amp;Operators'!$C$1:$G$99999,5,FALSE)</f>
        <v>MAELZER KURT</v>
      </c>
      <c r="M55" s="6">
        <f t="shared" si="1"/>
        <v>2.4733796301006805E-2</v>
      </c>
      <c r="N55" s="7">
        <f t="shared" si="19"/>
        <v>35.616666673449799</v>
      </c>
      <c r="O55" s="7"/>
      <c r="P55" s="7"/>
      <c r="Q55" s="23"/>
      <c r="R55" s="23"/>
      <c r="S55" s="35">
        <f t="shared" si="20"/>
        <v>1</v>
      </c>
      <c r="T55" s="50" t="str">
        <f t="shared" si="2"/>
        <v>NorthBound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07:40:33-700',mode:absolute,to:'2016-12-09 10:21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5" s="52" t="str">
        <f t="shared" si="4"/>
        <v>N</v>
      </c>
      <c r="X55" s="177">
        <f t="shared" ref="X55:X59" si="23">VALUE(LEFT(AD55,4))-VALUE(LEFT(AD54,4))</f>
        <v>1</v>
      </c>
      <c r="Y55" s="67">
        <f t="shared" ref="Y55:Y59" si="24">RIGHT(D55,LEN(D55)-4)/10000</f>
        <v>4.7300000000000002E-2</v>
      </c>
      <c r="Z55" s="67">
        <f t="shared" ref="Z55:Z86" si="25">RIGHT(H55,LEN(H55)-4)/10000</f>
        <v>23.331399999999999</v>
      </c>
      <c r="AA55" s="67">
        <f t="shared" si="7"/>
        <v>23.284099999999999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8"/>
        <v>0141-09</v>
      </c>
      <c r="AE55" s="91" t="str">
        <f t="shared" si="9"/>
        <v>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 &amp; aws s3 cp s3://rtdc.mdm.uploadarchive.raw/RTDC4029/ "%USERPROFILE%\AppData\Local\Temp\OnboardLogs"\RTDC4029\2016-12-10 --exclude "*" --recursive --include "*20161210*" &amp; "%USERPROFILE%\Documents\GitHub\mrs-test-scripts\Headless Mode &amp; Sideloading\WalkAndUnGZ.bat" "%USERPROFILE%\AppData\Local\Temp\OnboardLogs"\RTDC4029\2016-12-10</v>
      </c>
      <c r="AF55" s="88" t="str">
        <f t="shared" si="10"/>
        <v>"C:\Program Files (x86)\AstroGrep\AstroGrep.exe" /spath="%USERPROFILE%\AppData\Local\Temp\OnboardLogs" /stypes="app*4029*20161209*" /stext=" 16:.+((SYSTEM_STATE.+slice.+state.+changed )|(ment ac)|(multiple cpu faults)|(system.+state.+changed )|(\[timeout)|(PRM\|1\|D)|(kpr)|(kdp)|(\|lc)|(penalty))" /e /r /s</v>
      </c>
      <c r="AG55" s="1" t="str">
        <f t="shared" si="11"/>
        <v>EC</v>
      </c>
      <c r="AH55" s="92" t="str">
        <f t="shared" si="14"/>
        <v>"%USERPROFILE%\Documents\GitHub\eaglep3\Utilities\RefineRTDCRunTimes.py" --tripid 141-09 --locoid 4029 --swversion DE.1.0.8.0 --startMP 204:473 --initTime 2016-12-09T08:40:33 --startdatetime 2016-12-09T08:46:00 --delay 5 --endMP 204:233314 --enddatetime 2016-12-09T09:21:37 --enforcementcount 0 &gt;&gt;C:\Users\stu\Documents\GitHub\eaglep3-reporting\EC\2016-12-09-refined-times.txt</v>
      </c>
      <c r="AI55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{"issue":{"subject":"","project_id":79,"tracker_id":40,"status_id":1,"priority_id":2,"assigned_to_id":23,"start_date":"2016-12-09","description":"","custom_fields":[{"id":1,"name":"Subdivision","value":"EC"},{"id":4,"name":"Milepost","value":"23.3314"},{"id":17,"name":"Train ID","value":"141-09"},{"id":16,"name":"Locomotive ID","value":"4029"},{"id":130,"name":"Impact","value":""},{"id":150,"name":"Time of Event (Mountain Time)","value":"09:21:37"},{"id":151,"name":"Denver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572</v>
      </c>
      <c r="B56" s="7">
        <v>4030</v>
      </c>
      <c r="C56" s="22" t="s">
        <v>206</v>
      </c>
      <c r="D56" s="22" t="s">
        <v>296</v>
      </c>
      <c r="E56" s="13">
        <v>42713.40121527778</v>
      </c>
      <c r="F56" s="13">
        <v>42713.403900462959</v>
      </c>
      <c r="G56" s="7">
        <v>1</v>
      </c>
      <c r="H56" s="22" t="s">
        <v>331</v>
      </c>
      <c r="I56" s="13">
        <v>42713.430833333332</v>
      </c>
      <c r="J56" s="7">
        <v>0</v>
      </c>
      <c r="K56" s="109" t="str">
        <f t="shared" si="0"/>
        <v>4029/4030</v>
      </c>
      <c r="L56" s="22" t="str">
        <f>VLOOKUP(A56,'Trips&amp;Operators'!$C$1:$G$99999,5,FALSE)</f>
        <v>MAELZER KURT</v>
      </c>
      <c r="M56" s="6">
        <f t="shared" si="1"/>
        <v>2.6932870372547768E-2</v>
      </c>
      <c r="N56" s="7">
        <f t="shared" si="19"/>
        <v>38.783333336468786</v>
      </c>
      <c r="O56" s="7"/>
      <c r="P56" s="7"/>
      <c r="Q56" s="23"/>
      <c r="R56" s="23"/>
      <c r="S56" s="35">
        <f t="shared" si="20"/>
        <v>1</v>
      </c>
      <c r="T56" s="50" t="str">
        <f t="shared" si="2"/>
        <v>Southbound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08:37:45-700',mode:absolute,to:'2016-12-09 11:20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6" s="52" t="str">
        <f t="shared" si="4"/>
        <v>N</v>
      </c>
      <c r="X56" s="177">
        <f t="shared" si="23"/>
        <v>1</v>
      </c>
      <c r="Y56" s="67">
        <f t="shared" si="24"/>
        <v>23.299399999999999</v>
      </c>
      <c r="Z56" s="67">
        <f t="shared" si="25"/>
        <v>1.47E-2</v>
      </c>
      <c r="AA56" s="67">
        <f t="shared" si="7"/>
        <v>23.284699999999997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8"/>
        <v>0142-09</v>
      </c>
      <c r="AE56" s="91" t="str">
        <f t="shared" si="9"/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AF56" s="88" t="str">
        <f t="shared" si="10"/>
        <v>"C:\Program Files (x86)\AstroGrep\AstroGrep.exe" /spath="%USERPROFILE%\AppData\Local\Temp\OnboardLogs" /stypes="app*4030*20161209*" /stext=" 17:.+((SYSTEM_STATE.+slice.+state.+changed )|(ment ac)|(multiple cpu faults)|(system.+state.+changed )|(\[timeout)|(PRM\|1\|D)|(kpr)|(kdp)|(\|lc)|(penalty))" /e /r /s</v>
      </c>
      <c r="AG56" s="1" t="str">
        <f t="shared" si="11"/>
        <v>EC</v>
      </c>
      <c r="AH56" s="92" t="str">
        <f t="shared" si="14"/>
        <v>"%USERPROFILE%\Documents\GitHub\eaglep3\Utilities\RefineRTDCRunTimes.py" --tripid 142-09 --locoid 4030 --swversion DE.1.0.8.0 --startMP 204:232994 --initTime 2016-12-09T09:37:45 --startdatetime 2016-12-09T09:41:37 --delay 1 --endMP 204:147 --enddatetime 2016-12-09T10:20:24 --enforcementcount 0 &gt;&gt;C:\Users\stu\Documents\GitHub\eaglep3-reporting\EC\2016-12-09-refined-times.txt</v>
      </c>
      <c r="AI56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{"issue":{"subject":"","project_id":79,"tracker_id":40,"status_id":1,"priority_id":2,"assigned_to_id":23,"start_date":"2016-12-09","description":"","custom_fields":[{"id":1,"name":"Subdivision","value":"EC"},{"id":4,"name":"Milepost","value":"0.0147"},{"id":17,"name":"Train ID","value":"142-09"},{"id":16,"name":"Locomotive ID","value":"4030"},{"id":130,"name":"Impact","value":""},{"id":150,"name":"Time of Event (Mountain Time)","value":"10:20:24"},{"id":151,"name":"Denver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569</v>
      </c>
      <c r="B57" s="7">
        <v>4025</v>
      </c>
      <c r="C57" s="22" t="s">
        <v>206</v>
      </c>
      <c r="D57" s="22" t="s">
        <v>289</v>
      </c>
      <c r="E57" s="13">
        <v>42713.373101851852</v>
      </c>
      <c r="F57" s="13">
        <v>42713.375162037039</v>
      </c>
      <c r="G57" s="7">
        <v>1</v>
      </c>
      <c r="H57" s="22" t="s">
        <v>374</v>
      </c>
      <c r="I57" s="13">
        <v>42713.399583333332</v>
      </c>
      <c r="J57" s="7">
        <v>0</v>
      </c>
      <c r="K57" s="109" t="str">
        <f t="shared" si="0"/>
        <v>4025/4026</v>
      </c>
      <c r="L57" s="22" t="str">
        <f>VLOOKUP(A57,'Trips&amp;Operators'!$C$1:$G$99999,5,FALSE)</f>
        <v>ROCHA YAOTL</v>
      </c>
      <c r="M57" s="6">
        <f t="shared" si="1"/>
        <v>2.4421296293439809E-2</v>
      </c>
      <c r="N57" s="7">
        <f t="shared" si="19"/>
        <v>35.166666662553325</v>
      </c>
      <c r="O57" s="7"/>
      <c r="P57" s="7"/>
      <c r="Q57" s="23"/>
      <c r="R57" s="23"/>
      <c r="S57" s="35">
        <f t="shared" si="20"/>
        <v>1</v>
      </c>
      <c r="T57" s="50" t="str">
        <f t="shared" si="2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07:57:16-700',mode:absolute,to:'2016-12-09 10:35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7" s="52" t="str">
        <f t="shared" si="4"/>
        <v>N</v>
      </c>
      <c r="X57" s="177">
        <f t="shared" si="23"/>
        <v>1</v>
      </c>
      <c r="Y57" s="67">
        <f t="shared" si="24"/>
        <v>4.53E-2</v>
      </c>
      <c r="Z57" s="67">
        <f t="shared" si="25"/>
        <v>23.331099999999999</v>
      </c>
      <c r="AA57" s="67">
        <f t="shared" si="7"/>
        <v>23.285799999999998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8"/>
        <v>0143-09</v>
      </c>
      <c r="AE57" s="91" t="str">
        <f t="shared" si="9"/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AF57" s="88" t="str">
        <f t="shared" si="10"/>
        <v>"C:\Program Files (x86)\AstroGrep\AstroGrep.exe" /spath="%USERPROFILE%\AppData\Local\Temp\OnboardLogs" /stypes="app*4025*20161209*" /stext=" 16:.+((SYSTEM_STATE.+slice.+state.+changed )|(ment ac)|(multiple cpu faults)|(system.+state.+changed )|(\[timeout)|(PRM\|1\|D)|(kpr)|(kdp)|(\|lc)|(penalty))" /e /r /s</v>
      </c>
      <c r="AG57" s="1" t="str">
        <f t="shared" si="11"/>
        <v>EC</v>
      </c>
      <c r="AH57" s="92" t="str">
        <f t="shared" si="14"/>
        <v>"%USERPROFILE%\Documents\GitHub\eaglep3\Utilities\RefineRTDCRunTimes.py" --tripid 143-09 --locoid 4025 --swversion DE.1.0.8.0 --startMP 204:453 --initTime 2016-12-09T08:57:16 --startdatetime 2016-12-09T09:00:14 --delay 1 --endMP 204:233311 --enddatetime 2016-12-09T09:35:24 --enforcementcount 0 &gt;&gt;C:\Users\stu\Documents\GitHub\eaglep3-reporting\EC\2016-12-09-refined-times.txt</v>
      </c>
      <c r="AI57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{"issue":{"subject":"","project_id":79,"tracker_id":40,"status_id":1,"priority_id":2,"assigned_to_id":23,"start_date":"2016-12-09","description":"","custom_fields":[{"id":1,"name":"Subdivision","value":"EC"},{"id":4,"name":"Milepost","value":"23.3311"},{"id":17,"name":"Train ID","value":"143-09"},{"id":16,"name":"Locomotive ID","value":"4025"},{"id":130,"name":"Impact","value":""},{"id":150,"name":"Time of Event (Mountain Time)","value":"09:35:24"},{"id":151,"name":"Denver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487</v>
      </c>
      <c r="B58" s="7">
        <v>4026</v>
      </c>
      <c r="C58" s="22" t="s">
        <v>206</v>
      </c>
      <c r="D58" s="22" t="s">
        <v>446</v>
      </c>
      <c r="E58" s="13">
        <v>42713.401875000003</v>
      </c>
      <c r="F58" s="13">
        <v>42713.414259259262</v>
      </c>
      <c r="G58" s="7">
        <v>1</v>
      </c>
      <c r="H58" s="22" t="s">
        <v>331</v>
      </c>
      <c r="I58" s="13">
        <v>42713.441053240742</v>
      </c>
      <c r="J58" s="7">
        <v>0</v>
      </c>
      <c r="K58" s="109" t="str">
        <f t="shared" si="0"/>
        <v>4025/4026</v>
      </c>
      <c r="L58" s="22" t="str">
        <f>VLOOKUP(A58,'Trips&amp;Operators'!$C$1:$G$99999,5,FALSE)</f>
        <v>ROCHA YAOTL</v>
      </c>
      <c r="M58" s="6">
        <f t="shared" si="1"/>
        <v>2.679398148029577E-2</v>
      </c>
      <c r="N58" s="7">
        <f t="shared" si="19"/>
        <v>38.583333331625909</v>
      </c>
      <c r="O58" s="7"/>
      <c r="P58" s="7"/>
      <c r="Q58" s="23"/>
      <c r="R58" s="23"/>
      <c r="S58" s="35">
        <f t="shared" si="20"/>
        <v>1</v>
      </c>
      <c r="T58" s="50" t="str">
        <f t="shared" si="2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08:38:42-700',mode:absolute,to:'2016-12-09 11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8" s="52" t="str">
        <f t="shared" si="4"/>
        <v>N</v>
      </c>
      <c r="X58" s="177">
        <f t="shared" si="23"/>
        <v>1</v>
      </c>
      <c r="Y58" s="67">
        <f t="shared" si="24"/>
        <v>23.298200000000001</v>
      </c>
      <c r="Z58" s="67">
        <f t="shared" si="25"/>
        <v>1.47E-2</v>
      </c>
      <c r="AA58" s="67">
        <f t="shared" si="7"/>
        <v>23.2835</v>
      </c>
      <c r="AB58" s="64" t="str">
        <f>VLOOKUP(A58,Enforcements!$C$7:$K$20,8,0)</f>
        <v>Speed (6)</v>
      </c>
      <c r="AC58" s="60" t="str">
        <f>VLOOKUP(A58,Enforcements!$C$7:$E$20,3,0)</f>
        <v>PERMANENT SPEED RESTRICTION</v>
      </c>
      <c r="AD58" s="61" t="str">
        <f t="shared" si="8"/>
        <v>0144-09</v>
      </c>
      <c r="AE58" s="91" t="str">
        <f t="shared" si="9"/>
        <v>aws s3 cp s3://rtdc.mdm.uploadarchive.raw/RTDC4026/ "%USERPROFILE%\AppData\Local\Temp\OnboardLogs"\RTDC4026\2016-12-09 --exclude "*" --recursive --include "*20161209*" &amp; "%USERPROFILE%\Documents\GitHub\mrs-test-scripts\Headless Mode &amp; Sideloading\WalkAndUnGZ.bat" "%USERPROFILE%\AppData\Local\Temp\OnboardLogs"\RTDC4026\2016-12-09 &amp; 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</v>
      </c>
      <c r="AF58" s="88" t="str">
        <f t="shared" si="10"/>
        <v>"C:\Program Files (x86)\AstroGrep\AstroGrep.exe" /spath="%USERPROFILE%\AppData\Local\Temp\OnboardLogs" /stypes="app*4026*20161209*" /stext=" 17:.+((SYSTEM_STATE.+slice.+state.+changed )|(ment ac)|(multiple cpu faults)|(system.+state.+changed )|(\[timeout)|(PRM\|1\|D)|(kpr)|(kdp)|(\|lc)|(penalty))" /e /r /s</v>
      </c>
      <c r="AG58" s="1" t="str">
        <f t="shared" si="11"/>
        <v>EC</v>
      </c>
      <c r="AH58" s="92" t="str">
        <f t="shared" si="14"/>
        <v>"%USERPROFILE%\Documents\GitHub\eaglep3\Utilities\RefineRTDCRunTimes.py" --tripid 144-09 --locoid 4026 --swversion DE.1.0.8.0 --startMP 204:232982 --initTime 2016-12-09T09:38:42 --startdatetime 2016-12-09T09:56:32 --delay 1 --endMP 204:147 --enddatetime 2016-12-09T10:35:07 --enforcementcount 0 &gt;&gt;C:\Users\stu\Documents\GitHub\eaglep3-reporting\EC\2016-12-09-refined-times.txt</v>
      </c>
      <c r="AI58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{"issue":{"subject":"","project_id":79,"tracker_id":40,"status_id":1,"priority_id":2,"assigned_to_id":23,"start_date":"2016-12-09","description":"","custom_fields":[{"id":1,"name":"Subdivision","value":"EC"},{"id":4,"name":"Milepost","value":"0.0147"},{"id":17,"name":"Train ID","value":"144-09"},{"id":16,"name":"Locomotive ID","value":"4026"},{"id":130,"name":"Impact","value":""},{"id":150,"name":"Time of Event (Mountain Time)","value":"10:35:07"},{"id":151,"name":"Denver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570</v>
      </c>
      <c r="B59" s="7">
        <v>4051</v>
      </c>
      <c r="C59" s="22" t="s">
        <v>206</v>
      </c>
      <c r="D59" s="22" t="s">
        <v>432</v>
      </c>
      <c r="E59" s="13">
        <v>42713.382615740738</v>
      </c>
      <c r="F59" s="13">
        <v>42713.385729166665</v>
      </c>
      <c r="G59" s="7">
        <v>1</v>
      </c>
      <c r="H59" s="22" t="s">
        <v>264</v>
      </c>
      <c r="I59" s="13">
        <v>42713.410844907405</v>
      </c>
      <c r="J59" s="7">
        <v>0</v>
      </c>
      <c r="K59" s="109" t="str">
        <f t="shared" si="0"/>
        <v>4051/4052</v>
      </c>
      <c r="L59" s="22" t="str">
        <f>VLOOKUP(A59,'Trips&amp;Operators'!$C$1:$G$99999,5,FALSE)</f>
        <v>DAVIS WENDY</v>
      </c>
      <c r="M59" s="6">
        <f t="shared" si="1"/>
        <v>2.5115740740147885E-2</v>
      </c>
      <c r="N59" s="7">
        <f t="shared" si="19"/>
        <v>36.166666665812954</v>
      </c>
      <c r="O59" s="7"/>
      <c r="P59" s="7"/>
      <c r="Q59" s="23"/>
      <c r="R59" s="23"/>
      <c r="S59" s="35">
        <f t="shared" si="20"/>
        <v>1</v>
      </c>
      <c r="T59" s="50" t="str">
        <f t="shared" si="2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08:10:58-700',mode:absolute,to:'2016-12-09 10:51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59" s="52" t="str">
        <f t="shared" si="4"/>
        <v>N</v>
      </c>
      <c r="X59" s="177">
        <f t="shared" si="23"/>
        <v>1</v>
      </c>
      <c r="Y59" s="67">
        <f t="shared" si="24"/>
        <v>4.7300000000000002E-2</v>
      </c>
      <c r="Z59" s="67">
        <f t="shared" si="25"/>
        <v>23.329699999999999</v>
      </c>
      <c r="AA59" s="67">
        <f t="shared" si="7"/>
        <v>23.282399999999999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8"/>
        <v>0145-09</v>
      </c>
      <c r="AE59" s="91" t="str">
        <f t="shared" si="9"/>
        <v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v>
      </c>
      <c r="AF59" s="88" t="str">
        <f t="shared" si="10"/>
        <v>"C:\Program Files (x86)\AstroGrep\AstroGrep.exe" /spath="%USERPROFILE%\AppData\Local\Temp\OnboardLogs" /stypes="app*4051*20161209*" /stext=" 16:.+((SYSTEM_STATE.+slice.+state.+changed )|(ment ac)|(multiple cpu faults)|(system.+state.+changed )|(\[timeout)|(PRM\|1\|D)|(kpr)|(kdp)|(\|lc)|(penalty))" /e /r /s</v>
      </c>
      <c r="AG59" s="1" t="str">
        <f t="shared" si="11"/>
        <v>EC</v>
      </c>
      <c r="AH59" s="92" t="str">
        <f t="shared" si="14"/>
        <v>"%USERPROFILE%\Documents\GitHub\eaglep3\Utilities\RefineRTDCRunTimes.py" --tripid 145-09 --locoid 4051 --swversion DE.1.0.8.0 --startMP 204:473 --initTime 2016-12-09T09:10:58 --startdatetime 2016-12-09T09:15:27 --delay 1 --endMP 204:233297 --enddatetime 2016-12-09T09:51:37 --enforcementcount 0 &gt;&gt;C:\Users\stu\Documents\GitHub\eaglep3-reporting\EC\2016-12-09-refined-times.txt</v>
      </c>
      <c r="AI59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{"issue":{"subject":"","project_id":79,"tracker_id":40,"status_id":1,"priority_id":2,"assigned_to_id":23,"start_date":"2016-12-09","description":"","custom_fields":[{"id":1,"name":"Subdivision","value":"EC"},{"id":4,"name":"Milepost","value":"23.3297"},{"id":17,"name":"Train ID","value":"145-09"},{"id":16,"name":"Locomotive ID","value":"4051"},{"id":130,"name":"Impact","value":""},{"id":150,"name":"Time of Event (Mountain Time)","value":"09:51:37"},{"id":151,"name":"Denver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490</v>
      </c>
      <c r="B60" s="7">
        <v>4052</v>
      </c>
      <c r="C60" s="22" t="s">
        <v>206</v>
      </c>
      <c r="D60" s="22" t="s">
        <v>425</v>
      </c>
      <c r="E60" s="13">
        <v>42713.421423611115</v>
      </c>
      <c r="F60" s="13">
        <v>42713.424490740741</v>
      </c>
      <c r="G60" s="7">
        <v>1</v>
      </c>
      <c r="H60" s="22" t="s">
        <v>378</v>
      </c>
      <c r="I60" s="13">
        <v>42713.453252314815</v>
      </c>
      <c r="J60" s="7">
        <v>0</v>
      </c>
      <c r="K60" s="109" t="str">
        <f t="shared" si="0"/>
        <v>4051/4052</v>
      </c>
      <c r="L60" s="22" t="str">
        <f>VLOOKUP(A60,'Trips&amp;Operators'!$C$1:$G$99999,5,FALSE)</f>
        <v>DAVIS WENDY</v>
      </c>
      <c r="M60" s="6">
        <f t="shared" si="1"/>
        <v>2.8761574074451346E-2</v>
      </c>
      <c r="N60" s="7">
        <f t="shared" si="19"/>
        <v>41.416666667209938</v>
      </c>
      <c r="O60" s="7"/>
      <c r="P60" s="7"/>
      <c r="Q60" s="23"/>
      <c r="R60" s="23"/>
      <c r="S60" s="35">
        <f t="shared" si="20"/>
        <v>1</v>
      </c>
      <c r="T60" s="50" t="str">
        <f t="shared" si="2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09:06:51-700',mode:absolute,to:'2016-12-09 11:52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60" s="52" t="str">
        <f t="shared" si="4"/>
        <v>N</v>
      </c>
      <c r="X60" s="177">
        <f t="shared" ref="X60:X73" si="26">VALUE(LEFT(AD60,4))-VALUE(LEFT(AD59,4))</f>
        <v>1</v>
      </c>
      <c r="Y60" s="67">
        <f t="shared" ref="Y60:Y91" si="27">RIGHT(D60,LEN(D60)-4)/10000</f>
        <v>23.3</v>
      </c>
      <c r="Z60" s="67">
        <f t="shared" si="25"/>
        <v>1.9800000000000002E-2</v>
      </c>
      <c r="AA60" s="67">
        <f t="shared" si="7"/>
        <v>23.280200000000001</v>
      </c>
      <c r="AB60" s="64" t="e">
        <f>VLOOKUP(A60,Enforcements!$C$7:$K$20,8,0)</f>
        <v>#N/A</v>
      </c>
      <c r="AC60" s="60" t="e">
        <f>VLOOKUP(A60,Enforcements!$C$7:$E$20,3,0)</f>
        <v>#N/A</v>
      </c>
      <c r="AD60" s="61" t="str">
        <f t="shared" si="8"/>
        <v>0146-09</v>
      </c>
      <c r="AE60" s="91" t="str">
        <f t="shared" si="9"/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AF60" s="88" t="str">
        <f t="shared" si="10"/>
        <v>"C:\Program Files (x86)\AstroGrep\AstroGrep.exe" /spath="%USERPROFILE%\AppData\Local\Temp\OnboardLogs" /stypes="app*4052*20161209*" /stext=" 17:.+((SYSTEM_STATE.+slice.+state.+changed )|(ment ac)|(multiple cpu faults)|(system.+state.+changed )|(\[timeout)|(PRM\|1\|D)|(kpr)|(kdp)|(\|lc)|(penalty))" /e /r /s</v>
      </c>
      <c r="AG60" s="1" t="str">
        <f t="shared" si="11"/>
        <v>EC</v>
      </c>
      <c r="AH60" s="92" t="str">
        <f t="shared" si="14"/>
        <v>"%USERPROFILE%\Documents\GitHub\eaglep3\Utilities\RefineRTDCRunTimes.py" --tripid 146-09 --locoid 4052 --swversion DE.1.0.8.0 --startMP 204:233000 --initTime 2016-12-09T10:06:51 --startdatetime 2016-12-09T10:11:16 --delay 1 --endMP 204:198 --enddatetime 2016-12-09T10:52:41 --enforcementcount 0 &gt;&gt;C:\Users\stu\Documents\GitHub\eaglep3-reporting\EC\2016-12-09-refined-times.txt</v>
      </c>
      <c r="AI60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{"issue":{"subject":"","project_id":79,"tracker_id":40,"status_id":1,"priority_id":2,"assigned_to_id":23,"start_date":"2016-12-09","description":"","custom_fields":[{"id":1,"name":"Subdivision","value":"EC"},{"id":4,"name":"Milepost","value":"0.0198"},{"id":17,"name":"Train ID","value":"146-09"},{"id":16,"name":"Locomotive ID","value":"4052"},{"id":130,"name":"Impact","value":""},{"id":150,"name":"Time of Event (Mountain Time)","value":"10:52:41"},{"id":151,"name":"Denver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571</v>
      </c>
      <c r="B61" s="7">
        <v>4002</v>
      </c>
      <c r="C61" s="22" t="s">
        <v>206</v>
      </c>
      <c r="D61" s="22" t="s">
        <v>268</v>
      </c>
      <c r="E61" s="13">
        <v>42713.392743055556</v>
      </c>
      <c r="F61" s="13">
        <v>42713.396087962959</v>
      </c>
      <c r="G61" s="7">
        <v>1</v>
      </c>
      <c r="H61" s="22" t="s">
        <v>421</v>
      </c>
      <c r="I61" s="13">
        <v>42713.421747685185</v>
      </c>
      <c r="J61" s="7">
        <v>0</v>
      </c>
      <c r="K61" s="109" t="str">
        <f t="shared" si="0"/>
        <v>4001/4002</v>
      </c>
      <c r="L61" s="22" t="str">
        <f>VLOOKUP(A61,'Trips&amp;Operators'!$C$1:$G$99999,5,FALSE)</f>
        <v>ROBINSON KADDIBA</v>
      </c>
      <c r="M61" s="6">
        <f t="shared" si="1"/>
        <v>2.5659722225100268E-2</v>
      </c>
      <c r="N61" s="7">
        <f t="shared" si="19"/>
        <v>36.950000004144385</v>
      </c>
      <c r="O61" s="7"/>
      <c r="P61" s="7"/>
      <c r="Q61" s="23"/>
      <c r="R61" s="23"/>
      <c r="S61" s="35">
        <f t="shared" si="20"/>
        <v>1</v>
      </c>
      <c r="T61" s="50" t="str">
        <f t="shared" si="2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08:25:33-700',mode:absolute,to:'2016-12-09 11:07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1" s="52" t="str">
        <f t="shared" si="4"/>
        <v>N</v>
      </c>
      <c r="X61" s="177">
        <f t="shared" si="26"/>
        <v>1</v>
      </c>
      <c r="Y61" s="67">
        <f t="shared" si="27"/>
        <v>4.3799999999999999E-2</v>
      </c>
      <c r="Z61" s="67">
        <f t="shared" si="25"/>
        <v>23.3307</v>
      </c>
      <c r="AA61" s="67">
        <f t="shared" si="7"/>
        <v>23.286899999999999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8"/>
        <v>0147-09</v>
      </c>
      <c r="AE61" s="91" t="str">
        <f t="shared" si="9"/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AF61" s="88" t="str">
        <f t="shared" si="10"/>
        <v>"C:\Program Files (x86)\AstroGrep\AstroGrep.exe" /spath="%USERPROFILE%\AppData\Local\Temp\OnboardLogs" /stypes="app*4002*20161209*" /stext=" 17:.+((SYSTEM_STATE.+slice.+state.+changed )|(ment ac)|(multiple cpu faults)|(system.+state.+changed )|(\[timeout)|(PRM\|1\|D)|(kpr)|(kdp)|(\|lc)|(penalty))" /e /r /s</v>
      </c>
      <c r="AG61" s="1" t="str">
        <f t="shared" si="11"/>
        <v>EC</v>
      </c>
      <c r="AH61" s="92" t="str">
        <f t="shared" si="14"/>
        <v>"%USERPROFILE%\Documents\GitHub\eaglep3\Utilities\RefineRTDCRunTimes.py" --tripid 147-09 --locoid 4002 --swversion DE.1.0.8.0 --startMP 204:438 --initTime 2016-12-09T09:25:33 --startdatetime 2016-12-09T09:30:22 --delay 1 --endMP 204:233307 --enddatetime 2016-12-09T10:07:19 --enforcementcount 0 &gt;&gt;C:\Users\stu\Documents\GitHub\eaglep3-reporting\EC\2016-12-09-refined-times.txt</v>
      </c>
      <c r="AI61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{"issue":{"subject":"","project_id":79,"tracker_id":40,"status_id":1,"priority_id":2,"assigned_to_id":23,"start_date":"2016-12-09","description":"","custom_fields":[{"id":1,"name":"Subdivision","value":"EC"},{"id":4,"name":"Milepost","value":"23.3307"},{"id":17,"name":"Train ID","value":"147-09"},{"id":16,"name":"Locomotive ID","value":"4002"},{"id":130,"name":"Impact","value":""},{"id":150,"name":"Time of Event (Mountain Time)","value":"10:07:19"},{"id":151,"name":"Denver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577</v>
      </c>
      <c r="B62" s="7">
        <v>4001</v>
      </c>
      <c r="C62" s="22" t="s">
        <v>206</v>
      </c>
      <c r="D62" s="22" t="s">
        <v>321</v>
      </c>
      <c r="E62" s="13">
        <v>42713.432488425926</v>
      </c>
      <c r="F62" s="13">
        <v>42713.434930555559</v>
      </c>
      <c r="G62" s="7">
        <v>1</v>
      </c>
      <c r="H62" s="22" t="s">
        <v>263</v>
      </c>
      <c r="I62" s="13">
        <v>42713.46230324074</v>
      </c>
      <c r="J62" s="7">
        <v>0</v>
      </c>
      <c r="K62" s="109" t="str">
        <f t="shared" si="0"/>
        <v>4001/4002</v>
      </c>
      <c r="L62" s="22" t="str">
        <f>VLOOKUP(A62,'Trips&amp;Operators'!$C$1:$G$99999,5,FALSE)</f>
        <v>ROBINSON KADDIBA</v>
      </c>
      <c r="M62" s="6">
        <f t="shared" si="1"/>
        <v>2.7372685181035195E-2</v>
      </c>
      <c r="N62" s="7">
        <f t="shared" si="19"/>
        <v>39.41666666069068</v>
      </c>
      <c r="O62" s="7"/>
      <c r="P62" s="7"/>
      <c r="Q62" s="23"/>
      <c r="R62" s="23"/>
      <c r="S62" s="35">
        <f t="shared" si="20"/>
        <v>1</v>
      </c>
      <c r="T62" s="50" t="str">
        <f t="shared" si="2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09:22:47-700',mode:absolute,to:'2016-12-09 12:05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62" s="52" t="str">
        <f t="shared" si="4"/>
        <v>N</v>
      </c>
      <c r="X62" s="177">
        <f t="shared" si="26"/>
        <v>1</v>
      </c>
      <c r="Y62" s="67">
        <f t="shared" si="27"/>
        <v>23.299800000000001</v>
      </c>
      <c r="Z62" s="67">
        <f t="shared" si="25"/>
        <v>1.6299999999999999E-2</v>
      </c>
      <c r="AA62" s="67">
        <f t="shared" si="7"/>
        <v>23.2835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8"/>
        <v>0148-09</v>
      </c>
      <c r="AE62" s="91" t="str">
        <f t="shared" si="9"/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AF62" s="88" t="str">
        <f t="shared" si="10"/>
        <v>"C:\Program Files (x86)\AstroGrep\AstroGrep.exe" /spath="%USERPROFILE%\AppData\Local\Temp\OnboardLogs" /stypes="app*4001*20161209*" /stext=" 18:.+((SYSTEM_STATE.+slice.+state.+changed )|(ment ac)|(multiple cpu faults)|(system.+state.+changed )|(\[timeout)|(PRM\|1\|D)|(kpr)|(kdp)|(\|lc)|(penalty))" /e /r /s</v>
      </c>
      <c r="AG62" s="1" t="str">
        <f t="shared" si="11"/>
        <v>EC</v>
      </c>
      <c r="AH62" s="92" t="str">
        <f t="shared" si="14"/>
        <v>"%USERPROFILE%\Documents\GitHub\eaglep3\Utilities\RefineRTDCRunTimes.py" --tripid 148-09 --locoid 4001 --swversion DE.1.0.8.0 --startMP 204:232998 --initTime 2016-12-09T10:22:47 --startdatetime 2016-12-09T10:26:18 --delay 1 --endMP 204:163 --enddatetime 2016-12-09T11:05:43 --enforcementcount 0 &gt;&gt;C:\Users\stu\Documents\GitHub\eaglep3-reporting\EC\2016-12-09-refined-times.txt</v>
      </c>
      <c r="AI62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{"issue":{"subject":"","project_id":79,"tracker_id":40,"status_id":1,"priority_id":2,"assigned_to_id":23,"start_date":"2016-12-09","description":"","custom_fields":[{"id":1,"name":"Subdivision","value":"EC"},{"id":4,"name":"Milepost","value":"0.0163"},{"id":17,"name":"Train ID","value":"148-09"},{"id":16,"name":"Locomotive ID","value":"4001"},{"id":130,"name":"Impact","value":""},{"id":150,"name":"Time of Event (Mountain Time)","value":"11:05:43"},{"id":151,"name":"Denver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573</v>
      </c>
      <c r="B63" s="7">
        <v>4011</v>
      </c>
      <c r="C63" s="22" t="s">
        <v>206</v>
      </c>
      <c r="D63" s="22" t="s">
        <v>338</v>
      </c>
      <c r="E63" s="13">
        <v>42713.401377314818</v>
      </c>
      <c r="F63" s="13">
        <v>42713.406678240739</v>
      </c>
      <c r="G63" s="7">
        <v>1</v>
      </c>
      <c r="H63" s="22" t="s">
        <v>424</v>
      </c>
      <c r="I63" s="13">
        <v>42713.431562500002</v>
      </c>
      <c r="J63" s="7">
        <v>0</v>
      </c>
      <c r="K63" s="109" t="str">
        <f t="shared" si="0"/>
        <v>4011/4012</v>
      </c>
      <c r="L63" s="22" t="str">
        <f>VLOOKUP(A63,'Trips&amp;Operators'!$C$1:$G$99999,5,FALSE)</f>
        <v>SANTIZO D. EDY</v>
      </c>
      <c r="M63" s="6">
        <f t="shared" si="1"/>
        <v>2.4884259262762498E-2</v>
      </c>
      <c r="N63" s="7">
        <f t="shared" si="19"/>
        <v>35.833333338377997</v>
      </c>
      <c r="O63" s="7"/>
      <c r="P63" s="7"/>
      <c r="Q63" s="23"/>
      <c r="R63" s="23"/>
      <c r="S63" s="35">
        <f t="shared" si="20"/>
        <v>1</v>
      </c>
      <c r="T63" s="50" t="str">
        <f t="shared" si="2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08:37:59-700',mode:absolute,to:'2016-12-09 11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63" s="52" t="str">
        <f t="shared" si="4"/>
        <v>N</v>
      </c>
      <c r="X63" s="177">
        <f t="shared" si="26"/>
        <v>1</v>
      </c>
      <c r="Y63" s="67">
        <f t="shared" si="27"/>
        <v>4.4900000000000002E-2</v>
      </c>
      <c r="Z63" s="67">
        <f t="shared" si="25"/>
        <v>23.3325</v>
      </c>
      <c r="AA63" s="67">
        <f t="shared" si="7"/>
        <v>23.287600000000001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8"/>
        <v>0149-09</v>
      </c>
      <c r="AE63" s="91" t="str">
        <f t="shared" si="9"/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AF63" s="88" t="str">
        <f t="shared" si="10"/>
        <v>"C:\Program Files (x86)\AstroGrep\AstroGrep.exe" /spath="%USERPROFILE%\AppData\Local\Temp\OnboardLogs" /stypes="app*4011*20161209*" /stext=" 17:.+((SYSTEM_STATE.+slice.+state.+changed )|(ment ac)|(multiple cpu faults)|(system.+state.+changed )|(\[timeout)|(PRM\|1\|D)|(kpr)|(kdp)|(\|lc)|(penalty))" /e /r /s</v>
      </c>
      <c r="AG63" s="1" t="str">
        <f t="shared" si="11"/>
        <v>EC</v>
      </c>
      <c r="AH63" s="92" t="str">
        <f t="shared" si="14"/>
        <v>"%USERPROFILE%\Documents\GitHub\eaglep3\Utilities\RefineRTDCRunTimes.py" --tripid 149-09 --locoid 4011 --swversion DE.1.0.8.0 --startMP 204:449 --initTime 2016-12-09T09:37:59 --startdatetime 2016-12-09T09:45:37 --delay 1 --endMP 204:233325 --enddatetime 2016-12-09T10:21:27 --enforcementcount 0 &gt;&gt;C:\Users\stu\Documents\GitHub\eaglep3-reporting\EC\2016-12-09-refined-times.txt</v>
      </c>
      <c r="AI63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{"issue":{"subject":"","project_id":79,"tracker_id":40,"status_id":1,"priority_id":2,"assigned_to_id":23,"start_date":"2016-12-09","description":"","custom_fields":[{"id":1,"name":"Subdivision","value":"EC"},{"id":4,"name":"Milepost","value":"23.3325"},{"id":17,"name":"Train ID","value":"149-09"},{"id":16,"name":"Locomotive ID","value":"4011"},{"id":130,"name":"Impact","value":""},{"id":150,"name":"Time of Event (Mountain Time)","value":"10:21:27"},{"id":151,"name":"Denver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491</v>
      </c>
      <c r="B64" s="7">
        <v>4012</v>
      </c>
      <c r="C64" s="22" t="s">
        <v>206</v>
      </c>
      <c r="D64" s="22" t="s">
        <v>428</v>
      </c>
      <c r="E64" s="13">
        <v>42713.433668981481</v>
      </c>
      <c r="F64" s="13">
        <v>42713.445393518516</v>
      </c>
      <c r="G64" s="7">
        <v>1</v>
      </c>
      <c r="H64" s="22" t="s">
        <v>436</v>
      </c>
      <c r="I64" s="13">
        <v>42713.47388888889</v>
      </c>
      <c r="J64" s="7">
        <v>0</v>
      </c>
      <c r="K64" s="109" t="str">
        <f t="shared" si="0"/>
        <v>4011/4012</v>
      </c>
      <c r="L64" s="22" t="str">
        <f>VLOOKUP(A64,'Trips&amp;Operators'!$C$1:$G$99999,5,FALSE)</f>
        <v>SANTIZO D. EDY</v>
      </c>
      <c r="M64" s="6">
        <f t="shared" si="1"/>
        <v>2.849537037400296E-2</v>
      </c>
      <c r="N64" s="7">
        <f t="shared" si="19"/>
        <v>41.033333338564262</v>
      </c>
      <c r="O64" s="7"/>
      <c r="P64" s="7"/>
      <c r="Q64" s="23"/>
      <c r="R64" s="23"/>
      <c r="S64" s="35">
        <f t="shared" si="20"/>
        <v>1</v>
      </c>
      <c r="T64" s="50" t="str">
        <f t="shared" si="2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09:24:29-700',mode:absolute,to:'2016-12-09 12:22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64" s="52" t="str">
        <f t="shared" si="4"/>
        <v>N</v>
      </c>
      <c r="X64" s="177">
        <f t="shared" si="26"/>
        <v>1</v>
      </c>
      <c r="Y64" s="67">
        <f t="shared" si="27"/>
        <v>23.3004</v>
      </c>
      <c r="Z64" s="67">
        <f t="shared" si="25"/>
        <v>1.2699999999999999E-2</v>
      </c>
      <c r="AA64" s="67">
        <f t="shared" si="7"/>
        <v>23.287700000000001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8"/>
        <v>0150-09</v>
      </c>
      <c r="AE64" s="91" t="str">
        <f t="shared" si="9"/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AF64" s="88" t="str">
        <f t="shared" si="10"/>
        <v>"C:\Program Files (x86)\AstroGrep\AstroGrep.exe" /spath="%USERPROFILE%\AppData\Local\Temp\OnboardLogs" /stypes="app*4012*20161209*" /stext=" 18:.+((SYSTEM_STATE.+slice.+state.+changed )|(ment ac)|(multiple cpu faults)|(system.+state.+changed )|(\[timeout)|(PRM\|1\|D)|(kpr)|(kdp)|(\|lc)|(penalty))" /e /r /s</v>
      </c>
      <c r="AG64" s="1" t="str">
        <f t="shared" si="11"/>
        <v>EC</v>
      </c>
      <c r="AH64" s="92" t="str">
        <f t="shared" si="14"/>
        <v>"%USERPROFILE%\Documents\GitHub\eaglep3\Utilities\RefineRTDCRunTimes.py" --tripid 150-09 --locoid 4012 --swversion DE.1.0.8.0 --startMP 204:233004 --initTime 2016-12-09T10:24:29 --startdatetime 2016-12-09T10:41:22 --delay 1 --endMP 204:127 --enddatetime 2016-12-09T11:22:24 --enforcementcount 0 &gt;&gt;C:\Users\stu\Documents\GitHub\eaglep3-reporting\EC\2016-12-09-refined-times.txt</v>
      </c>
      <c r="AI64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{"issue":{"subject":"","project_id":79,"tracker_id":40,"status_id":1,"priority_id":2,"assigned_to_id":23,"start_date":"2016-12-09","description":"","custom_fields":[{"id":1,"name":"Subdivision","value":"EC"},{"id":4,"name":"Milepost","value":"0.0127"},{"id":17,"name":"Train ID","value":"150-09"},{"id":16,"name":"Locomotive ID","value":"4012"},{"id":130,"name":"Impact","value":""},{"id":150,"name":"Time of Event (Mountain Time)","value":"11:22:24"},{"id":151,"name":"Denver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575</v>
      </c>
      <c r="B65" s="7">
        <v>4016</v>
      </c>
      <c r="C65" s="22" t="s">
        <v>206</v>
      </c>
      <c r="D65" s="22" t="s">
        <v>289</v>
      </c>
      <c r="E65" s="13">
        <v>42713.412372685183</v>
      </c>
      <c r="F65" s="13">
        <v>42713.416886574072</v>
      </c>
      <c r="G65" s="7">
        <v>2</v>
      </c>
      <c r="H65" s="22" t="s">
        <v>421</v>
      </c>
      <c r="I65" s="13">
        <v>42713.443483796298</v>
      </c>
      <c r="J65" s="7">
        <v>0</v>
      </c>
      <c r="K65" s="109" t="str">
        <f t="shared" si="0"/>
        <v>4015/4016</v>
      </c>
      <c r="L65" s="22" t="str">
        <f>VLOOKUP(A65,'Trips&amp;Operators'!$C$1:$G$99999,5,FALSE)</f>
        <v>MAGEE KENYA</v>
      </c>
      <c r="M65" s="6">
        <f t="shared" si="1"/>
        <v>2.6597222225973383E-2</v>
      </c>
      <c r="N65" s="7">
        <f t="shared" si="19"/>
        <v>38.300000005401671</v>
      </c>
      <c r="O65" s="7"/>
      <c r="P65" s="7"/>
      <c r="Q65" s="23"/>
      <c r="R65" s="23"/>
      <c r="S65" s="35">
        <f t="shared" si="20"/>
        <v>1</v>
      </c>
      <c r="T65" s="50" t="str">
        <f t="shared" si="2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08:53:49-700',mode:absolute,to:'2016-12-09 11:38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65" s="52" t="str">
        <f t="shared" si="4"/>
        <v>N</v>
      </c>
      <c r="X65" s="177">
        <f t="shared" si="26"/>
        <v>1</v>
      </c>
      <c r="Y65" s="67">
        <f t="shared" si="27"/>
        <v>4.53E-2</v>
      </c>
      <c r="Z65" s="67">
        <f t="shared" si="25"/>
        <v>23.3307</v>
      </c>
      <c r="AA65" s="67">
        <f t="shared" si="7"/>
        <v>23.285399999999999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8"/>
        <v>0151-09</v>
      </c>
      <c r="AE65" s="91" t="str">
        <f t="shared" si="9"/>
        <v>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 &amp; 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</v>
      </c>
      <c r="AF65" s="88" t="str">
        <f t="shared" si="10"/>
        <v>"C:\Program Files (x86)\AstroGrep\AstroGrep.exe" /spath="%USERPROFILE%\AppData\Local\Temp\OnboardLogs" /stypes="app*4016*20161209*" /stext=" 17:.+((SYSTEM_STATE.+slice.+state.+changed )|(ment ac)|(multiple cpu faults)|(system.+state.+changed )|(\[timeout)|(PRM\|1\|D)|(kpr)|(kdp)|(\|lc)|(penalty))" /e /r /s</v>
      </c>
      <c r="AG65" s="1" t="str">
        <f t="shared" si="11"/>
        <v>EC</v>
      </c>
      <c r="AH65" s="92" t="str">
        <f t="shared" si="14"/>
        <v>"%USERPROFILE%\Documents\GitHub\eaglep3\Utilities\RefineRTDCRunTimes.py" --tripid 151-09 --locoid 4016 --swversion DE.1.0.8.0 --startMP 204:453 --initTime 2016-12-09T09:53:49 --startdatetime 2016-12-09T10:00:19 --delay 2 --endMP 204:233307 --enddatetime 2016-12-09T10:38:37 --enforcementcount 0 &gt;&gt;C:\Users\stu\Documents\GitHub\eaglep3-reporting\EC\2016-12-09-refined-times.txt</v>
      </c>
      <c r="AI65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{"issue":{"subject":"","project_id":79,"tracker_id":40,"status_id":1,"priority_id":2,"assigned_to_id":23,"start_date":"2016-12-09","description":"","custom_fields":[{"id":1,"name":"Subdivision","value":"EC"},{"id":4,"name":"Milepost","value":"23.3307"},{"id":17,"name":"Train ID","value":"151-09"},{"id":16,"name":"Locomotive ID","value":"4016"},{"id":130,"name":"Impact","value":""},{"id":150,"name":"Time of Event (Mountain Time)","value":"10:38:37"},{"id":151,"name":"Denver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492</v>
      </c>
      <c r="B66" s="7">
        <v>4015</v>
      </c>
      <c r="C66" s="22" t="s">
        <v>206</v>
      </c>
      <c r="D66" s="22" t="s">
        <v>296</v>
      </c>
      <c r="E66" s="13">
        <v>42713.444895833331</v>
      </c>
      <c r="F66" s="13">
        <v>42713.45585648148</v>
      </c>
      <c r="G66" s="7">
        <v>1</v>
      </c>
      <c r="H66" s="22" t="s">
        <v>423</v>
      </c>
      <c r="I66" s="13">
        <v>42713.484120370369</v>
      </c>
      <c r="J66" s="7">
        <v>0</v>
      </c>
      <c r="K66" s="109" t="str">
        <f t="shared" si="0"/>
        <v>4015/4016</v>
      </c>
      <c r="L66" s="22" t="str">
        <f>VLOOKUP(A66,'Trips&amp;Operators'!$C$1:$G$99999,5,FALSE)</f>
        <v>MAGEE KENYA</v>
      </c>
      <c r="M66" s="6">
        <f t="shared" si="1"/>
        <v>2.8263888889341615E-2</v>
      </c>
      <c r="N66" s="7">
        <f t="shared" si="19"/>
        <v>40.700000000651926</v>
      </c>
      <c r="O66" s="7"/>
      <c r="P66" s="7"/>
      <c r="Q66" s="23"/>
      <c r="R66" s="23"/>
      <c r="S66" s="35">
        <f t="shared" si="20"/>
        <v>1</v>
      </c>
      <c r="T66" s="50" t="str">
        <f t="shared" si="2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09:40:39-700',mode:absolute,to:'2016-12-09 12:37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66" s="52" t="str">
        <f t="shared" si="4"/>
        <v>N</v>
      </c>
      <c r="X66" s="177">
        <f t="shared" si="26"/>
        <v>1</v>
      </c>
      <c r="Y66" s="67">
        <f t="shared" si="27"/>
        <v>23.299399999999999</v>
      </c>
      <c r="Z66" s="67">
        <f t="shared" si="25"/>
        <v>1.67E-2</v>
      </c>
      <c r="AA66" s="67">
        <f t="shared" si="7"/>
        <v>23.282699999999998</v>
      </c>
      <c r="AB66" s="64" t="str">
        <f>VLOOKUP(A66,Enforcements!$C$7:$K$20,8,0)</f>
        <v>Signal based authority (5)</v>
      </c>
      <c r="AC66" s="60" t="str">
        <f>VLOOKUP(A66,Enforcements!$C$7:$E$20,3,0)</f>
        <v>SIGNAL</v>
      </c>
      <c r="AD66" s="61" t="str">
        <f t="shared" si="8"/>
        <v>0152-09</v>
      </c>
      <c r="AE66" s="91" t="str">
        <f t="shared" si="9"/>
        <v>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 &amp; 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</v>
      </c>
      <c r="AF66" s="88" t="str">
        <f t="shared" si="10"/>
        <v>"C:\Program Files (x86)\AstroGrep\AstroGrep.exe" /spath="%USERPROFILE%\AppData\Local\Temp\OnboardLogs" /stypes="app*4015*20161209*" /stext=" 18:.+((SYSTEM_STATE.+slice.+state.+changed )|(ment ac)|(multiple cpu faults)|(system.+state.+changed )|(\[timeout)|(PRM\|1\|D)|(kpr)|(kdp)|(\|lc)|(penalty))" /e /r /s</v>
      </c>
      <c r="AG66" s="1" t="str">
        <f t="shared" si="11"/>
        <v>EC</v>
      </c>
      <c r="AH66" s="92" t="str">
        <f t="shared" si="14"/>
        <v>"%USERPROFILE%\Documents\GitHub\eaglep3\Utilities\RefineRTDCRunTimes.py" --tripid 152-09 --locoid 4015 --swversion DE.1.0.8.0 --startMP 204:232994 --initTime 2016-12-09T10:40:39 --startdatetime 2016-12-09T10:56:26 --delay 1 --endMP 204:167 --enddatetime 2016-12-09T11:37:08 --enforcementcount 0 &gt;&gt;C:\Users\stu\Documents\GitHub\eaglep3-reporting\EC\2016-12-09-refined-times.txt</v>
      </c>
      <c r="AI66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{"issue":{"subject":"","project_id":79,"tracker_id":40,"status_id":1,"priority_id":2,"assigned_to_id":23,"start_date":"2016-12-09","description":"","custom_fields":[{"id":1,"name":"Subdivision","value":"EC"},{"id":4,"name":"Milepost","value":"0.0167"},{"id":17,"name":"Train ID","value":"152-09"},{"id":16,"name":"Locomotive ID","value":"4015"},{"id":130,"name":"Impact","value":""},{"id":150,"name":"Time of Event (Mountain Time)","value":"11:37:08"},{"id":151,"name":"Denver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576</v>
      </c>
      <c r="B67" s="7">
        <v>4031</v>
      </c>
      <c r="C67" s="22" t="s">
        <v>206</v>
      </c>
      <c r="D67" s="22" t="s">
        <v>463</v>
      </c>
      <c r="E67" s="13">
        <v>42713.42287037037</v>
      </c>
      <c r="F67" s="13">
        <v>42713.427256944444</v>
      </c>
      <c r="G67" s="7">
        <v>1</v>
      </c>
      <c r="H67" s="22" t="s">
        <v>322</v>
      </c>
      <c r="I67" s="13">
        <v>42713.45144675926</v>
      </c>
      <c r="J67" s="7">
        <v>0</v>
      </c>
      <c r="K67" s="109" t="str">
        <f t="shared" si="0"/>
        <v>4031/4032</v>
      </c>
      <c r="L67" s="22" t="str">
        <f>VLOOKUP(A67,'Trips&amp;Operators'!$C$1:$G$99999,5,FALSE)</f>
        <v>ISHMAEL JOSEPH</v>
      </c>
      <c r="M67" s="6">
        <f t="shared" si="1"/>
        <v>2.4189814816054422E-2</v>
      </c>
      <c r="N67" s="7">
        <f t="shared" si="19"/>
        <v>34.833333335118368</v>
      </c>
      <c r="O67" s="7"/>
      <c r="P67" s="7"/>
      <c r="Q67" s="23"/>
      <c r="R67" s="23"/>
      <c r="S67" s="35">
        <f t="shared" si="20"/>
        <v>1</v>
      </c>
      <c r="T67" s="50" t="str">
        <f t="shared" si="2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09:08:56-700',mode:absolute,to:'2016-12-09 11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7" s="52" t="str">
        <f t="shared" si="4"/>
        <v>N</v>
      </c>
      <c r="X67" s="177">
        <f t="shared" si="26"/>
        <v>1</v>
      </c>
      <c r="Y67" s="67">
        <f t="shared" si="27"/>
        <v>4.7500000000000001E-2</v>
      </c>
      <c r="Z67" s="67">
        <f t="shared" si="25"/>
        <v>23.331399999999999</v>
      </c>
      <c r="AA67" s="67">
        <f t="shared" si="7"/>
        <v>23.283899999999999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8"/>
        <v>0153-09</v>
      </c>
      <c r="AE67" s="91" t="str">
        <f t="shared" si="9"/>
        <v>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 &amp; 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</v>
      </c>
      <c r="AF67" s="88" t="str">
        <f t="shared" si="10"/>
        <v>"C:\Program Files (x86)\AstroGrep\AstroGrep.exe" /spath="%USERPROFILE%\AppData\Local\Temp\OnboardLogs" /stypes="app*4031*20161209*" /stext=" 17:.+((SYSTEM_STATE.+slice.+state.+changed )|(ment ac)|(multiple cpu faults)|(system.+state.+changed )|(\[timeout)|(PRM\|1\|D)|(kpr)|(kdp)|(\|lc)|(penalty))" /e /r /s</v>
      </c>
      <c r="AG67" s="1" t="str">
        <f t="shared" si="11"/>
        <v>EC</v>
      </c>
      <c r="AH67" s="92" t="str">
        <f t="shared" si="14"/>
        <v>"%USERPROFILE%\Documents\GitHub\eaglep3\Utilities\RefineRTDCRunTimes.py" --tripid 153-09 --locoid 4031 --swversion DE.1.0.8.0 --startMP 204:475 --initTime 2016-12-09T10:08:56 --startdatetime 2016-12-09T10:15:15 --delay 1 --endMP 204:233314 --enddatetime 2016-12-09T10:50:05 --enforcementcount 0 &gt;&gt;C:\Users\stu\Documents\GitHub\eaglep3-reporting\EC\2016-12-09-refined-times.txt</v>
      </c>
      <c r="AI67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{"issue":{"subject":"","project_id":79,"tracker_id":40,"status_id":1,"priority_id":2,"assigned_to_id":23,"start_date":"2016-12-09","description":"","custom_fields":[{"id":1,"name":"Subdivision","value":"EC"},{"id":4,"name":"Milepost","value":"23.3314"},{"id":17,"name":"Train ID","value":"153-09"},{"id":16,"name":"Locomotive ID","value":"4031"},{"id":130,"name":"Impact","value":""},{"id":150,"name":"Time of Event (Mountain Time)","value":"10:50:05"},{"id":151,"name":"Denver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583</v>
      </c>
      <c r="B68" s="7">
        <v>4032</v>
      </c>
      <c r="C68" s="22" t="s">
        <v>206</v>
      </c>
      <c r="D68" s="22" t="s">
        <v>713</v>
      </c>
      <c r="E68" s="13">
        <v>42713.460243055553</v>
      </c>
      <c r="F68" s="13">
        <v>42713.466307870367</v>
      </c>
      <c r="G68" s="7">
        <v>1</v>
      </c>
      <c r="H68" s="22" t="s">
        <v>293</v>
      </c>
      <c r="I68" s="13">
        <v>42713.493321759262</v>
      </c>
      <c r="J68" s="7">
        <v>0</v>
      </c>
      <c r="K68" s="109" t="str">
        <f t="shared" si="0"/>
        <v>4031/4032</v>
      </c>
      <c r="L68" s="22" t="str">
        <f>VLOOKUP(A68,'Trips&amp;Operators'!$C$1:$G$99999,5,FALSE)</f>
        <v>ISHMAEL JOSEPH</v>
      </c>
      <c r="M68" s="6">
        <f t="shared" si="1"/>
        <v>2.701388889545342E-2</v>
      </c>
      <c r="N68" s="7">
        <f t="shared" si="19"/>
        <v>38.900000009452924</v>
      </c>
      <c r="O68" s="7"/>
      <c r="P68" s="7"/>
      <c r="Q68" s="23"/>
      <c r="R68" s="23"/>
      <c r="S68" s="35">
        <f t="shared" si="20"/>
        <v>1</v>
      </c>
      <c r="T68" s="50" t="str">
        <f t="shared" si="2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10:02:45-700',mode:absolute,to:'2016-12-09 12:50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8" s="52" t="str">
        <f t="shared" si="4"/>
        <v>N</v>
      </c>
      <c r="X68" s="177">
        <f t="shared" si="26"/>
        <v>1</v>
      </c>
      <c r="Y68" s="67">
        <f t="shared" si="27"/>
        <v>23.299299999999999</v>
      </c>
      <c r="Z68" s="67">
        <f t="shared" si="25"/>
        <v>1.52E-2</v>
      </c>
      <c r="AA68" s="67">
        <f t="shared" si="7"/>
        <v>23.284099999999999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8"/>
        <v>0154-09</v>
      </c>
      <c r="AE68" s="91" t="str">
        <f t="shared" si="9"/>
        <v>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 &amp; 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</v>
      </c>
      <c r="AF68" s="88" t="str">
        <f t="shared" si="10"/>
        <v>"C:\Program Files (x86)\AstroGrep\AstroGrep.exe" /spath="%USERPROFILE%\AppData\Local\Temp\OnboardLogs" /stypes="app*4032*20161209*" /stext=" 18:.+((SYSTEM_STATE.+slice.+state.+changed )|(ment ac)|(multiple cpu faults)|(system.+state.+changed )|(\[timeout)|(PRM\|1\|D)|(kpr)|(kdp)|(\|lc)|(penalty))" /e /r /s</v>
      </c>
      <c r="AG68" s="1" t="str">
        <f t="shared" si="11"/>
        <v>EC</v>
      </c>
      <c r="AH68" s="92" t="str">
        <f t="shared" si="14"/>
        <v>"%USERPROFILE%\Documents\GitHub\eaglep3\Utilities\RefineRTDCRunTimes.py" --tripid 154-09 --locoid 4032 --swversion DE.1.0.8.0 --startMP 204:232993 --initTime 2016-12-09T11:02:45 --startdatetime 2016-12-09T11:11:29 --delay 1 --endMP 204:152 --enddatetime 2016-12-09T11:50:23 --enforcementcount 0 &gt;&gt;C:\Users\stu\Documents\GitHub\eaglep3-reporting\EC\2016-12-09-refined-times.txt</v>
      </c>
      <c r="AI68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{"issue":{"subject":"","project_id":79,"tracker_id":40,"status_id":1,"priority_id":2,"assigned_to_id":23,"start_date":"2016-12-09","description":"","custom_fields":[{"id":1,"name":"Subdivision","value":"EC"},{"id":4,"name":"Milepost","value":"0.0152"},{"id":17,"name":"Train ID","value":"154-09"},{"id":16,"name":"Locomotive ID","value":"4032"},{"id":130,"name":"Impact","value":""},{"id":150,"name":"Time of Event (Mountain Time)","value":"11:50:23"},{"id":151,"name":"Denver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578</v>
      </c>
      <c r="B69" s="7">
        <v>4029</v>
      </c>
      <c r="C69" s="22" t="s">
        <v>206</v>
      </c>
      <c r="D69" s="22" t="s">
        <v>442</v>
      </c>
      <c r="E69" s="13">
        <v>42713.433553240742</v>
      </c>
      <c r="F69" s="13">
        <v>42713.438020833331</v>
      </c>
      <c r="G69" s="7">
        <v>2</v>
      </c>
      <c r="H69" s="22" t="s">
        <v>381</v>
      </c>
      <c r="I69" s="13">
        <v>42713.462048611109</v>
      </c>
      <c r="J69" s="7">
        <v>0</v>
      </c>
      <c r="K69" s="109" t="str">
        <f t="shared" si="0"/>
        <v>4029/4030</v>
      </c>
      <c r="L69" s="22" t="str">
        <f>VLOOKUP(A69,'Trips&amp;Operators'!$C$1:$G$99999,5,FALSE)</f>
        <v>BEAM ROSS</v>
      </c>
      <c r="M69" s="6">
        <f t="shared" si="1"/>
        <v>2.4027777777519077E-2</v>
      </c>
      <c r="N69" s="7">
        <f t="shared" si="19"/>
        <v>34.599999999627471</v>
      </c>
      <c r="O69" s="7"/>
      <c r="P69" s="7"/>
      <c r="Q69" s="23"/>
      <c r="R69" s="23"/>
      <c r="S69" s="35">
        <f t="shared" si="20"/>
        <v>1</v>
      </c>
      <c r="T69" s="50" t="str">
        <f t="shared" si="2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09:24:19-700',mode:absolute,to:'2016-12-09 12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9" s="52" t="str">
        <f t="shared" si="4"/>
        <v>N</v>
      </c>
      <c r="X69" s="177">
        <f t="shared" si="26"/>
        <v>1</v>
      </c>
      <c r="Y69" s="67">
        <f t="shared" si="27"/>
        <v>4.8800000000000003E-2</v>
      </c>
      <c r="Z69" s="67">
        <f t="shared" si="25"/>
        <v>23.3276</v>
      </c>
      <c r="AA69" s="67">
        <f t="shared" si="7"/>
        <v>23.2788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8"/>
        <v>0155-09</v>
      </c>
      <c r="AE69" s="91" t="str">
        <f t="shared" si="9"/>
        <v>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 &amp; aws s3 cp s3://rtdc.mdm.uploadarchive.raw/RTDC4029/ "%USERPROFILE%\AppData\Local\Temp\OnboardLogs"\RTDC4029\2016-12-10 --exclude "*" --recursive --include "*20161210*" &amp; "%USERPROFILE%\Documents\GitHub\mrs-test-scripts\Headless Mode &amp; Sideloading\WalkAndUnGZ.bat" "%USERPROFILE%\AppData\Local\Temp\OnboardLogs"\RTDC4029\2016-12-10</v>
      </c>
      <c r="AF69" s="88" t="str">
        <f t="shared" si="10"/>
        <v>"C:\Program Files (x86)\AstroGrep\AstroGrep.exe" /spath="%USERPROFILE%\AppData\Local\Temp\OnboardLogs" /stypes="app*4029*20161209*" /stext=" 18:.+((SYSTEM_STATE.+slice.+state.+changed )|(ment ac)|(multiple cpu faults)|(system.+state.+changed )|(\[timeout)|(PRM\|1\|D)|(kpr)|(kdp)|(\|lc)|(penalty))" /e /r /s</v>
      </c>
      <c r="AG69" s="1" t="str">
        <f t="shared" si="11"/>
        <v>EC</v>
      </c>
      <c r="AH69" s="92" t="str">
        <f t="shared" si="14"/>
        <v>"%USERPROFILE%\Documents\GitHub\eaglep3\Utilities\RefineRTDCRunTimes.py" --tripid 155-09 --locoid 4029 --swversion DE.1.0.8.0 --startMP 204:488 --initTime 2016-12-09T10:24:19 --startdatetime 2016-12-09T10:30:45 --delay 2 --endMP 204:233276 --enddatetime 2016-12-09T11:05:21 --enforcementcount 0 &gt;&gt;C:\Users\stu\Documents\GitHub\eaglep3-reporting\EC\2016-12-09-refined-times.txt</v>
      </c>
      <c r="AI69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{"issue":{"subject":"","project_id":79,"tracker_id":40,"status_id":1,"priority_id":2,"assigned_to_id":23,"start_date":"2016-12-09","description":"","custom_fields":[{"id":1,"name":"Subdivision","value":"EC"},{"id":4,"name":"Milepost","value":"23.3276"},{"id":17,"name":"Train ID","value":"155-09"},{"id":16,"name":"Locomotive ID","value":"4029"},{"id":130,"name":"Impact","value":""},{"id":150,"name":"Time of Event (Mountain Time)","value":"11:05:21"},{"id":151,"name":"Denver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588</v>
      </c>
      <c r="B70" s="7">
        <v>4030</v>
      </c>
      <c r="C70" s="22" t="s">
        <v>206</v>
      </c>
      <c r="D70" s="22" t="s">
        <v>337</v>
      </c>
      <c r="E70" s="13">
        <v>42713.474212962959</v>
      </c>
      <c r="F70" s="13">
        <v>42713.476817129631</v>
      </c>
      <c r="G70" s="7">
        <v>1</v>
      </c>
      <c r="H70" s="22" t="s">
        <v>331</v>
      </c>
      <c r="I70" s="13">
        <v>42713.503576388888</v>
      </c>
      <c r="J70" s="7">
        <v>0</v>
      </c>
      <c r="K70" s="109" t="str">
        <f t="shared" si="0"/>
        <v>4029/4030</v>
      </c>
      <c r="L70" s="22" t="str">
        <f>VLOOKUP(A70,'Trips&amp;Operators'!$C$1:$G$99999,5,FALSE)</f>
        <v>BEAM ROSS</v>
      </c>
      <c r="M70" s="6">
        <f t="shared" si="1"/>
        <v>2.675925925723277E-2</v>
      </c>
      <c r="N70" s="7">
        <f t="shared" si="19"/>
        <v>38.533333330415189</v>
      </c>
      <c r="O70" s="7"/>
      <c r="P70" s="7"/>
      <c r="Q70" s="23"/>
      <c r="R70" s="23"/>
      <c r="S70" s="35">
        <f t="shared" si="20"/>
        <v>1</v>
      </c>
      <c r="T70" s="50" t="str">
        <f t="shared" si="2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10:22:52-700',mode:absolute,to:'2016-12-09 13:05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0" s="52" t="str">
        <f t="shared" si="4"/>
        <v>N</v>
      </c>
      <c r="X70" s="177">
        <f t="shared" si="26"/>
        <v>1</v>
      </c>
      <c r="Y70" s="67">
        <f t="shared" si="27"/>
        <v>23.297499999999999</v>
      </c>
      <c r="Z70" s="67">
        <f t="shared" si="25"/>
        <v>1.47E-2</v>
      </c>
      <c r="AA70" s="67">
        <f t="shared" si="7"/>
        <v>23.282799999999998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8"/>
        <v>0156-09</v>
      </c>
      <c r="AE70" s="91" t="str">
        <f t="shared" si="9"/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AF70" s="88" t="str">
        <f t="shared" si="10"/>
        <v>"C:\Program Files (x86)\AstroGrep\AstroGrep.exe" /spath="%USERPROFILE%\AppData\Local\Temp\OnboardLogs" /stypes="app*4030*20161209*" /stext=" 19:.+((SYSTEM_STATE.+slice.+state.+changed )|(ment ac)|(multiple cpu faults)|(system.+state.+changed )|(\[timeout)|(PRM\|1\|D)|(kpr)|(kdp)|(\|lc)|(penalty))" /e /r /s</v>
      </c>
      <c r="AG70" s="1" t="str">
        <f t="shared" si="11"/>
        <v>EC</v>
      </c>
      <c r="AH70" s="92" t="str">
        <f t="shared" si="14"/>
        <v>"%USERPROFILE%\Documents\GitHub\eaglep3\Utilities\RefineRTDCRunTimes.py" --tripid 156-09 --locoid 4030 --swversion DE.1.0.8.0 --startMP 204:232975 --initTime 2016-12-09T11:22:52 --startdatetime 2016-12-09T11:26:37 --delay 1 --endMP 204:147 --enddatetime 2016-12-09T12:05:09 --enforcementcount 0 &gt;&gt;C:\Users\stu\Documents\GitHub\eaglep3-reporting\EC\2016-12-09-refined-times.txt</v>
      </c>
      <c r="AI70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{"issue":{"subject":"","project_id":79,"tracker_id":40,"status_id":1,"priority_id":2,"assigned_to_id":23,"start_date":"2016-12-09","description":"","custom_fields":[{"id":1,"name":"Subdivision","value":"EC"},{"id":4,"name":"Milepost","value":"0.0147"},{"id":17,"name":"Train ID","value":"156-09"},{"id":16,"name":"Locomotive ID","value":"4030"},{"id":130,"name":"Impact","value":""},{"id":150,"name":"Time of Event (Mountain Time)","value":"12:05:09"},{"id":151,"name":"Denver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579</v>
      </c>
      <c r="B71" s="7">
        <v>4025</v>
      </c>
      <c r="C71" s="22" t="s">
        <v>206</v>
      </c>
      <c r="D71" s="22" t="s">
        <v>719</v>
      </c>
      <c r="E71" s="13">
        <v>42713.443530092591</v>
      </c>
      <c r="F71" s="13">
        <v>42713.448136574072</v>
      </c>
      <c r="G71" s="7">
        <v>1</v>
      </c>
      <c r="H71" s="22" t="s">
        <v>444</v>
      </c>
      <c r="I71" s="13">
        <v>42713.473124999997</v>
      </c>
      <c r="J71" s="7">
        <v>0</v>
      </c>
      <c r="K71" s="109" t="str">
        <f t="shared" si="0"/>
        <v>4025/4026</v>
      </c>
      <c r="L71" s="22" t="str">
        <f>VLOOKUP(A71,'Trips&amp;Operators'!$C$1:$G$99999,5,FALSE)</f>
        <v>ROCHA YAOTL</v>
      </c>
      <c r="M71" s="6">
        <f t="shared" si="1"/>
        <v>2.4988425924675539E-2</v>
      </c>
      <c r="N71" s="7">
        <f t="shared" si="19"/>
        <v>35.983333331532776</v>
      </c>
      <c r="O71" s="7"/>
      <c r="P71" s="7"/>
      <c r="Q71" s="23"/>
      <c r="R71" s="23"/>
      <c r="S71" s="35">
        <f t="shared" si="20"/>
        <v>1</v>
      </c>
      <c r="T71" s="50" t="str">
        <f t="shared" si="2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09:38:41-700',mode:absolute,to:'2016-12-09 12:21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71" s="52" t="str">
        <f t="shared" si="4"/>
        <v>N</v>
      </c>
      <c r="X71" s="177">
        <f t="shared" si="26"/>
        <v>1</v>
      </c>
      <c r="Y71" s="67">
        <f t="shared" si="27"/>
        <v>0.04</v>
      </c>
      <c r="Z71" s="67">
        <f t="shared" si="25"/>
        <v>23.330200000000001</v>
      </c>
      <c r="AA71" s="67">
        <f t="shared" si="7"/>
        <v>23.290200000000002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8"/>
        <v>0157-09</v>
      </c>
      <c r="AE71" s="91" t="str">
        <f t="shared" si="9"/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AF71" s="88" t="str">
        <f t="shared" si="10"/>
        <v>"C:\Program Files (x86)\AstroGrep\AstroGrep.exe" /spath="%USERPROFILE%\AppData\Local\Temp\OnboardLogs" /stypes="app*4025*20161209*" /stext=" 18:.+((SYSTEM_STATE.+slice.+state.+changed )|(ment ac)|(multiple cpu faults)|(system.+state.+changed )|(\[timeout)|(PRM\|1\|D)|(kpr)|(kdp)|(\|lc)|(penalty))" /e /r /s</v>
      </c>
      <c r="AG71" s="1" t="str">
        <f t="shared" si="11"/>
        <v>EC</v>
      </c>
      <c r="AH71" s="92" t="str">
        <f t="shared" si="14"/>
        <v>"%USERPROFILE%\Documents\GitHub\eaglep3\Utilities\RefineRTDCRunTimes.py" --tripid 157-09 --locoid 4025 --swversion DE.1.0.8.0 --startMP 204:400 --initTime 2016-12-09T10:38:41 --startdatetime 2016-12-09T10:45:19 --delay 1 --endMP 204:233302 --enddatetime 2016-12-09T11:21:18 --enforcementcount 0 &gt;&gt;C:\Users\stu\Documents\GitHub\eaglep3-reporting\EC\2016-12-09-refined-times.txt</v>
      </c>
      <c r="AI71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{"issue":{"subject":"","project_id":79,"tracker_id":40,"status_id":1,"priority_id":2,"assigned_to_id":23,"start_date":"2016-12-09","description":"","custom_fields":[{"id":1,"name":"Subdivision","value":"EC"},{"id":4,"name":"Milepost","value":"23.3302"},{"id":17,"name":"Train ID","value":"157-09"},{"id":16,"name":"Locomotive ID","value":"4025"},{"id":130,"name":"Impact","value":""},{"id":150,"name":"Time of Event (Mountain Time)","value":"11:21:18"},{"id":151,"name":"Denver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590</v>
      </c>
      <c r="B72" s="7">
        <v>4026</v>
      </c>
      <c r="C72" s="22" t="s">
        <v>206</v>
      </c>
      <c r="D72" s="22" t="s">
        <v>720</v>
      </c>
      <c r="E72" s="13">
        <v>42713.482557870368</v>
      </c>
      <c r="F72" s="13">
        <v>42713.487037037034</v>
      </c>
      <c r="G72" s="7">
        <v>1</v>
      </c>
      <c r="H72" s="22" t="s">
        <v>192</v>
      </c>
      <c r="I72" s="13">
        <v>42713.515601851854</v>
      </c>
      <c r="J72" s="7">
        <v>0</v>
      </c>
      <c r="K72" s="109" t="str">
        <f t="shared" si="0"/>
        <v>4025/4026</v>
      </c>
      <c r="L72" s="22" t="str">
        <f>VLOOKUP(A72,'Trips&amp;Operators'!$C$1:$G$99999,5,FALSE)</f>
        <v>ROCHA YAOTL</v>
      </c>
      <c r="M72" s="6">
        <f t="shared" si="1"/>
        <v>2.8564814820128959E-2</v>
      </c>
      <c r="N72" s="7">
        <f t="shared" si="19"/>
        <v>41.1333333409857</v>
      </c>
      <c r="O72" s="7"/>
      <c r="P72" s="7"/>
      <c r="Q72" s="23"/>
      <c r="R72" s="23"/>
      <c r="S72" s="35">
        <f t="shared" si="20"/>
        <v>1</v>
      </c>
      <c r="T72" s="50" t="str">
        <f t="shared" si="2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10:34:53-700',mode:absolute,to:'2016-12-09 13:22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72" s="52" t="str">
        <f t="shared" si="4"/>
        <v>N</v>
      </c>
      <c r="X72" s="177">
        <f t="shared" si="26"/>
        <v>1</v>
      </c>
      <c r="Y72" s="67">
        <f t="shared" si="27"/>
        <v>23.297599999999999</v>
      </c>
      <c r="Z72" s="67">
        <f t="shared" si="25"/>
        <v>1.49E-2</v>
      </c>
      <c r="AA72" s="67">
        <f t="shared" si="7"/>
        <v>23.282699999999998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8"/>
        <v>0158-09</v>
      </c>
      <c r="AE72" s="91" t="str">
        <f t="shared" si="9"/>
        <v>aws s3 cp s3://rtdc.mdm.uploadarchive.raw/RTDC4026/ "%USERPROFILE%\AppData\Local\Temp\OnboardLogs"\RTDC4026\2016-12-09 --exclude "*" --recursive --include "*20161209*" &amp; "%USERPROFILE%\Documents\GitHub\mrs-test-scripts\Headless Mode &amp; Sideloading\WalkAndUnGZ.bat" "%USERPROFILE%\AppData\Local\Temp\OnboardLogs"\RTDC4026\2016-12-09 &amp; 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</v>
      </c>
      <c r="AF72" s="88" t="str">
        <f t="shared" si="10"/>
        <v>"C:\Program Files (x86)\AstroGrep\AstroGrep.exe" /spath="%USERPROFILE%\AppData\Local\Temp\OnboardLogs" /stypes="app*4026*20161209*" /stext=" 19:.+((SYSTEM_STATE.+slice.+state.+changed )|(ment ac)|(multiple cpu faults)|(system.+state.+changed )|(\[timeout)|(PRM\|1\|D)|(kpr)|(kdp)|(\|lc)|(penalty))" /e /r /s</v>
      </c>
      <c r="AG72" s="1" t="str">
        <f t="shared" si="11"/>
        <v>EC</v>
      </c>
      <c r="AH72" s="92" t="str">
        <f t="shared" si="14"/>
        <v>"%USERPROFILE%\Documents\GitHub\eaglep3\Utilities\RefineRTDCRunTimes.py" --tripid 158-09 --locoid 4026 --swversion DE.1.0.8.0 --startMP 204:232976 --initTime 2016-12-09T11:34:53 --startdatetime 2016-12-09T11:41:20 --delay 1 --endMP 204:149 --enddatetime 2016-12-09T12:22:28 --enforcementcount 0 &gt;&gt;C:\Users\stu\Documents\GitHub\eaglep3-reporting\EC\2016-12-09-refined-times.txt</v>
      </c>
      <c r="AI72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{"issue":{"subject":"","project_id":79,"tracker_id":40,"status_id":1,"priority_id":2,"assigned_to_id":23,"start_date":"2016-12-09","description":"","custom_fields":[{"id":1,"name":"Subdivision","value":"EC"},{"id":4,"name":"Milepost","value":"0.0149"},{"id":17,"name":"Train ID","value":"158-09"},{"id":16,"name":"Locomotive ID","value":"4026"},{"id":130,"name":"Impact","value":""},{"id":150,"name":"Time of Event (Mountain Time)","value":"12:22:28"},{"id":151,"name":"Denver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582</v>
      </c>
      <c r="B73" s="7">
        <v>4051</v>
      </c>
      <c r="C73" s="22" t="s">
        <v>206</v>
      </c>
      <c r="D73" s="22" t="s">
        <v>717</v>
      </c>
      <c r="E73" s="13">
        <v>42713.455370370371</v>
      </c>
      <c r="F73" s="13">
        <v>42713.458993055552</v>
      </c>
      <c r="G73" s="7">
        <v>2</v>
      </c>
      <c r="H73" s="22" t="s">
        <v>274</v>
      </c>
      <c r="I73" s="13">
        <v>42713.484652777777</v>
      </c>
      <c r="J73" s="7">
        <v>0</v>
      </c>
      <c r="K73" s="109" t="str">
        <f t="shared" si="0"/>
        <v>4051/4052</v>
      </c>
      <c r="L73" s="22" t="str">
        <f>VLOOKUP(A73,'Trips&amp;Operators'!$C$1:$G$99999,5,FALSE)</f>
        <v>STEWART MICHAEL</v>
      </c>
      <c r="M73" s="6">
        <f t="shared" si="1"/>
        <v>2.5659722225100268E-2</v>
      </c>
      <c r="N73" s="7">
        <f t="shared" si="19"/>
        <v>36.950000004144385</v>
      </c>
      <c r="O73" s="7"/>
      <c r="P73" s="7"/>
      <c r="Q73" s="23"/>
      <c r="R73" s="23"/>
      <c r="S73" s="35">
        <f t="shared" si="20"/>
        <v>1</v>
      </c>
      <c r="T73" s="50" t="str">
        <f t="shared" si="2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09:55:44-700',mode:absolute,to:'2016-12-09 12:37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73" s="52" t="str">
        <f t="shared" si="4"/>
        <v>N</v>
      </c>
      <c r="X73" s="177">
        <f t="shared" si="26"/>
        <v>1</v>
      </c>
      <c r="Y73" s="67">
        <f t="shared" si="27"/>
        <v>5.0200000000000002E-2</v>
      </c>
      <c r="Z73" s="67">
        <f t="shared" si="25"/>
        <v>23.331199999999999</v>
      </c>
      <c r="AA73" s="67">
        <f t="shared" si="7"/>
        <v>23.280999999999999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8"/>
        <v>0159-09</v>
      </c>
      <c r="AE73" s="91" t="str">
        <f t="shared" si="9"/>
        <v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v>
      </c>
      <c r="AF73" s="88" t="str">
        <f t="shared" si="10"/>
        <v>"C:\Program Files (x86)\AstroGrep\AstroGrep.exe" /spath="%USERPROFILE%\AppData\Local\Temp\OnboardLogs" /stypes="app*4051*20161209*" /stext=" 18:.+((SYSTEM_STATE.+slice.+state.+changed )|(ment ac)|(multiple cpu faults)|(system.+state.+changed )|(\[timeout)|(PRM\|1\|D)|(kpr)|(kdp)|(\|lc)|(penalty))" /e /r /s</v>
      </c>
      <c r="AG73" s="1" t="str">
        <f t="shared" si="11"/>
        <v>EC</v>
      </c>
      <c r="AH73" s="92" t="str">
        <f t="shared" si="14"/>
        <v>"%USERPROFILE%\Documents\GitHub\eaglep3\Utilities\RefineRTDCRunTimes.py" --tripid 159-09 --locoid 4051 --swversion DE.1.0.8.0 --startMP 204:502 --initTime 2016-12-09T10:55:44 --startdatetime 2016-12-09T11:00:57 --delay 2 --endMP 204:233312 --enddatetime 2016-12-09T11:37:54 --enforcementcount 0 &gt;&gt;C:\Users\stu\Documents\GitHub\eaglep3-reporting\EC\2016-12-09-refined-times.txt</v>
      </c>
      <c r="AI73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{"issue":{"subject":"","project_id":79,"tracker_id":40,"status_id":1,"priority_id":2,"assigned_to_id":23,"start_date":"2016-12-09","description":"","custom_fields":[{"id":1,"name":"Subdivision","value":"EC"},{"id":4,"name":"Milepost","value":"23.3312"},{"id":17,"name":"Train ID","value":"159-09"},{"id":16,"name":"Locomotive ID","value":"4051"},{"id":130,"name":"Impact","value":""},{"id":150,"name":"Time of Event (Mountain Time)","value":"11:37:54"},{"id":151,"name":"Denver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595</v>
      </c>
      <c r="B74" s="7">
        <v>4052</v>
      </c>
      <c r="C74" s="22" t="s">
        <v>206</v>
      </c>
      <c r="D74" s="22" t="s">
        <v>466</v>
      </c>
      <c r="E74" s="13">
        <v>42713.494953703703</v>
      </c>
      <c r="F74" s="13">
        <v>42713.497499999998</v>
      </c>
      <c r="G74" s="7">
        <v>3</v>
      </c>
      <c r="H74" s="22" t="s">
        <v>192</v>
      </c>
      <c r="I74" s="13">
        <v>42713.526666666665</v>
      </c>
      <c r="J74" s="7">
        <v>0</v>
      </c>
      <c r="K74" s="109" t="str">
        <f t="shared" si="0"/>
        <v>4051/4052</v>
      </c>
      <c r="L74" s="22" t="str">
        <f>VLOOKUP(A74,'Trips&amp;Operators'!$C$1:$G$99999,5,FALSE)</f>
        <v>STEWART MICHAEL</v>
      </c>
      <c r="M74" s="6">
        <f t="shared" si="1"/>
        <v>2.9166666667151731E-2</v>
      </c>
      <c r="N74" s="7">
        <f t="shared" si="19"/>
        <v>42.000000000698492</v>
      </c>
      <c r="O74" s="7"/>
      <c r="P74" s="7"/>
      <c r="Q74" s="23"/>
      <c r="R74" s="23"/>
      <c r="S74" s="35">
        <f t="shared" si="20"/>
        <v>1</v>
      </c>
      <c r="T74" s="50" t="str">
        <f t="shared" si="2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10:52:44-700',mode:absolute,to:'2016-12-09 13:38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74" s="52" t="str">
        <f t="shared" si="4"/>
        <v>N</v>
      </c>
      <c r="X74" s="177">
        <f t="shared" ref="X74:X81" si="28">VALUE(LEFT(AD74,4))-VALUE(LEFT(AD73,4))</f>
        <v>1</v>
      </c>
      <c r="Y74" s="67">
        <f t="shared" si="27"/>
        <v>23.298400000000001</v>
      </c>
      <c r="Z74" s="67">
        <f t="shared" si="25"/>
        <v>1.49E-2</v>
      </c>
      <c r="AA74" s="67">
        <f t="shared" si="7"/>
        <v>23.2835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8"/>
        <v>0160-09</v>
      </c>
      <c r="AE74" s="91" t="str">
        <f t="shared" si="9"/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AF74" s="88" t="str">
        <f t="shared" si="10"/>
        <v>"C:\Program Files (x86)\AstroGrep\AstroGrep.exe" /spath="%USERPROFILE%\AppData\Local\Temp\OnboardLogs" /stypes="app*4052*20161209*" /stext=" 19:.+((SYSTEM_STATE.+slice.+state.+changed )|(ment ac)|(multiple cpu faults)|(system.+state.+changed )|(\[timeout)|(PRM\|1\|D)|(kpr)|(kdp)|(\|lc)|(penalty))" /e /r /s</v>
      </c>
      <c r="AG74" s="1" t="str">
        <f t="shared" si="11"/>
        <v>EC</v>
      </c>
      <c r="AH74" s="92" t="str">
        <f t="shared" si="14"/>
        <v>"%USERPROFILE%\Documents\GitHub\eaglep3\Utilities\RefineRTDCRunTimes.py" --tripid 160-09 --locoid 4052 --swversion DE.1.0.8.0 --startMP 204:232984 --initTime 2016-12-09T11:52:44 --startdatetime 2016-12-09T11:56:24 --delay 3 --endMP 204:149 --enddatetime 2016-12-09T12:38:24 --enforcementcount 0 &gt;&gt;C:\Users\stu\Documents\GitHub\eaglep3-reporting\EC\2016-12-09-refined-times.txt</v>
      </c>
      <c r="AI74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{"issue":{"subject":"","project_id":79,"tracker_id":40,"status_id":1,"priority_id":2,"assigned_to_id":23,"start_date":"2016-12-09","description":"","custom_fields":[{"id":1,"name":"Subdivision","value":"EC"},{"id":4,"name":"Milepost","value":"0.0149"},{"id":17,"name":"Train ID","value":"160-09"},{"id":16,"name":"Locomotive ID","value":"4052"},{"id":130,"name":"Impact","value":""},{"id":150,"name":"Time of Event (Mountain Time)","value":"12:38:24"},{"id":151,"name":"Denver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584</v>
      </c>
      <c r="B75" s="7">
        <v>4002</v>
      </c>
      <c r="C75" s="22" t="s">
        <v>206</v>
      </c>
      <c r="D75" s="22" t="s">
        <v>721</v>
      </c>
      <c r="E75" s="13">
        <v>42713.465208333335</v>
      </c>
      <c r="F75" s="13">
        <v>42713.469039351854</v>
      </c>
      <c r="G75" s="7">
        <v>5</v>
      </c>
      <c r="H75" s="22" t="s">
        <v>375</v>
      </c>
      <c r="I75" s="13">
        <v>42713.493437500001</v>
      </c>
      <c r="J75" s="7">
        <v>0</v>
      </c>
      <c r="K75" s="109" t="str">
        <f t="shared" si="0"/>
        <v>4001/4002</v>
      </c>
      <c r="L75" s="22" t="str">
        <f>VLOOKUP(A75,'Trips&amp;Operators'!$C$1:$G$99999,5,FALSE)</f>
        <v>BROWN JACOB</v>
      </c>
      <c r="M75" s="6">
        <f t="shared" si="1"/>
        <v>2.4398148147156462E-2</v>
      </c>
      <c r="N75" s="7">
        <f t="shared" si="19"/>
        <v>35.133333331905305</v>
      </c>
      <c r="O75" s="7"/>
      <c r="P75" s="7"/>
      <c r="Q75" s="23"/>
      <c r="R75" s="23"/>
      <c r="S75" s="35">
        <f t="shared" si="20"/>
        <v>1</v>
      </c>
      <c r="T75" s="50" t="str">
        <f t="shared" si="2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10:09:54-700',mode:absolute,to:'2016-12-09 12:50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75" s="52" t="str">
        <f t="shared" si="4"/>
        <v>N</v>
      </c>
      <c r="X75" s="177">
        <f t="shared" si="28"/>
        <v>1</v>
      </c>
      <c r="Y75" s="67">
        <f t="shared" si="27"/>
        <v>0.14219999999999999</v>
      </c>
      <c r="Z75" s="67">
        <f t="shared" si="25"/>
        <v>23.3323</v>
      </c>
      <c r="AA75" s="67">
        <f t="shared" si="7"/>
        <v>23.190100000000001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8"/>
        <v>0161-09</v>
      </c>
      <c r="AE75" s="91" t="str">
        <f t="shared" si="9"/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AF75" s="88" t="str">
        <f t="shared" si="10"/>
        <v>"C:\Program Files (x86)\AstroGrep\AstroGrep.exe" /spath="%USERPROFILE%\AppData\Local\Temp\OnboardLogs" /stypes="app*4002*20161209*" /stext=" 18:.+((SYSTEM_STATE.+slice.+state.+changed )|(ment ac)|(multiple cpu faults)|(system.+state.+changed )|(\[timeout)|(PRM\|1\|D)|(kpr)|(kdp)|(\|lc)|(penalty))" /e /r /s</v>
      </c>
      <c r="AG75" s="1" t="str">
        <f t="shared" si="11"/>
        <v>EC</v>
      </c>
      <c r="AH75" s="92" t="str">
        <f t="shared" si="14"/>
        <v>"%USERPROFILE%\Documents\GitHub\eaglep3\Utilities\RefineRTDCRunTimes.py" --tripid 161-09 --locoid 4002 --swversion DE.1.0.8.0 --startMP 204:1422 --initTime 2016-12-09T11:09:54 --startdatetime 2016-12-09T11:15:25 --delay 5 --endMP 204:233323 --enddatetime 2016-12-09T11:50:33 --enforcementcount 0 &gt;&gt;C:\Users\stu\Documents\GitHub\eaglep3-reporting\EC\2016-12-09-refined-times.txt</v>
      </c>
      <c r="AI75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{"issue":{"subject":"","project_id":79,"tracker_id":40,"status_id":1,"priority_id":2,"assigned_to_id":23,"start_date":"2016-12-09","description":"","custom_fields":[{"id":1,"name":"Subdivision","value":"EC"},{"id":4,"name":"Milepost","value":"23.3323"},{"id":17,"name":"Train ID","value":"161-09"},{"id":16,"name":"Locomotive ID","value":"4002"},{"id":130,"name":"Impact","value":""},{"id":150,"name":"Time of Event (Mountain Time)","value":"11:50:33"},{"id":151,"name":"Denver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494</v>
      </c>
      <c r="B76" s="7">
        <v>4001</v>
      </c>
      <c r="C76" s="22" t="s">
        <v>206</v>
      </c>
      <c r="D76" s="22" t="s">
        <v>370</v>
      </c>
      <c r="E76" s="13">
        <v>42713.502430555556</v>
      </c>
      <c r="F76" s="13">
        <v>42713.508055555554</v>
      </c>
      <c r="G76" s="7">
        <v>1</v>
      </c>
      <c r="H76" s="22" t="s">
        <v>419</v>
      </c>
      <c r="I76" s="13">
        <v>42713.535787037035</v>
      </c>
      <c r="J76" s="7">
        <v>0</v>
      </c>
      <c r="K76" s="109" t="str">
        <f t="shared" si="0"/>
        <v>4001/4002</v>
      </c>
      <c r="L76" s="22" t="str">
        <f>VLOOKUP(A76,'Trips&amp;Operators'!$C$1:$G$99999,5,FALSE)</f>
        <v>BROWN JACOB</v>
      </c>
      <c r="M76" s="6">
        <f t="shared" si="1"/>
        <v>2.7731481481168885E-2</v>
      </c>
      <c r="N76" s="7">
        <f t="shared" si="19"/>
        <v>39.933333332883194</v>
      </c>
      <c r="O76" s="7"/>
      <c r="P76" s="7"/>
      <c r="Q76" s="23"/>
      <c r="R76" s="23"/>
      <c r="S76" s="35">
        <f t="shared" si="20"/>
        <v>1</v>
      </c>
      <c r="T76" s="50" t="str">
        <f t="shared" si="2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3"/>
        <v>https://search-rtdc-monitor-bjffxe2xuh6vdkpspy63sjmuny.us-east-1.es.amazonaws.com/_plugin/kibana/#/discover/Steve-Slow-Train-Analysis-(2080s-and-2083s)?_g=(refreshInterval:(display:Off,section:0,value:0),time:(from:'2016-12-09 11:03:30-700',mode:absolute,to:'2016-12-09 13:51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6" s="52" t="str">
        <f t="shared" si="4"/>
        <v>N</v>
      </c>
      <c r="X76" s="177">
        <f t="shared" si="28"/>
        <v>1</v>
      </c>
      <c r="Y76" s="67">
        <f t="shared" si="27"/>
        <v>23.301100000000002</v>
      </c>
      <c r="Z76" s="67">
        <f t="shared" si="25"/>
        <v>1.3599999999999999E-2</v>
      </c>
      <c r="AA76" s="67">
        <f t="shared" si="7"/>
        <v>23.287500000000001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8"/>
        <v>0162-09</v>
      </c>
      <c r="AE76" s="91" t="str">
        <f t="shared" si="9"/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AF76" s="88" t="str">
        <f t="shared" si="10"/>
        <v>"C:\Program Files (x86)\AstroGrep\AstroGrep.exe" /spath="%USERPROFILE%\AppData\Local\Temp\OnboardLogs" /stypes="app*4001*20161209*" /stext=" 19:.+((SYSTEM_STATE.+slice.+state.+changed )|(ment ac)|(multiple cpu faults)|(system.+state.+changed )|(\[timeout)|(PRM\|1\|D)|(kpr)|(kdp)|(\|lc)|(penalty))" /e /r /s</v>
      </c>
      <c r="AG76" s="1" t="str">
        <f t="shared" si="11"/>
        <v>EC</v>
      </c>
      <c r="AH76" s="92" t="str">
        <f t="shared" si="14"/>
        <v>"%USERPROFILE%\Documents\GitHub\eaglep3\Utilities\RefineRTDCRunTimes.py" --tripid 162-09 --locoid 4001 --swversion DE.1.0.8.0 --startMP 204:233011 --initTime 2016-12-09T12:03:30 --startdatetime 2016-12-09T12:11:36 --delay 1 --endMP 204:136 --enddatetime 2016-12-09T12:51:32 --enforcementcount 0 &gt;&gt;C:\Users\stu\Documents\GitHub\eaglep3-reporting\EC\2016-12-09-refined-times.txt</v>
      </c>
      <c r="AI76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{"issue":{"subject":"","project_id":79,"tracker_id":40,"status_id":1,"priority_id":2,"assigned_to_id":23,"start_date":"2016-12-09","description":"","custom_fields":[{"id":1,"name":"Subdivision","value":"EC"},{"id":4,"name":"Milepost","value":"0.0136"},{"id":17,"name":"Train ID","value":"162-09"},{"id":16,"name":"Locomotive ID","value":"4001"},{"id":130,"name":"Impact","value":""},{"id":150,"name":"Time of Event (Mountain Time)","value":"12:51:32"},{"id":151,"name":"Denver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589</v>
      </c>
      <c r="B77" s="7">
        <v>4011</v>
      </c>
      <c r="C77" s="22" t="s">
        <v>206</v>
      </c>
      <c r="D77" s="22" t="s">
        <v>290</v>
      </c>
      <c r="E77" s="13">
        <v>42713.476504629631</v>
      </c>
      <c r="F77" s="13">
        <v>42713.479351851849</v>
      </c>
      <c r="G77" s="7">
        <v>1</v>
      </c>
      <c r="H77" s="22" t="s">
        <v>443</v>
      </c>
      <c r="I77" s="13">
        <v>42713.50582175926</v>
      </c>
      <c r="J77" s="7">
        <v>0</v>
      </c>
      <c r="K77" s="109" t="str">
        <f t="shared" ref="K77:K140" si="29">IF(ISEVEN(B77),(B77-1)&amp;"/"&amp;B77,B77&amp;"/"&amp;(B77+1))</f>
        <v>4011/4012</v>
      </c>
      <c r="L77" s="22" t="str">
        <f>VLOOKUP(A77,'Trips&amp;Operators'!$C$1:$G$99999,5,FALSE)</f>
        <v>BONDS REYNALDO</v>
      </c>
      <c r="M77" s="6">
        <f t="shared" ref="M77:M140" si="30">I77-F77</f>
        <v>2.6469907410501037E-2</v>
      </c>
      <c r="N77" s="7">
        <f t="shared" si="19"/>
        <v>38.116666671121493</v>
      </c>
      <c r="O77" s="7"/>
      <c r="P77" s="7"/>
      <c r="Q77" s="23"/>
      <c r="R77" s="23"/>
      <c r="S77" s="35">
        <f t="shared" si="20"/>
        <v>1</v>
      </c>
      <c r="T77" s="50" t="str">
        <f t="shared" ref="T77:T140" si="31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2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https://search-rtdc-monitor-bjffxe2xuh6vdkpspy63sjmuny.us-east-1.es.amazonaws.com/_plugin/kibana/#/discover/Steve-Slow-Train-Analysis-(2080s-and-2083s)?_g=(refreshInterval:(display:Off,section:0,value:0),time:(from:'2016-12-09 10:26:10-700',mode:absolute,to:'2016-12-09 13:08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77" s="52" t="str">
        <f t="shared" ref="W77:W140" si="33">IF(AA77&lt;IF(AG77="EC",23,5.65),"Y","N")</f>
        <v>N</v>
      </c>
      <c r="X77" s="177">
        <f t="shared" si="28"/>
        <v>1</v>
      </c>
      <c r="Y77" s="67">
        <f t="shared" si="27"/>
        <v>4.4400000000000002E-2</v>
      </c>
      <c r="Z77" s="67">
        <f t="shared" si="25"/>
        <v>23.329499999999999</v>
      </c>
      <c r="AA77" s="67">
        <f t="shared" ref="AA77:AA140" si="34">ABS(Z77-Y77)</f>
        <v>23.2851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5">IF(LEN(A77)=6,"0"&amp;A77,A77)</f>
        <v>0163-09</v>
      </c>
      <c r="AE77" s="91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AF77" s="88" t="str">
        <f t="shared" ref="AF77:AF140" si="37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/stypes="app*4011*20161209*" /stext=" 19:.+((SYSTEM_STATE.+slice.+state.+changed )|(ment ac)|(multiple cpu faults)|(system.+state.+changed )|(\[timeout)|(PRM\|1\|D)|(kpr)|(kdp)|(\|lc)|(penalty))" /e /r /s</v>
      </c>
      <c r="AG77" s="1" t="str">
        <f t="shared" ref="AG77:AG140" si="38">IFERROR(IF(VALUE(LEFT(AD77,2))&lt;=2,"EC",IF(OR(VALUE(LEFT(AD77,2))=8,VALUE(LEFT(AD77,2))=18),"NW","Other")),"Other")</f>
        <v>EC</v>
      </c>
      <c r="AH77" s="92" t="str">
        <f t="shared" si="14"/>
        <v>"%USERPROFILE%\Documents\GitHub\eaglep3\Utilities\RefineRTDCRunTimes.py" --tripid 163-09 --locoid 4011 --swversion DE.1.0.8.0 --startMP 204:444 --initTime 2016-12-09T11:26:10 --startdatetime 2016-12-09T11:30:16 --delay 1 --endMP 204:233295 --enddatetime 2016-12-09T12:08:23 --enforcementcount 0 &gt;&gt;C:\Users\stu\Documents\GitHub\eaglep3-reporting\EC\2016-12-09-refined-times.txt</v>
      </c>
      <c r="AI77" s="119" t="str">
        <f t="shared" si="15"/>
        <v>echo {"issue":{"subject":"","project_id":79,"tracker_id":40,"status_id":1,"priority_id":2,"assigned_to_id":23,"start_date":"2016-12-09","description":"","custom_fields":[{"id":1,"name":"Subdivision","value":"EC"},{"id":4,"name":"Milepost","value":"23.3295"},{"id":17,"name":"Train ID","value":"163-09"},{"id":16,"name":"Locomotive ID","value":"4011"},{"id":130,"name":"Impact","value":""},{"id":150,"name":"Time of Event (Mountain Time)","value":"12:08:23"},{"id":151,"name":"Denver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599</v>
      </c>
      <c r="B78" s="7">
        <v>4012</v>
      </c>
      <c r="C78" s="22" t="s">
        <v>206</v>
      </c>
      <c r="D78" s="22" t="s">
        <v>722</v>
      </c>
      <c r="E78" s="13">
        <v>42713.511192129627</v>
      </c>
      <c r="F78" s="13">
        <v>42713.518229166664</v>
      </c>
      <c r="G78" s="7">
        <v>1</v>
      </c>
      <c r="H78" s="22" t="s">
        <v>331</v>
      </c>
      <c r="I78" s="13">
        <v>42713.54724537037</v>
      </c>
      <c r="J78" s="7">
        <v>0</v>
      </c>
      <c r="K78" s="109" t="str">
        <f t="shared" si="29"/>
        <v>4011/4012</v>
      </c>
      <c r="L78" s="22" t="str">
        <f>VLOOKUP(A78,'Trips&amp;Operators'!$C$1:$G$99999,5,FALSE)</f>
        <v>BONDS REYNALDO</v>
      </c>
      <c r="M78" s="6">
        <f t="shared" si="30"/>
        <v>2.9016203705396038E-2</v>
      </c>
      <c r="N78" s="7">
        <f t="shared" si="19"/>
        <v>41.783333335770294</v>
      </c>
      <c r="O78" s="7"/>
      <c r="P78" s="7"/>
      <c r="Q78" s="23"/>
      <c r="R78" s="23"/>
      <c r="S78" s="35">
        <f t="shared" si="20"/>
        <v>1</v>
      </c>
      <c r="T78" s="50" t="str">
        <f t="shared" si="31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11:16:07-700',mode:absolute,to:'2016-12-09 14:08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78" s="52" t="str">
        <f t="shared" si="33"/>
        <v>N</v>
      </c>
      <c r="X78" s="177">
        <f t="shared" si="28"/>
        <v>1</v>
      </c>
      <c r="Y78" s="67">
        <f t="shared" si="27"/>
        <v>23.296900000000001</v>
      </c>
      <c r="Z78" s="67">
        <f t="shared" si="25"/>
        <v>1.47E-2</v>
      </c>
      <c r="AA78" s="67">
        <f t="shared" si="34"/>
        <v>23.2822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5"/>
        <v>0164-09</v>
      </c>
      <c r="AE78" s="91" t="str">
        <f t="shared" si="36"/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AF78" s="88" t="str">
        <f t="shared" si="37"/>
        <v>"C:\Program Files (x86)\AstroGrep\AstroGrep.exe" /spath="%USERPROFILE%\AppData\Local\Temp\OnboardLogs" /stypes="app*4012*20161209*" /stext=" 20:.+((SYSTEM_STATE.+slice.+state.+changed )|(ment ac)|(multiple cpu faults)|(system.+state.+changed )|(\[timeout)|(PRM\|1\|D)|(kpr)|(kdp)|(\|lc)|(penalty))" /e /r /s</v>
      </c>
      <c r="AG78" s="1" t="str">
        <f t="shared" si="38"/>
        <v>EC</v>
      </c>
      <c r="AH78" s="92" t="str">
        <f t="shared" ref="AH78:AH140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164-09 --locoid 4012 --swversion DE.1.0.8.0 --startMP 204:232969 --initTime 2016-12-09T12:16:07 --startdatetime 2016-12-09T12:26:15 --delay 1 --endMP 204:147 --enddatetime 2016-12-09T13:08:02 --enforcementcount 0 &gt;&gt;C:\Users\stu\Documents\GitHub\eaglep3-reporting\EC\2016-12-09-refined-times.txt</v>
      </c>
      <c r="AI78" s="119" t="str">
        <f t="shared" ref="AI78:AI140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{"issue":{"subject":"","project_id":79,"tracker_id":40,"status_id":1,"priority_id":2,"assigned_to_id":23,"start_date":"2016-12-09","description":"","custom_fields":[{"id":1,"name":"Subdivision","value":"EC"},{"id":4,"name":"Milepost","value":"0.0147"},{"id":17,"name":"Train ID","value":"164-09"},{"id":16,"name":"Locomotive ID","value":"4012"},{"id":130,"name":"Impact","value":""},{"id":150,"name":"Time of Event (Mountain Time)","value":"13:08:02"},{"id":151,"name":"Denver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594</v>
      </c>
      <c r="B79" s="7">
        <v>4016</v>
      </c>
      <c r="C79" s="22" t="s">
        <v>206</v>
      </c>
      <c r="D79" s="22" t="s">
        <v>460</v>
      </c>
      <c r="E79" s="13">
        <v>42713.48777777778</v>
      </c>
      <c r="F79" s="13">
        <v>42713.490011574075</v>
      </c>
      <c r="G79" s="7">
        <v>1</v>
      </c>
      <c r="H79" s="22" t="s">
        <v>295</v>
      </c>
      <c r="I79" s="13">
        <v>42713.515231481484</v>
      </c>
      <c r="J79" s="7">
        <v>0</v>
      </c>
      <c r="K79" s="109" t="str">
        <f t="shared" si="29"/>
        <v>4015/4016</v>
      </c>
      <c r="L79" s="22" t="str">
        <f>VLOOKUP(A79,'Trips&amp;Operators'!$C$1:$G$99999,5,FALSE)</f>
        <v>MOSES BRADLEY</v>
      </c>
      <c r="M79" s="6">
        <f t="shared" si="30"/>
        <v>2.5219907409336884E-2</v>
      </c>
      <c r="N79" s="7">
        <f t="shared" si="19"/>
        <v>36.316666669445112</v>
      </c>
      <c r="O79" s="7"/>
      <c r="P79" s="7"/>
      <c r="Q79" s="23"/>
      <c r="R79" s="23"/>
      <c r="S79" s="35">
        <f t="shared" si="20"/>
        <v>1</v>
      </c>
      <c r="T79" s="50" t="str">
        <f t="shared" si="31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10:42:24-700',mode:absolute,to:'2016-12-09 13:21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9" s="52" t="str">
        <f t="shared" si="33"/>
        <v>N</v>
      </c>
      <c r="X79" s="177">
        <f t="shared" si="28"/>
        <v>1</v>
      </c>
      <c r="Y79" s="67">
        <f t="shared" si="27"/>
        <v>4.8000000000000001E-2</v>
      </c>
      <c r="Z79" s="67">
        <f t="shared" si="25"/>
        <v>23.332100000000001</v>
      </c>
      <c r="AA79" s="67">
        <f t="shared" si="34"/>
        <v>23.284100000000002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5"/>
        <v>0165-09</v>
      </c>
      <c r="AE79" s="91" t="str">
        <f t="shared" si="36"/>
        <v>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 &amp; 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</v>
      </c>
      <c r="AF79" s="88" t="str">
        <f t="shared" si="37"/>
        <v>"C:\Program Files (x86)\AstroGrep\AstroGrep.exe" /spath="%USERPROFILE%\AppData\Local\Temp\OnboardLogs" /stypes="app*4016*20161209*" /stext=" 19:.+((SYSTEM_STATE.+slice.+state.+changed )|(ment ac)|(multiple cpu faults)|(system.+state.+changed )|(\[timeout)|(PRM\|1\|D)|(kpr)|(kdp)|(\|lc)|(penalty))" /e /r /s</v>
      </c>
      <c r="AG79" s="1" t="str">
        <f t="shared" si="38"/>
        <v>EC</v>
      </c>
      <c r="AH79" s="92" t="str">
        <f t="shared" si="39"/>
        <v>"%USERPROFILE%\Documents\GitHub\eaglep3\Utilities\RefineRTDCRunTimes.py" --tripid 165-09 --locoid 4016 --swversion DE.1.0.8.0 --startMP 204:480 --initTime 2016-12-09T11:42:24 --startdatetime 2016-12-09T11:45:37 --delay 1 --endMP 204:233321 --enddatetime 2016-12-09T12:21:56 --enforcementcount 0 &gt;&gt;C:\Users\stu\Documents\GitHub\eaglep3-reporting\EC\2016-12-09-refined-times.txt</v>
      </c>
      <c r="AI79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{"issue":{"subject":"","project_id":79,"tracker_id":40,"status_id":1,"priority_id":2,"assigned_to_id":23,"start_date":"2016-12-09","description":"","custom_fields":[{"id":1,"name":"Subdivision","value":"EC"},{"id":4,"name":"Milepost","value":"23.3321"},{"id":17,"name":"Train ID","value":"165-09"},{"id":16,"name":"Locomotive ID","value":"4016"},{"id":130,"name":"Impact","value":""},{"id":150,"name":"Time of Event (Mountain Time)","value":"12:21:56"},{"id":151,"name":"Denver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600</v>
      </c>
      <c r="B80" s="7">
        <v>4015</v>
      </c>
      <c r="C80" s="22" t="s">
        <v>206</v>
      </c>
      <c r="D80" s="22" t="s">
        <v>461</v>
      </c>
      <c r="E80" s="13">
        <v>42713.525451388887</v>
      </c>
      <c r="F80" s="13">
        <v>42713.529143518521</v>
      </c>
      <c r="G80" s="7">
        <v>1</v>
      </c>
      <c r="H80" s="22" t="s">
        <v>192</v>
      </c>
      <c r="I80" s="13">
        <v>42713.556712962964</v>
      </c>
      <c r="J80" s="7">
        <v>0</v>
      </c>
      <c r="K80" s="109" t="str">
        <f t="shared" si="29"/>
        <v>4015/4016</v>
      </c>
      <c r="L80" s="22" t="str">
        <f>VLOOKUP(A80,'Trips&amp;Operators'!$C$1:$G$99999,5,FALSE)</f>
        <v>MOSES BRADLEY</v>
      </c>
      <c r="M80" s="6">
        <f t="shared" si="30"/>
        <v>2.7569444442633539E-2</v>
      </c>
      <c r="N80" s="7">
        <f t="shared" si="19"/>
        <v>39.699999997392297</v>
      </c>
      <c r="O80" s="7"/>
      <c r="P80" s="7"/>
      <c r="Q80" s="23"/>
      <c r="R80" s="23"/>
      <c r="S80" s="35">
        <f t="shared" si="20"/>
        <v>1</v>
      </c>
      <c r="T80" s="50" t="str">
        <f t="shared" si="31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11:36:39-700',mode:absolute,to:'2016-12-09 14:21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0" s="52" t="str">
        <f t="shared" si="33"/>
        <v>N</v>
      </c>
      <c r="X80" s="177">
        <f t="shared" si="28"/>
        <v>1</v>
      </c>
      <c r="Y80" s="67">
        <f t="shared" si="27"/>
        <v>23.301500000000001</v>
      </c>
      <c r="Z80" s="67">
        <f t="shared" si="25"/>
        <v>1.49E-2</v>
      </c>
      <c r="AA80" s="67">
        <f t="shared" si="34"/>
        <v>23.2866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5"/>
        <v>0166-09</v>
      </c>
      <c r="AE80" s="91" t="str">
        <f t="shared" si="36"/>
        <v>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 &amp; 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</v>
      </c>
      <c r="AF80" s="88" t="str">
        <f t="shared" si="37"/>
        <v>"C:\Program Files (x86)\AstroGrep\AstroGrep.exe" /spath="%USERPROFILE%\AppData\Local\Temp\OnboardLogs" /stypes="app*4015*20161209*" /stext=" 20:.+((SYSTEM_STATE.+slice.+state.+changed )|(ment ac)|(multiple cpu faults)|(system.+state.+changed )|(\[timeout)|(PRM\|1\|D)|(kpr)|(kdp)|(\|lc)|(penalty))" /e /r /s</v>
      </c>
      <c r="AG80" s="1" t="str">
        <f t="shared" si="38"/>
        <v>EC</v>
      </c>
      <c r="AH80" s="92" t="str">
        <f t="shared" si="39"/>
        <v>"%USERPROFILE%\Documents\GitHub\eaglep3\Utilities\RefineRTDCRunTimes.py" --tripid 166-09 --locoid 4015 --swversion DE.1.0.8.0 --startMP 204:233015 --initTime 2016-12-09T12:36:39 --startdatetime 2016-12-09T12:41:58 --delay 1 --endMP 204:149 --enddatetime 2016-12-09T13:21:40 --enforcementcount 0 &gt;&gt;C:\Users\stu\Documents\GitHub\eaglep3-reporting\EC\2016-12-09-refined-times.txt</v>
      </c>
      <c r="AI80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{"issue":{"subject":"","project_id":79,"tracker_id":40,"status_id":1,"priority_id":2,"assigned_to_id":23,"start_date":"2016-12-09","description":"","custom_fields":[{"id":1,"name":"Subdivision","value":"EC"},{"id":4,"name":"Milepost","value":"0.0149"},{"id":17,"name":"Train ID","value":"166-09"},{"id":16,"name":"Locomotive ID","value":"4015"},{"id":130,"name":"Impact","value":""},{"id":150,"name":"Time of Event (Mountain Time)","value":"13:21:40"},{"id":151,"name":"Denver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596</v>
      </c>
      <c r="B81" s="7">
        <v>4031</v>
      </c>
      <c r="C81" s="22" t="s">
        <v>206</v>
      </c>
      <c r="D81" s="22" t="s">
        <v>259</v>
      </c>
      <c r="E81" s="13">
        <v>42713.496238425927</v>
      </c>
      <c r="F81" s="13">
        <v>42713.500474537039</v>
      </c>
      <c r="G81" s="7">
        <v>3</v>
      </c>
      <c r="H81" s="22" t="s">
        <v>322</v>
      </c>
      <c r="I81" s="13">
        <v>42713.526898148149</v>
      </c>
      <c r="J81" s="7">
        <v>0</v>
      </c>
      <c r="K81" s="109" t="str">
        <f t="shared" si="29"/>
        <v>4031/4032</v>
      </c>
      <c r="L81" s="22" t="str">
        <f>VLOOKUP(A81,'Trips&amp;Operators'!$C$1:$G$99999,5,FALSE)</f>
        <v>HOLCOMB KAMDEN</v>
      </c>
      <c r="M81" s="6">
        <f t="shared" si="30"/>
        <v>2.6423611110658385E-2</v>
      </c>
      <c r="N81" s="7">
        <f t="shared" si="19"/>
        <v>38.049999999348074</v>
      </c>
      <c r="O81" s="7"/>
      <c r="P81" s="7"/>
      <c r="Q81" s="23"/>
      <c r="R81" s="23"/>
      <c r="S81" s="35">
        <f t="shared" si="20"/>
        <v>1</v>
      </c>
      <c r="T81" s="50" t="str">
        <f t="shared" si="31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10:54:35-700',mode:absolute,to:'2016-12-09 13:38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1" s="52" t="str">
        <f t="shared" si="33"/>
        <v>N</v>
      </c>
      <c r="X81" s="177">
        <f t="shared" si="28"/>
        <v>1</v>
      </c>
      <c r="Y81" s="67">
        <f t="shared" si="27"/>
        <v>4.58E-2</v>
      </c>
      <c r="Z81" s="67">
        <f t="shared" si="25"/>
        <v>23.331399999999999</v>
      </c>
      <c r="AA81" s="67">
        <f t="shared" si="34"/>
        <v>23.285599999999999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5"/>
        <v>0167-09</v>
      </c>
      <c r="AE81" s="91" t="str">
        <f t="shared" si="36"/>
        <v>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 &amp; 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</v>
      </c>
      <c r="AF81" s="88" t="str">
        <f t="shared" si="37"/>
        <v>"C:\Program Files (x86)\AstroGrep\AstroGrep.exe" /spath="%USERPROFILE%\AppData\Local\Temp\OnboardLogs" /stypes="app*4031*20161209*" /stext=" 19:.+((SYSTEM_STATE.+slice.+state.+changed )|(ment ac)|(multiple cpu faults)|(system.+state.+changed )|(\[timeout)|(PRM\|1\|D)|(kpr)|(kdp)|(\|lc)|(penalty))" /e /r /s</v>
      </c>
      <c r="AG81" s="1" t="str">
        <f t="shared" si="38"/>
        <v>EC</v>
      </c>
      <c r="AH81" s="92" t="str">
        <f t="shared" si="39"/>
        <v>"%USERPROFILE%\Documents\GitHub\eaglep3\Utilities\RefineRTDCRunTimes.py" --tripid 167-09 --locoid 4031 --swversion DE.1.0.8.0 --startMP 204:458 --initTime 2016-12-09T11:54:35 --startdatetime 2016-12-09T12:00:41 --delay 3 --endMP 204:233314 --enddatetime 2016-12-09T12:38:44 --enforcementcount 0 &gt;&gt;C:\Users\stu\Documents\GitHub\eaglep3-reporting\EC\2016-12-09-refined-times.txt</v>
      </c>
      <c r="AI81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{"issue":{"subject":"","project_id":79,"tracker_id":40,"status_id":1,"priority_id":2,"assigned_to_id":23,"start_date":"2016-12-09","description":"","custom_fields":[{"id":1,"name":"Subdivision","value":"EC"},{"id":4,"name":"Milepost","value":"23.3314"},{"id":17,"name":"Train ID","value":"167-09"},{"id":16,"name":"Locomotive ID","value":"4031"},{"id":130,"name":"Impact","value":""},{"id":150,"name":"Time of Event (Mountain Time)","value":"12:38:44"},{"id":151,"name":"Denver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498</v>
      </c>
      <c r="B82" s="7">
        <v>4032</v>
      </c>
      <c r="C82" s="22" t="s">
        <v>206</v>
      </c>
      <c r="D82" s="22" t="s">
        <v>296</v>
      </c>
      <c r="E82" s="13">
        <v>42713.534270833334</v>
      </c>
      <c r="F82" s="13">
        <v>42713.539178240739</v>
      </c>
      <c r="G82" s="7">
        <v>1</v>
      </c>
      <c r="H82" s="22" t="s">
        <v>333</v>
      </c>
      <c r="I82" s="13">
        <v>42713.567106481481</v>
      </c>
      <c r="J82" s="7">
        <v>0</v>
      </c>
      <c r="K82" s="109" t="str">
        <f t="shared" si="29"/>
        <v>4031/4032</v>
      </c>
      <c r="L82" s="22" t="str">
        <f>VLOOKUP(A82,'Trips&amp;Operators'!$C$1:$G$99999,5,FALSE)</f>
        <v>HOLCOMB KAMDEN</v>
      </c>
      <c r="M82" s="6">
        <f t="shared" si="30"/>
        <v>2.792824074276723E-2</v>
      </c>
      <c r="N82" s="7">
        <f t="shared" si="19"/>
        <v>40.216666669584811</v>
      </c>
      <c r="O82" s="7"/>
      <c r="P82" s="7"/>
      <c r="Q82" s="23"/>
      <c r="R82" s="23"/>
      <c r="S82" s="35">
        <f t="shared" si="20"/>
        <v>1</v>
      </c>
      <c r="T82" s="50" t="str">
        <f t="shared" si="31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11:49:21-700',mode:absolute,to:'2016-12-09 14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2" s="52" t="str">
        <f t="shared" si="33"/>
        <v>N</v>
      </c>
      <c r="X82" s="177">
        <f t="shared" ref="X82:X113" si="41">VALUE(LEFT(AD82,4))-VALUE(LEFT(AD81,4))</f>
        <v>1</v>
      </c>
      <c r="Y82" s="67">
        <f t="shared" si="27"/>
        <v>23.299399999999999</v>
      </c>
      <c r="Z82" s="67">
        <f t="shared" si="25"/>
        <v>1.2999999999999999E-2</v>
      </c>
      <c r="AA82" s="67">
        <f t="shared" si="34"/>
        <v>23.286399999999997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5"/>
        <v>0168-09</v>
      </c>
      <c r="AE82" s="91" t="str">
        <f t="shared" si="36"/>
        <v>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 &amp; 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</v>
      </c>
      <c r="AF82" s="88" t="str">
        <f t="shared" si="37"/>
        <v>"C:\Program Files (x86)\AstroGrep\AstroGrep.exe" /spath="%USERPROFILE%\AppData\Local\Temp\OnboardLogs" /stypes="app*4032*20161209*" /stext=" 20:.+((SYSTEM_STATE.+slice.+state.+changed )|(ment ac)|(multiple cpu faults)|(system.+state.+changed )|(\[timeout)|(PRM\|1\|D)|(kpr)|(kdp)|(\|lc)|(penalty))" /e /r /s</v>
      </c>
      <c r="AG82" s="1" t="str">
        <f t="shared" si="38"/>
        <v>EC</v>
      </c>
      <c r="AH82" s="92" t="str">
        <f t="shared" si="39"/>
        <v>"%USERPROFILE%\Documents\GitHub\eaglep3\Utilities\RefineRTDCRunTimes.py" --tripid 168-09 --locoid 4032 --swversion DE.1.0.8.0 --startMP 204:232994 --initTime 2016-12-09T12:49:21 --startdatetime 2016-12-09T12:56:25 --delay 1 --endMP 204:130 --enddatetime 2016-12-09T13:36:38 --enforcementcount 0 &gt;&gt;C:\Users\stu\Documents\GitHub\eaglep3-reporting\EC\2016-12-09-refined-times.txt</v>
      </c>
      <c r="AI82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{"issue":{"subject":"","project_id":79,"tracker_id":40,"status_id":1,"priority_id":2,"assigned_to_id":23,"start_date":"2016-12-09","description":"","custom_fields":[{"id":1,"name":"Subdivision","value":"EC"},{"id":4,"name":"Milepost","value":"0.013"},{"id":17,"name":"Train ID","value":"168-09"},{"id":16,"name":"Locomotive ID","value":"4032"},{"id":130,"name":"Impact","value":""},{"id":150,"name":"Time of Event (Mountain Time)","value":"13:36:38"},{"id":151,"name":"Denver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493</v>
      </c>
      <c r="B83" s="7">
        <v>4029</v>
      </c>
      <c r="C83" s="22" t="s">
        <v>206</v>
      </c>
      <c r="D83" s="22" t="s">
        <v>338</v>
      </c>
      <c r="E83" s="13">
        <v>42713.506053240744</v>
      </c>
      <c r="F83" s="13">
        <v>42713.511296296296</v>
      </c>
      <c r="G83" s="7">
        <v>1</v>
      </c>
      <c r="H83" s="22" t="s">
        <v>295</v>
      </c>
      <c r="I83" s="13">
        <v>42713.536631944444</v>
      </c>
      <c r="J83" s="7">
        <v>0</v>
      </c>
      <c r="K83" s="109" t="str">
        <f t="shared" si="29"/>
        <v>4029/4030</v>
      </c>
      <c r="L83" s="22" t="str">
        <f>VLOOKUP(A83,'Trips&amp;Operators'!$C$1:$G$99999,5,FALSE)</f>
        <v>HILLS DUSTIN</v>
      </c>
      <c r="M83" s="6">
        <f t="shared" si="30"/>
        <v>2.5335648148029577E-2</v>
      </c>
      <c r="N83" s="7">
        <f t="shared" si="19"/>
        <v>36.483333333162591</v>
      </c>
      <c r="O83" s="7"/>
      <c r="P83" s="7"/>
      <c r="Q83" s="23"/>
      <c r="R83" s="23"/>
      <c r="S83" s="35">
        <f t="shared" si="20"/>
        <v>1</v>
      </c>
      <c r="T83" s="50" t="str">
        <f t="shared" si="31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11:08:43-700',mode:absolute,to:'2016-12-09 13:52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83" s="52" t="str">
        <f t="shared" si="33"/>
        <v>N</v>
      </c>
      <c r="X83" s="177">
        <f t="shared" si="41"/>
        <v>1</v>
      </c>
      <c r="Y83" s="67">
        <f t="shared" si="27"/>
        <v>4.4900000000000002E-2</v>
      </c>
      <c r="Z83" s="67">
        <f t="shared" si="25"/>
        <v>23.332100000000001</v>
      </c>
      <c r="AA83" s="67">
        <f t="shared" si="34"/>
        <v>23.287200000000002</v>
      </c>
      <c r="AB83" s="64" t="str">
        <f>VLOOKUP(A83,Enforcements!$C$7:$K$20,8,0)</f>
        <v>Speed (6)</v>
      </c>
      <c r="AC83" s="60" t="str">
        <f>VLOOKUP(A83,Enforcements!$C$7:$E$20,3,0)</f>
        <v>PERMANENT SPEED RESTRICTION</v>
      </c>
      <c r="AD83" s="61" t="str">
        <f t="shared" si="35"/>
        <v>0169-09</v>
      </c>
      <c r="AE83" s="91" t="str">
        <f t="shared" si="36"/>
        <v>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 &amp; aws s3 cp s3://rtdc.mdm.uploadarchive.raw/RTDC4029/ "%USERPROFILE%\AppData\Local\Temp\OnboardLogs"\RTDC4029\2016-12-10 --exclude "*" --recursive --include "*20161210*" &amp; "%USERPROFILE%\Documents\GitHub\mrs-test-scripts\Headless Mode &amp; Sideloading\WalkAndUnGZ.bat" "%USERPROFILE%\AppData\Local\Temp\OnboardLogs"\RTDC4029\2016-12-10</v>
      </c>
      <c r="AF83" s="88" t="str">
        <f t="shared" si="37"/>
        <v>"C:\Program Files (x86)\AstroGrep\AstroGrep.exe" /spath="%USERPROFILE%\AppData\Local\Temp\OnboardLogs" /stypes="app*4029*20161209*" /stext=" 19:.+((SYSTEM_STATE.+slice.+state.+changed )|(ment ac)|(multiple cpu faults)|(system.+state.+changed )|(\[timeout)|(PRM\|1\|D)|(kpr)|(kdp)|(\|lc)|(penalty))" /e /r /s</v>
      </c>
      <c r="AG83" s="1" t="str">
        <f t="shared" si="38"/>
        <v>EC</v>
      </c>
      <c r="AH83" s="92" t="str">
        <f t="shared" si="39"/>
        <v>"%USERPROFILE%\Documents\GitHub\eaglep3\Utilities\RefineRTDCRunTimes.py" --tripid 169-09 --locoid 4029 --swversion DE.1.0.8.0 --startMP 204:449 --initTime 2016-12-09T12:08:43 --startdatetime 2016-12-09T12:16:16 --delay 1 --endMP 204:233321 --enddatetime 2016-12-09T12:52:45 --enforcementcount 0 &gt;&gt;C:\Users\stu\Documents\GitHub\eaglep3-reporting\EC\2016-12-09-refined-times.txt</v>
      </c>
      <c r="AI83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{"issue":{"subject":"","project_id":79,"tracker_id":40,"status_id":1,"priority_id":2,"assigned_to_id":23,"start_date":"2016-12-09","description":"","custom_fields":[{"id":1,"name":"Subdivision","value":"EC"},{"id":4,"name":"Milepost","value":"23.3321"},{"id":17,"name":"Train ID","value":"169-09"},{"id":16,"name":"Locomotive ID","value":"4029"},{"id":130,"name":"Impact","value":""},{"id":150,"name":"Time of Event (Mountain Time)","value":"12:52:45"},{"id":151,"name":"Denver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497</v>
      </c>
      <c r="B84" s="7">
        <v>4030</v>
      </c>
      <c r="C84" s="22" t="s">
        <v>206</v>
      </c>
      <c r="D84" s="22" t="s">
        <v>321</v>
      </c>
      <c r="E84" s="13">
        <v>42713.537986111114</v>
      </c>
      <c r="F84" s="13">
        <v>42713.549687500003</v>
      </c>
      <c r="G84" s="7">
        <v>1</v>
      </c>
      <c r="H84" s="22" t="s">
        <v>723</v>
      </c>
      <c r="I84" s="13">
        <v>42713.576990740738</v>
      </c>
      <c r="J84" s="7">
        <v>0</v>
      </c>
      <c r="K84" s="109" t="str">
        <f t="shared" si="29"/>
        <v>4029/4030</v>
      </c>
      <c r="L84" s="22" t="str">
        <f>VLOOKUP(A84,'Trips&amp;Operators'!$C$1:$G$99999,5,FALSE)</f>
        <v>HILLS DUSTIN</v>
      </c>
      <c r="M84" s="6">
        <f t="shared" si="30"/>
        <v>2.7303240734909195E-2</v>
      </c>
      <c r="N84" s="7">
        <f t="shared" si="19"/>
        <v>39.316666658269241</v>
      </c>
      <c r="O84" s="7"/>
      <c r="P84" s="7"/>
      <c r="Q84" s="23"/>
      <c r="R84" s="23"/>
      <c r="S84" s="35">
        <f t="shared" si="20"/>
        <v>1</v>
      </c>
      <c r="T84" s="50" t="str">
        <f t="shared" si="31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11:54:42-700',mode:absolute,to:'2016-12-09 14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4" s="52" t="str">
        <f t="shared" si="33"/>
        <v>N</v>
      </c>
      <c r="X84" s="177">
        <f t="shared" si="41"/>
        <v>1</v>
      </c>
      <c r="Y84" s="67">
        <f t="shared" si="27"/>
        <v>23.299800000000001</v>
      </c>
      <c r="Z84" s="67">
        <f t="shared" si="25"/>
        <v>1.0999999999999999E-2</v>
      </c>
      <c r="AA84" s="67">
        <f t="shared" si="34"/>
        <v>23.288800000000002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5"/>
        <v>0170-09</v>
      </c>
      <c r="AE84" s="91" t="str">
        <f t="shared" si="36"/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AF84" s="88" t="str">
        <f t="shared" si="37"/>
        <v>"C:\Program Files (x86)\AstroGrep\AstroGrep.exe" /spath="%USERPROFILE%\AppData\Local\Temp\OnboardLogs" /stypes="app*4030*20161209*" /stext=" 20:.+((SYSTEM_STATE.+slice.+state.+changed )|(ment ac)|(multiple cpu faults)|(system.+state.+changed )|(\[timeout)|(PRM\|1\|D)|(kpr)|(kdp)|(\|lc)|(penalty))" /e /r /s</v>
      </c>
      <c r="AG84" s="1" t="str">
        <f t="shared" si="38"/>
        <v>EC</v>
      </c>
      <c r="AH84" s="92" t="str">
        <f t="shared" si="39"/>
        <v>"%USERPROFILE%\Documents\GitHub\eaglep3\Utilities\RefineRTDCRunTimes.py" --tripid 170-09 --locoid 4030 --swversion DE.1.0.8.0 --startMP 204:232998 --initTime 2016-12-09T12:54:42 --startdatetime 2016-12-09T13:11:33 --delay 1 --endMP 204:110 --enddatetime 2016-12-09T13:50:52 --enforcementcount 0 &gt;&gt;C:\Users\stu\Documents\GitHub\eaglep3-reporting\EC\2016-12-09-refined-times.txt</v>
      </c>
      <c r="AI84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{"issue":{"subject":"","project_id":79,"tracker_id":40,"status_id":1,"priority_id":2,"assigned_to_id":23,"start_date":"2016-12-09","description":"","custom_fields":[{"id":1,"name":"Subdivision","value":"EC"},{"id":4,"name":"Milepost","value":"0.011"},{"id":17,"name":"Train ID","value":"170-09"},{"id":16,"name":"Locomotive ID","value":"4030"},{"id":130,"name":"Impact","value":""},{"id":150,"name":"Time of Event (Mountain Time)","value":"13:50:52"},{"id":151,"name":"Denver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495</v>
      </c>
      <c r="B85" s="7">
        <v>4025</v>
      </c>
      <c r="C85" s="22" t="s">
        <v>206</v>
      </c>
      <c r="D85" s="22" t="s">
        <v>234</v>
      </c>
      <c r="E85" s="13">
        <v>42713.518263888887</v>
      </c>
      <c r="F85" s="13">
        <v>42713.521064814813</v>
      </c>
      <c r="G85" s="7">
        <v>1</v>
      </c>
      <c r="H85" s="22" t="s">
        <v>264</v>
      </c>
      <c r="I85" s="13">
        <v>42713.547291666669</v>
      </c>
      <c r="J85" s="7">
        <v>0</v>
      </c>
      <c r="K85" s="109" t="str">
        <f t="shared" si="29"/>
        <v>4025/4026</v>
      </c>
      <c r="L85" s="22" t="str">
        <f>VLOOKUP(A85,'Trips&amp;Operators'!$C$1:$G$99999,5,FALSE)</f>
        <v>LOPES KIMBERLY</v>
      </c>
      <c r="M85" s="6">
        <f t="shared" si="30"/>
        <v>2.6226851856335998E-2</v>
      </c>
      <c r="N85" s="7">
        <f t="shared" si="19"/>
        <v>37.766666673123837</v>
      </c>
      <c r="O85" s="7"/>
      <c r="P85" s="7"/>
      <c r="Q85" s="23"/>
      <c r="R85" s="23"/>
      <c r="S85" s="35">
        <f t="shared" si="20"/>
        <v>1</v>
      </c>
      <c r="T85" s="50" t="str">
        <f t="shared" si="31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11:26:18-700',mode:absolute,to:'2016-12-09 14:08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5" s="52" t="str">
        <f t="shared" si="33"/>
        <v>N</v>
      </c>
      <c r="X85" s="177">
        <f t="shared" si="41"/>
        <v>1</v>
      </c>
      <c r="Y85" s="67">
        <f t="shared" si="27"/>
        <v>4.5499999999999999E-2</v>
      </c>
      <c r="Z85" s="67">
        <f t="shared" si="25"/>
        <v>23.329699999999999</v>
      </c>
      <c r="AA85" s="67">
        <f t="shared" si="34"/>
        <v>23.284199999999998</v>
      </c>
      <c r="AB85" s="64" t="str">
        <f>VLOOKUP(A85,Enforcements!$C$7:$K$20,8,0)</f>
        <v>Speed (6)</v>
      </c>
      <c r="AC85" s="60" t="str">
        <f>VLOOKUP(A85,Enforcements!$C$7:$E$20,3,0)</f>
        <v>PERMANENT SPEED RESTRICTION</v>
      </c>
      <c r="AD85" s="61" t="str">
        <f t="shared" si="35"/>
        <v>0171-09</v>
      </c>
      <c r="AE85" s="91" t="str">
        <f t="shared" si="36"/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AF85" s="88" t="str">
        <f t="shared" si="37"/>
        <v>"C:\Program Files (x86)\AstroGrep\AstroGrep.exe" /spath="%USERPROFILE%\AppData\Local\Temp\OnboardLogs" /stypes="app*4025*20161209*" /stext=" 20:.+((SYSTEM_STATE.+slice.+state.+changed )|(ment ac)|(multiple cpu faults)|(system.+state.+changed )|(\[timeout)|(PRM\|1\|D)|(kpr)|(kdp)|(\|lc)|(penalty))" /e /r /s</v>
      </c>
      <c r="AG85" s="1" t="str">
        <f t="shared" si="38"/>
        <v>EC</v>
      </c>
      <c r="AH85" s="92" t="str">
        <f t="shared" si="39"/>
        <v>"%USERPROFILE%\Documents\GitHub\eaglep3\Utilities\RefineRTDCRunTimes.py" --tripid 171-09 --locoid 4025 --swversion DE.1.0.8.0 --startMP 204:455 --initTime 2016-12-09T12:26:18 --startdatetime 2016-12-09T12:30:20 --delay 1 --endMP 204:233297 --enddatetime 2016-12-09T13:08:06 --enforcementcount 0 &gt;&gt;C:\Users\stu\Documents\GitHub\eaglep3-reporting\EC\2016-12-09-refined-times.txt</v>
      </c>
      <c r="AI85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{"issue":{"subject":"","project_id":79,"tracker_id":40,"status_id":1,"priority_id":2,"assigned_to_id":23,"start_date":"2016-12-09","description":"","custom_fields":[{"id":1,"name":"Subdivision","value":"EC"},{"id":4,"name":"Milepost","value":"23.3297"},{"id":17,"name":"Train ID","value":"171-09"},{"id":16,"name":"Locomotive ID","value":"4025"},{"id":130,"name":"Impact","value":""},{"id":150,"name":"Time of Event (Mountain Time)","value":"13:08:06"},{"id":151,"name":"Denver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605</v>
      </c>
      <c r="B86" s="7">
        <v>4026</v>
      </c>
      <c r="C86" s="22" t="s">
        <v>206</v>
      </c>
      <c r="D86" s="22" t="s">
        <v>337</v>
      </c>
      <c r="E86" s="13">
        <v>42713.549988425926</v>
      </c>
      <c r="F86" s="13">
        <v>42713.559907407405</v>
      </c>
      <c r="G86" s="7">
        <v>1</v>
      </c>
      <c r="H86" s="22" t="s">
        <v>228</v>
      </c>
      <c r="I86" s="13">
        <v>42713.587442129632</v>
      </c>
      <c r="J86" s="7">
        <v>0</v>
      </c>
      <c r="K86" s="109" t="str">
        <f t="shared" si="29"/>
        <v>4025/4026</v>
      </c>
      <c r="L86" s="22" t="str">
        <f>VLOOKUP(A86,'Trips&amp;Operators'!$C$1:$G$99999,5,FALSE)</f>
        <v>LOPES KIMBERLY</v>
      </c>
      <c r="M86" s="6">
        <f t="shared" si="30"/>
        <v>2.7534722226846498E-2</v>
      </c>
      <c r="N86" s="7">
        <f t="shared" ref="N86:N101" si="42">24*60*SUM($M86:$M86)</f>
        <v>39.650000006658956</v>
      </c>
      <c r="O86" s="7"/>
      <c r="P86" s="7"/>
      <c r="Q86" s="23"/>
      <c r="R86" s="23"/>
      <c r="S86" s="35">
        <f t="shared" ref="S86:S115" si="43">SUM(U86:U86)/IF(AG86="EC",12,1)</f>
        <v>1</v>
      </c>
      <c r="T86" s="50" t="str">
        <f t="shared" si="31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12:11:59-700',mode:absolute,to:'2016-12-09 15:05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6" s="52" t="str">
        <f t="shared" si="33"/>
        <v>N</v>
      </c>
      <c r="X86" s="177">
        <f t="shared" si="41"/>
        <v>1</v>
      </c>
      <c r="Y86" s="67">
        <f t="shared" si="27"/>
        <v>23.297499999999999</v>
      </c>
      <c r="Z86" s="67">
        <f t="shared" si="25"/>
        <v>1.41E-2</v>
      </c>
      <c r="AA86" s="67">
        <f t="shared" si="34"/>
        <v>23.2834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5"/>
        <v>0172-09</v>
      </c>
      <c r="AE86" s="91" t="str">
        <f t="shared" si="36"/>
        <v>aws s3 cp s3://rtdc.mdm.uploadarchive.raw/RTDC4026/ "%USERPROFILE%\AppData\Local\Temp\OnboardLogs"\RTDC4026\2016-12-09 --exclude "*" --recursive --include "*20161209*" &amp; "%USERPROFILE%\Documents\GitHub\mrs-test-scripts\Headless Mode &amp; Sideloading\WalkAndUnGZ.bat" "%USERPROFILE%\AppData\Local\Temp\OnboardLogs"\RTDC4026\2016-12-09 &amp; 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</v>
      </c>
      <c r="AF86" s="88" t="str">
        <f t="shared" si="37"/>
        <v>"C:\Program Files (x86)\AstroGrep\AstroGrep.exe" /spath="%USERPROFILE%\AppData\Local\Temp\OnboardLogs" /stypes="app*4026*20161209*" /stext=" 21:.+((SYSTEM_STATE.+slice.+state.+changed )|(ment ac)|(multiple cpu faults)|(system.+state.+changed )|(\[timeout)|(PRM\|1\|D)|(kpr)|(kdp)|(\|lc)|(penalty))" /e /r /s</v>
      </c>
      <c r="AG86" s="1" t="str">
        <f t="shared" si="38"/>
        <v>EC</v>
      </c>
      <c r="AH86" s="92" t="str">
        <f t="shared" si="39"/>
        <v>"%USERPROFILE%\Documents\GitHub\eaglep3\Utilities\RefineRTDCRunTimes.py" --tripid 172-09 --locoid 4026 --swversion DE.1.0.8.0 --startMP 204:232975 --initTime 2016-12-09T13:11:59 --startdatetime 2016-12-09T13:26:16 --delay 1 --endMP 204:141 --enddatetime 2016-12-09T14:05:55 --enforcementcount 0 &gt;&gt;C:\Users\stu\Documents\GitHub\eaglep3-reporting\EC\2016-12-09-refined-times.txt</v>
      </c>
      <c r="AI86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{"issue":{"subject":"","project_id":79,"tracker_id":40,"status_id":1,"priority_id":2,"assigned_to_id":23,"start_date":"2016-12-09","description":"","custom_fields":[{"id":1,"name":"Subdivision","value":"EC"},{"id":4,"name":"Milepost","value":"0.0141"},{"id":17,"name":"Train ID","value":"172-09"},{"id":16,"name":"Locomotive ID","value":"4026"},{"id":130,"name":"Impact","value":""},{"id":150,"name":"Time of Event (Mountain Time)","value":"14:05:55"},{"id":151,"name":"Denver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602</v>
      </c>
      <c r="B87" s="7">
        <v>4051</v>
      </c>
      <c r="C87" s="22" t="s">
        <v>206</v>
      </c>
      <c r="D87" s="22" t="s">
        <v>379</v>
      </c>
      <c r="E87" s="13">
        <v>42713.528541666667</v>
      </c>
      <c r="F87" s="13">
        <v>42713.531481481485</v>
      </c>
      <c r="G87" s="7">
        <v>2</v>
      </c>
      <c r="H87" s="22" t="s">
        <v>443</v>
      </c>
      <c r="I87" s="13">
        <v>42713.557523148149</v>
      </c>
      <c r="J87" s="7">
        <v>0</v>
      </c>
      <c r="K87" s="109" t="str">
        <f t="shared" si="29"/>
        <v>4051/4052</v>
      </c>
      <c r="L87" s="22" t="str">
        <f>VLOOKUP(A87,'Trips&amp;Operators'!$C$1:$G$99999,5,FALSE)</f>
        <v>STEWART MICHAEL</v>
      </c>
      <c r="M87" s="6">
        <f t="shared" si="30"/>
        <v>2.6041666664241347E-2</v>
      </c>
      <c r="N87" s="7">
        <f t="shared" si="42"/>
        <v>37.49999999650754</v>
      </c>
      <c r="O87" s="7"/>
      <c r="P87" s="7"/>
      <c r="Q87" s="23"/>
      <c r="R87" s="23"/>
      <c r="S87" s="35">
        <f t="shared" si="43"/>
        <v>1</v>
      </c>
      <c r="T87" s="50" t="str">
        <f t="shared" si="31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11:41:06-700',mode:absolute,to:'2016-12-09 14:22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87" s="52" t="str">
        <f t="shared" si="33"/>
        <v>N</v>
      </c>
      <c r="X87" s="177">
        <f t="shared" si="41"/>
        <v>1</v>
      </c>
      <c r="Y87" s="67">
        <f t="shared" si="27"/>
        <v>4.3099999999999999E-2</v>
      </c>
      <c r="Z87" s="67">
        <f t="shared" ref="Z87:Z118" si="44">RIGHT(H87,LEN(H87)-4)/10000</f>
        <v>23.329499999999999</v>
      </c>
      <c r="AA87" s="67">
        <f t="shared" si="34"/>
        <v>23.2864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5"/>
        <v>0173-09</v>
      </c>
      <c r="AE87" s="91" t="str">
        <f t="shared" si="36"/>
        <v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v>
      </c>
      <c r="AF87" s="88" t="str">
        <f t="shared" si="37"/>
        <v>"C:\Program Files (x86)\AstroGrep\AstroGrep.exe" /spath="%USERPROFILE%\AppData\Local\Temp\OnboardLogs" /stypes="app*4051*20161209*" /stext=" 20:.+((SYSTEM_STATE.+slice.+state.+changed )|(ment ac)|(multiple cpu faults)|(system.+state.+changed )|(\[timeout)|(PRM\|1\|D)|(kpr)|(kdp)|(\|lc)|(penalty))" /e /r /s</v>
      </c>
      <c r="AG87" s="1" t="str">
        <f t="shared" si="38"/>
        <v>EC</v>
      </c>
      <c r="AH87" s="92" t="str">
        <f t="shared" si="39"/>
        <v>"%USERPROFILE%\Documents\GitHub\eaglep3\Utilities\RefineRTDCRunTimes.py" --tripid 173-09 --locoid 4051 --swversion DE.1.0.8.0 --startMP 204:431 --initTime 2016-12-09T12:41:06 --startdatetime 2016-12-09T12:45:20 --delay 2 --endMP 204:233295 --enddatetime 2016-12-09T13:22:50 --enforcementcount 0 &gt;&gt;C:\Users\stu\Documents\GitHub\eaglep3-reporting\EC\2016-12-09-refined-times.txt</v>
      </c>
      <c r="AI87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{"issue":{"subject":"","project_id":79,"tracker_id":40,"status_id":1,"priority_id":2,"assigned_to_id":23,"start_date":"2016-12-09","description":"","custom_fields":[{"id":1,"name":"Subdivision","value":"EC"},{"id":4,"name":"Milepost","value":"23.3295"},{"id":17,"name":"Train ID","value":"173-09"},{"id":16,"name":"Locomotive ID","value":"4051"},{"id":130,"name":"Impact","value":""},{"id":150,"name":"Time of Event (Mountain Time)","value":"13:22:50"},{"id":151,"name":"Denver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610</v>
      </c>
      <c r="B88" s="7">
        <v>4052</v>
      </c>
      <c r="C88" s="22" t="s">
        <v>206</v>
      </c>
      <c r="D88" s="22" t="s">
        <v>332</v>
      </c>
      <c r="E88" s="13">
        <v>42713.567523148151</v>
      </c>
      <c r="F88" s="13">
        <v>42713.5703587963</v>
      </c>
      <c r="G88" s="7">
        <v>1</v>
      </c>
      <c r="H88" s="22" t="s">
        <v>441</v>
      </c>
      <c r="I88" s="13">
        <v>42713.597939814812</v>
      </c>
      <c r="J88" s="7">
        <v>0</v>
      </c>
      <c r="K88" s="109" t="str">
        <f t="shared" si="29"/>
        <v>4051/4052</v>
      </c>
      <c r="L88" s="22" t="str">
        <f>VLOOKUP(A88,'Trips&amp;Operators'!$C$1:$G$99999,5,FALSE)</f>
        <v>STEWART MICHAEL</v>
      </c>
      <c r="M88" s="6">
        <f t="shared" si="30"/>
        <v>2.7581018512137234E-2</v>
      </c>
      <c r="N88" s="7">
        <f t="shared" si="42"/>
        <v>39.716666657477617</v>
      </c>
      <c r="O88" s="7"/>
      <c r="P88" s="7"/>
      <c r="Q88" s="23"/>
      <c r="R88" s="23"/>
      <c r="S88" s="35">
        <f t="shared" si="43"/>
        <v>1</v>
      </c>
      <c r="T88" s="50" t="str">
        <f t="shared" si="31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12:37:14-700',mode:absolute,to:'2016-12-09 15:21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88" s="52" t="str">
        <f t="shared" si="33"/>
        <v>N</v>
      </c>
      <c r="X88" s="177">
        <f t="shared" si="41"/>
        <v>1</v>
      </c>
      <c r="Y88" s="67">
        <f t="shared" si="27"/>
        <v>23.298500000000001</v>
      </c>
      <c r="Z88" s="67">
        <f t="shared" si="44"/>
        <v>1.61E-2</v>
      </c>
      <c r="AA88" s="67">
        <f t="shared" si="34"/>
        <v>23.282399999999999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5"/>
        <v>0174-09</v>
      </c>
      <c r="AE88" s="91" t="str">
        <f t="shared" si="36"/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AF88" s="88" t="str">
        <f t="shared" si="37"/>
        <v>"C:\Program Files (x86)\AstroGrep\AstroGrep.exe" /spath="%USERPROFILE%\AppData\Local\Temp\OnboardLogs" /stypes="app*4052*20161209*" /stext=" 21:.+((SYSTEM_STATE.+slice.+state.+changed )|(ment ac)|(multiple cpu faults)|(system.+state.+changed )|(\[timeout)|(PRM\|1\|D)|(kpr)|(kdp)|(\|lc)|(penalty))" /e /r /s</v>
      </c>
      <c r="AG88" s="1" t="str">
        <f t="shared" si="38"/>
        <v>EC</v>
      </c>
      <c r="AH88" s="92" t="str">
        <f t="shared" si="39"/>
        <v>"%USERPROFILE%\Documents\GitHub\eaglep3\Utilities\RefineRTDCRunTimes.py" --tripid 174-09 --locoid 4052 --swversion DE.1.0.8.0 --startMP 204:232985 --initTime 2016-12-09T13:37:14 --startdatetime 2016-12-09T13:41:19 --delay 1 --endMP 204:161 --enddatetime 2016-12-09T14:21:02 --enforcementcount 0 &gt;&gt;C:\Users\stu\Documents\GitHub\eaglep3-reporting\EC\2016-12-09-refined-times.txt</v>
      </c>
      <c r="AI88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{"issue":{"subject":"","project_id":79,"tracker_id":40,"status_id":1,"priority_id":2,"assigned_to_id":23,"start_date":"2016-12-09","description":"","custom_fields":[{"id":1,"name":"Subdivision","value":"EC"},{"id":4,"name":"Milepost","value":"0.0161"},{"id":17,"name":"Train ID","value":"174-09"},{"id":16,"name":"Locomotive ID","value":"4052"},{"id":130,"name":"Impact","value":""},{"id":150,"name":"Time of Event (Mountain Time)","value":"14:21:02"},{"id":151,"name":"Denver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603</v>
      </c>
      <c r="B89" s="7">
        <v>4002</v>
      </c>
      <c r="C89" s="22" t="s">
        <v>206</v>
      </c>
      <c r="D89" s="22" t="s">
        <v>289</v>
      </c>
      <c r="E89" s="13">
        <v>42713.54011574074</v>
      </c>
      <c r="F89" s="13">
        <v>42713.541828703703</v>
      </c>
      <c r="G89" s="7">
        <v>1</v>
      </c>
      <c r="H89" s="22" t="s">
        <v>716</v>
      </c>
      <c r="I89" s="13">
        <v>42713.566678240742</v>
      </c>
      <c r="J89" s="7">
        <v>0</v>
      </c>
      <c r="K89" s="109" t="str">
        <f t="shared" si="29"/>
        <v>4001/4002</v>
      </c>
      <c r="L89" s="22" t="str">
        <f>VLOOKUP(A89,'Trips&amp;Operators'!$C$1:$G$99999,5,FALSE)</f>
        <v>BROWN JACOB</v>
      </c>
      <c r="M89" s="6">
        <f t="shared" si="30"/>
        <v>2.4849537039699499E-2</v>
      </c>
      <c r="N89" s="7">
        <f t="shared" si="42"/>
        <v>35.783333337167278</v>
      </c>
      <c r="O89" s="7"/>
      <c r="P89" s="7"/>
      <c r="Q89" s="23"/>
      <c r="R89" s="23"/>
      <c r="S89" s="35">
        <f t="shared" si="43"/>
        <v>1</v>
      </c>
      <c r="T89" s="50" t="str">
        <f t="shared" si="31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11:57:46-700',mode:absolute,to:'2016-12-09 14:36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9" s="52" t="str">
        <f t="shared" si="33"/>
        <v>N</v>
      </c>
      <c r="X89" s="177">
        <f t="shared" si="41"/>
        <v>1</v>
      </c>
      <c r="Y89" s="67">
        <f t="shared" si="27"/>
        <v>4.53E-2</v>
      </c>
      <c r="Z89" s="67">
        <f t="shared" si="44"/>
        <v>23.329899999999999</v>
      </c>
      <c r="AA89" s="67">
        <f t="shared" si="34"/>
        <v>23.284599999999998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5"/>
        <v>0175-09</v>
      </c>
      <c r="AE89" s="91" t="str">
        <f t="shared" si="36"/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AF89" s="88" t="str">
        <f t="shared" si="37"/>
        <v>"C:\Program Files (x86)\AstroGrep\AstroGrep.exe" /spath="%USERPROFILE%\AppData\Local\Temp\OnboardLogs" /stypes="app*4002*20161209*" /stext=" 20:.+((SYSTEM_STATE.+slice.+state.+changed )|(ment ac)|(multiple cpu faults)|(system.+state.+changed )|(\[timeout)|(PRM\|1\|D)|(kpr)|(kdp)|(\|lc)|(penalty))" /e /r /s</v>
      </c>
      <c r="AG89" s="1" t="str">
        <f t="shared" si="38"/>
        <v>EC</v>
      </c>
      <c r="AH89" s="92" t="str">
        <f t="shared" si="39"/>
        <v>"%USERPROFILE%\Documents\GitHub\eaglep3\Utilities\RefineRTDCRunTimes.py" --tripid 175-09 --locoid 4002 --swversion DE.1.0.8.0 --startMP 204:453 --initTime 2016-12-09T12:57:46 --startdatetime 2016-12-09T13:00:14 --delay 1 --endMP 204:233299 --enddatetime 2016-12-09T13:36:01 --enforcementcount 0 &gt;&gt;C:\Users\stu\Documents\GitHub\eaglep3-reporting\EC\2016-12-09-refined-times.txt</v>
      </c>
      <c r="AI89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{"issue":{"subject":"","project_id":79,"tracker_id":40,"status_id":1,"priority_id":2,"assigned_to_id":23,"start_date":"2016-12-09","description":"","custom_fields":[{"id":1,"name":"Subdivision","value":"EC"},{"id":4,"name":"Milepost","value":"23.3299"},{"id":17,"name":"Train ID","value":"175-09"},{"id":16,"name":"Locomotive ID","value":"4002"},{"id":130,"name":"Impact","value":""},{"id":150,"name":"Time of Event (Mountain Time)","value":"13:36:01"},{"id":151,"name":"Denver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499</v>
      </c>
      <c r="B90" s="7">
        <v>4001</v>
      </c>
      <c r="C90" s="22" t="s">
        <v>206</v>
      </c>
      <c r="D90" s="22" t="s">
        <v>466</v>
      </c>
      <c r="E90" s="13">
        <v>42713.572094907409</v>
      </c>
      <c r="F90" s="13">
        <v>42713.580775462964</v>
      </c>
      <c r="G90" s="7">
        <v>1</v>
      </c>
      <c r="H90" s="22" t="s">
        <v>213</v>
      </c>
      <c r="I90" s="13">
        <v>42713.608483796299</v>
      </c>
      <c r="J90" s="7">
        <v>0</v>
      </c>
      <c r="K90" s="109" t="str">
        <f t="shared" si="29"/>
        <v>4001/4002</v>
      </c>
      <c r="L90" s="22" t="str">
        <f>VLOOKUP(A90,'Trips&amp;Operators'!$C$1:$G$99999,5,FALSE)</f>
        <v>BROWN JACOB</v>
      </c>
      <c r="M90" s="6">
        <f t="shared" si="30"/>
        <v>2.7708333334885538E-2</v>
      </c>
      <c r="N90" s="7">
        <f t="shared" si="42"/>
        <v>39.900000002235174</v>
      </c>
      <c r="O90" s="7"/>
      <c r="P90" s="7"/>
      <c r="Q90" s="23"/>
      <c r="R90" s="23"/>
      <c r="S90" s="35">
        <f t="shared" si="43"/>
        <v>1</v>
      </c>
      <c r="T90" s="50" t="str">
        <f t="shared" si="31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12:43:49-700',mode:absolute,to:'2016-12-09 15:36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0" s="52" t="str">
        <f t="shared" si="33"/>
        <v>N</v>
      </c>
      <c r="X90" s="177">
        <f t="shared" si="41"/>
        <v>1</v>
      </c>
      <c r="Y90" s="67">
        <f t="shared" si="27"/>
        <v>23.298400000000001</v>
      </c>
      <c r="Z90" s="67">
        <f t="shared" si="44"/>
        <v>1.4999999999999999E-2</v>
      </c>
      <c r="AA90" s="67">
        <f t="shared" si="34"/>
        <v>23.2834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5"/>
        <v>0176-09</v>
      </c>
      <c r="AE90" s="91" t="str">
        <f t="shared" si="36"/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AF90" s="88" t="str">
        <f t="shared" si="37"/>
        <v>"C:\Program Files (x86)\AstroGrep\AstroGrep.exe" /spath="%USERPROFILE%\AppData\Local\Temp\OnboardLogs" /stypes="app*4001*20161209*" /stext=" 21:.+((SYSTEM_STATE.+slice.+state.+changed )|(ment ac)|(multiple cpu faults)|(system.+state.+changed )|(\[timeout)|(PRM\|1\|D)|(kpr)|(kdp)|(\|lc)|(penalty))" /e /r /s</v>
      </c>
      <c r="AG90" s="1" t="str">
        <f t="shared" si="38"/>
        <v>EC</v>
      </c>
      <c r="AH90" s="92" t="str">
        <f t="shared" si="39"/>
        <v>"%USERPROFILE%\Documents\GitHub\eaglep3\Utilities\RefineRTDCRunTimes.py" --tripid 176-09 --locoid 4001 --swversion DE.1.0.8.0 --startMP 204:232984 --initTime 2016-12-09T13:43:49 --startdatetime 2016-12-09T13:56:19 --delay 1 --endMP 204:150 --enddatetime 2016-12-09T14:36:13 --enforcementcount 0 &gt;&gt;C:\Users\stu\Documents\GitHub\eaglep3-reporting\EC\2016-12-09-refined-times.txt</v>
      </c>
      <c r="AI90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{"issue":{"subject":"","project_id":79,"tracker_id":40,"status_id":1,"priority_id":2,"assigned_to_id":23,"start_date":"2016-12-09","description":"","custom_fields":[{"id":1,"name":"Subdivision","value":"EC"},{"id":4,"name":"Milepost","value":"0.015"},{"id":17,"name":"Train ID","value":"176-09"},{"id":16,"name":"Locomotive ID","value":"4001"},{"id":130,"name":"Impact","value":""},{"id":150,"name":"Time of Event (Mountain Time)","value":"14:36:13"},{"id":151,"name":"Denver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7" t="s">
        <v>604</v>
      </c>
      <c r="B91" s="7">
        <v>4011</v>
      </c>
      <c r="C91" s="22" t="s">
        <v>206</v>
      </c>
      <c r="D91" s="22" t="s">
        <v>238</v>
      </c>
      <c r="E91" s="13">
        <v>42713.54855324074</v>
      </c>
      <c r="F91" s="13">
        <v>42713.552361111113</v>
      </c>
      <c r="G91" s="7">
        <v>1</v>
      </c>
      <c r="H91" s="22" t="s">
        <v>291</v>
      </c>
      <c r="I91" s="13">
        <v>42713.577835648146</v>
      </c>
      <c r="J91" s="7">
        <v>0</v>
      </c>
      <c r="K91" s="109" t="str">
        <f t="shared" si="29"/>
        <v>4011/4012</v>
      </c>
      <c r="L91" s="22" t="str">
        <f>VLOOKUP(A91,'Trips&amp;Operators'!$C$1:$G$99999,5,FALSE)</f>
        <v>BONDS REYNALDO</v>
      </c>
      <c r="M91" s="6">
        <f t="shared" si="30"/>
        <v>2.5474537033005618E-2</v>
      </c>
      <c r="N91" s="7">
        <f t="shared" si="42"/>
        <v>36.683333327528089</v>
      </c>
      <c r="O91" s="7"/>
      <c r="P91" s="7"/>
      <c r="Q91" s="23"/>
      <c r="R91" s="23"/>
      <c r="S91" s="35">
        <f t="shared" si="43"/>
        <v>1</v>
      </c>
      <c r="T91" s="50" t="str">
        <f t="shared" si="31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12:09:55-700',mode:absolute,to:'2016-12-09 14:52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1" s="52" t="str">
        <f t="shared" si="33"/>
        <v>N</v>
      </c>
      <c r="X91" s="177">
        <f t="shared" si="41"/>
        <v>1</v>
      </c>
      <c r="Y91" s="67">
        <f t="shared" si="27"/>
        <v>4.5999999999999999E-2</v>
      </c>
      <c r="Z91" s="67">
        <f t="shared" si="44"/>
        <v>23.331499999999998</v>
      </c>
      <c r="AA91" s="67">
        <f t="shared" si="34"/>
        <v>23.285499999999999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5"/>
        <v>0177-09</v>
      </c>
      <c r="AE91" s="91" t="str">
        <f t="shared" si="36"/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AF91" s="88" t="str">
        <f t="shared" si="37"/>
        <v>"C:\Program Files (x86)\AstroGrep\AstroGrep.exe" /spath="%USERPROFILE%\AppData\Local\Temp\OnboardLogs" /stypes="app*4011*20161209*" /stext=" 20:.+((SYSTEM_STATE.+slice.+state.+changed )|(ment ac)|(multiple cpu faults)|(system.+state.+changed )|(\[timeout)|(PRM\|1\|D)|(kpr)|(kdp)|(\|lc)|(penalty))" /e /r /s</v>
      </c>
      <c r="AG91" s="1" t="str">
        <f t="shared" si="38"/>
        <v>EC</v>
      </c>
      <c r="AH91" s="92" t="str">
        <f t="shared" si="39"/>
        <v>"%USERPROFILE%\Documents\GitHub\eaglep3\Utilities\RefineRTDCRunTimes.py" --tripid 177-09 --locoid 4011 --swversion DE.1.0.8.0 --startMP 204:460 --initTime 2016-12-09T13:09:55 --startdatetime 2016-12-09T13:15:24 --delay 1 --endMP 204:233315 --enddatetime 2016-12-09T13:52:05 --enforcementcount 0 &gt;&gt;C:\Users\stu\Documents\GitHub\eaglep3-reporting\EC\2016-12-09-refined-times.txt</v>
      </c>
      <c r="AI91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{"issue":{"subject":"","project_id":79,"tracker_id":40,"status_id":1,"priority_id":2,"assigned_to_id":23,"start_date":"2016-12-09","description":"","custom_fields":[{"id":1,"name":"Subdivision","value":"EC"},{"id":4,"name":"Milepost","value":"23.3315"},{"id":17,"name":"Train ID","value":"177-09"},{"id":16,"name":"Locomotive ID","value":"4011"},{"id":130,"name":"Impact","value":""},{"id":150,"name":"Time of Event (Mountain Time)","value":"13:52:05"},{"id":151,"name":"Denver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615</v>
      </c>
      <c r="B92" s="7">
        <v>4012</v>
      </c>
      <c r="C92" s="22" t="s">
        <v>206</v>
      </c>
      <c r="D92" s="22" t="s">
        <v>376</v>
      </c>
      <c r="E92" s="13">
        <v>42713.582303240742</v>
      </c>
      <c r="F92" s="13">
        <v>42713.591134259259</v>
      </c>
      <c r="G92" s="7">
        <v>1</v>
      </c>
      <c r="H92" s="22" t="s">
        <v>228</v>
      </c>
      <c r="I92" s="13">
        <v>42713.619247685187</v>
      </c>
      <c r="J92" s="7">
        <v>0</v>
      </c>
      <c r="K92" s="109" t="str">
        <f t="shared" si="29"/>
        <v>4011/4012</v>
      </c>
      <c r="L92" s="22" t="str">
        <f>VLOOKUP(A92,'Trips&amp;Operators'!$C$1:$G$99999,5,FALSE)</f>
        <v>BONDS REYNALDO</v>
      </c>
      <c r="M92" s="6">
        <f t="shared" si="30"/>
        <v>2.8113425927585922E-2</v>
      </c>
      <c r="N92" s="7">
        <f t="shared" si="42"/>
        <v>40.483333335723728</v>
      </c>
      <c r="O92" s="7"/>
      <c r="P92" s="7"/>
      <c r="Q92" s="23"/>
      <c r="R92" s="23"/>
      <c r="S92" s="35">
        <f t="shared" si="43"/>
        <v>1</v>
      </c>
      <c r="T92" s="50" t="str">
        <f t="shared" si="31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12:58:31-700',mode:absolute,to:'2016-12-09 15:51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2" s="52" t="str">
        <f t="shared" si="33"/>
        <v>N</v>
      </c>
      <c r="X92" s="177">
        <f t="shared" si="41"/>
        <v>1</v>
      </c>
      <c r="Y92" s="67">
        <f t="shared" ref="Y92:Y123" si="45">RIGHT(D92,LEN(D92)-4)/10000</f>
        <v>23.299099999999999</v>
      </c>
      <c r="Z92" s="67">
        <f t="shared" si="44"/>
        <v>1.41E-2</v>
      </c>
      <c r="AA92" s="67">
        <f t="shared" si="34"/>
        <v>23.285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5"/>
        <v>0178-09</v>
      </c>
      <c r="AE92" s="91" t="str">
        <f t="shared" si="36"/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AF92" s="88" t="str">
        <f t="shared" si="37"/>
        <v>"C:\Program Files (x86)\AstroGrep\AstroGrep.exe" /spath="%USERPROFILE%\AppData\Local\Temp\OnboardLogs" /stypes="app*4012*20161209*" /stext=" 21:.+((SYSTEM_STATE.+slice.+state.+changed )|(ment ac)|(multiple cpu faults)|(system.+state.+changed )|(\[timeout)|(PRM\|1\|D)|(kpr)|(kdp)|(\|lc)|(penalty))" /e /r /s</v>
      </c>
      <c r="AG92" s="1" t="str">
        <f t="shared" si="38"/>
        <v>EC</v>
      </c>
      <c r="AH92" s="92" t="str">
        <f t="shared" si="39"/>
        <v>"%USERPROFILE%\Documents\GitHub\eaglep3\Utilities\RefineRTDCRunTimes.py" --tripid 178-09 --locoid 4012 --swversion DE.1.0.8.0 --startMP 204:232991 --initTime 2016-12-09T13:58:31 --startdatetime 2016-12-09T14:11:14 --delay 1 --endMP 204:141 --enddatetime 2016-12-09T14:51:43 --enforcementcount 0 &gt;&gt;C:\Users\stu\Documents\GitHub\eaglep3-reporting\EC\2016-12-09-refined-times.txt</v>
      </c>
      <c r="AI92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{"issue":{"subject":"","project_id":79,"tracker_id":40,"status_id":1,"priority_id":2,"assigned_to_id":23,"start_date":"2016-12-09","description":"","custom_fields":[{"id":1,"name":"Subdivision","value":"EC"},{"id":4,"name":"Milepost","value":"0.0141"},{"id":17,"name":"Train ID","value":"178-09"},{"id":16,"name":"Locomotive ID","value":"4012"},{"id":130,"name":"Impact","value":""},{"id":150,"name":"Time of Event (Mountain Time)","value":"14:51:43"},{"id":151,"name":"Denver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609</v>
      </c>
      <c r="B93" s="7">
        <v>4016</v>
      </c>
      <c r="C93" s="22" t="s">
        <v>206</v>
      </c>
      <c r="D93" s="22" t="s">
        <v>194</v>
      </c>
      <c r="E93" s="13">
        <v>42713.559641203705</v>
      </c>
      <c r="F93" s="13">
        <v>42713.5627662037</v>
      </c>
      <c r="G93" s="7">
        <v>1</v>
      </c>
      <c r="H93" s="22" t="s">
        <v>304</v>
      </c>
      <c r="I93" s="13">
        <v>42713.589212962965</v>
      </c>
      <c r="J93" s="7">
        <v>0</v>
      </c>
      <c r="K93" s="109" t="str">
        <f t="shared" si="29"/>
        <v>4015/4016</v>
      </c>
      <c r="L93" s="22" t="str">
        <f>VLOOKUP(A93,'Trips&amp;Operators'!$C$1:$G$99999,5,FALSE)</f>
        <v>MOSES BRADLEY</v>
      </c>
      <c r="M93" s="6">
        <f t="shared" si="30"/>
        <v>2.644675926421769E-2</v>
      </c>
      <c r="N93" s="7">
        <f t="shared" si="42"/>
        <v>38.083333340473473</v>
      </c>
      <c r="O93" s="7"/>
      <c r="P93" s="7"/>
      <c r="Q93" s="23"/>
      <c r="R93" s="23"/>
      <c r="S93" s="35">
        <f t="shared" si="43"/>
        <v>1</v>
      </c>
      <c r="T93" s="50" t="str">
        <f t="shared" si="31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12:25:53-700',mode:absolute,to:'2016-12-09 15:08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3" s="52" t="str">
        <f t="shared" si="33"/>
        <v>N</v>
      </c>
      <c r="X93" s="177">
        <f t="shared" si="41"/>
        <v>1</v>
      </c>
      <c r="Y93" s="67">
        <f t="shared" si="45"/>
        <v>4.4699999999999997E-2</v>
      </c>
      <c r="Z93" s="67">
        <f t="shared" si="44"/>
        <v>23.3309</v>
      </c>
      <c r="AA93" s="67">
        <f t="shared" si="34"/>
        <v>23.286200000000001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5"/>
        <v>0179-09</v>
      </c>
      <c r="AE93" s="91" t="str">
        <f t="shared" si="36"/>
        <v>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 &amp; 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</v>
      </c>
      <c r="AF93" s="88" t="str">
        <f t="shared" si="37"/>
        <v>"C:\Program Files (x86)\AstroGrep\AstroGrep.exe" /spath="%USERPROFILE%\AppData\Local\Temp\OnboardLogs" /stypes="app*4016*20161209*" /stext=" 21:.+((SYSTEM_STATE.+slice.+state.+changed )|(ment ac)|(multiple cpu faults)|(system.+state.+changed )|(\[timeout)|(PRM\|1\|D)|(kpr)|(kdp)|(\|lc)|(penalty))" /e /r /s</v>
      </c>
      <c r="AG93" s="1" t="str">
        <f t="shared" si="38"/>
        <v>EC</v>
      </c>
      <c r="AH93" s="92" t="str">
        <f t="shared" si="39"/>
        <v>"%USERPROFILE%\Documents\GitHub\eaglep3\Utilities\RefineRTDCRunTimes.py" --tripid 179-09 --locoid 4016 --swversion DE.1.0.8.0 --startMP 204:447 --initTime 2016-12-09T13:25:53 --startdatetime 2016-12-09T13:30:23 --delay 1 --endMP 204:233309 --enddatetime 2016-12-09T14:08:28 --enforcementcount 0 &gt;&gt;C:\Users\stu\Documents\GitHub\eaglep3-reporting\EC\2016-12-09-refined-times.txt</v>
      </c>
      <c r="AI93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{"issue":{"subject":"","project_id":79,"tracker_id":40,"status_id":1,"priority_id":2,"assigned_to_id":23,"start_date":"2016-12-09","description":"","custom_fields":[{"id":1,"name":"Subdivision","value":"EC"},{"id":4,"name":"Milepost","value":"23.3309"},{"id":17,"name":"Train ID","value":"179-09"},{"id":16,"name":"Locomotive ID","value":"4016"},{"id":130,"name":"Impact","value":""},{"id":150,"name":"Time of Event (Mountain Time)","value":"14:08:28"},{"id":151,"name":"Denver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502</v>
      </c>
      <c r="B94" s="7">
        <v>4015</v>
      </c>
      <c r="C94" s="22" t="s">
        <v>206</v>
      </c>
      <c r="D94" s="22" t="s">
        <v>296</v>
      </c>
      <c r="E94" s="13">
        <v>42713.594340277778</v>
      </c>
      <c r="F94" s="13">
        <v>42713.601689814815</v>
      </c>
      <c r="G94" s="7">
        <v>1</v>
      </c>
      <c r="H94" s="22" t="s">
        <v>293</v>
      </c>
      <c r="I94" s="13">
        <v>42713.630173611113</v>
      </c>
      <c r="J94" s="7">
        <v>0</v>
      </c>
      <c r="K94" s="109" t="str">
        <f t="shared" si="29"/>
        <v>4015/4016</v>
      </c>
      <c r="L94" s="22" t="str">
        <f>VLOOKUP(A94,'Trips&amp;Operators'!$C$1:$G$99999,5,FALSE)</f>
        <v>MOSES BRADLEY</v>
      </c>
      <c r="M94" s="6">
        <f t="shared" si="30"/>
        <v>2.8483796297223307E-2</v>
      </c>
      <c r="N94" s="7">
        <f t="shared" si="42"/>
        <v>41.016666668001562</v>
      </c>
      <c r="O94" s="7"/>
      <c r="P94" s="7"/>
      <c r="Q94" s="23"/>
      <c r="R94" s="23"/>
      <c r="S94" s="35">
        <f t="shared" si="43"/>
        <v>1</v>
      </c>
      <c r="T94" s="50" t="str">
        <f t="shared" si="31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13:15:51-700',mode:absolute,to:'2016-12-09 16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94" s="52" t="str">
        <f t="shared" si="33"/>
        <v>N</v>
      </c>
      <c r="X94" s="177">
        <f t="shared" si="41"/>
        <v>1</v>
      </c>
      <c r="Y94" s="67">
        <f t="shared" si="45"/>
        <v>23.299399999999999</v>
      </c>
      <c r="Z94" s="67">
        <f t="shared" si="44"/>
        <v>1.52E-2</v>
      </c>
      <c r="AA94" s="67">
        <f t="shared" si="34"/>
        <v>23.284199999999998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5"/>
        <v>0180-09</v>
      </c>
      <c r="AE94" s="91" t="str">
        <f t="shared" si="36"/>
        <v>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 &amp; 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</v>
      </c>
      <c r="AF94" s="88" t="str">
        <f t="shared" si="37"/>
        <v>"C:\Program Files (x86)\AstroGrep\AstroGrep.exe" /spath="%USERPROFILE%\AppData\Local\Temp\OnboardLogs" /stypes="app*4015*20161209*" /stext=" 22:.+((SYSTEM_STATE.+slice.+state.+changed )|(ment ac)|(multiple cpu faults)|(system.+state.+changed )|(\[timeout)|(PRM\|1\|D)|(kpr)|(kdp)|(\|lc)|(penalty))" /e /r /s</v>
      </c>
      <c r="AG94" s="1" t="str">
        <f t="shared" si="38"/>
        <v>EC</v>
      </c>
      <c r="AH94" s="92" t="str">
        <f t="shared" si="39"/>
        <v>"%USERPROFILE%\Documents\GitHub\eaglep3\Utilities\RefineRTDCRunTimes.py" --tripid 180-09 --locoid 4015 --swversion DE.1.0.8.0 --startMP 204:232994 --initTime 2016-12-09T14:15:51 --startdatetime 2016-12-09T14:26:26 --delay 1 --endMP 204:152 --enddatetime 2016-12-09T15:07:27 --enforcementcount 0 &gt;&gt;C:\Users\stu\Documents\GitHub\eaglep3-reporting\EC\2016-12-09-refined-times.txt</v>
      </c>
      <c r="AI94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{"issue":{"subject":"","project_id":79,"tracker_id":40,"status_id":1,"priority_id":2,"assigned_to_id":23,"start_date":"2016-12-09","description":"","custom_fields":[{"id":1,"name":"Subdivision","value":"EC"},{"id":4,"name":"Milepost","value":"0.0152"},{"id":17,"name":"Train ID","value":"180-09"},{"id":16,"name":"Locomotive ID","value":"4015"},{"id":130,"name":"Impact","value":""},{"id":150,"name":"Time of Event (Mountain Time)","value":"15:07:27"},{"id":151,"name":"Denver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x14ac:dyDescent="0.25">
      <c r="A95" s="37" t="s">
        <v>500</v>
      </c>
      <c r="B95" s="7">
        <v>4031</v>
      </c>
      <c r="C95" s="22" t="s">
        <v>206</v>
      </c>
      <c r="D95" s="22" t="s">
        <v>338</v>
      </c>
      <c r="E95" s="13">
        <v>42713.569432870368</v>
      </c>
      <c r="F95" s="13">
        <v>42713.573437500003</v>
      </c>
      <c r="G95" s="7">
        <v>2</v>
      </c>
      <c r="H95" s="22" t="s">
        <v>274</v>
      </c>
      <c r="I95" s="13">
        <v>42713.600601851853</v>
      </c>
      <c r="J95" s="7">
        <v>0</v>
      </c>
      <c r="K95" s="109" t="str">
        <f t="shared" si="29"/>
        <v>4031/4032</v>
      </c>
      <c r="L95" s="22" t="str">
        <f>VLOOKUP(A95,'Trips&amp;Operators'!$C$1:$G$99999,5,FALSE)</f>
        <v>ADANE ELSHADAY</v>
      </c>
      <c r="M95" s="6">
        <f t="shared" si="30"/>
        <v>2.7164351849933155E-2</v>
      </c>
      <c r="N95" s="7">
        <f t="shared" si="42"/>
        <v>39.116666663903743</v>
      </c>
      <c r="O95" s="7"/>
      <c r="P95" s="7"/>
      <c r="Q95" s="23"/>
      <c r="R95" s="23"/>
      <c r="S95" s="35">
        <f t="shared" si="43"/>
        <v>1</v>
      </c>
      <c r="T95" s="50" t="str">
        <f t="shared" si="31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12:39:59-700',mode:absolute,to:'2016-12-09 15:24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95" s="52" t="str">
        <f t="shared" si="33"/>
        <v>N</v>
      </c>
      <c r="X95" s="177">
        <f t="shared" si="41"/>
        <v>1</v>
      </c>
      <c r="Y95" s="67">
        <f t="shared" si="45"/>
        <v>4.4900000000000002E-2</v>
      </c>
      <c r="Z95" s="67">
        <f t="shared" si="44"/>
        <v>23.331199999999999</v>
      </c>
      <c r="AA95" s="67">
        <f t="shared" si="34"/>
        <v>23.286300000000001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5"/>
        <v>0181-09</v>
      </c>
      <c r="AE95" s="91" t="str">
        <f t="shared" si="36"/>
        <v>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 &amp; 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</v>
      </c>
      <c r="AF95" s="88" t="str">
        <f t="shared" si="37"/>
        <v>"C:\Program Files (x86)\AstroGrep\AstroGrep.exe" /spath="%USERPROFILE%\AppData\Local\Temp\OnboardLogs" /stypes="app*4031*20161209*" /stext=" 21:.+((SYSTEM_STATE.+slice.+state.+changed )|(ment ac)|(multiple cpu faults)|(system.+state.+changed )|(\[timeout)|(PRM\|1\|D)|(kpr)|(kdp)|(\|lc)|(penalty))" /e /r /s</v>
      </c>
      <c r="AG95" s="1" t="str">
        <f t="shared" si="38"/>
        <v>EC</v>
      </c>
      <c r="AH95" s="92" t="str">
        <f t="shared" si="39"/>
        <v>"%USERPROFILE%\Documents\GitHub\eaglep3\Utilities\RefineRTDCRunTimes.py" --tripid 181-09 --locoid 4031 --swversion DE.1.0.8.0 --startMP 204:449 --initTime 2016-12-09T13:39:59 --startdatetime 2016-12-09T13:45:45 --delay 2 --endMP 204:233312 --enddatetime 2016-12-09T14:24:52 --enforcementcount 0 &gt;&gt;C:\Users\stu\Documents\GitHub\eaglep3-reporting\EC\2016-12-09-refined-times.txt</v>
      </c>
      <c r="AI95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{"issue":{"subject":"","project_id":79,"tracker_id":40,"status_id":1,"priority_id":2,"assigned_to_id":23,"start_date":"2016-12-09","description":"","custom_fields":[{"id":1,"name":"Subdivision","value":"EC"},{"id":4,"name":"Milepost","value":"23.3312"},{"id":17,"name":"Train ID","value":"181-09"},{"id":16,"name":"Locomotive ID","value":"4031"},{"id":130,"name":"Impact","value":""},{"id":150,"name":"Time of Event (Mountain Time)","value":"14:24:52"},{"id":151,"name":"Denver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91" x14ac:dyDescent="0.25">
      <c r="A96" s="37" t="s">
        <v>503</v>
      </c>
      <c r="B96" s="7">
        <v>4032</v>
      </c>
      <c r="C96" s="22" t="s">
        <v>206</v>
      </c>
      <c r="D96" s="22" t="s">
        <v>376</v>
      </c>
      <c r="E96" s="13">
        <v>42713.603391203702</v>
      </c>
      <c r="F96" s="13">
        <v>42713.61241898148</v>
      </c>
      <c r="G96" s="7">
        <v>1</v>
      </c>
      <c r="H96" s="22" t="s">
        <v>193</v>
      </c>
      <c r="I96" s="13">
        <v>42713.639351851853</v>
      </c>
      <c r="J96" s="7">
        <v>0</v>
      </c>
      <c r="K96" s="109" t="str">
        <f t="shared" si="29"/>
        <v>4031/4032</v>
      </c>
      <c r="L96" s="22" t="str">
        <f>VLOOKUP(A96,'Trips&amp;Operators'!$C$1:$G$99999,5,FALSE)</f>
        <v>ADANE ELSHADAY</v>
      </c>
      <c r="M96" s="6">
        <f t="shared" si="30"/>
        <v>2.6932870372547768E-2</v>
      </c>
      <c r="N96" s="7">
        <f t="shared" si="42"/>
        <v>38.783333336468786</v>
      </c>
      <c r="O96" s="7"/>
      <c r="P96" s="7"/>
      <c r="Q96" s="23"/>
      <c r="R96" s="23"/>
      <c r="S96" s="35">
        <f t="shared" si="43"/>
        <v>1</v>
      </c>
      <c r="T96" s="50" t="str">
        <f t="shared" si="31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13:28:53-700',mode:absolute,to:'2016-12-09 16:20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6" s="52" t="str">
        <f t="shared" si="33"/>
        <v>N</v>
      </c>
      <c r="X96" s="177">
        <f t="shared" si="41"/>
        <v>1</v>
      </c>
      <c r="Y96" s="67">
        <f t="shared" si="45"/>
        <v>23.299099999999999</v>
      </c>
      <c r="Z96" s="67">
        <f t="shared" si="44"/>
        <v>1.43E-2</v>
      </c>
      <c r="AA96" s="67">
        <f t="shared" si="34"/>
        <v>23.284800000000001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5"/>
        <v>0182-09</v>
      </c>
      <c r="AE96" s="91" t="str">
        <f t="shared" si="36"/>
        <v>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 &amp; 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</v>
      </c>
      <c r="AF96" s="88" t="str">
        <f t="shared" si="37"/>
        <v>"C:\Program Files (x86)\AstroGrep\AstroGrep.exe" /spath="%USERPROFILE%\AppData\Local\Temp\OnboardLogs" /stypes="app*4032*20161209*" /stext=" 22:.+((SYSTEM_STATE.+slice.+state.+changed )|(ment ac)|(multiple cpu faults)|(system.+state.+changed )|(\[timeout)|(PRM\|1\|D)|(kpr)|(kdp)|(\|lc)|(penalty))" /e /r /s</v>
      </c>
      <c r="AG96" s="1" t="str">
        <f t="shared" si="38"/>
        <v>EC</v>
      </c>
      <c r="AH96" s="92" t="str">
        <f t="shared" si="39"/>
        <v>"%USERPROFILE%\Documents\GitHub\eaglep3\Utilities\RefineRTDCRunTimes.py" --tripid 182-09 --locoid 4032 --swversion DE.1.0.8.0 --startMP 204:232991 --initTime 2016-12-09T14:28:53 --startdatetime 2016-12-09T14:41:53 --delay 1 --endMP 204:143 --enddatetime 2016-12-09T15:20:40 --enforcementcount 0 &gt;&gt;C:\Users\stu\Documents\GitHub\eaglep3-reporting\EC\2016-12-09-refined-times.txt</v>
      </c>
      <c r="AI96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{"issue":{"subject":"","project_id":79,"tracker_id":40,"status_id":1,"priority_id":2,"assigned_to_id":23,"start_date":"2016-12-09","description":"","custom_fields":[{"id":1,"name":"Subdivision","value":"EC"},{"id":4,"name":"Milepost","value":"0.0143"},{"id":17,"name":"Train ID","value":"182-09"},{"id":16,"name":"Locomotive ID","value":"4032"},{"id":130,"name":"Impact","value":""},{"id":150,"name":"Time of Event (Mountain Time)","value":"15:20:40"},{"id":151,"name":"Denver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x14ac:dyDescent="0.25">
      <c r="A97" s="37" t="s">
        <v>614</v>
      </c>
      <c r="B97" s="7">
        <v>4029</v>
      </c>
      <c r="C97" s="22" t="s">
        <v>206</v>
      </c>
      <c r="D97" s="22" t="s">
        <v>724</v>
      </c>
      <c r="E97" s="13">
        <v>42713.5783912037</v>
      </c>
      <c r="F97" s="13">
        <v>42713.583993055552</v>
      </c>
      <c r="G97" s="7">
        <v>5</v>
      </c>
      <c r="H97" s="22" t="s">
        <v>725</v>
      </c>
      <c r="I97" s="13">
        <v>42713.608182870368</v>
      </c>
      <c r="J97" s="7">
        <v>0</v>
      </c>
      <c r="K97" s="109" t="str">
        <f t="shared" si="29"/>
        <v>4029/4030</v>
      </c>
      <c r="L97" s="22" t="str">
        <f>VLOOKUP(A97,'Trips&amp;Operators'!$C$1:$G$99999,5,FALSE)</f>
        <v>HILLS DUSTIN</v>
      </c>
      <c r="M97" s="6">
        <f t="shared" si="30"/>
        <v>2.4189814816054422E-2</v>
      </c>
      <c r="N97" s="7">
        <f t="shared" si="42"/>
        <v>34.833333335118368</v>
      </c>
      <c r="O97" s="7"/>
      <c r="P97" s="7"/>
      <c r="Q97" s="23"/>
      <c r="R97" s="23"/>
      <c r="S97" s="35">
        <f t="shared" si="43"/>
        <v>1</v>
      </c>
      <c r="T97" s="50" t="str">
        <f t="shared" si="31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12:52:53-700',mode:absolute,to:'2016-12-09 15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7" s="52" t="str">
        <f t="shared" si="33"/>
        <v>N</v>
      </c>
      <c r="X97" s="177">
        <f t="shared" si="41"/>
        <v>1</v>
      </c>
      <c r="Y97" s="67">
        <f t="shared" si="45"/>
        <v>4.02E-2</v>
      </c>
      <c r="Z97" s="67">
        <f t="shared" si="44"/>
        <v>23.3339</v>
      </c>
      <c r="AA97" s="67">
        <f t="shared" si="34"/>
        <v>23.293700000000001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5"/>
        <v>0183-09</v>
      </c>
      <c r="AE97" s="91" t="str">
        <f t="shared" si="36"/>
        <v>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 &amp; aws s3 cp s3://rtdc.mdm.uploadarchive.raw/RTDC4029/ "%USERPROFILE%\AppData\Local\Temp\OnboardLogs"\RTDC4029\2016-12-10 --exclude "*" --recursive --include "*20161210*" &amp; "%USERPROFILE%\Documents\GitHub\mrs-test-scripts\Headless Mode &amp; Sideloading\WalkAndUnGZ.bat" "%USERPROFILE%\AppData\Local\Temp\OnboardLogs"\RTDC4029\2016-12-10</v>
      </c>
      <c r="AF97" s="88" t="str">
        <f t="shared" si="37"/>
        <v>"C:\Program Files (x86)\AstroGrep\AstroGrep.exe" /spath="%USERPROFILE%\AppData\Local\Temp\OnboardLogs" /stypes="app*4029*20161209*" /stext=" 21:.+((SYSTEM_STATE.+slice.+state.+changed )|(ment ac)|(multiple cpu faults)|(system.+state.+changed )|(\[timeout)|(PRM\|1\|D)|(kpr)|(kdp)|(\|lc)|(penalty))" /e /r /s</v>
      </c>
      <c r="AG97" s="1" t="str">
        <f t="shared" si="38"/>
        <v>EC</v>
      </c>
      <c r="AH97" s="92" t="str">
        <f t="shared" si="39"/>
        <v>"%USERPROFILE%\Documents\GitHub\eaglep3\Utilities\RefineRTDCRunTimes.py" --tripid 183-09 --locoid 4029 --swversion DE.1.0.8.0 --startMP 204:402 --initTime 2016-12-09T13:52:53 --startdatetime 2016-12-09T14:00:57 --delay 5 --endMP 204:233339 --enddatetime 2016-12-09T14:35:47 --enforcementcount 0 &gt;&gt;C:\Users\stu\Documents\GitHub\eaglep3-reporting\EC\2016-12-09-refined-times.txt</v>
      </c>
      <c r="AI97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{"issue":{"subject":"","project_id":79,"tracker_id":40,"status_id":1,"priority_id":2,"assigned_to_id":23,"start_date":"2016-12-09","description":"","custom_fields":[{"id":1,"name":"Subdivision","value":"EC"},{"id":4,"name":"Milepost","value":"23.3339"},{"id":17,"name":"Train ID","value":"183-09"},{"id":16,"name":"Locomotive ID","value":"4029"},{"id":130,"name":"Impact","value":""},{"id":150,"name":"Time of Event (Mountain Time)","value":"14:35:47"},{"id":151,"name":"Denver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s="21" customFormat="1" x14ac:dyDescent="0.25">
      <c r="A98" s="37" t="s">
        <v>619</v>
      </c>
      <c r="B98" s="7">
        <v>4030</v>
      </c>
      <c r="C98" s="22" t="s">
        <v>206</v>
      </c>
      <c r="D98" s="22" t="s">
        <v>726</v>
      </c>
      <c r="E98" s="13">
        <v>42713.609965277778</v>
      </c>
      <c r="F98" s="13">
        <v>42713.622418981482</v>
      </c>
      <c r="G98" s="7">
        <v>1</v>
      </c>
      <c r="H98" s="22" t="s">
        <v>208</v>
      </c>
      <c r="I98" s="13">
        <v>42713.650370370371</v>
      </c>
      <c r="J98" s="7">
        <v>0</v>
      </c>
      <c r="K98" s="109" t="str">
        <f t="shared" si="29"/>
        <v>4029/4030</v>
      </c>
      <c r="L98" s="22" t="str">
        <f>VLOOKUP(A98,'Trips&amp;Operators'!$C$1:$G$99999,5,FALSE)</f>
        <v>HILLS DUSTIN</v>
      </c>
      <c r="M98" s="6">
        <f t="shared" si="30"/>
        <v>2.7951388889050577E-2</v>
      </c>
      <c r="N98" s="7">
        <f t="shared" si="42"/>
        <v>40.250000000232831</v>
      </c>
      <c r="O98" s="7"/>
      <c r="P98" s="7"/>
      <c r="Q98" s="23"/>
      <c r="R98" s="23"/>
      <c r="S98" s="35">
        <f t="shared" si="43"/>
        <v>1</v>
      </c>
      <c r="T98" s="50" t="str">
        <f t="shared" si="31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13:38:21-700',mode:absolute,to:'2016-12-09 16:36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8" s="52" t="str">
        <f t="shared" si="33"/>
        <v>N</v>
      </c>
      <c r="X98" s="177">
        <f t="shared" si="41"/>
        <v>1</v>
      </c>
      <c r="Y98" s="67">
        <f t="shared" si="45"/>
        <v>23.303599999999999</v>
      </c>
      <c r="Z98" s="67">
        <f t="shared" si="44"/>
        <v>1.5800000000000002E-2</v>
      </c>
      <c r="AA98" s="67">
        <f t="shared" si="34"/>
        <v>23.287800000000001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5"/>
        <v>0184-09</v>
      </c>
      <c r="AE98" s="91" t="str">
        <f t="shared" si="36"/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AF98" s="88" t="str">
        <f t="shared" si="37"/>
        <v>"C:\Program Files (x86)\AstroGrep\AstroGrep.exe" /spath="%USERPROFILE%\AppData\Local\Temp\OnboardLogs" /stypes="app*4030*20161209*" /stext=" 22:.+((SYSTEM_STATE.+slice.+state.+changed )|(ment ac)|(multiple cpu faults)|(system.+state.+changed )|(\[timeout)|(PRM\|1\|D)|(kpr)|(kdp)|(\|lc)|(penalty))" /e /r /s</v>
      </c>
      <c r="AG98" s="1" t="str">
        <f t="shared" si="38"/>
        <v>EC</v>
      </c>
      <c r="AH98" s="92" t="str">
        <f t="shared" si="39"/>
        <v>"%USERPROFILE%\Documents\GitHub\eaglep3\Utilities\RefineRTDCRunTimes.py" --tripid 184-09 --locoid 4030 --swversion DE.1.0.8.0 --startMP 204:233036 --initTime 2016-12-09T14:38:21 --startdatetime 2016-12-09T14:56:17 --delay 1 --endMP 204:158 --enddatetime 2016-12-09T15:36:32 --enforcementcount 0 &gt;&gt;C:\Users\stu\Documents\GitHub\eaglep3-reporting\EC\2016-12-09-refined-times.txt</v>
      </c>
      <c r="AI98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{"issue":{"subject":"","project_id":79,"tracker_id":40,"status_id":1,"priority_id":2,"assigned_to_id":23,"start_date":"2016-12-09","description":"","custom_fields":[{"id":1,"name":"Subdivision","value":"EC"},{"id":4,"name":"Milepost","value":"0.0158"},{"id":17,"name":"Train ID","value":"184-09"},{"id":16,"name":"Locomotive ID","value":"4030"},{"id":130,"name":"Impact","value":""},{"id":150,"name":"Time of Event (Mountain Time)","value":"15:36:32"},{"id":151,"name":"Denver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501</v>
      </c>
      <c r="B99" s="7">
        <v>4025</v>
      </c>
      <c r="C99" s="22" t="s">
        <v>206</v>
      </c>
      <c r="D99" s="22" t="s">
        <v>338</v>
      </c>
      <c r="E99" s="13">
        <v>42713.588645833333</v>
      </c>
      <c r="F99" s="13">
        <v>42713.594675925924</v>
      </c>
      <c r="G99" s="7">
        <v>1</v>
      </c>
      <c r="H99" s="22" t="s">
        <v>430</v>
      </c>
      <c r="I99" s="13">
        <v>42713.622106481482</v>
      </c>
      <c r="J99" s="7">
        <v>0</v>
      </c>
      <c r="K99" s="109" t="str">
        <f t="shared" si="29"/>
        <v>4025/4026</v>
      </c>
      <c r="L99" s="22" t="str">
        <f>VLOOKUP(A99,'Trips&amp;Operators'!$C$1:$G$99999,5,FALSE)</f>
        <v>LOPES KIMBERLY</v>
      </c>
      <c r="M99" s="6">
        <f t="shared" si="30"/>
        <v>2.7430555557657499E-2</v>
      </c>
      <c r="N99" s="7">
        <f t="shared" si="42"/>
        <v>39.500000003026798</v>
      </c>
      <c r="O99" s="7"/>
      <c r="P99" s="7"/>
      <c r="Q99" s="23"/>
      <c r="R99" s="23"/>
      <c r="S99" s="35">
        <f t="shared" si="43"/>
        <v>1</v>
      </c>
      <c r="T99" s="50" t="str">
        <f t="shared" si="31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13:07:39-700',mode:absolute,to:'2016-12-09 15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9" s="52" t="str">
        <f t="shared" si="33"/>
        <v>N</v>
      </c>
      <c r="X99" s="177">
        <f t="shared" si="41"/>
        <v>1</v>
      </c>
      <c r="Y99" s="67">
        <f t="shared" si="45"/>
        <v>4.4900000000000002E-2</v>
      </c>
      <c r="Z99" s="67">
        <f t="shared" si="44"/>
        <v>23.330400000000001</v>
      </c>
      <c r="AA99" s="67">
        <f t="shared" si="34"/>
        <v>23.285500000000003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5"/>
        <v>0185-09</v>
      </c>
      <c r="AE99" s="91" t="str">
        <f t="shared" si="36"/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AF99" s="88" t="str">
        <f t="shared" si="37"/>
        <v>"C:\Program Files (x86)\AstroGrep\AstroGrep.exe" /spath="%USERPROFILE%\AppData\Local\Temp\OnboardLogs" /stypes="app*4025*20161209*" /stext=" 21:.+((SYSTEM_STATE.+slice.+state.+changed )|(ment ac)|(multiple cpu faults)|(system.+state.+changed )|(\[timeout)|(PRM\|1\|D)|(kpr)|(kdp)|(\|lc)|(penalty))" /e /r /s</v>
      </c>
      <c r="AG99" s="1" t="str">
        <f t="shared" si="38"/>
        <v>EC</v>
      </c>
      <c r="AH99" s="92" t="str">
        <f t="shared" si="39"/>
        <v>"%USERPROFILE%\Documents\GitHub\eaglep3\Utilities\RefineRTDCRunTimes.py" --tripid 185-09 --locoid 4025 --swversion DE.1.0.8.0 --startMP 204:449 --initTime 2016-12-09T14:07:39 --startdatetime 2016-12-09T14:16:20 --delay 1 --endMP 204:233304 --enddatetime 2016-12-09T14:55:50 --enforcementcount 0 &gt;&gt;C:\Users\stu\Documents\GitHub\eaglep3-reporting\EC\2016-12-09-refined-times.txt</v>
      </c>
      <c r="AI99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{"issue":{"subject":"","project_id":79,"tracker_id":40,"status_id":1,"priority_id":2,"assigned_to_id":23,"start_date":"2016-12-09","description":"","custom_fields":[{"id":1,"name":"Subdivision","value":"EC"},{"id":4,"name":"Milepost","value":"23.3304"},{"id":17,"name":"Train ID","value":"185-09"},{"id":16,"name":"Locomotive ID","value":"4025"},{"id":130,"name":"Impact","value":""},{"id":150,"name":"Time of Event (Mountain Time)","value":"14:55:50"},{"id":151,"name":"Denver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622</v>
      </c>
      <c r="B100" s="7">
        <v>4026</v>
      </c>
      <c r="C100" s="22" t="s">
        <v>206</v>
      </c>
      <c r="D100" s="22" t="s">
        <v>335</v>
      </c>
      <c r="E100" s="13">
        <v>42713.624664351853</v>
      </c>
      <c r="F100" s="13">
        <v>42713.6328125</v>
      </c>
      <c r="G100" s="7">
        <v>1</v>
      </c>
      <c r="H100" s="22" t="s">
        <v>441</v>
      </c>
      <c r="I100" s="13">
        <v>42713.660034722219</v>
      </c>
      <c r="J100" s="7">
        <v>0</v>
      </c>
      <c r="K100" s="109" t="str">
        <f t="shared" si="29"/>
        <v>4025/4026</v>
      </c>
      <c r="L100" s="22" t="str">
        <f>VLOOKUP(A100,'Trips&amp;Operators'!$C$1:$G$99999,5,FALSE)</f>
        <v>LOPES KIMBERLY</v>
      </c>
      <c r="M100" s="6">
        <f t="shared" si="30"/>
        <v>2.7222222219279502E-2</v>
      </c>
      <c r="N100" s="7">
        <f t="shared" si="42"/>
        <v>39.199999995762482</v>
      </c>
      <c r="O100" s="7"/>
      <c r="P100" s="7"/>
      <c r="Q100" s="23"/>
      <c r="R100" s="23"/>
      <c r="S100" s="35">
        <f t="shared" si="43"/>
        <v>1</v>
      </c>
      <c r="T100" s="50" t="str">
        <f t="shared" si="31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13:59:31-700',mode:absolute,to:'2016-12-09 16:50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00" s="52" t="str">
        <f t="shared" si="33"/>
        <v>N</v>
      </c>
      <c r="X100" s="177">
        <f t="shared" si="41"/>
        <v>1</v>
      </c>
      <c r="Y100" s="67">
        <f t="shared" si="45"/>
        <v>23.298100000000002</v>
      </c>
      <c r="Z100" s="67">
        <f t="shared" si="44"/>
        <v>1.61E-2</v>
      </c>
      <c r="AA100" s="67">
        <f t="shared" si="34"/>
        <v>23.282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5"/>
        <v>0186-09</v>
      </c>
      <c r="AE100" s="91" t="str">
        <f t="shared" si="36"/>
        <v>aws s3 cp s3://rtdc.mdm.uploadarchive.raw/RTDC4026/ "%USERPROFILE%\AppData\Local\Temp\OnboardLogs"\RTDC4026\2016-12-09 --exclude "*" --recursive --include "*20161209*" &amp; "%USERPROFILE%\Documents\GitHub\mrs-test-scripts\Headless Mode &amp; Sideloading\WalkAndUnGZ.bat" "%USERPROFILE%\AppData\Local\Temp\OnboardLogs"\RTDC4026\2016-12-09 &amp; 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</v>
      </c>
      <c r="AF100" s="88" t="str">
        <f t="shared" si="37"/>
        <v>"C:\Program Files (x86)\AstroGrep\AstroGrep.exe" /spath="%USERPROFILE%\AppData\Local\Temp\OnboardLogs" /stypes="app*4026*20161209*" /stext=" 22:.+((SYSTEM_STATE.+slice.+state.+changed )|(ment ac)|(multiple cpu faults)|(system.+state.+changed )|(\[timeout)|(PRM\|1\|D)|(kpr)|(kdp)|(\|lc)|(penalty))" /e /r /s</v>
      </c>
      <c r="AG100" s="1" t="str">
        <f t="shared" si="38"/>
        <v>EC</v>
      </c>
      <c r="AH100" s="92" t="str">
        <f t="shared" si="39"/>
        <v>"%USERPROFILE%\Documents\GitHub\eaglep3\Utilities\RefineRTDCRunTimes.py" --tripid 186-09 --locoid 4026 --swversion DE.1.0.8.0 --startMP 204:232981 --initTime 2016-12-09T14:59:31 --startdatetime 2016-12-09T15:11:15 --delay 1 --endMP 204:161 --enddatetime 2016-12-09T15:50:27 --enforcementcount 0 &gt;&gt;C:\Users\stu\Documents\GitHub\eaglep3-reporting\EC\2016-12-09-refined-times.txt</v>
      </c>
      <c r="AI100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{"issue":{"subject":"","project_id":79,"tracker_id":40,"status_id":1,"priority_id":2,"assigned_to_id":23,"start_date":"2016-12-09","description":"","custom_fields":[{"id":1,"name":"Subdivision","value":"EC"},{"id":4,"name":"Milepost","value":"0.0161"},{"id":17,"name":"Train ID","value":"186-09"},{"id":16,"name":"Locomotive ID","value":"4026"},{"id":130,"name":"Impact","value":""},{"id":150,"name":"Time of Event (Mountain Time)","value":"15:50:27"},{"id":151,"name":"Denver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617</v>
      </c>
      <c r="B101" s="7">
        <v>4051</v>
      </c>
      <c r="C101" s="22" t="s">
        <v>206</v>
      </c>
      <c r="D101" s="22" t="s">
        <v>718</v>
      </c>
      <c r="E101" s="13">
        <v>42713.600092592591</v>
      </c>
      <c r="F101" s="13">
        <v>42713.604456018518</v>
      </c>
      <c r="G101" s="7">
        <v>2</v>
      </c>
      <c r="H101" s="22" t="s">
        <v>727</v>
      </c>
      <c r="I101" s="13">
        <v>42713.628703703704</v>
      </c>
      <c r="J101" s="7">
        <v>0</v>
      </c>
      <c r="K101" s="109" t="str">
        <f t="shared" si="29"/>
        <v>4051/4052</v>
      </c>
      <c r="L101" s="22" t="str">
        <f>VLOOKUP(A101,'Trips&amp;Operators'!$C$1:$G$99999,5,FALSE)</f>
        <v>STEWART MICHAEL</v>
      </c>
      <c r="M101" s="6">
        <f t="shared" si="30"/>
        <v>2.4247685185400769E-2</v>
      </c>
      <c r="N101" s="7">
        <f t="shared" si="42"/>
        <v>34.916666666977108</v>
      </c>
      <c r="O101" s="7"/>
      <c r="P101" s="7"/>
      <c r="Q101" s="23"/>
      <c r="R101" s="23"/>
      <c r="S101" s="35">
        <f t="shared" si="43"/>
        <v>1</v>
      </c>
      <c r="T101" s="50" t="str">
        <f t="shared" si="31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13:24:08-700',mode:absolute,to:'2016-12-09 16:05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01" s="52" t="str">
        <f t="shared" si="33"/>
        <v>N</v>
      </c>
      <c r="X101" s="177">
        <f t="shared" si="41"/>
        <v>1</v>
      </c>
      <c r="Y101" s="67">
        <f t="shared" si="45"/>
        <v>4.6199999999999998E-2</v>
      </c>
      <c r="Z101" s="67">
        <f t="shared" si="44"/>
        <v>23.328399999999998</v>
      </c>
      <c r="AA101" s="67">
        <f t="shared" si="34"/>
        <v>23.2822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5"/>
        <v>0187-09</v>
      </c>
      <c r="AE101" s="91" t="str">
        <f t="shared" si="36"/>
        <v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v>
      </c>
      <c r="AF101" s="88" t="str">
        <f t="shared" si="37"/>
        <v>"C:\Program Files (x86)\AstroGrep\AstroGrep.exe" /spath="%USERPROFILE%\AppData\Local\Temp\OnboardLogs" /stypes="app*4051*20161209*" /stext=" 22:.+((SYSTEM_STATE.+slice.+state.+changed )|(ment ac)|(multiple cpu faults)|(system.+state.+changed )|(\[timeout)|(PRM\|1\|D)|(kpr)|(kdp)|(\|lc)|(penalty))" /e /r /s</v>
      </c>
      <c r="AG101" s="1" t="str">
        <f t="shared" si="38"/>
        <v>EC</v>
      </c>
      <c r="AH101" s="92" t="str">
        <f t="shared" si="39"/>
        <v>"%USERPROFILE%\Documents\GitHub\eaglep3\Utilities\RefineRTDCRunTimes.py" --tripid 187-09 --locoid 4051 --swversion DE.1.0.8.0 --startMP 204:462 --initTime 2016-12-09T14:24:08 --startdatetime 2016-12-09T14:30:25 --delay 2 --endMP 204:233284 --enddatetime 2016-12-09T15:05:20 --enforcementcount 0 &gt;&gt;C:\Users\stu\Documents\GitHub\eaglep3-reporting\EC\2016-12-09-refined-times.txt</v>
      </c>
      <c r="AI101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{"issue":{"subject":"","project_id":79,"tracker_id":40,"status_id":1,"priority_id":2,"assigned_to_id":23,"start_date":"2016-12-09","description":"","custom_fields":[{"id":1,"name":"Subdivision","value":"EC"},{"id":4,"name":"Milepost","value":"23.3284"},{"id":17,"name":"Train ID","value":"187-09"},{"id":16,"name":"Locomotive ID","value":"4051"},{"id":130,"name":"Impact","value":""},{"id":150,"name":"Time of Event (Mountain Time)","value":"15:05:20"},{"id":151,"name":"Denver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624</v>
      </c>
      <c r="B102" s="7">
        <v>4052</v>
      </c>
      <c r="C102" s="22" t="s">
        <v>206</v>
      </c>
      <c r="D102" s="22" t="s">
        <v>466</v>
      </c>
      <c r="E102" s="13">
        <v>42713.640266203707</v>
      </c>
      <c r="F102" s="13">
        <v>42713.641550925924</v>
      </c>
      <c r="G102" s="7">
        <v>1</v>
      </c>
      <c r="H102" s="22" t="s">
        <v>233</v>
      </c>
      <c r="I102" s="13">
        <v>42713.646736111114</v>
      </c>
      <c r="J102" s="7">
        <v>0</v>
      </c>
      <c r="K102" s="109" t="str">
        <f t="shared" si="29"/>
        <v>4051/4052</v>
      </c>
      <c r="L102" s="22" t="str">
        <f>VLOOKUP(A102,'Trips&amp;Operators'!$C$1:$G$99999,5,FALSE)</f>
        <v>STEWART MICHAEL</v>
      </c>
      <c r="M102" s="6">
        <f t="shared" si="30"/>
        <v>5.1851851894753054E-3</v>
      </c>
      <c r="N102" s="7"/>
      <c r="O102" s="7"/>
      <c r="P102" s="7">
        <f>24*60*SUM($M102:$M102)</f>
        <v>7.4666666728444397</v>
      </c>
      <c r="Q102" s="23"/>
      <c r="R102" s="23" t="s">
        <v>829</v>
      </c>
      <c r="S102" s="35">
        <f t="shared" si="43"/>
        <v>1</v>
      </c>
      <c r="T102" s="50" t="str">
        <f t="shared" si="31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14:21:59-700',mode:absolute,to:'2016-12-09 16:31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02" s="52" t="str">
        <f t="shared" si="33"/>
        <v>N</v>
      </c>
      <c r="X102" s="177">
        <f t="shared" si="41"/>
        <v>1</v>
      </c>
      <c r="Y102" s="67">
        <f t="shared" si="45"/>
        <v>23.298400000000001</v>
      </c>
      <c r="Z102" s="67">
        <f t="shared" si="44"/>
        <v>1.6500000000000001E-2</v>
      </c>
      <c r="AA102" s="67">
        <f t="shared" si="34"/>
        <v>23.2819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5"/>
        <v>0188-09</v>
      </c>
      <c r="AE102" s="91" t="str">
        <f t="shared" si="36"/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AF102" s="88" t="str">
        <f t="shared" si="37"/>
        <v>"C:\Program Files (x86)\AstroGrep\AstroGrep.exe" /spath="%USERPROFILE%\AppData\Local\Temp\OnboardLogs" /stypes="app*4052*20161209*" /stext=" 22:.+((SYSTEM_STATE.+slice.+state.+changed )|(ment ac)|(multiple cpu faults)|(system.+state.+changed )|(\[timeout)|(PRM\|1\|D)|(kpr)|(kdp)|(\|lc)|(penalty))" /e /r /s</v>
      </c>
      <c r="AG102" s="1" t="str">
        <f t="shared" si="38"/>
        <v>EC</v>
      </c>
      <c r="AH102" s="92" t="str">
        <f t="shared" si="39"/>
        <v>"%USERPROFILE%\Documents\GitHub\eaglep3\Utilities\RefineRTDCRunTimes.py" --tripid 188-09 --locoid 4052 --swversion DE.1.0.8.0 --startMP 204:232984 --initTime 2016-12-09T15:21:59 --startdatetime 2016-12-09T15:23:50 --delay 1 --endMP 204:165 --enddatetime 2016-12-09T15:31:18 --enforcementcount 0 &gt;&gt;C:\Users\stu\Documents\GitHub\eaglep3-reporting\EC\2016-12-09-refined-times.txt</v>
      </c>
      <c r="AI102" s="119" t="str">
        <f t="shared" si="40"/>
        <v>echo {"issue":{"subject":"Onboard in-route failure","project_id":79,"tracker_id":40,"status_id":1,"priority_id":2,"assigned_to_id":23,"start_date":"2016-12-09","description":"","custom_fields":[{"id":1,"name":"Subdivision","value":"EC"},{"id":4,"name":"Milepost","value":"0.0165"},{"id":17,"name":"Train ID","value":"188-09"},{"id":16,"name":"Locomotive ID","value":"4052"},{"id":130,"name":"Impact","value":""},{"id":150,"name":"Time of Event (Mountain Time)","value":"15:31:18"},{"id":151,"name":"Denver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620</v>
      </c>
      <c r="B103" s="7">
        <v>4002</v>
      </c>
      <c r="C103" s="22" t="s">
        <v>206</v>
      </c>
      <c r="D103" s="22" t="s">
        <v>268</v>
      </c>
      <c r="E103" s="13">
        <v>42713.611608796295</v>
      </c>
      <c r="F103" s="13">
        <v>42713.614699074074</v>
      </c>
      <c r="G103" s="7">
        <v>1</v>
      </c>
      <c r="H103" s="22" t="s">
        <v>728</v>
      </c>
      <c r="I103" s="13">
        <v>42713.639398148145</v>
      </c>
      <c r="J103" s="7">
        <v>0</v>
      </c>
      <c r="K103" s="109" t="str">
        <f t="shared" si="29"/>
        <v>4001/4002</v>
      </c>
      <c r="L103" s="22" t="str">
        <f>VLOOKUP(A103,'Trips&amp;Operators'!$C$1:$G$99999,5,FALSE)</f>
        <v>BROWN JACOB</v>
      </c>
      <c r="M103" s="6">
        <f t="shared" si="30"/>
        <v>2.4699074070667848E-2</v>
      </c>
      <c r="N103" s="7">
        <f t="shared" ref="N103:N115" si="46">24*60*SUM($M103:$M103)</f>
        <v>35.566666661761701</v>
      </c>
      <c r="O103" s="7"/>
      <c r="P103" s="7"/>
      <c r="Q103" s="23"/>
      <c r="R103" s="23"/>
      <c r="S103" s="35">
        <f t="shared" si="43"/>
        <v>1</v>
      </c>
      <c r="T103" s="50" t="str">
        <f t="shared" si="31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13:40:43-700',mode:absolute,to:'2016-12-09 16:20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03" s="52" t="str">
        <f t="shared" si="33"/>
        <v>N</v>
      </c>
      <c r="X103" s="177">
        <f t="shared" si="41"/>
        <v>1</v>
      </c>
      <c r="Y103" s="67">
        <f t="shared" si="45"/>
        <v>4.3799999999999999E-2</v>
      </c>
      <c r="Z103" s="67">
        <f t="shared" si="44"/>
        <v>23.333600000000001</v>
      </c>
      <c r="AA103" s="67">
        <f t="shared" si="34"/>
        <v>23.2898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5"/>
        <v>0189-09</v>
      </c>
      <c r="AE103" s="91" t="str">
        <f t="shared" si="36"/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AF103" s="88" t="str">
        <f t="shared" si="37"/>
        <v>"C:\Program Files (x86)\AstroGrep\AstroGrep.exe" /spath="%USERPROFILE%\AppData\Local\Temp\OnboardLogs" /stypes="app*4002*20161209*" /stext=" 22:.+((SYSTEM_STATE.+slice.+state.+changed )|(ment ac)|(multiple cpu faults)|(system.+state.+changed )|(\[timeout)|(PRM\|1\|D)|(kpr)|(kdp)|(\|lc)|(penalty))" /e /r /s</v>
      </c>
      <c r="AG103" s="1" t="str">
        <f t="shared" si="38"/>
        <v>EC</v>
      </c>
      <c r="AH103" s="92" t="str">
        <f t="shared" si="39"/>
        <v>"%USERPROFILE%\Documents\GitHub\eaglep3\Utilities\RefineRTDCRunTimes.py" --tripid 189-09 --locoid 4002 --swversion DE.1.0.8.0 --startMP 204:438 --initTime 2016-12-09T14:40:43 --startdatetime 2016-12-09T14:45:10 --delay 1 --endMP 204:233336 --enddatetime 2016-12-09T15:20:44 --enforcementcount 0 &gt;&gt;C:\Users\stu\Documents\GitHub\eaglep3-reporting\EC\2016-12-09-refined-times.txt</v>
      </c>
      <c r="AI103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{"issue":{"subject":"","project_id":79,"tracker_id":40,"status_id":1,"priority_id":2,"assigned_to_id":23,"start_date":"2016-12-09","description":"","custom_fields":[{"id":1,"name":"Subdivision","value":"EC"},{"id":4,"name":"Milepost","value":"23.3336"},{"id":17,"name":"Train ID","value":"189-09"},{"id":16,"name":"Locomotive ID","value":"4002"},{"id":130,"name":"Impact","value":""},{"id":150,"name":"Time of Event (Mountain Time)","value":"15:20:44"},{"id":151,"name":"Denver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506</v>
      </c>
      <c r="B104" s="7">
        <v>4001</v>
      </c>
      <c r="C104" s="22" t="s">
        <v>206</v>
      </c>
      <c r="D104" s="22" t="s">
        <v>433</v>
      </c>
      <c r="E104" s="13">
        <v>42713.651967592596</v>
      </c>
      <c r="F104" s="13">
        <v>42713.653634259259</v>
      </c>
      <c r="G104" s="7">
        <v>1</v>
      </c>
      <c r="H104" s="22" t="s">
        <v>245</v>
      </c>
      <c r="I104" s="13">
        <v>42713.682106481479</v>
      </c>
      <c r="J104" s="7">
        <v>0</v>
      </c>
      <c r="K104" s="109" t="str">
        <f t="shared" si="29"/>
        <v>4001/4002</v>
      </c>
      <c r="L104" s="22" t="str">
        <f>VLOOKUP(A104,'Trips&amp;Operators'!$C$1:$G$99999,5,FALSE)</f>
        <v>BROWN JACOB</v>
      </c>
      <c r="M104" s="6">
        <f t="shared" si="30"/>
        <v>2.8472222220443655E-2</v>
      </c>
      <c r="N104" s="7">
        <f t="shared" si="46"/>
        <v>40.999999997438863</v>
      </c>
      <c r="O104" s="7"/>
      <c r="P104" s="7"/>
      <c r="Q104" s="23"/>
      <c r="R104" s="23"/>
      <c r="S104" s="35">
        <f t="shared" si="43"/>
        <v>1</v>
      </c>
      <c r="T104" s="50" t="str">
        <f t="shared" si="31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14:38:50-700',mode:absolute,to:'2016-12-09 17:22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04" s="52" t="str">
        <f t="shared" si="33"/>
        <v>N</v>
      </c>
      <c r="X104" s="177">
        <f t="shared" si="41"/>
        <v>1</v>
      </c>
      <c r="Y104" s="67">
        <f t="shared" si="45"/>
        <v>23.3017</v>
      </c>
      <c r="Z104" s="67">
        <f t="shared" si="44"/>
        <v>1.4500000000000001E-2</v>
      </c>
      <c r="AA104" s="67">
        <f t="shared" si="34"/>
        <v>23.287199999999999</v>
      </c>
      <c r="AB104" s="64" t="str">
        <f>VLOOKUP(A104,Enforcements!$C$7:$K$20,8,0)</f>
        <v>Speed (6)</v>
      </c>
      <c r="AC104" s="60" t="str">
        <f>VLOOKUP(A104,Enforcements!$C$7:$E$20,3,0)</f>
        <v>PERMANENT SPEED RESTRICTION</v>
      </c>
      <c r="AD104" s="61" t="str">
        <f t="shared" si="35"/>
        <v>0190-09</v>
      </c>
      <c r="AE104" s="91" t="str">
        <f t="shared" si="36"/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AF104" s="88" t="str">
        <f t="shared" si="37"/>
        <v>"C:\Program Files (x86)\AstroGrep\AstroGrep.exe" /spath="%USERPROFILE%\AppData\Local\Temp\OnboardLogs" /stypes="app*4001*20161209*" /stext=" 23:.+((SYSTEM_STATE.+slice.+state.+changed )|(ment ac)|(multiple cpu faults)|(system.+state.+changed )|(\[timeout)|(PRM\|1\|D)|(kpr)|(kdp)|(\|lc)|(penalty))" /e /r /s</v>
      </c>
      <c r="AG104" s="1" t="str">
        <f t="shared" si="38"/>
        <v>EC</v>
      </c>
      <c r="AH104" s="92" t="str">
        <f t="shared" si="39"/>
        <v>"%USERPROFILE%\Documents\GitHub\eaglep3\Utilities\RefineRTDCRunTimes.py" --tripid 190-09 --locoid 4001 --swversion DE.1.0.8.0 --startMP 204:233017 --initTime 2016-12-09T15:38:50 --startdatetime 2016-12-09T15:41:14 --delay 1 --endMP 204:145 --enddatetime 2016-12-09T16:22:14 --enforcementcount 0 &gt;&gt;C:\Users\stu\Documents\GitHub\eaglep3-reporting\EC\2016-12-09-refined-times.txt</v>
      </c>
      <c r="AI104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{"issue":{"subject":"","project_id":79,"tracker_id":40,"status_id":1,"priority_id":2,"assigned_to_id":23,"start_date":"2016-12-09","description":"","custom_fields":[{"id":1,"name":"Subdivision","value":"EC"},{"id":4,"name":"Milepost","value":"0.0145"},{"id":17,"name":"Train ID","value":"190-09"},{"id":16,"name":"Locomotive ID","value":"4001"},{"id":130,"name":"Impact","value":""},{"id":150,"name":"Time of Event (Mountain Time)","value":"16:22:14"},{"id":151,"name":"Denver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s="21" customFormat="1" x14ac:dyDescent="0.25">
      <c r="A105" s="37" t="s">
        <v>621</v>
      </c>
      <c r="B105" s="7">
        <v>4011</v>
      </c>
      <c r="C105" s="22" t="s">
        <v>206</v>
      </c>
      <c r="D105" s="22" t="s">
        <v>236</v>
      </c>
      <c r="E105" s="13">
        <v>42713.621249999997</v>
      </c>
      <c r="F105" s="13">
        <v>42713.625393518516</v>
      </c>
      <c r="G105" s="7">
        <v>2</v>
      </c>
      <c r="H105" s="22" t="s">
        <v>264</v>
      </c>
      <c r="I105" s="13">
        <v>42713.652604166666</v>
      </c>
      <c r="J105" s="7">
        <v>0</v>
      </c>
      <c r="K105" s="109" t="str">
        <f t="shared" si="29"/>
        <v>4011/4012</v>
      </c>
      <c r="L105" s="22" t="str">
        <f>VLOOKUP(A105,'Trips&amp;Operators'!$C$1:$G$99999,5,FALSE)</f>
        <v>BONDS REYNALDO</v>
      </c>
      <c r="M105" s="6">
        <f t="shared" si="30"/>
        <v>2.7210648149775807E-2</v>
      </c>
      <c r="N105" s="7">
        <f t="shared" si="46"/>
        <v>39.183333335677162</v>
      </c>
      <c r="O105" s="7"/>
      <c r="P105" s="7"/>
      <c r="Q105" s="23"/>
      <c r="R105" s="23"/>
      <c r="S105" s="35">
        <f t="shared" si="43"/>
        <v>1</v>
      </c>
      <c r="T105" s="50" t="str">
        <f t="shared" si="31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13:54:36-700',mode:absolute,to:'2016-12-09 16:39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5" s="52" t="str">
        <f t="shared" si="33"/>
        <v>N</v>
      </c>
      <c r="X105" s="177">
        <f t="shared" si="41"/>
        <v>1</v>
      </c>
      <c r="Y105" s="67">
        <f t="shared" si="45"/>
        <v>4.4200000000000003E-2</v>
      </c>
      <c r="Z105" s="67">
        <f t="shared" si="44"/>
        <v>23.329699999999999</v>
      </c>
      <c r="AA105" s="67">
        <f t="shared" si="34"/>
        <v>23.285499999999999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5"/>
        <v>0191-09</v>
      </c>
      <c r="AE105" s="91" t="str">
        <f t="shared" si="36"/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AF105" s="88" t="str">
        <f t="shared" si="37"/>
        <v>"C:\Program Files (x86)\AstroGrep\AstroGrep.exe" /spath="%USERPROFILE%\AppData\Local\Temp\OnboardLogs" /stypes="app*4011*20161209*" /stext=" 22:.+((SYSTEM_STATE.+slice.+state.+changed )|(ment ac)|(multiple cpu faults)|(system.+state.+changed )|(\[timeout)|(PRM\|1\|D)|(kpr)|(kdp)|(\|lc)|(penalty))" /e /r /s</v>
      </c>
      <c r="AG105" s="1" t="str">
        <f t="shared" si="38"/>
        <v>EC</v>
      </c>
      <c r="AH105" s="92" t="str">
        <f t="shared" si="39"/>
        <v>"%USERPROFILE%\Documents\GitHub\eaglep3\Utilities\RefineRTDCRunTimes.py" --tripid 191-09 --locoid 4011 --swversion DE.1.0.8.0 --startMP 204:442 --initTime 2016-12-09T14:54:36 --startdatetime 2016-12-09T15:00:34 --delay 2 --endMP 204:233297 --enddatetime 2016-12-09T15:39:45 --enforcementcount 0 &gt;&gt;C:\Users\stu\Documents\GitHub\eaglep3-reporting\EC\2016-12-09-refined-times.txt</v>
      </c>
      <c r="AI105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{"issue":{"subject":"","project_id":79,"tracker_id":40,"status_id":1,"priority_id":2,"assigned_to_id":23,"start_date":"2016-12-09","description":"","custom_fields":[{"id":1,"name":"Subdivision","value":"EC"},{"id":4,"name":"Milepost","value":"23.3297"},{"id":17,"name":"Train ID","value":"191-09"},{"id":16,"name":"Locomotive ID","value":"4011"},{"id":130,"name":"Impact","value":""},{"id":150,"name":"Time of Event (Mountain Time)","value":"15:39:45"},{"id":151,"name":"Denver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509</v>
      </c>
      <c r="B106" s="7">
        <v>4012</v>
      </c>
      <c r="C106" s="22" t="s">
        <v>206</v>
      </c>
      <c r="D106" s="22" t="s">
        <v>337</v>
      </c>
      <c r="E106" s="13">
        <v>42713.658125000002</v>
      </c>
      <c r="F106" s="13">
        <v>42713.664479166669</v>
      </c>
      <c r="G106" s="7">
        <v>1</v>
      </c>
      <c r="H106" s="22" t="s">
        <v>729</v>
      </c>
      <c r="I106" s="13">
        <v>42713.694618055553</v>
      </c>
      <c r="J106" s="7">
        <v>0</v>
      </c>
      <c r="K106" s="109" t="str">
        <f t="shared" si="29"/>
        <v>4011/4012</v>
      </c>
      <c r="L106" s="22" t="str">
        <f>VLOOKUP(A106,'Trips&amp;Operators'!$C$1:$G$99999,5,FALSE)</f>
        <v>BONDS REYNALDO</v>
      </c>
      <c r="M106" s="6">
        <f t="shared" si="30"/>
        <v>3.0138888883811887E-2</v>
      </c>
      <c r="N106" s="7">
        <f t="shared" si="46"/>
        <v>43.399999992689118</v>
      </c>
      <c r="O106" s="7"/>
      <c r="P106" s="7"/>
      <c r="Q106" s="23"/>
      <c r="R106" s="23"/>
      <c r="S106" s="35">
        <f t="shared" si="43"/>
        <v>1</v>
      </c>
      <c r="T106" s="50" t="str">
        <f t="shared" si="31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14:47:42-700',mode:absolute,to:'2016-12-09 17:40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6" s="52" t="str">
        <f t="shared" si="33"/>
        <v>N</v>
      </c>
      <c r="X106" s="177">
        <f t="shared" si="41"/>
        <v>1</v>
      </c>
      <c r="Y106" s="67">
        <f t="shared" si="45"/>
        <v>23.297499999999999</v>
      </c>
      <c r="Z106" s="67">
        <f t="shared" si="44"/>
        <v>1.83E-2</v>
      </c>
      <c r="AA106" s="67">
        <f t="shared" si="34"/>
        <v>23.279199999999999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5"/>
        <v>0192-09</v>
      </c>
      <c r="AE106" s="91" t="str">
        <f t="shared" si="36"/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AF106" s="88" t="str">
        <f t="shared" si="37"/>
        <v>"C:\Program Files (x86)\AstroGrep\AstroGrep.exe" /spath="%USERPROFILE%\AppData\Local\Temp\OnboardLogs" /stypes="app*4012*20161209*" /stext=" 23:.+((SYSTEM_STATE.+slice.+state.+changed )|(ment ac)|(multiple cpu faults)|(system.+state.+changed )|(\[timeout)|(PRM\|1\|D)|(kpr)|(kdp)|(\|lc)|(penalty))" /e /r /s</v>
      </c>
      <c r="AG106" s="1" t="str">
        <f t="shared" si="38"/>
        <v>EC</v>
      </c>
      <c r="AH106" s="92" t="str">
        <f t="shared" si="39"/>
        <v>"%USERPROFILE%\Documents\GitHub\eaglep3\Utilities\RefineRTDCRunTimes.py" --tripid 192-09 --locoid 4012 --swversion DE.1.0.8.0 --startMP 204:232975 --initTime 2016-12-09T15:47:42 --startdatetime 2016-12-09T15:56:51 --delay 1 --endMP 204:183 --enddatetime 2016-12-09T16:40:15 --enforcementcount 0 &gt;&gt;C:\Users\stu\Documents\GitHub\eaglep3-reporting\EC\2016-12-09-refined-times.txt</v>
      </c>
      <c r="AI106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{"issue":{"subject":"","project_id":79,"tracker_id":40,"status_id":1,"priority_id":2,"assigned_to_id":23,"start_date":"2016-12-09","description":"","custom_fields":[{"id":1,"name":"Subdivision","value":"EC"},{"id":4,"name":"Milepost","value":"0.0183"},{"id":17,"name":"Train ID","value":"192-09"},{"id":16,"name":"Locomotive ID","value":"4012"},{"id":130,"name":"Impact","value":""},{"id":150,"name":"Time of Event (Mountain Time)","value":"16:40:15"},{"id":151,"name":"Denver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505</v>
      </c>
      <c r="B107" s="7">
        <v>4016</v>
      </c>
      <c r="C107" s="22" t="s">
        <v>206</v>
      </c>
      <c r="D107" s="22" t="s">
        <v>240</v>
      </c>
      <c r="E107" s="13">
        <v>42713.631782407407</v>
      </c>
      <c r="F107" s="13">
        <v>42713.635625000003</v>
      </c>
      <c r="G107" s="7">
        <v>1</v>
      </c>
      <c r="H107" s="22" t="s">
        <v>295</v>
      </c>
      <c r="I107" s="13">
        <v>42713.662083333336</v>
      </c>
      <c r="J107" s="7">
        <v>0</v>
      </c>
      <c r="K107" s="109" t="str">
        <f t="shared" si="29"/>
        <v>4015/4016</v>
      </c>
      <c r="L107" s="22" t="str">
        <f>VLOOKUP(A107,'Trips&amp;Operators'!$C$1:$G$99999,5,FALSE)</f>
        <v>MOSES BRADLEY</v>
      </c>
      <c r="M107" s="6">
        <f t="shared" si="30"/>
        <v>2.6458333333721384E-2</v>
      </c>
      <c r="N107" s="7">
        <f t="shared" si="46"/>
        <v>38.100000000558794</v>
      </c>
      <c r="O107" s="7"/>
      <c r="P107" s="7"/>
      <c r="Q107" s="23"/>
      <c r="R107" s="23"/>
      <c r="S107" s="35">
        <f t="shared" si="43"/>
        <v>1</v>
      </c>
      <c r="T107" s="50" t="str">
        <f t="shared" si="31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14:09:46-700',mode:absolute,to:'2016-12-09 16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07" s="52" t="str">
        <f t="shared" si="33"/>
        <v>N</v>
      </c>
      <c r="X107" s="177">
        <f t="shared" si="41"/>
        <v>1</v>
      </c>
      <c r="Y107" s="67">
        <f t="shared" si="45"/>
        <v>4.7100000000000003E-2</v>
      </c>
      <c r="Z107" s="67">
        <f t="shared" si="44"/>
        <v>23.332100000000001</v>
      </c>
      <c r="AA107" s="67">
        <f t="shared" si="34"/>
        <v>23.285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5"/>
        <v>0193-09</v>
      </c>
      <c r="AE107" s="91" t="str">
        <f t="shared" si="36"/>
        <v>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 &amp; 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</v>
      </c>
      <c r="AF107" s="88" t="str">
        <f t="shared" si="37"/>
        <v>"C:\Program Files (x86)\AstroGrep\AstroGrep.exe" /spath="%USERPROFILE%\AppData\Local\Temp\OnboardLogs" /stypes="app*4016*20161209*" /stext=" 22:.+((SYSTEM_STATE.+slice.+state.+changed )|(ment ac)|(multiple cpu faults)|(system.+state.+changed )|(\[timeout)|(PRM\|1\|D)|(kpr)|(kdp)|(\|lc)|(penalty))" /e /r /s</v>
      </c>
      <c r="AG107" s="1" t="str">
        <f t="shared" si="38"/>
        <v>EC</v>
      </c>
      <c r="AH107" s="92" t="str">
        <f t="shared" si="39"/>
        <v>"%USERPROFILE%\Documents\GitHub\eaglep3\Utilities\RefineRTDCRunTimes.py" --tripid 193-09 --locoid 4016 --swversion DE.1.0.8.0 --startMP 204:471 --initTime 2016-12-09T15:09:46 --startdatetime 2016-12-09T15:15:18 --delay 1 --endMP 204:233321 --enddatetime 2016-12-09T15:53:24 --enforcementcount 0 &gt;&gt;C:\Users\stu\Documents\GitHub\eaglep3-reporting\EC\2016-12-09-refined-times.txt</v>
      </c>
      <c r="AI107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{"issue":{"subject":"","project_id":79,"tracker_id":40,"status_id":1,"priority_id":2,"assigned_to_id":23,"start_date":"2016-12-09","description":"","custom_fields":[{"id":1,"name":"Subdivision","value":"EC"},{"id":4,"name":"Milepost","value":"23.3321"},{"id":17,"name":"Train ID","value":"193-09"},{"id":16,"name":"Locomotive ID","value":"4016"},{"id":130,"name":"Impact","value":""},{"id":150,"name":"Time of Event (Mountain Time)","value":"15:53:24"},{"id":151,"name":"Denver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630</v>
      </c>
      <c r="B108" s="7">
        <v>4015</v>
      </c>
      <c r="C108" s="22" t="s">
        <v>206</v>
      </c>
      <c r="D108" s="22" t="s">
        <v>321</v>
      </c>
      <c r="E108" s="13">
        <v>42713.67050925926</v>
      </c>
      <c r="F108" s="13">
        <v>42713.674583333333</v>
      </c>
      <c r="G108" s="7">
        <v>1</v>
      </c>
      <c r="H108" s="22" t="s">
        <v>445</v>
      </c>
      <c r="I108" s="13">
        <v>42713.702766203707</v>
      </c>
      <c r="J108" s="7">
        <v>0</v>
      </c>
      <c r="K108" s="109" t="str">
        <f t="shared" si="29"/>
        <v>4015/4016</v>
      </c>
      <c r="L108" s="22" t="str">
        <f>VLOOKUP(A108,'Trips&amp;Operators'!$C$1:$G$99999,5,FALSE)</f>
        <v>MOSES BRADLEY</v>
      </c>
      <c r="M108" s="6">
        <f t="shared" si="30"/>
        <v>2.8182870373711921E-2</v>
      </c>
      <c r="N108" s="7">
        <f t="shared" si="46"/>
        <v>40.583333338145167</v>
      </c>
      <c r="O108" s="7"/>
      <c r="P108" s="7"/>
      <c r="Q108" s="23"/>
      <c r="R108" s="23"/>
      <c r="S108" s="35">
        <f t="shared" si="43"/>
        <v>1</v>
      </c>
      <c r="T108" s="50" t="str">
        <f t="shared" si="31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15:05:32-700',mode:absolute,to:'2016-12-09 17:51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8" s="52" t="str">
        <f t="shared" si="33"/>
        <v>N</v>
      </c>
      <c r="X108" s="177">
        <f t="shared" si="41"/>
        <v>1</v>
      </c>
      <c r="Y108" s="67">
        <f t="shared" si="45"/>
        <v>23.299800000000001</v>
      </c>
      <c r="Z108" s="67">
        <f t="shared" si="44"/>
        <v>1.6899999999999998E-2</v>
      </c>
      <c r="AA108" s="67">
        <f t="shared" si="34"/>
        <v>23.282900000000001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5"/>
        <v>0194-09</v>
      </c>
      <c r="AE108" s="91" t="str">
        <f t="shared" si="36"/>
        <v>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 &amp; 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</v>
      </c>
      <c r="AF108" s="88" t="str">
        <f t="shared" si="37"/>
        <v>"C:\Program Files (x86)\AstroGrep\AstroGrep.exe" /spath="%USERPROFILE%\AppData\Local\Temp\OnboardLogs" /stypes="app*4015*20161209*" /stext=" 23:.+((SYSTEM_STATE.+slice.+state.+changed )|(ment ac)|(multiple cpu faults)|(system.+state.+changed )|(\[timeout)|(PRM\|1\|D)|(kpr)|(kdp)|(\|lc)|(penalty))" /e /r /s</v>
      </c>
      <c r="AG108" s="1" t="str">
        <f t="shared" si="38"/>
        <v>EC</v>
      </c>
      <c r="AH108" s="92" t="str">
        <f t="shared" si="39"/>
        <v>"%USERPROFILE%\Documents\GitHub\eaglep3\Utilities\RefineRTDCRunTimes.py" --tripid 194-09 --locoid 4015 --swversion DE.1.0.8.0 --startMP 204:232998 --initTime 2016-12-09T16:05:32 --startdatetime 2016-12-09T16:11:24 --delay 1 --endMP 204:169 --enddatetime 2016-12-09T16:51:59 --enforcementcount 0 &gt;&gt;C:\Users\stu\Documents\GitHub\eaglep3-reporting\EC\2016-12-09-refined-times.txt</v>
      </c>
      <c r="AI108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{"issue":{"subject":"","project_id":79,"tracker_id":40,"status_id":1,"priority_id":2,"assigned_to_id":23,"start_date":"2016-12-09","description":"","custom_fields":[{"id":1,"name":"Subdivision","value":"EC"},{"id":4,"name":"Milepost","value":"0.0169"},{"id":17,"name":"Train ID","value":"194-09"},{"id":16,"name":"Locomotive ID","value":"4015"},{"id":130,"name":"Impact","value":""},{"id":150,"name":"Time of Event (Mountain Time)","value":"16:51:59"},{"id":151,"name":"Denver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625</v>
      </c>
      <c r="B109" s="7">
        <v>4031</v>
      </c>
      <c r="C109" s="22" t="s">
        <v>206</v>
      </c>
      <c r="D109" s="22" t="s">
        <v>268</v>
      </c>
      <c r="E109" s="13">
        <v>42713.641053240739</v>
      </c>
      <c r="F109" s="13">
        <v>42713.646666666667</v>
      </c>
      <c r="G109" s="7">
        <v>1</v>
      </c>
      <c r="H109" s="22" t="s">
        <v>716</v>
      </c>
      <c r="I109" s="13">
        <v>42713.670613425929</v>
      </c>
      <c r="J109" s="7">
        <v>0</v>
      </c>
      <c r="K109" s="109" t="str">
        <f t="shared" si="29"/>
        <v>4031/4032</v>
      </c>
      <c r="L109" s="22" t="str">
        <f>VLOOKUP(A109,'Trips&amp;Operators'!$C$1:$G$99999,5,FALSE)</f>
        <v>ADANE ELSHADAY</v>
      </c>
      <c r="M109" s="6">
        <f t="shared" si="30"/>
        <v>2.3946759261889383E-2</v>
      </c>
      <c r="N109" s="7">
        <f t="shared" si="46"/>
        <v>34.483333337120712</v>
      </c>
      <c r="O109" s="7"/>
      <c r="P109" s="7"/>
      <c r="Q109" s="23"/>
      <c r="R109" s="23"/>
      <c r="S109" s="35">
        <f t="shared" si="43"/>
        <v>1</v>
      </c>
      <c r="T109" s="50" t="str">
        <f t="shared" si="31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14:23:07-700',mode:absolute,to:'2016-12-09 17:05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9" s="52" t="str">
        <f t="shared" si="33"/>
        <v>N</v>
      </c>
      <c r="X109" s="177">
        <f t="shared" si="41"/>
        <v>1</v>
      </c>
      <c r="Y109" s="67">
        <f t="shared" si="45"/>
        <v>4.3799999999999999E-2</v>
      </c>
      <c r="Z109" s="67">
        <f t="shared" si="44"/>
        <v>23.329899999999999</v>
      </c>
      <c r="AA109" s="67">
        <f t="shared" si="34"/>
        <v>23.286099999999998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5"/>
        <v>0195-09</v>
      </c>
      <c r="AE109" s="91" t="str">
        <f t="shared" si="36"/>
        <v>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 &amp; 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</v>
      </c>
      <c r="AF109" s="88" t="str">
        <f t="shared" si="37"/>
        <v>"C:\Program Files (x86)\AstroGrep\AstroGrep.exe" /spath="%USERPROFILE%\AppData\Local\Temp\OnboardLogs" /stypes="app*4031*20161209*" /stext=" 23:.+((SYSTEM_STATE.+slice.+state.+changed )|(ment ac)|(multiple cpu faults)|(system.+state.+changed )|(\[timeout)|(PRM\|1\|D)|(kpr)|(kdp)|(\|lc)|(penalty))" /e /r /s</v>
      </c>
      <c r="AG109" s="1" t="str">
        <f t="shared" si="38"/>
        <v>EC</v>
      </c>
      <c r="AH109" s="92" t="str">
        <f t="shared" si="39"/>
        <v>"%USERPROFILE%\Documents\GitHub\eaglep3\Utilities\RefineRTDCRunTimes.py" --tripid 195-09 --locoid 4031 --swversion DE.1.0.8.0 --startMP 204:438 --initTime 2016-12-09T15:23:07 --startdatetime 2016-12-09T15:31:12 --delay 1 --endMP 204:233299 --enddatetime 2016-12-09T16:05:41 --enforcementcount 0 &gt;&gt;C:\Users\stu\Documents\GitHub\eaglep3-reporting\EC\2016-12-09-refined-times.txt</v>
      </c>
      <c r="AI109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{"issue":{"subject":"","project_id":79,"tracker_id":40,"status_id":1,"priority_id":2,"assigned_to_id":23,"start_date":"2016-12-09","description":"","custom_fields":[{"id":1,"name":"Subdivision","value":"EC"},{"id":4,"name":"Milepost","value":"23.3299"},{"id":17,"name":"Train ID","value":"195-09"},{"id":16,"name":"Locomotive ID","value":"4031"},{"id":130,"name":"Impact","value":""},{"id":150,"name":"Time of Event (Mountain Time)","value":"16:05:41"},{"id":151,"name":"Denver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510</v>
      </c>
      <c r="B110" s="7">
        <v>4032</v>
      </c>
      <c r="C110" s="22" t="s">
        <v>206</v>
      </c>
      <c r="D110" s="22" t="s">
        <v>446</v>
      </c>
      <c r="E110" s="13">
        <v>42713.671944444446</v>
      </c>
      <c r="F110" s="13">
        <v>42713.685370370367</v>
      </c>
      <c r="G110" s="7">
        <v>1</v>
      </c>
      <c r="H110" s="22" t="s">
        <v>245</v>
      </c>
      <c r="I110" s="13">
        <v>42713.71298611111</v>
      </c>
      <c r="J110" s="7">
        <v>0</v>
      </c>
      <c r="K110" s="109" t="str">
        <f t="shared" si="29"/>
        <v>4031/4032</v>
      </c>
      <c r="L110" s="22" t="str">
        <f>VLOOKUP(A110,'Trips&amp;Operators'!$C$1:$G$99999,5,FALSE)</f>
        <v>ADANE ELSHADAY</v>
      </c>
      <c r="M110" s="6">
        <f t="shared" si="30"/>
        <v>2.7615740742476191E-2</v>
      </c>
      <c r="N110" s="7">
        <f t="shared" si="46"/>
        <v>39.766666669165716</v>
      </c>
      <c r="O110" s="7"/>
      <c r="P110" s="7"/>
      <c r="Q110" s="23"/>
      <c r="R110" s="23"/>
      <c r="S110" s="35">
        <f t="shared" si="43"/>
        <v>1</v>
      </c>
      <c r="T110" s="50" t="str">
        <f t="shared" si="31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15:07:36-700',mode:absolute,to:'2016-12-09 18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0" s="52" t="str">
        <f t="shared" si="33"/>
        <v>N</v>
      </c>
      <c r="X110" s="177">
        <f t="shared" si="41"/>
        <v>1</v>
      </c>
      <c r="Y110" s="67">
        <f t="shared" si="45"/>
        <v>23.298200000000001</v>
      </c>
      <c r="Z110" s="67">
        <f t="shared" si="44"/>
        <v>1.4500000000000001E-2</v>
      </c>
      <c r="AA110" s="67">
        <f t="shared" si="34"/>
        <v>23.2837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5"/>
        <v>0196-09</v>
      </c>
      <c r="AE110" s="91" t="str">
        <f t="shared" si="36"/>
        <v>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 &amp; 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</v>
      </c>
      <c r="AF110" s="88" t="str">
        <f t="shared" si="37"/>
        <v>"C:\Program Files (x86)\AstroGrep\AstroGrep.exe" /spath="%USERPROFILE%\AppData\Local\Temp\OnboardLogs" /stypes="app*4032*20161210*" /stext=" 00:.+((SYSTEM_STATE.+slice.+state.+changed )|(ment ac)|(multiple cpu faults)|(system.+state.+changed )|(\[timeout)|(PRM\|1\|D)|(kpr)|(kdp)|(\|lc)|(penalty))" /e /r /s</v>
      </c>
      <c r="AG110" s="1" t="str">
        <f t="shared" si="38"/>
        <v>EC</v>
      </c>
      <c r="AH110" s="92" t="str">
        <f t="shared" si="39"/>
        <v>"%USERPROFILE%\Documents\GitHub\eaglep3\Utilities\RefineRTDCRunTimes.py" --tripid 196-09 --locoid 4032 --swversion DE.1.0.8.0 --startMP 204:232982 --initTime 2016-12-09T16:07:36 --startdatetime 2016-12-09T16:26:56 --delay 1 --endMP 204:145 --enddatetime 2016-12-09T17:06:42 --enforcementcount 0 &gt;&gt;C:\Users\stu\Documents\GitHub\eaglep3-reporting\EC\2016-12-09-refined-times.txt</v>
      </c>
      <c r="AI110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{"issue":{"subject":"","project_id":79,"tracker_id":40,"status_id":1,"priority_id":2,"assigned_to_id":23,"start_date":"2016-12-09","description":"","custom_fields":[{"id":1,"name":"Subdivision","value":"EC"},{"id":4,"name":"Milepost","value":"0.0145"},{"id":17,"name":"Train ID","value":"196-09"},{"id":16,"name":"Locomotive ID","value":"4032"},{"id":130,"name":"Impact","value":""},{"id":150,"name":"Time of Event (Mountain Time)","value":"17:06:42"},{"id":151,"name":"Denver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627</v>
      </c>
      <c r="B111" s="7">
        <v>4029</v>
      </c>
      <c r="C111" s="22" t="s">
        <v>206</v>
      </c>
      <c r="D111" s="22" t="s">
        <v>294</v>
      </c>
      <c r="E111" s="13">
        <v>42713.65221064815</v>
      </c>
      <c r="F111" s="13">
        <v>42713.656435185185</v>
      </c>
      <c r="G111" s="7">
        <v>2</v>
      </c>
      <c r="H111" s="22" t="s">
        <v>382</v>
      </c>
      <c r="I111" s="13">
        <v>42713.681805555556</v>
      </c>
      <c r="J111" s="7">
        <v>0</v>
      </c>
      <c r="K111" s="109" t="str">
        <f t="shared" si="29"/>
        <v>4029/4030</v>
      </c>
      <c r="L111" s="22" t="str">
        <f>VLOOKUP(A111,'Trips&amp;Operators'!$C$1:$G$99999,5,FALSE)</f>
        <v>SHOOK JOHN</v>
      </c>
      <c r="M111" s="6">
        <f t="shared" si="30"/>
        <v>2.5370370371092577E-2</v>
      </c>
      <c r="N111" s="7">
        <f t="shared" si="46"/>
        <v>36.53333333437331</v>
      </c>
      <c r="O111" s="7"/>
      <c r="P111" s="7"/>
      <c r="Q111" s="23"/>
      <c r="R111" s="23"/>
      <c r="S111" s="35">
        <f t="shared" si="43"/>
        <v>1</v>
      </c>
      <c r="T111" s="50" t="str">
        <f t="shared" si="31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14:39:11-700',mode:absolute,to:'2016-12-09 17:21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11" s="52" t="str">
        <f t="shared" si="33"/>
        <v>N</v>
      </c>
      <c r="X111" s="177">
        <f t="shared" si="41"/>
        <v>1</v>
      </c>
      <c r="Y111" s="67">
        <f t="shared" si="45"/>
        <v>4.6399999999999997E-2</v>
      </c>
      <c r="Z111" s="67">
        <f t="shared" si="44"/>
        <v>23.3308</v>
      </c>
      <c r="AA111" s="67">
        <f t="shared" si="34"/>
        <v>23.284400000000002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5"/>
        <v>0197-09</v>
      </c>
      <c r="AE111" s="91" t="str">
        <f t="shared" si="36"/>
        <v>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 &amp; aws s3 cp s3://rtdc.mdm.uploadarchive.raw/RTDC4029/ "%USERPROFILE%\AppData\Local\Temp\OnboardLogs"\RTDC4029\2016-12-10 --exclude "*" --recursive --include "*20161210*" &amp; "%USERPROFILE%\Documents\GitHub\mrs-test-scripts\Headless Mode &amp; Sideloading\WalkAndUnGZ.bat" "%USERPROFILE%\AppData\Local\Temp\OnboardLogs"\RTDC4029\2016-12-10</v>
      </c>
      <c r="AF111" s="88" t="str">
        <f t="shared" si="37"/>
        <v>"C:\Program Files (x86)\AstroGrep\AstroGrep.exe" /spath="%USERPROFILE%\AppData\Local\Temp\OnboardLogs" /stypes="app*4029*20161209*" /stext=" 23:.+((SYSTEM_STATE.+slice.+state.+changed )|(ment ac)|(multiple cpu faults)|(system.+state.+changed )|(\[timeout)|(PRM\|1\|D)|(kpr)|(kdp)|(\|lc)|(penalty))" /e /r /s</v>
      </c>
      <c r="AG111" s="1" t="str">
        <f t="shared" si="38"/>
        <v>EC</v>
      </c>
      <c r="AH111" s="92" t="str">
        <f t="shared" si="39"/>
        <v>"%USERPROFILE%\Documents\GitHub\eaglep3\Utilities\RefineRTDCRunTimes.py" --tripid 197-09 --locoid 4029 --swversion DE.1.0.8.0 --startMP 204:464 --initTime 2016-12-09T15:39:11 --startdatetime 2016-12-09T15:45:16 --delay 2 --endMP 204:233308 --enddatetime 2016-12-09T16:21:48 --enforcementcount 0 &gt;&gt;C:\Users\stu\Documents\GitHub\eaglep3-reporting\EC\2016-12-09-refined-times.txt</v>
      </c>
      <c r="AI111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{"issue":{"subject":"","project_id":79,"tracker_id":40,"status_id":1,"priority_id":2,"assigned_to_id":23,"start_date":"2016-12-09","description":"","custom_fields":[{"id":1,"name":"Subdivision","value":"EC"},{"id":4,"name":"Milepost","value":"23.3308"},{"id":17,"name":"Train ID","value":"197-09"},{"id":16,"name":"Locomotive ID","value":"4029"},{"id":130,"name":"Impact","value":""},{"id":150,"name":"Time of Event (Mountain Time)","value":"16:21:48"},{"id":151,"name":"Denver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511</v>
      </c>
      <c r="B112" s="7">
        <v>4030</v>
      </c>
      <c r="C112" s="22" t="s">
        <v>206</v>
      </c>
      <c r="D112" s="22" t="s">
        <v>465</v>
      </c>
      <c r="E112" s="13">
        <v>42713.68949074074</v>
      </c>
      <c r="F112" s="13">
        <v>42713.6953587963</v>
      </c>
      <c r="G112" s="7">
        <v>1</v>
      </c>
      <c r="H112" s="22" t="s">
        <v>293</v>
      </c>
      <c r="I112" s="13">
        <v>42713.72451388889</v>
      </c>
      <c r="J112" s="7">
        <v>0</v>
      </c>
      <c r="K112" s="109" t="str">
        <f t="shared" si="29"/>
        <v>4029/4030</v>
      </c>
      <c r="L112" s="22" t="str">
        <f>VLOOKUP(A112,'Trips&amp;Operators'!$C$1:$G$99999,5,FALSE)</f>
        <v>SHOOK JOHN</v>
      </c>
      <c r="M112" s="6">
        <f t="shared" si="30"/>
        <v>2.9155092590372078E-2</v>
      </c>
      <c r="N112" s="7">
        <f t="shared" si="46"/>
        <v>41.983333330135792</v>
      </c>
      <c r="O112" s="7"/>
      <c r="P112" s="7"/>
      <c r="Q112" s="23"/>
      <c r="R112" s="23"/>
      <c r="S112" s="35">
        <f t="shared" si="43"/>
        <v>1</v>
      </c>
      <c r="T112" s="50" t="str">
        <f t="shared" si="31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15:32:52-700',mode:absolute,to:'2016-12-09 18:23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12" s="52" t="str">
        <f t="shared" si="33"/>
        <v>N</v>
      </c>
      <c r="X112" s="177">
        <f t="shared" si="41"/>
        <v>1</v>
      </c>
      <c r="Y112" s="67">
        <f t="shared" si="45"/>
        <v>23.2987</v>
      </c>
      <c r="Z112" s="67">
        <f t="shared" si="44"/>
        <v>1.52E-2</v>
      </c>
      <c r="AA112" s="67">
        <f t="shared" si="34"/>
        <v>23.2835</v>
      </c>
      <c r="AB112" s="64" t="str">
        <f>VLOOKUP(A112,Enforcements!$C$7:$K$20,8,0)</f>
        <v>Bulletin (2)</v>
      </c>
      <c r="AC112" s="60" t="str">
        <f>VLOOKUP(A112,Enforcements!$C$7:$E$20,3,0)</f>
        <v>GRADE CROSSING</v>
      </c>
      <c r="AD112" s="61" t="str">
        <f t="shared" si="35"/>
        <v>0198-09</v>
      </c>
      <c r="AE112" s="91" t="str">
        <f t="shared" si="36"/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AF112" s="88" t="str">
        <f t="shared" si="37"/>
        <v>"C:\Program Files (x86)\AstroGrep\AstroGrep.exe" /spath="%USERPROFILE%\AppData\Local\Temp\OnboardLogs" /stypes="app*4030*20161210*" /stext=" 00:.+((SYSTEM_STATE.+slice.+state.+changed )|(ment ac)|(multiple cpu faults)|(system.+state.+changed )|(\[timeout)|(PRM\|1\|D)|(kpr)|(kdp)|(\|lc)|(penalty))" /e /r /s</v>
      </c>
      <c r="AG112" s="1" t="str">
        <f t="shared" si="38"/>
        <v>EC</v>
      </c>
      <c r="AH112" s="92" t="str">
        <f t="shared" si="39"/>
        <v>"%USERPROFILE%\Documents\GitHub\eaglep3\Utilities\RefineRTDCRunTimes.py" --tripid 198-09 --locoid 4030 --swversion DE.1.0.8.0 --startMP 204:232987 --initTime 2016-12-09T16:32:52 --startdatetime 2016-12-09T16:41:19 --delay 1 --endMP 204:152 --enddatetime 2016-12-09T17:23:18 --enforcementcount 0 &gt;&gt;C:\Users\stu\Documents\GitHub\eaglep3-reporting\EC\2016-12-09-refined-times.txt</v>
      </c>
      <c r="AI112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{"issue":{"subject":"","project_id":79,"tracker_id":40,"status_id":1,"priority_id":2,"assigned_to_id":23,"start_date":"2016-12-09","description":"","custom_fields":[{"id":1,"name":"Subdivision","value":"EC"},{"id":4,"name":"Milepost","value":"0.0152"},{"id":17,"name":"Train ID","value":"198-09"},{"id":16,"name":"Locomotive ID","value":"4030"},{"id":130,"name":"Impact","value":""},{"id":150,"name":"Time of Event (Mountain Time)","value":"17:23:18"},{"id":151,"name":"Denver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628</v>
      </c>
      <c r="B113" s="7">
        <v>4025</v>
      </c>
      <c r="C113" s="22" t="s">
        <v>206</v>
      </c>
      <c r="D113" s="22" t="s">
        <v>286</v>
      </c>
      <c r="E113" s="13">
        <v>42713.661354166667</v>
      </c>
      <c r="F113" s="13">
        <v>42713.667384259257</v>
      </c>
      <c r="G113" s="7">
        <v>1</v>
      </c>
      <c r="H113" s="22" t="s">
        <v>264</v>
      </c>
      <c r="I113" s="13">
        <v>42713.691840277781</v>
      </c>
      <c r="J113" s="7">
        <v>0</v>
      </c>
      <c r="K113" s="109" t="str">
        <f t="shared" si="29"/>
        <v>4025/4026</v>
      </c>
      <c r="L113" s="22" t="str">
        <f>VLOOKUP(A113,'Trips&amp;Operators'!$C$1:$G$99999,5,FALSE)</f>
        <v>LOPES KIMBERLY</v>
      </c>
      <c r="M113" s="6">
        <f t="shared" si="30"/>
        <v>2.4456018523778766E-2</v>
      </c>
      <c r="N113" s="7">
        <f t="shared" si="46"/>
        <v>35.216666674241424</v>
      </c>
      <c r="O113" s="7"/>
      <c r="P113" s="7"/>
      <c r="Q113" s="23"/>
      <c r="R113" s="23"/>
      <c r="S113" s="35">
        <f t="shared" si="43"/>
        <v>1</v>
      </c>
      <c r="T113" s="50" t="str">
        <f t="shared" si="31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14:52:21-700',mode:absolute,to:'2016-12-09 17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3" s="52" t="str">
        <f t="shared" si="33"/>
        <v>N</v>
      </c>
      <c r="X113" s="177">
        <f t="shared" si="41"/>
        <v>1</v>
      </c>
      <c r="Y113" s="67">
        <f t="shared" si="45"/>
        <v>4.6899999999999997E-2</v>
      </c>
      <c r="Z113" s="67">
        <f t="shared" si="44"/>
        <v>23.329699999999999</v>
      </c>
      <c r="AA113" s="67">
        <f t="shared" si="34"/>
        <v>23.282799999999998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5"/>
        <v>0199-09</v>
      </c>
      <c r="AE113" s="91" t="str">
        <f t="shared" si="36"/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AF113" s="88" t="str">
        <f t="shared" si="37"/>
        <v>"C:\Program Files (x86)\AstroGrep\AstroGrep.exe" /spath="%USERPROFILE%\AppData\Local\Temp\OnboardLogs" /stypes="app*4025*20161209*" /stext=" 23:.+((SYSTEM_STATE.+slice.+state.+changed )|(ment ac)|(multiple cpu faults)|(system.+state.+changed )|(\[timeout)|(PRM\|1\|D)|(kpr)|(kdp)|(\|lc)|(penalty))" /e /r /s</v>
      </c>
      <c r="AG113" s="1" t="str">
        <f t="shared" si="38"/>
        <v>EC</v>
      </c>
      <c r="AH113" s="92" t="str">
        <f t="shared" si="39"/>
        <v>"%USERPROFILE%\Documents\GitHub\eaglep3\Utilities\RefineRTDCRunTimes.py" --tripid 199-09 --locoid 4025 --swversion DE.1.0.8.0 --startMP 204:469 --initTime 2016-12-09T15:52:21 --startdatetime 2016-12-09T16:01:02 --delay 1 --endMP 204:233297 --enddatetime 2016-12-09T16:36:15 --enforcementcount 0 &gt;&gt;C:\Users\stu\Documents\GitHub\eaglep3-reporting\EC\2016-12-09-refined-times.txt</v>
      </c>
      <c r="AI113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{"issue":{"subject":"","project_id":79,"tracker_id":40,"status_id":1,"priority_id":2,"assigned_to_id":23,"start_date":"2016-12-09","description":"","custom_fields":[{"id":1,"name":"Subdivision","value":"EC"},{"id":4,"name":"Milepost","value":"23.3297"},{"id":17,"name":"Train ID","value":"199-09"},{"id":16,"name":"Locomotive ID","value":"4025"},{"id":130,"name":"Impact","value":""},{"id":150,"name":"Time of Event (Mountain Time)","value":"16:36:15"},{"id":151,"name":"Denver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636</v>
      </c>
      <c r="B114" s="7">
        <v>4026</v>
      </c>
      <c r="C114" s="22" t="s">
        <v>206</v>
      </c>
      <c r="D114" s="22" t="s">
        <v>722</v>
      </c>
      <c r="E114" s="13">
        <v>42713.696412037039</v>
      </c>
      <c r="F114" s="13">
        <v>42713.705729166664</v>
      </c>
      <c r="G114" s="7">
        <v>1</v>
      </c>
      <c r="H114" s="22" t="s">
        <v>213</v>
      </c>
      <c r="I114" s="13">
        <v>42713.747812499998</v>
      </c>
      <c r="J114" s="7">
        <v>0</v>
      </c>
      <c r="K114" s="109" t="str">
        <f t="shared" si="29"/>
        <v>4025/4026</v>
      </c>
      <c r="L114" s="22" t="str">
        <f>VLOOKUP(A114,'Trips&amp;Operators'!$C$1:$G$99999,5,FALSE)</f>
        <v>LOPES KIMBERLY</v>
      </c>
      <c r="M114" s="6">
        <f t="shared" si="30"/>
        <v>4.2083333333721384E-2</v>
      </c>
      <c r="N114" s="7">
        <f t="shared" si="46"/>
        <v>60.600000000558794</v>
      </c>
      <c r="O114" s="7"/>
      <c r="P114" s="7"/>
      <c r="Q114" s="23"/>
      <c r="R114" s="23" t="s">
        <v>831</v>
      </c>
      <c r="S114" s="35">
        <f t="shared" si="43"/>
        <v>1</v>
      </c>
      <c r="T114" s="50" t="str">
        <f t="shared" si="31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15:42:50-700',mode:absolute,to:'2016-12-09 18:56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4" s="52" t="str">
        <f t="shared" si="33"/>
        <v>N</v>
      </c>
      <c r="X114" s="177">
        <f t="shared" ref="X114:X145" si="47">VALUE(LEFT(AD114,4))-VALUE(LEFT(AD113,4))</f>
        <v>1</v>
      </c>
      <c r="Y114" s="67">
        <f t="shared" si="45"/>
        <v>23.296900000000001</v>
      </c>
      <c r="Z114" s="67">
        <f t="shared" si="44"/>
        <v>1.4999999999999999E-2</v>
      </c>
      <c r="AA114" s="67">
        <f t="shared" si="34"/>
        <v>23.2819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5"/>
        <v>0200-09</v>
      </c>
      <c r="AE114" s="91" t="str">
        <f t="shared" si="36"/>
        <v>aws s3 cp s3://rtdc.mdm.uploadarchive.raw/RTDC4026/ "%USERPROFILE%\AppData\Local\Temp\OnboardLogs"\RTDC4026\2016-12-09 --exclude "*" --recursive --include "*20161209*" &amp; "%USERPROFILE%\Documents\GitHub\mrs-test-scripts\Headless Mode &amp; Sideloading\WalkAndUnGZ.bat" "%USERPROFILE%\AppData\Local\Temp\OnboardLogs"\RTDC4026\2016-12-09 &amp; 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</v>
      </c>
      <c r="AF114" s="88" t="str">
        <f t="shared" si="37"/>
        <v>"C:\Program Files (x86)\AstroGrep\AstroGrep.exe" /spath="%USERPROFILE%\AppData\Local\Temp\OnboardLogs" /stypes="app*4026*20161210*" /stext=" 00:.+((SYSTEM_STATE.+slice.+state.+changed )|(ment ac)|(multiple cpu faults)|(system.+state.+changed )|(\[timeout)|(PRM\|1\|D)|(kpr)|(kdp)|(\|lc)|(penalty))" /e /r /s</v>
      </c>
      <c r="AG114" s="1" t="str">
        <f t="shared" si="38"/>
        <v>EC</v>
      </c>
      <c r="AH114" s="92" t="str">
        <f t="shared" si="39"/>
        <v>"%USERPROFILE%\Documents\GitHub\eaglep3\Utilities\RefineRTDCRunTimes.py" --tripid 200-09 --locoid 4026 --swversion DE.1.0.8.0 --startMP 204:232969 --initTime 2016-12-09T16:42:50 --startdatetime 2016-12-09T16:56:15 --delay 1 --endMP 204:150 --enddatetime 2016-12-09T17:56:51 --enforcementcount 0 &gt;&gt;C:\Users\stu\Documents\GitHub\eaglep3-reporting\EC\2016-12-09-refined-times.txt</v>
      </c>
      <c r="AI114" s="119" t="str">
        <f t="shared" si="40"/>
        <v>echo {"issue":{"subject":"Delayed at Sable (signal system failure)","project_id":79,"tracker_id":40,"status_id":1,"priority_id":2,"assigned_to_id":23,"start_date":"2016-12-09","description":"","custom_fields":[{"id":1,"name":"Subdivision","value":"EC"},{"id":4,"name":"Milepost","value":"0.015"},{"id":17,"name":"Train ID","value":"200-09"},{"id":16,"name":"Locomotive ID","value":"4026"},{"id":130,"name":"Impact","value":""},{"id":150,"name":"Time of Event (Mountain Time)","value":"17:56:51"},{"id":151,"name":"Denver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629</v>
      </c>
      <c r="B115" s="7">
        <v>4022</v>
      </c>
      <c r="C115" s="22" t="s">
        <v>206</v>
      </c>
      <c r="D115" s="22" t="s">
        <v>718</v>
      </c>
      <c r="E115" s="13">
        <v>42713.668645833335</v>
      </c>
      <c r="F115" s="13">
        <v>42713.677766203706</v>
      </c>
      <c r="G115" s="7">
        <v>1</v>
      </c>
      <c r="H115" s="22" t="s">
        <v>443</v>
      </c>
      <c r="I115" s="13">
        <v>42713.703576388885</v>
      </c>
      <c r="J115" s="7">
        <v>0</v>
      </c>
      <c r="K115" s="109" t="str">
        <f t="shared" si="29"/>
        <v>4021/4022</v>
      </c>
      <c r="L115" s="22" t="str">
        <f>VLOOKUP(A115,'Trips&amp;Operators'!$C$1:$G$99999,5,FALSE)</f>
        <v>SMITH MICHAEL</v>
      </c>
      <c r="M115" s="6">
        <f t="shared" si="30"/>
        <v>2.5810185179580003E-2</v>
      </c>
      <c r="N115" s="7">
        <f t="shared" si="46"/>
        <v>37.166666658595204</v>
      </c>
      <c r="O115" s="7"/>
      <c r="P115" s="7"/>
      <c r="Q115" s="23"/>
      <c r="R115" s="23"/>
      <c r="S115" s="35">
        <f t="shared" si="43"/>
        <v>1</v>
      </c>
      <c r="T115" s="50" t="str">
        <f t="shared" si="31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15:02:51-700',mode:absolute,to:'2016-12-09 17:53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15" s="52" t="str">
        <f t="shared" si="33"/>
        <v>N</v>
      </c>
      <c r="X115" s="177">
        <f t="shared" si="47"/>
        <v>1</v>
      </c>
      <c r="Y115" s="67">
        <f t="shared" si="45"/>
        <v>4.6199999999999998E-2</v>
      </c>
      <c r="Z115" s="67">
        <f t="shared" si="44"/>
        <v>23.329499999999999</v>
      </c>
      <c r="AA115" s="67">
        <f t="shared" si="34"/>
        <v>23.283300000000001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5"/>
        <v>0201-09</v>
      </c>
      <c r="AE115" s="91" t="str">
        <f t="shared" si="36"/>
        <v>aws s3 cp s3://rtdc.mdm.uploadarchive.raw/RTDC4022/ "%USERPROFILE%\AppData\Local\Temp\OnboardLogs"\RTDC4022\2016-12-09 --exclude "*" --recursive --include "*20161209*" &amp; "%USERPROFILE%\Documents\GitHub\mrs-test-scripts\Headless Mode &amp; Sideloading\WalkAndUnGZ.bat" "%USERPROFILE%\AppData\Local\Temp\OnboardLogs"\RTDC4022\2016-12-09 &amp; aws s3 cp s3://rtdc.mdm.uploadarchive.raw/RTDC4022/ "%USERPROFILE%\AppData\Local\Temp\OnboardLogs"\RTDC4022\2016-12-10 --exclude "*" --recursive --include "*20161210*" &amp; "%USERPROFILE%\Documents\GitHub\mrs-test-scripts\Headless Mode &amp; Sideloading\WalkAndUnGZ.bat" "%USERPROFILE%\AppData\Local\Temp\OnboardLogs"\RTDC4022\2016-12-10</v>
      </c>
      <c r="AF115" s="88" t="str">
        <f t="shared" si="37"/>
        <v>"C:\Program Files (x86)\AstroGrep\AstroGrep.exe" /spath="%USERPROFILE%\AppData\Local\Temp\OnboardLogs" /stypes="app*4022*20161209*" /stext=" 23:.+((SYSTEM_STATE.+slice.+state.+changed )|(ment ac)|(multiple cpu faults)|(system.+state.+changed )|(\[timeout)|(PRM\|1\|D)|(kpr)|(kdp)|(\|lc)|(penalty))" /e /r /s</v>
      </c>
      <c r="AG115" s="1" t="str">
        <f t="shared" si="38"/>
        <v>EC</v>
      </c>
      <c r="AH115" s="92" t="str">
        <f t="shared" si="39"/>
        <v>"%USERPROFILE%\Documents\GitHub\eaglep3\Utilities\RefineRTDCRunTimes.py" --tripid 201-09 --locoid 4022 --swversion DE.1.0.8.0 --startMP 204:462 --initTime 2016-12-09T16:02:51 --startdatetime 2016-12-09T16:15:59 --delay 1 --endMP 204:233295 --enddatetime 2016-12-09T16:53:09 --enforcementcount 0 &gt;&gt;C:\Users\stu\Documents\GitHub\eaglep3-reporting\EC\2016-12-09-refined-times.txt</v>
      </c>
      <c r="AI115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{"issue":{"subject":"","project_id":79,"tracker_id":40,"status_id":1,"priority_id":2,"assigned_to_id":23,"start_date":"2016-12-09","description":"","custom_fields":[{"id":1,"name":"Subdivision","value":"EC"},{"id":4,"name":"Milepost","value":"23.3295"},{"id":17,"name":"Train ID","value":"201-09"},{"id":16,"name":"Locomotive ID","value":"4022"},{"id":130,"name":"Impact","value":""},{"id":150,"name":"Time of Event (Mountain Time)","value":"16:53:09"},{"id":151,"name":"Denver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512</v>
      </c>
      <c r="B116" s="7">
        <v>4021</v>
      </c>
      <c r="C116" s="22" t="s">
        <v>206</v>
      </c>
      <c r="D116" s="22" t="s">
        <v>720</v>
      </c>
      <c r="E116" s="13">
        <v>42713.706134259257</v>
      </c>
      <c r="F116" s="13">
        <v>42713.745821759258</v>
      </c>
      <c r="G116" s="7">
        <v>1</v>
      </c>
      <c r="H116" s="22" t="s">
        <v>730</v>
      </c>
      <c r="I116" s="13">
        <v>42713.761932870373</v>
      </c>
      <c r="J116" s="7">
        <v>0</v>
      </c>
      <c r="K116" s="109" t="str">
        <f t="shared" si="29"/>
        <v>4021/4022</v>
      </c>
      <c r="L116" s="22" t="str">
        <f>VLOOKUP(A116,'Trips&amp;Operators'!$C$1:$G$99999,5,FALSE)</f>
        <v>SMITH MICHAEL</v>
      </c>
      <c r="M116" s="6">
        <f t="shared" si="30"/>
        <v>1.6111111115606036E-2</v>
      </c>
      <c r="N116" s="7"/>
      <c r="O116" s="7"/>
      <c r="P116" s="7">
        <f>24*60*SUM($M116:$M116)</f>
        <v>23.200000006472692</v>
      </c>
      <c r="Q116" s="23"/>
      <c r="R116" s="23" t="s">
        <v>832</v>
      </c>
      <c r="S116" s="35">
        <f>SUM(U116:U117)/IF(AG116="EC",12,1)</f>
        <v>0.91666666666666663</v>
      </c>
      <c r="T116" s="50" t="str">
        <f t="shared" si="31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</v>
      </c>
      <c r="V116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15:56:50-700',mode:absolute,to:'2016-12-09 19:17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6" s="52" t="str">
        <f t="shared" si="33"/>
        <v>Y</v>
      </c>
      <c r="X116" s="177">
        <f t="shared" si="47"/>
        <v>1</v>
      </c>
      <c r="Y116" s="67">
        <f t="shared" si="45"/>
        <v>23.297599999999999</v>
      </c>
      <c r="Z116" s="67">
        <f t="shared" si="44"/>
        <v>10.6304</v>
      </c>
      <c r="AA116" s="67">
        <f t="shared" si="34"/>
        <v>12.667199999999999</v>
      </c>
      <c r="AB116" s="64" t="str">
        <f>VLOOKUP(A116,Enforcements!$C$7:$K$20,8,0)</f>
        <v>PTC function (8)</v>
      </c>
      <c r="AC116" s="60" t="str">
        <f>VLOOKUP(A116,Enforcements!$C$7:$E$20,3,0)</f>
        <v>NON SYNCHRONIZED SUBDIV</v>
      </c>
      <c r="AD116" s="61" t="str">
        <f t="shared" si="35"/>
        <v>0202-09</v>
      </c>
      <c r="AE116" s="91" t="str">
        <f t="shared" si="36"/>
        <v>aws s3 cp s3://rtdc.mdm.uploadarchive.raw/RTDC4021/ "%USERPROFILE%\AppData\Local\Temp\OnboardLogs"\RTDC4021\2016-12-09 --exclude "*" --recursive --include "*20161209*" &amp; "%USERPROFILE%\Documents\GitHub\mrs-test-scripts\Headless Mode &amp; Sideloading\WalkAndUnGZ.bat" "%USERPROFILE%\AppData\Local\Temp\OnboardLogs"\RTDC4021\2016-12-09 &amp; aws s3 cp s3://rtdc.mdm.uploadarchive.raw/RTDC4021/ "%USERPROFILE%\AppData\Local\Temp\OnboardLogs"\RTDC4021\2016-12-10 --exclude "*" --recursive --include "*20161210*" &amp; "%USERPROFILE%\Documents\GitHub\mrs-test-scripts\Headless Mode &amp; Sideloading\WalkAndUnGZ.bat" "%USERPROFILE%\AppData\Local\Temp\OnboardLogs"\RTDC4021\2016-12-10</v>
      </c>
      <c r="AF116" s="88" t="str">
        <f t="shared" si="37"/>
        <v>"C:\Program Files (x86)\AstroGrep\AstroGrep.exe" /spath="%USERPROFILE%\AppData\Local\Temp\OnboardLogs" /stypes="app*4021*20161210*" /stext=" 01:.+((SYSTEM_STATE.+slice.+state.+changed )|(ment ac)|(multiple cpu faults)|(system.+state.+changed )|(\[timeout)|(PRM\|1\|D)|(kpr)|(kdp)|(\|lc)|(penalty))" /e /r /s</v>
      </c>
      <c r="AG116" s="1" t="str">
        <f t="shared" si="38"/>
        <v>EC</v>
      </c>
      <c r="AH116" s="92" t="str">
        <f t="shared" si="39"/>
        <v>"%USERPROFILE%\Documents\GitHub\eaglep3\Utilities\RefineRTDCRunTimes.py" --tripid 202-09 --locoid 4021 --swversion DE.1.0.8.0 --startMP 204:232976 --initTime 2016-12-09T16:56:50 --startdatetime 2016-12-09T17:53:59 --delay 1 --endMP 204:106304 --enddatetime 2016-12-09T18:17:11 --enforcementcount 0 &gt;&gt;C:\Users\stu\Documents\GitHub\eaglep3-reporting\EC\2016-12-09-refined-times.txt</v>
      </c>
      <c r="AI116" s="119" t="str">
        <f t="shared" si="40"/>
        <v>echo {"issue":{"subject":"Failed PSS, talked past Sable (signal system failure)","project_id":79,"tracker_id":40,"status_id":1,"priority_id":2,"assigned_to_id":23,"start_date":"2016-12-09","description":"","custom_fields":[{"id":1,"name":"Subdivision","value":"EC"},{"id":4,"name":"Milepost","value":"10.6304"},{"id":17,"name":"Train ID","value":"202-09"},{"id":16,"name":"Locomotive ID","value":"4021"},{"id":130,"name":"Impact","value":""},{"id":150,"name":"Time of Event (Mountain Time)","value":"18:17:11"},{"id":151,"name":"Denver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512</v>
      </c>
      <c r="B117" s="7">
        <v>4021</v>
      </c>
      <c r="C117" s="22" t="s">
        <v>206</v>
      </c>
      <c r="D117" s="22" t="s">
        <v>385</v>
      </c>
      <c r="E117" s="13">
        <v>42713.744942129626</v>
      </c>
      <c r="F117" s="13">
        <v>42713.745821759258</v>
      </c>
      <c r="G117" s="7">
        <v>0</v>
      </c>
      <c r="H117" s="22" t="s">
        <v>204</v>
      </c>
      <c r="I117" s="13">
        <v>42713.761932870373</v>
      </c>
      <c r="J117" s="7">
        <v>0</v>
      </c>
      <c r="K117" s="109" t="str">
        <f t="shared" si="29"/>
        <v>4021/4022</v>
      </c>
      <c r="L117" s="22" t="str">
        <f>VLOOKUP(A117,'Trips&amp;Operators'!$C$1:$G$99999,5,FALSE)</f>
        <v>SMITH MICHAEL</v>
      </c>
      <c r="M117" s="6">
        <f t="shared" si="30"/>
        <v>1.6111111115606036E-2</v>
      </c>
      <c r="N117" s="7"/>
      <c r="O117" s="7"/>
      <c r="P117" s="7"/>
      <c r="Q117" s="23"/>
      <c r="R117" s="23"/>
      <c r="S117" s="35"/>
      <c r="T117" s="50" t="str">
        <f t="shared" si="31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10</v>
      </c>
      <c r="V117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16:52:43-700',mode:absolute,to:'2016-12-09 19:17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17" s="52" t="str">
        <f t="shared" si="33"/>
        <v>Y</v>
      </c>
      <c r="X117" s="177">
        <f t="shared" si="47"/>
        <v>0</v>
      </c>
      <c r="Y117" s="67">
        <f t="shared" si="45"/>
        <v>8.6351999999999993</v>
      </c>
      <c r="Z117" s="67">
        <f t="shared" si="44"/>
        <v>1.5599999999999999E-2</v>
      </c>
      <c r="AA117" s="67">
        <f t="shared" si="34"/>
        <v>8.6196000000000002</v>
      </c>
      <c r="AB117" s="64" t="str">
        <f>VLOOKUP(A117,Enforcements!$C$7:$K$20,8,0)</f>
        <v>PTC function (8)</v>
      </c>
      <c r="AC117" s="60" t="str">
        <f>VLOOKUP(A117,Enforcements!$C$7:$E$20,3,0)</f>
        <v>NON SYNCHRONIZED SUBDIV</v>
      </c>
      <c r="AD117" s="61" t="str">
        <f t="shared" si="35"/>
        <v>0202-09</v>
      </c>
      <c r="AE117" s="91" t="str">
        <f t="shared" si="36"/>
        <v>aws s3 cp s3://rtdc.mdm.uploadarchive.raw/RTDC4021/ "%USERPROFILE%\AppData\Local\Temp\OnboardLogs"\RTDC4021\2016-12-09 --exclude "*" --recursive --include "*20161209*" &amp; "%USERPROFILE%\Documents\GitHub\mrs-test-scripts\Headless Mode &amp; Sideloading\WalkAndUnGZ.bat" "%USERPROFILE%\AppData\Local\Temp\OnboardLogs"\RTDC4021\2016-12-09 &amp; aws s3 cp s3://rtdc.mdm.uploadarchive.raw/RTDC4021/ "%USERPROFILE%\AppData\Local\Temp\OnboardLogs"\RTDC4021\2016-12-10 --exclude "*" --recursive --include "*20161210*" &amp; "%USERPROFILE%\Documents\GitHub\mrs-test-scripts\Headless Mode &amp; Sideloading\WalkAndUnGZ.bat" "%USERPROFILE%\AppData\Local\Temp\OnboardLogs"\RTDC4021\2016-12-10</v>
      </c>
      <c r="AF117" s="88" t="str">
        <f t="shared" si="37"/>
        <v>"C:\Program Files (x86)\AstroGrep\AstroGrep.exe" /spath="%USERPROFILE%\AppData\Local\Temp\OnboardLogs" /stypes="app*4021*20161210*" /stext=" 01:.+((SYSTEM_STATE.+slice.+state.+changed )|(ment ac)|(multiple cpu faults)|(system.+state.+changed )|(\[timeout)|(PRM\|1\|D)|(kpr)|(kdp)|(\|lc)|(penalty))" /e /r /s</v>
      </c>
      <c r="AG117" s="1" t="str">
        <f t="shared" si="38"/>
        <v>EC</v>
      </c>
      <c r="AH117" s="92" t="str">
        <f t="shared" si="39"/>
        <v>"%USERPROFILE%\Documents\GitHub\eaglep3\Utilities\RefineRTDCRunTimes.py" --tripid 202-09 --locoid 4021 --swversion DE.1.0.8.0 --startMP 204:86352 --initTime 2016-12-09T17:52:43 --startdatetime 2016-12-09T17:53:59 --delay 0 --endMP 204:156 --enddatetime 2016-12-09T18:17:11 --enforcementcount 0 &gt;&gt;C:\Users\stu\Documents\GitHub\eaglep3-reporting\EC\2016-12-09-refined-times.txt</v>
      </c>
      <c r="AI117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{"issue":{"subject":"","project_id":79,"tracker_id":40,"status_id":1,"priority_id":2,"assigned_to_id":23,"start_date":"2016-12-09","description":"","custom_fields":[{"id":1,"name":"Subdivision","value":"EC"},{"id":4,"name":"Milepost","value":"0.0156"},{"id":17,"name":"Train ID","value":"202-09"},{"id":16,"name":"Locomotive ID","value":"4021"},{"id":130,"name":"Impact","value":""},{"id":150,"name":"Time of Event (Mountain Time)","value":"18:17:11"},{"id":151,"name":"Denver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632</v>
      </c>
      <c r="B118" s="7">
        <v>4002</v>
      </c>
      <c r="C118" s="22" t="s">
        <v>206</v>
      </c>
      <c r="D118" s="22" t="s">
        <v>268</v>
      </c>
      <c r="E118" s="13">
        <v>42713.686400462961</v>
      </c>
      <c r="F118" s="13">
        <v>42713.689317129632</v>
      </c>
      <c r="G118" s="7">
        <v>2</v>
      </c>
      <c r="H118" s="22" t="s">
        <v>304</v>
      </c>
      <c r="I118" s="13">
        <v>42713.714270833334</v>
      </c>
      <c r="J118" s="7">
        <v>0</v>
      </c>
      <c r="K118" s="109" t="str">
        <f t="shared" si="29"/>
        <v>4001/4002</v>
      </c>
      <c r="L118" s="22" t="str">
        <f>VLOOKUP(A118,'Trips&amp;Operators'!$C$1:$G$99999,5,FALSE)</f>
        <v>BROWN JACOB</v>
      </c>
      <c r="M118" s="6">
        <f t="shared" si="30"/>
        <v>2.495370370161254E-2</v>
      </c>
      <c r="N118" s="7">
        <f>24*60*SUM($M118:$M118)</f>
        <v>35.933333330322057</v>
      </c>
      <c r="O118" s="7"/>
      <c r="P118" s="7"/>
      <c r="Q118" s="23"/>
      <c r="R118" s="23"/>
      <c r="S118" s="35">
        <f>SUM(U118:U118)/IF(AG118="EC",12,1)</f>
        <v>1</v>
      </c>
      <c r="T118" s="50" t="str">
        <f t="shared" si="31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15:28:25-700',mode:absolute,to:'2016-12-09 18:08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8" s="52" t="str">
        <f t="shared" si="33"/>
        <v>N</v>
      </c>
      <c r="X118" s="177">
        <f t="shared" si="47"/>
        <v>1</v>
      </c>
      <c r="Y118" s="67">
        <f t="shared" si="45"/>
        <v>4.3799999999999999E-2</v>
      </c>
      <c r="Z118" s="67">
        <f t="shared" si="44"/>
        <v>23.3309</v>
      </c>
      <c r="AA118" s="67">
        <f t="shared" si="34"/>
        <v>23.287099999999999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5"/>
        <v>0203-09</v>
      </c>
      <c r="AE118" s="91" t="str">
        <f t="shared" si="36"/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AF118" s="88" t="str">
        <f t="shared" si="37"/>
        <v>"C:\Program Files (x86)\AstroGrep\AstroGrep.exe" /spath="%USERPROFILE%\AppData\Local\Temp\OnboardLogs" /stypes="app*4002*20161210*" /stext=" 00:.+((SYSTEM_STATE.+slice.+state.+changed )|(ment ac)|(multiple cpu faults)|(system.+state.+changed )|(\[timeout)|(PRM\|1\|D)|(kpr)|(kdp)|(\|lc)|(penalty))" /e /r /s</v>
      </c>
      <c r="AG118" s="1" t="str">
        <f t="shared" si="38"/>
        <v>EC</v>
      </c>
      <c r="AH118" s="92" t="str">
        <f t="shared" si="39"/>
        <v>"%USERPROFILE%\Documents\GitHub\eaglep3\Utilities\RefineRTDCRunTimes.py" --tripid 203-09 --locoid 4002 --swversion DE.1.0.8.0 --startMP 204:438 --initTime 2016-12-09T16:28:25 --startdatetime 2016-12-09T16:32:37 --delay 2 --endMP 204:233309 --enddatetime 2016-12-09T17:08:33 --enforcementcount 0 &gt;&gt;C:\Users\stu\Documents\GitHub\eaglep3-reporting\EC\2016-12-09-refined-times.txt</v>
      </c>
      <c r="AI118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{"issue":{"subject":"","project_id":79,"tracker_id":40,"status_id":1,"priority_id":2,"assigned_to_id":23,"start_date":"2016-12-09","description":"","custom_fields":[{"id":1,"name":"Subdivision","value":"EC"},{"id":4,"name":"Milepost","value":"23.3309"},{"id":17,"name":"Train ID","value":"203-09"},{"id":16,"name":"Locomotive ID","value":"4002"},{"id":130,"name":"Impact","value":""},{"id":150,"name":"Time of Event (Mountain Time)","value":"17:08:33"},{"id":151,"name":"Denver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641</v>
      </c>
      <c r="B119" s="7">
        <v>4001</v>
      </c>
      <c r="C119" s="22" t="s">
        <v>206</v>
      </c>
      <c r="D119" s="22" t="s">
        <v>287</v>
      </c>
      <c r="E119" s="13">
        <v>42713.719004629631</v>
      </c>
      <c r="F119" s="13">
        <v>42713.754930555559</v>
      </c>
      <c r="G119" s="7">
        <v>1</v>
      </c>
      <c r="H119" s="22" t="s">
        <v>731</v>
      </c>
      <c r="I119" s="13">
        <v>42713.769189814811</v>
      </c>
      <c r="J119" s="7">
        <v>0</v>
      </c>
      <c r="K119" s="109" t="str">
        <f t="shared" si="29"/>
        <v>4001/4002</v>
      </c>
      <c r="L119" s="22" t="str">
        <f>VLOOKUP(A119,'Trips&amp;Operators'!$C$1:$G$99999,5,FALSE)</f>
        <v>BROWN JACOB</v>
      </c>
      <c r="M119" s="6">
        <f t="shared" si="30"/>
        <v>1.4259259252867196E-2</v>
      </c>
      <c r="N119" s="7"/>
      <c r="O119" s="7"/>
      <c r="P119" s="7">
        <f>24*60*SUM($M119:$M119)</f>
        <v>20.533333324128762</v>
      </c>
      <c r="Q119" s="23"/>
      <c r="R119" s="23" t="s">
        <v>833</v>
      </c>
      <c r="S119" s="35">
        <f>SUM(U119:U120)/IF(AG119="EC",12,1)</f>
        <v>0.91666666666666663</v>
      </c>
      <c r="T119" s="50" t="str">
        <f t="shared" si="31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</v>
      </c>
      <c r="V11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16:15:22-700',mode:absolute,to:'2016-12-09 19:27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9" s="52" t="str">
        <f t="shared" si="33"/>
        <v>Y</v>
      </c>
      <c r="X119" s="177">
        <f t="shared" si="47"/>
        <v>1</v>
      </c>
      <c r="Y119" s="67">
        <f t="shared" si="45"/>
        <v>23.297799999999999</v>
      </c>
      <c r="Z119" s="67">
        <f t="shared" ref="Z119:Z153" si="48">RIGHT(H119,LEN(H119)-4)/10000</f>
        <v>10.5219</v>
      </c>
      <c r="AA119" s="67">
        <f t="shared" si="34"/>
        <v>12.775899999999998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5"/>
        <v>0204-09</v>
      </c>
      <c r="AE119" s="91" t="str">
        <f t="shared" si="36"/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AF119" s="88" t="str">
        <f t="shared" si="37"/>
        <v>"C:\Program Files (x86)\AstroGrep\AstroGrep.exe" /spath="%USERPROFILE%\AppData\Local\Temp\OnboardLogs" /stypes="app*4001*20161210*" /stext=" 01:.+((SYSTEM_STATE.+slice.+state.+changed )|(ment ac)|(multiple cpu faults)|(system.+state.+changed )|(\[timeout)|(PRM\|1\|D)|(kpr)|(kdp)|(\|lc)|(penalty))" /e /r /s</v>
      </c>
      <c r="AG119" s="1" t="str">
        <f t="shared" si="38"/>
        <v>EC</v>
      </c>
      <c r="AH119" s="92" t="str">
        <f t="shared" si="39"/>
        <v>"%USERPROFILE%\Documents\GitHub\eaglep3\Utilities\RefineRTDCRunTimes.py" --tripid 204-09 --locoid 4001 --swversion DE.1.0.8.0 --startMP 204:232978 --initTime 2016-12-09T17:15:22 --startdatetime 2016-12-09T18:07:06 --delay 1 --endMP 204:105219 --enddatetime 2016-12-09T18:27:38 --enforcementcount 0 &gt;&gt;C:\Users\stu\Documents\GitHub\eaglep3-reporting\EC\2016-12-09-refined-times.txt</v>
      </c>
      <c r="AI119" s="119" t="str">
        <f t="shared" si="40"/>
        <v>echo {"issue":{"subject":"Talked past Sable (signal system failure)","project_id":79,"tracker_id":40,"status_id":1,"priority_id":2,"assigned_to_id":23,"start_date":"2016-12-09","description":"","custom_fields":[{"id":1,"name":"Subdivision","value":"EC"},{"id":4,"name":"Milepost","value":"10.5219"},{"id":17,"name":"Train ID","value":"204-09"},{"id":16,"name":"Locomotive ID","value":"4001"},{"id":130,"name":"Impact","value":""},{"id":150,"name":"Time of Event (Mountain Time)","value":"18:27:38"},{"id":151,"name":"Denver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641</v>
      </c>
      <c r="B120" s="7">
        <v>4001</v>
      </c>
      <c r="C120" s="22" t="s">
        <v>206</v>
      </c>
      <c r="D120" s="22" t="s">
        <v>732</v>
      </c>
      <c r="E120" s="13">
        <v>42713.754108796296</v>
      </c>
      <c r="F120" s="13">
        <v>42713.754930555559</v>
      </c>
      <c r="G120" s="7">
        <v>1</v>
      </c>
      <c r="H120" s="22" t="s">
        <v>334</v>
      </c>
      <c r="I120" s="13">
        <v>42713.769189814811</v>
      </c>
      <c r="J120" s="7">
        <v>0</v>
      </c>
      <c r="K120" s="109" t="str">
        <f t="shared" si="29"/>
        <v>4001/4002</v>
      </c>
      <c r="L120" s="22" t="str">
        <f>VLOOKUP(A120,'Trips&amp;Operators'!$C$1:$G$99999,5,FALSE)</f>
        <v>BROWN JACOB</v>
      </c>
      <c r="M120" s="6">
        <f t="shared" si="30"/>
        <v>1.4259259252867196E-2</v>
      </c>
      <c r="N120" s="7"/>
      <c r="O120" s="7"/>
      <c r="P120" s="7"/>
      <c r="Q120" s="23"/>
      <c r="R120" s="23"/>
      <c r="S120" s="35"/>
      <c r="T120" s="50" t="str">
        <f t="shared" si="31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10</v>
      </c>
      <c r="V12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17:05:55-700',mode:absolute,to:'2016-12-09 19:27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0" s="52" t="str">
        <f t="shared" si="33"/>
        <v>Y</v>
      </c>
      <c r="X120" s="177">
        <f t="shared" si="47"/>
        <v>0</v>
      </c>
      <c r="Y120" s="67">
        <f t="shared" si="45"/>
        <v>8.4481000000000002</v>
      </c>
      <c r="Z120" s="67">
        <f t="shared" si="48"/>
        <v>1.3899999999999999E-2</v>
      </c>
      <c r="AA120" s="67">
        <f t="shared" si="34"/>
        <v>8.4342000000000006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5"/>
        <v>0204-09</v>
      </c>
      <c r="AE120" s="91" t="str">
        <f t="shared" si="36"/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AF120" s="88" t="str">
        <f t="shared" si="37"/>
        <v>"C:\Program Files (x86)\AstroGrep\AstroGrep.exe" /spath="%USERPROFILE%\AppData\Local\Temp\OnboardLogs" /stypes="app*4001*20161210*" /stext=" 01:.+((SYSTEM_STATE.+slice.+state.+changed )|(ment ac)|(multiple cpu faults)|(system.+state.+changed )|(\[timeout)|(PRM\|1\|D)|(kpr)|(kdp)|(\|lc)|(penalty))" /e /r /s</v>
      </c>
      <c r="AG120" s="1" t="str">
        <f t="shared" si="38"/>
        <v>EC</v>
      </c>
      <c r="AH120" s="92" t="str">
        <f t="shared" si="39"/>
        <v>"%USERPROFILE%\Documents\GitHub\eaglep3\Utilities\RefineRTDCRunTimes.py" --tripid 204-09 --locoid 4001 --swversion DE.1.0.8.0 --startMP 204:84481 --initTime 2016-12-09T18:05:55 --startdatetime 2016-12-09T18:07:06 --delay 1 --endMP 204:139 --enddatetime 2016-12-09T18:27:38 --enforcementcount 0 &gt;&gt;C:\Users\stu\Documents\GitHub\eaglep3-reporting\EC\2016-12-09-refined-times.txt</v>
      </c>
      <c r="AI120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{"issue":{"subject":"","project_id":79,"tracker_id":40,"status_id":1,"priority_id":2,"assigned_to_id":23,"start_date":"2016-12-09","description":"","custom_fields":[{"id":1,"name":"Subdivision","value":"EC"},{"id":4,"name":"Milepost","value":"0.0139"},{"id":17,"name":"Train ID","value":"204-09"},{"id":16,"name":"Locomotive ID","value":"4001"},{"id":130,"name":"Impact","value":""},{"id":150,"name":"Time of Event (Mountain Time)","value":"18:27:38"},{"id":151,"name":"Denver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635</v>
      </c>
      <c r="B121" s="7">
        <v>4011</v>
      </c>
      <c r="C121" s="22" t="s">
        <v>206</v>
      </c>
      <c r="D121" s="22" t="s">
        <v>227</v>
      </c>
      <c r="E121" s="13">
        <v>42713.695648148147</v>
      </c>
      <c r="F121" s="13">
        <v>42713.698379629626</v>
      </c>
      <c r="G121" s="7">
        <v>2</v>
      </c>
      <c r="H121" s="22" t="s">
        <v>264</v>
      </c>
      <c r="I121" s="13">
        <v>42713.723761574074</v>
      </c>
      <c r="J121" s="7">
        <v>0</v>
      </c>
      <c r="K121" s="109" t="str">
        <f t="shared" si="29"/>
        <v>4011/4012</v>
      </c>
      <c r="L121" s="22" t="str">
        <f>VLOOKUP(A121,'Trips&amp;Operators'!$C$1:$G$99999,5,FALSE)</f>
        <v>BONDS REYNALDO</v>
      </c>
      <c r="M121" s="6">
        <f t="shared" si="30"/>
        <v>2.5381944447872229E-2</v>
      </c>
      <c r="N121" s="7">
        <f t="shared" ref="N121:N126" si="49">24*60*SUM($M121:$M121)</f>
        <v>36.55000000493601</v>
      </c>
      <c r="O121" s="7"/>
      <c r="P121" s="7"/>
      <c r="Q121" s="23"/>
      <c r="R121" s="23"/>
      <c r="S121" s="35">
        <f t="shared" ref="S121:S153" si="50">SUM(U121:U121)/IF(AG121="EC",12,1)</f>
        <v>1</v>
      </c>
      <c r="T121" s="50" t="str">
        <f t="shared" si="31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15:41:44-700',mode:absolute,to:'2016-12-09 18:22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1" s="52" t="str">
        <f t="shared" si="33"/>
        <v>N</v>
      </c>
      <c r="X121" s="177">
        <f t="shared" si="47"/>
        <v>1</v>
      </c>
      <c r="Y121" s="67">
        <f t="shared" si="45"/>
        <v>4.6600000000000003E-2</v>
      </c>
      <c r="Z121" s="67">
        <f t="shared" si="48"/>
        <v>23.329699999999999</v>
      </c>
      <c r="AA121" s="67">
        <f t="shared" si="34"/>
        <v>23.283099999999997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5"/>
        <v>0205-09</v>
      </c>
      <c r="AE121" s="91" t="str">
        <f t="shared" si="36"/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AF121" s="88" t="str">
        <f t="shared" si="37"/>
        <v>"C:\Program Files (x86)\AstroGrep\AstroGrep.exe" /spath="%USERPROFILE%\AppData\Local\Temp\OnboardLogs" /stypes="app*4011*20161210*" /stext=" 00:.+((SYSTEM_STATE.+slice.+state.+changed )|(ment ac)|(multiple cpu faults)|(system.+state.+changed )|(\[timeout)|(PRM\|1\|D)|(kpr)|(kdp)|(\|lc)|(penalty))" /e /r /s</v>
      </c>
      <c r="AG121" s="1" t="str">
        <f t="shared" si="38"/>
        <v>EC</v>
      </c>
      <c r="AH121" s="92" t="str">
        <f t="shared" si="39"/>
        <v>"%USERPROFILE%\Documents\GitHub\eaglep3\Utilities\RefineRTDCRunTimes.py" --tripid 205-09 --locoid 4011 --swversion DE.1.0.8.0 --startMP 204:466 --initTime 2016-12-09T16:41:44 --startdatetime 2016-12-09T16:45:40 --delay 2 --endMP 204:233297 --enddatetime 2016-12-09T17:22:13 --enforcementcount 0 &gt;&gt;C:\Users\stu\Documents\GitHub\eaglep3-reporting\EC\2016-12-09-refined-times.txt</v>
      </c>
      <c r="AI121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{"issue":{"subject":"","project_id":79,"tracker_id":40,"status_id":1,"priority_id":2,"assigned_to_id":23,"start_date":"2016-12-09","description":"","custom_fields":[{"id":1,"name":"Subdivision","value":"EC"},{"id":4,"name":"Milepost","value":"23.3297"},{"id":17,"name":"Train ID","value":"205-09"},{"id":16,"name":"Locomotive ID","value":"4011"},{"id":130,"name":"Impact","value":""},{"id":150,"name":"Time of Event (Mountain Time)","value":"17:22:13"},{"id":151,"name":"Denver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645</v>
      </c>
      <c r="B122" s="7">
        <v>4012</v>
      </c>
      <c r="C122" s="22" t="s">
        <v>206</v>
      </c>
      <c r="D122" s="22" t="s">
        <v>431</v>
      </c>
      <c r="E122" s="13">
        <v>42713.72923611111</v>
      </c>
      <c r="F122" s="13">
        <v>42713.737071759257</v>
      </c>
      <c r="G122" s="7">
        <v>1</v>
      </c>
      <c r="H122" s="22" t="s">
        <v>226</v>
      </c>
      <c r="I122" s="13">
        <v>42713.776006944441</v>
      </c>
      <c r="J122" s="7">
        <v>0</v>
      </c>
      <c r="K122" s="109" t="str">
        <f t="shared" si="29"/>
        <v>4011/4012</v>
      </c>
      <c r="L122" s="22" t="str">
        <f>VLOOKUP(A122,'Trips&amp;Operators'!$C$1:$G$99999,5,FALSE)</f>
        <v>BONDS REYNALDO</v>
      </c>
      <c r="M122" s="6">
        <f t="shared" si="30"/>
        <v>3.8935185184527654E-2</v>
      </c>
      <c r="N122" s="7">
        <f t="shared" si="49"/>
        <v>56.066666665719822</v>
      </c>
      <c r="O122" s="7"/>
      <c r="P122" s="7"/>
      <c r="Q122" s="23"/>
      <c r="R122" s="23"/>
      <c r="S122" s="35">
        <f t="shared" si="50"/>
        <v>1</v>
      </c>
      <c r="T122" s="50" t="str">
        <f t="shared" si="31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16:30:06-700',mode:absolute,to:'2016-12-09 19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2" s="52" t="str">
        <f t="shared" si="33"/>
        <v>N</v>
      </c>
      <c r="X122" s="177">
        <f t="shared" si="47"/>
        <v>1</v>
      </c>
      <c r="Y122" s="67">
        <f t="shared" si="45"/>
        <v>23.2989</v>
      </c>
      <c r="Z122" s="67">
        <f t="shared" si="48"/>
        <v>1.54E-2</v>
      </c>
      <c r="AA122" s="67">
        <f t="shared" si="34"/>
        <v>23.2835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5"/>
        <v>0206-09</v>
      </c>
      <c r="AE122" s="91" t="str">
        <f t="shared" si="36"/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AF122" s="88" t="str">
        <f t="shared" si="37"/>
        <v>"C:\Program Files (x86)\AstroGrep\AstroGrep.exe" /spath="%USERPROFILE%\AppData\Local\Temp\OnboardLogs" /stypes="app*4012*20161210*" /stext=" 01:.+((SYSTEM_STATE.+slice.+state.+changed )|(ment ac)|(multiple cpu faults)|(system.+state.+changed )|(\[timeout)|(PRM\|1\|D)|(kpr)|(kdp)|(\|lc)|(penalty))" /e /r /s</v>
      </c>
      <c r="AG122" s="1" t="str">
        <f t="shared" si="38"/>
        <v>EC</v>
      </c>
      <c r="AH122" s="92" t="str">
        <f t="shared" si="39"/>
        <v>"%USERPROFILE%\Documents\GitHub\eaglep3\Utilities\RefineRTDCRunTimes.py" --tripid 206-09 --locoid 4012 --swversion DE.1.0.8.0 --startMP 204:232989 --initTime 2016-12-09T17:30:06 --startdatetime 2016-12-09T17:41:23 --delay 1 --endMP 204:154 --enddatetime 2016-12-09T18:37:27 --enforcementcount 0 &gt;&gt;C:\Users\stu\Documents\GitHub\eaglep3-reporting\EC\2016-12-09-refined-times.txt</v>
      </c>
      <c r="AI122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{"issue":{"subject":"","project_id":79,"tracker_id":40,"status_id":1,"priority_id":2,"assigned_to_id":23,"start_date":"2016-12-09","description":"","custom_fields":[{"id":1,"name":"Subdivision","value":"EC"},{"id":4,"name":"Milepost","value":"0.0154"},{"id":17,"name":"Train ID","value":"206-09"},{"id":16,"name":"Locomotive ID","value":"4012"},{"id":130,"name":"Impact","value":""},{"id":150,"name":"Time of Event (Mountain Time)","value":"18:37:27"},{"id":151,"name":"Denver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637</v>
      </c>
      <c r="B123" s="7">
        <v>4016</v>
      </c>
      <c r="C123" s="22" t="s">
        <v>206</v>
      </c>
      <c r="D123" s="22" t="s">
        <v>239</v>
      </c>
      <c r="E123" s="13">
        <v>42713.704745370371</v>
      </c>
      <c r="F123" s="13">
        <v>42713.708541666667</v>
      </c>
      <c r="G123" s="7">
        <v>1</v>
      </c>
      <c r="H123" s="22" t="s">
        <v>733</v>
      </c>
      <c r="I123" s="13">
        <v>42713.734444444446</v>
      </c>
      <c r="J123" s="7">
        <v>0</v>
      </c>
      <c r="K123" s="109" t="str">
        <f t="shared" si="29"/>
        <v>4015/4016</v>
      </c>
      <c r="L123" s="22" t="str">
        <f>VLOOKUP(A123,'Trips&amp;Operators'!$C$1:$G$99999,5,FALSE)</f>
        <v>MOSES BRADLEY</v>
      </c>
      <c r="M123" s="6">
        <f t="shared" si="30"/>
        <v>2.5902777779265307E-2</v>
      </c>
      <c r="N123" s="7">
        <f t="shared" si="49"/>
        <v>37.300000002142042</v>
      </c>
      <c r="O123" s="7"/>
      <c r="P123" s="7"/>
      <c r="Q123" s="23"/>
      <c r="R123" s="23"/>
      <c r="S123" s="35">
        <f t="shared" si="50"/>
        <v>1</v>
      </c>
      <c r="T123" s="50" t="str">
        <f t="shared" si="31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15:54:50-700',mode:absolute,to:'2016-12-09 18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3" s="52" t="str">
        <f t="shared" si="33"/>
        <v>N</v>
      </c>
      <c r="X123" s="177">
        <f t="shared" si="47"/>
        <v>1</v>
      </c>
      <c r="Y123" s="67">
        <f t="shared" si="45"/>
        <v>4.5699999999999998E-2</v>
      </c>
      <c r="Z123" s="67">
        <f t="shared" si="48"/>
        <v>23.332000000000001</v>
      </c>
      <c r="AA123" s="67">
        <f t="shared" si="34"/>
        <v>23.286300000000001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5"/>
        <v>0207-09</v>
      </c>
      <c r="AE123" s="91" t="str">
        <f t="shared" si="36"/>
        <v>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 &amp; 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</v>
      </c>
      <c r="AF123" s="88" t="str">
        <f t="shared" si="37"/>
        <v>"C:\Program Files (x86)\AstroGrep\AstroGrep.exe" /spath="%USERPROFILE%\AppData\Local\Temp\OnboardLogs" /stypes="app*4016*20161210*" /stext=" 00:.+((SYSTEM_STATE.+slice.+state.+changed )|(ment ac)|(multiple cpu faults)|(system.+state.+changed )|(\[timeout)|(PRM\|1\|D)|(kpr)|(kdp)|(\|lc)|(penalty))" /e /r /s</v>
      </c>
      <c r="AG123" s="1" t="str">
        <f t="shared" si="38"/>
        <v>EC</v>
      </c>
      <c r="AH123" s="92" t="str">
        <f t="shared" si="39"/>
        <v>"%USERPROFILE%\Documents\GitHub\eaglep3\Utilities\RefineRTDCRunTimes.py" --tripid 207-09 --locoid 4016 --swversion DE.1.0.8.0 --startMP 204:457 --initTime 2016-12-09T16:54:50 --startdatetime 2016-12-09T17:00:18 --delay 1 --endMP 204:233320 --enddatetime 2016-12-09T17:37:36 --enforcementcount 0 &gt;&gt;C:\Users\stu\Documents\GitHub\eaglep3-reporting\EC\2016-12-09-refined-times.txt</v>
      </c>
      <c r="AI123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{"issue":{"subject":"","project_id":79,"tracker_id":40,"status_id":1,"priority_id":2,"assigned_to_id":23,"start_date":"2016-12-09","description":"","custom_fields":[{"id":1,"name":"Subdivision","value":"EC"},{"id":4,"name":"Milepost","value":"23.332"},{"id":17,"name":"Train ID","value":"207-09"},{"id":16,"name":"Locomotive ID","value":"4016"},{"id":130,"name":"Impact","value":""},{"id":150,"name":"Time of Event (Mountain Time)","value":"17:37:36"},{"id":151,"name":"Denver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647</v>
      </c>
      <c r="B124" s="7">
        <v>4015</v>
      </c>
      <c r="C124" s="22" t="s">
        <v>206</v>
      </c>
      <c r="D124" s="22" t="s">
        <v>370</v>
      </c>
      <c r="E124" s="13">
        <v>42713.743287037039</v>
      </c>
      <c r="F124" s="13">
        <v>42713.747442129628</v>
      </c>
      <c r="G124" s="7">
        <v>1</v>
      </c>
      <c r="H124" s="22" t="s">
        <v>464</v>
      </c>
      <c r="I124" s="13">
        <v>42713.781273148146</v>
      </c>
      <c r="J124" s="7">
        <v>0</v>
      </c>
      <c r="K124" s="109" t="str">
        <f t="shared" si="29"/>
        <v>4015/4016</v>
      </c>
      <c r="L124" s="22" t="str">
        <f>VLOOKUP(A124,'Trips&amp;Operators'!$C$1:$G$99999,5,FALSE)</f>
        <v>MOSES BRADLEY</v>
      </c>
      <c r="M124" s="6">
        <f t="shared" si="30"/>
        <v>3.3831018517958E-2</v>
      </c>
      <c r="N124" s="7">
        <f t="shared" si="49"/>
        <v>48.71666666585952</v>
      </c>
      <c r="O124" s="7"/>
      <c r="P124" s="7"/>
      <c r="Q124" s="23"/>
      <c r="R124" s="23"/>
      <c r="S124" s="35">
        <f t="shared" si="50"/>
        <v>1</v>
      </c>
      <c r="T124" s="50" t="str">
        <f t="shared" si="31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16:50:20-700',mode:absolute,to:'2016-12-09 19:45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4" s="52" t="str">
        <f t="shared" si="33"/>
        <v>N</v>
      </c>
      <c r="X124" s="177">
        <f t="shared" si="47"/>
        <v>1</v>
      </c>
      <c r="Y124" s="67">
        <f t="shared" ref="Y124:Y155" si="51">RIGHT(D124,LEN(D124)-4)/10000</f>
        <v>23.301100000000002</v>
      </c>
      <c r="Z124" s="67">
        <f t="shared" si="48"/>
        <v>1.78E-2</v>
      </c>
      <c r="AA124" s="67">
        <f t="shared" si="34"/>
        <v>23.283300000000001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5"/>
        <v>0208-09</v>
      </c>
      <c r="AE124" s="91" t="str">
        <f t="shared" si="36"/>
        <v>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 &amp; 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</v>
      </c>
      <c r="AF124" s="88" t="str">
        <f t="shared" si="37"/>
        <v>"C:\Program Files (x86)\AstroGrep\AstroGrep.exe" /spath="%USERPROFILE%\AppData\Local\Temp\OnboardLogs" /stypes="app*4015*20161210*" /stext=" 01:.+((SYSTEM_STATE.+slice.+state.+changed )|(ment ac)|(multiple cpu faults)|(system.+state.+changed )|(\[timeout)|(PRM\|1\|D)|(kpr)|(kdp)|(\|lc)|(penalty))" /e /r /s</v>
      </c>
      <c r="AG124" s="1" t="str">
        <f t="shared" si="38"/>
        <v>EC</v>
      </c>
      <c r="AH124" s="92" t="str">
        <f t="shared" si="39"/>
        <v>"%USERPROFILE%\Documents\GitHub\eaglep3\Utilities\RefineRTDCRunTimes.py" --tripid 208-09 --locoid 4015 --swversion DE.1.0.8.0 --startMP 204:233011 --initTime 2016-12-09T17:50:20 --startdatetime 2016-12-09T17:56:19 --delay 1 --endMP 204:178 --enddatetime 2016-12-09T18:45:02 --enforcementcount 0 &gt;&gt;C:\Users\stu\Documents\GitHub\eaglep3-reporting\EC\2016-12-09-refined-times.txt</v>
      </c>
      <c r="AI124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{"issue":{"subject":"","project_id":79,"tracker_id":40,"status_id":1,"priority_id":2,"assigned_to_id":23,"start_date":"2016-12-09","description":"","custom_fields":[{"id":1,"name":"Subdivision","value":"EC"},{"id":4,"name":"Milepost","value":"0.0178"},{"id":17,"name":"Train ID","value":"208-09"},{"id":16,"name":"Locomotive ID","value":"4015"},{"id":130,"name":"Impact","value":""},{"id":150,"name":"Time of Event (Mountain Time)","value":"18:45:02"},{"id":151,"name":"Denver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639</v>
      </c>
      <c r="B125" s="7">
        <v>4031</v>
      </c>
      <c r="C125" s="22" t="s">
        <v>206</v>
      </c>
      <c r="D125" s="22" t="s">
        <v>268</v>
      </c>
      <c r="E125" s="13">
        <v>42713.714768518519</v>
      </c>
      <c r="F125" s="13">
        <v>42713.719224537039</v>
      </c>
      <c r="G125" s="7">
        <v>1</v>
      </c>
      <c r="H125" s="22" t="s">
        <v>305</v>
      </c>
      <c r="I125" s="13">
        <v>42713.75744212963</v>
      </c>
      <c r="J125" s="7">
        <v>0</v>
      </c>
      <c r="K125" s="109" t="str">
        <f t="shared" si="29"/>
        <v>4031/4032</v>
      </c>
      <c r="L125" s="22" t="str">
        <f>VLOOKUP(A125,'Trips&amp;Operators'!$C$1:$G$99999,5,FALSE)</f>
        <v>ADANE ELSHADAY</v>
      </c>
      <c r="M125" s="6">
        <f t="shared" si="30"/>
        <v>3.8217592591536231E-2</v>
      </c>
      <c r="N125" s="7">
        <f t="shared" si="49"/>
        <v>55.033333331812173</v>
      </c>
      <c r="O125" s="7"/>
      <c r="P125" s="7"/>
      <c r="Q125" s="23"/>
      <c r="R125" s="23"/>
      <c r="S125" s="35">
        <f t="shared" si="50"/>
        <v>1</v>
      </c>
      <c r="T125" s="50" t="str">
        <f t="shared" si="31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16:09:16-700',mode:absolute,to:'2016-12-09 19:10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5" s="52" t="str">
        <f t="shared" si="33"/>
        <v>N</v>
      </c>
      <c r="X125" s="177">
        <f t="shared" si="47"/>
        <v>1</v>
      </c>
      <c r="Y125" s="67">
        <f t="shared" si="51"/>
        <v>4.3799999999999999E-2</v>
      </c>
      <c r="Z125" s="67">
        <f t="shared" si="48"/>
        <v>23.331900000000001</v>
      </c>
      <c r="AA125" s="67">
        <f t="shared" si="34"/>
        <v>23.2881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5"/>
        <v>0209-09</v>
      </c>
      <c r="AE125" s="91" t="str">
        <f t="shared" si="36"/>
        <v>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 &amp; 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</v>
      </c>
      <c r="AF125" s="88" t="str">
        <f t="shared" si="37"/>
        <v>"C:\Program Files (x86)\AstroGrep\AstroGrep.exe" /spath="%USERPROFILE%\AppData\Local\Temp\OnboardLogs" /stypes="app*4031*20161210*" /stext=" 01:.+((SYSTEM_STATE.+slice.+state.+changed )|(ment ac)|(multiple cpu faults)|(system.+state.+changed )|(\[timeout)|(PRM\|1\|D)|(kpr)|(kdp)|(\|lc)|(penalty))" /e /r /s</v>
      </c>
      <c r="AG125" s="1" t="str">
        <f t="shared" si="38"/>
        <v>EC</v>
      </c>
      <c r="AH125" s="92" t="str">
        <f t="shared" si="39"/>
        <v>"%USERPROFILE%\Documents\GitHub\eaglep3\Utilities\RefineRTDCRunTimes.py" --tripid 209-09 --locoid 4031 --swversion DE.1.0.8.0 --startMP 204:438 --initTime 2016-12-09T17:09:16 --startdatetime 2016-12-09T17:15:41 --delay 1 --endMP 204:233319 --enddatetime 2016-12-09T18:10:43 --enforcementcount 0 &gt;&gt;C:\Users\stu\Documents\GitHub\eaglep3-reporting\EC\2016-12-09-refined-times.txt</v>
      </c>
      <c r="AI125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{"issue":{"subject":"","project_id":79,"tracker_id":40,"status_id":1,"priority_id":2,"assigned_to_id":23,"start_date":"2016-12-09","description":"","custom_fields":[{"id":1,"name":"Subdivision","value":"EC"},{"id":4,"name":"Milepost","value":"23.3319"},{"id":17,"name":"Train ID","value":"209-09"},{"id":16,"name":"Locomotive ID","value":"4031"},{"id":130,"name":"Impact","value":""},{"id":150,"name":"Time of Event (Mountain Time)","value":"18:10:43"},{"id":151,"name":"Denver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651</v>
      </c>
      <c r="B126" s="7">
        <v>4032</v>
      </c>
      <c r="C126" s="22" t="s">
        <v>206</v>
      </c>
      <c r="D126" s="22" t="s">
        <v>321</v>
      </c>
      <c r="E126" s="13">
        <v>42713.760300925926</v>
      </c>
      <c r="F126" s="13">
        <v>42713.762326388889</v>
      </c>
      <c r="G126" s="7">
        <v>1</v>
      </c>
      <c r="H126" s="22" t="s">
        <v>226</v>
      </c>
      <c r="I126" s="13">
        <v>42713.792326388888</v>
      </c>
      <c r="J126" s="7">
        <v>0</v>
      </c>
      <c r="K126" s="109" t="str">
        <f t="shared" si="29"/>
        <v>4031/4032</v>
      </c>
      <c r="L126" s="22" t="str">
        <f>VLOOKUP(A126,'Trips&amp;Operators'!$C$1:$G$99999,5,FALSE)</f>
        <v>ADANE ELSHADAY</v>
      </c>
      <c r="M126" s="6">
        <f t="shared" si="30"/>
        <v>2.9999999998835847E-2</v>
      </c>
      <c r="N126" s="7">
        <f t="shared" si="49"/>
        <v>43.199999998323619</v>
      </c>
      <c r="O126" s="7"/>
      <c r="P126" s="7"/>
      <c r="Q126" s="23"/>
      <c r="R126" s="23"/>
      <c r="S126" s="35">
        <f t="shared" si="50"/>
        <v>1</v>
      </c>
      <c r="T126" s="50" t="str">
        <f t="shared" si="31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17:14:50-700',mode:absolute,to:'2016-12-09 20:00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26" s="52" t="str">
        <f t="shared" si="33"/>
        <v>N</v>
      </c>
      <c r="X126" s="177">
        <f t="shared" si="47"/>
        <v>1</v>
      </c>
      <c r="Y126" s="67">
        <f t="shared" si="51"/>
        <v>23.299800000000001</v>
      </c>
      <c r="Z126" s="67">
        <f t="shared" si="48"/>
        <v>1.54E-2</v>
      </c>
      <c r="AA126" s="67">
        <f t="shared" si="34"/>
        <v>23.284400000000002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5"/>
        <v>0210-09</v>
      </c>
      <c r="AE126" s="91" t="str">
        <f t="shared" si="36"/>
        <v>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 &amp; 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</v>
      </c>
      <c r="AF126" s="88" t="str">
        <f t="shared" si="37"/>
        <v>"C:\Program Files (x86)\AstroGrep\AstroGrep.exe" /spath="%USERPROFILE%\AppData\Local\Temp\OnboardLogs" /stypes="app*4032*20161210*" /stext=" 02:.+((SYSTEM_STATE.+slice.+state.+changed )|(ment ac)|(multiple cpu faults)|(system.+state.+changed )|(\[timeout)|(PRM\|1\|D)|(kpr)|(kdp)|(\|lc)|(penalty))" /e /r /s</v>
      </c>
      <c r="AG126" s="1" t="str">
        <f t="shared" si="38"/>
        <v>EC</v>
      </c>
      <c r="AH126" s="92" t="str">
        <f t="shared" si="39"/>
        <v>"%USERPROFILE%\Documents\GitHub\eaglep3\Utilities\RefineRTDCRunTimes.py" --tripid 210-09 --locoid 4032 --swversion DE.1.0.8.0 --startMP 204:232998 --initTime 2016-12-09T18:14:50 --startdatetime 2016-12-09T18:17:45 --delay 1 --endMP 204:154 --enddatetime 2016-12-09T19:00:57 --enforcementcount 0 &gt;&gt;C:\Users\stu\Documents\GitHub\eaglep3-reporting\EC\2016-12-09-refined-times.txt</v>
      </c>
      <c r="AI126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{"issue":{"subject":"","project_id":79,"tracker_id":40,"status_id":1,"priority_id":2,"assigned_to_id":23,"start_date":"2016-12-09","description":"","custom_fields":[{"id":1,"name":"Subdivision","value":"EC"},{"id":4,"name":"Milepost","value":"0.0154"},{"id":17,"name":"Train ID","value":"210-09"},{"id":16,"name":"Locomotive ID","value":"4032"},{"id":130,"name":"Impact","value":""},{"id":150,"name":"Time of Event (Mountain Time)","value":"19:00:57"},{"id":151,"name":"Denver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643</v>
      </c>
      <c r="B127" s="7">
        <v>4029</v>
      </c>
      <c r="C127" s="22" t="s">
        <v>206</v>
      </c>
      <c r="D127" s="22" t="s">
        <v>234</v>
      </c>
      <c r="E127" s="13">
        <v>42713.726134259261</v>
      </c>
      <c r="F127" s="13">
        <v>42713.72934027778</v>
      </c>
      <c r="G127" s="7">
        <v>1</v>
      </c>
      <c r="H127" s="22" t="s">
        <v>734</v>
      </c>
      <c r="I127" s="13">
        <v>42713.742905092593</v>
      </c>
      <c r="J127" s="7">
        <v>0</v>
      </c>
      <c r="K127" s="109" t="str">
        <f t="shared" si="29"/>
        <v>4029/4030</v>
      </c>
      <c r="L127" s="22" t="str">
        <f>VLOOKUP(A127,'Trips&amp;Operators'!$C$1:$G$99999,5,FALSE)</f>
        <v>SHOOK JOHN</v>
      </c>
      <c r="M127" s="6">
        <f t="shared" si="30"/>
        <v>1.3564814813435078E-2</v>
      </c>
      <c r="N127" s="7"/>
      <c r="O127" s="7"/>
      <c r="P127" s="7">
        <f>24*60*SUM($M127:$M127)</f>
        <v>19.533333331346512</v>
      </c>
      <c r="Q127" s="23"/>
      <c r="R127" s="23" t="s">
        <v>833</v>
      </c>
      <c r="S127" s="35">
        <f t="shared" si="50"/>
        <v>0.83333333333333337</v>
      </c>
      <c r="T127" s="50" t="str">
        <f t="shared" si="31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10</v>
      </c>
      <c r="V127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16:25:38-700',mode:absolute,to:'2016-12-09 18:49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7" s="52" t="str">
        <f t="shared" si="33"/>
        <v>Y</v>
      </c>
      <c r="X127" s="177">
        <f t="shared" si="47"/>
        <v>1</v>
      </c>
      <c r="Y127" s="67">
        <f t="shared" si="51"/>
        <v>4.5499999999999999E-2</v>
      </c>
      <c r="Z127" s="67">
        <f t="shared" si="48"/>
        <v>10.179399999999999</v>
      </c>
      <c r="AA127" s="67">
        <f t="shared" si="34"/>
        <v>10.133899999999999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5"/>
        <v>0211-09</v>
      </c>
      <c r="AE127" s="91" t="str">
        <f t="shared" si="36"/>
        <v>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 &amp; aws s3 cp s3://rtdc.mdm.uploadarchive.raw/RTDC4029/ "%USERPROFILE%\AppData\Local\Temp\OnboardLogs"\RTDC4029\2016-12-10 --exclude "*" --recursive --include "*20161210*" &amp; "%USERPROFILE%\Documents\GitHub\mrs-test-scripts\Headless Mode &amp; Sideloading\WalkAndUnGZ.bat" "%USERPROFILE%\AppData\Local\Temp\OnboardLogs"\RTDC4029\2016-12-10</v>
      </c>
      <c r="AF127" s="88" t="str">
        <f t="shared" si="37"/>
        <v>"C:\Program Files (x86)\AstroGrep\AstroGrep.exe" /spath="%USERPROFILE%\AppData\Local\Temp\OnboardLogs" /stypes="app*4029*20161210*" /stext=" 00:.+((SYSTEM_STATE.+slice.+state.+changed )|(ment ac)|(multiple cpu faults)|(system.+state.+changed )|(\[timeout)|(PRM\|1\|D)|(kpr)|(kdp)|(\|lc)|(penalty))" /e /r /s</v>
      </c>
      <c r="AG127" s="1" t="str">
        <f t="shared" si="38"/>
        <v>EC</v>
      </c>
      <c r="AH127" s="92" t="str">
        <f t="shared" si="39"/>
        <v>"%USERPROFILE%\Documents\GitHub\eaglep3\Utilities\RefineRTDCRunTimes.py" --tripid 211-09 --locoid 4029 --swversion DE.1.0.8.0 --startMP 204:455 --initTime 2016-12-09T17:25:38 --startdatetime 2016-12-09T17:30:15 --delay 1 --endMP 204:101794 --enddatetime 2016-12-09T17:49:47 --enforcementcount 0 &gt;&gt;C:\Users\stu\Documents\GitHub\eaglep3-reporting\EC\2016-12-09-refined-times.txt</v>
      </c>
      <c r="AI127" s="119" t="str">
        <f t="shared" si="40"/>
        <v>echo {"issue":{"subject":"Talked past Sable (signal system failure)","project_id":79,"tracker_id":40,"status_id":1,"priority_id":2,"assigned_to_id":23,"start_date":"2016-12-09","description":"","custom_fields":[{"id":1,"name":"Subdivision","value":"EC"},{"id":4,"name":"Milepost","value":"10.1794"},{"id":17,"name":"Train ID","value":"211-09"},{"id":16,"name":"Locomotive ID","value":"4029"},{"id":130,"name":"Impact","value":""},{"id":150,"name":"Time of Event (Mountain Time)","value":"17:49:47"},{"id":151,"name":"Denver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7" t="s">
        <v>655</v>
      </c>
      <c r="B128" s="7">
        <v>4030</v>
      </c>
      <c r="C128" s="22" t="s">
        <v>206</v>
      </c>
      <c r="D128" s="22" t="s">
        <v>722</v>
      </c>
      <c r="E128" s="13">
        <v>42713.768657407411</v>
      </c>
      <c r="F128" s="13">
        <v>42713.770243055558</v>
      </c>
      <c r="G128" s="7">
        <v>1</v>
      </c>
      <c r="H128" s="22" t="s">
        <v>735</v>
      </c>
      <c r="I128" s="13">
        <v>42713.799722222226</v>
      </c>
      <c r="J128" s="7">
        <v>0</v>
      </c>
      <c r="K128" s="109" t="str">
        <f t="shared" si="29"/>
        <v>4029/4030</v>
      </c>
      <c r="L128" s="22" t="str">
        <f>VLOOKUP(A128,'Trips&amp;Operators'!$C$1:$G$99999,5,FALSE)</f>
        <v>SHOOK JOHN</v>
      </c>
      <c r="M128" s="6">
        <f t="shared" si="30"/>
        <v>2.9479166667442769E-2</v>
      </c>
      <c r="N128" s="7">
        <f t="shared" ref="N128:N153" si="52">24*60*SUM($M128:$M128)</f>
        <v>42.450000001117587</v>
      </c>
      <c r="O128" s="7"/>
      <c r="P128" s="7"/>
      <c r="Q128" s="23"/>
      <c r="R128" s="23"/>
      <c r="S128" s="35">
        <f t="shared" si="50"/>
        <v>1</v>
      </c>
      <c r="T128" s="50" t="str">
        <f t="shared" si="31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17:26:52-700',mode:absolute,to:'2016-12-09 20:11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8" s="52" t="str">
        <f t="shared" si="33"/>
        <v>N</v>
      </c>
      <c r="X128" s="177">
        <f t="shared" si="47"/>
        <v>1</v>
      </c>
      <c r="Y128" s="67">
        <f t="shared" si="51"/>
        <v>23.296900000000001</v>
      </c>
      <c r="Z128" s="67">
        <f t="shared" si="48"/>
        <v>1.6199999999999999E-2</v>
      </c>
      <c r="AA128" s="67">
        <f t="shared" si="34"/>
        <v>23.2807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5"/>
        <v>0212-09</v>
      </c>
      <c r="AE128" s="91" t="str">
        <f t="shared" si="36"/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AF128" s="88" t="str">
        <f t="shared" si="37"/>
        <v>"C:\Program Files (x86)\AstroGrep\AstroGrep.exe" /spath="%USERPROFILE%\AppData\Local\Temp\OnboardLogs" /stypes="app*4030*20161210*" /stext=" 02:.+((SYSTEM_STATE.+slice.+state.+changed )|(ment ac)|(multiple cpu faults)|(system.+state.+changed )|(\[timeout)|(PRM\|1\|D)|(kpr)|(kdp)|(\|lc)|(penalty))" /e /r /s</v>
      </c>
      <c r="AG128" s="1" t="str">
        <f t="shared" si="38"/>
        <v>EC</v>
      </c>
      <c r="AH128" s="92" t="str">
        <f t="shared" si="39"/>
        <v>"%USERPROFILE%\Documents\GitHub\eaglep3\Utilities\RefineRTDCRunTimes.py" --tripid 212-09 --locoid 4030 --swversion DE.1.0.8.0 --startMP 204:232969 --initTime 2016-12-09T18:26:52 --startdatetime 2016-12-09T18:29:09 --delay 1 --endMP 204:162 --enddatetime 2016-12-09T19:11:36 --enforcementcount 0 &gt;&gt;C:\Users\stu\Documents\GitHub\eaglep3-reporting\EC\2016-12-09-refined-times.txt</v>
      </c>
      <c r="AI128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{"issue":{"subject":"","project_id":79,"tracker_id":40,"status_id":1,"priority_id":2,"assigned_to_id":23,"start_date":"2016-12-09","description":"","custom_fields":[{"id":1,"name":"Subdivision","value":"EC"},{"id":4,"name":"Milepost","value":"0.0162"},{"id":17,"name":"Train ID","value":"212-09"},{"id":16,"name":"Locomotive ID","value":"4030"},{"id":130,"name":"Impact","value":""},{"id":150,"name":"Time of Event (Mountain Time)","value":"19:11:36"},{"id":151,"name":"Denver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91" x14ac:dyDescent="0.25">
      <c r="A129" s="37" t="s">
        <v>516</v>
      </c>
      <c r="B129" s="7">
        <v>4051</v>
      </c>
      <c r="C129" s="22" t="s">
        <v>206</v>
      </c>
      <c r="D129" s="22" t="s">
        <v>240</v>
      </c>
      <c r="E129" s="13">
        <v>42713.737071759257</v>
      </c>
      <c r="F129" s="13">
        <v>42713.739791666667</v>
      </c>
      <c r="G129" s="7">
        <v>1</v>
      </c>
      <c r="H129" s="22" t="s">
        <v>430</v>
      </c>
      <c r="I129" s="13">
        <v>42713.771574074075</v>
      </c>
      <c r="J129" s="7">
        <v>0</v>
      </c>
      <c r="K129" s="109" t="str">
        <f t="shared" si="29"/>
        <v>4051/4052</v>
      </c>
      <c r="L129" s="22" t="str">
        <f>VLOOKUP(A129,'Trips&amp;Operators'!$C$1:$G$99999,5,FALSE)</f>
        <v>YANAI IAN</v>
      </c>
      <c r="M129" s="6">
        <f t="shared" si="30"/>
        <v>3.178240740817273E-2</v>
      </c>
      <c r="N129" s="7">
        <f t="shared" si="52"/>
        <v>45.766666667768732</v>
      </c>
      <c r="O129" s="7"/>
      <c r="P129" s="7"/>
      <c r="Q129" s="23"/>
      <c r="R129" s="23"/>
      <c r="S129" s="35">
        <f t="shared" si="50"/>
        <v>1</v>
      </c>
      <c r="T129" s="50" t="str">
        <f t="shared" si="31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16:41:23-700',mode:absolute,to:'2016-12-09 19:31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29" s="52" t="str">
        <f t="shared" si="33"/>
        <v>N</v>
      </c>
      <c r="X129" s="177">
        <f t="shared" si="47"/>
        <v>1</v>
      </c>
      <c r="Y129" s="67">
        <f t="shared" si="51"/>
        <v>4.7100000000000003E-2</v>
      </c>
      <c r="Z129" s="67">
        <f t="shared" si="48"/>
        <v>23.330400000000001</v>
      </c>
      <c r="AA129" s="67">
        <f t="shared" si="34"/>
        <v>23.283300000000001</v>
      </c>
      <c r="AB129" s="64" t="str">
        <f>VLOOKUP(A129,Enforcements!$C$7:$K$20,8,0)</f>
        <v>Signal based authority (5)</v>
      </c>
      <c r="AC129" s="60" t="str">
        <f>VLOOKUP(A129,Enforcements!$C$7:$E$20,3,0)</f>
        <v>SIGNAL</v>
      </c>
      <c r="AD129" s="61" t="str">
        <f t="shared" si="35"/>
        <v>0213-09</v>
      </c>
      <c r="AE129" s="91" t="str">
        <f t="shared" si="36"/>
        <v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v>
      </c>
      <c r="AF129" s="88" t="str">
        <f t="shared" si="37"/>
        <v>"C:\Program Files (x86)\AstroGrep\AstroGrep.exe" /spath="%USERPROFILE%\AppData\Local\Temp\OnboardLogs" /stypes="app*4051*20161210*" /stext=" 01:.+((SYSTEM_STATE.+slice.+state.+changed )|(ment ac)|(multiple cpu faults)|(system.+state.+changed )|(\[timeout)|(PRM\|1\|D)|(kpr)|(kdp)|(\|lc)|(penalty))" /e /r /s</v>
      </c>
      <c r="AG129" s="1" t="str">
        <f t="shared" si="38"/>
        <v>EC</v>
      </c>
      <c r="AH129" s="92" t="str">
        <f t="shared" si="39"/>
        <v>"%USERPROFILE%\Documents\GitHub\eaglep3\Utilities\RefineRTDCRunTimes.py" --tripid 213-09 --locoid 4051 --swversion DE.1.0.8.0 --startMP 204:471 --initTime 2016-12-09T17:41:23 --startdatetime 2016-12-09T17:45:18 --delay 1 --endMP 204:233304 --enddatetime 2016-12-09T18:31:04 --enforcementcount 0 &gt;&gt;C:\Users\stu\Documents\GitHub\eaglep3-reporting\EC\2016-12-09-refined-times.txt</v>
      </c>
      <c r="AI129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{"issue":{"subject":"","project_id":79,"tracker_id":40,"status_id":1,"priority_id":2,"assigned_to_id":23,"start_date":"2016-12-09","description":"","custom_fields":[{"id":1,"name":"Subdivision","value":"EC"},{"id":4,"name":"Milepost","value":"23.3304"},{"id":17,"name":"Train ID","value":"213-09"},{"id":16,"name":"Locomotive ID","value":"4051"},{"id":130,"name":"Impact","value":""},{"id":150,"name":"Time of Event (Mountain Time)","value":"18:31:04"},{"id":151,"name":"Denver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91" s="21" customFormat="1" x14ac:dyDescent="0.25">
      <c r="A130" s="37" t="s">
        <v>657</v>
      </c>
      <c r="B130" s="7">
        <v>4052</v>
      </c>
      <c r="C130" s="22" t="s">
        <v>206</v>
      </c>
      <c r="D130" s="22" t="s">
        <v>713</v>
      </c>
      <c r="E130" s="13">
        <v>42713.775752314818</v>
      </c>
      <c r="F130" s="13">
        <v>42713.778738425928</v>
      </c>
      <c r="G130" s="7">
        <v>1</v>
      </c>
      <c r="H130" s="22" t="s">
        <v>233</v>
      </c>
      <c r="I130" s="13">
        <v>42713.805381944447</v>
      </c>
      <c r="J130" s="7">
        <v>0</v>
      </c>
      <c r="K130" s="109" t="str">
        <f t="shared" si="29"/>
        <v>4051/4052</v>
      </c>
      <c r="L130" s="22" t="str">
        <f>VLOOKUP(A130,'Trips&amp;Operators'!$C$1:$G$99999,5,FALSE)</f>
        <v>YANAI IAN</v>
      </c>
      <c r="M130" s="6">
        <f t="shared" si="30"/>
        <v>2.6643518518540077E-2</v>
      </c>
      <c r="N130" s="7">
        <f t="shared" si="52"/>
        <v>38.366666666697711</v>
      </c>
      <c r="O130" s="7"/>
      <c r="P130" s="7"/>
      <c r="Q130" s="23"/>
      <c r="R130" s="23"/>
      <c r="S130" s="35">
        <f t="shared" si="50"/>
        <v>1</v>
      </c>
      <c r="T130" s="50" t="str">
        <f t="shared" si="31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17:37:05-700',mode:absolute,to:'2016-12-09 20:19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30" s="52" t="str">
        <f t="shared" si="33"/>
        <v>N</v>
      </c>
      <c r="X130" s="177">
        <f t="shared" si="47"/>
        <v>1</v>
      </c>
      <c r="Y130" s="67">
        <f t="shared" si="51"/>
        <v>23.299299999999999</v>
      </c>
      <c r="Z130" s="67">
        <f t="shared" si="48"/>
        <v>1.6500000000000001E-2</v>
      </c>
      <c r="AA130" s="67">
        <f t="shared" si="34"/>
        <v>23.282799999999998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5"/>
        <v>0214-09</v>
      </c>
      <c r="AE130" s="91" t="str">
        <f t="shared" si="36"/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AF130" s="88" t="str">
        <f t="shared" si="37"/>
        <v>"C:\Program Files (x86)\AstroGrep\AstroGrep.exe" /spath="%USERPROFILE%\AppData\Local\Temp\OnboardLogs" /stypes="app*4052*20161210*" /stext=" 02:.+((SYSTEM_STATE.+slice.+state.+changed )|(ment ac)|(multiple cpu faults)|(system.+state.+changed )|(\[timeout)|(PRM\|1\|D)|(kpr)|(kdp)|(\|lc)|(penalty))" /e /r /s</v>
      </c>
      <c r="AG130" s="1" t="str">
        <f t="shared" si="38"/>
        <v>EC</v>
      </c>
      <c r="AH130" s="92" t="str">
        <f t="shared" si="39"/>
        <v>"%USERPROFILE%\Documents\GitHub\eaglep3\Utilities\RefineRTDCRunTimes.py" --tripid 214-09 --locoid 4052 --swversion DE.1.0.8.0 --startMP 204:232993 --initTime 2016-12-09T18:37:05 --startdatetime 2016-12-09T18:41:23 --delay 1 --endMP 204:165 --enddatetime 2016-12-09T19:19:45 --enforcementcount 0 &gt;&gt;C:\Users\stu\Documents\GitHub\eaglep3-reporting\EC\2016-12-09-refined-times.txt</v>
      </c>
      <c r="AI130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{"issue":{"subject":"","project_id":79,"tracker_id":40,"status_id":1,"priority_id":2,"assigned_to_id":23,"start_date":"2016-12-09","description":"","custom_fields":[{"id":1,"name":"Subdivision","value":"EC"},{"id":4,"name":"Milepost","value":"0.0165"},{"id":17,"name":"Train ID","value":"214-09"},{"id":16,"name":"Locomotive ID","value":"4052"},{"id":130,"name":"Impact","value":""},{"id":150,"name":"Time of Event (Mountain Time)","value":"19:19:45"},{"id":151,"name":"Denver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517</v>
      </c>
      <c r="B131" s="7">
        <v>4025</v>
      </c>
      <c r="C131" s="22" t="s">
        <v>206</v>
      </c>
      <c r="D131" s="22" t="s">
        <v>718</v>
      </c>
      <c r="E131" s="13">
        <v>42713.749085648145</v>
      </c>
      <c r="F131" s="13">
        <v>42713.752916666665</v>
      </c>
      <c r="G131" s="7">
        <v>1</v>
      </c>
      <c r="H131" s="22" t="s">
        <v>727</v>
      </c>
      <c r="I131" s="13">
        <v>42713.779236111113</v>
      </c>
      <c r="J131" s="7">
        <v>0</v>
      </c>
      <c r="K131" s="109" t="str">
        <f t="shared" si="29"/>
        <v>4025/4026</v>
      </c>
      <c r="L131" s="22" t="str">
        <f>VLOOKUP(A131,'Trips&amp;Operators'!$C$1:$G$99999,5,FALSE)</f>
        <v>LOPES KIMBERLY</v>
      </c>
      <c r="M131" s="6">
        <f t="shared" si="30"/>
        <v>2.6319444448745344E-2</v>
      </c>
      <c r="N131" s="7">
        <f t="shared" si="52"/>
        <v>37.900000006193295</v>
      </c>
      <c r="O131" s="7"/>
      <c r="P131" s="7"/>
      <c r="Q131" s="23"/>
      <c r="R131" s="23"/>
      <c r="S131" s="35">
        <f t="shared" si="50"/>
        <v>1</v>
      </c>
      <c r="T131" s="50" t="str">
        <f t="shared" si="31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16:58:41-700',mode:absolute,to:'2016-12-09 19:42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31" s="52" t="str">
        <f t="shared" si="33"/>
        <v>N</v>
      </c>
      <c r="X131" s="177">
        <f t="shared" si="47"/>
        <v>1</v>
      </c>
      <c r="Y131" s="67">
        <f t="shared" si="51"/>
        <v>4.6199999999999998E-2</v>
      </c>
      <c r="Z131" s="67">
        <f t="shared" si="48"/>
        <v>23.328399999999998</v>
      </c>
      <c r="AA131" s="67">
        <f t="shared" si="34"/>
        <v>23.2822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5"/>
        <v>0215-09</v>
      </c>
      <c r="AE131" s="91" t="str">
        <f t="shared" si="36"/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AF131" s="88" t="str">
        <f t="shared" si="37"/>
        <v>"C:\Program Files (x86)\AstroGrep\AstroGrep.exe" /spath="%USERPROFILE%\AppData\Local\Temp\OnboardLogs" /stypes="app*4025*20161210*" /stext=" 01:.+((SYSTEM_STATE.+slice.+state.+changed )|(ment ac)|(multiple cpu faults)|(system.+state.+changed )|(\[timeout)|(PRM\|1\|D)|(kpr)|(kdp)|(\|lc)|(penalty))" /e /r /s</v>
      </c>
      <c r="AG131" s="1" t="str">
        <f t="shared" si="38"/>
        <v>EC</v>
      </c>
      <c r="AH131" s="92" t="str">
        <f t="shared" si="39"/>
        <v>"%USERPROFILE%\Documents\GitHub\eaglep3\Utilities\RefineRTDCRunTimes.py" --tripid 215-09 --locoid 4025 --swversion DE.1.0.8.0 --startMP 204:462 --initTime 2016-12-09T17:58:41 --startdatetime 2016-12-09T18:04:12 --delay 1 --endMP 204:233284 --enddatetime 2016-12-09T18:42:06 --enforcementcount 0 &gt;&gt;C:\Users\stu\Documents\GitHub\eaglep3-reporting\EC\2016-12-09-refined-times.txt</v>
      </c>
      <c r="AI131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{"issue":{"subject":"","project_id":79,"tracker_id":40,"status_id":1,"priority_id":2,"assigned_to_id":23,"start_date":"2016-12-09","description":"","custom_fields":[{"id":1,"name":"Subdivision","value":"EC"},{"id":4,"name":"Milepost","value":"23.3284"},{"id":17,"name":"Train ID","value":"215-09"},{"id":16,"name":"Locomotive ID","value":"4025"},{"id":130,"name":"Impact","value":""},{"id":150,"name":"Time of Event (Mountain Time)","value":"18:42:06"},{"id":151,"name":"Denver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659</v>
      </c>
      <c r="B132" s="7">
        <v>4026</v>
      </c>
      <c r="C132" s="22" t="s">
        <v>206</v>
      </c>
      <c r="D132" s="22" t="s">
        <v>336</v>
      </c>
      <c r="E132" s="13">
        <v>42713.780648148146</v>
      </c>
      <c r="F132" s="13">
        <v>42713.7890625</v>
      </c>
      <c r="G132" s="7">
        <v>1</v>
      </c>
      <c r="H132" s="22" t="s">
        <v>208</v>
      </c>
      <c r="I132" s="13">
        <v>42713.816874999997</v>
      </c>
      <c r="J132" s="7">
        <v>0</v>
      </c>
      <c r="K132" s="109" t="str">
        <f t="shared" si="29"/>
        <v>4025/4026</v>
      </c>
      <c r="L132" s="22" t="str">
        <f>VLOOKUP(A132,'Trips&amp;Operators'!$C$1:$G$99999,5,FALSE)</f>
        <v>LOPES KIMBERLY</v>
      </c>
      <c r="M132" s="6">
        <f t="shared" si="30"/>
        <v>2.7812499996798579E-2</v>
      </c>
      <c r="N132" s="7">
        <f t="shared" si="52"/>
        <v>40.049999995389953</v>
      </c>
      <c r="O132" s="7"/>
      <c r="P132" s="7"/>
      <c r="Q132" s="23"/>
      <c r="R132" s="23"/>
      <c r="S132" s="35">
        <f t="shared" si="50"/>
        <v>1</v>
      </c>
      <c r="T132" s="50" t="str">
        <f t="shared" si="31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17:44:08-700',mode:absolute,to:'2016-12-09 20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32" s="52" t="str">
        <f t="shared" si="33"/>
        <v>N</v>
      </c>
      <c r="X132" s="177">
        <f t="shared" si="47"/>
        <v>1</v>
      </c>
      <c r="Y132" s="67">
        <f t="shared" si="51"/>
        <v>23.2973</v>
      </c>
      <c r="Z132" s="67">
        <f t="shared" si="48"/>
        <v>1.5800000000000002E-2</v>
      </c>
      <c r="AA132" s="67">
        <f t="shared" si="34"/>
        <v>23.281500000000001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5"/>
        <v>0216-09</v>
      </c>
      <c r="AE132" s="91" t="str">
        <f t="shared" si="36"/>
        <v>aws s3 cp s3://rtdc.mdm.uploadarchive.raw/RTDC4026/ "%USERPROFILE%\AppData\Local\Temp\OnboardLogs"\RTDC4026\2016-12-09 --exclude "*" --recursive --include "*20161209*" &amp; "%USERPROFILE%\Documents\GitHub\mrs-test-scripts\Headless Mode &amp; Sideloading\WalkAndUnGZ.bat" "%USERPROFILE%\AppData\Local\Temp\OnboardLogs"\RTDC4026\2016-12-09 &amp; 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</v>
      </c>
      <c r="AF132" s="88" t="str">
        <f t="shared" si="37"/>
        <v>"C:\Program Files (x86)\AstroGrep\AstroGrep.exe" /spath="%USERPROFILE%\AppData\Local\Temp\OnboardLogs" /stypes="app*4026*20161210*" /stext=" 02:.+((SYSTEM_STATE.+slice.+state.+changed )|(ment ac)|(multiple cpu faults)|(system.+state.+changed )|(\[timeout)|(PRM\|1\|D)|(kpr)|(kdp)|(\|lc)|(penalty))" /e /r /s</v>
      </c>
      <c r="AG132" s="1" t="str">
        <f t="shared" si="38"/>
        <v>EC</v>
      </c>
      <c r="AH132" s="92" t="str">
        <f t="shared" si="39"/>
        <v>"%USERPROFILE%\Documents\GitHub\eaglep3\Utilities\RefineRTDCRunTimes.py" --tripid 216-09 --locoid 4026 --swversion DE.1.0.8.0 --startMP 204:232973 --initTime 2016-12-09T18:44:08 --startdatetime 2016-12-09T18:56:15 --delay 1 --endMP 204:158 --enddatetime 2016-12-09T19:36:18 --enforcementcount 0 &gt;&gt;C:\Users\stu\Documents\GitHub\eaglep3-reporting\EC\2016-12-09-refined-times.txt</v>
      </c>
      <c r="AI132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{"issue":{"subject":"","project_id":79,"tracker_id":40,"status_id":1,"priority_id":2,"assigned_to_id":23,"start_date":"2016-12-09","description":"","custom_fields":[{"id":1,"name":"Subdivision","value":"EC"},{"id":4,"name":"Milepost","value":"0.0158"},{"id":17,"name":"Train ID","value":"216-09"},{"id":16,"name":"Locomotive ID","value":"4026"},{"id":130,"name":"Impact","value":""},{"id":150,"name":"Time of Event (Mountain Time)","value":"19:36:18"},{"id":151,"name":"Denver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653</v>
      </c>
      <c r="B133" s="7">
        <v>4022</v>
      </c>
      <c r="C133" s="22" t="s">
        <v>206</v>
      </c>
      <c r="D133" s="22" t="s">
        <v>286</v>
      </c>
      <c r="E133" s="13">
        <v>42713.765949074077</v>
      </c>
      <c r="F133" s="13">
        <v>42713.767060185186</v>
      </c>
      <c r="G133" s="7">
        <v>1</v>
      </c>
      <c r="H133" s="22" t="s">
        <v>736</v>
      </c>
      <c r="I133" s="13">
        <v>42713.795949074076</v>
      </c>
      <c r="J133" s="7">
        <v>0</v>
      </c>
      <c r="K133" s="109" t="str">
        <f t="shared" si="29"/>
        <v>4021/4022</v>
      </c>
      <c r="L133" s="22" t="str">
        <f>VLOOKUP(A133,'Trips&amp;Operators'!$C$1:$G$99999,5,FALSE)</f>
        <v>CHANDLER KELVIN</v>
      </c>
      <c r="M133" s="6">
        <f t="shared" si="30"/>
        <v>2.8888888889923692E-2</v>
      </c>
      <c r="N133" s="7">
        <f t="shared" si="52"/>
        <v>41.600000001490116</v>
      </c>
      <c r="O133" s="7"/>
      <c r="P133" s="7"/>
      <c r="Q133" s="23"/>
      <c r="R133" s="23"/>
      <c r="S133" s="35">
        <f t="shared" si="50"/>
        <v>1</v>
      </c>
      <c r="T133" s="50" t="str">
        <f t="shared" si="31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17:22:58-700',mode:absolute,to:'2016-12-09 20:06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3" s="52" t="str">
        <f t="shared" si="33"/>
        <v>N</v>
      </c>
      <c r="X133" s="177">
        <f t="shared" si="47"/>
        <v>1</v>
      </c>
      <c r="Y133" s="67">
        <f t="shared" si="51"/>
        <v>4.6899999999999997E-2</v>
      </c>
      <c r="Z133" s="67">
        <f t="shared" si="48"/>
        <v>23.328099999999999</v>
      </c>
      <c r="AA133" s="67">
        <f t="shared" si="34"/>
        <v>23.281199999999998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5"/>
        <v>0217-09</v>
      </c>
      <c r="AE133" s="91" t="str">
        <f t="shared" si="36"/>
        <v>aws s3 cp s3://rtdc.mdm.uploadarchive.raw/RTDC4022/ "%USERPROFILE%\AppData\Local\Temp\OnboardLogs"\RTDC4022\2016-12-09 --exclude "*" --recursive --include "*20161209*" &amp; "%USERPROFILE%\Documents\GitHub\mrs-test-scripts\Headless Mode &amp; Sideloading\WalkAndUnGZ.bat" "%USERPROFILE%\AppData\Local\Temp\OnboardLogs"\RTDC4022\2016-12-09 &amp; aws s3 cp s3://rtdc.mdm.uploadarchive.raw/RTDC4022/ "%USERPROFILE%\AppData\Local\Temp\OnboardLogs"\RTDC4022\2016-12-10 --exclude "*" --recursive --include "*20161210*" &amp; "%USERPROFILE%\Documents\GitHub\mrs-test-scripts\Headless Mode &amp; Sideloading\WalkAndUnGZ.bat" "%USERPROFILE%\AppData\Local\Temp\OnboardLogs"\RTDC4022\2016-12-10</v>
      </c>
      <c r="AF133" s="88" t="str">
        <f t="shared" si="37"/>
        <v>"C:\Program Files (x86)\AstroGrep\AstroGrep.exe" /spath="%USERPROFILE%\AppData\Local\Temp\OnboardLogs" /stypes="app*4022*20161210*" /stext=" 02:.+((SYSTEM_STATE.+slice.+state.+changed )|(ment ac)|(multiple cpu faults)|(system.+state.+changed )|(\[timeout)|(PRM\|1\|D)|(kpr)|(kdp)|(\|lc)|(penalty))" /e /r /s</v>
      </c>
      <c r="AG133" s="1" t="str">
        <f t="shared" si="38"/>
        <v>EC</v>
      </c>
      <c r="AH133" s="92" t="str">
        <f t="shared" si="39"/>
        <v>"%USERPROFILE%\Documents\GitHub\eaglep3\Utilities\RefineRTDCRunTimes.py" --tripid 217-09 --locoid 4022 --swversion DE.1.0.8.0 --startMP 204:469 --initTime 2016-12-09T18:22:58 --startdatetime 2016-12-09T18:24:34 --delay 1 --endMP 204:233281 --enddatetime 2016-12-09T19:06:10 --enforcementcount 0 &gt;&gt;C:\Users\stu\Documents\GitHub\eaglep3-reporting\EC\2016-12-09-refined-times.txt</v>
      </c>
      <c r="AI133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{"issue":{"subject":"","project_id":79,"tracker_id":40,"status_id":1,"priority_id":2,"assigned_to_id":23,"start_date":"2016-12-09","description":"","custom_fields":[{"id":1,"name":"Subdivision","value":"EC"},{"id":4,"name":"Milepost","value":"23.3281"},{"id":17,"name":"Train ID","value":"217-09"},{"id":16,"name":"Locomotive ID","value":"4022"},{"id":130,"name":"Impact","value":""},{"id":150,"name":"Time of Event (Mountain Time)","value":"19:06:10"},{"id":151,"name":"Denver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664</v>
      </c>
      <c r="B134" s="7">
        <v>4021</v>
      </c>
      <c r="C134" s="22" t="s">
        <v>206</v>
      </c>
      <c r="D134" s="22" t="s">
        <v>440</v>
      </c>
      <c r="E134" s="13">
        <v>42713.799756944441</v>
      </c>
      <c r="F134" s="13">
        <v>42713.800879629627</v>
      </c>
      <c r="G134" s="7">
        <v>1</v>
      </c>
      <c r="H134" s="22" t="s">
        <v>204</v>
      </c>
      <c r="I134" s="13">
        <v>42713.829155092593</v>
      </c>
      <c r="J134" s="7">
        <v>0</v>
      </c>
      <c r="K134" s="109" t="str">
        <f t="shared" si="29"/>
        <v>4021/4022</v>
      </c>
      <c r="L134" s="22" t="str">
        <f>VLOOKUP(A134,'Trips&amp;Operators'!$C$1:$G$99999,5,FALSE)</f>
        <v>CHANDLER KELVIN</v>
      </c>
      <c r="M134" s="6">
        <f t="shared" si="30"/>
        <v>2.8275462966121268E-2</v>
      </c>
      <c r="N134" s="7">
        <f t="shared" si="52"/>
        <v>40.716666671214625</v>
      </c>
      <c r="O134" s="7"/>
      <c r="P134" s="7"/>
      <c r="Q134" s="23"/>
      <c r="R134" s="23"/>
      <c r="S134" s="35">
        <f t="shared" si="50"/>
        <v>1</v>
      </c>
      <c r="T134" s="50" t="str">
        <f t="shared" si="31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18:11:39-700',mode:absolute,to:'2016-12-09 20:53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34" s="52" t="str">
        <f t="shared" si="33"/>
        <v>N</v>
      </c>
      <c r="X134" s="177">
        <f t="shared" si="47"/>
        <v>1</v>
      </c>
      <c r="Y134" s="67">
        <f t="shared" si="51"/>
        <v>23.297699999999999</v>
      </c>
      <c r="Z134" s="67">
        <f t="shared" si="48"/>
        <v>1.5599999999999999E-2</v>
      </c>
      <c r="AA134" s="67">
        <f t="shared" si="34"/>
        <v>23.2821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5"/>
        <v>0218-09</v>
      </c>
      <c r="AE134" s="91" t="str">
        <f t="shared" si="36"/>
        <v>aws s3 cp s3://rtdc.mdm.uploadarchive.raw/RTDC4021/ "%USERPROFILE%\AppData\Local\Temp\OnboardLogs"\RTDC4021\2016-12-09 --exclude "*" --recursive --include "*20161209*" &amp; "%USERPROFILE%\Documents\GitHub\mrs-test-scripts\Headless Mode &amp; Sideloading\WalkAndUnGZ.bat" "%USERPROFILE%\AppData\Local\Temp\OnboardLogs"\RTDC4021\2016-12-09 &amp; aws s3 cp s3://rtdc.mdm.uploadarchive.raw/RTDC4021/ "%USERPROFILE%\AppData\Local\Temp\OnboardLogs"\RTDC4021\2016-12-10 --exclude "*" --recursive --include "*20161210*" &amp; "%USERPROFILE%\Documents\GitHub\mrs-test-scripts\Headless Mode &amp; Sideloading\WalkAndUnGZ.bat" "%USERPROFILE%\AppData\Local\Temp\OnboardLogs"\RTDC4021\2016-12-10</v>
      </c>
      <c r="AF134" s="88" t="str">
        <f t="shared" si="37"/>
        <v>"C:\Program Files (x86)\AstroGrep\AstroGrep.exe" /spath="%USERPROFILE%\AppData\Local\Temp\OnboardLogs" /stypes="app*4021*20161210*" /stext=" 02:.+((SYSTEM_STATE.+slice.+state.+changed )|(ment ac)|(multiple cpu faults)|(system.+state.+changed )|(\[timeout)|(PRM\|1\|D)|(kpr)|(kdp)|(\|lc)|(penalty))" /e /r /s</v>
      </c>
      <c r="AG134" s="1" t="str">
        <f t="shared" si="38"/>
        <v>EC</v>
      </c>
      <c r="AH134" s="92" t="str">
        <f t="shared" si="39"/>
        <v>"%USERPROFILE%\Documents\GitHub\eaglep3\Utilities\RefineRTDCRunTimes.py" --tripid 218-09 --locoid 4021 --swversion DE.1.0.8.0 --startMP 204:232977 --initTime 2016-12-09T19:11:39 --startdatetime 2016-12-09T19:13:16 --delay 1 --endMP 204:156 --enddatetime 2016-12-09T19:53:59 --enforcementcount 0 &gt;&gt;C:\Users\stu\Documents\GitHub\eaglep3-reporting\EC\2016-12-09-refined-times.txt</v>
      </c>
      <c r="AI134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{"issue":{"subject":"","project_id":79,"tracker_id":40,"status_id":1,"priority_id":2,"assigned_to_id":23,"start_date":"2016-12-09","description":"","custom_fields":[{"id":1,"name":"Subdivision","value":"EC"},{"id":4,"name":"Milepost","value":"0.0156"},{"id":17,"name":"Train ID","value":"218-09"},{"id":16,"name":"Locomotive ID","value":"4021"},{"id":130,"name":"Impact","value":""},{"id":150,"name":"Time of Event (Mountain Time)","value":"19:53:59"},{"id":151,"name":"Denver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518</v>
      </c>
      <c r="B135" s="7">
        <v>4002</v>
      </c>
      <c r="C135" s="22" t="s">
        <v>206</v>
      </c>
      <c r="D135" s="22" t="s">
        <v>268</v>
      </c>
      <c r="E135" s="13">
        <v>42713.770543981482</v>
      </c>
      <c r="F135" s="13">
        <v>42713.772812499999</v>
      </c>
      <c r="G135" s="7">
        <v>2</v>
      </c>
      <c r="H135" s="22" t="s">
        <v>322</v>
      </c>
      <c r="I135" s="13">
        <v>42713.802349537036</v>
      </c>
      <c r="J135" s="7">
        <v>0</v>
      </c>
      <c r="K135" s="109" t="str">
        <f t="shared" si="29"/>
        <v>4001/4002</v>
      </c>
      <c r="L135" s="22" t="str">
        <f>VLOOKUP(A135,'Trips&amp;Operators'!$C$1:$G$99999,5,FALSE)</f>
        <v>STAMBAUGH JAMES</v>
      </c>
      <c r="M135" s="6">
        <f t="shared" si="30"/>
        <v>2.9537037036789116E-2</v>
      </c>
      <c r="N135" s="7">
        <f t="shared" si="52"/>
        <v>42.533333332976326</v>
      </c>
      <c r="O135" s="7"/>
      <c r="P135" s="7"/>
      <c r="Q135" s="23"/>
      <c r="R135" s="23"/>
      <c r="S135" s="35">
        <f t="shared" si="50"/>
        <v>1</v>
      </c>
      <c r="T135" s="50" t="str">
        <f t="shared" si="31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17:29:35-700',mode:absolute,to:'2016-12-09 20:15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35" s="52" t="str">
        <f t="shared" si="33"/>
        <v>N</v>
      </c>
      <c r="X135" s="177">
        <f t="shared" si="47"/>
        <v>1</v>
      </c>
      <c r="Y135" s="67">
        <f t="shared" si="51"/>
        <v>4.3799999999999999E-2</v>
      </c>
      <c r="Z135" s="67">
        <f t="shared" si="48"/>
        <v>23.331399999999999</v>
      </c>
      <c r="AA135" s="67">
        <f t="shared" si="34"/>
        <v>23.287599999999998</v>
      </c>
      <c r="AB135" s="64" t="str">
        <f>VLOOKUP(A135,Enforcements!$C$7:$K$20,8,0)</f>
        <v>Bulletin (2)</v>
      </c>
      <c r="AC135" s="60" t="str">
        <f>VLOOKUP(A135,Enforcements!$C$7:$E$20,3,0)</f>
        <v>GRADE CROSSING</v>
      </c>
      <c r="AD135" s="61" t="str">
        <f t="shared" si="35"/>
        <v>0219-09</v>
      </c>
      <c r="AE135" s="91" t="str">
        <f t="shared" si="36"/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AF135" s="88" t="str">
        <f t="shared" si="37"/>
        <v>"C:\Program Files (x86)\AstroGrep\AstroGrep.exe" /spath="%USERPROFILE%\AppData\Local\Temp\OnboardLogs" /stypes="app*4002*20161210*" /stext=" 02:.+((SYSTEM_STATE.+slice.+state.+changed )|(ment ac)|(multiple cpu faults)|(system.+state.+changed )|(\[timeout)|(PRM\|1\|D)|(kpr)|(kdp)|(\|lc)|(penalty))" /e /r /s</v>
      </c>
      <c r="AG135" s="1" t="str">
        <f t="shared" si="38"/>
        <v>EC</v>
      </c>
      <c r="AH135" s="92" t="str">
        <f t="shared" si="39"/>
        <v>"%USERPROFILE%\Documents\GitHub\eaglep3\Utilities\RefineRTDCRunTimes.py" --tripid 219-09 --locoid 4002 --swversion DE.1.0.8.0 --startMP 204:438 --initTime 2016-12-09T18:29:35 --startdatetime 2016-12-09T18:32:51 --delay 2 --endMP 204:233314 --enddatetime 2016-12-09T19:15:23 --enforcementcount 0 &gt;&gt;C:\Users\stu\Documents\GitHub\eaglep3-reporting\EC\2016-12-09-refined-times.txt</v>
      </c>
      <c r="AI135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{"issue":{"subject":"","project_id":79,"tracker_id":40,"status_id":1,"priority_id":2,"assigned_to_id":23,"start_date":"2016-12-09","description":"","custom_fields":[{"id":1,"name":"Subdivision","value":"EC"},{"id":4,"name":"Milepost","value":"23.3314"},{"id":17,"name":"Train ID","value":"219-09"},{"id":16,"name":"Locomotive ID","value":"4002"},{"id":130,"name":"Impact","value":""},{"id":150,"name":"Time of Event (Mountain Time)","value":"19:15:23"},{"id":151,"name":"Denver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668</v>
      </c>
      <c r="B136" s="7">
        <v>4001</v>
      </c>
      <c r="C136" s="22" t="s">
        <v>206</v>
      </c>
      <c r="D136" s="22" t="s">
        <v>296</v>
      </c>
      <c r="E136" s="13">
        <v>42713.807222222225</v>
      </c>
      <c r="F136" s="13">
        <v>42713.810057870367</v>
      </c>
      <c r="G136" s="7">
        <v>3</v>
      </c>
      <c r="H136" s="22" t="s">
        <v>193</v>
      </c>
      <c r="I136" s="13">
        <v>42713.835995370369</v>
      </c>
      <c r="J136" s="7">
        <v>0</v>
      </c>
      <c r="K136" s="109" t="str">
        <f t="shared" si="29"/>
        <v>4001/4002</v>
      </c>
      <c r="L136" s="22" t="str">
        <f>VLOOKUP(A136,'Trips&amp;Operators'!$C$1:$G$99999,5,FALSE)</f>
        <v>STAMBAUGH JAMES</v>
      </c>
      <c r="M136" s="6">
        <f t="shared" si="30"/>
        <v>2.5937500002328306E-2</v>
      </c>
      <c r="N136" s="7">
        <f t="shared" si="52"/>
        <v>37.350000003352761</v>
      </c>
      <c r="O136" s="7"/>
      <c r="P136" s="7"/>
      <c r="Q136" s="23"/>
      <c r="R136" s="23"/>
      <c r="S136" s="35">
        <f t="shared" si="50"/>
        <v>1</v>
      </c>
      <c r="T136" s="50" t="str">
        <f t="shared" si="31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18:22:24-700',mode:absolute,to:'2016-12-09 21:03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36" s="52" t="str">
        <f t="shared" si="33"/>
        <v>N</v>
      </c>
      <c r="X136" s="177">
        <f t="shared" si="47"/>
        <v>1</v>
      </c>
      <c r="Y136" s="67">
        <f t="shared" si="51"/>
        <v>23.299399999999999</v>
      </c>
      <c r="Z136" s="67">
        <f t="shared" si="48"/>
        <v>1.43E-2</v>
      </c>
      <c r="AA136" s="67">
        <f t="shared" si="34"/>
        <v>23.2851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5"/>
        <v>0220-09</v>
      </c>
      <c r="AE136" s="91" t="str">
        <f t="shared" si="36"/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AF136" s="88" t="str">
        <f t="shared" si="37"/>
        <v>"C:\Program Files (x86)\AstroGrep\AstroGrep.exe" /spath="%USERPROFILE%\AppData\Local\Temp\OnboardLogs" /stypes="app*4001*20161210*" /stext=" 03:.+((SYSTEM_STATE.+slice.+state.+changed )|(ment ac)|(multiple cpu faults)|(system.+state.+changed )|(\[timeout)|(PRM\|1\|D)|(kpr)|(kdp)|(\|lc)|(penalty))" /e /r /s</v>
      </c>
      <c r="AG136" s="1" t="str">
        <f t="shared" si="38"/>
        <v>EC</v>
      </c>
      <c r="AH136" s="92" t="str">
        <f t="shared" si="39"/>
        <v>"%USERPROFILE%\Documents\GitHub\eaglep3\Utilities\RefineRTDCRunTimes.py" --tripid 220-09 --locoid 4001 --swversion DE.1.0.8.0 --startMP 204:232994 --initTime 2016-12-09T19:22:24 --startdatetime 2016-12-09T19:26:29 --delay 3 --endMP 204:143 --enddatetime 2016-12-09T20:03:50 --enforcementcount 0 &gt;&gt;C:\Users\stu\Documents\GitHub\eaglep3-reporting\EC\2016-12-09-refined-times.txt</v>
      </c>
      <c r="AI136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{"issue":{"subject":"","project_id":79,"tracker_id":40,"status_id":1,"priority_id":2,"assigned_to_id":23,"start_date":"2016-12-09","description":"","custom_fields":[{"id":1,"name":"Subdivision","value":"EC"},{"id":4,"name":"Milepost","value":"0.0143"},{"id":17,"name":"Train ID","value":"220-09"},{"id":16,"name":"Locomotive ID","value":"4001"},{"id":130,"name":"Impact","value":""},{"id":150,"name":"Time of Event (Mountain Time)","value":"20:03:50"},{"id":151,"name":"Denver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660</v>
      </c>
      <c r="B137" s="7">
        <v>4011</v>
      </c>
      <c r="C137" s="22" t="s">
        <v>206</v>
      </c>
      <c r="D137" s="22" t="s">
        <v>432</v>
      </c>
      <c r="E137" s="13">
        <v>42713.781122685185</v>
      </c>
      <c r="F137" s="13">
        <v>42713.791979166665</v>
      </c>
      <c r="G137" s="7">
        <v>1</v>
      </c>
      <c r="H137" s="22" t="s">
        <v>339</v>
      </c>
      <c r="I137" s="13">
        <v>42713.816504629627</v>
      </c>
      <c r="J137" s="7">
        <v>0</v>
      </c>
      <c r="K137" s="109" t="str">
        <f t="shared" si="29"/>
        <v>4011/4012</v>
      </c>
      <c r="L137" s="22" t="str">
        <f>VLOOKUP(A137,'Trips&amp;Operators'!$C$1:$G$99999,5,FALSE)</f>
        <v>LEVIN SCOTT</v>
      </c>
      <c r="M137" s="6">
        <f t="shared" si="30"/>
        <v>2.4525462962628808E-2</v>
      </c>
      <c r="N137" s="7">
        <f t="shared" si="52"/>
        <v>35.316666666185483</v>
      </c>
      <c r="O137" s="7"/>
      <c r="P137" s="7"/>
      <c r="Q137" s="23"/>
      <c r="R137" s="23"/>
      <c r="S137" s="35">
        <f t="shared" si="50"/>
        <v>1</v>
      </c>
      <c r="T137" s="50" t="str">
        <f t="shared" si="31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17:44:49-700',mode:absolute,to:'2016-12-09 20:35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37" s="52" t="str">
        <f t="shared" si="33"/>
        <v>N</v>
      </c>
      <c r="X137" s="177">
        <f t="shared" si="47"/>
        <v>1</v>
      </c>
      <c r="Y137" s="67">
        <f t="shared" si="51"/>
        <v>4.7300000000000002E-2</v>
      </c>
      <c r="Z137" s="67">
        <f t="shared" si="48"/>
        <v>23.333200000000001</v>
      </c>
      <c r="AA137" s="67">
        <f t="shared" si="34"/>
        <v>23.285900000000002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5"/>
        <v>0221-09</v>
      </c>
      <c r="AE137" s="91" t="str">
        <f t="shared" si="36"/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AF137" s="88" t="str">
        <f t="shared" si="37"/>
        <v>"C:\Program Files (x86)\AstroGrep\AstroGrep.exe" /spath="%USERPROFILE%\AppData\Local\Temp\OnboardLogs" /stypes="app*4011*20161210*" /stext=" 02:.+((SYSTEM_STATE.+slice.+state.+changed )|(ment ac)|(multiple cpu faults)|(system.+state.+changed )|(\[timeout)|(PRM\|1\|D)|(kpr)|(kdp)|(\|lc)|(penalty))" /e /r /s</v>
      </c>
      <c r="AG137" s="1" t="str">
        <f t="shared" si="38"/>
        <v>EC</v>
      </c>
      <c r="AH137" s="92" t="str">
        <f t="shared" si="39"/>
        <v>"%USERPROFILE%\Documents\GitHub\eaglep3\Utilities\RefineRTDCRunTimes.py" --tripid 221-09 --locoid 4011 --swversion DE.1.0.8.0 --startMP 204:473 --initTime 2016-12-09T18:44:49 --startdatetime 2016-12-09T19:00:27 --delay 1 --endMP 204:233332 --enddatetime 2016-12-09T19:35:46 --enforcementcount 0 &gt;&gt;C:\Users\stu\Documents\GitHub\eaglep3-reporting\EC\2016-12-09-refined-times.txt</v>
      </c>
      <c r="AI137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{"issue":{"subject":"","project_id":79,"tracker_id":40,"status_id":1,"priority_id":2,"assigned_to_id":23,"start_date":"2016-12-09","description":"","custom_fields":[{"id":1,"name":"Subdivision","value":"EC"},{"id":4,"name":"Milepost","value":"23.3332"},{"id":17,"name":"Train ID","value":"221-09"},{"id":16,"name":"Locomotive ID","value":"4011"},{"id":130,"name":"Impact","value":""},{"id":150,"name":"Time of Event (Mountain Time)","value":"19:35:46"},{"id":151,"name":"Denver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671</v>
      </c>
      <c r="B138" s="7">
        <v>4012</v>
      </c>
      <c r="C138" s="22" t="s">
        <v>206</v>
      </c>
      <c r="D138" s="22" t="s">
        <v>737</v>
      </c>
      <c r="E138" s="13">
        <v>42713.826643518521</v>
      </c>
      <c r="F138" s="13">
        <v>42713.830949074072</v>
      </c>
      <c r="G138" s="7">
        <v>1</v>
      </c>
      <c r="H138" s="22" t="s">
        <v>334</v>
      </c>
      <c r="I138" s="13">
        <v>42713.857199074075</v>
      </c>
      <c r="J138" s="7">
        <v>0</v>
      </c>
      <c r="K138" s="109" t="str">
        <f t="shared" si="29"/>
        <v>4011/4012</v>
      </c>
      <c r="L138" s="22" t="str">
        <f>VLOOKUP(A138,'Trips&amp;Operators'!$C$1:$G$99999,5,FALSE)</f>
        <v>LEVIN SCOTT</v>
      </c>
      <c r="M138" s="6">
        <f t="shared" si="30"/>
        <v>2.6250000002619345E-2</v>
      </c>
      <c r="N138" s="7">
        <f t="shared" si="52"/>
        <v>37.800000003771856</v>
      </c>
      <c r="O138" s="7"/>
      <c r="P138" s="7"/>
      <c r="Q138" s="23"/>
      <c r="R138" s="23"/>
      <c r="S138" s="35">
        <f t="shared" si="50"/>
        <v>1</v>
      </c>
      <c r="T138" s="50" t="str">
        <f t="shared" si="31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18:50:22-700',mode:absolute,to:'2016-12-09 21:34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38" s="52" t="str">
        <f t="shared" si="33"/>
        <v>N</v>
      </c>
      <c r="X138" s="177">
        <f t="shared" si="47"/>
        <v>1</v>
      </c>
      <c r="Y138" s="67">
        <f t="shared" si="51"/>
        <v>23.301300000000001</v>
      </c>
      <c r="Z138" s="67">
        <f t="shared" si="48"/>
        <v>1.3899999999999999E-2</v>
      </c>
      <c r="AA138" s="67">
        <f t="shared" si="34"/>
        <v>23.287400000000002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5"/>
        <v>0222-09</v>
      </c>
      <c r="AE138" s="91" t="str">
        <f t="shared" si="36"/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AF138" s="88" t="str">
        <f t="shared" si="37"/>
        <v>"C:\Program Files (x86)\AstroGrep\AstroGrep.exe" /spath="%USERPROFILE%\AppData\Local\Temp\OnboardLogs" /stypes="app*4012*20161210*" /stext=" 03:.+((SYSTEM_STATE.+slice.+state.+changed )|(ment ac)|(multiple cpu faults)|(system.+state.+changed )|(\[timeout)|(PRM\|1\|D)|(kpr)|(kdp)|(\|lc)|(penalty))" /e /r /s</v>
      </c>
      <c r="AG138" s="1" t="str">
        <f t="shared" si="38"/>
        <v>EC</v>
      </c>
      <c r="AH138" s="92" t="str">
        <f t="shared" si="39"/>
        <v>"%USERPROFILE%\Documents\GitHub\eaglep3\Utilities\RefineRTDCRunTimes.py" --tripid 222-09 --locoid 4012 --swversion DE.1.0.8.0 --startMP 204:233013 --initTime 2016-12-09T19:50:22 --startdatetime 2016-12-09T19:56:34 --delay 1 --endMP 204:139 --enddatetime 2016-12-09T20:34:22 --enforcementcount 0 &gt;&gt;C:\Users\stu\Documents\GitHub\eaglep3-reporting\EC\2016-12-09-refined-times.txt</v>
      </c>
      <c r="AI138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{"issue":{"subject":"","project_id":79,"tracker_id":40,"status_id":1,"priority_id":2,"assigned_to_id":23,"start_date":"2016-12-09","description":"","custom_fields":[{"id":1,"name":"Subdivision","value":"EC"},{"id":4,"name":"Milepost","value":"0.0139"},{"id":17,"name":"Train ID","value":"222-09"},{"id":16,"name":"Locomotive ID","value":"4012"},{"id":130,"name":"Impact","value":""},{"id":150,"name":"Time of Event (Mountain Time)","value":"20:34:22"},{"id":151,"name":"Denver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667</v>
      </c>
      <c r="B139" s="7">
        <v>4051</v>
      </c>
      <c r="C139" s="22" t="s">
        <v>206</v>
      </c>
      <c r="D139" s="22" t="s">
        <v>286</v>
      </c>
      <c r="E139" s="13">
        <v>42713.807453703703</v>
      </c>
      <c r="F139" s="13">
        <v>42713.812685185185</v>
      </c>
      <c r="G139" s="7">
        <v>2</v>
      </c>
      <c r="H139" s="22" t="s">
        <v>339</v>
      </c>
      <c r="I139" s="13">
        <v>42713.836724537039</v>
      </c>
      <c r="J139" s="7">
        <v>0</v>
      </c>
      <c r="K139" s="109" t="str">
        <f t="shared" si="29"/>
        <v>4051/4052</v>
      </c>
      <c r="L139" s="22" t="str">
        <f>VLOOKUP(A139,'Trips&amp;Operators'!$C$1:$G$99999,5,FALSE)</f>
        <v>YANAI IAN</v>
      </c>
      <c r="M139" s="6">
        <f t="shared" si="30"/>
        <v>2.4039351854298729E-2</v>
      </c>
      <c r="N139" s="7">
        <f t="shared" si="52"/>
        <v>34.61666667019017</v>
      </c>
      <c r="O139" s="7"/>
      <c r="P139" s="7"/>
      <c r="Q139" s="23"/>
      <c r="R139" s="23"/>
      <c r="S139" s="35">
        <f t="shared" si="50"/>
        <v>1</v>
      </c>
      <c r="T139" s="50" t="str">
        <f t="shared" si="31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18:22:44-700',mode:absolute,to:'2016-12-09 21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39" s="52" t="str">
        <f t="shared" si="33"/>
        <v>N</v>
      </c>
      <c r="X139" s="177">
        <f t="shared" si="47"/>
        <v>1</v>
      </c>
      <c r="Y139" s="67">
        <f t="shared" si="51"/>
        <v>4.6899999999999997E-2</v>
      </c>
      <c r="Z139" s="67">
        <f t="shared" si="48"/>
        <v>23.333200000000001</v>
      </c>
      <c r="AA139" s="67">
        <f t="shared" si="34"/>
        <v>23.286300000000001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5"/>
        <v>0223-09</v>
      </c>
      <c r="AE139" s="91" t="str">
        <f t="shared" si="36"/>
        <v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v>
      </c>
      <c r="AF139" s="88" t="str">
        <f t="shared" si="37"/>
        <v>"C:\Program Files (x86)\AstroGrep\AstroGrep.exe" /spath="%USERPROFILE%\AppData\Local\Temp\OnboardLogs" /stypes="app*4051*20161210*" /stext=" 03:.+((SYSTEM_STATE.+slice.+state.+changed )|(ment ac)|(multiple cpu faults)|(system.+state.+changed )|(\[timeout)|(PRM\|1\|D)|(kpr)|(kdp)|(\|lc)|(penalty))" /e /r /s</v>
      </c>
      <c r="AG139" s="1" t="str">
        <f t="shared" si="38"/>
        <v>EC</v>
      </c>
      <c r="AH139" s="92" t="str">
        <f t="shared" si="39"/>
        <v>"%USERPROFILE%\Documents\GitHub\eaglep3\Utilities\RefineRTDCRunTimes.py" --tripid 223-09 --locoid 4051 --swversion DE.1.0.8.0 --startMP 204:469 --initTime 2016-12-09T19:22:44 --startdatetime 2016-12-09T19:30:16 --delay 2 --endMP 204:233332 --enddatetime 2016-12-09T20:04:53 --enforcementcount 0 &gt;&gt;C:\Users\stu\Documents\GitHub\eaglep3-reporting\EC\2016-12-09-refined-times.txt</v>
      </c>
      <c r="AI139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{"issue":{"subject":"","project_id":79,"tracker_id":40,"status_id":1,"priority_id":2,"assigned_to_id":23,"start_date":"2016-12-09","description":"","custom_fields":[{"id":1,"name":"Subdivision","value":"EC"},{"id":4,"name":"Milepost","value":"23.3332"},{"id":17,"name":"Train ID","value":"223-09"},{"id":16,"name":"Locomotive ID","value":"4051"},{"id":130,"name":"Impact","value":""},{"id":150,"name":"Time of Event (Mountain Time)","value":"20:04:53"},{"id":151,"name":"Denver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519</v>
      </c>
      <c r="B140" s="7">
        <v>4052</v>
      </c>
      <c r="C140" s="22" t="s">
        <v>206</v>
      </c>
      <c r="D140" s="22" t="s">
        <v>296</v>
      </c>
      <c r="E140" s="13">
        <v>42713.837719907409</v>
      </c>
      <c r="F140" s="13">
        <v>42713.851539351854</v>
      </c>
      <c r="G140" s="7">
        <v>0</v>
      </c>
      <c r="H140" s="22" t="s">
        <v>204</v>
      </c>
      <c r="I140" s="13">
        <v>42713.879166666666</v>
      </c>
      <c r="J140" s="7">
        <v>0</v>
      </c>
      <c r="K140" s="109" t="str">
        <f t="shared" si="29"/>
        <v>4051/4052</v>
      </c>
      <c r="L140" s="22" t="str">
        <f>VLOOKUP(A140,'Trips&amp;Operators'!$C$1:$G$99999,5,FALSE)</f>
        <v>YANAI IAN</v>
      </c>
      <c r="M140" s="6">
        <f t="shared" si="30"/>
        <v>2.7627314811979886E-2</v>
      </c>
      <c r="N140" s="7">
        <f t="shared" si="52"/>
        <v>39.783333329251036</v>
      </c>
      <c r="O140" s="7"/>
      <c r="P140" s="7"/>
      <c r="Q140" s="23"/>
      <c r="R140" s="23"/>
      <c r="S140" s="35">
        <f t="shared" si="50"/>
        <v>1</v>
      </c>
      <c r="T140" s="50" t="str">
        <f t="shared" si="31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2"/>
        <v>https://search-rtdc-monitor-bjffxe2xuh6vdkpspy63sjmuny.us-east-1.es.amazonaws.com/_plugin/kibana/#/discover/Steve-Slow-Train-Analysis-(2080s-and-2083s)?_g=(refreshInterval:(display:Off,section:0,value:0),time:(from:'2016-12-09 19:06:19-700',mode:absolute,to:'2016-12-09 22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40" s="52" t="str">
        <f t="shared" si="33"/>
        <v>N</v>
      </c>
      <c r="X140" s="177">
        <f t="shared" si="47"/>
        <v>1</v>
      </c>
      <c r="Y140" s="67">
        <f t="shared" si="51"/>
        <v>23.299399999999999</v>
      </c>
      <c r="Z140" s="67">
        <f t="shared" si="48"/>
        <v>1.5599999999999999E-2</v>
      </c>
      <c r="AA140" s="67">
        <f t="shared" si="34"/>
        <v>23.283799999999999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5"/>
        <v>0224-09</v>
      </c>
      <c r="AE140" s="91" t="str">
        <f t="shared" si="36"/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AF140" s="88" t="str">
        <f t="shared" si="37"/>
        <v>"C:\Program Files (x86)\AstroGrep\AstroGrep.exe" /spath="%USERPROFILE%\AppData\Local\Temp\OnboardLogs" /stypes="app*4052*20161210*" /stext=" 04:.+((SYSTEM_STATE.+slice.+state.+changed )|(ment ac)|(multiple cpu faults)|(system.+state.+changed )|(\[timeout)|(PRM\|1\|D)|(kpr)|(kdp)|(\|lc)|(penalty))" /e /r /s</v>
      </c>
      <c r="AG140" s="1" t="str">
        <f t="shared" si="38"/>
        <v>EC</v>
      </c>
      <c r="AH140" s="92" t="str">
        <f t="shared" si="39"/>
        <v>"%USERPROFILE%\Documents\GitHub\eaglep3\Utilities\RefineRTDCRunTimes.py" --tripid 224-09 --locoid 4052 --swversion DE.1.0.8.0 --startMP 204:232994 --initTime 2016-12-09T20:06:19 --startdatetime 2016-12-09T20:26:13 --delay 0 --endMP 204:156 --enddatetime 2016-12-09T21:06:00 --enforcementcount 0 &gt;&gt;C:\Users\stu\Documents\GitHub\eaglep3-reporting\EC\2016-12-09-refined-times.txt</v>
      </c>
      <c r="AI140" s="119" t="str">
        <f t="shared" si="40"/>
        <v>echo {"issue":{"subject":"","project_id":79,"tracker_id":40,"status_id":1,"priority_id":2,"assigned_to_id":23,"start_date":"2016-12-09","description":"","custom_fields":[{"id":1,"name":"Subdivision","value":"EC"},{"id":4,"name":"Milepost","value":"0.0156"},{"id":17,"name":"Train ID","value":"224-09"},{"id":16,"name":"Locomotive ID","value":"4052"},{"id":130,"name":"Impact","value":""},{"id":150,"name":"Time of Event (Mountain Time)","value":"21:06:00"},{"id":151,"name":"Denver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672</v>
      </c>
      <c r="B141" s="7">
        <v>4022</v>
      </c>
      <c r="C141" s="22" t="s">
        <v>206</v>
      </c>
      <c r="D141" s="22" t="s">
        <v>286</v>
      </c>
      <c r="E141" s="13">
        <v>42713.832268518519</v>
      </c>
      <c r="F141" s="13">
        <v>42713.833622685182</v>
      </c>
      <c r="G141" s="7">
        <v>1</v>
      </c>
      <c r="H141" s="22" t="s">
        <v>292</v>
      </c>
      <c r="I141" s="13">
        <v>42713.858414351853</v>
      </c>
      <c r="J141" s="7">
        <v>0</v>
      </c>
      <c r="K141" s="109" t="str">
        <f t="shared" ref="K141:K204" si="53">IF(ISEVEN(B141),(B141-1)&amp;"/"&amp;B141,B141&amp;"/"&amp;(B141+1))</f>
        <v>4021/4022</v>
      </c>
      <c r="L141" s="22" t="str">
        <f>VLOOKUP(A141,'Trips&amp;Operators'!$C$1:$G$99999,5,FALSE)</f>
        <v>CHANDLER KELVIN</v>
      </c>
      <c r="M141" s="6">
        <f t="shared" ref="M141:M204" si="54">I141-F141</f>
        <v>2.4791666670353152E-2</v>
      </c>
      <c r="N141" s="7">
        <f t="shared" si="52"/>
        <v>35.700000005308539</v>
      </c>
      <c r="O141" s="7"/>
      <c r="P141" s="7"/>
      <c r="Q141" s="23"/>
      <c r="R141" s="23"/>
      <c r="S141" s="35">
        <f t="shared" si="50"/>
        <v>1</v>
      </c>
      <c r="T141" s="50" t="str">
        <f t="shared" ref="T141:T204" si="55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6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https://search-rtdc-monitor-bjffxe2xuh6vdkpspy63sjmuny.us-east-1.es.amazonaws.com/_plugin/kibana/#/discover/Steve-Slow-Train-Analysis-(2080s-and-2083s)?_g=(refreshInterval:(display:Off,section:0,value:0),time:(from:'2016-12-09 18:58:28-700',mode:absolute,to:'2016-12-09 21:36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1" s="52" t="str">
        <f t="shared" ref="W141:W204" si="57">IF(AA141&lt;IF(AG141="EC",23,5.65),"Y","N")</f>
        <v>N</v>
      </c>
      <c r="X141" s="177">
        <f t="shared" si="47"/>
        <v>1</v>
      </c>
      <c r="Y141" s="67">
        <f t="shared" si="51"/>
        <v>4.6899999999999997E-2</v>
      </c>
      <c r="Z141" s="67">
        <f t="shared" si="48"/>
        <v>23.3291</v>
      </c>
      <c r="AA141" s="67">
        <f t="shared" ref="AA141:AA204" si="58">ABS(Z141-Y141)</f>
        <v>23.2822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59">IF(LEN(A141)=6,"0"&amp;A141,A141)</f>
        <v>0225-09</v>
      </c>
      <c r="AE141" s="91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s3://rtdc.mdm.uploadarchive.raw/RTDC4022/ "%USERPROFILE%\AppData\Local\Temp\OnboardLogs"\RTDC4022\2016-12-09 --exclude "*" --recursive --include "*20161209*" &amp; "%USERPROFILE%\Documents\GitHub\mrs-test-scripts\Headless Mode &amp; Sideloading\WalkAndUnGZ.bat" "%USERPROFILE%\AppData\Local\Temp\OnboardLogs"\RTDC4022\2016-12-09 &amp; aws s3 cp s3://rtdc.mdm.uploadarchive.raw/RTDC4022/ "%USERPROFILE%\AppData\Local\Temp\OnboardLogs"\RTDC4022\2016-12-10 --exclude "*" --recursive --include "*20161210*" &amp; "%USERPROFILE%\Documents\GitHub\mrs-test-scripts\Headless Mode &amp; Sideloading\WalkAndUnGZ.bat" "%USERPROFILE%\AppData\Local\Temp\OnboardLogs"\RTDC4022\2016-12-10</v>
      </c>
      <c r="AF141" s="88" t="str">
        <f t="shared" ref="AF141:AF204" si="6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/stypes="app*4022*20161210*" /stext=" 03:.+((SYSTEM_STATE.+slice.+state.+changed )|(ment ac)|(multiple cpu faults)|(system.+state.+changed )|(\[timeout)|(PRM\|1\|D)|(kpr)|(kdp)|(\|lc)|(penalty))" /e /r /s</v>
      </c>
      <c r="AG141" s="1" t="str">
        <f t="shared" ref="AG141:AG204" si="62">IFERROR(IF(VALUE(LEFT(AD141,2))&lt;=2,"EC",IF(OR(VALUE(LEFT(AD141,2))=8,VALUE(LEFT(AD141,2))=18),"NW","Other")),"Other")</f>
        <v>EC</v>
      </c>
      <c r="AH141" s="92" t="str">
        <f t="shared" ref="AH141:AH203" si="6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225-09 --locoid 4022 --swversion DE.1.0.8.0 --startMP 204:469 --initTime 2016-12-09T19:58:28 --startdatetime 2016-12-09T20:00:25 --delay 1 --endMP 204:233291 --enddatetime 2016-12-09T20:36:07 --enforcementcount 0 &gt;&gt;C:\Users\stu\Documents\GitHub\eaglep3-reporting\EC\2016-12-09-refined-times.txt</v>
      </c>
      <c r="AI141" s="119" t="str">
        <f t="shared" ref="AI141:AI203" si="6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{"issue":{"subject":"","project_id":79,"tracker_id":40,"status_id":1,"priority_id":2,"assigned_to_id":23,"start_date":"2016-12-09","description":"","custom_fields":[{"id":1,"name":"Subdivision","value":"EC"},{"id":4,"name":"Milepost","value":"23.3291"},{"id":17,"name":"Train ID","value":"225-09"},{"id":16,"name":"Locomotive ID","value":"4022"},{"id":130,"name":"Impact","value":""},{"id":150,"name":"Time of Event (Mountain Time)","value":"20:36:07"},{"id":151,"name":"Denver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s="21" customFormat="1" x14ac:dyDescent="0.25">
      <c r="A142" s="37" t="s">
        <v>677</v>
      </c>
      <c r="B142" s="7">
        <v>4021</v>
      </c>
      <c r="C142" s="22" t="s">
        <v>206</v>
      </c>
      <c r="D142" s="22" t="s">
        <v>738</v>
      </c>
      <c r="E142" s="13">
        <v>42713.870532407411</v>
      </c>
      <c r="F142" s="13">
        <v>42713.872673611113</v>
      </c>
      <c r="G142" s="7">
        <v>1</v>
      </c>
      <c r="H142" s="22" t="s">
        <v>208</v>
      </c>
      <c r="I142" s="13">
        <v>42713.901250000003</v>
      </c>
      <c r="J142" s="7">
        <v>0</v>
      </c>
      <c r="K142" s="109" t="str">
        <f t="shared" si="53"/>
        <v>4021/4022</v>
      </c>
      <c r="L142" s="22" t="str">
        <f>VLOOKUP(A142,'Trips&amp;Operators'!$C$1:$G$99999,5,FALSE)</f>
        <v>CHANDLER KELVIN</v>
      </c>
      <c r="M142" s="6">
        <f t="shared" si="54"/>
        <v>2.8576388889632653E-2</v>
      </c>
      <c r="N142" s="7">
        <f t="shared" si="52"/>
        <v>41.150000001071021</v>
      </c>
      <c r="O142" s="7"/>
      <c r="P142" s="7"/>
      <c r="Q142" s="23"/>
      <c r="R142" s="23"/>
      <c r="S142" s="35">
        <f t="shared" si="50"/>
        <v>1</v>
      </c>
      <c r="T142" s="50" t="str">
        <f t="shared" si="55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19:53:34-700',mode:absolute,to:'2016-12-09 22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42" s="52" t="str">
        <f t="shared" si="57"/>
        <v>N</v>
      </c>
      <c r="X142" s="177">
        <f t="shared" si="47"/>
        <v>1</v>
      </c>
      <c r="Y142" s="67">
        <f t="shared" si="51"/>
        <v>23.296600000000002</v>
      </c>
      <c r="Z142" s="67">
        <f t="shared" si="48"/>
        <v>1.5800000000000002E-2</v>
      </c>
      <c r="AA142" s="67">
        <f t="shared" si="58"/>
        <v>23.280800000000003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59"/>
        <v>0226-09</v>
      </c>
      <c r="AE142" s="91" t="str">
        <f t="shared" si="60"/>
        <v>aws s3 cp s3://rtdc.mdm.uploadarchive.raw/RTDC4021/ "%USERPROFILE%\AppData\Local\Temp\OnboardLogs"\RTDC4021\2016-12-09 --exclude "*" --recursive --include "*20161209*" &amp; "%USERPROFILE%\Documents\GitHub\mrs-test-scripts\Headless Mode &amp; Sideloading\WalkAndUnGZ.bat" "%USERPROFILE%\AppData\Local\Temp\OnboardLogs"\RTDC4021\2016-12-09 &amp; aws s3 cp s3://rtdc.mdm.uploadarchive.raw/RTDC4021/ "%USERPROFILE%\AppData\Local\Temp\OnboardLogs"\RTDC4021\2016-12-10 --exclude "*" --recursive --include "*20161210*" &amp; "%USERPROFILE%\Documents\GitHub\mrs-test-scripts\Headless Mode &amp; Sideloading\WalkAndUnGZ.bat" "%USERPROFILE%\AppData\Local\Temp\OnboardLogs"\RTDC4021\2016-12-10</v>
      </c>
      <c r="AF142" s="88" t="str">
        <f t="shared" si="61"/>
        <v>"C:\Program Files (x86)\AstroGrep\AstroGrep.exe" /spath="%USERPROFILE%\AppData\Local\Temp\OnboardLogs" /stypes="app*4021*20161210*" /stext=" 04:.+((SYSTEM_STATE.+slice.+state.+changed )|(ment ac)|(multiple cpu faults)|(system.+state.+changed )|(\[timeout)|(PRM\|1\|D)|(kpr)|(kdp)|(\|lc)|(penalty))" /e /r /s</v>
      </c>
      <c r="AG142" s="1" t="str">
        <f t="shared" si="62"/>
        <v>EC</v>
      </c>
      <c r="AH142" s="92" t="str">
        <f t="shared" si="63"/>
        <v>"%USERPROFILE%\Documents\GitHub\eaglep3\Utilities\RefineRTDCRunTimes.py" --tripid 226-09 --locoid 4021 --swversion DE.1.0.8.0 --startMP 204:232966 --initTime 2016-12-09T20:53:34 --startdatetime 2016-12-09T20:56:39 --delay 1 --endMP 204:158 --enddatetime 2016-12-09T21:37:48 --enforcementcount 0 &gt;&gt;C:\Users\stu\Documents\GitHub\eaglep3-reporting\EC\2016-12-09-refined-times.txt</v>
      </c>
      <c r="AI142" s="119" t="str">
        <f t="shared" si="64"/>
        <v>echo {"issue":{"subject":"","project_id":79,"tracker_id":40,"status_id":1,"priority_id":2,"assigned_to_id":23,"start_date":"2016-12-09","description":"","custom_fields":[{"id":1,"name":"Subdivision","value":"EC"},{"id":4,"name":"Milepost","value":"0.0158"},{"id":17,"name":"Train ID","value":"226-09"},{"id":16,"name":"Locomotive ID","value":"4021"},{"id":130,"name":"Impact","value":""},{"id":150,"name":"Time of Event (Mountain Time)","value":"21:37:48"},{"id":151,"name":"Denver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x14ac:dyDescent="0.25">
      <c r="A143" s="37" t="s">
        <v>673</v>
      </c>
      <c r="B143" s="7">
        <v>4002</v>
      </c>
      <c r="C143" s="22" t="s">
        <v>206</v>
      </c>
      <c r="D143" s="22" t="s">
        <v>239</v>
      </c>
      <c r="E143" s="13">
        <v>42713.837048611109</v>
      </c>
      <c r="F143" s="13">
        <v>42713.85465277778</v>
      </c>
      <c r="G143" s="7">
        <v>0</v>
      </c>
      <c r="H143" s="22" t="s">
        <v>426</v>
      </c>
      <c r="I143" s="13">
        <v>42713.878923611112</v>
      </c>
      <c r="J143" s="7">
        <v>0</v>
      </c>
      <c r="K143" s="109" t="str">
        <f t="shared" si="53"/>
        <v>4001/4002</v>
      </c>
      <c r="L143" s="22" t="str">
        <f>VLOOKUP(A143,'Trips&amp;Operators'!$C$1:$G$99999,5,FALSE)</f>
        <v>STAMBAUGH JAMES</v>
      </c>
      <c r="M143" s="6">
        <f t="shared" si="54"/>
        <v>2.4270833331684116E-2</v>
      </c>
      <c r="N143" s="7">
        <f t="shared" si="52"/>
        <v>34.949999997625127</v>
      </c>
      <c r="O143" s="7"/>
      <c r="P143" s="7"/>
      <c r="Q143" s="23"/>
      <c r="R143" s="23"/>
      <c r="S143" s="35">
        <f t="shared" si="50"/>
        <v>1</v>
      </c>
      <c r="T143" s="50" t="str">
        <f t="shared" si="55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19:05:21-700',mode:absolute,to:'2016-12-09 22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43" s="52" t="str">
        <f t="shared" si="57"/>
        <v>N</v>
      </c>
      <c r="X143" s="177">
        <f t="shared" si="47"/>
        <v>1</v>
      </c>
      <c r="Y143" s="67">
        <f t="shared" si="51"/>
        <v>4.5699999999999998E-2</v>
      </c>
      <c r="Z143" s="67">
        <f t="shared" si="48"/>
        <v>23.332599999999999</v>
      </c>
      <c r="AA143" s="67">
        <f t="shared" si="58"/>
        <v>23.286899999999999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59"/>
        <v>0227-09</v>
      </c>
      <c r="AE143" s="91" t="str">
        <f t="shared" si="60"/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AF143" s="88" t="str">
        <f t="shared" si="61"/>
        <v>"C:\Program Files (x86)\AstroGrep\AstroGrep.exe" /spath="%USERPROFILE%\AppData\Local\Temp\OnboardLogs" /stypes="app*4002*20161210*" /stext=" 04:.+((SYSTEM_STATE.+slice.+state.+changed )|(ment ac)|(multiple cpu faults)|(system.+state.+changed )|(\[timeout)|(PRM\|1\|D)|(kpr)|(kdp)|(\|lc)|(penalty))" /e /r /s</v>
      </c>
      <c r="AG143" s="1" t="str">
        <f t="shared" si="62"/>
        <v>EC</v>
      </c>
      <c r="AH143" s="92" t="str">
        <f t="shared" si="63"/>
        <v>"%USERPROFILE%\Documents\GitHub\eaglep3\Utilities\RefineRTDCRunTimes.py" --tripid 227-09 --locoid 4002 --swversion DE.1.0.8.0 --startMP 204:457 --initTime 2016-12-09T20:05:21 --startdatetime 2016-12-09T20:30:42 --delay 0 --endMP 204:233326 --enddatetime 2016-12-09T21:05:39 --enforcementcount 0 &gt;&gt;C:\Users\stu\Documents\GitHub\eaglep3-reporting\EC\2016-12-09-refined-times.txt</v>
      </c>
      <c r="AI143" s="119" t="str">
        <f t="shared" si="64"/>
        <v>echo {"issue":{"subject":"","project_id":79,"tracker_id":40,"status_id":1,"priority_id":2,"assigned_to_id":23,"start_date":"2016-12-09","description":"","custom_fields":[{"id":1,"name":"Subdivision","value":"EC"},{"id":4,"name":"Milepost","value":"23.3326"},{"id":17,"name":"Train ID","value":"227-09"},{"id":16,"name":"Locomotive ID","value":"4002"},{"id":130,"name":"Impact","value":""},{"id":150,"name":"Time of Event (Mountain Time)","value":"21:05:39"},{"id":151,"name":"Denver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</row>
    <row r="144" spans="1:91" x14ac:dyDescent="0.25">
      <c r="A144" s="37" t="s">
        <v>520</v>
      </c>
      <c r="B144" s="7">
        <v>4001</v>
      </c>
      <c r="C144" s="22" t="s">
        <v>206</v>
      </c>
      <c r="D144" s="22" t="s">
        <v>370</v>
      </c>
      <c r="E144" s="13">
        <v>42713.889745370368</v>
      </c>
      <c r="F144" s="13">
        <v>42713.893657407411</v>
      </c>
      <c r="G144" s="7">
        <v>1</v>
      </c>
      <c r="H144" s="22" t="s">
        <v>228</v>
      </c>
      <c r="I144" s="13">
        <v>42713.920428240737</v>
      </c>
      <c r="J144" s="7">
        <v>0</v>
      </c>
      <c r="K144" s="109" t="str">
        <f t="shared" si="53"/>
        <v>4001/4002</v>
      </c>
      <c r="L144" s="22" t="str">
        <f>VLOOKUP(A144,'Trips&amp;Operators'!$C$1:$G$99999,5,FALSE)</f>
        <v>STAMBAUGH JAMES</v>
      </c>
      <c r="M144" s="6">
        <f t="shared" si="54"/>
        <v>2.6770833326736465E-2</v>
      </c>
      <c r="N144" s="7">
        <f t="shared" si="52"/>
        <v>38.54999999050051</v>
      </c>
      <c r="O144" s="7"/>
      <c r="P144" s="7"/>
      <c r="Q144" s="23"/>
      <c r="R144" s="23"/>
      <c r="S144" s="35">
        <f t="shared" si="50"/>
        <v>1</v>
      </c>
      <c r="T144" s="50" t="str">
        <f t="shared" si="55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20:21:14-700',mode:absolute,to:'2016-12-09 23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4" s="52" t="str">
        <f t="shared" si="57"/>
        <v>N</v>
      </c>
      <c r="X144" s="177">
        <f t="shared" si="47"/>
        <v>1</v>
      </c>
      <c r="Y144" s="67">
        <f t="shared" si="51"/>
        <v>23.301100000000002</v>
      </c>
      <c r="Z144" s="67">
        <f t="shared" si="48"/>
        <v>1.41E-2</v>
      </c>
      <c r="AA144" s="67">
        <f t="shared" si="58"/>
        <v>23.287000000000003</v>
      </c>
      <c r="AB144" s="64" t="str">
        <f>VLOOKUP(A144,Enforcements!$C$7:$K$20,8,0)</f>
        <v>Speed (6)</v>
      </c>
      <c r="AC144" s="60" t="str">
        <f>VLOOKUP(A144,Enforcements!$C$7:$E$20,3,0)</f>
        <v>PERMANENT SPEED RESTRICTION</v>
      </c>
      <c r="AD144" s="61" t="str">
        <f t="shared" si="59"/>
        <v>0228-09</v>
      </c>
      <c r="AE144" s="91" t="str">
        <f t="shared" si="60"/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AF144" s="88" t="str">
        <f t="shared" si="61"/>
        <v>"C:\Program Files (x86)\AstroGrep\AstroGrep.exe" /spath="%USERPROFILE%\AppData\Local\Temp\OnboardLogs" /stypes="app*4001*20161210*" /stext=" 05:.+((SYSTEM_STATE.+slice.+state.+changed )|(ment ac)|(multiple cpu faults)|(system.+state.+changed )|(\[timeout)|(PRM\|1\|D)|(kpr)|(kdp)|(\|lc)|(penalty))" /e /r /s</v>
      </c>
      <c r="AG144" s="1" t="str">
        <f t="shared" si="62"/>
        <v>EC</v>
      </c>
      <c r="AH144" s="92" t="str">
        <f t="shared" si="63"/>
        <v>"%USERPROFILE%\Documents\GitHub\eaglep3\Utilities\RefineRTDCRunTimes.py" --tripid 228-09 --locoid 4001 --swversion DE.1.0.8.0 --startMP 204:233011 --initTime 2016-12-09T21:21:14 --startdatetime 2016-12-09T21:26:52 --delay 1 --endMP 204:141 --enddatetime 2016-12-09T22:05:25 --enforcementcount 0 &gt;&gt;C:\Users\stu\Documents\GitHub\eaglep3-reporting\EC\2016-12-09-refined-times.txt</v>
      </c>
      <c r="AI144" s="119" t="str">
        <f t="shared" si="64"/>
        <v>echo {"issue":{"subject":"","project_id":79,"tracker_id":40,"status_id":1,"priority_id":2,"assigned_to_id":23,"start_date":"2016-12-09","description":"","custom_fields":[{"id":1,"name":"Subdivision","value":"EC"},{"id":4,"name":"Milepost","value":"0.0141"},{"id":17,"name":"Train ID","value":"228-09"},{"id":16,"name":"Locomotive ID","value":"4001"},{"id":130,"name":"Impact","value":""},{"id":150,"name":"Time of Event (Mountain Time)","value":"22:05:25"},{"id":151,"name":"Denver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</row>
    <row r="145" spans="1:91" s="21" customFormat="1" x14ac:dyDescent="0.25">
      <c r="A145" s="37" t="s">
        <v>676</v>
      </c>
      <c r="B145" s="7">
        <v>4011</v>
      </c>
      <c r="C145" s="22" t="s">
        <v>206</v>
      </c>
      <c r="D145" s="22" t="s">
        <v>338</v>
      </c>
      <c r="E145" s="13">
        <v>42713.859317129631</v>
      </c>
      <c r="F145" s="13">
        <v>42713.87537037037</v>
      </c>
      <c r="G145" s="7">
        <v>2</v>
      </c>
      <c r="H145" s="22" t="s">
        <v>291</v>
      </c>
      <c r="I145" s="13">
        <v>42713.90084490741</v>
      </c>
      <c r="J145" s="7">
        <v>0</v>
      </c>
      <c r="K145" s="109" t="str">
        <f t="shared" si="53"/>
        <v>4011/4012</v>
      </c>
      <c r="L145" s="22" t="str">
        <f>VLOOKUP(A145,'Trips&amp;Operators'!$C$1:$G$99999,5,FALSE)</f>
        <v>MACDONALD THOMAS</v>
      </c>
      <c r="M145" s="6">
        <f t="shared" si="54"/>
        <v>2.5474537040281575E-2</v>
      </c>
      <c r="N145" s="7">
        <f t="shared" si="52"/>
        <v>36.683333338005468</v>
      </c>
      <c r="O145" s="7"/>
      <c r="P145" s="7"/>
      <c r="Q145" s="23"/>
      <c r="R145" s="23"/>
      <c r="S145" s="35">
        <f t="shared" si="50"/>
        <v>1</v>
      </c>
      <c r="T145" s="50" t="str">
        <f t="shared" si="55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19:37:25-700',mode:absolute,to:'2016-12-09 22:37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45" s="52" t="str">
        <f t="shared" si="57"/>
        <v>N</v>
      </c>
      <c r="X145" s="177">
        <f t="shared" si="47"/>
        <v>1</v>
      </c>
      <c r="Y145" s="67">
        <f t="shared" si="51"/>
        <v>4.4900000000000002E-2</v>
      </c>
      <c r="Z145" s="67">
        <f t="shared" si="48"/>
        <v>23.331499999999998</v>
      </c>
      <c r="AA145" s="67">
        <f t="shared" si="58"/>
        <v>23.2866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59"/>
        <v>0229-09</v>
      </c>
      <c r="AE145" s="91" t="str">
        <f t="shared" si="60"/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AF145" s="88" t="str">
        <f t="shared" si="61"/>
        <v>"C:\Program Files (x86)\AstroGrep\AstroGrep.exe" /spath="%USERPROFILE%\AppData\Local\Temp\OnboardLogs" /stypes="app*4011*20161210*" /stext=" 04:.+((SYSTEM_STATE.+slice.+state.+changed )|(ment ac)|(multiple cpu faults)|(system.+state.+changed )|(\[timeout)|(PRM\|1\|D)|(kpr)|(kdp)|(\|lc)|(penalty))" /e /r /s</v>
      </c>
      <c r="AG145" s="1" t="str">
        <f t="shared" si="62"/>
        <v>EC</v>
      </c>
      <c r="AH145" s="92" t="str">
        <f t="shared" si="63"/>
        <v>"%USERPROFILE%\Documents\GitHub\eaglep3\Utilities\RefineRTDCRunTimes.py" --tripid 229-09 --locoid 4011 --swversion DE.1.0.8.0 --startMP 204:449 --initTime 2016-12-09T20:37:25 --startdatetime 2016-12-09T21:00:32 --delay 2 --endMP 204:233315 --enddatetime 2016-12-09T21:37:13 --enforcementcount 0 &gt;&gt;C:\Users\stu\Documents\GitHub\eaglep3-reporting\EC\2016-12-09-refined-times.txt</v>
      </c>
      <c r="AI145" s="119" t="str">
        <f t="shared" si="64"/>
        <v>echo {"issue":{"subject":"","project_id":79,"tracker_id":40,"status_id":1,"priority_id":2,"assigned_to_id":23,"start_date":"2016-12-09","description":"","custom_fields":[{"id":1,"name":"Subdivision","value":"EC"},{"id":4,"name":"Milepost","value":"23.3315"},{"id":17,"name":"Train ID","value":"229-09"},{"id":16,"name":"Locomotive ID","value":"4011"},{"id":130,"name":"Impact","value":""},{"id":150,"name":"Time of Event (Mountain Time)","value":"21:37:13"},{"id":151,"name":"Denver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681</v>
      </c>
      <c r="B146" s="7">
        <v>4012</v>
      </c>
      <c r="C146" s="22" t="s">
        <v>206</v>
      </c>
      <c r="D146" s="22" t="s">
        <v>431</v>
      </c>
      <c r="E146" s="13">
        <v>42713.911863425928</v>
      </c>
      <c r="F146" s="13">
        <v>42713.91479166667</v>
      </c>
      <c r="G146" s="7">
        <v>1</v>
      </c>
      <c r="H146" s="22" t="s">
        <v>293</v>
      </c>
      <c r="I146" s="13">
        <v>42713.942627314813</v>
      </c>
      <c r="J146" s="7">
        <v>0</v>
      </c>
      <c r="K146" s="109" t="str">
        <f t="shared" si="53"/>
        <v>4011/4012</v>
      </c>
      <c r="L146" s="22" t="str">
        <f>VLOOKUP(A146,'Trips&amp;Operators'!$C$1:$G$99999,5,FALSE)</f>
        <v>MACDONALD THOMAS</v>
      </c>
      <c r="M146" s="6">
        <f t="shared" si="54"/>
        <v>2.7835648143081926E-2</v>
      </c>
      <c r="N146" s="7">
        <f t="shared" si="52"/>
        <v>40.083333326037973</v>
      </c>
      <c r="O146" s="7"/>
      <c r="P146" s="7"/>
      <c r="Q146" s="23"/>
      <c r="R146" s="23"/>
      <c r="S146" s="35">
        <f t="shared" si="50"/>
        <v>1</v>
      </c>
      <c r="T146" s="50" t="str">
        <f t="shared" si="55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20:53:05-700',mode:absolute,to:'2016-12-09 23:37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6" s="52" t="str">
        <f t="shared" si="57"/>
        <v>N</v>
      </c>
      <c r="X146" s="177">
        <f t="shared" ref="X146:X182" si="65">VALUE(LEFT(AD146,4))-VALUE(LEFT(AD145,4))</f>
        <v>1</v>
      </c>
      <c r="Y146" s="67">
        <f t="shared" si="51"/>
        <v>23.2989</v>
      </c>
      <c r="Z146" s="67">
        <f t="shared" si="48"/>
        <v>1.52E-2</v>
      </c>
      <c r="AA146" s="67">
        <f t="shared" si="58"/>
        <v>23.2837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59"/>
        <v>0230-09</v>
      </c>
      <c r="AE146" s="91" t="str">
        <f t="shared" si="60"/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AF146" s="88" t="str">
        <f t="shared" si="61"/>
        <v>"C:\Program Files (x86)\AstroGrep\AstroGrep.exe" /spath="%USERPROFILE%\AppData\Local\Temp\OnboardLogs" /stypes="app*4012*20161210*" /stext=" 05:.+((SYSTEM_STATE.+slice.+state.+changed )|(ment ac)|(multiple cpu faults)|(system.+state.+changed )|(\[timeout)|(PRM\|1\|D)|(kpr)|(kdp)|(\|lc)|(penalty))" /e /r /s</v>
      </c>
      <c r="AG146" s="1" t="str">
        <f t="shared" si="62"/>
        <v>EC</v>
      </c>
      <c r="AH146" s="92" t="str">
        <f t="shared" si="63"/>
        <v>"%USERPROFILE%\Documents\GitHub\eaglep3\Utilities\RefineRTDCRunTimes.py" --tripid 230-09 --locoid 4012 --swversion DE.1.0.8.0 --startMP 204:232989 --initTime 2016-12-09T21:53:05 --startdatetime 2016-12-09T21:57:18 --delay 1 --endMP 204:152 --enddatetime 2016-12-09T22:37:23 --enforcementcount 0 &gt;&gt;C:\Users\stu\Documents\GitHub\eaglep3-reporting\EC\2016-12-09-refined-times.txt</v>
      </c>
      <c r="AI146" s="119" t="str">
        <f t="shared" si="64"/>
        <v>echo {"issue":{"subject":"","project_id":79,"tracker_id":40,"status_id":1,"priority_id":2,"assigned_to_id":23,"start_date":"2016-12-09","description":"","custom_fields":[{"id":1,"name":"Subdivision","value":"EC"},{"id":4,"name":"Milepost","value":"0.0152"},{"id":17,"name":"Train ID","value":"230-09"},{"id":16,"name":"Locomotive ID","value":"4012"},{"id":130,"name":"Impact","value":""},{"id":150,"name":"Time of Event (Mountain Time)","value":"22:37:23"},{"id":151,"name":"Denver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679</v>
      </c>
      <c r="B147" s="7">
        <v>4051</v>
      </c>
      <c r="C147" s="22" t="s">
        <v>206</v>
      </c>
      <c r="D147" s="22" t="s">
        <v>234</v>
      </c>
      <c r="E147" s="13">
        <v>42713.881354166668</v>
      </c>
      <c r="F147" s="13">
        <v>42713.896631944444</v>
      </c>
      <c r="G147" s="7">
        <v>1</v>
      </c>
      <c r="H147" s="22" t="s">
        <v>374</v>
      </c>
      <c r="I147" s="13">
        <v>42713.921469907407</v>
      </c>
      <c r="J147" s="7">
        <v>0</v>
      </c>
      <c r="K147" s="109" t="str">
        <f t="shared" si="53"/>
        <v>4051/4052</v>
      </c>
      <c r="L147" s="22" t="str">
        <f>VLOOKUP(A147,'Trips&amp;Operators'!$C$1:$G$99999,5,FALSE)</f>
        <v>YANAI IAN</v>
      </c>
      <c r="M147" s="6">
        <f t="shared" si="54"/>
        <v>2.4837962962919846E-2</v>
      </c>
      <c r="N147" s="7">
        <f t="shared" si="52"/>
        <v>35.766666666604578</v>
      </c>
      <c r="O147" s="7"/>
      <c r="P147" s="7"/>
      <c r="Q147" s="23"/>
      <c r="R147" s="23"/>
      <c r="S147" s="35">
        <f t="shared" si="50"/>
        <v>1</v>
      </c>
      <c r="T147" s="50" t="str">
        <f t="shared" si="55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20:09:09-700',mode:absolute,to:'2016-12-09 23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47" s="52" t="str">
        <f t="shared" si="57"/>
        <v>N</v>
      </c>
      <c r="X147" s="177">
        <f t="shared" si="65"/>
        <v>1</v>
      </c>
      <c r="Y147" s="67">
        <f t="shared" si="51"/>
        <v>4.5499999999999999E-2</v>
      </c>
      <c r="Z147" s="67">
        <f t="shared" si="48"/>
        <v>23.331099999999999</v>
      </c>
      <c r="AA147" s="67">
        <f t="shared" si="58"/>
        <v>23.285599999999999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59"/>
        <v>0231-09</v>
      </c>
      <c r="AE147" s="91" t="str">
        <f t="shared" si="60"/>
        <v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v>
      </c>
      <c r="AF147" s="88" t="str">
        <f t="shared" si="61"/>
        <v>"C:\Program Files (x86)\AstroGrep\AstroGrep.exe" /spath="%USERPROFILE%\AppData\Local\Temp\OnboardLogs" /stypes="app*4051*20161210*" /stext=" 05:.+((SYSTEM_STATE.+slice.+state.+changed )|(ment ac)|(multiple cpu faults)|(system.+state.+changed )|(\[timeout)|(PRM\|1\|D)|(kpr)|(kdp)|(\|lc)|(penalty))" /e /r /s</v>
      </c>
      <c r="AG147" s="1" t="str">
        <f t="shared" si="62"/>
        <v>EC</v>
      </c>
      <c r="AH147" s="92" t="str">
        <f t="shared" si="63"/>
        <v>"%USERPROFILE%\Documents\GitHub\eaglep3\Utilities\RefineRTDCRunTimes.py" --tripid 231-09 --locoid 4051 --swversion DE.1.0.8.0 --startMP 204:455 --initTime 2016-12-09T21:09:09 --startdatetime 2016-12-09T21:31:09 --delay 1 --endMP 204:233311 --enddatetime 2016-12-09T22:06:55 --enforcementcount 0 &gt;&gt;C:\Users\stu\Documents\GitHub\eaglep3-reporting\EC\2016-12-09-refined-times.txt</v>
      </c>
      <c r="AI147" s="119" t="str">
        <f t="shared" si="64"/>
        <v>echo {"issue":{"subject":"","project_id":79,"tracker_id":40,"status_id":1,"priority_id":2,"assigned_to_id":23,"start_date":"2016-12-09","description":"","custom_fields":[{"id":1,"name":"Subdivision","value":"EC"},{"id":4,"name":"Milepost","value":"23.3311"},{"id":17,"name":"Train ID","value":"231-09"},{"id":16,"name":"Locomotive ID","value":"4051"},{"id":130,"name":"Impact","value":""},{"id":150,"name":"Time of Event (Mountain Time)","value":"22:06:55"},{"id":151,"name":"Denver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684</v>
      </c>
      <c r="B148" s="7">
        <v>4052</v>
      </c>
      <c r="C148" s="22" t="s">
        <v>206</v>
      </c>
      <c r="D148" s="22" t="s">
        <v>461</v>
      </c>
      <c r="E148" s="13">
        <v>42713.923391203702</v>
      </c>
      <c r="F148" s="13">
        <v>42713.934918981482</v>
      </c>
      <c r="G148" s="7">
        <v>1</v>
      </c>
      <c r="H148" s="22" t="s">
        <v>192</v>
      </c>
      <c r="I148" s="13">
        <v>42713.962222222224</v>
      </c>
      <c r="J148" s="7">
        <v>0</v>
      </c>
      <c r="K148" s="109" t="str">
        <f t="shared" si="53"/>
        <v>4051/4052</v>
      </c>
      <c r="L148" s="22" t="str">
        <f>VLOOKUP(A148,'Trips&amp;Operators'!$C$1:$G$99999,5,FALSE)</f>
        <v>YANAI IAN</v>
      </c>
      <c r="M148" s="6">
        <f t="shared" si="54"/>
        <v>2.7303240742185153E-2</v>
      </c>
      <c r="N148" s="7">
        <f t="shared" si="52"/>
        <v>39.31666666874662</v>
      </c>
      <c r="O148" s="7"/>
      <c r="P148" s="7"/>
      <c r="Q148" s="23"/>
      <c r="R148" s="23"/>
      <c r="S148" s="35">
        <f t="shared" si="50"/>
        <v>1</v>
      </c>
      <c r="T148" s="50" t="str">
        <f t="shared" si="55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21:09:41-700',mode:absolute,to:'2016-12-10 00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48" s="52" t="str">
        <f t="shared" si="57"/>
        <v>N</v>
      </c>
      <c r="X148" s="177">
        <f t="shared" si="65"/>
        <v>1</v>
      </c>
      <c r="Y148" s="67">
        <f t="shared" si="51"/>
        <v>23.301500000000001</v>
      </c>
      <c r="Z148" s="67">
        <f t="shared" si="48"/>
        <v>1.49E-2</v>
      </c>
      <c r="AA148" s="67">
        <f t="shared" si="58"/>
        <v>23.2866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59"/>
        <v>0232-09</v>
      </c>
      <c r="AE148" s="91" t="str">
        <f t="shared" si="60"/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AF148" s="88" t="str">
        <f t="shared" si="61"/>
        <v>"C:\Program Files (x86)\AstroGrep\AstroGrep.exe" /spath="%USERPROFILE%\AppData\Local\Temp\OnboardLogs" /stypes="app*4052*20161210*" /stext=" 06:.+((SYSTEM_STATE.+slice.+state.+changed )|(ment ac)|(multiple cpu faults)|(system.+state.+changed )|(\[timeout)|(PRM\|1\|D)|(kpr)|(kdp)|(\|lc)|(penalty))" /e /r /s</v>
      </c>
      <c r="AG148" s="1" t="str">
        <f t="shared" si="62"/>
        <v>EC</v>
      </c>
      <c r="AH148" s="92" t="str">
        <f t="shared" si="63"/>
        <v>"%USERPROFILE%\Documents\GitHub\eaglep3\Utilities\RefineRTDCRunTimes.py" --tripid 232-09 --locoid 4052 --swversion DE.1.0.8.0 --startMP 204:233015 --initTime 2016-12-09T22:09:41 --startdatetime 2016-12-09T22:26:17 --delay 1 --endMP 204:149 --enddatetime 2016-12-09T23:05:36 --enforcementcount 0 &gt;&gt;C:\Users\stu\Documents\GitHub\eaglep3-reporting\EC\2016-12-09-refined-times.txt</v>
      </c>
      <c r="AI148" s="119" t="str">
        <f t="shared" si="64"/>
        <v>echo {"issue":{"subject":"","project_id":79,"tracker_id":40,"status_id":1,"priority_id":2,"assigned_to_id":23,"start_date":"2016-12-09","description":"","custom_fields":[{"id":1,"name":"Subdivision","value":"EC"},{"id":4,"name":"Milepost","value":"0.0149"},{"id":17,"name":"Train ID","value":"232-09"},{"id":16,"name":"Locomotive ID","value":"4052"},{"id":130,"name":"Impact","value":""},{"id":150,"name":"Time of Event (Mountain Time)","value":"23:05:36"},{"id":151,"name":"Denver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682</v>
      </c>
      <c r="B149" s="7">
        <v>4022</v>
      </c>
      <c r="C149" s="22" t="s">
        <v>206</v>
      </c>
      <c r="D149" s="22" t="s">
        <v>439</v>
      </c>
      <c r="E149" s="13">
        <v>42713.913159722222</v>
      </c>
      <c r="F149" s="13">
        <v>42713.917037037034</v>
      </c>
      <c r="G149" s="7">
        <v>1</v>
      </c>
      <c r="H149" s="22" t="s">
        <v>467</v>
      </c>
      <c r="I149" s="13">
        <v>42713.941817129627</v>
      </c>
      <c r="J149" s="7">
        <v>0</v>
      </c>
      <c r="K149" s="109" t="str">
        <f t="shared" si="53"/>
        <v>4021/4022</v>
      </c>
      <c r="L149" s="22" t="str">
        <f>VLOOKUP(A149,'Trips&amp;Operators'!$C$1:$G$99999,5,FALSE)</f>
        <v>CHANDLER KELVIN</v>
      </c>
      <c r="M149" s="6">
        <f t="shared" si="54"/>
        <v>2.4780092593573499E-2</v>
      </c>
      <c r="N149" s="7">
        <f t="shared" si="52"/>
        <v>35.683333334745839</v>
      </c>
      <c r="O149" s="7"/>
      <c r="P149" s="7"/>
      <c r="Q149" s="23"/>
      <c r="R149" s="23"/>
      <c r="S149" s="35">
        <f t="shared" si="50"/>
        <v>1</v>
      </c>
      <c r="T149" s="50" t="str">
        <f t="shared" si="55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20:54:57-700',mode:absolute,to:'2016-12-09 23:36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49" s="52" t="str">
        <f t="shared" si="57"/>
        <v>N</v>
      </c>
      <c r="X149" s="177">
        <f t="shared" si="65"/>
        <v>1</v>
      </c>
      <c r="Y149" s="67">
        <f t="shared" si="51"/>
        <v>4.6699999999999998E-2</v>
      </c>
      <c r="Z149" s="67">
        <f t="shared" si="48"/>
        <v>23.33</v>
      </c>
      <c r="AA149" s="67">
        <f t="shared" si="58"/>
        <v>23.283299999999997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59"/>
        <v>0233-09</v>
      </c>
      <c r="AE149" s="91" t="str">
        <f t="shared" si="60"/>
        <v>aws s3 cp s3://rtdc.mdm.uploadarchive.raw/RTDC4022/ "%USERPROFILE%\AppData\Local\Temp\OnboardLogs"\RTDC4022\2016-12-09 --exclude "*" --recursive --include "*20161209*" &amp; "%USERPROFILE%\Documents\GitHub\mrs-test-scripts\Headless Mode &amp; Sideloading\WalkAndUnGZ.bat" "%USERPROFILE%\AppData\Local\Temp\OnboardLogs"\RTDC4022\2016-12-09 &amp; aws s3 cp s3://rtdc.mdm.uploadarchive.raw/RTDC4022/ "%USERPROFILE%\AppData\Local\Temp\OnboardLogs"\RTDC4022\2016-12-10 --exclude "*" --recursive --include "*20161210*" &amp; "%USERPROFILE%\Documents\GitHub\mrs-test-scripts\Headless Mode &amp; Sideloading\WalkAndUnGZ.bat" "%USERPROFILE%\AppData\Local\Temp\OnboardLogs"\RTDC4022\2016-12-10</v>
      </c>
      <c r="AF149" s="88" t="str">
        <f t="shared" si="61"/>
        <v>"C:\Program Files (x86)\AstroGrep\AstroGrep.exe" /spath="%USERPROFILE%\AppData\Local\Temp\OnboardLogs" /stypes="app*4022*20161210*" /stext=" 05:.+((SYSTEM_STATE.+slice.+state.+changed )|(ment ac)|(multiple cpu faults)|(system.+state.+changed )|(\[timeout)|(PRM\|1\|D)|(kpr)|(kdp)|(\|lc)|(penalty))" /e /r /s</v>
      </c>
      <c r="AG149" s="1" t="str">
        <f t="shared" si="62"/>
        <v>EC</v>
      </c>
      <c r="AH149" s="92" t="str">
        <f t="shared" si="63"/>
        <v>"%USERPROFILE%\Documents\GitHub\eaglep3\Utilities\RefineRTDCRunTimes.py" --tripid 233-09 --locoid 4022 --swversion DE.1.0.8.0 --startMP 204:467 --initTime 2016-12-09T21:54:57 --startdatetime 2016-12-09T22:00:32 --delay 1 --endMP 204:233300 --enddatetime 2016-12-09T22:36:13 --enforcementcount 0 &gt;&gt;C:\Users\stu\Documents\GitHub\eaglep3-reporting\EC\2016-12-09-refined-times.txt</v>
      </c>
      <c r="AI149" s="119" t="str">
        <f t="shared" si="64"/>
        <v>echo {"issue":{"subject":"","project_id":79,"tracker_id":40,"status_id":1,"priority_id":2,"assigned_to_id":23,"start_date":"2016-12-09","description":"","custom_fields":[{"id":1,"name":"Subdivision","value":"EC"},{"id":4,"name":"Milepost","value":"23.33"},{"id":17,"name":"Train ID","value":"233-09"},{"id":16,"name":"Locomotive ID","value":"4022"},{"id":130,"name":"Impact","value":""},{"id":150,"name":"Time of Event (Mountain Time)","value":"22:36:13"},{"id":151,"name":"Denver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687</v>
      </c>
      <c r="B150" s="7">
        <v>4021</v>
      </c>
      <c r="C150" s="22" t="s">
        <v>206</v>
      </c>
      <c r="D150" s="22" t="s">
        <v>435</v>
      </c>
      <c r="E150" s="13">
        <v>42713.953726851854</v>
      </c>
      <c r="F150" s="13">
        <v>42713.956030092595</v>
      </c>
      <c r="G150" s="7">
        <v>1</v>
      </c>
      <c r="H150" s="22" t="s">
        <v>208</v>
      </c>
      <c r="I150" s="13">
        <v>42713.984675925924</v>
      </c>
      <c r="J150" s="7">
        <v>0</v>
      </c>
      <c r="K150" s="109" t="str">
        <f t="shared" si="53"/>
        <v>4021/4022</v>
      </c>
      <c r="L150" s="22" t="str">
        <f>VLOOKUP(A150,'Trips&amp;Operators'!$C$1:$G$99999,5,FALSE)</f>
        <v>CHANDLER KELVIN</v>
      </c>
      <c r="M150" s="6">
        <f t="shared" si="54"/>
        <v>2.8645833328482695E-2</v>
      </c>
      <c r="N150" s="7">
        <f t="shared" si="52"/>
        <v>41.249999993015081</v>
      </c>
      <c r="O150" s="7"/>
      <c r="P150" s="7"/>
      <c r="Q150" s="23"/>
      <c r="R150" s="23"/>
      <c r="S150" s="35">
        <f t="shared" si="50"/>
        <v>1</v>
      </c>
      <c r="T150" s="50" t="str">
        <f t="shared" si="55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21:53:22-700',mode:absolute,to:'2016-12-10 00:37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0" s="52" t="str">
        <f t="shared" si="57"/>
        <v>N</v>
      </c>
      <c r="X150" s="177">
        <f t="shared" si="65"/>
        <v>1</v>
      </c>
      <c r="Y150" s="67">
        <f t="shared" si="51"/>
        <v>23.298300000000001</v>
      </c>
      <c r="Z150" s="67">
        <f t="shared" si="48"/>
        <v>1.5800000000000002E-2</v>
      </c>
      <c r="AA150" s="67">
        <f t="shared" si="58"/>
        <v>23.282500000000002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59"/>
        <v>0234-09</v>
      </c>
      <c r="AE150" s="91" t="str">
        <f t="shared" si="60"/>
        <v>aws s3 cp s3://rtdc.mdm.uploadarchive.raw/RTDC4021/ "%USERPROFILE%\AppData\Local\Temp\OnboardLogs"\RTDC4021\2016-12-09 --exclude "*" --recursive --include "*20161209*" &amp; "%USERPROFILE%\Documents\GitHub\mrs-test-scripts\Headless Mode &amp; Sideloading\WalkAndUnGZ.bat" "%USERPROFILE%\AppData\Local\Temp\OnboardLogs"\RTDC4021\2016-12-09 &amp; aws s3 cp s3://rtdc.mdm.uploadarchive.raw/RTDC4021/ "%USERPROFILE%\AppData\Local\Temp\OnboardLogs"\RTDC4021\2016-12-10 --exclude "*" --recursive --include "*20161210*" &amp; "%USERPROFILE%\Documents\GitHub\mrs-test-scripts\Headless Mode &amp; Sideloading\WalkAndUnGZ.bat" "%USERPROFILE%\AppData\Local\Temp\OnboardLogs"\RTDC4021\2016-12-10</v>
      </c>
      <c r="AF150" s="88" t="str">
        <f t="shared" si="61"/>
        <v>"C:\Program Files (x86)\AstroGrep\AstroGrep.exe" /spath="%USERPROFILE%\AppData\Local\Temp\OnboardLogs" /stypes="app*4021*20161210*" /stext=" 06:.+((SYSTEM_STATE.+slice.+state.+changed )|(ment ac)|(multiple cpu faults)|(system.+state.+changed )|(\[timeout)|(PRM\|1\|D)|(kpr)|(kdp)|(\|lc)|(penalty))" /e /r /s</v>
      </c>
      <c r="AG150" s="1" t="str">
        <f t="shared" si="62"/>
        <v>EC</v>
      </c>
      <c r="AH150" s="92" t="str">
        <f t="shared" si="63"/>
        <v>"%USERPROFILE%\Documents\GitHub\eaglep3\Utilities\RefineRTDCRunTimes.py" --tripid 234-09 --locoid 4021 --swversion DE.1.0.8.0 --startMP 204:232983 --initTime 2016-12-09T22:53:22 --startdatetime 2016-12-09T22:56:41 --delay 1 --endMP 204:158 --enddatetime 2016-12-09T23:37:56 --enforcementcount 0 &gt;&gt;C:\Users\stu\Documents\GitHub\eaglep3-reporting\EC\2016-12-09-refined-times.txt</v>
      </c>
      <c r="AI150" s="119" t="str">
        <f t="shared" si="64"/>
        <v>echo {"issue":{"subject":"","project_id":79,"tracker_id":40,"status_id":1,"priority_id":2,"assigned_to_id":23,"start_date":"2016-12-09","description":"","custom_fields":[{"id":1,"name":"Subdivision","value":"EC"},{"id":4,"name":"Milepost","value":"0.0158"},{"id":17,"name":"Train ID","value":"234-09"},{"id":16,"name":"Locomotive ID","value":"4021"},{"id":130,"name":"Impact","value":""},{"id":150,"name":"Time of Event (Mountain Time)","value":"23:37:56"},{"id":151,"name":"Denver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685</v>
      </c>
      <c r="B151" s="7">
        <v>4002</v>
      </c>
      <c r="C151" s="22" t="s">
        <v>206</v>
      </c>
      <c r="D151" s="22" t="s">
        <v>268</v>
      </c>
      <c r="E151" s="13">
        <v>42713.934444444443</v>
      </c>
      <c r="F151" s="13">
        <v>42713.937835648147</v>
      </c>
      <c r="G151" s="7">
        <v>2</v>
      </c>
      <c r="H151" s="22" t="s">
        <v>443</v>
      </c>
      <c r="I151" s="13">
        <v>42713.962106481478</v>
      </c>
      <c r="J151" s="7">
        <v>0</v>
      </c>
      <c r="K151" s="109" t="str">
        <f t="shared" si="53"/>
        <v>4001/4002</v>
      </c>
      <c r="L151" s="22" t="str">
        <f>VLOOKUP(A151,'Trips&amp;Operators'!$C$1:$G$99999,5,FALSE)</f>
        <v>STAMBAUGH JAMES</v>
      </c>
      <c r="M151" s="6">
        <f t="shared" si="54"/>
        <v>2.4270833331684116E-2</v>
      </c>
      <c r="N151" s="7">
        <f t="shared" si="52"/>
        <v>34.949999997625127</v>
      </c>
      <c r="O151" s="7"/>
      <c r="P151" s="7"/>
      <c r="Q151" s="23"/>
      <c r="R151" s="23"/>
      <c r="S151" s="35">
        <f t="shared" si="50"/>
        <v>1</v>
      </c>
      <c r="T151" s="50" t="str">
        <f t="shared" si="55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21:25:36-700',mode:absolute,to:'2016-12-10 00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51" s="52" t="str">
        <f t="shared" si="57"/>
        <v>N</v>
      </c>
      <c r="X151" s="177">
        <f t="shared" si="65"/>
        <v>1</v>
      </c>
      <c r="Y151" s="67">
        <f t="shared" si="51"/>
        <v>4.3799999999999999E-2</v>
      </c>
      <c r="Z151" s="67">
        <f t="shared" si="48"/>
        <v>23.329499999999999</v>
      </c>
      <c r="AA151" s="67">
        <f t="shared" si="58"/>
        <v>23.285699999999999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59"/>
        <v>0235-09</v>
      </c>
      <c r="AE151" s="91" t="str">
        <f t="shared" si="60"/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AF151" s="88" t="str">
        <f t="shared" si="61"/>
        <v>"C:\Program Files (x86)\AstroGrep\AstroGrep.exe" /spath="%USERPROFILE%\AppData\Local\Temp\OnboardLogs" /stypes="app*4002*20161210*" /stext=" 06:.+((SYSTEM_STATE.+slice.+state.+changed )|(ment ac)|(multiple cpu faults)|(system.+state.+changed )|(\[timeout)|(PRM\|1\|D)|(kpr)|(kdp)|(\|lc)|(penalty))" /e /r /s</v>
      </c>
      <c r="AG151" s="1" t="str">
        <f t="shared" si="62"/>
        <v>EC</v>
      </c>
      <c r="AH151" s="92" t="str">
        <f t="shared" si="63"/>
        <v>"%USERPROFILE%\Documents\GitHub\eaglep3\Utilities\RefineRTDCRunTimes.py" --tripid 235-09 --locoid 4002 --swversion DE.1.0.8.0 --startMP 204:438 --initTime 2016-12-09T22:25:36 --startdatetime 2016-12-09T22:30:29 --delay 2 --endMP 204:233295 --enddatetime 2016-12-09T23:05:26 --enforcementcount 0 &gt;&gt;C:\Users\stu\Documents\GitHub\eaglep3-reporting\EC\2016-12-09-refined-times.txt</v>
      </c>
      <c r="AI151" s="119" t="str">
        <f t="shared" si="64"/>
        <v>echo {"issue":{"subject":"","project_id":79,"tracker_id":40,"status_id":1,"priority_id":2,"assigned_to_id":23,"start_date":"2016-12-09","description":"","custom_fields":[{"id":1,"name":"Subdivision","value":"EC"},{"id":4,"name":"Milepost","value":"23.3295"},{"id":17,"name":"Train ID","value":"235-09"},{"id":16,"name":"Locomotive ID","value":"4002"},{"id":130,"name":"Impact","value":""},{"id":150,"name":"Time of Event (Mountain Time)","value":"23:05:26"},{"id":151,"name":"Denver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690</v>
      </c>
      <c r="B152" s="7">
        <v>4001</v>
      </c>
      <c r="C152" s="22" t="s">
        <v>206</v>
      </c>
      <c r="D152" s="22" t="s">
        <v>713</v>
      </c>
      <c r="E152" s="13">
        <v>42713.97351851852</v>
      </c>
      <c r="F152" s="13">
        <v>42713.976655092592</v>
      </c>
      <c r="G152" s="7">
        <v>1</v>
      </c>
      <c r="H152" s="22" t="s">
        <v>333</v>
      </c>
      <c r="I152" s="13">
        <v>42714.002858796295</v>
      </c>
      <c r="J152" s="7">
        <v>0</v>
      </c>
      <c r="K152" s="109" t="str">
        <f t="shared" si="53"/>
        <v>4001/4002</v>
      </c>
      <c r="L152" s="22" t="str">
        <f>VLOOKUP(A152,'Trips&amp;Operators'!$C$1:$G$99999,5,FALSE)</f>
        <v>STAMBAUGH JAMES</v>
      </c>
      <c r="M152" s="6">
        <f t="shared" si="54"/>
        <v>2.6203703702776693E-2</v>
      </c>
      <c r="N152" s="7">
        <f t="shared" si="52"/>
        <v>37.733333331998438</v>
      </c>
      <c r="O152" s="7"/>
      <c r="P152" s="7"/>
      <c r="Q152" s="23"/>
      <c r="R152" s="23"/>
      <c r="S152" s="35">
        <f t="shared" si="50"/>
        <v>1</v>
      </c>
      <c r="T152" s="50" t="str">
        <f t="shared" si="55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22:21:52-700',mode:absolute,to:'2016-12-10 01:04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52" s="52" t="str">
        <f t="shared" si="57"/>
        <v>N</v>
      </c>
      <c r="X152" s="177">
        <f t="shared" si="65"/>
        <v>1</v>
      </c>
      <c r="Y152" s="67">
        <f t="shared" si="51"/>
        <v>23.299299999999999</v>
      </c>
      <c r="Z152" s="67">
        <f t="shared" si="48"/>
        <v>1.2999999999999999E-2</v>
      </c>
      <c r="AA152" s="67">
        <f t="shared" si="58"/>
        <v>23.286299999999997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59"/>
        <v>0236-09</v>
      </c>
      <c r="AE152" s="91" t="str">
        <f t="shared" si="60"/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AF152" s="88" t="str">
        <f t="shared" si="61"/>
        <v>"C:\Program Files (x86)\AstroGrep\AstroGrep.exe" /spath="%USERPROFILE%\AppData\Local\Temp\OnboardLogs" /stypes="app*4001*20161210*" /stext=" 07:.+((SYSTEM_STATE.+slice.+state.+changed )|(ment ac)|(multiple cpu faults)|(system.+state.+changed )|(\[timeout)|(PRM\|1\|D)|(kpr)|(kdp)|(\|lc)|(penalty))" /e /r /s</v>
      </c>
      <c r="AG152" s="1" t="str">
        <f t="shared" si="62"/>
        <v>EC</v>
      </c>
      <c r="AH152" s="92" t="str">
        <f t="shared" si="63"/>
        <v>"%USERPROFILE%\Documents\GitHub\eaglep3\Utilities\RefineRTDCRunTimes.py" --tripid 236-09 --locoid 4001 --swversion DE.1.0.8.0 --startMP 204:232993 --initTime 2016-12-09T23:21:52 --startdatetime 2016-12-09T23:26:23 --delay 1 --endMP 204:130 --enddatetime 2016-12-10T00:04:07 --enforcementcount 0 &gt;&gt;C:\Users\stu\Documents\GitHub\eaglep3-reporting\EC\2016-12-09-refined-times.txt</v>
      </c>
      <c r="AI152" s="119" t="str">
        <f t="shared" si="64"/>
        <v>echo {"issue":{"subject":"","project_id":79,"tracker_id":40,"status_id":1,"priority_id":2,"assigned_to_id":23,"start_date":"2016-12-10","description":"","custom_fields":[{"id":1,"name":"Subdivision","value":"EC"},{"id":4,"name":"Milepost","value":"0.013"},{"id":17,"name":"Train ID","value":"236-09"},{"id":16,"name":"Locomotive ID","value":"4001"},{"id":130,"name":"Impact","value":""},{"id":150,"name":"Time of Event (Mountain Time)","value":"00:04:07"},{"id":151,"name":"Denver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688</v>
      </c>
      <c r="B153" s="7">
        <v>4011</v>
      </c>
      <c r="C153" s="22" t="s">
        <v>206</v>
      </c>
      <c r="D153" s="22" t="s">
        <v>432</v>
      </c>
      <c r="E153" s="13">
        <v>42713.955312500002</v>
      </c>
      <c r="F153" s="13">
        <v>42713.95853009259</v>
      </c>
      <c r="G153" s="7">
        <v>1</v>
      </c>
      <c r="H153" s="22" t="s">
        <v>739</v>
      </c>
      <c r="I153" s="13">
        <v>42713.982581018521</v>
      </c>
      <c r="J153" s="7">
        <v>0</v>
      </c>
      <c r="K153" s="109" t="str">
        <f t="shared" si="53"/>
        <v>4011/4012</v>
      </c>
      <c r="L153" s="22" t="str">
        <f>VLOOKUP(A153,'Trips&amp;Operators'!$C$1:$G$99999,5,FALSE)</f>
        <v>LEVIN SCOTT</v>
      </c>
      <c r="M153" s="6">
        <f t="shared" si="54"/>
        <v>2.4050925931078382E-2</v>
      </c>
      <c r="N153" s="7">
        <f t="shared" si="52"/>
        <v>34.63333334075287</v>
      </c>
      <c r="O153" s="7"/>
      <c r="P153" s="7"/>
      <c r="Q153" s="23"/>
      <c r="R153" s="23"/>
      <c r="S153" s="35">
        <f t="shared" si="50"/>
        <v>1</v>
      </c>
      <c r="T153" s="50" t="str">
        <f t="shared" si="55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21:55:39-700',mode:absolute,to:'2016-12-10 00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53" s="52" t="str">
        <f t="shared" si="57"/>
        <v>N</v>
      </c>
      <c r="X153" s="177">
        <f t="shared" si="65"/>
        <v>1</v>
      </c>
      <c r="Y153" s="67">
        <f t="shared" si="51"/>
        <v>4.7300000000000002E-2</v>
      </c>
      <c r="Z153" s="67">
        <f t="shared" si="48"/>
        <v>23.3353</v>
      </c>
      <c r="AA153" s="67">
        <f t="shared" si="58"/>
        <v>23.288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59"/>
        <v>0237-09</v>
      </c>
      <c r="AE153" s="91" t="str">
        <f t="shared" si="60"/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AF153" s="88" t="str">
        <f t="shared" si="61"/>
        <v>"C:\Program Files (x86)\AstroGrep\AstroGrep.exe" /spath="%USERPROFILE%\AppData\Local\Temp\OnboardLogs" /stypes="app*4011*20161210*" /stext=" 06:.+((SYSTEM_STATE.+slice.+state.+changed )|(ment ac)|(multiple cpu faults)|(system.+state.+changed )|(\[timeout)|(PRM\|1\|D)|(kpr)|(kdp)|(\|lc)|(penalty))" /e /r /s</v>
      </c>
      <c r="AG153" s="1" t="str">
        <f t="shared" si="62"/>
        <v>EC</v>
      </c>
      <c r="AH153" s="92" t="str">
        <f t="shared" si="63"/>
        <v>"%USERPROFILE%\Documents\GitHub\eaglep3\Utilities\RefineRTDCRunTimes.py" --tripid 237-09 --locoid 4011 --swversion DE.1.0.8.0 --startMP 204:473 --initTime 2016-12-09T22:55:39 --startdatetime 2016-12-09T23:00:17 --delay 1 --endMP 204:233353 --enddatetime 2016-12-09T23:34:55 --enforcementcount 0 &gt;&gt;C:\Users\stu\Documents\GitHub\eaglep3-reporting\EC\2016-12-09-refined-times.txt</v>
      </c>
      <c r="AI153" s="119" t="str">
        <f t="shared" si="64"/>
        <v>echo {"issue":{"subject":"","project_id":79,"tracker_id":40,"status_id":1,"priority_id":2,"assigned_to_id":23,"start_date":"2016-12-09","description":"","custom_fields":[{"id":1,"name":"Subdivision","value":"EC"},{"id":4,"name":"Milepost","value":"23.3353"},{"id":17,"name":"Train ID","value":"237-09"},{"id":16,"name":"Locomotive ID","value":"4011"},{"id":130,"name":"Impact","value":""},{"id":150,"name":"Time of Event (Mountain Time)","value":"23:34:55"},{"id":151,"name":"Denver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691</v>
      </c>
      <c r="B154" s="7">
        <v>4012</v>
      </c>
      <c r="C154" s="22" t="s">
        <v>206</v>
      </c>
      <c r="D154" s="22" t="s">
        <v>740</v>
      </c>
      <c r="E154" s="13">
        <v>42713.994039351855</v>
      </c>
      <c r="F154" s="13">
        <v>42713.997395833336</v>
      </c>
      <c r="G154" s="7">
        <v>1</v>
      </c>
      <c r="H154" s="22" t="s">
        <v>192</v>
      </c>
      <c r="I154" s="13">
        <v>42714.009247685186</v>
      </c>
      <c r="J154" s="7">
        <v>0</v>
      </c>
      <c r="K154" s="109" t="str">
        <f t="shared" si="53"/>
        <v>4011/4012</v>
      </c>
      <c r="L154" s="22" t="str">
        <f>VLOOKUP(A154,'Trips&amp;Operators'!$C$1:$G$99999,5,FALSE)</f>
        <v>LEVIN SCOTT</v>
      </c>
      <c r="M154" s="6">
        <f t="shared" si="54"/>
        <v>1.1851851850224193E-2</v>
      </c>
      <c r="N154" s="7"/>
      <c r="O154" s="7"/>
      <c r="P154" s="7">
        <f>24*60*SUM($M154:$M155)</f>
        <v>39.249999996973202</v>
      </c>
      <c r="Q154" s="23"/>
      <c r="R154" s="23" t="s">
        <v>827</v>
      </c>
      <c r="S154" s="35">
        <f>SUM(U154:U155)/IF(AG154="EC",12,1)</f>
        <v>0.91666666666666663</v>
      </c>
      <c r="T154" s="50" t="str">
        <f t="shared" si="55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</v>
      </c>
      <c r="V15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22:51:25-700',mode:absolute,to:'2016-12-10 01:13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4" s="52" t="str">
        <f t="shared" si="57"/>
        <v>Y</v>
      </c>
      <c r="X154" s="177">
        <f t="shared" si="65"/>
        <v>1</v>
      </c>
      <c r="Y154" s="67">
        <f t="shared" si="51"/>
        <v>23.303799999999999</v>
      </c>
      <c r="Z154" s="67">
        <v>10.4</v>
      </c>
      <c r="AA154" s="67">
        <f t="shared" si="58"/>
        <v>12.903799999999999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59"/>
        <v>0238-09</v>
      </c>
      <c r="AE154" s="91" t="str">
        <f t="shared" si="60"/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AF154" s="88" t="str">
        <f t="shared" si="61"/>
        <v>"C:\Program Files (x86)\AstroGrep\AstroGrep.exe" /spath="%USERPROFILE%\AppData\Local\Temp\OnboardLogs" /stypes="app*4012*20161210*" /stext=" 07:.+((SYSTEM_STATE.+slice.+state.+changed )|(ment ac)|(multiple cpu faults)|(system.+state.+changed )|(\[timeout)|(PRM\|1\|D)|(kpr)|(kdp)|(\|lc)|(penalty))" /e /r /s</v>
      </c>
      <c r="AG154" s="1" t="str">
        <f t="shared" si="62"/>
        <v>EC</v>
      </c>
      <c r="AH154" s="92" t="str">
        <f t="shared" si="63"/>
        <v>"%USERPROFILE%\Documents\GitHub\eaglep3\Utilities\RefineRTDCRunTimes.py" --tripid 238-09 --locoid 4012 --swversion DE.1.0.8.0 --startMP 204:233038 --initTime 2016-12-09T23:51:25 --startdatetime 2016-12-09T23:56:15 --delay 1 --endMP 204:149 --enddatetime 2016-12-10T00:13:19 --enforcementcount 0 &gt;&gt;C:\Users\stu\Documents\GitHub\eaglep3-reporting\EC\2016-12-09-refined-times.txt</v>
      </c>
      <c r="AI154" s="119" t="str">
        <f t="shared" si="64"/>
        <v>echo {"issue":{"subject":"Wheel tach slip","project_id":79,"tracker_id":40,"status_id":1,"priority_id":2,"assigned_to_id":23,"start_date":"2016-12-10","description":"","custom_fields":[{"id":1,"name":"Subdivision","value":"EC"},{"id":4,"name":"Milepost","value":"10.4"},{"id":17,"name":"Train ID","value":"238-09"},{"id":16,"name":"Locomotive ID","value":"4012"},{"id":130,"name":"Impact","value":""},{"id":150,"name":"Time of Event (Mountain Time)","value":"00:13:19"},{"id":151,"name":"Denver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691</v>
      </c>
      <c r="B155" s="7">
        <v>4012</v>
      </c>
      <c r="C155" s="22" t="s">
        <v>206</v>
      </c>
      <c r="D155" s="22" t="s">
        <v>741</v>
      </c>
      <c r="E155" s="13">
        <v>42714.010196759256</v>
      </c>
      <c r="F155" s="13">
        <v>42714.011354166665</v>
      </c>
      <c r="G155" s="7">
        <v>1</v>
      </c>
      <c r="H155" s="22" t="s">
        <v>192</v>
      </c>
      <c r="I155" s="13">
        <v>42714.026759259257</v>
      </c>
      <c r="J155" s="7">
        <v>0</v>
      </c>
      <c r="K155" s="109" t="str">
        <f t="shared" si="53"/>
        <v>4011/4012</v>
      </c>
      <c r="L155" s="22" t="str">
        <f>VLOOKUP(A155,'Trips&amp;Operators'!$C$1:$G$99999,5,FALSE)</f>
        <v>LEVIN SCOTT</v>
      </c>
      <c r="M155" s="6">
        <f t="shared" si="54"/>
        <v>1.5405092592118308E-2</v>
      </c>
      <c r="N155" s="7"/>
      <c r="O155" s="7"/>
      <c r="P155" s="7"/>
      <c r="Q155" s="23"/>
      <c r="R155" s="23"/>
      <c r="S155" s="35"/>
      <c r="T155" s="50" t="str">
        <f t="shared" si="55"/>
        <v>Southbound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10</v>
      </c>
      <c r="V15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23:14:41-700',mode:absolute,to:'2016-12-10 01:38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55" s="52" t="str">
        <f t="shared" si="57"/>
        <v>Y</v>
      </c>
      <c r="X155" s="177">
        <f t="shared" si="65"/>
        <v>0</v>
      </c>
      <c r="Y155" s="67">
        <f t="shared" si="51"/>
        <v>9.9608000000000008</v>
      </c>
      <c r="Z155" s="67">
        <f t="shared" ref="Z155:Z186" si="66">RIGHT(H155,LEN(H155)-4)/10000</f>
        <v>1.49E-2</v>
      </c>
      <c r="AA155" s="67">
        <f t="shared" si="58"/>
        <v>9.9459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59"/>
        <v>0238-09</v>
      </c>
      <c r="AE155" s="91" t="str">
        <f t="shared" si="60"/>
        <v>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 &amp; 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</v>
      </c>
      <c r="AF155" s="88" t="str">
        <f t="shared" si="61"/>
        <v>"C:\Program Files (x86)\AstroGrep\AstroGrep.exe" /spath="%USERPROFILE%\AppData\Local\Temp\OnboardLogs" /stypes="app*4012*20161210*" /stext=" 07:.+((SYSTEM_STATE.+slice.+state.+changed )|(ment ac)|(multiple cpu faults)|(system.+state.+changed )|(\[timeout)|(PRM\|1\|D)|(kpr)|(kdp)|(\|lc)|(penalty))" /e /r /s</v>
      </c>
      <c r="AG155" s="1" t="str">
        <f t="shared" si="62"/>
        <v>EC</v>
      </c>
      <c r="AH155" s="92" t="str">
        <f t="shared" si="63"/>
        <v>"%USERPROFILE%\Documents\GitHub\eaglep3\Utilities\RefineRTDCRunTimes.py" --tripid 238-09 --locoid 4012 --swversion DE.1.0.8.0 --startMP 204:99608 --initTime 2016-12-10T00:14:41 --startdatetime 2016-12-10T00:16:21 --delay 1 --endMP 204:149 --enddatetime 2016-12-10T00:38:32 --enforcementcount 0 &gt;&gt;C:\Users\stu\Documents\GitHub\eaglep3-reporting\EC\2016-12-09-refined-times.txt</v>
      </c>
      <c r="AI155" s="119" t="str">
        <f t="shared" si="64"/>
        <v>echo {"issue":{"subject":"","project_id":79,"tracker_id":40,"status_id":1,"priority_id":2,"assigned_to_id":23,"start_date":"2016-12-10","description":"","custom_fields":[{"id":1,"name":"Subdivision","value":"EC"},{"id":4,"name":"Milepost","value":"0.0149"},{"id":17,"name":"Train ID","value":"238-09"},{"id":16,"name":"Locomotive ID","value":"4012"},{"id":130,"name":"Impact","value":""},{"id":150,"name":"Time of Event (Mountain Time)","value":"00:38:32"},{"id":151,"name":"Denver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7" t="s">
        <v>689</v>
      </c>
      <c r="B156" s="7">
        <v>4051</v>
      </c>
      <c r="C156" s="22" t="s">
        <v>206</v>
      </c>
      <c r="D156" s="22" t="s">
        <v>227</v>
      </c>
      <c r="E156" s="13">
        <v>42713.965601851851</v>
      </c>
      <c r="F156" s="13">
        <v>42713.979398148149</v>
      </c>
      <c r="G156" s="7">
        <v>2</v>
      </c>
      <c r="H156" s="22" t="s">
        <v>380</v>
      </c>
      <c r="I156" s="13">
        <v>42714.003680555557</v>
      </c>
      <c r="J156" s="7">
        <v>0</v>
      </c>
      <c r="K156" s="109" t="str">
        <f t="shared" si="53"/>
        <v>4051/4052</v>
      </c>
      <c r="L156" s="22" t="str">
        <f>VLOOKUP(A156,'Trips&amp;Operators'!$C$1:$G$99999,5,FALSE)</f>
        <v>YANAI IAN</v>
      </c>
      <c r="M156" s="6">
        <f t="shared" si="54"/>
        <v>2.4282407408463769E-2</v>
      </c>
      <c r="N156" s="7">
        <f t="shared" ref="N156:N162" si="67">24*60*SUM($M156:$M156)</f>
        <v>34.966666668187827</v>
      </c>
      <c r="O156" s="7"/>
      <c r="P156" s="7"/>
      <c r="Q156" s="23"/>
      <c r="R156" s="23"/>
      <c r="S156" s="35">
        <f t="shared" ref="S156:S162" si="68">SUM(U156:U156)/IF(AG156="EC",12,1)</f>
        <v>1</v>
      </c>
      <c r="T156" s="50" t="str">
        <f t="shared" si="55"/>
        <v>NorthBound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22:10:28-700',mode:absolute,to:'2016-12-10 01:05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156" s="52" t="str">
        <f t="shared" si="57"/>
        <v>N</v>
      </c>
      <c r="X156" s="177">
        <f t="shared" si="65"/>
        <v>1</v>
      </c>
      <c r="Y156" s="67">
        <f t="shared" ref="Y156:Y187" si="69">RIGHT(D156,LEN(D156)-4)/10000</f>
        <v>4.6600000000000003E-2</v>
      </c>
      <c r="Z156" s="67">
        <f t="shared" si="66"/>
        <v>23.331700000000001</v>
      </c>
      <c r="AA156" s="67">
        <f t="shared" si="58"/>
        <v>23.2851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59"/>
        <v>0239-09</v>
      </c>
      <c r="AE156" s="91" t="str">
        <f t="shared" si="60"/>
        <v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v>
      </c>
      <c r="AF156" s="88" t="str">
        <f t="shared" si="61"/>
        <v>"C:\Program Files (x86)\AstroGrep\AstroGrep.exe" /spath="%USERPROFILE%\AppData\Local\Temp\OnboardLogs" /stypes="app*4051*20161210*" /stext=" 07:.+((SYSTEM_STATE.+slice.+state.+changed )|(ment ac)|(multiple cpu faults)|(system.+state.+changed )|(\[timeout)|(PRM\|1\|D)|(kpr)|(kdp)|(\|lc)|(penalty))" /e /r /s</v>
      </c>
      <c r="AG156" s="1" t="str">
        <f t="shared" si="62"/>
        <v>EC</v>
      </c>
      <c r="AH156" s="92" t="str">
        <f t="shared" si="63"/>
        <v>"%USERPROFILE%\Documents\GitHub\eaglep3\Utilities\RefineRTDCRunTimes.py" --tripid 239-09 --locoid 4051 --swversion DE.1.0.8.0 --startMP 204:466 --initTime 2016-12-09T23:10:28 --startdatetime 2016-12-09T23:30:20 --delay 2 --endMP 204:233317 --enddatetime 2016-12-10T00:05:18 --enforcementcount 0 &gt;&gt;C:\Users\stu\Documents\GitHub\eaglep3-reporting\EC\2016-12-09-refined-times.txt</v>
      </c>
      <c r="AI156" s="119" t="str">
        <f t="shared" si="64"/>
        <v>echo {"issue":{"subject":"","project_id":79,"tracker_id":40,"status_id":1,"priority_id":2,"assigned_to_id":23,"start_date":"2016-12-10","description":"","custom_fields":[{"id":1,"name":"Subdivision","value":"EC"},{"id":4,"name":"Milepost","value":"23.3317"},{"id":17,"name":"Train ID","value":"239-09"},{"id":16,"name":"Locomotive ID","value":"4051"},{"id":130,"name":"Impact","value":""},{"id":150,"name":"Time of Event (Mountain Time)","value":"00:05:18"},{"id":151,"name":"Denver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x14ac:dyDescent="0.25">
      <c r="A157" s="37" t="s">
        <v>694</v>
      </c>
      <c r="B157" s="7">
        <v>4052</v>
      </c>
      <c r="C157" s="22" t="s">
        <v>206</v>
      </c>
      <c r="D157" s="22" t="s">
        <v>376</v>
      </c>
      <c r="E157" s="13">
        <v>42714.006574074076</v>
      </c>
      <c r="F157" s="13">
        <v>42714.018206018518</v>
      </c>
      <c r="G157" s="7">
        <v>0</v>
      </c>
      <c r="H157" s="22" t="s">
        <v>742</v>
      </c>
      <c r="I157" s="13">
        <v>42714.045416666668</v>
      </c>
      <c r="J157" s="7">
        <v>0</v>
      </c>
      <c r="K157" s="109" t="str">
        <f t="shared" si="53"/>
        <v>4051/4052</v>
      </c>
      <c r="L157" s="22" t="str">
        <f>VLOOKUP(A157,'Trips&amp;Operators'!$C$1:$G$99999,5,FALSE)</f>
        <v>YANAI IAN</v>
      </c>
      <c r="M157" s="6">
        <f t="shared" si="54"/>
        <v>2.7210648149775807E-2</v>
      </c>
      <c r="N157" s="7">
        <f t="shared" si="67"/>
        <v>39.183333335677162</v>
      </c>
      <c r="O157" s="7"/>
      <c r="P157" s="7"/>
      <c r="Q157" s="23"/>
      <c r="R157" s="23"/>
      <c r="S157" s="35">
        <f t="shared" si="68"/>
        <v>1</v>
      </c>
      <c r="T157" s="50" t="str">
        <f t="shared" si="55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23:09:28-700',mode:absolute,to:'2016-12-10 02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157" s="52" t="str">
        <f t="shared" si="57"/>
        <v>N</v>
      </c>
      <c r="X157" s="177">
        <f t="shared" si="65"/>
        <v>1</v>
      </c>
      <c r="Y157" s="67">
        <f t="shared" si="69"/>
        <v>23.299099999999999</v>
      </c>
      <c r="Z157" s="67">
        <f t="shared" si="66"/>
        <v>2.4899999999999999E-2</v>
      </c>
      <c r="AA157" s="67">
        <f t="shared" si="58"/>
        <v>23.2742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59"/>
        <v>0240-09</v>
      </c>
      <c r="AE157" s="91" t="str">
        <f t="shared" si="60"/>
        <v>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 &amp; aws s3 cp s3://rtdc.mdm.uploadarchive.raw/RTDC4052/ "%USERPROFILE%\AppData\Local\Temp\OnboardLogs"\RTDC4052\2016-12-11 --exclude "*" --recursive --include "*20161211*" &amp; "%USERPROFILE%\Documents\GitHub\mrs-test-scripts\Headless Mode &amp; Sideloading\WalkAndUnGZ.bat" "%USERPROFILE%\AppData\Local\Temp\OnboardLogs"\RTDC4052\2016-12-11</v>
      </c>
      <c r="AF157" s="88" t="str">
        <f t="shared" si="61"/>
        <v>"C:\Program Files (x86)\AstroGrep\AstroGrep.exe" /spath="%USERPROFILE%\AppData\Local\Temp\OnboardLogs" /stypes="app*4052*20161210*" /stext=" 08:.+((SYSTEM_STATE.+slice.+state.+changed )|(ment ac)|(multiple cpu faults)|(system.+state.+changed )|(\[timeout)|(PRM\|1\|D)|(kpr)|(kdp)|(\|lc)|(penalty))" /e /r /s</v>
      </c>
      <c r="AG157" s="1" t="str">
        <f t="shared" si="62"/>
        <v>EC</v>
      </c>
      <c r="AH157" s="92" t="str">
        <f t="shared" si="63"/>
        <v>"%USERPROFILE%\Documents\GitHub\eaglep3\Utilities\RefineRTDCRunTimes.py" --tripid 240-09 --locoid 4052 --swversion DE.1.0.8.0 --startMP 204:232991 --initTime 2016-12-10T00:09:28 --startdatetime 2016-12-10T00:26:13 --delay 0 --endMP 204:249 --enddatetime 2016-12-10T01:05:24 --enforcementcount 0 &gt;&gt;C:\Users\stu\Documents\GitHub\eaglep3-reporting\EC\2016-12-09-refined-times.txt</v>
      </c>
      <c r="AI157" s="119" t="str">
        <f t="shared" si="64"/>
        <v>echo {"issue":{"subject":"","project_id":79,"tracker_id":40,"status_id":1,"priority_id":2,"assigned_to_id":23,"start_date":"2016-12-10","description":"","custom_fields":[{"id":1,"name":"Subdivision","value":"EC"},{"id":4,"name":"Milepost","value":"0.0249"},{"id":17,"name":"Train ID","value":"240-09"},{"id":16,"name":"Locomotive ID","value":"4052"},{"id":130,"name":"Impact","value":""},{"id":150,"name":"Time of Event (Mountain Time)","value":"01:05:24"},{"id":151,"name":"Denver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</row>
    <row r="158" spans="1:91" s="21" customFormat="1" x14ac:dyDescent="0.25">
      <c r="A158" s="37" t="s">
        <v>692</v>
      </c>
      <c r="B158" s="7">
        <v>4022</v>
      </c>
      <c r="C158" s="22" t="s">
        <v>206</v>
      </c>
      <c r="D158" s="22" t="s">
        <v>715</v>
      </c>
      <c r="E158" s="13">
        <v>42713.995335648149</v>
      </c>
      <c r="F158" s="13">
        <v>42714.000231481485</v>
      </c>
      <c r="G158" s="7">
        <v>1</v>
      </c>
      <c r="H158" s="22" t="s">
        <v>382</v>
      </c>
      <c r="I158" s="13">
        <v>42714.027094907404</v>
      </c>
      <c r="J158" s="7">
        <v>0</v>
      </c>
      <c r="K158" s="109" t="str">
        <f t="shared" si="53"/>
        <v>4021/4022</v>
      </c>
      <c r="L158" s="22" t="str">
        <f>VLOOKUP(A158,'Trips&amp;Operators'!$C$1:$G$99999,5,FALSE)</f>
        <v>CHANDLER KELVIN</v>
      </c>
      <c r="M158" s="6">
        <f t="shared" si="54"/>
        <v>2.6863425919145811E-2</v>
      </c>
      <c r="N158" s="7">
        <f t="shared" si="67"/>
        <v>38.683333323569968</v>
      </c>
      <c r="O158" s="7"/>
      <c r="P158" s="7"/>
      <c r="Q158" s="23"/>
      <c r="R158" s="23"/>
      <c r="S158" s="35">
        <f t="shared" si="68"/>
        <v>1</v>
      </c>
      <c r="T158" s="50" t="str">
        <f t="shared" si="55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22:53:17-700',mode:absolute,to:'2016-12-10 01:39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58" s="52" t="str">
        <f t="shared" si="57"/>
        <v>N</v>
      </c>
      <c r="X158" s="177">
        <f t="shared" si="65"/>
        <v>1</v>
      </c>
      <c r="Y158" s="67">
        <f t="shared" si="69"/>
        <v>4.7699999999999999E-2</v>
      </c>
      <c r="Z158" s="67">
        <f t="shared" si="66"/>
        <v>23.3308</v>
      </c>
      <c r="AA158" s="67">
        <f t="shared" si="58"/>
        <v>23.283100000000001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59"/>
        <v>0241-09</v>
      </c>
      <c r="AE158" s="91" t="str">
        <f t="shared" si="60"/>
        <v>aws s3 cp s3://rtdc.mdm.uploadarchive.raw/RTDC4022/ "%USERPROFILE%\AppData\Local\Temp\OnboardLogs"\RTDC4022\2016-12-10 --exclude "*" --recursive --include "*20161210*" &amp; "%USERPROFILE%\Documents\GitHub\mrs-test-scripts\Headless Mode &amp; Sideloading\WalkAndUnGZ.bat" "%USERPROFILE%\AppData\Local\Temp\OnboardLogs"\RTDC4022\2016-12-10 &amp; aws s3 cp s3://rtdc.mdm.uploadarchive.raw/RTDC4022/ "%USERPROFILE%\AppData\Local\Temp\OnboardLogs"\RTDC4022\2016-12-11 --exclude "*" --recursive --include "*20161211*" &amp; "%USERPROFILE%\Documents\GitHub\mrs-test-scripts\Headless Mode &amp; Sideloading\WalkAndUnGZ.bat" "%USERPROFILE%\AppData\Local\Temp\OnboardLogs"\RTDC4022\2016-12-11</v>
      </c>
      <c r="AF158" s="88" t="str">
        <f t="shared" si="61"/>
        <v>"C:\Program Files (x86)\AstroGrep\AstroGrep.exe" /spath="%USERPROFILE%\AppData\Local\Temp\OnboardLogs" /stypes="app*4022*20161210*" /stext=" 07:.+((SYSTEM_STATE.+slice.+state.+changed )|(ment ac)|(multiple cpu faults)|(system.+state.+changed )|(\[timeout)|(PRM\|1\|D)|(kpr)|(kdp)|(\|lc)|(penalty))" /e /r /s</v>
      </c>
      <c r="AG158" s="1" t="str">
        <f t="shared" si="62"/>
        <v>EC</v>
      </c>
      <c r="AH158" s="92" t="str">
        <f t="shared" si="63"/>
        <v>"%USERPROFILE%\Documents\GitHub\eaglep3\Utilities\RefineRTDCRunTimes.py" --tripid 241-09 --locoid 4022 --swversion DE.1.0.8.0 --startMP 204:477 --initTime 2016-12-09T23:53:17 --startdatetime 2016-12-10T00:00:20 --delay 1 --endMP 204:233308 --enddatetime 2016-12-10T00:39:01 --enforcementcount 0 &gt;&gt;C:\Users\stu\Documents\GitHub\eaglep3-reporting\EC\2016-12-09-refined-times.txt</v>
      </c>
      <c r="AI158" s="119" t="str">
        <f t="shared" si="64"/>
        <v>echo {"issue":{"subject":"","project_id":79,"tracker_id":40,"status_id":1,"priority_id":2,"assigned_to_id":23,"start_date":"2016-12-10","description":"","custom_fields":[{"id":1,"name":"Subdivision","value":"EC"},{"id":4,"name":"Milepost","value":"23.3308"},{"id":17,"name":"Train ID","value":"241-09"},{"id":16,"name":"Locomotive ID","value":"4022"},{"id":130,"name":"Impact","value":""},{"id":150,"name":"Time of Event (Mountain Time)","value":"00:39:01"},{"id":151,"name":"Denver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395</v>
      </c>
      <c r="B159" s="7">
        <v>4021</v>
      </c>
      <c r="C159" s="22" t="s">
        <v>206</v>
      </c>
      <c r="D159" s="22" t="s">
        <v>296</v>
      </c>
      <c r="E159" s="13">
        <v>42714.034189814818</v>
      </c>
      <c r="F159" s="13">
        <v>42714.039317129631</v>
      </c>
      <c r="G159" s="7">
        <v>1</v>
      </c>
      <c r="H159" s="22" t="s">
        <v>208</v>
      </c>
      <c r="I159" s="13">
        <v>42714.067164351851</v>
      </c>
      <c r="J159" s="7">
        <v>0</v>
      </c>
      <c r="K159" s="109" t="str">
        <f t="shared" si="53"/>
        <v>4021/4022</v>
      </c>
      <c r="L159" s="22" t="str">
        <f>VLOOKUP(A159,'Trips&amp;Operators'!$C$1:$G$99999,5,FALSE)</f>
        <v>CHANDLER KELVIN</v>
      </c>
      <c r="M159" s="6">
        <f t="shared" si="54"/>
        <v>2.7847222219861578E-2</v>
      </c>
      <c r="N159" s="7">
        <f t="shared" si="67"/>
        <v>40.099999996600673</v>
      </c>
      <c r="O159" s="7"/>
      <c r="P159" s="7"/>
      <c r="Q159" s="23"/>
      <c r="R159" s="23"/>
      <c r="S159" s="35">
        <f t="shared" si="68"/>
        <v>1</v>
      </c>
      <c r="T159" s="50" t="str">
        <f t="shared" si="55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23:49:14-700',mode:absolute,to:'2016-12-10 02:36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159" s="52" t="str">
        <f t="shared" si="57"/>
        <v>N</v>
      </c>
      <c r="X159" s="177">
        <f t="shared" si="65"/>
        <v>1</v>
      </c>
      <c r="Y159" s="67">
        <f t="shared" si="69"/>
        <v>23.299399999999999</v>
      </c>
      <c r="Z159" s="67">
        <f t="shared" si="66"/>
        <v>1.5800000000000002E-2</v>
      </c>
      <c r="AA159" s="67">
        <f t="shared" si="58"/>
        <v>23.2836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59"/>
        <v>0242-09</v>
      </c>
      <c r="AE159" s="91" t="str">
        <f t="shared" si="60"/>
        <v>aws s3 cp s3://rtdc.mdm.uploadarchive.raw/RTDC4021/ "%USERPROFILE%\AppData\Local\Temp\OnboardLogs"\RTDC4021\2016-12-10 --exclude "*" --recursive --include "*20161210*" &amp; "%USERPROFILE%\Documents\GitHub\mrs-test-scripts\Headless Mode &amp; Sideloading\WalkAndUnGZ.bat" "%USERPROFILE%\AppData\Local\Temp\OnboardLogs"\RTDC4021\2016-12-10 &amp; aws s3 cp s3://rtdc.mdm.uploadarchive.raw/RTDC4021/ "%USERPROFILE%\AppData\Local\Temp\OnboardLogs"\RTDC4021\2016-12-11 --exclude "*" --recursive --include "*20161211*" &amp; "%USERPROFILE%\Documents\GitHub\mrs-test-scripts\Headless Mode &amp; Sideloading\WalkAndUnGZ.bat" "%USERPROFILE%\AppData\Local\Temp\OnboardLogs"\RTDC4021\2016-12-11</v>
      </c>
      <c r="AF159" s="88" t="str">
        <f t="shared" si="61"/>
        <v>"C:\Program Files (x86)\AstroGrep\AstroGrep.exe" /spath="%USERPROFILE%\AppData\Local\Temp\OnboardLogs" /stypes="app*4021*20161210*" /stext=" 08:.+((SYSTEM_STATE.+slice.+state.+changed )|(ment ac)|(multiple cpu faults)|(system.+state.+changed )|(\[timeout)|(PRM\|1\|D)|(kpr)|(kdp)|(\|lc)|(penalty))" /e /r /s</v>
      </c>
      <c r="AG159" s="1" t="str">
        <f t="shared" si="62"/>
        <v>EC</v>
      </c>
      <c r="AH159" s="92" t="str">
        <f t="shared" si="63"/>
        <v>"%USERPROFILE%\Documents\GitHub\eaglep3\Utilities\RefineRTDCRunTimes.py" --tripid 242-09 --locoid 4021 --swversion DE.1.0.8.0 --startMP 204:232994 --initTime 2016-12-10T00:49:14 --startdatetime 2016-12-10T00:56:37 --delay 1 --endMP 204:158 --enddatetime 2016-12-10T01:36:43 --enforcementcount 0 &gt;&gt;C:\Users\stu\Documents\GitHub\eaglep3-reporting\EC\2016-12-09-refined-times.txt</v>
      </c>
      <c r="AI159" s="119" t="str">
        <f t="shared" si="64"/>
        <v>echo {"issue":{"subject":"","project_id":79,"tracker_id":40,"status_id":1,"priority_id":2,"assigned_to_id":23,"start_date":"2016-12-10","description":"","custom_fields":[{"id":1,"name":"Subdivision","value":"EC"},{"id":4,"name":"Milepost","value":"0.0158"},{"id":17,"name":"Train ID","value":"242-09"},{"id":16,"name":"Locomotive ID","value":"4021"},{"id":130,"name":"Impact","value":""},{"id":150,"name":"Time of Event (Mountain Time)","value":"01:36:43"},{"id":151,"name":"Denver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693</v>
      </c>
      <c r="B160" s="7">
        <v>4002</v>
      </c>
      <c r="C160" s="22" t="s">
        <v>206</v>
      </c>
      <c r="D160" s="22" t="s">
        <v>236</v>
      </c>
      <c r="E160" s="13">
        <v>42714.006377314814</v>
      </c>
      <c r="F160" s="13">
        <v>42714.021192129629</v>
      </c>
      <c r="G160" s="7">
        <v>1</v>
      </c>
      <c r="H160" s="22" t="s">
        <v>305</v>
      </c>
      <c r="I160" s="13">
        <v>42714.045497685183</v>
      </c>
      <c r="J160" s="7">
        <v>0</v>
      </c>
      <c r="K160" s="109" t="str">
        <f t="shared" si="53"/>
        <v>4001/4002</v>
      </c>
      <c r="L160" s="22" t="str">
        <f>VLOOKUP(A160,'Trips&amp;Operators'!$C$1:$G$99999,5,FALSE)</f>
        <v>STAMBAUGH JAMES</v>
      </c>
      <c r="M160" s="6">
        <f t="shared" si="54"/>
        <v>2.4305555554747116E-2</v>
      </c>
      <c r="N160" s="7">
        <f t="shared" si="67"/>
        <v>34.999999998835847</v>
      </c>
      <c r="O160" s="7"/>
      <c r="P160" s="7"/>
      <c r="Q160" s="23"/>
      <c r="R160" s="23"/>
      <c r="S160" s="35">
        <f t="shared" si="68"/>
        <v>1</v>
      </c>
      <c r="T160" s="50" t="str">
        <f t="shared" si="55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23:09:11-700',mode:absolute,to:'2016-12-10 02:05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60" s="52" t="str">
        <f t="shared" si="57"/>
        <v>N</v>
      </c>
      <c r="X160" s="177">
        <f t="shared" si="65"/>
        <v>1</v>
      </c>
      <c r="Y160" s="67">
        <f t="shared" si="69"/>
        <v>4.4200000000000003E-2</v>
      </c>
      <c r="Z160" s="67">
        <f t="shared" si="66"/>
        <v>23.331900000000001</v>
      </c>
      <c r="AA160" s="67">
        <f t="shared" si="58"/>
        <v>23.287700000000001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59"/>
        <v>0243-09</v>
      </c>
      <c r="AE160" s="91" t="str">
        <f t="shared" si="60"/>
        <v>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 &amp; aws s3 cp s3://rtdc.mdm.uploadarchive.raw/RTDC4002/ "%USERPROFILE%\AppData\Local\Temp\OnboardLogs"\RTDC4002\2016-12-11 --exclude "*" --recursive --include "*20161211*" &amp; "%USERPROFILE%\Documents\GitHub\mrs-test-scripts\Headless Mode &amp; Sideloading\WalkAndUnGZ.bat" "%USERPROFILE%\AppData\Local\Temp\OnboardLogs"\RTDC4002\2016-12-11</v>
      </c>
      <c r="AF160" s="88" t="str">
        <f t="shared" si="61"/>
        <v>"C:\Program Files (x86)\AstroGrep\AstroGrep.exe" /spath="%USERPROFILE%\AppData\Local\Temp\OnboardLogs" /stypes="app*4002*20161210*" /stext=" 08:.+((SYSTEM_STATE.+slice.+state.+changed )|(ment ac)|(multiple cpu faults)|(system.+state.+changed )|(\[timeout)|(PRM\|1\|D)|(kpr)|(kdp)|(\|lc)|(penalty))" /e /r /s</v>
      </c>
      <c r="AG160" s="1" t="str">
        <f t="shared" si="62"/>
        <v>EC</v>
      </c>
      <c r="AH160" s="92" t="str">
        <f t="shared" si="63"/>
        <v>"%USERPROFILE%\Documents\GitHub\eaglep3\Utilities\RefineRTDCRunTimes.py" --tripid 243-09 --locoid 4002 --swversion DE.1.0.8.0 --startMP 204:442 --initTime 2016-12-10T00:09:11 --startdatetime 2016-12-10T00:30:31 --delay 1 --endMP 204:233319 --enddatetime 2016-12-10T01:05:31 --enforcementcount 0 &gt;&gt;C:\Users\stu\Documents\GitHub\eaglep3-reporting\EC\2016-12-09-refined-times.txt</v>
      </c>
      <c r="AI160" s="119" t="str">
        <f t="shared" si="64"/>
        <v>echo {"issue":{"subject":"","project_id":79,"tracker_id":40,"status_id":1,"priority_id":2,"assigned_to_id":23,"start_date":"2016-12-10","description":"","custom_fields":[{"id":1,"name":"Subdivision","value":"EC"},{"id":4,"name":"Milepost","value":"23.3319"},{"id":17,"name":"Train ID","value":"243-09"},{"id":16,"name":"Locomotive ID","value":"4002"},{"id":130,"name":"Impact","value":""},{"id":150,"name":"Time of Event (Mountain Time)","value":"01:05:31"},{"id":151,"name":"Denver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399</v>
      </c>
      <c r="B161" s="7">
        <v>4001</v>
      </c>
      <c r="C161" s="22" t="s">
        <v>206</v>
      </c>
      <c r="D161" s="22" t="s">
        <v>427</v>
      </c>
      <c r="E161" s="13">
        <v>42714.05673611111</v>
      </c>
      <c r="F161" s="13">
        <v>42714.060034722221</v>
      </c>
      <c r="G161" s="7">
        <v>2</v>
      </c>
      <c r="H161" s="22" t="s">
        <v>334</v>
      </c>
      <c r="I161" s="13">
        <v>42714.085902777777</v>
      </c>
      <c r="J161" s="7">
        <v>0</v>
      </c>
      <c r="K161" s="109" t="str">
        <f t="shared" si="53"/>
        <v>4001/4002</v>
      </c>
      <c r="L161" s="22" t="str">
        <f>VLOOKUP(A161,'Trips&amp;Operators'!$C$1:$G$99999,5,FALSE)</f>
        <v>STAMBAUGH JAMES</v>
      </c>
      <c r="M161" s="6">
        <f t="shared" si="54"/>
        <v>2.5868055556202307E-2</v>
      </c>
      <c r="N161" s="7">
        <f t="shared" si="67"/>
        <v>37.250000000931323</v>
      </c>
      <c r="O161" s="7"/>
      <c r="P161" s="7"/>
      <c r="Q161" s="23"/>
      <c r="R161" s="23"/>
      <c r="S161" s="35">
        <f t="shared" si="68"/>
        <v>1</v>
      </c>
      <c r="T161" s="50" t="str">
        <f t="shared" si="55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https://search-rtdc-monitor-bjffxe2xuh6vdkpspy63sjmuny.us-east-1.es.amazonaws.com/_plugin/kibana/#/discover/Steve-Slow-Train-Analysis-(2080s-and-2083s)?_g=(refreshInterval:(display:Off,section:0,value:0),time:(from:'2016-12-10 00:21:42-700',mode:absolute,to:'2016-12-10 03:03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61" s="52" t="str">
        <f t="shared" si="57"/>
        <v>N</v>
      </c>
      <c r="X161" s="177">
        <f t="shared" si="65"/>
        <v>1</v>
      </c>
      <c r="Y161" s="67">
        <f t="shared" si="69"/>
        <v>23.3002</v>
      </c>
      <c r="Z161" s="67">
        <f t="shared" si="66"/>
        <v>1.3899999999999999E-2</v>
      </c>
      <c r="AA161" s="67">
        <f t="shared" si="58"/>
        <v>23.286300000000001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59"/>
        <v>0244-09</v>
      </c>
      <c r="AE161" s="91" t="str">
        <f t="shared" si="60"/>
        <v>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 &amp; aws s3 cp s3://rtdc.mdm.uploadarchive.raw/RTDC4001/ "%USERPROFILE%\AppData\Local\Temp\OnboardLogs"\RTDC4001\2016-12-11 --exclude "*" --recursive --include "*20161211*" &amp; "%USERPROFILE%\Documents\GitHub\mrs-test-scripts\Headless Mode &amp; Sideloading\WalkAndUnGZ.bat" "%USERPROFILE%\AppData\Local\Temp\OnboardLogs"\RTDC4001\2016-12-11</v>
      </c>
      <c r="AF161" s="88" t="str">
        <f t="shared" si="61"/>
        <v>"C:\Program Files (x86)\AstroGrep\AstroGrep.exe" /spath="%USERPROFILE%\AppData\Local\Temp\OnboardLogs" /stypes="app*4001*20161210*" /stext=" 09:.+((SYSTEM_STATE.+slice.+state.+changed )|(ment ac)|(multiple cpu faults)|(system.+state.+changed )|(\[timeout)|(PRM\|1\|D)|(kpr)|(kdp)|(\|lc)|(penalty))" /e /r /s</v>
      </c>
      <c r="AG161" s="1" t="str">
        <f t="shared" si="62"/>
        <v>EC</v>
      </c>
      <c r="AH161" s="92" t="str">
        <f t="shared" si="63"/>
        <v>"%USERPROFILE%\Documents\GitHub\eaglep3\Utilities\RefineRTDCRunTimes.py" --tripid 244-09 --locoid 4001 --swversion DE.1.0.8.0 --startMP 204:233002 --initTime 2016-12-10T01:21:42 --startdatetime 2016-12-10T01:26:27 --delay 2 --endMP 204:139 --enddatetime 2016-12-10T02:03:42 --enforcementcount 0 &gt;&gt;C:\Users\stu\Documents\GitHub\eaglep3-reporting\EC\2016-12-09-refined-times.txt</v>
      </c>
      <c r="AI161" s="119" t="str">
        <f t="shared" si="64"/>
        <v>echo {"issue":{"subject":"","project_id":79,"tracker_id":40,"status_id":1,"priority_id":2,"assigned_to_id":23,"start_date":"2016-12-10","description":"","custom_fields":[{"id":1,"name":"Subdivision","value":"EC"},{"id":4,"name":"Milepost","value":"0.0139"},{"id":17,"name":"Train ID","value":"244-09"},{"id":16,"name":"Locomotive ID","value":"4001"},{"id":130,"name":"Impact","value":""},{"id":150,"name":"Time of Event (Mountain Time)","value":"02:03:42"},{"id":151,"name":"Denver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396</v>
      </c>
      <c r="B162" s="7">
        <v>4011</v>
      </c>
      <c r="C162" s="22" t="s">
        <v>206</v>
      </c>
      <c r="D162" s="22" t="s">
        <v>286</v>
      </c>
      <c r="E162" s="13">
        <v>42714.037060185183</v>
      </c>
      <c r="F162" s="13">
        <v>42714.041851851849</v>
      </c>
      <c r="G162" s="7">
        <v>1</v>
      </c>
      <c r="H162" s="22" t="s">
        <v>743</v>
      </c>
      <c r="I162" s="13">
        <v>42714.065798611111</v>
      </c>
      <c r="J162" s="7">
        <v>0</v>
      </c>
      <c r="K162" s="109" t="str">
        <f t="shared" si="53"/>
        <v>4011/4012</v>
      </c>
      <c r="L162" s="22" t="str">
        <f>VLOOKUP(A162,'Trips&amp;Operators'!$C$1:$G$99999,5,FALSE)</f>
        <v>LEVIN SCOTT</v>
      </c>
      <c r="M162" s="6">
        <f t="shared" si="54"/>
        <v>2.3946759261889383E-2</v>
      </c>
      <c r="N162" s="7">
        <f t="shared" si="67"/>
        <v>34.483333337120712</v>
      </c>
      <c r="O162" s="7"/>
      <c r="P162" s="7"/>
      <c r="Q162" s="23"/>
      <c r="R162" s="23"/>
      <c r="S162" s="35">
        <f t="shared" si="68"/>
        <v>1</v>
      </c>
      <c r="T162" s="50" t="str">
        <f t="shared" si="55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23:53:22-700',mode:absolute,to:'2016-12-10 02:34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2" s="52" t="str">
        <f t="shared" si="57"/>
        <v>N</v>
      </c>
      <c r="X162" s="177">
        <f t="shared" si="65"/>
        <v>1</v>
      </c>
      <c r="Y162" s="67">
        <f t="shared" si="69"/>
        <v>4.6899999999999997E-2</v>
      </c>
      <c r="Z162" s="67">
        <f t="shared" si="66"/>
        <v>23.335100000000001</v>
      </c>
      <c r="AA162" s="67">
        <f t="shared" si="58"/>
        <v>23.2882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59"/>
        <v>0245-09</v>
      </c>
      <c r="AE162" s="91" t="str">
        <f t="shared" si="60"/>
        <v>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 &amp; aws s3 cp s3://rtdc.mdm.uploadarchive.raw/RTDC4011/ "%USERPROFILE%\AppData\Local\Temp\OnboardLogs"\RTDC4011\2016-12-11 --exclude "*" --recursive --include "*20161211*" &amp; "%USERPROFILE%\Documents\GitHub\mrs-test-scripts\Headless Mode &amp; Sideloading\WalkAndUnGZ.bat" "%USERPROFILE%\AppData\Local\Temp\OnboardLogs"\RTDC4011\2016-12-11</v>
      </c>
      <c r="AF162" s="88" t="str">
        <f t="shared" si="61"/>
        <v>"C:\Program Files (x86)\AstroGrep\AstroGrep.exe" /spath="%USERPROFILE%\AppData\Local\Temp\OnboardLogs" /stypes="app*4011*20161210*" /stext=" 08:.+((SYSTEM_STATE.+slice.+state.+changed )|(ment ac)|(multiple cpu faults)|(system.+state.+changed )|(\[timeout)|(PRM\|1\|D)|(kpr)|(kdp)|(\|lc)|(penalty))" /e /r /s</v>
      </c>
      <c r="AG162" s="1" t="str">
        <f t="shared" si="62"/>
        <v>EC</v>
      </c>
      <c r="AH162" s="92" t="str">
        <f t="shared" si="63"/>
        <v>"%USERPROFILE%\Documents\GitHub\eaglep3\Utilities\RefineRTDCRunTimes.py" --tripid 245-09 --locoid 4011 --swversion DE.1.0.8.0 --startMP 204:469 --initTime 2016-12-10T00:53:22 --startdatetime 2016-12-10T01:00:16 --delay 1 --endMP 204:233351 --enddatetime 2016-12-10T01:34:45 --enforcementcount 0 &gt;&gt;C:\Users\stu\Documents\GitHub\eaglep3-reporting\EC\2016-12-09-refined-times.txt</v>
      </c>
      <c r="AI162" s="119" t="str">
        <f t="shared" si="64"/>
        <v>echo {"issue":{"subject":"","project_id":79,"tracker_id":40,"status_id":1,"priority_id":2,"assigned_to_id":23,"start_date":"2016-12-10","description":"","custom_fields":[{"id":1,"name":"Subdivision","value":"EC"},{"id":4,"name":"Milepost","value":"23.3351"},{"id":17,"name":"Train ID","value":"245-09"},{"id":16,"name":"Locomotive ID","value":"4011"},{"id":130,"name":"Impact","value":""},{"id":150,"name":"Time of Event (Mountain Time)","value":"01:34:45"},{"id":151,"name":"Denver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401</v>
      </c>
      <c r="B163" s="7">
        <v>4012</v>
      </c>
      <c r="C163" s="22" t="s">
        <v>206</v>
      </c>
      <c r="D163" s="22" t="s">
        <v>377</v>
      </c>
      <c r="E163" s="13">
        <v>42714.073252314818</v>
      </c>
      <c r="F163" s="13">
        <v>42714.080752314818</v>
      </c>
      <c r="G163" s="7">
        <v>1</v>
      </c>
      <c r="H163" s="22" t="s">
        <v>468</v>
      </c>
      <c r="I163" s="13">
        <v>42714.092650462961</v>
      </c>
      <c r="J163" s="7">
        <v>0</v>
      </c>
      <c r="K163" s="109" t="str">
        <f t="shared" si="53"/>
        <v>4011/4012</v>
      </c>
      <c r="L163" s="22" t="str">
        <f>VLOOKUP(A163,'Trips&amp;Operators'!$C$1:$G$99999,5,FALSE)</f>
        <v>LEVIN SCOTT</v>
      </c>
      <c r="M163" s="6">
        <f t="shared" si="54"/>
        <v>1.1898148142790888E-2</v>
      </c>
      <c r="N163" s="7"/>
      <c r="O163" s="7"/>
      <c r="P163" s="7">
        <f>24*60*SUM($M163:$M164)</f>
        <v>17.449999992968515</v>
      </c>
      <c r="Q163" s="23"/>
      <c r="R163" s="23" t="s">
        <v>834</v>
      </c>
      <c r="S163" s="35">
        <f>SUM(U163:U164)/IF(AG163="EC",12,1)</f>
        <v>0.25</v>
      </c>
      <c r="T163" s="50" t="str">
        <f t="shared" si="55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3</v>
      </c>
      <c r="V16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https://search-rtdc-monitor-bjffxe2xuh6vdkpspy63sjmuny.us-east-1.es.amazonaws.com/_plugin/kibana/#/discover/Steve-Slow-Train-Analysis-(2080s-and-2083s)?_g=(refreshInterval:(display:Off,section:0,value:0),time:(from:'2016-12-10 00:45:29-700',mode:absolute,to:'2016-12-10 03:13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3" s="52" t="str">
        <f t="shared" si="57"/>
        <v>Y</v>
      </c>
      <c r="X163" s="177">
        <f t="shared" si="65"/>
        <v>1</v>
      </c>
      <c r="Y163" s="67">
        <f t="shared" si="69"/>
        <v>23.303999999999998</v>
      </c>
      <c r="Z163" s="67">
        <f t="shared" si="66"/>
        <v>6.3293999999999997</v>
      </c>
      <c r="AA163" s="67">
        <f t="shared" si="58"/>
        <v>16.974599999999999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59"/>
        <v>0246-09</v>
      </c>
      <c r="AE163" s="91" t="str">
        <f t="shared" si="60"/>
        <v>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 &amp; 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</v>
      </c>
      <c r="AF163" s="88" t="str">
        <f t="shared" si="61"/>
        <v>"C:\Program Files (x86)\AstroGrep\AstroGrep.exe" /spath="%USERPROFILE%\AppData\Local\Temp\OnboardLogs" /stypes="app*4012*20161210*" /stext=" 09:.+((SYSTEM_STATE.+slice.+state.+changed )|(ment ac)|(multiple cpu faults)|(system.+state.+changed )|(\[timeout)|(PRM\|1\|D)|(kpr)|(kdp)|(\|lc)|(penalty))" /e /r /s</v>
      </c>
      <c r="AG163" s="1" t="str">
        <f t="shared" si="62"/>
        <v>EC</v>
      </c>
      <c r="AH163" s="92" t="str">
        <f t="shared" si="63"/>
        <v>"%USERPROFILE%\Documents\GitHub\eaglep3\Utilities\RefineRTDCRunTimes.py" --tripid 246-09 --locoid 4012 --swversion DE.1.0.8.0 --startMP 204:233040 --initTime 2016-12-10T01:45:29 --startdatetime 2016-12-10T01:56:17 --delay 1 --endMP 204:63294 --enddatetime 2016-12-10T02:13:25 --enforcementcount 0 &gt;&gt;C:\Users\stu\Documents\GitHub\eaglep3-reporting\EC\2016-12-09-refined-times.txt</v>
      </c>
      <c r="AI163" s="119" t="str">
        <f t="shared" si="64"/>
        <v>echo {"issue":{"subject":"Wheel tach error","project_id":79,"tracker_id":40,"status_id":1,"priority_id":2,"assigned_to_id":23,"start_date":"2016-12-10","description":"","custom_fields":[{"id":1,"name":"Subdivision","value":"EC"},{"id":4,"name":"Milepost","value":"6.3294"},{"id":17,"name":"Train ID","value":"246-09"},{"id":16,"name":"Locomotive ID","value":"4012"},{"id":130,"name":"Impact","value":""},{"id":150,"name":"Time of Event (Mountain Time)","value":"02:13:25"},{"id":151,"name":"Denver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401</v>
      </c>
      <c r="B164" s="7">
        <v>4012</v>
      </c>
      <c r="C164" s="22" t="s">
        <v>206</v>
      </c>
      <c r="D164" s="22" t="s">
        <v>469</v>
      </c>
      <c r="E164" s="13">
        <v>42714.098171296297</v>
      </c>
      <c r="F164" s="13">
        <v>42714.099212962959</v>
      </c>
      <c r="G164" s="7">
        <v>1</v>
      </c>
      <c r="H164" s="22" t="s">
        <v>468</v>
      </c>
      <c r="I164" s="13">
        <v>42714.099432870367</v>
      </c>
      <c r="J164" s="7">
        <v>0</v>
      </c>
      <c r="K164" s="109" t="str">
        <f t="shared" si="53"/>
        <v>4011/4012</v>
      </c>
      <c r="L164" s="22" t="str">
        <f>VLOOKUP(A164,'Trips&amp;Operators'!$C$1:$G$99999,5,FALSE)</f>
        <v>LEVIN SCOTT</v>
      </c>
      <c r="M164" s="6">
        <f t="shared" si="54"/>
        <v>2.1990740788169205E-4</v>
      </c>
      <c r="N164" s="7"/>
      <c r="O164" s="7"/>
      <c r="P164" s="7"/>
      <c r="Q164" s="23"/>
      <c r="R164" s="23"/>
      <c r="S164" s="35"/>
      <c r="T164" s="50" t="str">
        <f t="shared" si="55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0</v>
      </c>
      <c r="V16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https://search-rtdc-monitor-bjffxe2xuh6vdkpspy63sjmuny.us-east-1.es.amazonaws.com/_plugin/kibana/#/discover/Steve-Slow-Train-Analysis-(2080s-and-2083s)?_g=(refreshInterval:(display:Off,section:0,value:0),time:(from:'2016-12-10 01:21:22-700',mode:absolute,to:'2016-12-10 03:23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4" s="52" t="str">
        <f t="shared" si="57"/>
        <v>Y</v>
      </c>
      <c r="X164" s="177">
        <f t="shared" si="65"/>
        <v>0</v>
      </c>
      <c r="Y164" s="67">
        <f t="shared" si="69"/>
        <v>6.4166999999999996</v>
      </c>
      <c r="Z164" s="67">
        <f t="shared" si="66"/>
        <v>6.3293999999999997</v>
      </c>
      <c r="AA164" s="67">
        <f t="shared" si="58"/>
        <v>8.7299999999999933E-2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59"/>
        <v>0246-09</v>
      </c>
      <c r="AE164" s="91" t="str">
        <f t="shared" si="60"/>
        <v>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 &amp; 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</v>
      </c>
      <c r="AF164" s="88" t="str">
        <f t="shared" si="61"/>
        <v>"C:\Program Files (x86)\AstroGrep\AstroGrep.exe" /spath="%USERPROFILE%\AppData\Local\Temp\OnboardLogs" /stypes="app*4012*20161210*" /stext=" 09:.+((SYSTEM_STATE.+slice.+state.+changed )|(ment ac)|(multiple cpu faults)|(system.+state.+changed )|(\[timeout)|(PRM\|1\|D)|(kpr)|(kdp)|(\|lc)|(penalty))" /e /r /s</v>
      </c>
      <c r="AG164" s="1" t="str">
        <f t="shared" si="62"/>
        <v>EC</v>
      </c>
      <c r="AH164" s="92" t="str">
        <f t="shared" si="63"/>
        <v>"%USERPROFILE%\Documents\GitHub\eaglep3\Utilities\RefineRTDCRunTimes.py" --tripid 246-09 --locoid 4012 --swversion DE.1.0.8.0 --startMP 204:64167 --initTime 2016-12-10T02:21:22 --startdatetime 2016-12-10T02:22:52 --delay 1 --endMP 204:63294 --enddatetime 2016-12-10T02:23:11 --enforcementcount 0 &gt;&gt;C:\Users\stu\Documents\GitHub\eaglep3-reporting\EC\2016-12-09-refined-times.txt</v>
      </c>
      <c r="AI164" s="119" t="str">
        <f t="shared" si="64"/>
        <v>echo {"issue":{"subject":"","project_id":79,"tracker_id":40,"status_id":1,"priority_id":2,"assigned_to_id":23,"start_date":"2016-12-10","description":"","custom_fields":[{"id":1,"name":"Subdivision","value":"EC"},{"id":4,"name":"Milepost","value":"6.3294"},{"id":17,"name":"Train ID","value":"246-09"},{"id":16,"name":"Locomotive ID","value":"4012"},{"id":130,"name":"Impact","value":""},{"id":150,"name":"Time of Event (Mountain Time)","value":"02:23:11"},{"id":151,"name":"Denver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528</v>
      </c>
      <c r="B165" s="7">
        <v>4043</v>
      </c>
      <c r="C165" s="22" t="s">
        <v>206</v>
      </c>
      <c r="D165" s="22" t="s">
        <v>768</v>
      </c>
      <c r="E165" s="13">
        <v>42713.206250000003</v>
      </c>
      <c r="F165" s="13">
        <v>42713.217511574076</v>
      </c>
      <c r="G165" s="7">
        <v>1</v>
      </c>
      <c r="H165" s="22" t="s">
        <v>769</v>
      </c>
      <c r="I165" s="13">
        <v>42713.2266087963</v>
      </c>
      <c r="J165" s="7">
        <v>0</v>
      </c>
      <c r="K165" s="109" t="str">
        <f t="shared" si="53"/>
        <v>4043/4044</v>
      </c>
      <c r="L165" s="22" t="str">
        <f>VLOOKUP(A165,'Trips&amp;Operators'!$C$1:$G$99999,5,FALSE)</f>
        <v>STRICKLAND EVAN</v>
      </c>
      <c r="M165" s="6">
        <f t="shared" si="54"/>
        <v>9.0972222242271528E-3</v>
      </c>
      <c r="N165" s="7">
        <f t="shared" ref="N165:N192" si="70">24*60*SUM($M165:$M165)</f>
        <v>13.1000000028871</v>
      </c>
      <c r="O165" s="7"/>
      <c r="P165" s="7"/>
      <c r="Q165" s="23"/>
      <c r="R165" s="23"/>
      <c r="S165" s="35">
        <f t="shared" ref="S165:S193" si="71">SUM(U165:U165)/IF(AG165="EC",12,1)</f>
        <v>1</v>
      </c>
      <c r="T165" s="50" t="str">
        <f t="shared" si="55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03:57:00-700',mode:absolute,to:'2016-12-09 06:26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5" s="52" t="str">
        <f t="shared" si="57"/>
        <v>N</v>
      </c>
      <c r="X165" s="177">
        <f t="shared" si="65"/>
        <v>554</v>
      </c>
      <c r="Y165" s="67">
        <f t="shared" si="69"/>
        <v>5.8648999999999996</v>
      </c>
      <c r="Z165" s="67">
        <f t="shared" si="66"/>
        <v>7.4499999999999997E-2</v>
      </c>
      <c r="AA165" s="67">
        <f t="shared" si="58"/>
        <v>5.7904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59"/>
        <v>0800-09</v>
      </c>
      <c r="AE165" s="91" t="str">
        <f t="shared" si="60"/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AF165" s="88" t="str">
        <f t="shared" si="61"/>
        <v>"C:\Program Files (x86)\AstroGrep\AstroGrep.exe" /spath="%USERPROFILE%\AppData\Local\Temp\OnboardLogs" /stypes="app*4043*20161209*" /stext=" 12:.+((SYSTEM_STATE.+slice.+state.+changed )|(ment ac)|(multiple cpu faults)|(system.+state.+changed )|(\[timeout)|(PRM\|1\|D)|(kpr)|(kdp)|(\|lc)|(penalty))" /e /r /s</v>
      </c>
      <c r="AG165" s="1" t="str">
        <f t="shared" si="62"/>
        <v>NW</v>
      </c>
      <c r="AH165" s="92" t="str">
        <f t="shared" si="63"/>
        <v>"%USERPROFILE%\Documents\GitHub\eaglep3\Utilities\RefineRTDCRunTimes.py" --tripid 800-09 --locoid 4043 --swversion DE.1.0.8.0 --startMP 300:58649 --initTime 2016-12-09T04:57:00 --startdatetime 2016-12-09T05:13:13 --delay 1 --endMP 204:745 --enddatetime 2016-12-09T05:26:19 --enforcementcount 0 &gt;&gt;C:\Users\stu\Documents\GitHub\eaglep3-reporting\EC\2016-12-09-refined-times.txt</v>
      </c>
      <c r="AI165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{"issue":{"subject":"","project_id":79,"tracker_id":40,"status_id":1,"priority_id":2,"assigned_to_id":23,"start_date":"2016-12-09","description":"","custom_fields":[{"id":1,"name":"Subdivision","value":"NW"},{"id":4,"name":"Milepost","value":"0.0745"},{"id":17,"name":"Train ID","value":"800-09"},{"id":16,"name":"Locomotive ID","value":"4043"},{"id":130,"name":"Impact","value":""},{"id":150,"name":"Time of Event (Mountain Time)","value":"05:26:19"},{"id":151,"name":"Denver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536</v>
      </c>
      <c r="B166" s="7">
        <v>4044</v>
      </c>
      <c r="C166" s="22" t="s">
        <v>206</v>
      </c>
      <c r="D166" s="22" t="s">
        <v>770</v>
      </c>
      <c r="E166" s="13">
        <v>42713.238680555558</v>
      </c>
      <c r="F166" s="13">
        <v>42713.244259259256</v>
      </c>
      <c r="G166" s="7">
        <v>1</v>
      </c>
      <c r="H166" s="22" t="s">
        <v>386</v>
      </c>
      <c r="I166" s="13">
        <v>42713.254618055558</v>
      </c>
      <c r="J166" s="7">
        <v>0</v>
      </c>
      <c r="K166" s="109" t="str">
        <f t="shared" si="53"/>
        <v>4043/4044</v>
      </c>
      <c r="L166" s="22" t="str">
        <f>VLOOKUP(A166,'Trips&amp;Operators'!$C$1:$G$99999,5,FALSE)</f>
        <v>STRICKLAND EVAN</v>
      </c>
      <c r="M166" s="6">
        <f t="shared" si="54"/>
        <v>1.0358796302170958E-2</v>
      </c>
      <c r="N166" s="7">
        <f t="shared" si="70"/>
        <v>14.91666667512618</v>
      </c>
      <c r="O166" s="7"/>
      <c r="P166" s="7"/>
      <c r="Q166" s="23"/>
      <c r="R166" s="23"/>
      <c r="S166" s="35">
        <f t="shared" si="71"/>
        <v>1</v>
      </c>
      <c r="T166" s="50" t="str">
        <f t="shared" si="55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04:43:42-700',mode:absolute,to:'2016-12-09 07:06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66" s="52" t="str">
        <f t="shared" si="57"/>
        <v>N</v>
      </c>
      <c r="X166" s="177">
        <f t="shared" si="65"/>
        <v>1</v>
      </c>
      <c r="Y166" s="67">
        <f t="shared" si="69"/>
        <v>0.1046</v>
      </c>
      <c r="Z166" s="67">
        <f t="shared" si="66"/>
        <v>5.8940999999999999</v>
      </c>
      <c r="AA166" s="67">
        <f t="shared" si="58"/>
        <v>5.7895000000000003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59"/>
        <v>0801-09</v>
      </c>
      <c r="AE166" s="91" t="str">
        <f t="shared" si="60"/>
        <v>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 &amp; aws s3 cp s3://rtdc.mdm.uploadarchive.raw/RTDC4044/ "%USERPROFILE%\AppData\Local\Temp\OnboardLogs"\RTDC4044\2016-12-10 --exclude "*" --recursive --include "*20161210*" &amp; "%USERPROFILE%\Documents\GitHub\mrs-test-scripts\Headless Mode &amp; Sideloading\WalkAndUnGZ.bat" "%USERPROFILE%\AppData\Local\Temp\OnboardLogs"\RTDC4044\2016-12-10</v>
      </c>
      <c r="AF166" s="88" t="str">
        <f t="shared" si="61"/>
        <v>"C:\Program Files (x86)\AstroGrep\AstroGrep.exe" /spath="%USERPROFILE%\AppData\Local\Temp\OnboardLogs" /stypes="app*4044*20161209*" /stext=" 13:.+((SYSTEM_STATE.+slice.+state.+changed )|(ment ac)|(multiple cpu faults)|(system.+state.+changed )|(\[timeout)|(PRM\|1\|D)|(kpr)|(kdp)|(\|lc)|(penalty))" /e /r /s</v>
      </c>
      <c r="AG166" s="1" t="str">
        <f t="shared" si="62"/>
        <v>NW</v>
      </c>
      <c r="AH166" s="92" t="str">
        <f t="shared" si="63"/>
        <v>"%USERPROFILE%\Documents\GitHub\eaglep3\Utilities\RefineRTDCRunTimes.py" --tripid 801-09 --locoid 4044 --swversion DE.1.0.8.0 --startMP 204:1046 --initTime 2016-12-09T05:43:42 --startdatetime 2016-12-09T05:51:44 --delay 1 --endMP 300:58941 --enddatetime 2016-12-09T06:06:39 --enforcementcount 0 &gt;&gt;C:\Users\stu\Documents\GitHub\eaglep3-reporting\EC\2016-12-09-refined-times.txt</v>
      </c>
      <c r="AI166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{"issue":{"subject":"","project_id":79,"tracker_id":40,"status_id":1,"priority_id":2,"assigned_to_id":23,"start_date":"2016-12-09","description":"","custom_fields":[{"id":1,"name":"Subdivision","value":"NW"},{"id":4,"name":"Milepost","value":"5.8941"},{"id":17,"name":"Train ID","value":"801-09"},{"id":16,"name":"Locomotive ID","value":"4044"},{"id":130,"name":"Impact","value":""},{"id":150,"name":"Time of Event (Mountain Time)","value":"06:06:39"},{"id":151,"name":"Denver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533</v>
      </c>
      <c r="B167" s="7">
        <v>4043</v>
      </c>
      <c r="C167" s="22" t="s">
        <v>206</v>
      </c>
      <c r="D167" s="22" t="s">
        <v>346</v>
      </c>
      <c r="E167" s="13">
        <v>42713.255972222221</v>
      </c>
      <c r="F167" s="13">
        <v>42713.304363425923</v>
      </c>
      <c r="G167" s="7">
        <v>1</v>
      </c>
      <c r="H167" s="22" t="s">
        <v>373</v>
      </c>
      <c r="I167" s="13">
        <v>42713.314479166664</v>
      </c>
      <c r="J167" s="7">
        <v>0</v>
      </c>
      <c r="K167" s="109" t="str">
        <f t="shared" si="53"/>
        <v>4043/4044</v>
      </c>
      <c r="L167" s="22" t="str">
        <f>VLOOKUP(A167,'Trips&amp;Operators'!$C$1:$G$99999,5,FALSE)</f>
        <v>STRICKLAND EVAN</v>
      </c>
      <c r="M167" s="6">
        <f t="shared" si="54"/>
        <v>1.0115740740729962E-2</v>
      </c>
      <c r="N167" s="7">
        <f t="shared" si="70"/>
        <v>14.566666666651145</v>
      </c>
      <c r="O167" s="7"/>
      <c r="P167" s="7"/>
      <c r="Q167" s="23"/>
      <c r="R167" s="23"/>
      <c r="S167" s="35">
        <f t="shared" si="71"/>
        <v>1</v>
      </c>
      <c r="T167" s="50" t="str">
        <f t="shared" si="55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05:08:36-700',mode:absolute,to:'2016-12-09 08:32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67" s="52" t="str">
        <f t="shared" si="57"/>
        <v>N</v>
      </c>
      <c r="X167" s="177">
        <f t="shared" si="65"/>
        <v>1</v>
      </c>
      <c r="Y167" s="67">
        <f t="shared" si="69"/>
        <v>5.8620999999999999</v>
      </c>
      <c r="Z167" s="67">
        <f t="shared" si="66"/>
        <v>7.6600000000000001E-2</v>
      </c>
      <c r="AA167" s="67">
        <f t="shared" si="58"/>
        <v>5.7854999999999999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59"/>
        <v>0802-09</v>
      </c>
      <c r="AE167" s="91" t="str">
        <f t="shared" si="60"/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AF167" s="88" t="str">
        <f t="shared" si="61"/>
        <v>"C:\Program Files (x86)\AstroGrep\AstroGrep.exe" /spath="%USERPROFILE%\AppData\Local\Temp\OnboardLogs" /stypes="app*4043*20161209*" /stext=" 14:.+((SYSTEM_STATE.+slice.+state.+changed )|(ment ac)|(multiple cpu faults)|(system.+state.+changed )|(\[timeout)|(PRM\|1\|D)|(kpr)|(kdp)|(\|lc)|(penalty))" /e /r /s</v>
      </c>
      <c r="AG167" s="1" t="str">
        <f t="shared" si="62"/>
        <v>NW</v>
      </c>
      <c r="AH167" s="92" t="str">
        <f t="shared" si="63"/>
        <v>"%USERPROFILE%\Documents\GitHub\eaglep3\Utilities\RefineRTDCRunTimes.py" --tripid 802-09 --locoid 4043 --swversion DE.1.0.8.0 --startMP 300:58621 --initTime 2016-12-09T06:08:36 --startdatetime 2016-12-09T07:18:17 --delay 1 --endMP 204:766 --enddatetime 2016-12-09T07:32:51 --enforcementcount 0 &gt;&gt;C:\Users\stu\Documents\GitHub\eaglep3-reporting\EC\2016-12-09-refined-times.txt</v>
      </c>
      <c r="AI167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{"issue":{"subject":"","project_id":79,"tracker_id":40,"status_id":1,"priority_id":2,"assigned_to_id":23,"start_date":"2016-12-09","description":"","custom_fields":[{"id":1,"name":"Subdivision","value":"NW"},{"id":4,"name":"Milepost","value":"0.0766"},{"id":17,"name":"Train ID","value":"802-09"},{"id":16,"name":"Locomotive ID","value":"4043"},{"id":130,"name":"Impact","value":""},{"id":150,"name":"Time of Event (Mountain Time)","value":"07:32:51"},{"id":151,"name":"Denver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542</v>
      </c>
      <c r="B168" s="7">
        <v>4040</v>
      </c>
      <c r="C168" s="22" t="s">
        <v>206</v>
      </c>
      <c r="D168" s="22" t="s">
        <v>459</v>
      </c>
      <c r="E168" s="13">
        <v>42713.25922453704</v>
      </c>
      <c r="F168" s="13">
        <v>42713.265393518515</v>
      </c>
      <c r="G168" s="7">
        <v>1</v>
      </c>
      <c r="H168" s="22" t="s">
        <v>390</v>
      </c>
      <c r="I168" s="13">
        <v>42713.274328703701</v>
      </c>
      <c r="J168" s="7">
        <v>0</v>
      </c>
      <c r="K168" s="109" t="str">
        <f t="shared" si="53"/>
        <v>4039/4040</v>
      </c>
      <c r="L168" s="22" t="str">
        <f>VLOOKUP(A168,'Trips&amp;Operators'!$C$1:$G$99999,5,FALSE)</f>
        <v>YORK EDGAR</v>
      </c>
      <c r="M168" s="6">
        <f t="shared" si="54"/>
        <v>8.9351851856918074E-3</v>
      </c>
      <c r="N168" s="7">
        <f t="shared" si="70"/>
        <v>12.866666667396203</v>
      </c>
      <c r="O168" s="7"/>
      <c r="P168" s="7"/>
      <c r="Q168" s="23"/>
      <c r="R168" s="23"/>
      <c r="S168" s="35">
        <f t="shared" si="71"/>
        <v>1</v>
      </c>
      <c r="T168" s="50" t="str">
        <f t="shared" si="55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05:13:17-700',mode:absolute,to:'2016-12-09 07:35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8" s="52" t="str">
        <f t="shared" si="57"/>
        <v>N</v>
      </c>
      <c r="X168" s="177">
        <f t="shared" si="65"/>
        <v>1</v>
      </c>
      <c r="Y168" s="67">
        <f t="shared" si="69"/>
        <v>0.1027</v>
      </c>
      <c r="Z168" s="67">
        <f t="shared" si="66"/>
        <v>5.8928000000000003</v>
      </c>
      <c r="AA168" s="67">
        <f t="shared" si="58"/>
        <v>5.7901000000000007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59"/>
        <v>0803-09</v>
      </c>
      <c r="AE168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168" s="88" t="str">
        <f t="shared" si="61"/>
        <v>"C:\Program Files (x86)\AstroGrep\AstroGrep.exe" /spath="%USERPROFILE%\AppData\Local\Temp\OnboardLogs" /stypes="app*4040*20161209*" /stext=" 13:.+((SYSTEM_STATE.+slice.+state.+changed )|(ment ac)|(multiple cpu faults)|(system.+state.+changed )|(\[timeout)|(PRM\|1\|D)|(kpr)|(kdp)|(\|lc)|(penalty))" /e /r /s</v>
      </c>
      <c r="AG168" s="1" t="str">
        <f t="shared" si="62"/>
        <v>NW</v>
      </c>
      <c r="AH168" s="92" t="str">
        <f t="shared" si="63"/>
        <v>"%USERPROFILE%\Documents\GitHub\eaglep3\Utilities\RefineRTDCRunTimes.py" --tripid 803-09 --locoid 4040 --swversion DE.1.0.8.0 --startMP 204:1027 --initTime 2016-12-09T06:13:17 --startdatetime 2016-12-09T06:22:10 --delay 1 --endMP 300:58928 --enddatetime 2016-12-09T06:35:02 --enforcementcount 0 &gt;&gt;C:\Users\stu\Documents\GitHub\eaglep3-reporting\EC\2016-12-09-refined-times.txt</v>
      </c>
      <c r="AI168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{"issue":{"subject":"","project_id":79,"tracker_id":40,"status_id":1,"priority_id":2,"assigned_to_id":23,"start_date":"2016-12-09","description":"","custom_fields":[{"id":1,"name":"Subdivision","value":"NW"},{"id":4,"name":"Milepost","value":"5.8928"},{"id":17,"name":"Train ID","value":"803-09"},{"id":16,"name":"Locomotive ID","value":"4040"},{"id":130,"name":"Impact","value":""},{"id":150,"name":"Time of Event (Mountain Time)","value":"06:35:02"},{"id":151,"name":"Denver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544</v>
      </c>
      <c r="B169" s="7">
        <v>4039</v>
      </c>
      <c r="C169" s="22" t="s">
        <v>206</v>
      </c>
      <c r="D169" s="22" t="s">
        <v>454</v>
      </c>
      <c r="E169" s="13">
        <v>42713.276238425926</v>
      </c>
      <c r="F169" s="13">
        <v>42713.278819444444</v>
      </c>
      <c r="G169" s="7">
        <v>1</v>
      </c>
      <c r="H169" s="22" t="s">
        <v>391</v>
      </c>
      <c r="I169" s="13">
        <v>42713.289594907408</v>
      </c>
      <c r="J169" s="7">
        <v>0</v>
      </c>
      <c r="K169" s="109" t="str">
        <f t="shared" si="53"/>
        <v>4039/4040</v>
      </c>
      <c r="L169" s="22" t="str">
        <f>VLOOKUP(A169,'Trips&amp;Operators'!$C$1:$G$99999,5,FALSE)</f>
        <v>YORK EDGAR</v>
      </c>
      <c r="M169" s="6">
        <f t="shared" si="54"/>
        <v>1.0775462964375038E-2</v>
      </c>
      <c r="N169" s="7">
        <f t="shared" si="70"/>
        <v>15.516666668700054</v>
      </c>
      <c r="O169" s="7"/>
      <c r="P169" s="7"/>
      <c r="Q169" s="23"/>
      <c r="R169" s="23"/>
      <c r="S169" s="35">
        <f t="shared" si="71"/>
        <v>1</v>
      </c>
      <c r="T169" s="50" t="str">
        <f t="shared" si="55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05:37:47-700',mode:absolute,to:'2016-12-09 07:57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9" s="52" t="str">
        <f t="shared" si="57"/>
        <v>N</v>
      </c>
      <c r="X169" s="177">
        <f t="shared" si="65"/>
        <v>1</v>
      </c>
      <c r="Y169" s="67">
        <f t="shared" si="69"/>
        <v>5.8615000000000004</v>
      </c>
      <c r="Z169" s="67">
        <f t="shared" si="66"/>
        <v>1.5699999999999999E-2</v>
      </c>
      <c r="AA169" s="67">
        <f t="shared" si="58"/>
        <v>5.8458000000000006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59"/>
        <v>0804-09</v>
      </c>
      <c r="AE169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169" s="88" t="str">
        <f t="shared" si="61"/>
        <v>"C:\Program Files (x86)\AstroGrep\AstroGrep.exe" /spath="%USERPROFILE%\AppData\Local\Temp\OnboardLogs" /stypes="app*4039*20161209*" /stext=" 13:.+((SYSTEM_STATE.+slice.+state.+changed )|(ment ac)|(multiple cpu faults)|(system.+state.+changed )|(\[timeout)|(PRM\|1\|D)|(kpr)|(kdp)|(\|lc)|(penalty))" /e /r /s</v>
      </c>
      <c r="AG169" s="1" t="str">
        <f t="shared" si="62"/>
        <v>NW</v>
      </c>
      <c r="AH169" s="92" t="str">
        <f t="shared" si="63"/>
        <v>"%USERPROFILE%\Documents\GitHub\eaglep3\Utilities\RefineRTDCRunTimes.py" --tripid 804-09 --locoid 4039 --swversion DE.1.0.8.0 --startMP 300:58615 --initTime 2016-12-09T06:37:47 --startdatetime 2016-12-09T06:41:30 --delay 1 --endMP 204:157 --enddatetime 2016-12-09T06:57:01 --enforcementcount 0 &gt;&gt;C:\Users\stu\Documents\GitHub\eaglep3-reporting\EC\2016-12-09-refined-times.txt</v>
      </c>
      <c r="AI169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{"issue":{"subject":"","project_id":79,"tracker_id":40,"status_id":1,"priority_id":2,"assigned_to_id":23,"start_date":"2016-12-09","description":"","custom_fields":[{"id":1,"name":"Subdivision","value":"NW"},{"id":4,"name":"Milepost","value":"0.0157"},{"id":17,"name":"Train ID","value":"804-09"},{"id":16,"name":"Locomotive ID","value":"4039"},{"id":130,"name":"Impact","value":""},{"id":150,"name":"Time of Event (Mountain Time)","value":"06:57:01"},{"id":151,"name":"Denver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7" t="s">
        <v>479</v>
      </c>
      <c r="B170" s="7">
        <v>4044</v>
      </c>
      <c r="C170" s="22" t="s">
        <v>206</v>
      </c>
      <c r="D170" s="22" t="s">
        <v>771</v>
      </c>
      <c r="E170" s="13">
        <v>42713.289733796293</v>
      </c>
      <c r="F170" s="13">
        <v>42713.291759259257</v>
      </c>
      <c r="G170" s="7">
        <v>1</v>
      </c>
      <c r="H170" s="22" t="s">
        <v>388</v>
      </c>
      <c r="I170" s="13">
        <v>42713.301574074074</v>
      </c>
      <c r="J170" s="7">
        <v>0</v>
      </c>
      <c r="K170" s="109" t="str">
        <f t="shared" si="53"/>
        <v>4043/4044</v>
      </c>
      <c r="L170" s="22" t="str">
        <f>VLOOKUP(A170,'Trips&amp;Operators'!$C$1:$G$99999,5,FALSE)</f>
        <v>STRICKLAND EVAN</v>
      </c>
      <c r="M170" s="6">
        <f t="shared" si="54"/>
        <v>9.8148148172185756E-3</v>
      </c>
      <c r="N170" s="7">
        <f t="shared" si="70"/>
        <v>14.133333336794749</v>
      </c>
      <c r="O170" s="7"/>
      <c r="P170" s="7"/>
      <c r="Q170" s="23"/>
      <c r="R170" s="23"/>
      <c r="S170" s="35">
        <f t="shared" si="71"/>
        <v>1</v>
      </c>
      <c r="T170" s="50" t="str">
        <f t="shared" si="55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05:57:13-700',mode:absolute,to:'2016-12-09 08:14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0" s="52" t="str">
        <f t="shared" si="57"/>
        <v>N</v>
      </c>
      <c r="X170" s="177">
        <f t="shared" si="65"/>
        <v>1</v>
      </c>
      <c r="Y170" s="67">
        <f t="shared" si="69"/>
        <v>0.106</v>
      </c>
      <c r="Z170" s="67">
        <f t="shared" si="66"/>
        <v>5.8939000000000004</v>
      </c>
      <c r="AA170" s="67">
        <f t="shared" si="58"/>
        <v>5.7879000000000005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59"/>
        <v>0805-09</v>
      </c>
      <c r="AE170" s="91" t="str">
        <f t="shared" si="60"/>
        <v>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 &amp; aws s3 cp s3://rtdc.mdm.uploadarchive.raw/RTDC4044/ "%USERPROFILE%\AppData\Local\Temp\OnboardLogs"\RTDC4044\2016-12-10 --exclude "*" --recursive --include "*20161210*" &amp; "%USERPROFILE%\Documents\GitHub\mrs-test-scripts\Headless Mode &amp; Sideloading\WalkAndUnGZ.bat" "%USERPROFILE%\AppData\Local\Temp\OnboardLogs"\RTDC4044\2016-12-10</v>
      </c>
      <c r="AF170" s="88" t="str">
        <f t="shared" si="61"/>
        <v>"C:\Program Files (x86)\AstroGrep\AstroGrep.exe" /spath="%USERPROFILE%\AppData\Local\Temp\OnboardLogs" /stypes="app*4044*20161209*" /stext=" 14:.+((SYSTEM_STATE.+slice.+state.+changed )|(ment ac)|(multiple cpu faults)|(system.+state.+changed )|(\[timeout)|(PRM\|1\|D)|(kpr)|(kdp)|(\|lc)|(penalty))" /e /r /s</v>
      </c>
      <c r="AG170" s="1" t="str">
        <f t="shared" si="62"/>
        <v>NW</v>
      </c>
      <c r="AH170" s="92" t="str">
        <f t="shared" si="63"/>
        <v>"%USERPROFILE%\Documents\GitHub\eaglep3\Utilities\RefineRTDCRunTimes.py" --tripid 805-09 --locoid 4044 --swversion DE.1.0.8.0 --startMP 204:1060 --initTime 2016-12-09T06:57:13 --startdatetime 2016-12-09T07:00:08 --delay 1 --endMP 300:58939 --enddatetime 2016-12-09T07:14:16 --enforcementcount 0 &gt;&gt;C:\Users\stu\Documents\GitHub\eaglep3-reporting\EC\2016-12-09-refined-times.txt</v>
      </c>
      <c r="AI170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{"issue":{"subject":"","project_id":79,"tracker_id":40,"status_id":1,"priority_id":2,"assigned_to_id":23,"start_date":"2016-12-09","description":"","custom_fields":[{"id":1,"name":"Subdivision","value":"NW"},{"id":4,"name":"Milepost","value":"5.8939"},{"id":17,"name":"Train ID","value":"805-09"},{"id":16,"name":"Locomotive ID","value":"4044"},{"id":130,"name":"Impact","value":""},{"id":150,"name":"Time of Event (Mountain Time)","value":"07:14:16"},{"id":151,"name":"Denver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481</v>
      </c>
      <c r="B171" s="7">
        <v>4043</v>
      </c>
      <c r="C171" s="22" t="s">
        <v>206</v>
      </c>
      <c r="D171" s="22" t="s">
        <v>346</v>
      </c>
      <c r="E171" s="13">
        <v>42713.303171296298</v>
      </c>
      <c r="F171" s="13">
        <v>42713.304363425923</v>
      </c>
      <c r="G171" s="7">
        <v>1</v>
      </c>
      <c r="H171" s="22" t="s">
        <v>371</v>
      </c>
      <c r="I171" s="13">
        <v>42713.314479166664</v>
      </c>
      <c r="J171" s="7">
        <v>0</v>
      </c>
      <c r="K171" s="109" t="str">
        <f t="shared" si="53"/>
        <v>4043/4044</v>
      </c>
      <c r="L171" s="22" t="str">
        <f>VLOOKUP(A171,'Trips&amp;Operators'!$C$1:$G$99999,5,FALSE)</f>
        <v>STRICKLAND EVAN</v>
      </c>
      <c r="M171" s="6">
        <f t="shared" si="54"/>
        <v>1.0115740740729962E-2</v>
      </c>
      <c r="N171" s="7">
        <f t="shared" si="70"/>
        <v>14.566666666651145</v>
      </c>
      <c r="O171" s="7"/>
      <c r="P171" s="7"/>
      <c r="Q171" s="23"/>
      <c r="R171" s="23"/>
      <c r="S171" s="35">
        <f t="shared" si="71"/>
        <v>1</v>
      </c>
      <c r="T171" s="50" t="str">
        <f t="shared" si="55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06:16:34-700',mode:absolute,to:'2016-12-09 08:32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1" s="52" t="str">
        <f t="shared" si="57"/>
        <v>N</v>
      </c>
      <c r="X171" s="177">
        <f t="shared" si="65"/>
        <v>1</v>
      </c>
      <c r="Y171" s="67">
        <f t="shared" si="69"/>
        <v>5.8620999999999999</v>
      </c>
      <c r="Z171" s="67">
        <f t="shared" si="66"/>
        <v>7.6100000000000001E-2</v>
      </c>
      <c r="AA171" s="67">
        <f t="shared" si="58"/>
        <v>5.7859999999999996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59"/>
        <v>0806-09</v>
      </c>
      <c r="AE171" s="91" t="str">
        <f t="shared" si="60"/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AF171" s="88" t="str">
        <f t="shared" si="61"/>
        <v>"C:\Program Files (x86)\AstroGrep\AstroGrep.exe" /spath="%USERPROFILE%\AppData\Local\Temp\OnboardLogs" /stypes="app*4043*20161209*" /stext=" 14:.+((SYSTEM_STATE.+slice.+state.+changed )|(ment ac)|(multiple cpu faults)|(system.+state.+changed )|(\[timeout)|(PRM\|1\|D)|(kpr)|(kdp)|(\|lc)|(penalty))" /e /r /s</v>
      </c>
      <c r="AG171" s="1" t="str">
        <f t="shared" si="62"/>
        <v>NW</v>
      </c>
      <c r="AH171" s="92" t="str">
        <f t="shared" si="63"/>
        <v>"%USERPROFILE%\Documents\GitHub\eaglep3\Utilities\RefineRTDCRunTimes.py" --tripid 806-09 --locoid 4043 --swversion DE.1.0.8.0 --startMP 300:58621 --initTime 2016-12-09T07:16:34 --startdatetime 2016-12-09T07:18:17 --delay 1 --endMP 204:761 --enddatetime 2016-12-09T07:32:51 --enforcementcount 0 &gt;&gt;C:\Users\stu\Documents\GitHub\eaglep3-reporting\EC\2016-12-09-refined-times.txt</v>
      </c>
      <c r="AI171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{"issue":{"subject":"","project_id":79,"tracker_id":40,"status_id":1,"priority_id":2,"assigned_to_id":23,"start_date":"2016-12-09","description":"","custom_fields":[{"id":1,"name":"Subdivision","value":"NW"},{"id":4,"name":"Milepost","value":"0.0761"},{"id":17,"name":"Train ID","value":"806-09"},{"id":16,"name":"Locomotive ID","value":"4043"},{"id":130,"name":"Impact","value":""},{"id":150,"name":"Time of Event (Mountain Time)","value":"07:32:51"},{"id":151,"name":"Denver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548</v>
      </c>
      <c r="B172" s="7">
        <v>4040</v>
      </c>
      <c r="C172" s="22" t="s">
        <v>206</v>
      </c>
      <c r="D172" s="22" t="s">
        <v>290</v>
      </c>
      <c r="E172" s="13">
        <v>42713.291238425925</v>
      </c>
      <c r="F172" s="13">
        <v>42713.306817129633</v>
      </c>
      <c r="G172" s="7">
        <v>1</v>
      </c>
      <c r="H172" s="22" t="s">
        <v>772</v>
      </c>
      <c r="I172" s="13">
        <v>42713.316018518519</v>
      </c>
      <c r="J172" s="7">
        <v>0</v>
      </c>
      <c r="K172" s="109" t="str">
        <f t="shared" si="53"/>
        <v>4039/4040</v>
      </c>
      <c r="L172" s="22" t="str">
        <f>VLOOKUP(A172,'Trips&amp;Operators'!$C$1:$G$99999,5,FALSE)</f>
        <v>YORK EDGAR</v>
      </c>
      <c r="M172" s="6">
        <f t="shared" si="54"/>
        <v>9.2013888861401938E-3</v>
      </c>
      <c r="N172" s="7">
        <f t="shared" si="70"/>
        <v>13.249999996041879</v>
      </c>
      <c r="O172" s="7"/>
      <c r="P172" s="7"/>
      <c r="Q172" s="23"/>
      <c r="R172" s="23"/>
      <c r="S172" s="35">
        <f t="shared" si="71"/>
        <v>1</v>
      </c>
      <c r="T172" s="50" t="str">
        <f t="shared" si="55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05:59:23-700',mode:absolute,to:'2016-12-09 08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2" s="52" t="str">
        <f t="shared" si="57"/>
        <v>N</v>
      </c>
      <c r="X172" s="177">
        <f t="shared" si="65"/>
        <v>1</v>
      </c>
      <c r="Y172" s="67">
        <f t="shared" si="69"/>
        <v>4.4400000000000002E-2</v>
      </c>
      <c r="Z172" s="67">
        <f t="shared" si="66"/>
        <v>5.8929</v>
      </c>
      <c r="AA172" s="67">
        <f t="shared" si="58"/>
        <v>5.8484999999999996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59"/>
        <v>0807-09</v>
      </c>
      <c r="AE172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172" s="88" t="str">
        <f t="shared" si="61"/>
        <v>"C:\Program Files (x86)\AstroGrep\AstroGrep.exe" /spath="%USERPROFILE%\AppData\Local\Temp\OnboardLogs" /stypes="app*4040*20161209*" /stext=" 14:.+((SYSTEM_STATE.+slice.+state.+changed )|(ment ac)|(multiple cpu faults)|(system.+state.+changed )|(\[timeout)|(PRM\|1\|D)|(kpr)|(kdp)|(\|lc)|(penalty))" /e /r /s</v>
      </c>
      <c r="AG172" s="1" t="str">
        <f t="shared" si="62"/>
        <v>NW</v>
      </c>
      <c r="AH172" s="92" t="str">
        <f t="shared" si="63"/>
        <v>"%USERPROFILE%\Documents\GitHub\eaglep3\Utilities\RefineRTDCRunTimes.py" --tripid 807-09 --locoid 4040 --swversion DE.1.0.8.0 --startMP 204:444 --initTime 2016-12-09T06:59:23 --startdatetime 2016-12-09T07:21:49 --delay 1 --endMP 300:58929 --enddatetime 2016-12-09T07:35:04 --enforcementcount 0 &gt;&gt;C:\Users\stu\Documents\GitHub\eaglep3-reporting\EC\2016-12-09-refined-times.txt</v>
      </c>
      <c r="AI172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{"issue":{"subject":"","project_id":79,"tracker_id":40,"status_id":1,"priority_id":2,"assigned_to_id":23,"start_date":"2016-12-09","description":"","custom_fields":[{"id":1,"name":"Subdivision","value":"NW"},{"id":4,"name":"Milepost","value":"5.8929"},{"id":17,"name":"Train ID","value":"807-09"},{"id":16,"name":"Locomotive ID","value":"4040"},{"id":130,"name":"Impact","value":""},{"id":150,"name":"Time of Event (Mountain Time)","value":"07:35:04"},{"id":151,"name":"Denver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556</v>
      </c>
      <c r="B173" s="7">
        <v>4039</v>
      </c>
      <c r="C173" s="22" t="s">
        <v>206</v>
      </c>
      <c r="D173" s="22" t="s">
        <v>454</v>
      </c>
      <c r="E173" s="13">
        <v>42713.31821759259</v>
      </c>
      <c r="F173" s="13">
        <v>42713.321006944447</v>
      </c>
      <c r="G173" s="7">
        <v>2</v>
      </c>
      <c r="H173" s="22" t="s">
        <v>773</v>
      </c>
      <c r="I173" s="13">
        <v>42713.330081018517</v>
      </c>
      <c r="J173" s="7">
        <v>0</v>
      </c>
      <c r="K173" s="109" t="str">
        <f t="shared" si="53"/>
        <v>4039/4040</v>
      </c>
      <c r="L173" s="22" t="str">
        <f>VLOOKUP(A173,'Trips&amp;Operators'!$C$1:$G$99999,5,FALSE)</f>
        <v>YORK EDGAR</v>
      </c>
      <c r="M173" s="6">
        <f t="shared" si="54"/>
        <v>9.074074070667848E-3</v>
      </c>
      <c r="N173" s="7">
        <f t="shared" si="70"/>
        <v>13.066666661761701</v>
      </c>
      <c r="O173" s="7"/>
      <c r="P173" s="7"/>
      <c r="Q173" s="23"/>
      <c r="R173" s="23"/>
      <c r="S173" s="35">
        <f t="shared" si="71"/>
        <v>1</v>
      </c>
      <c r="T173" s="50" t="str">
        <f t="shared" si="55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06:38:14-700',mode:absolute,to:'2016-12-09 08:55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3" s="52" t="str">
        <f t="shared" si="57"/>
        <v>N</v>
      </c>
      <c r="X173" s="177">
        <f t="shared" si="65"/>
        <v>1</v>
      </c>
      <c r="Y173" s="67">
        <f t="shared" si="69"/>
        <v>5.8615000000000004</v>
      </c>
      <c r="Z173" s="67">
        <f t="shared" si="66"/>
        <v>7.3400000000000007E-2</v>
      </c>
      <c r="AA173" s="67">
        <f t="shared" si="58"/>
        <v>5.7881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59"/>
        <v>0808-09</v>
      </c>
      <c r="AE173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173" s="88" t="str">
        <f t="shared" si="61"/>
        <v>"C:\Program Files (x86)\AstroGrep\AstroGrep.exe" /spath="%USERPROFILE%\AppData\Local\Temp\OnboardLogs" /stypes="app*4039*20161209*" /stext=" 14:.+((SYSTEM_STATE.+slice.+state.+changed )|(ment ac)|(multiple cpu faults)|(system.+state.+changed )|(\[timeout)|(PRM\|1\|D)|(kpr)|(kdp)|(\|lc)|(penalty))" /e /r /s</v>
      </c>
      <c r="AG173" s="1" t="str">
        <f t="shared" si="62"/>
        <v>NW</v>
      </c>
      <c r="AH173" s="92" t="str">
        <f t="shared" si="63"/>
        <v>"%USERPROFILE%\Documents\GitHub\eaglep3\Utilities\RefineRTDCRunTimes.py" --tripid 808-09 --locoid 4039 --swversion DE.1.0.8.0 --startMP 300:58615 --initTime 2016-12-09T07:38:14 --startdatetime 2016-12-09T07:42:15 --delay 2 --endMP 204:734 --enddatetime 2016-12-09T07:55:19 --enforcementcount 0 &gt;&gt;C:\Users\stu\Documents\GitHub\eaglep3-reporting\EC\2016-12-09-refined-times.txt</v>
      </c>
      <c r="AI173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{"issue":{"subject":"","project_id":79,"tracker_id":40,"status_id":1,"priority_id":2,"assigned_to_id":23,"start_date":"2016-12-09","description":"","custom_fields":[{"id":1,"name":"Subdivision","value":"NW"},{"id":4,"name":"Milepost","value":"0.0734"},{"id":17,"name":"Train ID","value":"808-09"},{"id":16,"name":"Locomotive ID","value":"4039"},{"id":130,"name":"Impact","value":""},{"id":150,"name":"Time of Event (Mountain Time)","value":"07:55:19"},{"id":151,"name":"Denver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553</v>
      </c>
      <c r="B174" s="7">
        <v>4044</v>
      </c>
      <c r="C174" s="22" t="s">
        <v>206</v>
      </c>
      <c r="D174" s="22" t="s">
        <v>774</v>
      </c>
      <c r="E174" s="13">
        <v>42713.317604166667</v>
      </c>
      <c r="F174" s="13">
        <v>42713.327280092592</v>
      </c>
      <c r="G174" s="7">
        <v>1</v>
      </c>
      <c r="H174" s="22" t="s">
        <v>775</v>
      </c>
      <c r="I174" s="13">
        <v>42713.336909722224</v>
      </c>
      <c r="J174" s="7">
        <v>0</v>
      </c>
      <c r="K174" s="109" t="str">
        <f t="shared" si="53"/>
        <v>4043/4044</v>
      </c>
      <c r="L174" s="22" t="str">
        <f>VLOOKUP(A174,'Trips&amp;Operators'!$C$1:$G$99999,5,FALSE)</f>
        <v>BEAM ROSS</v>
      </c>
      <c r="M174" s="6">
        <f t="shared" si="54"/>
        <v>9.6296296323998831E-3</v>
      </c>
      <c r="N174" s="7">
        <f t="shared" si="70"/>
        <v>13.866666670655832</v>
      </c>
      <c r="O174" s="7"/>
      <c r="P174" s="7"/>
      <c r="Q174" s="23"/>
      <c r="R174" s="23"/>
      <c r="S174" s="35">
        <f t="shared" si="71"/>
        <v>1</v>
      </c>
      <c r="T174" s="50" t="str">
        <f t="shared" si="55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06:37:21-700',mode:absolute,to:'2016-12-09 09:05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74" s="52" t="str">
        <f t="shared" si="57"/>
        <v>N</v>
      </c>
      <c r="X174" s="177">
        <f t="shared" si="65"/>
        <v>1</v>
      </c>
      <c r="Y174" s="67">
        <f t="shared" si="69"/>
        <v>0.10390000000000001</v>
      </c>
      <c r="Z174" s="67">
        <f t="shared" si="66"/>
        <v>5.8960999999999997</v>
      </c>
      <c r="AA174" s="67">
        <f t="shared" si="58"/>
        <v>5.7921999999999993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59"/>
        <v>0809-09</v>
      </c>
      <c r="AE174" s="91" t="str">
        <f t="shared" si="60"/>
        <v>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 &amp; aws s3 cp s3://rtdc.mdm.uploadarchive.raw/RTDC4044/ "%USERPROFILE%\AppData\Local\Temp\OnboardLogs"\RTDC4044\2016-12-10 --exclude "*" --recursive --include "*20161210*" &amp; "%USERPROFILE%\Documents\GitHub\mrs-test-scripts\Headless Mode &amp; Sideloading\WalkAndUnGZ.bat" "%USERPROFILE%\AppData\Local\Temp\OnboardLogs"\RTDC4044\2016-12-10</v>
      </c>
      <c r="AF174" s="88" t="str">
        <f t="shared" si="61"/>
        <v>"C:\Program Files (x86)\AstroGrep\AstroGrep.exe" /spath="%USERPROFILE%\AppData\Local\Temp\OnboardLogs" /stypes="app*4044*20161209*" /stext=" 15:.+((SYSTEM_STATE.+slice.+state.+changed )|(ment ac)|(multiple cpu faults)|(system.+state.+changed )|(\[timeout)|(PRM\|1\|D)|(kpr)|(kdp)|(\|lc)|(penalty))" /e /r /s</v>
      </c>
      <c r="AG174" s="1" t="str">
        <f t="shared" si="62"/>
        <v>NW</v>
      </c>
      <c r="AH174" s="92" t="str">
        <f t="shared" si="63"/>
        <v>"%USERPROFILE%\Documents\GitHub\eaglep3\Utilities\RefineRTDCRunTimes.py" --tripid 809-09 --locoid 4044 --swversion DE.1.0.8.0 --startMP 204:1039 --initTime 2016-12-09T07:37:21 --startdatetime 2016-12-09T07:51:17 --delay 1 --endMP 300:58961 --enddatetime 2016-12-09T08:05:09 --enforcementcount 0 &gt;&gt;C:\Users\stu\Documents\GitHub\eaglep3-reporting\EC\2016-12-09-refined-times.txt</v>
      </c>
      <c r="AI174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{"issue":{"subject":"","project_id":79,"tracker_id":40,"status_id":1,"priority_id":2,"assigned_to_id":23,"start_date":"2016-12-09","description":"","custom_fields":[{"id":1,"name":"Subdivision","value":"NW"},{"id":4,"name":"Milepost","value":"5.8961"},{"id":17,"name":"Train ID","value":"809-09"},{"id":16,"name":"Locomotive ID","value":"4044"},{"id":130,"name":"Impact","value":""},{"id":150,"name":"Time of Event (Mountain Time)","value":"08:05:09"},{"id":151,"name":"Denver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s="21" customFormat="1" x14ac:dyDescent="0.25">
      <c r="A175" s="37" t="s">
        <v>559</v>
      </c>
      <c r="B175" s="7">
        <v>4043</v>
      </c>
      <c r="C175" s="22" t="s">
        <v>206</v>
      </c>
      <c r="D175" s="22" t="s">
        <v>768</v>
      </c>
      <c r="E175" s="13">
        <v>42713.338055555556</v>
      </c>
      <c r="F175" s="13">
        <v>42713.339560185188</v>
      </c>
      <c r="G175" s="7">
        <v>1</v>
      </c>
      <c r="H175" s="22" t="s">
        <v>776</v>
      </c>
      <c r="I175" s="13">
        <v>42713.351805555554</v>
      </c>
      <c r="J175" s="7">
        <v>0</v>
      </c>
      <c r="K175" s="109" t="str">
        <f t="shared" si="53"/>
        <v>4043/4044</v>
      </c>
      <c r="L175" s="22" t="str">
        <f>VLOOKUP(A175,'Trips&amp;Operators'!$C$1:$G$99999,5,FALSE)</f>
        <v>BEAM ROSS</v>
      </c>
      <c r="M175" s="6">
        <f t="shared" si="54"/>
        <v>1.2245370366144925E-2</v>
      </c>
      <c r="N175" s="7">
        <f t="shared" si="70"/>
        <v>17.633333327248693</v>
      </c>
      <c r="O175" s="7"/>
      <c r="P175" s="7"/>
      <c r="Q175" s="23"/>
      <c r="R175" s="23"/>
      <c r="S175" s="35">
        <f t="shared" si="71"/>
        <v>1</v>
      </c>
      <c r="T175" s="50" t="str">
        <f t="shared" si="55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07:06:48-700',mode:absolute,to:'2016-12-09 09:26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75" s="52" t="str">
        <f t="shared" si="57"/>
        <v>N</v>
      </c>
      <c r="X175" s="177">
        <f t="shared" si="65"/>
        <v>1</v>
      </c>
      <c r="Y175" s="67">
        <f t="shared" si="69"/>
        <v>5.8648999999999996</v>
      </c>
      <c r="Z175" s="67">
        <f t="shared" si="66"/>
        <v>7.5700000000000003E-2</v>
      </c>
      <c r="AA175" s="67">
        <f t="shared" si="58"/>
        <v>5.7891999999999992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59"/>
        <v>0810-09</v>
      </c>
      <c r="AE175" s="91" t="str">
        <f t="shared" si="60"/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AF175" s="88" t="str">
        <f t="shared" si="61"/>
        <v>"C:\Program Files (x86)\AstroGrep\AstroGrep.exe" /spath="%USERPROFILE%\AppData\Local\Temp\OnboardLogs" /stypes="app*4043*20161209*" /stext=" 15:.+((SYSTEM_STATE.+slice.+state.+changed )|(ment ac)|(multiple cpu faults)|(system.+state.+changed )|(\[timeout)|(PRM\|1\|D)|(kpr)|(kdp)|(\|lc)|(penalty))" /e /r /s</v>
      </c>
      <c r="AG175" s="1" t="str">
        <f t="shared" si="62"/>
        <v>NW</v>
      </c>
      <c r="AH175" s="92" t="str">
        <f t="shared" si="63"/>
        <v>"%USERPROFILE%\Documents\GitHub\eaglep3\Utilities\RefineRTDCRunTimes.py" --tripid 810-09 --locoid 4043 --swversion DE.1.0.8.0 --startMP 300:58649 --initTime 2016-12-09T08:06:48 --startdatetime 2016-12-09T08:08:58 --delay 1 --endMP 204:757 --enddatetime 2016-12-09T08:26:36 --enforcementcount 0 &gt;&gt;C:\Users\stu\Documents\GitHub\eaglep3-reporting\EC\2016-12-09-refined-times.txt</v>
      </c>
      <c r="AI175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{"issue":{"subject":"","project_id":79,"tracker_id":40,"status_id":1,"priority_id":2,"assigned_to_id":23,"start_date":"2016-12-09","description":"","custom_fields":[{"id":1,"name":"Subdivision","value":"NW"},{"id":4,"name":"Milepost","value":"0.0757"},{"id":17,"name":"Train ID","value":"810-09"},{"id":16,"name":"Locomotive ID","value":"4043"},{"id":130,"name":"Impact","value":""},{"id":150,"name":"Time of Event (Mountain Time)","value":"08:26:36"},{"id":151,"name":"Denver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7" t="s">
        <v>557</v>
      </c>
      <c r="B176" s="7">
        <v>4040</v>
      </c>
      <c r="C176" s="22" t="s">
        <v>206</v>
      </c>
      <c r="D176" s="22" t="s">
        <v>777</v>
      </c>
      <c r="E176" s="13">
        <v>42713.331307870372</v>
      </c>
      <c r="F176" s="13">
        <v>42713.348287037035</v>
      </c>
      <c r="G176" s="7">
        <v>0</v>
      </c>
      <c r="H176" s="22" t="s">
        <v>778</v>
      </c>
      <c r="I176" s="13">
        <v>42713.356805555559</v>
      </c>
      <c r="J176" s="7">
        <v>0</v>
      </c>
      <c r="K176" s="109" t="str">
        <f t="shared" si="53"/>
        <v>4039/4040</v>
      </c>
      <c r="L176" s="22" t="str">
        <f>VLOOKUP(A176,'Trips&amp;Operators'!$C$1:$G$99999,5,FALSE)</f>
        <v>YORK EDGAR</v>
      </c>
      <c r="M176" s="6">
        <f t="shared" si="54"/>
        <v>8.5185185234877281E-3</v>
      </c>
      <c r="N176" s="7">
        <f t="shared" si="70"/>
        <v>12.266666673822328</v>
      </c>
      <c r="O176" s="7"/>
      <c r="P176" s="7"/>
      <c r="Q176" s="23"/>
      <c r="R176" s="23"/>
      <c r="S176" s="35">
        <f t="shared" si="71"/>
        <v>1</v>
      </c>
      <c r="T176" s="50" t="str">
        <f t="shared" si="55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06:57:05-700',mode:absolute,to:'2016-12-09 09:33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6" s="52" t="str">
        <f t="shared" si="57"/>
        <v>N</v>
      </c>
      <c r="X176" s="177">
        <f t="shared" si="65"/>
        <v>1</v>
      </c>
      <c r="Y176" s="67">
        <f t="shared" si="69"/>
        <v>0.1016</v>
      </c>
      <c r="Z176" s="67">
        <f t="shared" si="66"/>
        <v>5.8930999999999996</v>
      </c>
      <c r="AA176" s="67">
        <f t="shared" si="58"/>
        <v>5.7914999999999992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59"/>
        <v>0811-09</v>
      </c>
      <c r="AE176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176" s="88" t="str">
        <f t="shared" si="61"/>
        <v>"C:\Program Files (x86)\AstroGrep\AstroGrep.exe" /spath="%USERPROFILE%\AppData\Local\Temp\OnboardLogs" /stypes="app*4040*20161209*" /stext=" 15:.+((SYSTEM_STATE.+slice.+state.+changed )|(ment ac)|(multiple cpu faults)|(system.+state.+changed )|(\[timeout)|(PRM\|1\|D)|(kpr)|(kdp)|(\|lc)|(penalty))" /e /r /s</v>
      </c>
      <c r="AG176" s="1" t="str">
        <f t="shared" si="62"/>
        <v>NW</v>
      </c>
      <c r="AH176" s="92" t="str">
        <f t="shared" si="63"/>
        <v>"%USERPROFILE%\Documents\GitHub\eaglep3\Utilities\RefineRTDCRunTimes.py" --tripid 811-09 --locoid 4040 --swversion DE.1.0.8.0 --startMP 204:1016 --initTime 2016-12-09T07:57:05 --startdatetime 2016-12-09T08:21:32 --delay 0 --endMP 300:58931 --enddatetime 2016-12-09T08:33:48 --enforcementcount 0 &gt;&gt;C:\Users\stu\Documents\GitHub\eaglep3-reporting\EC\2016-12-09-refined-times.txt</v>
      </c>
      <c r="AI176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{"issue":{"subject":"","project_id":79,"tracker_id":40,"status_id":1,"priority_id":2,"assigned_to_id":23,"start_date":"2016-12-09","description":"","custom_fields":[{"id":1,"name":"Subdivision","value":"NW"},{"id":4,"name":"Milepost","value":"5.8931"},{"id":17,"name":"Train ID","value":"811-09"},{"id":16,"name":"Locomotive ID","value":"4040"},{"id":130,"name":"Impact","value":""},{"id":150,"name":"Time of Event (Mountain Time)","value":"08:33:48"},{"id":151,"name":"Denver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565</v>
      </c>
      <c r="B177" s="7">
        <v>4039</v>
      </c>
      <c r="C177" s="22" t="s">
        <v>206</v>
      </c>
      <c r="D177" s="22" t="s">
        <v>449</v>
      </c>
      <c r="E177" s="13">
        <v>42713.357766203706</v>
      </c>
      <c r="F177" s="13">
        <v>42713.361354166664</v>
      </c>
      <c r="G177" s="7">
        <v>0</v>
      </c>
      <c r="H177" s="22" t="s">
        <v>420</v>
      </c>
      <c r="I177" s="13">
        <v>42713.371863425928</v>
      </c>
      <c r="J177" s="7">
        <v>0</v>
      </c>
      <c r="K177" s="109" t="str">
        <f t="shared" si="53"/>
        <v>4039/4040</v>
      </c>
      <c r="L177" s="22" t="str">
        <f>VLOOKUP(A177,'Trips&amp;Operators'!$C$1:$G$99999,5,FALSE)</f>
        <v>YORK EDGAR</v>
      </c>
      <c r="M177" s="6">
        <f t="shared" si="54"/>
        <v>1.0509259263926651E-2</v>
      </c>
      <c r="N177" s="7">
        <f t="shared" si="70"/>
        <v>15.133333340054378</v>
      </c>
      <c r="O177" s="7"/>
      <c r="P177" s="7"/>
      <c r="Q177" s="23"/>
      <c r="R177" s="23"/>
      <c r="S177" s="35">
        <f t="shared" si="71"/>
        <v>1</v>
      </c>
      <c r="T177" s="50" t="str">
        <f t="shared" si="55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07:35:11-700',mode:absolute,to:'2016-12-09 09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7" s="52" t="str">
        <f t="shared" si="57"/>
        <v>N</v>
      </c>
      <c r="X177" s="177">
        <f t="shared" si="65"/>
        <v>1</v>
      </c>
      <c r="Y177" s="67">
        <f t="shared" si="69"/>
        <v>5.8613</v>
      </c>
      <c r="Z177" s="67">
        <f t="shared" si="66"/>
        <v>7.4999999999999997E-2</v>
      </c>
      <c r="AA177" s="67">
        <f t="shared" si="58"/>
        <v>5.7862999999999998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59"/>
        <v>0812-09</v>
      </c>
      <c r="AE177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177" s="88" t="str">
        <f t="shared" si="61"/>
        <v>"C:\Program Files (x86)\AstroGrep\AstroGrep.exe" /spath="%USERPROFILE%\AppData\Local\Temp\OnboardLogs" /stypes="app*4039*20161209*" /stext=" 15:.+((SYSTEM_STATE.+slice.+state.+changed )|(ment ac)|(multiple cpu faults)|(system.+state.+changed )|(\[timeout)|(PRM\|1\|D)|(kpr)|(kdp)|(\|lc)|(penalty))" /e /r /s</v>
      </c>
      <c r="AG177" s="1" t="str">
        <f t="shared" si="62"/>
        <v>NW</v>
      </c>
      <c r="AH177" s="92" t="str">
        <f t="shared" si="63"/>
        <v>"%USERPROFILE%\Documents\GitHub\eaglep3\Utilities\RefineRTDCRunTimes.py" --tripid 812-09 --locoid 4039 --swversion DE.1.0.8.0 --startMP 300:58613 --initTime 2016-12-09T08:35:11 --startdatetime 2016-12-09T08:40:21 --delay 0 --endMP 204:750 --enddatetime 2016-12-09T08:55:29 --enforcementcount 0 &gt;&gt;C:\Users\stu\Documents\GitHub\eaglep3-reporting\EC\2016-12-09-refined-times.txt</v>
      </c>
      <c r="AI177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{"issue":{"subject":"","project_id":79,"tracker_id":40,"status_id":1,"priority_id":2,"assigned_to_id":23,"start_date":"2016-12-09","description":"","custom_fields":[{"id":1,"name":"Subdivision","value":"NW"},{"id":4,"name":"Milepost","value":"0.075"},{"id":17,"name":"Train ID","value":"812-09"},{"id":16,"name":"Locomotive ID","value":"4039"},{"id":130,"name":"Impact","value":""},{"id":150,"name":"Time of Event (Mountain Time)","value":"08:55:29"},{"id":151,"name":"Denver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568</v>
      </c>
      <c r="B178" s="7">
        <v>4040</v>
      </c>
      <c r="C178" s="22" t="s">
        <v>206</v>
      </c>
      <c r="D178" s="22" t="s">
        <v>452</v>
      </c>
      <c r="E178" s="13">
        <v>42713.372916666667</v>
      </c>
      <c r="F178" s="13">
        <v>42713.390810185185</v>
      </c>
      <c r="G178" s="7">
        <v>1</v>
      </c>
      <c r="H178" s="22" t="s">
        <v>772</v>
      </c>
      <c r="I178" s="13">
        <v>42713.399907407409</v>
      </c>
      <c r="J178" s="7">
        <v>0</v>
      </c>
      <c r="K178" s="109" t="str">
        <f t="shared" si="53"/>
        <v>4039/4040</v>
      </c>
      <c r="L178" s="22" t="str">
        <f>VLOOKUP(A178,'Trips&amp;Operators'!$C$1:$G$99999,5,FALSE)</f>
        <v>YORK EDGAR</v>
      </c>
      <c r="M178" s="6">
        <f t="shared" si="54"/>
        <v>9.0972222242271528E-3</v>
      </c>
      <c r="N178" s="7">
        <f t="shared" si="70"/>
        <v>13.1000000028871</v>
      </c>
      <c r="O178" s="7"/>
      <c r="P178" s="7"/>
      <c r="Q178" s="23"/>
      <c r="R178" s="23"/>
      <c r="S178" s="35">
        <f t="shared" si="71"/>
        <v>1</v>
      </c>
      <c r="T178" s="50" t="str">
        <f t="shared" si="55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07:57:00-700',mode:absolute,to:'2016-12-09 10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8" s="52" t="str">
        <f t="shared" si="57"/>
        <v>N</v>
      </c>
      <c r="X178" s="177">
        <f t="shared" si="65"/>
        <v>1</v>
      </c>
      <c r="Y178" s="67">
        <f t="shared" si="69"/>
        <v>0.1023</v>
      </c>
      <c r="Z178" s="67">
        <f t="shared" si="66"/>
        <v>5.8929</v>
      </c>
      <c r="AA178" s="67">
        <f t="shared" si="58"/>
        <v>5.7906000000000004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59"/>
        <v>0813-09</v>
      </c>
      <c r="AE178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178" s="88" t="str">
        <f t="shared" si="61"/>
        <v>"C:\Program Files (x86)\AstroGrep\AstroGrep.exe" /spath="%USERPROFILE%\AppData\Local\Temp\OnboardLogs" /stypes="app*4040*20161209*" /stext=" 16:.+((SYSTEM_STATE.+slice.+state.+changed )|(ment ac)|(multiple cpu faults)|(system.+state.+changed )|(\[timeout)|(PRM\|1\|D)|(kpr)|(kdp)|(\|lc)|(penalty))" /e /r /s</v>
      </c>
      <c r="AG178" s="1" t="str">
        <f t="shared" si="62"/>
        <v>NW</v>
      </c>
      <c r="AH178" s="92" t="str">
        <f t="shared" si="63"/>
        <v>"%USERPROFILE%\Documents\GitHub\eaglep3\Utilities\RefineRTDCRunTimes.py" --tripid 813-09 --locoid 4040 --swversion DE.1.0.8.0 --startMP 204:1023 --initTime 2016-12-09T08:57:00 --startdatetime 2016-12-09T09:22:46 --delay 1 --endMP 300:58929 --enddatetime 2016-12-09T09:35:52 --enforcementcount 0 &gt;&gt;C:\Users\stu\Documents\GitHub\eaglep3-reporting\EC\2016-12-09-refined-times.txt</v>
      </c>
      <c r="AI178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{"issue":{"subject":"","project_id":79,"tracker_id":40,"status_id":1,"priority_id":2,"assigned_to_id":23,"start_date":"2016-12-09","description":"","custom_fields":[{"id":1,"name":"Subdivision","value":"NW"},{"id":4,"name":"Milepost","value":"5.8929"},{"id":17,"name":"Train ID","value":"813-09"},{"id":16,"name":"Locomotive ID","value":"4040"},{"id":130,"name":"Impact","value":""},{"id":150,"name":"Time of Event (Mountain Time)","value":"09:35:52"},{"id":151,"name":"Denver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574</v>
      </c>
      <c r="B179" s="7">
        <v>4039</v>
      </c>
      <c r="C179" s="22" t="s">
        <v>206</v>
      </c>
      <c r="D179" s="22" t="s">
        <v>779</v>
      </c>
      <c r="E179" s="13">
        <v>42713.402048611111</v>
      </c>
      <c r="F179" s="13">
        <v>42713.404247685183</v>
      </c>
      <c r="G179" s="7">
        <v>1</v>
      </c>
      <c r="H179" s="22" t="s">
        <v>447</v>
      </c>
      <c r="I179" s="13">
        <v>42713.412777777776</v>
      </c>
      <c r="J179" s="7">
        <v>0</v>
      </c>
      <c r="K179" s="109" t="str">
        <f t="shared" si="53"/>
        <v>4039/4040</v>
      </c>
      <c r="L179" s="22" t="str">
        <f>VLOOKUP(A179,'Trips&amp;Operators'!$C$1:$G$99999,5,FALSE)</f>
        <v>YORK EDGAR</v>
      </c>
      <c r="M179" s="6">
        <f t="shared" si="54"/>
        <v>8.5300925929914229E-3</v>
      </c>
      <c r="N179" s="7">
        <f t="shared" si="70"/>
        <v>12.283333333907649</v>
      </c>
      <c r="O179" s="7"/>
      <c r="P179" s="7"/>
      <c r="Q179" s="23"/>
      <c r="R179" s="23"/>
      <c r="S179" s="35">
        <f t="shared" si="71"/>
        <v>1</v>
      </c>
      <c r="T179" s="50" t="str">
        <f t="shared" si="55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08:38:57-700',mode:absolute,to:'2016-12-09 10:54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9" s="52" t="str">
        <f t="shared" si="57"/>
        <v>N</v>
      </c>
      <c r="X179" s="177">
        <f t="shared" si="65"/>
        <v>1</v>
      </c>
      <c r="Y179" s="67">
        <f t="shared" si="69"/>
        <v>5.8609</v>
      </c>
      <c r="Z179" s="67">
        <f t="shared" si="66"/>
        <v>7.3300000000000004E-2</v>
      </c>
      <c r="AA179" s="67">
        <f t="shared" si="58"/>
        <v>5.7876000000000003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59"/>
        <v>0814-09</v>
      </c>
      <c r="AE179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179" s="88" t="str">
        <f t="shared" si="61"/>
        <v>"C:\Program Files (x86)\AstroGrep\AstroGrep.exe" /spath="%USERPROFILE%\AppData\Local\Temp\OnboardLogs" /stypes="app*4039*20161209*" /stext=" 16:.+((SYSTEM_STATE.+slice.+state.+changed )|(ment ac)|(multiple cpu faults)|(system.+state.+changed )|(\[timeout)|(PRM\|1\|D)|(kpr)|(kdp)|(\|lc)|(penalty))" /e /r /s</v>
      </c>
      <c r="AG179" s="1" t="str">
        <f t="shared" si="62"/>
        <v>NW</v>
      </c>
      <c r="AH179" s="92" t="str">
        <f t="shared" si="63"/>
        <v>"%USERPROFILE%\Documents\GitHub\eaglep3\Utilities\RefineRTDCRunTimes.py" --tripid 814-09 --locoid 4039 --swversion DE.1.0.8.0 --startMP 300:58609 --initTime 2016-12-09T09:38:57 --startdatetime 2016-12-09T09:42:07 --delay 1 --endMP 204:733 --enddatetime 2016-12-09T09:54:24 --enforcementcount 0 &gt;&gt;C:\Users\stu\Documents\GitHub\eaglep3-reporting\EC\2016-12-09-refined-times.txt</v>
      </c>
      <c r="AI179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{"issue":{"subject":"","project_id":79,"tracker_id":40,"status_id":1,"priority_id":2,"assigned_to_id":23,"start_date":"2016-12-09","description":"","custom_fields":[{"id":1,"name":"Subdivision","value":"NW"},{"id":4,"name":"Milepost","value":"0.0733"},{"id":17,"name":"Train ID","value":"814-09"},{"id":16,"name":"Locomotive ID","value":"4039"},{"id":130,"name":"Impact","value":""},{"id":150,"name":"Time of Event (Mountain Time)","value":"09:54:24"},{"id":151,"name":"Denver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488</v>
      </c>
      <c r="B180" s="7">
        <v>4040</v>
      </c>
      <c r="C180" s="22" t="s">
        <v>206</v>
      </c>
      <c r="D180" s="22" t="s">
        <v>448</v>
      </c>
      <c r="E180" s="13">
        <v>42713.414189814815</v>
      </c>
      <c r="F180" s="13">
        <v>42713.431493055556</v>
      </c>
      <c r="G180" s="7">
        <v>1</v>
      </c>
      <c r="H180" s="22" t="s">
        <v>780</v>
      </c>
      <c r="I180" s="13">
        <v>42713.441192129627</v>
      </c>
      <c r="J180" s="7">
        <v>0</v>
      </c>
      <c r="K180" s="109" t="str">
        <f t="shared" si="53"/>
        <v>4039/4040</v>
      </c>
      <c r="L180" s="22" t="str">
        <f>VLOOKUP(A180,'Trips&amp;Operators'!$C$1:$G$99999,5,FALSE)</f>
        <v>YORK EDGAR</v>
      </c>
      <c r="M180" s="6">
        <f t="shared" si="54"/>
        <v>9.6990740712499246E-3</v>
      </c>
      <c r="N180" s="7">
        <f t="shared" si="70"/>
        <v>13.966666662599891</v>
      </c>
      <c r="O180" s="7"/>
      <c r="P180" s="7"/>
      <c r="Q180" s="23"/>
      <c r="R180" s="23"/>
      <c r="S180" s="35">
        <f t="shared" si="71"/>
        <v>1</v>
      </c>
      <c r="T180" s="50" t="str">
        <f t="shared" si="55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08:56:26-700',mode:absolute,to:'2016-12-09 11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0" s="52" t="str">
        <f t="shared" si="57"/>
        <v>N</v>
      </c>
      <c r="X180" s="177">
        <f t="shared" si="65"/>
        <v>1</v>
      </c>
      <c r="Y180" s="67">
        <f t="shared" si="69"/>
        <v>0.1021</v>
      </c>
      <c r="Z180" s="67">
        <f t="shared" si="66"/>
        <v>5.8924000000000003</v>
      </c>
      <c r="AA180" s="67">
        <f t="shared" si="58"/>
        <v>5.7903000000000002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59"/>
        <v>0815-09</v>
      </c>
      <c r="AE180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180" s="88" t="str">
        <f t="shared" si="61"/>
        <v>"C:\Program Files (x86)\AstroGrep\AstroGrep.exe" /spath="%USERPROFILE%\AppData\Local\Temp\OnboardLogs" /stypes="app*4040*20161209*" /stext=" 17:.+((SYSTEM_STATE.+slice.+state.+changed )|(ment ac)|(multiple cpu faults)|(system.+state.+changed )|(\[timeout)|(PRM\|1\|D)|(kpr)|(kdp)|(\|lc)|(penalty))" /e /r /s</v>
      </c>
      <c r="AG180" s="1" t="str">
        <f t="shared" si="62"/>
        <v>NW</v>
      </c>
      <c r="AH180" s="92" t="str">
        <f t="shared" si="63"/>
        <v>"%USERPROFILE%\Documents\GitHub\eaglep3\Utilities\RefineRTDCRunTimes.py" --tripid 815-09 --locoid 4040 --swversion DE.1.0.8.0 --startMP 204:1021 --initTime 2016-12-09T09:56:26 --startdatetime 2016-12-09T10:21:21 --delay 1 --endMP 300:58924 --enddatetime 2016-12-09T10:35:19 --enforcementcount 0 &gt;&gt;C:\Users\stu\Documents\GitHub\eaglep3-reporting\EC\2016-12-09-refined-times.txt</v>
      </c>
      <c r="AI180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{"issue":{"subject":"","project_id":79,"tracker_id":40,"status_id":1,"priority_id":2,"assigned_to_id":23,"start_date":"2016-12-09","description":"","custom_fields":[{"id":1,"name":"Subdivision","value":"NW"},{"id":4,"name":"Milepost","value":"5.8924"},{"id":17,"name":"Train ID","value":"815-09"},{"id":16,"name":"Locomotive ID","value":"4040"},{"id":130,"name":"Impact","value":""},{"id":150,"name":"Time of Event (Mountain Time)","value":"10:35:19"},{"id":151,"name":"Denver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s="21" customFormat="1" x14ac:dyDescent="0.25">
      <c r="A181" s="37" t="s">
        <v>580</v>
      </c>
      <c r="B181" s="7">
        <v>4039</v>
      </c>
      <c r="C181" s="22" t="s">
        <v>206</v>
      </c>
      <c r="D181" s="22" t="s">
        <v>781</v>
      </c>
      <c r="E181" s="13">
        <v>42713.444282407407</v>
      </c>
      <c r="F181" s="13">
        <v>42713.44568287037</v>
      </c>
      <c r="G181" s="7">
        <v>0</v>
      </c>
      <c r="H181" s="22" t="s">
        <v>420</v>
      </c>
      <c r="I181" s="13">
        <v>42713.454652777778</v>
      </c>
      <c r="J181" s="7">
        <v>0</v>
      </c>
      <c r="K181" s="109" t="str">
        <f t="shared" si="53"/>
        <v>4039/4040</v>
      </c>
      <c r="L181" s="22" t="str">
        <f>VLOOKUP(A181,'Trips&amp;Operators'!$C$1:$G$99999,5,FALSE)</f>
        <v>YORK EDGAR</v>
      </c>
      <c r="M181" s="6">
        <f t="shared" si="54"/>
        <v>8.969907408754807E-3</v>
      </c>
      <c r="N181" s="7">
        <f t="shared" si="70"/>
        <v>12.916666668606922</v>
      </c>
      <c r="O181" s="7"/>
      <c r="P181" s="7"/>
      <c r="Q181" s="23"/>
      <c r="R181" s="23"/>
      <c r="S181" s="35">
        <f t="shared" si="71"/>
        <v>1</v>
      </c>
      <c r="T181" s="50" t="str">
        <f t="shared" si="55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09:39:46-700',mode:absolute,to:'2016-12-09 11:54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1" s="52" t="str">
        <f t="shared" si="57"/>
        <v>N</v>
      </c>
      <c r="X181" s="177">
        <f t="shared" si="65"/>
        <v>1</v>
      </c>
      <c r="Y181" s="67">
        <f t="shared" si="69"/>
        <v>5.8608000000000002</v>
      </c>
      <c r="Z181" s="67">
        <f t="shared" si="66"/>
        <v>7.4999999999999997E-2</v>
      </c>
      <c r="AA181" s="67">
        <f t="shared" si="58"/>
        <v>5.7858000000000001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59"/>
        <v>0816-09</v>
      </c>
      <c r="AE181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181" s="88" t="str">
        <f t="shared" si="61"/>
        <v>"C:\Program Files (x86)\AstroGrep\AstroGrep.exe" /spath="%USERPROFILE%\AppData\Local\Temp\OnboardLogs" /stypes="app*4039*20161209*" /stext=" 17:.+((SYSTEM_STATE.+slice.+state.+changed )|(ment ac)|(multiple cpu faults)|(system.+state.+changed )|(\[timeout)|(PRM\|1\|D)|(kpr)|(kdp)|(\|lc)|(penalty))" /e /r /s</v>
      </c>
      <c r="AG181" s="1" t="str">
        <f t="shared" si="62"/>
        <v>NW</v>
      </c>
      <c r="AH181" s="92" t="str">
        <f t="shared" si="63"/>
        <v>"%USERPROFILE%\Documents\GitHub\eaglep3\Utilities\RefineRTDCRunTimes.py" --tripid 816-09 --locoid 4039 --swversion DE.1.0.8.0 --startMP 300:58608 --initTime 2016-12-09T10:39:46 --startdatetime 2016-12-09T10:41:47 --delay 0 --endMP 204:750 --enddatetime 2016-12-09T10:54:42 --enforcementcount 0 &gt;&gt;C:\Users\stu\Documents\GitHub\eaglep3-reporting\EC\2016-12-09-refined-times.txt</v>
      </c>
      <c r="AI181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{"issue":{"subject":"","project_id":79,"tracker_id":40,"status_id":1,"priority_id":2,"assigned_to_id":23,"start_date":"2016-12-09","description":"","custom_fields":[{"id":1,"name":"Subdivision","value":"NW"},{"id":4,"name":"Milepost","value":"0.075"},{"id":17,"name":"Train ID","value":"816-09"},{"id":16,"name":"Locomotive ID","value":"4039"},{"id":130,"name":"Impact","value":""},{"id":150,"name":"Time of Event (Mountain Time)","value":"10:54:42"},{"id":151,"name":"Denver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581</v>
      </c>
      <c r="B182" s="7">
        <v>4040</v>
      </c>
      <c r="C182" s="22" t="s">
        <v>206</v>
      </c>
      <c r="D182" s="22" t="s">
        <v>782</v>
      </c>
      <c r="E182" s="13">
        <v>42713.456076388888</v>
      </c>
      <c r="F182" s="13">
        <v>42713.473171296297</v>
      </c>
      <c r="G182" s="7">
        <v>0</v>
      </c>
      <c r="H182" s="22" t="s">
        <v>343</v>
      </c>
      <c r="I182" s="13">
        <v>42713.481840277775</v>
      </c>
      <c r="J182" s="7">
        <v>0</v>
      </c>
      <c r="K182" s="109" t="str">
        <f t="shared" si="53"/>
        <v>4039/4040</v>
      </c>
      <c r="L182" s="22" t="str">
        <f>VLOOKUP(A182,'Trips&amp;Operators'!$C$1:$G$99999,5,FALSE)</f>
        <v>YORK EDGAR</v>
      </c>
      <c r="M182" s="6">
        <f t="shared" si="54"/>
        <v>8.6689814779674634E-3</v>
      </c>
      <c r="N182" s="7">
        <f t="shared" si="70"/>
        <v>12.483333328273147</v>
      </c>
      <c r="O182" s="7"/>
      <c r="P182" s="7"/>
      <c r="Q182" s="23"/>
      <c r="R182" s="23"/>
      <c r="S182" s="35">
        <f t="shared" si="71"/>
        <v>1</v>
      </c>
      <c r="T182" s="50" t="str">
        <f t="shared" si="55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09:56:45-700',mode:absolute,to:'2016-12-09 12:33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2" s="52" t="str">
        <f t="shared" si="57"/>
        <v>N</v>
      </c>
      <c r="X182" s="177">
        <f t="shared" si="65"/>
        <v>1</v>
      </c>
      <c r="Y182" s="67">
        <f t="shared" si="69"/>
        <v>0.1032</v>
      </c>
      <c r="Z182" s="67">
        <f t="shared" si="66"/>
        <v>5.8936999999999999</v>
      </c>
      <c r="AA182" s="67">
        <f t="shared" si="58"/>
        <v>5.7904999999999998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59"/>
        <v>0817-09</v>
      </c>
      <c r="AE182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182" s="88" t="str">
        <f t="shared" si="61"/>
        <v>"C:\Program Files (x86)\AstroGrep\AstroGrep.exe" /spath="%USERPROFILE%\AppData\Local\Temp\OnboardLogs" /stypes="app*4040*20161209*" /stext=" 18:.+((SYSTEM_STATE.+slice.+state.+changed )|(ment ac)|(multiple cpu faults)|(system.+state.+changed )|(\[timeout)|(PRM\|1\|D)|(kpr)|(kdp)|(\|lc)|(penalty))" /e /r /s</v>
      </c>
      <c r="AG182" s="1" t="str">
        <f t="shared" si="62"/>
        <v>NW</v>
      </c>
      <c r="AH182" s="92" t="str">
        <f t="shared" si="63"/>
        <v>"%USERPROFILE%\Documents\GitHub\eaglep3\Utilities\RefineRTDCRunTimes.py" --tripid 817-09 --locoid 4040 --swversion DE.1.0.8.0 --startMP 204:1032 --initTime 2016-12-09T10:56:45 --startdatetime 2016-12-09T11:21:22 --delay 0 --endMP 300:58937 --enddatetime 2016-12-09T11:33:51 --enforcementcount 0 &gt;&gt;C:\Users\stu\Documents\GitHub\eaglep3-reporting\EC\2016-12-09-refined-times.txt</v>
      </c>
      <c r="AI182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{"issue":{"subject":"","project_id":79,"tracker_id":40,"status_id":1,"priority_id":2,"assigned_to_id":23,"start_date":"2016-12-09","description":"","custom_fields":[{"id":1,"name":"Subdivision","value":"NW"},{"id":4,"name":"Milepost","value":"5.8937"},{"id":17,"name":"Train ID","value":"817-09"},{"id":16,"name":"Locomotive ID","value":"4040"},{"id":130,"name":"Impact","value":""},{"id":150,"name":"Time of Event (Mountain Time)","value":"11:33:51"},{"id":151,"name":"Denver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1" customFormat="1" x14ac:dyDescent="0.25">
      <c r="A183" s="37" t="s">
        <v>591</v>
      </c>
      <c r="B183" s="7">
        <v>4039</v>
      </c>
      <c r="C183" s="22" t="s">
        <v>206</v>
      </c>
      <c r="D183" s="22" t="s">
        <v>346</v>
      </c>
      <c r="E183" s="13">
        <v>42713.48269675926</v>
      </c>
      <c r="F183" s="13">
        <v>42713.487025462964</v>
      </c>
      <c r="G183" s="7">
        <v>1</v>
      </c>
      <c r="H183" s="22" t="s">
        <v>420</v>
      </c>
      <c r="I183" s="13">
        <v>42713.497800925928</v>
      </c>
      <c r="J183" s="7">
        <v>0</v>
      </c>
      <c r="K183" s="109" t="str">
        <f t="shared" si="53"/>
        <v>4039/4040</v>
      </c>
      <c r="L183" s="22" t="str">
        <f>VLOOKUP(A183,'Trips&amp;Operators'!$C$1:$G$99999,5,FALSE)</f>
        <v>YORK EDGAR</v>
      </c>
      <c r="M183" s="6">
        <f t="shared" si="54"/>
        <v>1.0775462964375038E-2</v>
      </c>
      <c r="N183" s="7">
        <f t="shared" si="70"/>
        <v>15.516666668700054</v>
      </c>
      <c r="O183" s="7"/>
      <c r="P183" s="7"/>
      <c r="Q183" s="23"/>
      <c r="R183" s="23"/>
      <c r="S183" s="35">
        <f t="shared" si="71"/>
        <v>1</v>
      </c>
      <c r="T183" s="50" t="str">
        <f t="shared" si="55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10:35:05-700',mode:absolute,to:'2016-12-09 12:56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3" s="52" t="str">
        <f t="shared" si="57"/>
        <v>N</v>
      </c>
      <c r="X183" s="177">
        <f t="shared" ref="X183:X189" si="72">VALUE(LEFT(AD183,4))-VALUE(LEFT(AD182,4))</f>
        <v>1</v>
      </c>
      <c r="Y183" s="67">
        <f t="shared" si="69"/>
        <v>5.8620999999999999</v>
      </c>
      <c r="Z183" s="67">
        <f t="shared" si="66"/>
        <v>7.4999999999999997E-2</v>
      </c>
      <c r="AA183" s="67">
        <f t="shared" si="58"/>
        <v>5.7870999999999997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59"/>
        <v>0818-09</v>
      </c>
      <c r="AE183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183" s="88" t="str">
        <f t="shared" si="61"/>
        <v>"C:\Program Files (x86)\AstroGrep\AstroGrep.exe" /spath="%USERPROFILE%\AppData\Local\Temp\OnboardLogs" /stypes="app*4039*20161209*" /stext=" 18:.+((SYSTEM_STATE.+slice.+state.+changed )|(ment ac)|(multiple cpu faults)|(system.+state.+changed )|(\[timeout)|(PRM\|1\|D)|(kpr)|(kdp)|(\|lc)|(penalty))" /e /r /s</v>
      </c>
      <c r="AG183" s="1" t="str">
        <f t="shared" si="62"/>
        <v>NW</v>
      </c>
      <c r="AH183" s="92" t="str">
        <f t="shared" si="63"/>
        <v>"%USERPROFILE%\Documents\GitHub\eaglep3\Utilities\RefineRTDCRunTimes.py" --tripid 818-09 --locoid 4039 --swversion DE.1.0.8.0 --startMP 300:58621 --initTime 2016-12-09T11:35:05 --startdatetime 2016-12-09T11:41:19 --delay 1 --endMP 204:750 --enddatetime 2016-12-09T11:56:50 --enforcementcount 0 &gt;&gt;C:\Users\stu\Documents\GitHub\eaglep3-reporting\EC\2016-12-09-refined-times.txt</v>
      </c>
      <c r="AI183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{"issue":{"subject":"","project_id":79,"tracker_id":40,"status_id":1,"priority_id":2,"assigned_to_id":23,"start_date":"2016-12-09","description":"","custom_fields":[{"id":1,"name":"Subdivision","value":"NW"},{"id":4,"name":"Milepost","value":"0.075"},{"id":17,"name":"Train ID","value":"818-09"},{"id":16,"name":"Locomotive ID","value":"4039"},{"id":130,"name":"Impact","value":""},{"id":150,"name":"Time of Event (Mountain Time)","value":"11:56:50"},{"id":151,"name":"Denver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7" t="s">
        <v>597</v>
      </c>
      <c r="B184" s="7">
        <v>4040</v>
      </c>
      <c r="C184" s="22" t="s">
        <v>206</v>
      </c>
      <c r="D184" s="22" t="s">
        <v>457</v>
      </c>
      <c r="E184" s="13">
        <v>42713.498761574076</v>
      </c>
      <c r="F184" s="13">
        <v>42713.515011574076</v>
      </c>
      <c r="G184" s="7">
        <v>8</v>
      </c>
      <c r="H184" s="22" t="s">
        <v>783</v>
      </c>
      <c r="I184" s="13">
        <v>42713.524351851855</v>
      </c>
      <c r="J184" s="7">
        <v>0</v>
      </c>
      <c r="K184" s="109" t="str">
        <f t="shared" si="53"/>
        <v>4039/4040</v>
      </c>
      <c r="L184" s="22" t="str">
        <f>VLOOKUP(A184,'Trips&amp;Operators'!$C$1:$G$99999,5,FALSE)</f>
        <v>YORK EDGAR</v>
      </c>
      <c r="M184" s="6">
        <f t="shared" si="54"/>
        <v>9.340277778392192E-3</v>
      </c>
      <c r="N184" s="7">
        <f t="shared" si="70"/>
        <v>13.450000000884756</v>
      </c>
      <c r="O184" s="7"/>
      <c r="P184" s="7"/>
      <c r="Q184" s="23"/>
      <c r="R184" s="23"/>
      <c r="S184" s="35">
        <f t="shared" si="71"/>
        <v>1</v>
      </c>
      <c r="T184" s="50" t="str">
        <f t="shared" si="55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10:58:13-700',mode:absolute,to:'2016-12-09 13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4" s="52" t="str">
        <f t="shared" si="57"/>
        <v>N</v>
      </c>
      <c r="X184" s="177">
        <f t="shared" si="72"/>
        <v>1</v>
      </c>
      <c r="Y184" s="67">
        <f t="shared" si="69"/>
        <v>0.1014</v>
      </c>
      <c r="Z184" s="67">
        <f t="shared" si="66"/>
        <v>5.8925999999999998</v>
      </c>
      <c r="AA184" s="67">
        <f t="shared" si="58"/>
        <v>5.7911999999999999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59"/>
        <v>0819-09</v>
      </c>
      <c r="AE184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184" s="88" t="str">
        <f t="shared" si="61"/>
        <v>"C:\Program Files (x86)\AstroGrep\AstroGrep.exe" /spath="%USERPROFILE%\AppData\Local\Temp\OnboardLogs" /stypes="app*4040*20161209*" /stext=" 19:.+((SYSTEM_STATE.+slice.+state.+changed )|(ment ac)|(multiple cpu faults)|(system.+state.+changed )|(\[timeout)|(PRM\|1\|D)|(kpr)|(kdp)|(\|lc)|(penalty))" /e /r /s</v>
      </c>
      <c r="AG184" s="1" t="str">
        <f t="shared" si="62"/>
        <v>NW</v>
      </c>
      <c r="AH184" s="92" t="str">
        <f t="shared" si="63"/>
        <v>"%USERPROFILE%\Documents\GitHub\eaglep3\Utilities\RefineRTDCRunTimes.py" --tripid 819-09 --locoid 4040 --swversion DE.1.0.8.0 --startMP 204:1014 --initTime 2016-12-09T11:58:13 --startdatetime 2016-12-09T12:21:37 --delay 8 --endMP 300:58926 --enddatetime 2016-12-09T12:35:04 --enforcementcount 0 &gt;&gt;C:\Users\stu\Documents\GitHub\eaglep3-reporting\EC\2016-12-09-refined-times.txt</v>
      </c>
      <c r="AI184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{"issue":{"subject":"","project_id":79,"tracker_id":40,"status_id":1,"priority_id":2,"assigned_to_id":23,"start_date":"2016-12-09","description":"","custom_fields":[{"id":1,"name":"Subdivision","value":"NW"},{"id":4,"name":"Milepost","value":"5.8926"},{"id":17,"name":"Train ID","value":"819-09"},{"id":16,"name":"Locomotive ID","value":"4040"},{"id":130,"name":"Impact","value":""},{"id":150,"name":"Time of Event (Mountain Time)","value":"12:35:04"},{"id":151,"name":"Denver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601</v>
      </c>
      <c r="B185" s="7">
        <v>4039</v>
      </c>
      <c r="C185" s="22" t="s">
        <v>206</v>
      </c>
      <c r="D185" s="22" t="s">
        <v>781</v>
      </c>
      <c r="E185" s="13">
        <v>42713.525659722225</v>
      </c>
      <c r="F185" s="13">
        <v>42713.528553240743</v>
      </c>
      <c r="G185" s="7">
        <v>1</v>
      </c>
      <c r="H185" s="22" t="s">
        <v>451</v>
      </c>
      <c r="I185" s="13">
        <v>42713.53802083333</v>
      </c>
      <c r="J185" s="7">
        <v>0</v>
      </c>
      <c r="K185" s="109" t="str">
        <f t="shared" si="53"/>
        <v>4039/4040</v>
      </c>
      <c r="L185" s="22" t="str">
        <f>VLOOKUP(A185,'Trips&amp;Operators'!$C$1:$G$99999,5,FALSE)</f>
        <v>YORK EDGAR</v>
      </c>
      <c r="M185" s="6">
        <f t="shared" si="54"/>
        <v>9.4675925865885802E-3</v>
      </c>
      <c r="N185" s="7">
        <f t="shared" si="70"/>
        <v>13.633333324687555</v>
      </c>
      <c r="O185" s="7"/>
      <c r="P185" s="7"/>
      <c r="Q185" s="23"/>
      <c r="R185" s="23"/>
      <c r="S185" s="35">
        <f t="shared" si="71"/>
        <v>1</v>
      </c>
      <c r="T185" s="50" t="str">
        <f t="shared" si="55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11:36:57-700',mode:absolute,to:'2016-12-09 13:54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5" s="52" t="str">
        <f t="shared" si="57"/>
        <v>N</v>
      </c>
      <c r="X185" s="177">
        <f t="shared" si="72"/>
        <v>1</v>
      </c>
      <c r="Y185" s="67">
        <f t="shared" si="69"/>
        <v>5.8608000000000002</v>
      </c>
      <c r="Z185" s="67">
        <f t="shared" si="66"/>
        <v>7.3599999999999999E-2</v>
      </c>
      <c r="AA185" s="67">
        <f t="shared" si="58"/>
        <v>5.7872000000000003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59"/>
        <v>0820-09</v>
      </c>
      <c r="AE185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185" s="88" t="str">
        <f t="shared" si="61"/>
        <v>"C:\Program Files (x86)\AstroGrep\AstroGrep.exe" /spath="%USERPROFILE%\AppData\Local\Temp\OnboardLogs" /stypes="app*4039*20161209*" /stext=" 19:.+((SYSTEM_STATE.+slice.+state.+changed )|(ment ac)|(multiple cpu faults)|(system.+state.+changed )|(\[timeout)|(PRM\|1\|D)|(kpr)|(kdp)|(\|lc)|(penalty))" /e /r /s</v>
      </c>
      <c r="AG185" s="1" t="str">
        <f t="shared" si="62"/>
        <v>NW</v>
      </c>
      <c r="AH185" s="92" t="str">
        <f t="shared" si="63"/>
        <v>"%USERPROFILE%\Documents\GitHub\eaglep3\Utilities\RefineRTDCRunTimes.py" --tripid 820-09 --locoid 4039 --swversion DE.1.0.8.0 --startMP 300:58608 --initTime 2016-12-09T12:36:57 --startdatetime 2016-12-09T12:41:07 --delay 1 --endMP 204:736 --enddatetime 2016-12-09T12:54:45 --enforcementcount 0 &gt;&gt;C:\Users\stu\Documents\GitHub\eaglep3-reporting\EC\2016-12-09-refined-times.txt</v>
      </c>
      <c r="AI185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{"issue":{"subject":"","project_id":79,"tracker_id":40,"status_id":1,"priority_id":2,"assigned_to_id":23,"start_date":"2016-12-09","description":"","custom_fields":[{"id":1,"name":"Subdivision","value":"NW"},{"id":4,"name":"Milepost","value":"0.0736"},{"id":17,"name":"Train ID","value":"820-09"},{"id":16,"name":"Locomotive ID","value":"4039"},{"id":130,"name":"Impact","value":""},{"id":150,"name":"Time of Event (Mountain Time)","value":"12:54:45"},{"id":151,"name":"Denver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496</v>
      </c>
      <c r="B186" s="7">
        <v>4040</v>
      </c>
      <c r="C186" s="22" t="s">
        <v>206</v>
      </c>
      <c r="D186" s="22" t="s">
        <v>457</v>
      </c>
      <c r="E186" s="13">
        <v>42713.550532407404</v>
      </c>
      <c r="F186" s="13">
        <v>42713.556435185186</v>
      </c>
      <c r="G186" s="7">
        <v>1</v>
      </c>
      <c r="H186" s="22" t="s">
        <v>388</v>
      </c>
      <c r="I186" s="13">
        <v>42713.567129629628</v>
      </c>
      <c r="J186" s="7">
        <v>0</v>
      </c>
      <c r="K186" s="109" t="str">
        <f t="shared" si="53"/>
        <v>4039/4040</v>
      </c>
      <c r="L186" s="22" t="str">
        <f>VLOOKUP(A186,'Trips&amp;Operators'!$C$1:$G$99999,5,FALSE)</f>
        <v>SHOOK JOHN</v>
      </c>
      <c r="M186" s="6">
        <f t="shared" si="54"/>
        <v>1.0694444441469386E-2</v>
      </c>
      <c r="N186" s="7">
        <f t="shared" si="70"/>
        <v>15.399999995715916</v>
      </c>
      <c r="O186" s="7"/>
      <c r="P186" s="7"/>
      <c r="Q186" s="23"/>
      <c r="R186" s="23"/>
      <c r="S186" s="35">
        <f t="shared" si="71"/>
        <v>1</v>
      </c>
      <c r="T186" s="50" t="str">
        <f t="shared" si="55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12:12:46-700',mode:absolute,to:'2016-12-09 14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6" s="52" t="str">
        <f t="shared" si="57"/>
        <v>N</v>
      </c>
      <c r="X186" s="177">
        <f t="shared" si="72"/>
        <v>1</v>
      </c>
      <c r="Y186" s="67">
        <f t="shared" si="69"/>
        <v>0.1014</v>
      </c>
      <c r="Z186" s="67">
        <f t="shared" si="66"/>
        <v>5.8939000000000004</v>
      </c>
      <c r="AA186" s="67">
        <f t="shared" si="58"/>
        <v>5.7925000000000004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59"/>
        <v>0821-09</v>
      </c>
      <c r="AE186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186" s="88" t="str">
        <f t="shared" si="61"/>
        <v>"C:\Program Files (x86)\AstroGrep\AstroGrep.exe" /spath="%USERPROFILE%\AppData\Local\Temp\OnboardLogs" /stypes="app*4040*20161209*" /stext=" 20:.+((SYSTEM_STATE.+slice.+state.+changed )|(ment ac)|(multiple cpu faults)|(system.+state.+changed )|(\[timeout)|(PRM\|1\|D)|(kpr)|(kdp)|(\|lc)|(penalty))" /e /r /s</v>
      </c>
      <c r="AG186" s="1" t="str">
        <f t="shared" si="62"/>
        <v>NW</v>
      </c>
      <c r="AH186" s="92" t="str">
        <f t="shared" si="63"/>
        <v>"%USERPROFILE%\Documents\GitHub\eaglep3\Utilities\RefineRTDCRunTimes.py" --tripid 821-09 --locoid 4040 --swversion DE.1.0.8.0 --startMP 204:1014 --initTime 2016-12-09T13:12:46 --startdatetime 2016-12-09T13:21:16 --delay 1 --endMP 300:58939 --enddatetime 2016-12-09T13:36:40 --enforcementcount 0 &gt;&gt;C:\Users\stu\Documents\GitHub\eaglep3-reporting\EC\2016-12-09-refined-times.txt</v>
      </c>
      <c r="AI186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{"issue":{"subject":"","project_id":79,"tracker_id":40,"status_id":1,"priority_id":2,"assigned_to_id":23,"start_date":"2016-12-09","description":"","custom_fields":[{"id":1,"name":"Subdivision","value":"NW"},{"id":4,"name":"Milepost","value":"5.8939"},{"id":17,"name":"Train ID","value":"821-09"},{"id":16,"name":"Locomotive ID","value":"4040"},{"id":130,"name":"Impact","value":""},{"id":150,"name":"Time of Event (Mountain Time)","value":"13:36:40"},{"id":151,"name":"Denver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611</v>
      </c>
      <c r="B187" s="7">
        <v>4039</v>
      </c>
      <c r="C187" s="22" t="s">
        <v>206</v>
      </c>
      <c r="D187" s="22" t="s">
        <v>455</v>
      </c>
      <c r="E187" s="13">
        <v>42713.568240740744</v>
      </c>
      <c r="F187" s="13">
        <v>42713.570219907408</v>
      </c>
      <c r="G187" s="7">
        <v>1</v>
      </c>
      <c r="H187" s="22" t="s">
        <v>415</v>
      </c>
      <c r="I187" s="13">
        <v>42713.58021990741</v>
      </c>
      <c r="J187" s="7">
        <v>0</v>
      </c>
      <c r="K187" s="109" t="str">
        <f t="shared" si="53"/>
        <v>4039/4040</v>
      </c>
      <c r="L187" s="22" t="str">
        <f>VLOOKUP(A187,'Trips&amp;Operators'!$C$1:$G$99999,5,FALSE)</f>
        <v>SHOOK JOHN</v>
      </c>
      <c r="M187" s="6">
        <f t="shared" si="54"/>
        <v>1.0000000002037268E-2</v>
      </c>
      <c r="N187" s="7">
        <f t="shared" si="70"/>
        <v>14.400000002933666</v>
      </c>
      <c r="O187" s="7"/>
      <c r="P187" s="7"/>
      <c r="Q187" s="23"/>
      <c r="R187" s="23"/>
      <c r="S187" s="35">
        <f t="shared" si="71"/>
        <v>1</v>
      </c>
      <c r="T187" s="50" t="str">
        <f t="shared" si="55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12:38:16-700',mode:absolute,to:'2016-12-09 14:55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7" s="52" t="str">
        <f t="shared" si="57"/>
        <v>N</v>
      </c>
      <c r="X187" s="177">
        <f t="shared" si="72"/>
        <v>1</v>
      </c>
      <c r="Y187" s="67">
        <f t="shared" si="69"/>
        <v>5.8624000000000001</v>
      </c>
      <c r="Z187" s="67">
        <f t="shared" ref="Z187:Z218" si="73">RIGHT(H187,LEN(H187)-4)/10000</f>
        <v>7.5200000000000003E-2</v>
      </c>
      <c r="AA187" s="67">
        <f t="shared" si="58"/>
        <v>5.7872000000000003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59"/>
        <v>0822-09</v>
      </c>
      <c r="AE187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187" s="88" t="str">
        <f t="shared" si="61"/>
        <v>"C:\Program Files (x86)\AstroGrep\AstroGrep.exe" /spath="%USERPROFILE%\AppData\Local\Temp\OnboardLogs" /stypes="app*4039*20161209*" /stext=" 20:.+((SYSTEM_STATE.+slice.+state.+changed )|(ment ac)|(multiple cpu faults)|(system.+state.+changed )|(\[timeout)|(PRM\|1\|D)|(kpr)|(kdp)|(\|lc)|(penalty))" /e /r /s</v>
      </c>
      <c r="AG187" s="1" t="str">
        <f t="shared" si="62"/>
        <v>NW</v>
      </c>
      <c r="AH187" s="92" t="str">
        <f t="shared" si="63"/>
        <v>"%USERPROFILE%\Documents\GitHub\eaglep3\Utilities\RefineRTDCRunTimes.py" --tripid 822-09 --locoid 4039 --swversion DE.1.0.8.0 --startMP 300:58624 --initTime 2016-12-09T13:38:16 --startdatetime 2016-12-09T13:41:07 --delay 1 --endMP 204:752 --enddatetime 2016-12-09T13:55:31 --enforcementcount 0 &gt;&gt;C:\Users\stu\Documents\GitHub\eaglep3-reporting\EC\2016-12-09-refined-times.txt</v>
      </c>
      <c r="AI187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{"issue":{"subject":"","project_id":79,"tracker_id":40,"status_id":1,"priority_id":2,"assigned_to_id":23,"start_date":"2016-12-09","description":"","custom_fields":[{"id":1,"name":"Subdivision","value":"NW"},{"id":4,"name":"Milepost","value":"0.0752"},{"id":17,"name":"Train ID","value":"822-09"},{"id":16,"name":"Locomotive ID","value":"4039"},{"id":130,"name":"Impact","value":""},{"id":150,"name":"Time of Event (Mountain Time)","value":"13:55:31"},{"id":151,"name":"Denver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616</v>
      </c>
      <c r="B188" s="7">
        <v>4040</v>
      </c>
      <c r="C188" s="22" t="s">
        <v>206</v>
      </c>
      <c r="D188" s="22" t="s">
        <v>774</v>
      </c>
      <c r="E188" s="13">
        <v>42713.593599537038</v>
      </c>
      <c r="F188" s="13">
        <v>42713.598101851851</v>
      </c>
      <c r="G188" s="7">
        <v>1</v>
      </c>
      <c r="H188" s="22" t="s">
        <v>392</v>
      </c>
      <c r="I188" s="13">
        <v>42713.608807870369</v>
      </c>
      <c r="J188" s="7">
        <v>0</v>
      </c>
      <c r="K188" s="109" t="str">
        <f t="shared" si="53"/>
        <v>4039/4040</v>
      </c>
      <c r="L188" s="22" t="str">
        <f>VLOOKUP(A188,'Trips&amp;Operators'!$C$1:$G$99999,5,FALSE)</f>
        <v>SHOOK JOHN</v>
      </c>
      <c r="M188" s="6">
        <f t="shared" si="54"/>
        <v>1.0706018518249039E-2</v>
      </c>
      <c r="N188" s="7">
        <f t="shared" si="70"/>
        <v>15.416666666278616</v>
      </c>
      <c r="O188" s="7"/>
      <c r="P188" s="7"/>
      <c r="Q188" s="23"/>
      <c r="R188" s="23"/>
      <c r="S188" s="35">
        <f t="shared" si="71"/>
        <v>1</v>
      </c>
      <c r="T188" s="50" t="str">
        <f t="shared" si="55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13:14:47-700',mode:absolute,to:'2016-12-09 15:36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8" s="52" t="str">
        <f t="shared" si="57"/>
        <v>N</v>
      </c>
      <c r="X188" s="177">
        <f t="shared" si="72"/>
        <v>1</v>
      </c>
      <c r="Y188" s="67">
        <f t="shared" ref="Y188:Y219" si="74">RIGHT(D188,LEN(D188)-4)/10000</f>
        <v>0.10390000000000001</v>
      </c>
      <c r="Z188" s="67">
        <f t="shared" si="73"/>
        <v>5.8944000000000001</v>
      </c>
      <c r="AA188" s="67">
        <f t="shared" si="58"/>
        <v>5.7904999999999998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59"/>
        <v>0823-09</v>
      </c>
      <c r="AE188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188" s="88" t="str">
        <f t="shared" si="61"/>
        <v>"C:\Program Files (x86)\AstroGrep\AstroGrep.exe" /spath="%USERPROFILE%\AppData\Local\Temp\OnboardLogs" /stypes="app*4040*20161209*" /stext=" 21:.+((SYSTEM_STATE.+slice.+state.+changed )|(ment ac)|(multiple cpu faults)|(system.+state.+changed )|(\[timeout)|(PRM\|1\|D)|(kpr)|(kdp)|(\|lc)|(penalty))" /e /r /s</v>
      </c>
      <c r="AG188" s="1" t="str">
        <f t="shared" si="62"/>
        <v>NW</v>
      </c>
      <c r="AH188" s="92" t="str">
        <f t="shared" si="63"/>
        <v>"%USERPROFILE%\Documents\GitHub\eaglep3\Utilities\RefineRTDCRunTimes.py" --tripid 823-09 --locoid 4040 --swversion DE.1.0.8.0 --startMP 204:1039 --initTime 2016-12-09T14:14:47 --startdatetime 2016-12-09T14:21:16 --delay 1 --endMP 300:58944 --enddatetime 2016-12-09T14:36:41 --enforcementcount 0 &gt;&gt;C:\Users\stu\Documents\GitHub\eaglep3-reporting\EC\2016-12-09-refined-times.txt</v>
      </c>
      <c r="AI188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{"issue":{"subject":"","project_id":79,"tracker_id":40,"status_id":1,"priority_id":2,"assigned_to_id":23,"start_date":"2016-12-09","description":"","custom_fields":[{"id":1,"name":"Subdivision","value":"NW"},{"id":4,"name":"Milepost","value":"5.8944"},{"id":17,"name":"Train ID","value":"823-09"},{"id":16,"name":"Locomotive ID","value":"4040"},{"id":130,"name":"Impact","value":""},{"id":150,"name":"Time of Event (Mountain Time)","value":"14:36:41"},{"id":151,"name":"Denver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618</v>
      </c>
      <c r="B189" s="7">
        <v>4039</v>
      </c>
      <c r="C189" s="22" t="s">
        <v>206</v>
      </c>
      <c r="D189" s="22" t="s">
        <v>323</v>
      </c>
      <c r="E189" s="13">
        <v>42713.609768518516</v>
      </c>
      <c r="F189" s="13">
        <v>42713.611203703702</v>
      </c>
      <c r="G189" s="7">
        <v>1</v>
      </c>
      <c r="H189" s="22" t="s">
        <v>784</v>
      </c>
      <c r="I189" s="13">
        <v>42713.621863425928</v>
      </c>
      <c r="J189" s="7">
        <v>0</v>
      </c>
      <c r="K189" s="109" t="str">
        <f t="shared" si="53"/>
        <v>4039/4040</v>
      </c>
      <c r="L189" s="22" t="str">
        <f>VLOOKUP(A189,'Trips&amp;Operators'!$C$1:$G$99999,5,FALSE)</f>
        <v>SHOOK JOHN</v>
      </c>
      <c r="M189" s="6">
        <f t="shared" si="54"/>
        <v>1.0659722225682344E-2</v>
      </c>
      <c r="N189" s="7">
        <f t="shared" si="70"/>
        <v>15.350000004982576</v>
      </c>
      <c r="O189" s="7"/>
      <c r="P189" s="7"/>
      <c r="Q189" s="23"/>
      <c r="R189" s="23"/>
      <c r="S189" s="35">
        <f t="shared" si="71"/>
        <v>1</v>
      </c>
      <c r="T189" s="50" t="str">
        <f t="shared" si="55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13:38:04-700',mode:absolute,to:'2016-12-09 15:55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9" s="52" t="str">
        <f t="shared" si="57"/>
        <v>N</v>
      </c>
      <c r="X189" s="177">
        <f t="shared" si="72"/>
        <v>1</v>
      </c>
      <c r="Y189" s="67">
        <f t="shared" si="74"/>
        <v>5.8630000000000004</v>
      </c>
      <c r="Z189" s="67">
        <f t="shared" si="73"/>
        <v>7.5499999999999998E-2</v>
      </c>
      <c r="AA189" s="67">
        <f t="shared" si="58"/>
        <v>5.7875000000000005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59"/>
        <v>0824-09</v>
      </c>
      <c r="AE189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189" s="88" t="str">
        <f t="shared" si="61"/>
        <v>"C:\Program Files (x86)\AstroGrep\AstroGrep.exe" /spath="%USERPROFILE%\AppData\Local\Temp\OnboardLogs" /stypes="app*4039*20161209*" /stext=" 21:.+((SYSTEM_STATE.+slice.+state.+changed )|(ment ac)|(multiple cpu faults)|(system.+state.+changed )|(\[timeout)|(PRM\|1\|D)|(kpr)|(kdp)|(\|lc)|(penalty))" /e /r /s</v>
      </c>
      <c r="AG189" s="1" t="str">
        <f t="shared" si="62"/>
        <v>NW</v>
      </c>
      <c r="AH189" s="92" t="str">
        <f t="shared" si="63"/>
        <v>"%USERPROFILE%\Documents\GitHub\eaglep3\Utilities\RefineRTDCRunTimes.py" --tripid 824-09 --locoid 4039 --swversion DE.1.0.8.0 --startMP 300:58630 --initTime 2016-12-09T14:38:04 --startdatetime 2016-12-09T14:40:08 --delay 1 --endMP 204:755 --enddatetime 2016-12-09T14:55:29 --enforcementcount 0 &gt;&gt;C:\Users\stu\Documents\GitHub\eaglep3-reporting\EC\2016-12-09-refined-times.txt</v>
      </c>
      <c r="AI189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{"issue":{"subject":"","project_id":79,"tracker_id":40,"status_id":1,"priority_id":2,"assigned_to_id":23,"start_date":"2016-12-09","description":"","custom_fields":[{"id":1,"name":"Subdivision","value":"NW"},{"id":4,"name":"Milepost","value":"0.0755"},{"id":17,"name":"Train ID","value":"824-09"},{"id":16,"name":"Locomotive ID","value":"4039"},{"id":130,"name":"Impact","value":""},{"id":150,"name":"Time of Event (Mountain Time)","value":"14:55:29"},{"id":151,"name":"Denver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623</v>
      </c>
      <c r="B190" s="7">
        <v>4040</v>
      </c>
      <c r="C190" s="22" t="s">
        <v>206</v>
      </c>
      <c r="D190" s="22" t="s">
        <v>785</v>
      </c>
      <c r="E190" s="13">
        <v>42713.637002314812</v>
      </c>
      <c r="F190" s="13">
        <v>42713.640057870369</v>
      </c>
      <c r="G190" s="7">
        <v>2</v>
      </c>
      <c r="H190" s="22" t="s">
        <v>347</v>
      </c>
      <c r="I190" s="13">
        <v>42713.648993055554</v>
      </c>
      <c r="J190" s="7">
        <v>0</v>
      </c>
      <c r="K190" s="109" t="str">
        <f t="shared" si="53"/>
        <v>4039/4040</v>
      </c>
      <c r="L190" s="22" t="str">
        <f>VLOOKUP(A190,'Trips&amp;Operators'!$C$1:$G$99999,5,FALSE)</f>
        <v>HELVIE ADAM</v>
      </c>
      <c r="M190" s="6">
        <f t="shared" si="54"/>
        <v>8.9351851856918074E-3</v>
      </c>
      <c r="N190" s="7">
        <f t="shared" si="70"/>
        <v>12.866666667396203</v>
      </c>
      <c r="O190" s="7"/>
      <c r="P190" s="7"/>
      <c r="Q190" s="23"/>
      <c r="R190" s="23"/>
      <c r="S190" s="35">
        <f t="shared" si="71"/>
        <v>1</v>
      </c>
      <c r="T190" s="50" t="str">
        <f t="shared" si="55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14:17:17-700',mode:absolute,to:'2016-12-09 16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0" s="52" t="str">
        <f t="shared" si="57"/>
        <v>N</v>
      </c>
      <c r="X190" s="177">
        <f t="shared" ref="X190:X235" si="75">VALUE(LEFT(AD190,4))-VALUE(LEFT(AD189,4))</f>
        <v>1</v>
      </c>
      <c r="Y190" s="67">
        <f t="shared" si="74"/>
        <v>0.1041</v>
      </c>
      <c r="Z190" s="67">
        <f t="shared" si="73"/>
        <v>5.8948</v>
      </c>
      <c r="AA190" s="67">
        <f t="shared" si="58"/>
        <v>5.7907000000000002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59"/>
        <v>0825-09</v>
      </c>
      <c r="AE190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190" s="88" t="str">
        <f t="shared" si="61"/>
        <v>"C:\Program Files (x86)\AstroGrep\AstroGrep.exe" /spath="%USERPROFILE%\AppData\Local\Temp\OnboardLogs" /stypes="app*4040*20161209*" /stext=" 22:.+((SYSTEM_STATE.+slice.+state.+changed )|(ment ac)|(multiple cpu faults)|(system.+state.+changed )|(\[timeout)|(PRM\|1\|D)|(kpr)|(kdp)|(\|lc)|(penalty))" /e /r /s</v>
      </c>
      <c r="AG190" s="1" t="str">
        <f t="shared" si="62"/>
        <v>NW</v>
      </c>
      <c r="AH190" s="92" t="str">
        <f t="shared" si="63"/>
        <v>"%USERPROFILE%\Documents\GitHub\eaglep3\Utilities\RefineRTDCRunTimes.py" --tripid 825-09 --locoid 4040 --swversion DE.1.0.8.0 --startMP 204:1041 --initTime 2016-12-09T15:17:17 --startdatetime 2016-12-09T15:21:41 --delay 2 --endMP 300:58948 --enddatetime 2016-12-09T15:34:33 --enforcementcount 0 &gt;&gt;C:\Users\stu\Documents\GitHub\eaglep3-reporting\EC\2016-12-09-refined-times.txt</v>
      </c>
      <c r="AI190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{"issue":{"subject":"","project_id":79,"tracker_id":40,"status_id":1,"priority_id":2,"assigned_to_id":23,"start_date":"2016-12-09","description":"","custom_fields":[{"id":1,"name":"Subdivision","value":"NW"},{"id":4,"name":"Milepost","value":"5.8948"},{"id":17,"name":"Train ID","value":"825-09"},{"id":16,"name":"Locomotive ID","value":"4040"},{"id":130,"name":"Impact","value":""},{"id":150,"name":"Time of Event (Mountain Time)","value":"15:34:33"},{"id":151,"name":"Denver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507</v>
      </c>
      <c r="B191" s="7">
        <v>4039</v>
      </c>
      <c r="C191" s="22" t="s">
        <v>206</v>
      </c>
      <c r="D191" s="22" t="s">
        <v>323</v>
      </c>
      <c r="E191" s="13">
        <v>42713.650682870371</v>
      </c>
      <c r="F191" s="13">
        <v>42713.652291666665</v>
      </c>
      <c r="G191" s="7">
        <v>1</v>
      </c>
      <c r="H191" s="22" t="s">
        <v>769</v>
      </c>
      <c r="I191" s="13">
        <v>42713.663819444446</v>
      </c>
      <c r="J191" s="7">
        <v>0</v>
      </c>
      <c r="K191" s="109" t="str">
        <f t="shared" si="53"/>
        <v>4039/4040</v>
      </c>
      <c r="L191" s="22" t="str">
        <f>VLOOKUP(A191,'Trips&amp;Operators'!$C$1:$G$99999,5,FALSE)</f>
        <v>HELVIE ADAM</v>
      </c>
      <c r="M191" s="6">
        <f t="shared" si="54"/>
        <v>1.152777778042946E-2</v>
      </c>
      <c r="N191" s="7">
        <f t="shared" si="70"/>
        <v>16.600000003818423</v>
      </c>
      <c r="O191" s="7"/>
      <c r="P191" s="7"/>
      <c r="Q191" s="23"/>
      <c r="R191" s="23"/>
      <c r="S191" s="35">
        <f t="shared" si="71"/>
        <v>1</v>
      </c>
      <c r="T191" s="50" t="str">
        <f t="shared" si="55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14:36:59-700',mode:absolute,to:'2016-12-09 16:55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1" s="52" t="str">
        <f t="shared" si="57"/>
        <v>N</v>
      </c>
      <c r="X191" s="177">
        <f t="shared" si="75"/>
        <v>1</v>
      </c>
      <c r="Y191" s="67">
        <f t="shared" si="74"/>
        <v>5.8630000000000004</v>
      </c>
      <c r="Z191" s="67">
        <f t="shared" si="73"/>
        <v>7.4499999999999997E-2</v>
      </c>
      <c r="AA191" s="67">
        <f t="shared" si="58"/>
        <v>5.7885000000000009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59"/>
        <v>0826-09</v>
      </c>
      <c r="AE191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191" s="88" t="str">
        <f t="shared" si="61"/>
        <v>"C:\Program Files (x86)\AstroGrep\AstroGrep.exe" /spath="%USERPROFILE%\AppData\Local\Temp\OnboardLogs" /stypes="app*4039*20161209*" /stext=" 22:.+((SYSTEM_STATE.+slice.+state.+changed )|(ment ac)|(multiple cpu faults)|(system.+state.+changed )|(\[timeout)|(PRM\|1\|D)|(kpr)|(kdp)|(\|lc)|(penalty))" /e /r /s</v>
      </c>
      <c r="AG191" s="1" t="str">
        <f t="shared" si="62"/>
        <v>NW</v>
      </c>
      <c r="AH191" s="92" t="str">
        <f t="shared" si="63"/>
        <v>"%USERPROFILE%\Documents\GitHub\eaglep3\Utilities\RefineRTDCRunTimes.py" --tripid 826-09 --locoid 4039 --swversion DE.1.0.8.0 --startMP 300:58630 --initTime 2016-12-09T15:36:59 --startdatetime 2016-12-09T15:39:18 --delay 1 --endMP 204:745 --enddatetime 2016-12-09T15:55:54 --enforcementcount 0 &gt;&gt;C:\Users\stu\Documents\GitHub\eaglep3-reporting\EC\2016-12-09-refined-times.txt</v>
      </c>
      <c r="AI191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{"issue":{"subject":"","project_id":79,"tracker_id":40,"status_id":1,"priority_id":2,"assigned_to_id":23,"start_date":"2016-12-09","description":"","custom_fields":[{"id":1,"name":"Subdivision","value":"NW"},{"id":4,"name":"Milepost","value":"0.0745"},{"id":17,"name":"Train ID","value":"826-09"},{"id":16,"name":"Locomotive ID","value":"4039"},{"id":130,"name":"Impact","value":""},{"id":150,"name":"Time of Event (Mountain Time)","value":"15:55:54"},{"id":151,"name":"Denver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626</v>
      </c>
      <c r="B192" s="7">
        <v>4044</v>
      </c>
      <c r="C192" s="22" t="s">
        <v>206</v>
      </c>
      <c r="D192" s="22" t="s">
        <v>786</v>
      </c>
      <c r="E192" s="13">
        <v>42713.650787037041</v>
      </c>
      <c r="F192" s="13">
        <v>42713.660578703704</v>
      </c>
      <c r="G192" s="7">
        <v>1</v>
      </c>
      <c r="H192" s="22" t="s">
        <v>780</v>
      </c>
      <c r="I192" s="13">
        <v>42713.66982638889</v>
      </c>
      <c r="J192" s="7">
        <v>0</v>
      </c>
      <c r="K192" s="109" t="str">
        <f t="shared" si="53"/>
        <v>4043/4044</v>
      </c>
      <c r="L192" s="22" t="str">
        <f>VLOOKUP(A192,'Trips&amp;Operators'!$C$1:$G$99999,5,FALSE)</f>
        <v>NEWELL JAMES</v>
      </c>
      <c r="M192" s="6">
        <f t="shared" si="54"/>
        <v>9.2476851859828457E-3</v>
      </c>
      <c r="N192" s="7">
        <f t="shared" si="70"/>
        <v>13.316666667815298</v>
      </c>
      <c r="O192" s="7"/>
      <c r="P192" s="7"/>
      <c r="Q192" s="23"/>
      <c r="R192" s="23"/>
      <c r="S192" s="35">
        <f t="shared" si="71"/>
        <v>1</v>
      </c>
      <c r="T192" s="50" t="str">
        <f t="shared" si="55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14:37:08-700',mode:absolute,to:'2016-12-09 17:04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2" s="52" t="str">
        <f t="shared" si="57"/>
        <v>N</v>
      </c>
      <c r="X192" s="177">
        <f t="shared" si="75"/>
        <v>1</v>
      </c>
      <c r="Y192" s="67">
        <f t="shared" si="74"/>
        <v>9.5799999999999996E-2</v>
      </c>
      <c r="Z192" s="67">
        <f t="shared" si="73"/>
        <v>5.8924000000000003</v>
      </c>
      <c r="AA192" s="67">
        <f t="shared" si="58"/>
        <v>5.7966000000000006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59"/>
        <v>0827-09</v>
      </c>
      <c r="AE192" s="91" t="str">
        <f t="shared" si="60"/>
        <v>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 &amp; aws s3 cp s3://rtdc.mdm.uploadarchive.raw/RTDC4044/ "%USERPROFILE%\AppData\Local\Temp\OnboardLogs"\RTDC4044\2016-12-10 --exclude "*" --recursive --include "*20161210*" &amp; "%USERPROFILE%\Documents\GitHub\mrs-test-scripts\Headless Mode &amp; Sideloading\WalkAndUnGZ.bat" "%USERPROFILE%\AppData\Local\Temp\OnboardLogs"\RTDC4044\2016-12-10</v>
      </c>
      <c r="AF192" s="88" t="str">
        <f t="shared" si="61"/>
        <v>"C:\Program Files (x86)\AstroGrep\AstroGrep.exe" /spath="%USERPROFILE%\AppData\Local\Temp\OnboardLogs" /stypes="app*4044*20161209*" /stext=" 23:.+((SYSTEM_STATE.+slice.+state.+changed )|(ment ac)|(multiple cpu faults)|(system.+state.+changed )|(\[timeout)|(PRM\|1\|D)|(kpr)|(kdp)|(\|lc)|(penalty))" /e /r /s</v>
      </c>
      <c r="AG192" s="1" t="str">
        <f t="shared" si="62"/>
        <v>NW</v>
      </c>
      <c r="AH192" s="92" t="str">
        <f t="shared" si="63"/>
        <v>"%USERPROFILE%\Documents\GitHub\eaglep3\Utilities\RefineRTDCRunTimes.py" --tripid 827-09 --locoid 4044 --swversion DE.1.0.8.0 --startMP 204:958 --initTime 2016-12-09T15:37:08 --startdatetime 2016-12-09T15:51:14 --delay 1 --endMP 300:58924 --enddatetime 2016-12-09T16:04:33 --enforcementcount 0 &gt;&gt;C:\Users\stu\Documents\GitHub\eaglep3-reporting\EC\2016-12-09-refined-times.txt</v>
      </c>
      <c r="AI192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{"issue":{"subject":"","project_id":79,"tracker_id":40,"status_id":1,"priority_id":2,"assigned_to_id":23,"start_date":"2016-12-09","description":"","custom_fields":[{"id":1,"name":"Subdivision","value":"NW"},{"id":4,"name":"Milepost","value":"5.8924"},{"id":17,"name":"Train ID","value":"827-09"},{"id":16,"name":"Locomotive ID","value":"4044"},{"id":130,"name":"Impact","value":""},{"id":150,"name":"Time of Event (Mountain Time)","value":"16:04:33"},{"id":151,"name":"Denver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7" t="s">
        <v>508</v>
      </c>
      <c r="B193" s="7">
        <v>4043</v>
      </c>
      <c r="C193" s="22" t="s">
        <v>206</v>
      </c>
      <c r="D193" s="22" t="s">
        <v>787</v>
      </c>
      <c r="E193" s="13">
        <v>42713.678159722222</v>
      </c>
      <c r="F193" s="13">
        <v>42713.679560185185</v>
      </c>
      <c r="G193" s="7">
        <v>1</v>
      </c>
      <c r="H193" s="22" t="s">
        <v>788</v>
      </c>
      <c r="I193" s="13">
        <v>42713.686365740738</v>
      </c>
      <c r="J193" s="7">
        <v>0</v>
      </c>
      <c r="K193" s="109" t="str">
        <f t="shared" si="53"/>
        <v>4043/4044</v>
      </c>
      <c r="L193" s="22" t="str">
        <f>VLOOKUP(A193,'Trips&amp;Operators'!$C$1:$G$99999,5,FALSE)</f>
        <v>NEWELL JAMES</v>
      </c>
      <c r="M193" s="6">
        <f t="shared" si="54"/>
        <v>6.805555553000886E-3</v>
      </c>
      <c r="N193" s="7"/>
      <c r="O193" s="7"/>
      <c r="P193" s="7">
        <f>24*60*SUM($M193:$M193)</f>
        <v>9.7999999963212758</v>
      </c>
      <c r="Q193" s="23"/>
      <c r="R193" s="23" t="s">
        <v>837</v>
      </c>
      <c r="S193" s="35">
        <f t="shared" si="71"/>
        <v>1</v>
      </c>
      <c r="T193" s="50" t="str">
        <f t="shared" si="55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15:16:33-700',mode:absolute,to:'2016-12-09 17:28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3" s="52" t="str">
        <f t="shared" si="57"/>
        <v>Y</v>
      </c>
      <c r="X193" s="177">
        <f t="shared" si="75"/>
        <v>1</v>
      </c>
      <c r="Y193" s="67">
        <f t="shared" si="74"/>
        <v>4.1859999999999999</v>
      </c>
      <c r="Z193" s="67">
        <f t="shared" si="73"/>
        <v>6.7699999999999996E-2</v>
      </c>
      <c r="AA193" s="67">
        <f t="shared" si="58"/>
        <v>4.1182999999999996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59"/>
        <v>0828-09</v>
      </c>
      <c r="AE193" s="91" t="str">
        <f t="shared" si="60"/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AF193" s="88" t="str">
        <f t="shared" si="61"/>
        <v>"C:\Program Files (x86)\AstroGrep\AstroGrep.exe" /spath="%USERPROFILE%\AppData\Local\Temp\OnboardLogs" /stypes="app*4043*20161209*" /stext=" 23:.+((SYSTEM_STATE.+slice.+state.+changed )|(ment ac)|(multiple cpu faults)|(system.+state.+changed )|(\[timeout)|(PRM\|1\|D)|(kpr)|(kdp)|(\|lc)|(penalty))" /e /r /s</v>
      </c>
      <c r="AG193" s="1" t="str">
        <f t="shared" si="62"/>
        <v>NW</v>
      </c>
      <c r="AH193" s="92" t="str">
        <f t="shared" si="63"/>
        <v>"%USERPROFILE%\Documents\GitHub\eaglep3\Utilities\RefineRTDCRunTimes.py" --tripid 828-09 --locoid 4043 --swversion DE.1.0.8.0 --startMP 300:41860 --initTime 2016-12-09T16:16:33 --startdatetime 2016-12-09T16:18:34 --delay 1 --endMP 204:677 --enddatetime 2016-12-09T16:28:22 --enforcementcount 0 &gt;&gt;C:\Users\stu\Documents\GitHub\eaglep3-reporting\EC\2016-12-09-refined-times.txt</v>
      </c>
      <c r="AI193" s="119" t="str">
        <f t="shared" si="64"/>
        <v>echo {"issue":{"subject":"Went active too close to signal","project_id":79,"tracker_id":40,"status_id":1,"priority_id":2,"assigned_to_id":23,"start_date":"2016-12-09","description":"","custom_fields":[{"id":1,"name":"Subdivision","value":"NW"},{"id":4,"name":"Milepost","value":"0.0677"},{"id":17,"name":"Train ID","value":"828-09"},{"id":16,"name":"Locomotive ID","value":"4043"},{"id":130,"name":"Impact","value":""},{"id":150,"name":"Time of Event (Mountain Time)","value":"16:28:22"},{"id":151,"name":"Denver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s="21" customFormat="1" x14ac:dyDescent="0.25">
      <c r="A194" s="37" t="s">
        <v>508</v>
      </c>
      <c r="B194" s="7">
        <v>4043</v>
      </c>
      <c r="C194" s="22" t="s">
        <v>206</v>
      </c>
      <c r="D194" s="22" t="s">
        <v>456</v>
      </c>
      <c r="E194" s="13">
        <v>42713.670752314814</v>
      </c>
      <c r="F194" s="13">
        <v>42713.679560185185</v>
      </c>
      <c r="G194" s="7">
        <v>1</v>
      </c>
      <c r="H194" s="22" t="s">
        <v>789</v>
      </c>
      <c r="I194" s="13">
        <v>42713.686365740738</v>
      </c>
      <c r="J194" s="7">
        <v>0</v>
      </c>
      <c r="K194" s="109" t="str">
        <f t="shared" si="53"/>
        <v>4043/4044</v>
      </c>
      <c r="L194" s="22" t="str">
        <f>VLOOKUP(A194,'Trips&amp;Operators'!$C$1:$G$99999,5,FALSE)</f>
        <v>NEWELL JAMES</v>
      </c>
      <c r="M194" s="6">
        <f t="shared" si="54"/>
        <v>6.805555553000886E-3</v>
      </c>
      <c r="N194" s="7"/>
      <c r="O194" s="7"/>
      <c r="P194" s="7"/>
      <c r="Q194" s="23"/>
      <c r="R194" s="23"/>
      <c r="S194" s="35"/>
      <c r="T194" s="50" t="str">
        <f t="shared" si="55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15:05:53-700',mode:absolute,to:'2016-12-09 17:28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4" s="52" t="str">
        <f t="shared" si="57"/>
        <v>Y</v>
      </c>
      <c r="X194" s="177">
        <f t="shared" si="75"/>
        <v>0</v>
      </c>
      <c r="Y194" s="67">
        <f t="shared" si="74"/>
        <v>5.8611000000000004</v>
      </c>
      <c r="Z194" s="67">
        <f t="shared" si="73"/>
        <v>5.7312000000000003</v>
      </c>
      <c r="AA194" s="67">
        <f t="shared" si="58"/>
        <v>0.12990000000000013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59"/>
        <v>0828-09</v>
      </c>
      <c r="AE194" s="91" t="str">
        <f t="shared" si="60"/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AF194" s="88" t="str">
        <f t="shared" si="61"/>
        <v>"C:\Program Files (x86)\AstroGrep\AstroGrep.exe" /spath="%USERPROFILE%\AppData\Local\Temp\OnboardLogs" /stypes="app*4043*20161209*" /stext=" 23:.+((SYSTEM_STATE.+slice.+state.+changed )|(ment ac)|(multiple cpu faults)|(system.+state.+changed )|(\[timeout)|(PRM\|1\|D)|(kpr)|(kdp)|(\|lc)|(penalty))" /e /r /s</v>
      </c>
      <c r="AG194" s="1" t="str">
        <f t="shared" si="62"/>
        <v>NW</v>
      </c>
      <c r="AH194" s="92" t="str">
        <f t="shared" si="63"/>
        <v>"%USERPROFILE%\Documents\GitHub\eaglep3\Utilities\RefineRTDCRunTimes.py" --tripid 828-09 --locoid 4043 --swversion DE.1.0.8.0 --startMP 300:58611 --initTime 2016-12-09T16:05:53 --startdatetime 2016-12-09T16:18:34 --delay 1 --endMP 300:57312 --enddatetime 2016-12-09T16:28:22 --enforcementcount 0 &gt;&gt;C:\Users\stu\Documents\GitHub\eaglep3-reporting\EC\2016-12-09-refined-times.txt</v>
      </c>
      <c r="AI194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{"issue":{"subject":"","project_id":79,"tracker_id":40,"status_id":1,"priority_id":2,"assigned_to_id":23,"start_date":"2016-12-09","description":"","custom_fields":[{"id":1,"name":"Subdivision","value":"NW"},{"id":4,"name":"Milepost","value":"5.7312"},{"id":17,"name":"Train ID","value":"828-09"},{"id":16,"name":"Locomotive ID","value":"4043"},{"id":130,"name":"Impact","value":""},{"id":150,"name":"Time of Event (Mountain Time)","value":"16:28:22"},{"id":151,"name":"Denver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631</v>
      </c>
      <c r="B195" s="7">
        <v>4040</v>
      </c>
      <c r="C195" s="22" t="s">
        <v>206</v>
      </c>
      <c r="D195" s="22" t="s">
        <v>790</v>
      </c>
      <c r="E195" s="13">
        <v>42713.676574074074</v>
      </c>
      <c r="F195" s="13">
        <v>42713.681423611109</v>
      </c>
      <c r="G195" s="7">
        <v>1</v>
      </c>
      <c r="H195" s="22" t="s">
        <v>453</v>
      </c>
      <c r="I195" s="13">
        <v>42713.69021990741</v>
      </c>
      <c r="J195" s="7">
        <v>0</v>
      </c>
      <c r="K195" s="109" t="str">
        <f t="shared" si="53"/>
        <v>4039/4040</v>
      </c>
      <c r="L195" s="22" t="str">
        <f>VLOOKUP(A195,'Trips&amp;Operators'!$C$1:$G$99999,5,FALSE)</f>
        <v>HELVIE ADAM</v>
      </c>
      <c r="M195" s="6">
        <f t="shared" si="54"/>
        <v>8.7962963007157668E-3</v>
      </c>
      <c r="N195" s="7">
        <f t="shared" ref="N195:N235" si="76">24*60*SUM($M195:$M195)</f>
        <v>12.666666673030704</v>
      </c>
      <c r="O195" s="7"/>
      <c r="P195" s="7"/>
      <c r="Q195" s="23"/>
      <c r="R195" s="23"/>
      <c r="S195" s="35">
        <f t="shared" ref="S195:S235" si="77">SUM(U195:U195)/IF(AG195="EC",12,1)</f>
        <v>1</v>
      </c>
      <c r="T195" s="50" t="str">
        <f t="shared" si="55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15:14:16-700',mode:absolute,to:'2016-12-09 17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5" s="52" t="str">
        <f t="shared" si="57"/>
        <v>N</v>
      </c>
      <c r="X195" s="177">
        <f t="shared" si="75"/>
        <v>1</v>
      </c>
      <c r="Y195" s="67">
        <f t="shared" si="74"/>
        <v>0.1042</v>
      </c>
      <c r="Z195" s="67">
        <f t="shared" si="73"/>
        <v>5.8952</v>
      </c>
      <c r="AA195" s="67">
        <f t="shared" si="58"/>
        <v>5.7910000000000004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59"/>
        <v>0829-09</v>
      </c>
      <c r="AE195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195" s="88" t="str">
        <f t="shared" si="61"/>
        <v>"C:\Program Files (x86)\AstroGrep\AstroGrep.exe" /spath="%USERPROFILE%\AppData\Local\Temp\OnboardLogs" /stypes="app*4040*20161209*" /stext=" 23:.+((SYSTEM_STATE.+slice.+state.+changed )|(ment ac)|(multiple cpu faults)|(system.+state.+changed )|(\[timeout)|(PRM\|1\|D)|(kpr)|(kdp)|(\|lc)|(penalty))" /e /r /s</v>
      </c>
      <c r="AG195" s="1" t="str">
        <f t="shared" si="62"/>
        <v>NW</v>
      </c>
      <c r="AH195" s="92" t="str">
        <f t="shared" si="63"/>
        <v>"%USERPROFILE%\Documents\GitHub\eaglep3\Utilities\RefineRTDCRunTimes.py" --tripid 829-09 --locoid 4040 --swversion DE.1.0.8.0 --startMP 204:1042 --initTime 2016-12-09T16:14:16 --startdatetime 2016-12-09T16:21:15 --delay 1 --endMP 300:58952 --enddatetime 2016-12-09T16:33:55 --enforcementcount 0 &gt;&gt;C:\Users\stu\Documents\GitHub\eaglep3-reporting\EC\2016-12-09-refined-times.txt</v>
      </c>
      <c r="AI195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{"issue":{"subject":"","project_id":79,"tracker_id":40,"status_id":1,"priority_id":2,"assigned_to_id":23,"start_date":"2016-12-09","description":"","custom_fields":[{"id":1,"name":"Subdivision","value":"NW"},{"id":4,"name":"Milepost","value":"5.8952"},{"id":17,"name":"Train ID","value":"829-09"},{"id":16,"name":"Locomotive ID","value":"4040"},{"id":130,"name":"Impact","value":""},{"id":150,"name":"Time of Event (Mountain Time)","value":"16:33:55"},{"id":151,"name":"Denver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634</v>
      </c>
      <c r="B196" s="7">
        <v>4039</v>
      </c>
      <c r="C196" s="22" t="s">
        <v>206</v>
      </c>
      <c r="D196" s="22" t="s">
        <v>389</v>
      </c>
      <c r="E196" s="13">
        <v>42713.690787037034</v>
      </c>
      <c r="F196" s="13">
        <v>42713.692083333335</v>
      </c>
      <c r="G196" s="7">
        <v>1</v>
      </c>
      <c r="H196" s="22" t="s">
        <v>415</v>
      </c>
      <c r="I196" s="13">
        <v>42713.704895833333</v>
      </c>
      <c r="J196" s="7">
        <v>0</v>
      </c>
      <c r="K196" s="109" t="str">
        <f t="shared" si="53"/>
        <v>4039/4040</v>
      </c>
      <c r="L196" s="22" t="str">
        <f>VLOOKUP(A196,'Trips&amp;Operators'!$C$1:$G$99999,5,FALSE)</f>
        <v>HELVIE ADAM</v>
      </c>
      <c r="M196" s="6">
        <f t="shared" si="54"/>
        <v>1.2812499997380655E-2</v>
      </c>
      <c r="N196" s="7">
        <f t="shared" si="76"/>
        <v>18.449999996228144</v>
      </c>
      <c r="O196" s="7"/>
      <c r="P196" s="7"/>
      <c r="Q196" s="23"/>
      <c r="R196" s="23"/>
      <c r="S196" s="35">
        <f t="shared" si="77"/>
        <v>1</v>
      </c>
      <c r="T196" s="50" t="str">
        <f t="shared" si="55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15:34:44-700',mode:absolute,to:'2016-12-09 17:55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6" s="52" t="str">
        <f t="shared" si="57"/>
        <v>N</v>
      </c>
      <c r="X196" s="177">
        <f t="shared" si="75"/>
        <v>1</v>
      </c>
      <c r="Y196" s="67">
        <f t="shared" si="74"/>
        <v>5.8616999999999999</v>
      </c>
      <c r="Z196" s="67">
        <f t="shared" si="73"/>
        <v>7.5200000000000003E-2</v>
      </c>
      <c r="AA196" s="67">
        <f t="shared" si="58"/>
        <v>5.7865000000000002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59"/>
        <v>0830-09</v>
      </c>
      <c r="AE196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196" s="88" t="str">
        <f t="shared" si="61"/>
        <v>"C:\Program Files (x86)\AstroGrep\AstroGrep.exe" /spath="%USERPROFILE%\AppData\Local\Temp\OnboardLogs" /stypes="app*4039*20161209*" /stext=" 23:.+((SYSTEM_STATE.+slice.+state.+changed )|(ment ac)|(multiple cpu faults)|(system.+state.+changed )|(\[timeout)|(PRM\|1\|D)|(kpr)|(kdp)|(\|lc)|(penalty))" /e /r /s</v>
      </c>
      <c r="AG196" s="1" t="str">
        <f t="shared" si="62"/>
        <v>NW</v>
      </c>
      <c r="AH196" s="92" t="str">
        <f t="shared" si="63"/>
        <v>"%USERPROFILE%\Documents\GitHub\eaglep3\Utilities\RefineRTDCRunTimes.py" --tripid 830-09 --locoid 4039 --swversion DE.1.0.8.0 --startMP 300:58617 --initTime 2016-12-09T16:34:44 --startdatetime 2016-12-09T16:36:36 --delay 1 --endMP 204:752 --enddatetime 2016-12-09T16:55:03 --enforcementcount 0 &gt;&gt;C:\Users\stu\Documents\GitHub\eaglep3-reporting\EC\2016-12-09-refined-times.txt</v>
      </c>
      <c r="AI196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{"issue":{"subject":"","project_id":79,"tracker_id":40,"status_id":1,"priority_id":2,"assigned_to_id":23,"start_date":"2016-12-09","description":"","custom_fields":[{"id":1,"name":"Subdivision","value":"NW"},{"id":4,"name":"Milepost","value":"0.0752"},{"id":17,"name":"Train ID","value":"830-09"},{"id":16,"name":"Locomotive ID","value":"4039"},{"id":130,"name":"Impact","value":""},{"id":150,"name":"Time of Event (Mountain Time)","value":"16:55:03"},{"id":151,"name":"Denver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7" t="s">
        <v>633</v>
      </c>
      <c r="B197" s="7">
        <v>4044</v>
      </c>
      <c r="C197" s="22" t="s">
        <v>206</v>
      </c>
      <c r="D197" s="22" t="s">
        <v>791</v>
      </c>
      <c r="E197" s="13">
        <v>42713.688032407408</v>
      </c>
      <c r="F197" s="13">
        <v>42713.702256944445</v>
      </c>
      <c r="G197" s="7">
        <v>1</v>
      </c>
      <c r="H197" s="22" t="s">
        <v>792</v>
      </c>
      <c r="I197" s="13">
        <v>42713.711643518516</v>
      </c>
      <c r="J197" s="7">
        <v>0</v>
      </c>
      <c r="K197" s="109" t="str">
        <f t="shared" si="53"/>
        <v>4043/4044</v>
      </c>
      <c r="L197" s="22" t="str">
        <f>VLOOKUP(A197,'Trips&amp;Operators'!$C$1:$G$99999,5,FALSE)</f>
        <v>NEWELL JAMES</v>
      </c>
      <c r="M197" s="6">
        <f t="shared" si="54"/>
        <v>9.3865740709588863E-3</v>
      </c>
      <c r="N197" s="7">
        <f t="shared" si="76"/>
        <v>13.516666662180796</v>
      </c>
      <c r="O197" s="7"/>
      <c r="P197" s="7"/>
      <c r="Q197" s="23"/>
      <c r="R197" s="23"/>
      <c r="S197" s="35">
        <f t="shared" si="77"/>
        <v>1</v>
      </c>
      <c r="T197" s="50" t="str">
        <f t="shared" si="55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15:30:46-700',mode:absolute,to:'2016-12-09 18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97" s="52" t="str">
        <f t="shared" si="57"/>
        <v>N</v>
      </c>
      <c r="X197" s="177">
        <f t="shared" si="75"/>
        <v>1</v>
      </c>
      <c r="Y197" s="67">
        <f t="shared" si="74"/>
        <v>9.7199999999999995E-2</v>
      </c>
      <c r="Z197" s="67">
        <f t="shared" si="73"/>
        <v>5.8920000000000003</v>
      </c>
      <c r="AA197" s="67">
        <f t="shared" si="58"/>
        <v>5.7948000000000004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59"/>
        <v>0831-09</v>
      </c>
      <c r="AE197" s="91" t="str">
        <f t="shared" si="60"/>
        <v>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 &amp; aws s3 cp s3://rtdc.mdm.uploadarchive.raw/RTDC4044/ "%USERPROFILE%\AppData\Local\Temp\OnboardLogs"\RTDC4044\2016-12-10 --exclude "*" --recursive --include "*20161210*" &amp; "%USERPROFILE%\Documents\GitHub\mrs-test-scripts\Headless Mode &amp; Sideloading\WalkAndUnGZ.bat" "%USERPROFILE%\AppData\Local\Temp\OnboardLogs"\RTDC4044\2016-12-10</v>
      </c>
      <c r="AF197" s="88" t="str">
        <f t="shared" si="61"/>
        <v>"C:\Program Files (x86)\AstroGrep\AstroGrep.exe" /spath="%USERPROFILE%\AppData\Local\Temp\OnboardLogs" /stypes="app*4044*20161210*" /stext=" 00:.+((SYSTEM_STATE.+slice.+state.+changed )|(ment ac)|(multiple cpu faults)|(system.+state.+changed )|(\[timeout)|(PRM\|1\|D)|(kpr)|(kdp)|(\|lc)|(penalty))" /e /r /s</v>
      </c>
      <c r="AG197" s="1" t="str">
        <f t="shared" si="62"/>
        <v>NW</v>
      </c>
      <c r="AH197" s="92" t="str">
        <f t="shared" si="63"/>
        <v>"%USERPROFILE%\Documents\GitHub\eaglep3\Utilities\RefineRTDCRunTimes.py" --tripid 831-09 --locoid 4044 --swversion DE.1.0.8.0 --startMP 204:972 --initTime 2016-12-09T16:30:46 --startdatetime 2016-12-09T16:51:15 --delay 1 --endMP 300:58920 --enddatetime 2016-12-09T17:04:46 --enforcementcount 0 &gt;&gt;C:\Users\stu\Documents\GitHub\eaglep3-reporting\EC\2016-12-09-refined-times.txt</v>
      </c>
      <c r="AI197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{"issue":{"subject":"","project_id":79,"tracker_id":40,"status_id":1,"priority_id":2,"assigned_to_id":23,"start_date":"2016-12-09","description":"","custom_fields":[{"id":1,"name":"Subdivision","value":"NW"},{"id":4,"name":"Milepost","value":"5.892"},{"id":17,"name":"Train ID","value":"831-09"},{"id":16,"name":"Locomotive ID","value":"4044"},{"id":130,"name":"Impact","value":""},{"id":150,"name":"Time of Event (Mountain Time)","value":"17:04:46"},{"id":151,"name":"Denver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638</v>
      </c>
      <c r="B198" s="7">
        <v>4043</v>
      </c>
      <c r="C198" s="22" t="s">
        <v>206</v>
      </c>
      <c r="D198" s="22" t="s">
        <v>781</v>
      </c>
      <c r="E198" s="13">
        <v>42713.712592592594</v>
      </c>
      <c r="F198" s="13">
        <v>42713.713796296295</v>
      </c>
      <c r="G198" s="7">
        <v>1</v>
      </c>
      <c r="H198" s="22" t="s">
        <v>387</v>
      </c>
      <c r="I198" s="13">
        <v>42713.725925925923</v>
      </c>
      <c r="J198" s="7">
        <v>0</v>
      </c>
      <c r="K198" s="109" t="str">
        <f t="shared" si="53"/>
        <v>4043/4044</v>
      </c>
      <c r="L198" s="22" t="str">
        <f>VLOOKUP(A198,'Trips&amp;Operators'!$C$1:$G$99999,5,FALSE)</f>
        <v>NEWELL JAMES</v>
      </c>
      <c r="M198" s="6">
        <f t="shared" si="54"/>
        <v>1.2129629627452232E-2</v>
      </c>
      <c r="N198" s="7">
        <f t="shared" si="76"/>
        <v>17.466666663531214</v>
      </c>
      <c r="O198" s="7"/>
      <c r="P198" s="7"/>
      <c r="Q198" s="23"/>
      <c r="R198" s="23"/>
      <c r="S198" s="35">
        <f t="shared" si="77"/>
        <v>1</v>
      </c>
      <c r="T198" s="50" t="str">
        <f t="shared" si="55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16:06:08-700',mode:absolute,to:'2016-12-09 18:25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98" s="52" t="str">
        <f t="shared" si="57"/>
        <v>N</v>
      </c>
      <c r="X198" s="177">
        <f t="shared" si="75"/>
        <v>1</v>
      </c>
      <c r="Y198" s="67">
        <f t="shared" si="74"/>
        <v>5.8608000000000002</v>
      </c>
      <c r="Z198" s="67">
        <f t="shared" si="73"/>
        <v>6.7299999999999999E-2</v>
      </c>
      <c r="AA198" s="67">
        <f t="shared" si="58"/>
        <v>5.7934999999999999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59"/>
        <v>0832-09</v>
      </c>
      <c r="AE198" s="91" t="str">
        <f t="shared" si="60"/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AF198" s="88" t="str">
        <f t="shared" si="61"/>
        <v>"C:\Program Files (x86)\AstroGrep\AstroGrep.exe" /spath="%USERPROFILE%\AppData\Local\Temp\OnboardLogs" /stypes="app*4043*20161210*" /stext=" 00:.+((SYSTEM_STATE.+slice.+state.+changed )|(ment ac)|(multiple cpu faults)|(system.+state.+changed )|(\[timeout)|(PRM\|1\|D)|(kpr)|(kdp)|(\|lc)|(penalty))" /e /r /s</v>
      </c>
      <c r="AG198" s="1" t="str">
        <f t="shared" si="62"/>
        <v>NW</v>
      </c>
      <c r="AH198" s="92" t="str">
        <f t="shared" si="63"/>
        <v>"%USERPROFILE%\Documents\GitHub\eaglep3\Utilities\RefineRTDCRunTimes.py" --tripid 832-09 --locoid 4043 --swversion DE.1.0.8.0 --startMP 300:58608 --initTime 2016-12-09T17:06:08 --startdatetime 2016-12-09T17:07:52 --delay 1 --endMP 204:673 --enddatetime 2016-12-09T17:25:20 --enforcementcount 0 &gt;&gt;C:\Users\stu\Documents\GitHub\eaglep3-reporting\EC\2016-12-09-refined-times.txt</v>
      </c>
      <c r="AI198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{"issue":{"subject":"","project_id":79,"tracker_id":40,"status_id":1,"priority_id":2,"assigned_to_id":23,"start_date":"2016-12-09","description":"","custom_fields":[{"id":1,"name":"Subdivision","value":"NW"},{"id":4,"name":"Milepost","value":"0.0673"},{"id":17,"name":"Train ID","value":"832-09"},{"id":16,"name":"Locomotive ID","value":"4043"},{"id":130,"name":"Impact","value":""},{"id":150,"name":"Time of Event (Mountain Time)","value":"17:25:20"},{"id":151,"name":"Denver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7" t="s">
        <v>642</v>
      </c>
      <c r="B199" s="7">
        <v>4040</v>
      </c>
      <c r="C199" s="22" t="s">
        <v>206</v>
      </c>
      <c r="D199" s="22" t="s">
        <v>774</v>
      </c>
      <c r="E199" s="13">
        <v>42713.719456018516</v>
      </c>
      <c r="F199" s="13">
        <v>42713.723402777781</v>
      </c>
      <c r="G199" s="7">
        <v>1</v>
      </c>
      <c r="H199" s="22" t="s">
        <v>345</v>
      </c>
      <c r="I199" s="13">
        <v>42713.732303240744</v>
      </c>
      <c r="J199" s="7">
        <v>0</v>
      </c>
      <c r="K199" s="109" t="str">
        <f t="shared" si="53"/>
        <v>4039/4040</v>
      </c>
      <c r="L199" s="22" t="str">
        <f>VLOOKUP(A199,'Trips&amp;Operators'!$C$1:$G$99999,5,FALSE)</f>
        <v>HELVIE ADAM</v>
      </c>
      <c r="M199" s="6">
        <f t="shared" si="54"/>
        <v>8.9004629626288079E-3</v>
      </c>
      <c r="N199" s="7">
        <f t="shared" si="76"/>
        <v>12.816666666185483</v>
      </c>
      <c r="O199" s="7"/>
      <c r="P199" s="7"/>
      <c r="Q199" s="23"/>
      <c r="R199" s="23"/>
      <c r="S199" s="35">
        <f t="shared" si="77"/>
        <v>1</v>
      </c>
      <c r="T199" s="50" t="str">
        <f t="shared" si="55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16:16:01-700',mode:absolute,to:'2016-12-09 18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9" s="52" t="str">
        <f t="shared" si="57"/>
        <v>N</v>
      </c>
      <c r="X199" s="177">
        <f t="shared" si="75"/>
        <v>1</v>
      </c>
      <c r="Y199" s="67">
        <f t="shared" si="74"/>
        <v>0.10390000000000001</v>
      </c>
      <c r="Z199" s="67">
        <f t="shared" si="73"/>
        <v>5.8945999999999996</v>
      </c>
      <c r="AA199" s="67">
        <f t="shared" si="58"/>
        <v>5.7906999999999993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59"/>
        <v>0833-09</v>
      </c>
      <c r="AE199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199" s="88" t="str">
        <f t="shared" si="61"/>
        <v>"C:\Program Files (x86)\AstroGrep\AstroGrep.exe" /spath="%USERPROFILE%\AppData\Local\Temp\OnboardLogs" /stypes="app*4040*20161210*" /stext=" 00:.+((SYSTEM_STATE.+slice.+state.+changed )|(ment ac)|(multiple cpu faults)|(system.+state.+changed )|(\[timeout)|(PRM\|1\|D)|(kpr)|(kdp)|(\|lc)|(penalty))" /e /r /s</v>
      </c>
      <c r="AG199" s="1" t="str">
        <f t="shared" si="62"/>
        <v>NW</v>
      </c>
      <c r="AH199" s="92" t="str">
        <f t="shared" si="63"/>
        <v>"%USERPROFILE%\Documents\GitHub\eaglep3\Utilities\RefineRTDCRunTimes.py" --tripid 833-09 --locoid 4040 --swversion DE.1.0.8.0 --startMP 204:1039 --initTime 2016-12-09T17:16:01 --startdatetime 2016-12-09T17:21:42 --delay 1 --endMP 300:58946 --enddatetime 2016-12-09T17:34:31 --enforcementcount 0 &gt;&gt;C:\Users\stu\Documents\GitHub\eaglep3-reporting\EC\2016-12-09-refined-times.txt</v>
      </c>
      <c r="AI199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{"issue":{"subject":"","project_id":79,"tracker_id":40,"status_id":1,"priority_id":2,"assigned_to_id":23,"start_date":"2016-12-09","description":"","custom_fields":[{"id":1,"name":"Subdivision","value":"NW"},{"id":4,"name":"Milepost","value":"5.8946"},{"id":17,"name":"Train ID","value":"833-09"},{"id":16,"name":"Locomotive ID","value":"4040"},{"id":130,"name":"Impact","value":""},{"id":150,"name":"Time of Event (Mountain Time)","value":"17:34:31"},{"id":151,"name":"Denver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646</v>
      </c>
      <c r="B200" s="7">
        <v>4039</v>
      </c>
      <c r="C200" s="22" t="s">
        <v>206</v>
      </c>
      <c r="D200" s="22" t="s">
        <v>768</v>
      </c>
      <c r="E200" s="13">
        <v>42713.733263888891</v>
      </c>
      <c r="F200" s="13">
        <v>42713.734733796293</v>
      </c>
      <c r="G200" s="7">
        <v>1</v>
      </c>
      <c r="H200" s="22" t="s">
        <v>784</v>
      </c>
      <c r="I200" s="13">
        <v>42713.746886574074</v>
      </c>
      <c r="J200" s="7">
        <v>0</v>
      </c>
      <c r="K200" s="109" t="str">
        <f t="shared" si="53"/>
        <v>4039/4040</v>
      </c>
      <c r="L200" s="22" t="str">
        <f>VLOOKUP(A200,'Trips&amp;Operators'!$C$1:$G$99999,5,FALSE)</f>
        <v>HELVIE ADAM</v>
      </c>
      <c r="M200" s="6">
        <f t="shared" si="54"/>
        <v>1.2152777781011537E-2</v>
      </c>
      <c r="N200" s="7">
        <f t="shared" si="76"/>
        <v>17.500000004656613</v>
      </c>
      <c r="O200" s="7"/>
      <c r="P200" s="7"/>
      <c r="Q200" s="23"/>
      <c r="R200" s="23"/>
      <c r="S200" s="35">
        <f t="shared" si="77"/>
        <v>1</v>
      </c>
      <c r="T200" s="50" t="str">
        <f t="shared" si="55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16:35:54-700',mode:absolute,to:'2016-12-09 18:55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0" s="52" t="str">
        <f t="shared" si="57"/>
        <v>N</v>
      </c>
      <c r="X200" s="177">
        <f t="shared" si="75"/>
        <v>1</v>
      </c>
      <c r="Y200" s="67">
        <f t="shared" si="74"/>
        <v>5.8648999999999996</v>
      </c>
      <c r="Z200" s="67">
        <f t="shared" si="73"/>
        <v>7.5499999999999998E-2</v>
      </c>
      <c r="AA200" s="67">
        <f t="shared" si="58"/>
        <v>5.7893999999999997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59"/>
        <v>0834-09</v>
      </c>
      <c r="AE200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200" s="88" t="str">
        <f t="shared" si="61"/>
        <v>"C:\Program Files (x86)\AstroGrep\AstroGrep.exe" /spath="%USERPROFILE%\AppData\Local\Temp\OnboardLogs" /stypes="app*4039*20161210*" /stext=" 00:.+((SYSTEM_STATE.+slice.+state.+changed )|(ment ac)|(multiple cpu faults)|(system.+state.+changed )|(\[timeout)|(PRM\|1\|D)|(kpr)|(kdp)|(\|lc)|(penalty))" /e /r /s</v>
      </c>
      <c r="AG200" s="1" t="str">
        <f t="shared" si="62"/>
        <v>NW</v>
      </c>
      <c r="AH200" s="92" t="str">
        <f t="shared" si="63"/>
        <v>"%USERPROFILE%\Documents\GitHub\eaglep3\Utilities\RefineRTDCRunTimes.py" --tripid 834-09 --locoid 4039 --swversion DE.1.0.8.0 --startMP 300:58649 --initTime 2016-12-09T17:35:54 --startdatetime 2016-12-09T17:38:01 --delay 1 --endMP 204:755 --enddatetime 2016-12-09T17:55:31 --enforcementcount 0 &gt;&gt;C:\Users\stu\Documents\GitHub\eaglep3-reporting\EC\2016-12-09-refined-times.txt</v>
      </c>
      <c r="AI200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{"issue":{"subject":"","project_id":79,"tracker_id":40,"status_id":1,"priority_id":2,"assigned_to_id":23,"start_date":"2016-12-09","description":"","custom_fields":[{"id":1,"name":"Subdivision","value":"NW"},{"id":4,"name":"Milepost","value":"0.0755"},{"id":17,"name":"Train ID","value":"834-09"},{"id":16,"name":"Locomotive ID","value":"4039"},{"id":130,"name":"Impact","value":""},{"id":150,"name":"Time of Event (Mountain Time)","value":"17:55:31"},{"id":151,"name":"Denver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644</v>
      </c>
      <c r="B201" s="7">
        <v>4044</v>
      </c>
      <c r="C201" s="22" t="s">
        <v>206</v>
      </c>
      <c r="D201" s="22" t="s">
        <v>793</v>
      </c>
      <c r="E201" s="13">
        <v>42713.727175925924</v>
      </c>
      <c r="F201" s="13">
        <v>42713.743900462963</v>
      </c>
      <c r="G201" s="7">
        <v>1</v>
      </c>
      <c r="H201" s="22" t="s">
        <v>792</v>
      </c>
      <c r="I201" s="13">
        <v>42713.753460648149</v>
      </c>
      <c r="J201" s="7">
        <v>0</v>
      </c>
      <c r="K201" s="109" t="str">
        <f t="shared" si="53"/>
        <v>4043/4044</v>
      </c>
      <c r="L201" s="22" t="str">
        <f>VLOOKUP(A201,'Trips&amp;Operators'!$C$1:$G$99999,5,FALSE)</f>
        <v>NEWELL JAMES</v>
      </c>
      <c r="M201" s="6">
        <f t="shared" si="54"/>
        <v>9.560185186273884E-3</v>
      </c>
      <c r="N201" s="7">
        <f t="shared" si="76"/>
        <v>13.766666668234393</v>
      </c>
      <c r="O201" s="7"/>
      <c r="P201" s="7"/>
      <c r="Q201" s="23"/>
      <c r="R201" s="23"/>
      <c r="S201" s="35">
        <f t="shared" si="77"/>
        <v>1</v>
      </c>
      <c r="T201" s="50" t="str">
        <f t="shared" si="55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16:27:08-700',mode:absolute,to:'2016-12-09 19:04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1" s="52" t="str">
        <f t="shared" si="57"/>
        <v>N</v>
      </c>
      <c r="X201" s="177">
        <f t="shared" si="75"/>
        <v>1</v>
      </c>
      <c r="Y201" s="67">
        <f t="shared" si="74"/>
        <v>9.69E-2</v>
      </c>
      <c r="Z201" s="67">
        <f t="shared" si="73"/>
        <v>5.8920000000000003</v>
      </c>
      <c r="AA201" s="67">
        <f t="shared" si="58"/>
        <v>5.7951000000000006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59"/>
        <v>0835-09</v>
      </c>
      <c r="AE201" s="91" t="str">
        <f t="shared" si="60"/>
        <v>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 &amp; aws s3 cp s3://rtdc.mdm.uploadarchive.raw/RTDC4044/ "%USERPROFILE%\AppData\Local\Temp\OnboardLogs"\RTDC4044\2016-12-10 --exclude "*" --recursive --include "*20161210*" &amp; "%USERPROFILE%\Documents\GitHub\mrs-test-scripts\Headless Mode &amp; Sideloading\WalkAndUnGZ.bat" "%USERPROFILE%\AppData\Local\Temp\OnboardLogs"\RTDC4044\2016-12-10</v>
      </c>
      <c r="AF201" s="88" t="str">
        <f t="shared" si="61"/>
        <v>"C:\Program Files (x86)\AstroGrep\AstroGrep.exe" /spath="%USERPROFILE%\AppData\Local\Temp\OnboardLogs" /stypes="app*4044*20161210*" /stext=" 01:.+((SYSTEM_STATE.+slice.+state.+changed )|(ment ac)|(multiple cpu faults)|(system.+state.+changed )|(\[timeout)|(PRM\|1\|D)|(kpr)|(kdp)|(\|lc)|(penalty))" /e /r /s</v>
      </c>
      <c r="AG201" s="1" t="str">
        <f t="shared" si="62"/>
        <v>NW</v>
      </c>
      <c r="AH201" s="92" t="str">
        <f t="shared" si="63"/>
        <v>"%USERPROFILE%\Documents\GitHub\eaglep3\Utilities\RefineRTDCRunTimes.py" --tripid 835-09 --locoid 4044 --swversion DE.1.0.8.0 --startMP 204:969 --initTime 2016-12-09T17:27:08 --startdatetime 2016-12-09T17:51:13 --delay 1 --endMP 300:58920 --enddatetime 2016-12-09T18:04:59 --enforcementcount 0 &gt;&gt;C:\Users\stu\Documents\GitHub\eaglep3-reporting\EC\2016-12-09-refined-times.txt</v>
      </c>
      <c r="AI201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{"issue":{"subject":"","project_id":79,"tracker_id":40,"status_id":1,"priority_id":2,"assigned_to_id":23,"start_date":"2016-12-09","description":"","custom_fields":[{"id":1,"name":"Subdivision","value":"NW"},{"id":4,"name":"Milepost","value":"5.892"},{"id":17,"name":"Train ID","value":"835-09"},{"id":16,"name":"Locomotive ID","value":"4044"},{"id":130,"name":"Impact","value":""},{"id":150,"name":"Time of Event (Mountain Time)","value":"18:04:59"},{"id":151,"name":"Denver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s="21" customFormat="1" x14ac:dyDescent="0.25">
      <c r="A202" s="37" t="s">
        <v>650</v>
      </c>
      <c r="B202" s="7">
        <v>4043</v>
      </c>
      <c r="C202" s="22" t="s">
        <v>206</v>
      </c>
      <c r="D202" s="22" t="s">
        <v>794</v>
      </c>
      <c r="E202" s="13">
        <v>42713.754317129627</v>
      </c>
      <c r="F202" s="13">
        <v>42713.755659722221</v>
      </c>
      <c r="G202" s="7">
        <v>1</v>
      </c>
      <c r="H202" s="22" t="s">
        <v>342</v>
      </c>
      <c r="I202" s="13">
        <v>42713.768750000003</v>
      </c>
      <c r="J202" s="7">
        <v>0</v>
      </c>
      <c r="K202" s="109" t="str">
        <f t="shared" si="53"/>
        <v>4043/4044</v>
      </c>
      <c r="L202" s="22" t="str">
        <f>VLOOKUP(A202,'Trips&amp;Operators'!$C$1:$G$99999,5,FALSE)</f>
        <v>NEWELL JAMES</v>
      </c>
      <c r="M202" s="6">
        <f t="shared" si="54"/>
        <v>1.3090277781884652E-2</v>
      </c>
      <c r="N202" s="7">
        <f t="shared" si="76"/>
        <v>18.850000005913898</v>
      </c>
      <c r="O202" s="7"/>
      <c r="P202" s="7"/>
      <c r="Q202" s="23"/>
      <c r="R202" s="23"/>
      <c r="S202" s="35">
        <f t="shared" si="77"/>
        <v>1</v>
      </c>
      <c r="T202" s="50" t="str">
        <f t="shared" si="55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17:06:13-700',mode:absolute,to:'2016-12-09 19:27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2" s="52" t="str">
        <f t="shared" si="57"/>
        <v>N</v>
      </c>
      <c r="X202" s="177">
        <f t="shared" si="75"/>
        <v>1</v>
      </c>
      <c r="Y202" s="67">
        <f t="shared" si="74"/>
        <v>5.8597999999999999</v>
      </c>
      <c r="Z202" s="67">
        <f t="shared" si="73"/>
        <v>6.9199999999999998E-2</v>
      </c>
      <c r="AA202" s="67">
        <f t="shared" si="58"/>
        <v>5.7905999999999995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59"/>
        <v>0836-09</v>
      </c>
      <c r="AE202" s="91" t="str">
        <f t="shared" si="60"/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AF202" s="88" t="str">
        <f t="shared" si="61"/>
        <v>"C:\Program Files (x86)\AstroGrep\AstroGrep.exe" /spath="%USERPROFILE%\AppData\Local\Temp\OnboardLogs" /stypes="app*4043*20161210*" /stext=" 01:.+((SYSTEM_STATE.+slice.+state.+changed )|(ment ac)|(multiple cpu faults)|(system.+state.+changed )|(\[timeout)|(PRM\|1\|D)|(kpr)|(kdp)|(\|lc)|(penalty))" /e /r /s</v>
      </c>
      <c r="AG202" s="1" t="str">
        <f t="shared" si="62"/>
        <v>NW</v>
      </c>
      <c r="AH202" s="92" t="str">
        <f t="shared" si="63"/>
        <v>"%USERPROFILE%\Documents\GitHub\eaglep3\Utilities\RefineRTDCRunTimes.py" --tripid 836-09 --locoid 4043 --swversion DE.1.0.8.0 --startMP 300:58598 --initTime 2016-12-09T18:06:13 --startdatetime 2016-12-09T18:08:09 --delay 1 --endMP 204:692 --enddatetime 2016-12-09T18:27:00 --enforcementcount 0 &gt;&gt;C:\Users\stu\Documents\GitHub\eaglep3-reporting\EC\2016-12-09-refined-times.txt</v>
      </c>
      <c r="AI202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{"issue":{"subject":"","project_id":79,"tracker_id":40,"status_id":1,"priority_id":2,"assigned_to_id":23,"start_date":"2016-12-09","description":"","custom_fields":[{"id":1,"name":"Subdivision","value":"NW"},{"id":4,"name":"Milepost","value":"0.0692"},{"id":17,"name":"Train ID","value":"836-09"},{"id":16,"name":"Locomotive ID","value":"4043"},{"id":130,"name":"Impact","value":""},{"id":150,"name":"Time of Event (Mountain Time)","value":"18:27:00"},{"id":151,"name":"Denver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652</v>
      </c>
      <c r="B203" s="7">
        <v>4040</v>
      </c>
      <c r="C203" s="22" t="s">
        <v>206</v>
      </c>
      <c r="D203" s="22" t="s">
        <v>790</v>
      </c>
      <c r="E203" s="13">
        <v>42713.761886574073</v>
      </c>
      <c r="F203" s="13">
        <v>42713.765335648146</v>
      </c>
      <c r="G203" s="7">
        <v>1</v>
      </c>
      <c r="H203" s="22" t="s">
        <v>388</v>
      </c>
      <c r="I203" s="13">
        <v>42713.774351851855</v>
      </c>
      <c r="J203" s="7">
        <v>0</v>
      </c>
      <c r="K203" s="109" t="str">
        <f t="shared" si="53"/>
        <v>4039/4040</v>
      </c>
      <c r="L203" s="22" t="str">
        <f>VLOOKUP(A203,'Trips&amp;Operators'!$C$1:$G$99999,5,FALSE)</f>
        <v>HELVIE ADAM</v>
      </c>
      <c r="M203" s="6">
        <f t="shared" si="54"/>
        <v>9.0162037085974589E-3</v>
      </c>
      <c r="N203" s="7">
        <f t="shared" si="76"/>
        <v>12.983333340380341</v>
      </c>
      <c r="O203" s="7"/>
      <c r="P203" s="7"/>
      <c r="Q203" s="23"/>
      <c r="R203" s="23"/>
      <c r="S203" s="35">
        <f t="shared" si="77"/>
        <v>1</v>
      </c>
      <c r="T203" s="50" t="str">
        <f t="shared" si="55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17:17:07-700',mode:absolute,to:'2016-12-09 19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3" s="52" t="str">
        <f t="shared" si="57"/>
        <v>N</v>
      </c>
      <c r="X203" s="177">
        <f t="shared" si="75"/>
        <v>1</v>
      </c>
      <c r="Y203" s="67">
        <f t="shared" si="74"/>
        <v>0.1042</v>
      </c>
      <c r="Z203" s="67">
        <f t="shared" si="73"/>
        <v>5.8939000000000004</v>
      </c>
      <c r="AA203" s="67">
        <f t="shared" si="58"/>
        <v>5.7897000000000007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59"/>
        <v>0837-09</v>
      </c>
      <c r="AE203" s="91" t="str">
        <f t="shared" si="60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203" s="88" t="str">
        <f t="shared" si="61"/>
        <v>"C:\Program Files (x86)\AstroGrep\AstroGrep.exe" /spath="%USERPROFILE%\AppData\Local\Temp\OnboardLogs" /stypes="app*4040*20161210*" /stext=" 01:.+((SYSTEM_STATE.+slice.+state.+changed )|(ment ac)|(multiple cpu faults)|(system.+state.+changed )|(\[timeout)|(PRM\|1\|D)|(kpr)|(kdp)|(\|lc)|(penalty))" /e /r /s</v>
      </c>
      <c r="AG203" s="1" t="str">
        <f t="shared" si="62"/>
        <v>NW</v>
      </c>
      <c r="AH203" s="92" t="str">
        <f t="shared" si="63"/>
        <v>"%USERPROFILE%\Documents\GitHub\eaglep3\Utilities\RefineRTDCRunTimes.py" --tripid 837-09 --locoid 4040 --swversion DE.1.0.8.0 --startMP 204:1042 --initTime 2016-12-09T18:17:07 --startdatetime 2016-12-09T18:22:05 --delay 1 --endMP 300:58939 --enddatetime 2016-12-09T18:35:04 --enforcementcount 0 &gt;&gt;C:\Users\stu\Documents\GitHub\eaglep3-reporting\EC\2016-12-09-refined-times.txt</v>
      </c>
      <c r="AI203" s="119" t="str">
        <f t="shared" si="64"/>
        <v>echo {"issue":{"subject":"","project_id":79,"tracker_id":40,"status_id":1,"priority_id":2,"assigned_to_id":23,"start_date":"2016-12-09","description":"","custom_fields":[{"id":1,"name":"Subdivision","value":"NW"},{"id":4,"name":"Milepost","value":"5.8939"},{"id":17,"name":"Train ID","value":"837-09"},{"id":16,"name":"Locomotive ID","value":"4040"},{"id":130,"name":"Impact","value":""},{"id":150,"name":"Time of Event (Mountain Time)","value":"18:35:04"},{"id":151,"name":"Denver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656</v>
      </c>
      <c r="B204" s="7">
        <v>4039</v>
      </c>
      <c r="C204" s="22" t="s">
        <v>206</v>
      </c>
      <c r="D204" s="22" t="s">
        <v>389</v>
      </c>
      <c r="E204" s="13">
        <v>42713.775092592594</v>
      </c>
      <c r="F204" s="13">
        <v>42713.776273148149</v>
      </c>
      <c r="G204" s="7">
        <v>1</v>
      </c>
      <c r="H204" s="22" t="s">
        <v>795</v>
      </c>
      <c r="I204" s="13">
        <v>42713.788668981484</v>
      </c>
      <c r="J204" s="7">
        <v>0</v>
      </c>
      <c r="K204" s="109" t="str">
        <f t="shared" si="53"/>
        <v>4039/4040</v>
      </c>
      <c r="L204" s="22" t="str">
        <f>VLOOKUP(A204,'Trips&amp;Operators'!$C$1:$G$99999,5,FALSE)</f>
        <v>HELVIE ADAM</v>
      </c>
      <c r="M204" s="6">
        <f t="shared" si="54"/>
        <v>1.2395833335176576E-2</v>
      </c>
      <c r="N204" s="7">
        <f t="shared" si="76"/>
        <v>17.850000002654269</v>
      </c>
      <c r="O204" s="7"/>
      <c r="P204" s="7"/>
      <c r="Q204" s="23"/>
      <c r="R204" s="23"/>
      <c r="S204" s="35">
        <f t="shared" si="77"/>
        <v>1</v>
      </c>
      <c r="T204" s="50" t="str">
        <f t="shared" si="55"/>
        <v>Southbound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https://search-rtdc-monitor-bjffxe2xuh6vdkpspy63sjmuny.us-east-1.es.amazonaws.com/_plugin/kibana/#/discover/Steve-Slow-Train-Analysis-(2080s-and-2083s)?_g=(refreshInterval:(display:Off,section:0,value:0),time:(from:'2016-12-09 17:36:08-700',mode:absolute,to:'2016-12-09 19:55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4" s="52" t="str">
        <f t="shared" si="57"/>
        <v>N</v>
      </c>
      <c r="X204" s="177">
        <f t="shared" si="75"/>
        <v>1</v>
      </c>
      <c r="Y204" s="67">
        <f t="shared" si="74"/>
        <v>5.8616999999999999</v>
      </c>
      <c r="Z204" s="67">
        <f t="shared" si="73"/>
        <v>7.0999999999999994E-2</v>
      </c>
      <c r="AA204" s="67">
        <f t="shared" si="58"/>
        <v>5.7907000000000002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59"/>
        <v>0838-09</v>
      </c>
      <c r="AE204" s="91" t="str">
        <f t="shared" si="60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204" s="88" t="str">
        <f t="shared" si="61"/>
        <v>"C:\Program Files (x86)\AstroGrep\AstroGrep.exe" /spath="%USERPROFILE%\AppData\Local\Temp\OnboardLogs" /stypes="app*4039*20161210*" /stext=" 01:.+((SYSTEM_STATE.+slice.+state.+changed )|(ment ac)|(multiple cpu faults)|(system.+state.+changed )|(\[timeout)|(PRM\|1\|D)|(kpr)|(kdp)|(\|lc)|(penalty))" /e /r /s</v>
      </c>
      <c r="AG204" s="1" t="str">
        <f t="shared" si="62"/>
        <v>NW</v>
      </c>
      <c r="AH204" s="92" t="str">
        <f t="shared" ref="AH204:AH235" si="78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838-09 --locoid 4039 --swversion DE.1.0.8.0 --startMP 300:58617 --initTime 2016-12-09T18:36:08 --startdatetime 2016-12-09T18:37:50 --delay 1 --endMP 204:710 --enddatetime 2016-12-09T18:55:41 --enforcementcount 0 &gt;&gt;C:\Users\stu\Documents\GitHub\eaglep3-reporting\EC\2016-12-09-refined-times.txt</v>
      </c>
      <c r="AI204" s="119" t="str">
        <f t="shared" ref="AI204:AI235" si="79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{"issue":{"subject":"","project_id":79,"tracker_id":40,"status_id":1,"priority_id":2,"assigned_to_id":23,"start_date":"2016-12-09","description":"","custom_fields":[{"id":1,"name":"Subdivision","value":"NW"},{"id":4,"name":"Milepost","value":"0.071"},{"id":17,"name":"Train ID","value":"838-09"},{"id":16,"name":"Locomotive ID","value":"4039"},{"id":130,"name":"Impact","value":""},{"id":150,"name":"Time of Event (Mountain Time)","value":"18:55:41"},{"id":151,"name":"Denver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658</v>
      </c>
      <c r="B205" s="7">
        <v>4044</v>
      </c>
      <c r="C205" s="22" t="s">
        <v>206</v>
      </c>
      <c r="D205" s="22" t="s">
        <v>793</v>
      </c>
      <c r="E205" s="13">
        <v>42713.780046296299</v>
      </c>
      <c r="F205" s="13">
        <v>42713.785590277781</v>
      </c>
      <c r="G205" s="7">
        <v>1</v>
      </c>
      <c r="H205" s="22" t="s">
        <v>783</v>
      </c>
      <c r="I205" s="13">
        <v>42713.794849537036</v>
      </c>
      <c r="J205" s="7">
        <v>0</v>
      </c>
      <c r="K205" s="109" t="str">
        <f t="shared" ref="K205:K235" si="80">IF(ISEVEN(B205),(B205-1)&amp;"/"&amp;B205,B205&amp;"/"&amp;(B205+1))</f>
        <v>4043/4044</v>
      </c>
      <c r="L205" s="22" t="str">
        <f>VLOOKUP(A205,'Trips&amp;Operators'!$C$1:$G$99999,5,FALSE)</f>
        <v>NEWELL JAMES</v>
      </c>
      <c r="M205" s="6">
        <f t="shared" ref="M205:M235" si="81">I205-F205</f>
        <v>9.2592592554865405E-3</v>
      </c>
      <c r="N205" s="7">
        <f t="shared" si="76"/>
        <v>13.333333327900618</v>
      </c>
      <c r="O205" s="7"/>
      <c r="P205" s="7"/>
      <c r="Q205" s="23"/>
      <c r="R205" s="23"/>
      <c r="S205" s="35">
        <f t="shared" si="77"/>
        <v>1</v>
      </c>
      <c r="T205" s="50" t="str">
        <f t="shared" ref="T205:T235" si="82">IF(ISEVEN(LEFT(AD205,4)),"Southbound","NorthBound")</f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35" si="83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https://search-rtdc-monitor-bjffxe2xuh6vdkpspy63sjmuny.us-east-1.es.amazonaws.com/_plugin/kibana/#/discover/Steve-Slow-Train-Analysis-(2080s-and-2083s)?_g=(refreshInterval:(display:Off,section:0,value:0),time:(from:'2016-12-09 17:43:16-700',mode:absolute,to:'2016-12-09 20:04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5" s="52" t="str">
        <f t="shared" ref="W205:W235" si="84">IF(AA205&lt;IF(AG205="EC",23,5.65),"Y","N")</f>
        <v>N</v>
      </c>
      <c r="X205" s="177">
        <f t="shared" si="75"/>
        <v>1</v>
      </c>
      <c r="Y205" s="67">
        <f t="shared" si="74"/>
        <v>9.69E-2</v>
      </c>
      <c r="Z205" s="67">
        <f t="shared" si="73"/>
        <v>5.8925999999999998</v>
      </c>
      <c r="AA205" s="67">
        <f t="shared" ref="AA205:AA235" si="85">ABS(Z205-Y205)</f>
        <v>5.7957000000000001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35" si="86">IF(LEN(A205)=6,"0"&amp;A205,A205)</f>
        <v>0839-09</v>
      </c>
      <c r="AE205" s="91" t="str">
        <f t="shared" ref="AE205:AE235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 &amp; aws s3 cp s3://rtdc.mdm.uploadarchive.raw/RTDC4044/ "%USERPROFILE%\AppData\Local\Temp\OnboardLogs"\RTDC4044\2016-12-10 --exclude "*" --recursive --include "*20161210*" &amp; "%USERPROFILE%\Documents\GitHub\mrs-test-scripts\Headless Mode &amp; Sideloading\WalkAndUnGZ.bat" "%USERPROFILE%\AppData\Local\Temp\OnboardLogs"\RTDC4044\2016-12-10</v>
      </c>
      <c r="AF205" s="88" t="str">
        <f t="shared" ref="AF205:AF235" si="8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/stypes="app*4044*20161210*" /stext=" 02:.+((SYSTEM_STATE.+slice.+state.+changed )|(ment ac)|(multiple cpu faults)|(system.+state.+changed )|(\[timeout)|(PRM\|1\|D)|(kpr)|(kdp)|(\|lc)|(penalty))" /e /r /s</v>
      </c>
      <c r="AG205" s="1" t="str">
        <f t="shared" ref="AG205:AG235" si="89">IFERROR(IF(VALUE(LEFT(AD205,2))&lt;=2,"EC",IF(OR(VALUE(LEFT(AD205,2))=8,VALUE(LEFT(AD205,2))=18),"NW","Other")),"Other")</f>
        <v>NW</v>
      </c>
      <c r="AH205" s="92" t="str">
        <f t="shared" si="78"/>
        <v>"%USERPROFILE%\Documents\GitHub\eaglep3\Utilities\RefineRTDCRunTimes.py" --tripid 839-09 --locoid 4044 --swversion DE.1.0.8.0 --startMP 204:969 --initTime 2016-12-09T18:43:16 --startdatetime 2016-12-09T18:51:15 --delay 1 --endMP 300:58926 --enddatetime 2016-12-09T19:04:35 --enforcementcount 0 &gt;&gt;C:\Users\stu\Documents\GitHub\eaglep3-reporting\EC\2016-12-09-refined-times.txt</v>
      </c>
      <c r="AI205" s="119" t="str">
        <f t="shared" si="79"/>
        <v>echo {"issue":{"subject":"","project_id":79,"tracker_id":40,"status_id":1,"priority_id":2,"assigned_to_id":23,"start_date":"2016-12-09","description":"","custom_fields":[{"id":1,"name":"Subdivision","value":"NW"},{"id":4,"name":"Milepost","value":"5.8926"},{"id":17,"name":"Train ID","value":"839-09"},{"id":16,"name":"Locomotive ID","value":"4044"},{"id":130,"name":"Impact","value":""},{"id":150,"name":"Time of Event (Mountain Time)","value":"19:04:35"},{"id":151,"name":"Denver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669</v>
      </c>
      <c r="B206" s="7">
        <v>4039</v>
      </c>
      <c r="C206" s="22" t="s">
        <v>206</v>
      </c>
      <c r="D206" s="22" t="s">
        <v>341</v>
      </c>
      <c r="E206" s="13">
        <v>42713.816087962965</v>
      </c>
      <c r="F206" s="13">
        <v>42713.817314814813</v>
      </c>
      <c r="G206" s="7">
        <v>0</v>
      </c>
      <c r="H206" s="22" t="s">
        <v>450</v>
      </c>
      <c r="I206" s="13">
        <v>42713.830185185187</v>
      </c>
      <c r="J206" s="7">
        <v>0</v>
      </c>
      <c r="K206" s="109" t="str">
        <f t="shared" si="80"/>
        <v>4039/4040</v>
      </c>
      <c r="L206" s="22" t="str">
        <f>VLOOKUP(A206,'Trips&amp;Operators'!$C$1:$G$99999,5,FALSE)</f>
        <v>HELVIE ADAM</v>
      </c>
      <c r="M206" s="6">
        <f t="shared" si="81"/>
        <v>1.287037037400296E-2</v>
      </c>
      <c r="N206" s="7">
        <f t="shared" si="76"/>
        <v>18.533333338564262</v>
      </c>
      <c r="O206" s="7"/>
      <c r="P206" s="7"/>
      <c r="Q206" s="23"/>
      <c r="R206" s="23"/>
      <c r="S206" s="35">
        <f t="shared" si="77"/>
        <v>1</v>
      </c>
      <c r="T206" s="50" t="str">
        <f t="shared" si="82"/>
        <v>Southbound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18:35:10-700',mode:absolute,to:'2016-12-09 20:55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6" s="52" t="str">
        <f t="shared" si="84"/>
        <v>N</v>
      </c>
      <c r="X206" s="177">
        <f t="shared" si="75"/>
        <v>1</v>
      </c>
      <c r="Y206" s="67">
        <f t="shared" si="74"/>
        <v>5.8635999999999999</v>
      </c>
      <c r="Z206" s="67">
        <f t="shared" si="73"/>
        <v>7.3800000000000004E-2</v>
      </c>
      <c r="AA206" s="67">
        <f t="shared" si="85"/>
        <v>5.7897999999999996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86"/>
        <v>0840-09</v>
      </c>
      <c r="AE206" s="91" t="str">
        <f t="shared" si="87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206" s="88" t="str">
        <f t="shared" si="88"/>
        <v>"C:\Program Files (x86)\AstroGrep\AstroGrep.exe" /spath="%USERPROFILE%\AppData\Local\Temp\OnboardLogs" /stypes="app*4039*20161210*" /stext=" 02:.+((SYSTEM_STATE.+slice.+state.+changed )|(ment ac)|(multiple cpu faults)|(system.+state.+changed )|(\[timeout)|(PRM\|1\|D)|(kpr)|(kdp)|(\|lc)|(penalty))" /e /r /s</v>
      </c>
      <c r="AG206" s="1" t="str">
        <f t="shared" si="89"/>
        <v>NW</v>
      </c>
      <c r="AH206" s="92" t="str">
        <f t="shared" si="78"/>
        <v>"%USERPROFILE%\Documents\GitHub\eaglep3\Utilities\RefineRTDCRunTimes.py" --tripid 840-09 --locoid 4039 --swversion DE.1.0.8.0 --startMP 300:58636 --initTime 2016-12-09T19:35:10 --startdatetime 2016-12-09T19:36:56 --delay 0 --endMP 204:738 --enddatetime 2016-12-09T19:55:28 --enforcementcount 0 &gt;&gt;C:\Users\stu\Documents\GitHub\eaglep3-reporting\EC\2016-12-09-refined-times.txt</v>
      </c>
      <c r="AI206" s="119" t="str">
        <f t="shared" si="79"/>
        <v>echo {"issue":{"subject":"","project_id":79,"tracker_id":40,"status_id":1,"priority_id":2,"assigned_to_id":23,"start_date":"2016-12-09","description":"","custom_fields":[{"id":1,"name":"Subdivision","value":"NW"},{"id":4,"name":"Milepost","value":"0.0738"},{"id":17,"name":"Train ID","value":"840-09"},{"id":16,"name":"Locomotive ID","value":"4039"},{"id":130,"name":"Impact","value":""},{"id":150,"name":"Time of Event (Mountain Time)","value":"19:55:28"},{"id":151,"name":"Denver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7" t="s">
        <v>665</v>
      </c>
      <c r="B207" s="7">
        <v>4040</v>
      </c>
      <c r="C207" s="22" t="s">
        <v>206</v>
      </c>
      <c r="D207" s="22" t="s">
        <v>796</v>
      </c>
      <c r="E207" s="13">
        <v>42713.802916666667</v>
      </c>
      <c r="F207" s="13">
        <v>42713.806608796294</v>
      </c>
      <c r="G207" s="7">
        <v>1</v>
      </c>
      <c r="H207" s="22" t="s">
        <v>344</v>
      </c>
      <c r="I207" s="13">
        <v>42713.815324074072</v>
      </c>
      <c r="J207" s="7">
        <v>0</v>
      </c>
      <c r="K207" s="109" t="str">
        <f t="shared" si="80"/>
        <v>4039/4040</v>
      </c>
      <c r="L207" s="22" t="str">
        <f>VLOOKUP(A207,'Trips&amp;Operators'!$C$1:$G$99999,5,FALSE)</f>
        <v>HELVIE ADAM</v>
      </c>
      <c r="M207" s="6">
        <f t="shared" si="81"/>
        <v>8.7152777778101154E-3</v>
      </c>
      <c r="N207" s="7">
        <f t="shared" si="76"/>
        <v>12.550000000046566</v>
      </c>
      <c r="O207" s="7"/>
      <c r="P207" s="7"/>
      <c r="Q207" s="23"/>
      <c r="R207" s="23"/>
      <c r="S207" s="35">
        <f t="shared" si="77"/>
        <v>1</v>
      </c>
      <c r="T207" s="50" t="str">
        <f t="shared" si="82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18:16:12-700',mode:absolute,to:'2016-12-09 20:34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7" s="52" t="str">
        <f t="shared" si="84"/>
        <v>N</v>
      </c>
      <c r="X207" s="177">
        <f t="shared" si="75"/>
        <v>1</v>
      </c>
      <c r="Y207" s="67">
        <f t="shared" si="74"/>
        <v>0.10340000000000001</v>
      </c>
      <c r="Z207" s="67">
        <f t="shared" si="73"/>
        <v>5.8949999999999996</v>
      </c>
      <c r="AA207" s="67">
        <f t="shared" si="85"/>
        <v>5.7915999999999999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86"/>
        <v>0841-09</v>
      </c>
      <c r="AE207" s="91" t="str">
        <f t="shared" si="87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207" s="88" t="str">
        <f t="shared" si="88"/>
        <v>"C:\Program Files (x86)\AstroGrep\AstroGrep.exe" /spath="%USERPROFILE%\AppData\Local\Temp\OnboardLogs" /stypes="app*4040*20161210*" /stext=" 02:.+((SYSTEM_STATE.+slice.+state.+changed )|(ment ac)|(multiple cpu faults)|(system.+state.+changed )|(\[timeout)|(PRM\|1\|D)|(kpr)|(kdp)|(\|lc)|(penalty))" /e /r /s</v>
      </c>
      <c r="AG207" s="1" t="str">
        <f t="shared" si="89"/>
        <v>NW</v>
      </c>
      <c r="AH207" s="92" t="str">
        <f t="shared" si="78"/>
        <v>"%USERPROFILE%\Documents\GitHub\eaglep3\Utilities\RefineRTDCRunTimes.py" --tripid 841-09 --locoid 4040 --swversion DE.1.0.8.0 --startMP 204:1034 --initTime 2016-12-09T19:16:12 --startdatetime 2016-12-09T19:21:31 --delay 1 --endMP 300:58950 --enddatetime 2016-12-09T19:34:04 --enforcementcount 0 &gt;&gt;C:\Users\stu\Documents\GitHub\eaglep3-reporting\EC\2016-12-09-refined-times.txt</v>
      </c>
      <c r="AI207" s="119" t="str">
        <f t="shared" si="79"/>
        <v>echo {"issue":{"subject":"","project_id":79,"tracker_id":40,"status_id":1,"priority_id":2,"assigned_to_id":23,"start_date":"2016-12-09","description":"","custom_fields":[{"id":1,"name":"Subdivision","value":"NW"},{"id":4,"name":"Milepost","value":"5.895"},{"id":17,"name":"Train ID","value":"841-09"},{"id":16,"name":"Locomotive ID","value":"4040"},{"id":130,"name":"Impact","value":""},{"id":150,"name":"Time of Event (Mountain Time)","value":"19:34:04"},{"id":151,"name":"Denver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674</v>
      </c>
      <c r="B208" s="7">
        <v>4039</v>
      </c>
      <c r="C208" s="22" t="s">
        <v>206</v>
      </c>
      <c r="D208" s="22" t="s">
        <v>455</v>
      </c>
      <c r="E208" s="13">
        <v>42713.857939814814</v>
      </c>
      <c r="F208" s="13">
        <v>42713.859155092592</v>
      </c>
      <c r="G208" s="7">
        <v>1</v>
      </c>
      <c r="H208" s="22" t="s">
        <v>369</v>
      </c>
      <c r="I208" s="13">
        <v>42713.87096064815</v>
      </c>
      <c r="J208" s="7">
        <v>0</v>
      </c>
      <c r="K208" s="109" t="str">
        <f t="shared" si="80"/>
        <v>4039/4040</v>
      </c>
      <c r="L208" s="22" t="str">
        <f>VLOOKUP(A208,'Trips&amp;Operators'!$C$1:$G$99999,5,FALSE)</f>
        <v>HELVIE ADAM</v>
      </c>
      <c r="M208" s="6">
        <f t="shared" si="81"/>
        <v>1.1805555557657499E-2</v>
      </c>
      <c r="N208" s="7">
        <f t="shared" si="76"/>
        <v>17.000000003026798</v>
      </c>
      <c r="O208" s="7"/>
      <c r="P208" s="7"/>
      <c r="Q208" s="23"/>
      <c r="R208" s="23"/>
      <c r="S208" s="35">
        <f t="shared" si="77"/>
        <v>1</v>
      </c>
      <c r="T208" s="50" t="str">
        <f t="shared" si="82"/>
        <v>Southbound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19:35:26-700',mode:absolute,to:'2016-12-09 21:54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8" s="52" t="str">
        <f t="shared" si="84"/>
        <v>N</v>
      </c>
      <c r="X208" s="177">
        <f t="shared" si="75"/>
        <v>1</v>
      </c>
      <c r="Y208" s="67">
        <f t="shared" si="74"/>
        <v>5.8624000000000001</v>
      </c>
      <c r="Z208" s="67">
        <f t="shared" si="73"/>
        <v>7.6799999999999993E-2</v>
      </c>
      <c r="AA208" s="67">
        <f t="shared" si="85"/>
        <v>5.7855999999999996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86"/>
        <v>0842-09</v>
      </c>
      <c r="AE208" s="91" t="str">
        <f t="shared" si="87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208" s="88" t="str">
        <f t="shared" si="88"/>
        <v>"C:\Program Files (x86)\AstroGrep\AstroGrep.exe" /spath="%USERPROFILE%\AppData\Local\Temp\OnboardLogs" /stypes="app*4039*20161210*" /stext=" 03:.+((SYSTEM_STATE.+slice.+state.+changed )|(ment ac)|(multiple cpu faults)|(system.+state.+changed )|(\[timeout)|(PRM\|1\|D)|(kpr)|(kdp)|(\|lc)|(penalty))" /e /r /s</v>
      </c>
      <c r="AG208" s="1" t="str">
        <f t="shared" si="89"/>
        <v>NW</v>
      </c>
      <c r="AH208" s="92" t="str">
        <f t="shared" si="78"/>
        <v>"%USERPROFILE%\Documents\GitHub\eaglep3\Utilities\RefineRTDCRunTimes.py" --tripid 842-09 --locoid 4039 --swversion DE.1.0.8.0 --startMP 300:58624 --initTime 2016-12-09T20:35:26 --startdatetime 2016-12-09T20:37:11 --delay 1 --endMP 204:768 --enddatetime 2016-12-09T20:54:11 --enforcementcount 0 &gt;&gt;C:\Users\stu\Documents\GitHub\eaglep3-reporting\EC\2016-12-09-refined-times.txt</v>
      </c>
      <c r="AI208" s="119" t="str">
        <f t="shared" si="79"/>
        <v>echo {"issue":{"subject":"","project_id":79,"tracker_id":40,"status_id":1,"priority_id":2,"assigned_to_id":23,"start_date":"2016-12-09","description":"","custom_fields":[{"id":1,"name":"Subdivision","value":"NW"},{"id":4,"name":"Milepost","value":"0.0768"},{"id":17,"name":"Train ID","value":"842-09"},{"id":16,"name":"Locomotive ID","value":"4039"},{"id":130,"name":"Impact","value":""},{"id":150,"name":"Time of Event (Mountain Time)","value":"20:54:11"},{"id":151,"name":"Denver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675</v>
      </c>
      <c r="B209" s="7">
        <v>4040</v>
      </c>
      <c r="C209" s="22" t="s">
        <v>206</v>
      </c>
      <c r="D209" s="22" t="s">
        <v>770</v>
      </c>
      <c r="E209" s="13">
        <v>42713.84547453704</v>
      </c>
      <c r="F209" s="13">
        <v>42713.848275462966</v>
      </c>
      <c r="G209" s="7">
        <v>1</v>
      </c>
      <c r="H209" s="22" t="s">
        <v>392</v>
      </c>
      <c r="I209" s="13">
        <v>42713.857187499998</v>
      </c>
      <c r="J209" s="7">
        <v>0</v>
      </c>
      <c r="K209" s="109" t="str">
        <f t="shared" si="80"/>
        <v>4039/4040</v>
      </c>
      <c r="L209" s="22" t="str">
        <f>VLOOKUP(A209,'Trips&amp;Operators'!$C$1:$G$99999,5,FALSE)</f>
        <v>HELVIE ADAM</v>
      </c>
      <c r="M209" s="6">
        <f t="shared" si="81"/>
        <v>8.9120370321325026E-3</v>
      </c>
      <c r="N209" s="7">
        <f t="shared" si="76"/>
        <v>12.833333326270804</v>
      </c>
      <c r="O209" s="7"/>
      <c r="P209" s="7"/>
      <c r="Q209" s="23"/>
      <c r="R209" s="23"/>
      <c r="S209" s="35">
        <f t="shared" si="77"/>
        <v>1</v>
      </c>
      <c r="T209" s="50" t="str">
        <f t="shared" si="82"/>
        <v>NorthBound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19:17:29-700',mode:absolute,to:'2016-12-09 21:34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9" s="52" t="str">
        <f t="shared" si="84"/>
        <v>N</v>
      </c>
      <c r="X209" s="177">
        <f t="shared" si="75"/>
        <v>1</v>
      </c>
      <c r="Y209" s="67">
        <f t="shared" si="74"/>
        <v>0.1046</v>
      </c>
      <c r="Z209" s="67">
        <f t="shared" si="73"/>
        <v>5.8944000000000001</v>
      </c>
      <c r="AA209" s="67">
        <f t="shared" si="85"/>
        <v>5.7898000000000005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86"/>
        <v>0843-09</v>
      </c>
      <c r="AE209" s="91" t="str">
        <f t="shared" si="87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209" s="88" t="str">
        <f t="shared" si="88"/>
        <v>"C:\Program Files (x86)\AstroGrep\AstroGrep.exe" /spath="%USERPROFILE%\AppData\Local\Temp\OnboardLogs" /stypes="app*4040*20161210*" /stext=" 03:.+((SYSTEM_STATE.+slice.+state.+changed )|(ment ac)|(multiple cpu faults)|(system.+state.+changed )|(\[timeout)|(PRM\|1\|D)|(kpr)|(kdp)|(\|lc)|(penalty))" /e /r /s</v>
      </c>
      <c r="AG209" s="1" t="str">
        <f t="shared" si="89"/>
        <v>NW</v>
      </c>
      <c r="AH209" s="92" t="str">
        <f t="shared" si="78"/>
        <v>"%USERPROFILE%\Documents\GitHub\eaglep3\Utilities\RefineRTDCRunTimes.py" --tripid 843-09 --locoid 4040 --swversion DE.1.0.8.0 --startMP 204:1046 --initTime 2016-12-09T20:17:29 --startdatetime 2016-12-09T20:21:31 --delay 1 --endMP 300:58944 --enddatetime 2016-12-09T20:34:21 --enforcementcount 0 &gt;&gt;C:\Users\stu\Documents\GitHub\eaglep3-reporting\EC\2016-12-09-refined-times.txt</v>
      </c>
      <c r="AI209" s="119" t="str">
        <f t="shared" si="79"/>
        <v>echo {"issue":{"subject":"","project_id":79,"tracker_id":40,"status_id":1,"priority_id":2,"assigned_to_id":23,"start_date":"2016-12-09","description":"","custom_fields":[{"id":1,"name":"Subdivision","value":"NW"},{"id":4,"name":"Milepost","value":"5.8944"},{"id":17,"name":"Train ID","value":"843-09"},{"id":16,"name":"Locomotive ID","value":"4040"},{"id":130,"name":"Impact","value":""},{"id":150,"name":"Time of Event (Mountain Time)","value":"20:34:21"},{"id":151,"name":"Denver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680</v>
      </c>
      <c r="B210" s="7">
        <v>4039</v>
      </c>
      <c r="C210" s="22" t="s">
        <v>206</v>
      </c>
      <c r="D210" s="22" t="s">
        <v>797</v>
      </c>
      <c r="E210" s="13">
        <v>42713.900347222225</v>
      </c>
      <c r="F210" s="13">
        <v>42713.902060185188</v>
      </c>
      <c r="G210" s="7">
        <v>1</v>
      </c>
      <c r="H210" s="22" t="s">
        <v>798</v>
      </c>
      <c r="I210" s="13">
        <v>42713.913263888891</v>
      </c>
      <c r="J210" s="7">
        <v>0</v>
      </c>
      <c r="K210" s="109" t="str">
        <f t="shared" si="80"/>
        <v>4039/4040</v>
      </c>
      <c r="L210" s="22" t="str">
        <f>VLOOKUP(A210,'Trips&amp;Operators'!$C$1:$G$99999,5,FALSE)</f>
        <v>LALONDE GREGORY</v>
      </c>
      <c r="M210" s="6">
        <f t="shared" si="81"/>
        <v>1.1203703703358769E-2</v>
      </c>
      <c r="N210" s="7">
        <f t="shared" si="76"/>
        <v>16.133333332836628</v>
      </c>
      <c r="O210" s="7"/>
      <c r="P210" s="7"/>
      <c r="Q210" s="23"/>
      <c r="R210" s="23"/>
      <c r="S210" s="35">
        <f t="shared" si="77"/>
        <v>1</v>
      </c>
      <c r="T210" s="50" t="str">
        <f t="shared" si="82"/>
        <v>Southbound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20:36:30-700',mode:absolute,to:'2016-12-09 22:55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0" s="52" t="str">
        <f t="shared" si="84"/>
        <v>N</v>
      </c>
      <c r="X210" s="177">
        <f t="shared" si="75"/>
        <v>1</v>
      </c>
      <c r="Y210" s="67">
        <f t="shared" si="74"/>
        <v>5.8605999999999998</v>
      </c>
      <c r="Z210" s="67">
        <f t="shared" si="73"/>
        <v>7.0499999999999993E-2</v>
      </c>
      <c r="AA210" s="67">
        <f t="shared" si="85"/>
        <v>5.7900999999999998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86"/>
        <v>0844-09</v>
      </c>
      <c r="AE210" s="91" t="str">
        <f t="shared" si="87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210" s="88" t="str">
        <f t="shared" si="88"/>
        <v>"C:\Program Files (x86)\AstroGrep\AstroGrep.exe" /spath="%USERPROFILE%\AppData\Local\Temp\OnboardLogs" /stypes="app*4039*20161210*" /stext=" 04:.+((SYSTEM_STATE.+slice.+state.+changed )|(ment ac)|(multiple cpu faults)|(system.+state.+changed )|(\[timeout)|(PRM\|1\|D)|(kpr)|(kdp)|(\|lc)|(penalty))" /e /r /s</v>
      </c>
      <c r="AG210" s="1" t="str">
        <f t="shared" si="89"/>
        <v>NW</v>
      </c>
      <c r="AH210" s="92" t="str">
        <f t="shared" si="78"/>
        <v>"%USERPROFILE%\Documents\GitHub\eaglep3\Utilities\RefineRTDCRunTimes.py" --tripid 844-09 --locoid 4039 --swversion DE.1.0.8.0 --startMP 300:58606 --initTime 2016-12-09T21:36:30 --startdatetime 2016-12-09T21:38:58 --delay 1 --endMP 204:705 --enddatetime 2016-12-09T21:55:06 --enforcementcount 0 &gt;&gt;C:\Users\stu\Documents\GitHub\eaglep3-reporting\EC\2016-12-09-refined-times.txt</v>
      </c>
      <c r="AI210" s="119" t="str">
        <f t="shared" si="79"/>
        <v>echo {"issue":{"subject":"","project_id":79,"tracker_id":40,"status_id":1,"priority_id":2,"assigned_to_id":23,"start_date":"2016-12-09","description":"","custom_fields":[{"id":1,"name":"Subdivision","value":"NW"},{"id":4,"name":"Milepost","value":"0.0705"},{"id":17,"name":"Train ID","value":"844-09"},{"id":16,"name":"Locomotive ID","value":"4039"},{"id":130,"name":"Impact","value":""},{"id":150,"name":"Time of Event (Mountain Time)","value":"21:55:06"},{"id":151,"name":"Denver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678</v>
      </c>
      <c r="B211" s="7">
        <v>4040</v>
      </c>
      <c r="C211" s="22" t="s">
        <v>206</v>
      </c>
      <c r="D211" s="22" t="s">
        <v>458</v>
      </c>
      <c r="E211" s="13">
        <v>42713.877627314818</v>
      </c>
      <c r="F211" s="13">
        <v>42713.889733796299</v>
      </c>
      <c r="G211" s="7">
        <v>1</v>
      </c>
      <c r="H211" s="22" t="s">
        <v>772</v>
      </c>
      <c r="I211" s="13">
        <v>42713.899282407408</v>
      </c>
      <c r="J211" s="7">
        <v>0</v>
      </c>
      <c r="K211" s="109" t="str">
        <f t="shared" si="80"/>
        <v>4039/4040</v>
      </c>
      <c r="L211" s="22" t="str">
        <f>VLOOKUP(A211,'Trips&amp;Operators'!$C$1:$G$99999,5,FALSE)</f>
        <v>NEWELL JAMES</v>
      </c>
      <c r="M211" s="6">
        <f t="shared" si="81"/>
        <v>9.5486111094942316E-3</v>
      </c>
      <c r="N211" s="7">
        <f t="shared" si="76"/>
        <v>13.749999997671694</v>
      </c>
      <c r="O211" s="7"/>
      <c r="P211" s="7"/>
      <c r="Q211" s="23"/>
      <c r="R211" s="23"/>
      <c r="S211" s="35">
        <f t="shared" si="77"/>
        <v>1</v>
      </c>
      <c r="T211" s="50" t="str">
        <f t="shared" si="82"/>
        <v>NorthBound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20:03:47-700',mode:absolute,to:'2016-12-09 22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1" s="52" t="str">
        <f t="shared" si="84"/>
        <v>N</v>
      </c>
      <c r="X211" s="177">
        <f t="shared" si="75"/>
        <v>1</v>
      </c>
      <c r="Y211" s="67">
        <f t="shared" si="74"/>
        <v>0.10440000000000001</v>
      </c>
      <c r="Z211" s="67">
        <f t="shared" si="73"/>
        <v>5.8929</v>
      </c>
      <c r="AA211" s="67">
        <f t="shared" si="85"/>
        <v>5.7885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86"/>
        <v>0845-09</v>
      </c>
      <c r="AE211" s="91" t="str">
        <f t="shared" si="87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211" s="88" t="str">
        <f t="shared" si="88"/>
        <v>"C:\Program Files (x86)\AstroGrep\AstroGrep.exe" /spath="%USERPROFILE%\AppData\Local\Temp\OnboardLogs" /stypes="app*4040*20161210*" /stext=" 04:.+((SYSTEM_STATE.+slice.+state.+changed )|(ment ac)|(multiple cpu faults)|(system.+state.+changed )|(\[timeout)|(PRM\|1\|D)|(kpr)|(kdp)|(\|lc)|(penalty))" /e /r /s</v>
      </c>
      <c r="AG211" s="1" t="str">
        <f t="shared" si="89"/>
        <v>NW</v>
      </c>
      <c r="AH211" s="92" t="str">
        <f t="shared" si="78"/>
        <v>"%USERPROFILE%\Documents\GitHub\eaglep3\Utilities\RefineRTDCRunTimes.py" --tripid 845-09 --locoid 4040 --swversion DE.1.0.8.0 --startMP 204:1044 --initTime 2016-12-09T21:03:47 --startdatetime 2016-12-09T21:21:13 --delay 1 --endMP 300:58929 --enddatetime 2016-12-09T21:34:58 --enforcementcount 0 &gt;&gt;C:\Users\stu\Documents\GitHub\eaglep3-reporting\EC\2016-12-09-refined-times.txt</v>
      </c>
      <c r="AI211" s="119" t="str">
        <f t="shared" si="79"/>
        <v>echo {"issue":{"subject":"","project_id":79,"tracker_id":40,"status_id":1,"priority_id":2,"assigned_to_id":23,"start_date":"2016-12-09","description":"","custom_fields":[{"id":1,"name":"Subdivision","value":"NW"},{"id":4,"name":"Milepost","value":"5.8929"},{"id":17,"name":"Train ID","value":"845-09"},{"id":16,"name":"Locomotive ID","value":"4040"},{"id":130,"name":"Impact","value":""},{"id":150,"name":"Time of Event (Mountain Time)","value":"21:34:58"},{"id":151,"name":"Denver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683</v>
      </c>
      <c r="B212" s="7">
        <v>4040</v>
      </c>
      <c r="C212" s="22" t="s">
        <v>206</v>
      </c>
      <c r="D212" s="22" t="s">
        <v>799</v>
      </c>
      <c r="E212" s="13">
        <v>42713.921550925923</v>
      </c>
      <c r="F212" s="13">
        <v>42713.931388888886</v>
      </c>
      <c r="G212" s="7">
        <v>1</v>
      </c>
      <c r="H212" s="22" t="s">
        <v>772</v>
      </c>
      <c r="I212" s="13">
        <v>42713.940636574072</v>
      </c>
      <c r="J212" s="7">
        <v>0</v>
      </c>
      <c r="K212" s="109" t="str">
        <f t="shared" si="80"/>
        <v>4039/4040</v>
      </c>
      <c r="L212" s="22" t="str">
        <f>VLOOKUP(A212,'Trips&amp;Operators'!$C$1:$G$99999,5,FALSE)</f>
        <v>NEWELL JAMES</v>
      </c>
      <c r="M212" s="6">
        <f t="shared" si="81"/>
        <v>9.2476851859828457E-3</v>
      </c>
      <c r="N212" s="7">
        <f t="shared" si="76"/>
        <v>13.316666667815298</v>
      </c>
      <c r="O212" s="7"/>
      <c r="P212" s="7"/>
      <c r="Q212" s="23"/>
      <c r="R212" s="23"/>
      <c r="S212" s="35">
        <f t="shared" si="77"/>
        <v>1</v>
      </c>
      <c r="T212" s="50" t="str">
        <f t="shared" si="82"/>
        <v>NorthBound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21:07:02-700',mode:absolute,to:'2016-12-09 23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12" s="52" t="str">
        <f t="shared" si="84"/>
        <v>N</v>
      </c>
      <c r="X212" s="177">
        <f t="shared" si="75"/>
        <v>2</v>
      </c>
      <c r="Y212" s="67">
        <f t="shared" si="74"/>
        <v>9.7600000000000006E-2</v>
      </c>
      <c r="Z212" s="67">
        <f t="shared" si="73"/>
        <v>5.8929</v>
      </c>
      <c r="AA212" s="67">
        <f t="shared" si="85"/>
        <v>5.7953000000000001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86"/>
        <v>0847-09</v>
      </c>
      <c r="AE212" s="91" t="str">
        <f t="shared" si="87"/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AF212" s="88" t="str">
        <f t="shared" si="88"/>
        <v>"C:\Program Files (x86)\AstroGrep\AstroGrep.exe" /spath="%USERPROFILE%\AppData\Local\Temp\OnboardLogs" /stypes="app*4040*20161210*" /stext=" 05:.+((SYSTEM_STATE.+slice.+state.+changed )|(ment ac)|(multiple cpu faults)|(system.+state.+changed )|(\[timeout)|(PRM\|1\|D)|(kpr)|(kdp)|(\|lc)|(penalty))" /e /r /s</v>
      </c>
      <c r="AG212" s="1" t="str">
        <f t="shared" si="89"/>
        <v>NW</v>
      </c>
      <c r="AH212" s="92" t="str">
        <f t="shared" si="78"/>
        <v>"%USERPROFILE%\Documents\GitHub\eaglep3\Utilities\RefineRTDCRunTimes.py" --tripid 847-09 --locoid 4040 --swversion DE.1.0.8.0 --startMP 204:976 --initTime 2016-12-09T22:07:02 --startdatetime 2016-12-09T22:21:12 --delay 1 --endMP 300:58929 --enddatetime 2016-12-09T22:34:31 --enforcementcount 0 &gt;&gt;C:\Users\stu\Documents\GitHub\eaglep3-reporting\EC\2016-12-09-refined-times.txt</v>
      </c>
      <c r="AI212" s="119" t="str">
        <f t="shared" si="79"/>
        <v>echo {"issue":{"subject":"","project_id":79,"tracker_id":40,"status_id":1,"priority_id":2,"assigned_to_id":23,"start_date":"2016-12-09","description":"","custom_fields":[{"id":1,"name":"Subdivision","value":"NW"},{"id":4,"name":"Milepost","value":"5.8929"},{"id":17,"name":"Train ID","value":"847-09"},{"id":16,"name":"Locomotive ID","value":"4040"},{"id":130,"name":"Impact","value":""},{"id":150,"name":"Time of Event (Mountain Time)","value":"22:34:31"},{"id":151,"name":"Denver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661</v>
      </c>
      <c r="B213" s="7">
        <v>4016</v>
      </c>
      <c r="C213" s="22" t="s">
        <v>206</v>
      </c>
      <c r="D213" s="22" t="s">
        <v>744</v>
      </c>
      <c r="E213" s="13">
        <v>42713.784317129626</v>
      </c>
      <c r="F213" s="13">
        <v>25568.708333333332</v>
      </c>
      <c r="G213" s="7">
        <v>1</v>
      </c>
      <c r="H213" s="22" t="s">
        <v>745</v>
      </c>
      <c r="I213" s="13">
        <v>25568.708333333332</v>
      </c>
      <c r="J213" s="7">
        <v>0</v>
      </c>
      <c r="K213" s="109" t="str">
        <f t="shared" si="80"/>
        <v>4015/4016</v>
      </c>
      <c r="L213" s="22" t="str">
        <f>VLOOKUP(A213,'Trips&amp;Operators'!$C$1:$G$99999,5,FALSE)</f>
        <v>MOSES BRADLEY</v>
      </c>
      <c r="M213" s="6">
        <f t="shared" si="81"/>
        <v>0</v>
      </c>
      <c r="N213" s="7">
        <f t="shared" si="76"/>
        <v>0</v>
      </c>
      <c r="O213" s="7"/>
      <c r="P213" s="7"/>
      <c r="Q213" s="23"/>
      <c r="R213" s="23"/>
      <c r="S213" s="35">
        <f t="shared" si="77"/>
        <v>1</v>
      </c>
      <c r="T213" s="50" t="str">
        <f t="shared" si="82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17:49:25-700',mode:absolute,to:'1969-12-31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3" s="52" t="str">
        <f t="shared" si="84"/>
        <v>Y</v>
      </c>
      <c r="X213" s="177">
        <f t="shared" si="75"/>
        <v>-544</v>
      </c>
      <c r="Y213" s="67">
        <f t="shared" si="74"/>
        <v>4.8399999999999999E-2</v>
      </c>
      <c r="Z213" s="67">
        <f t="shared" si="73"/>
        <v>2.3319999999999999</v>
      </c>
      <c r="AA213" s="67">
        <f t="shared" si="85"/>
        <v>2.2835999999999999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86"/>
        <v>0303-09</v>
      </c>
      <c r="AE213" s="91" t="str">
        <f t="shared" si="87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3" s="88" t="str">
        <f t="shared" si="88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3" s="1" t="str">
        <f t="shared" si="89"/>
        <v>Other</v>
      </c>
      <c r="AH213" s="92" t="str">
        <f t="shared" si="78"/>
        <v>"%USERPROFILE%\Documents\GitHub\eaglep3\Utilities\RefineRTDCRunTimes.py" --tripid 303-09 --locoid 4016 --swversion DE.1.0.8.0 --startMP 204:484 --initTime 2016-12-09T18:49:25 --startdatetime 1969-12-31T17:00:00 --delay 1 --endMP 300:23320 --enddatetime 1969-12-31T17:00:00 --enforcementcount 0 &gt;&gt;C:\Users\stu\Documents\GitHub\eaglep3-reporting\EC\2016-12-09-refined-times.txt</v>
      </c>
      <c r="AI213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{"issue":{"subject":"","project_id":79,"tracker_id":40,"status_id":1,"priority_id":2,"assigned_to_id":23,"start_date":"1969-12-31","description":"","custom_fields":[{"id":1,"name":"Subdivision","value":"Other"},{"id":4,"name":"Milepost","value":"2.332"},{"id":17,"name":"Train ID","value":"303-09"},{"id":16,"name":"Locomotive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663</v>
      </c>
      <c r="B214" s="7">
        <v>4031</v>
      </c>
      <c r="C214" s="22" t="s">
        <v>206</v>
      </c>
      <c r="D214" s="22" t="s">
        <v>746</v>
      </c>
      <c r="E214" s="13">
        <v>42713.796666666669</v>
      </c>
      <c r="F214" s="13">
        <v>25568.708333333332</v>
      </c>
      <c r="G214" s="7">
        <v>2</v>
      </c>
      <c r="H214" s="22" t="s">
        <v>747</v>
      </c>
      <c r="I214" s="13">
        <v>25568.708333333332</v>
      </c>
      <c r="J214" s="7">
        <v>0</v>
      </c>
      <c r="K214" s="109" t="str">
        <f t="shared" si="80"/>
        <v>4031/4032</v>
      </c>
      <c r="L214" s="22" t="str">
        <f>VLOOKUP(A214,'Trips&amp;Operators'!$C$1:$G$99999,5,FALSE)</f>
        <v>ADANE ELSHADAY</v>
      </c>
      <c r="M214" s="6">
        <f t="shared" si="81"/>
        <v>0</v>
      </c>
      <c r="N214" s="7">
        <f t="shared" si="76"/>
        <v>0</v>
      </c>
      <c r="O214" s="7"/>
      <c r="P214" s="7"/>
      <c r="Q214" s="23"/>
      <c r="R214" s="23"/>
      <c r="S214" s="35">
        <f t="shared" si="77"/>
        <v>1</v>
      </c>
      <c r="T214" s="50" t="str">
        <f t="shared" si="82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18:07:12-700',mode:absolute,to:'1969-12-31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4" s="52" t="str">
        <f t="shared" si="84"/>
        <v>Y</v>
      </c>
      <c r="X214" s="177">
        <f t="shared" si="75"/>
        <v>2</v>
      </c>
      <c r="Y214" s="67">
        <f t="shared" si="74"/>
        <v>4.8599999999999997E-2</v>
      </c>
      <c r="Z214" s="67">
        <f t="shared" si="73"/>
        <v>2.3311999999999999</v>
      </c>
      <c r="AA214" s="67">
        <f t="shared" si="85"/>
        <v>2.2826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86"/>
        <v>0305-09</v>
      </c>
      <c r="AE214" s="91" t="str">
        <f t="shared" si="87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4" s="88" t="str">
        <f t="shared" si="88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14" s="1" t="str">
        <f t="shared" si="89"/>
        <v>Other</v>
      </c>
      <c r="AH214" s="92" t="str">
        <f t="shared" si="78"/>
        <v>"%USERPROFILE%\Documents\GitHub\eaglep3\Utilities\RefineRTDCRunTimes.py" --tripid 305-09 --locoid 4031 --swversion DE.1.0.8.0 --startMP 204:486 --initTime 2016-12-09T19:07:12 --startdatetime 1969-12-31T17:00:00 --delay 2 --endMP 300:23312 --enddatetime 1969-12-31T17:00:00 --enforcementcount 0 &gt;&gt;C:\Users\stu\Documents\GitHub\eaglep3-reporting\EC\2016-12-09-refined-times.txt</v>
      </c>
      <c r="AI214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ID","value":"305-09"},{"id":16,"name":"Locomotive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523</v>
      </c>
      <c r="B215" s="7">
        <v>4021</v>
      </c>
      <c r="C215" s="22" t="s">
        <v>206</v>
      </c>
      <c r="D215" s="22" t="s">
        <v>748</v>
      </c>
      <c r="E215" s="13">
        <v>42713.165763888886</v>
      </c>
      <c r="F215" s="13">
        <v>42713.216157407405</v>
      </c>
      <c r="G215" s="7">
        <v>1</v>
      </c>
      <c r="H215" s="22" t="s">
        <v>748</v>
      </c>
      <c r="I215" s="13">
        <v>42713.245613425926</v>
      </c>
      <c r="J215" s="7">
        <v>0</v>
      </c>
      <c r="K215" s="109" t="str">
        <f t="shared" si="80"/>
        <v>4021/4022</v>
      </c>
      <c r="L215" s="22" t="str">
        <f>VLOOKUP(A215,'Trips&amp;Operators'!$C$1:$G$99999,5,FALSE)</f>
        <v>ROBINSON KADDIBA</v>
      </c>
      <c r="M215" s="6">
        <f t="shared" si="81"/>
        <v>2.9456018521159422E-2</v>
      </c>
      <c r="N215" s="7">
        <f t="shared" si="76"/>
        <v>42.416666670469567</v>
      </c>
      <c r="O215" s="7"/>
      <c r="P215" s="7"/>
      <c r="Q215" s="23"/>
      <c r="R215" s="23"/>
      <c r="S215" s="35">
        <f t="shared" si="77"/>
        <v>0</v>
      </c>
      <c r="T215" s="50" t="str">
        <f t="shared" si="82"/>
        <v>Southbound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02:58:42-700',mode:absolute,to:'2016-12-09 06:53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15" s="52" t="str">
        <f t="shared" si="84"/>
        <v>Y</v>
      </c>
      <c r="X215" s="177">
        <f t="shared" si="75"/>
        <v>1</v>
      </c>
      <c r="Y215" s="67">
        <f t="shared" si="74"/>
        <v>3.0869</v>
      </c>
      <c r="Z215" s="67">
        <f t="shared" si="73"/>
        <v>3.0869</v>
      </c>
      <c r="AA215" s="67">
        <f t="shared" si="85"/>
        <v>0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86"/>
        <v>0306-09</v>
      </c>
      <c r="AE215" s="91" t="str">
        <f t="shared" si="87"/>
        <v>aws s3 cp s3://rtdc.mdm.uploadarchive.raw/RTDC4021/ "%USERPROFILE%\AppData\Local\Temp\OnboardLogs"\RTDC4021\2016-12-09 --exclude "*" --recursive --include "*20161209*" &amp; "%USERPROFILE%\Documents\GitHub\mrs-test-scripts\Headless Mode &amp; Sideloading\WalkAndUnGZ.bat" "%USERPROFILE%\AppData\Local\Temp\OnboardLogs"\RTDC4021\2016-12-09 &amp; aws s3 cp s3://rtdc.mdm.uploadarchive.raw/RTDC4021/ "%USERPROFILE%\AppData\Local\Temp\OnboardLogs"\RTDC4021\2016-12-10 --exclude "*" --recursive --include "*20161210*" &amp; "%USERPROFILE%\Documents\GitHub\mrs-test-scripts\Headless Mode &amp; Sideloading\WalkAndUnGZ.bat" "%USERPROFILE%\AppData\Local\Temp\OnboardLogs"\RTDC4021\2016-12-10</v>
      </c>
      <c r="AF215" s="88" t="str">
        <f t="shared" si="88"/>
        <v>"C:\Program Files (x86)\AstroGrep\AstroGrep.exe" /spath="%USERPROFILE%\AppData\Local\Temp\OnboardLogs" /stypes="app*4021*20161209*" /stext=" 12:.+((SYSTEM_STATE.+slice.+state.+changed )|(ment ac)|(multiple cpu faults)|(system.+state.+changed )|(\[timeout)|(PRM\|1\|D)|(kpr)|(kdp)|(\|lc)|(penalty))" /e /r /s</v>
      </c>
      <c r="AG215" s="1" t="str">
        <f t="shared" si="89"/>
        <v>Other</v>
      </c>
      <c r="AH215" s="92" t="str">
        <f t="shared" si="78"/>
        <v>"%USERPROFILE%\Documents\GitHub\eaglep3\Utilities\RefineRTDCRunTimes.py" --tripid 306-09 --locoid 4021 --swversion DE.1.0.8.0 --startMP 300:30869 --initTime 2016-12-09T03:58:42 --startdatetime 2016-12-09T05:11:16 --delay 1 --endMP 300:30869 --enddatetime 2016-12-09T05:53:41 --enforcementcount 0 &gt;&gt;C:\Users\stu\Documents\GitHub\eaglep3-reporting\EC\2016-12-09-refined-times.txt</v>
      </c>
      <c r="AI215" s="119" t="str">
        <f t="shared" si="79"/>
        <v>echo {"issue":{"subject":"","project_id":79,"tracker_id":40,"status_id":1,"priority_id":2,"assigned_to_id":23,"start_date":"2016-12-09","description":"","custom_fields":[{"id":1,"name":"Subdivision","value":"Other"},{"id":4,"name":"Milepost","value":"3.0869"},{"id":17,"name":"Train ID","value":"306-09"},{"id":16,"name":"Locomotive ID","value":"4021"},{"id":130,"name":"Impact","value":""},{"id":150,"name":"Time of Event (Mountain Time)","value":"05:53:41"},{"id":151,"name":"Denver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666</v>
      </c>
      <c r="B216" s="7">
        <v>4029</v>
      </c>
      <c r="C216" s="22" t="s">
        <v>206</v>
      </c>
      <c r="D216" s="22" t="s">
        <v>718</v>
      </c>
      <c r="E216" s="13">
        <v>42713.802939814814</v>
      </c>
      <c r="F216" s="13">
        <v>42713.804699074077</v>
      </c>
      <c r="G216" s="7">
        <v>1</v>
      </c>
      <c r="H216" s="22" t="s">
        <v>340</v>
      </c>
      <c r="I216" s="13">
        <v>42713.811493055553</v>
      </c>
      <c r="J216" s="7">
        <v>0</v>
      </c>
      <c r="K216" s="109" t="str">
        <f t="shared" si="80"/>
        <v>4029/4030</v>
      </c>
      <c r="L216" s="22" t="str">
        <f>VLOOKUP(A216,'Trips&amp;Operators'!$C$1:$G$99999,5,FALSE)</f>
        <v>SHOOK JOHN</v>
      </c>
      <c r="M216" s="6">
        <f t="shared" si="81"/>
        <v>6.7939814762212336E-3</v>
      </c>
      <c r="N216" s="7">
        <f t="shared" si="76"/>
        <v>9.7833333257585764</v>
      </c>
      <c r="O216" s="7"/>
      <c r="P216" s="7"/>
      <c r="Q216" s="23"/>
      <c r="R216" s="23"/>
      <c r="S216" s="35">
        <f t="shared" si="77"/>
        <v>1</v>
      </c>
      <c r="T216" s="50" t="str">
        <f t="shared" si="82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18:16:14-700',mode:absolute,to:'2016-12-09 20:28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6" s="52" t="str">
        <f t="shared" si="84"/>
        <v>Y</v>
      </c>
      <c r="X216" s="177">
        <f t="shared" si="75"/>
        <v>1</v>
      </c>
      <c r="Y216" s="67">
        <f t="shared" si="74"/>
        <v>4.6199999999999998E-2</v>
      </c>
      <c r="Z216" s="67">
        <f t="shared" si="73"/>
        <v>2.3298999999999999</v>
      </c>
      <c r="AA216" s="67">
        <f t="shared" si="85"/>
        <v>2.2837000000000001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86"/>
        <v>0307-09</v>
      </c>
      <c r="AE216" s="91" t="str">
        <f t="shared" si="87"/>
        <v>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 &amp; aws s3 cp s3://rtdc.mdm.uploadarchive.raw/RTDC4029/ "%USERPROFILE%\AppData\Local\Temp\OnboardLogs"\RTDC4029\2016-12-10 --exclude "*" --recursive --include "*20161210*" &amp; "%USERPROFILE%\Documents\GitHub\mrs-test-scripts\Headless Mode &amp; Sideloading\WalkAndUnGZ.bat" "%USERPROFILE%\AppData\Local\Temp\OnboardLogs"\RTDC4029\2016-12-10</v>
      </c>
      <c r="AF216" s="88" t="str">
        <f t="shared" si="88"/>
        <v>"C:\Program Files (x86)\AstroGrep\AstroGrep.exe" /spath="%USERPROFILE%\AppData\Local\Temp\OnboardLogs" /stypes="app*4029*20161210*" /stext=" 02:.+((SYSTEM_STATE.+slice.+state.+changed )|(ment ac)|(multiple cpu faults)|(system.+state.+changed )|(\[timeout)|(PRM\|1\|D)|(kpr)|(kdp)|(\|lc)|(penalty))" /e /r /s</v>
      </c>
      <c r="AG216" s="1" t="str">
        <f t="shared" si="89"/>
        <v>Other</v>
      </c>
      <c r="AH216" s="92" t="str">
        <f t="shared" si="78"/>
        <v>"%USERPROFILE%\Documents\GitHub\eaglep3\Utilities\RefineRTDCRunTimes.py" --tripid 307-09 --locoid 4029 --swversion DE.1.0.8.0 --startMP 204:462 --initTime 2016-12-09T19:16:14 --startdatetime 2016-12-09T19:18:46 --delay 1 --endMP 300:23299 --enddatetime 2016-12-09T19:28:33 --enforcementcount 0 &gt;&gt;C:\Users\stu\Documents\GitHub\eaglep3-reporting\EC\2016-12-09-refined-times.txt</v>
      </c>
      <c r="AI216" s="119" t="str">
        <f t="shared" si="79"/>
        <v>echo {"issue":{"subject":"","project_id":79,"tracker_id":40,"status_id":1,"priority_id":2,"assigned_to_id":23,"start_date":"2016-12-09","description":"","custom_fields":[{"id":1,"name":"Subdivision","value":"Other"},{"id":4,"name":"Milepost","value":"2.3299"},{"id":17,"name":"Train ID","value":"307-09"},{"id":16,"name":"Locomotive ID","value":"4029"},{"id":130,"name":"Impact","value":""},{"id":150,"name":"Time of Event (Mountain Time)","value":"19:28:33"},{"id":151,"name":"Denver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397</v>
      </c>
      <c r="B217" s="7">
        <v>4051</v>
      </c>
      <c r="C217" s="22" t="s">
        <v>206</v>
      </c>
      <c r="D217" s="22" t="s">
        <v>749</v>
      </c>
      <c r="E217" s="13">
        <v>42714.047025462962</v>
      </c>
      <c r="F217" s="13">
        <v>25568.708333333332</v>
      </c>
      <c r="G217" s="7">
        <v>1</v>
      </c>
      <c r="H217" s="22" t="s">
        <v>750</v>
      </c>
      <c r="I217" s="13">
        <v>25568.708333333332</v>
      </c>
      <c r="J217" s="7">
        <v>0</v>
      </c>
      <c r="K217" s="109" t="str">
        <f t="shared" si="80"/>
        <v>4051/4052</v>
      </c>
      <c r="L217" s="22" t="str">
        <f>VLOOKUP(A217,'Trips&amp;Operators'!$C$1:$G$99999,5,FALSE)</f>
        <v>YANAI IAN</v>
      </c>
      <c r="M217" s="6">
        <f t="shared" si="81"/>
        <v>0</v>
      </c>
      <c r="N217" s="7">
        <f t="shared" si="76"/>
        <v>0</v>
      </c>
      <c r="O217" s="7"/>
      <c r="P217" s="7"/>
      <c r="Q217" s="23"/>
      <c r="R217" s="23"/>
      <c r="S217" s="35">
        <f t="shared" si="77"/>
        <v>1</v>
      </c>
      <c r="T217" s="50" t="str">
        <f t="shared" si="82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https://search-rtdc-monitor-bjffxe2xuh6vdkpspy63sjmuny.us-east-1.es.amazonaws.com/_plugin/kibana/#/discover/Steve-Slow-Train-Analysis-(2080s-and-2083s)?_g=(refreshInterval:(display:Off,section:0,value:0),time:(from:'2016-12-10 00:07:43-700',mode:absolute,to:'1969-12-31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17" s="52" t="str">
        <f t="shared" si="84"/>
        <v>Y</v>
      </c>
      <c r="X217" s="177">
        <f t="shared" si="75"/>
        <v>2</v>
      </c>
      <c r="Y217" s="67">
        <f t="shared" si="74"/>
        <v>5.4899999999999997E-2</v>
      </c>
      <c r="Z217" s="67">
        <f t="shared" si="73"/>
        <v>2.3151000000000002</v>
      </c>
      <c r="AA217" s="67">
        <f t="shared" si="85"/>
        <v>2.2602000000000002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86"/>
        <v>0309-09</v>
      </c>
      <c r="AE217" s="91" t="str">
        <f t="shared" si="87"/>
        <v>aws s3 cp s3://rtdc.mdm.uploadarchive.raw/RTDC4051/ "%USERPROFILE%\AppData\Local\Temp\OnboardLogs"\RTDC4051\1969-12-31 --exclude "*" --recursive --include "*19691231*" &amp; "%USERPROFILE%\Documents\GitHub\mrs-test-scripts\Headless Mode &amp; Sideloading\WalkAndUnGZ.bat" "%USERPROFILE%\AppData\Local\Temp\OnboardLogs"\RTDC4051\1969-12-31 &amp; aws s3 cp s3://rtdc.mdm.uploadarchive.raw/RTDC4051/ "%USERPROFILE%\AppData\Local\Temp\OnboardLogs"\RTDC4051\1970-01-01 --exclude "*" --recursive --include "*19700101*" &amp; "%USERPROFILE%\Documents\GitHub\mrs-test-scripts\Headless Mode &amp; Sideloading\WalkAndUnGZ.bat" "%USERPROFILE%\AppData\Local\Temp\OnboardLogs"\RTDC4051\1970-01-01</v>
      </c>
      <c r="AF217" s="88" t="str">
        <f t="shared" si="88"/>
        <v>"C:\Program Files (x86)\AstroGrep\AstroGrep.exe" /spath="%USERPROFILE%\AppData\Local\Temp\OnboardLogs" /stypes="app*4051*19700101*" /stext=" 00:.+((SYSTEM_STATE.+slice.+state.+changed )|(ment ac)|(multiple cpu faults)|(system.+state.+changed )|(\[timeout)|(PRM\|1\|D)|(kpr)|(kdp)|(\|lc)|(penalty))" /e /r /s</v>
      </c>
      <c r="AG217" s="1" t="str">
        <f t="shared" si="89"/>
        <v>Other</v>
      </c>
      <c r="AH217" s="92" t="str">
        <f t="shared" si="78"/>
        <v>"%USERPROFILE%\Documents\GitHub\eaglep3\Utilities\RefineRTDCRunTimes.py" --tripid 309-09 --locoid 4051 --swversion DE.1.0.8.0 --startMP 204:549 --initTime 2016-12-10T01:07:43 --startdatetime 1969-12-31T17:00:00 --delay 1 --endMP 300:23151 --enddatetime 1969-12-31T17:00:00 --enforcementcount 0 &gt;&gt;C:\Users\stu\Documents\GitHub\eaglep3-reporting\EC\2016-12-09-refined-times.txt</v>
      </c>
      <c r="AI217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{"issue":{"subject":"","project_id":79,"tracker_id":40,"status_id":1,"priority_id":2,"assigned_to_id":23,"start_date":"1969-12-31","description":"","custom_fields":[{"id":1,"name":"Subdivision","value":"Other"},{"id":4,"name":"Milepost","value":"2.3151"},{"id":17,"name":"Train ID","value":"309-09"},{"id":16,"name":"Locomotive ID","value":"4051"},{"id":130,"name":"Impact","value":""},{"id":150,"name":"Time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400</v>
      </c>
      <c r="B218" s="7">
        <v>4022</v>
      </c>
      <c r="C218" s="22" t="s">
        <v>206</v>
      </c>
      <c r="D218" s="22" t="s">
        <v>438</v>
      </c>
      <c r="E218" s="13">
        <v>42714.069988425923</v>
      </c>
      <c r="F218" s="13">
        <v>42714.072106481479</v>
      </c>
      <c r="G218" s="7">
        <v>2</v>
      </c>
      <c r="H218" s="22" t="s">
        <v>751</v>
      </c>
      <c r="I218" s="13">
        <v>42714.077349537038</v>
      </c>
      <c r="J218" s="7">
        <v>0</v>
      </c>
      <c r="K218" s="109" t="str">
        <f t="shared" si="80"/>
        <v>4021/4022</v>
      </c>
      <c r="L218" s="22" t="str">
        <f>VLOOKUP(A218,'Trips&amp;Operators'!$C$1:$G$99999,5,FALSE)</f>
        <v>CHANDLER KELVIN</v>
      </c>
      <c r="M218" s="6">
        <f t="shared" si="81"/>
        <v>5.2430555588216521E-3</v>
      </c>
      <c r="N218" s="7">
        <f t="shared" si="76"/>
        <v>7.550000004703179</v>
      </c>
      <c r="O218" s="7"/>
      <c r="P218" s="7"/>
      <c r="Q218" s="23"/>
      <c r="R218" s="23"/>
      <c r="S218" s="35">
        <f t="shared" si="77"/>
        <v>1</v>
      </c>
      <c r="T218" s="50" t="str">
        <f t="shared" si="82"/>
        <v>NorthBound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https://search-rtdc-monitor-bjffxe2xuh6vdkpspy63sjmuny.us-east-1.es.amazonaws.com/_plugin/kibana/#/discover/Steve-Slow-Train-Analysis-(2080s-and-2083s)?_g=(refreshInterval:(display:Off,section:0,value:0),time:(from:'2016-12-10 00:40:47-700',mode:absolute,to:'2016-12-10 02:51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8" s="52" t="str">
        <f t="shared" si="84"/>
        <v>Y</v>
      </c>
      <c r="X218" s="177">
        <f t="shared" si="75"/>
        <v>2</v>
      </c>
      <c r="Y218" s="67">
        <f t="shared" si="74"/>
        <v>4.3999999999999997E-2</v>
      </c>
      <c r="Z218" s="67">
        <f t="shared" si="73"/>
        <v>2.2843</v>
      </c>
      <c r="AA218" s="67">
        <f t="shared" si="85"/>
        <v>2.2403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86"/>
        <v>0311-09</v>
      </c>
      <c r="AE218" s="91" t="str">
        <f t="shared" si="87"/>
        <v>aws s3 cp s3://rtdc.mdm.uploadarchive.raw/RTDC4022/ "%USERPROFILE%\AppData\Local\Temp\OnboardLogs"\RTDC4022\2016-12-10 --exclude "*" --recursive --include "*20161210*" &amp; "%USERPROFILE%\Documents\GitHub\mrs-test-scripts\Headless Mode &amp; Sideloading\WalkAndUnGZ.bat" "%USERPROFILE%\AppData\Local\Temp\OnboardLogs"\RTDC4022\2016-12-10 &amp; aws s3 cp s3://rtdc.mdm.uploadarchive.raw/RTDC4022/ "%USERPROFILE%\AppData\Local\Temp\OnboardLogs"\RTDC4022\2016-12-11 --exclude "*" --recursive --include "*20161211*" &amp; "%USERPROFILE%\Documents\GitHub\mrs-test-scripts\Headless Mode &amp; Sideloading\WalkAndUnGZ.bat" "%USERPROFILE%\AppData\Local\Temp\OnboardLogs"\RTDC4022\2016-12-11</v>
      </c>
      <c r="AF218" s="88" t="str">
        <f t="shared" si="88"/>
        <v>"C:\Program Files (x86)\AstroGrep\AstroGrep.exe" /spath="%USERPROFILE%\AppData\Local\Temp\OnboardLogs" /stypes="app*4022*20161210*" /stext=" 08:.+((SYSTEM_STATE.+slice.+state.+changed )|(ment ac)|(multiple cpu faults)|(system.+state.+changed )|(\[timeout)|(PRM\|1\|D)|(kpr)|(kdp)|(\|lc)|(penalty))" /e /r /s</v>
      </c>
      <c r="AG218" s="1" t="str">
        <f t="shared" si="89"/>
        <v>Other</v>
      </c>
      <c r="AH218" s="92" t="str">
        <f t="shared" si="78"/>
        <v>"%USERPROFILE%\Documents\GitHub\eaglep3\Utilities\RefineRTDCRunTimes.py" --tripid 311-09 --locoid 4022 --swversion DE.1.0.8.0 --startMP 204:440 --initTime 2016-12-10T01:40:47 --startdatetime 2016-12-10T01:43:50 --delay 2 --endMP 300:22843 --enddatetime 2016-12-10T01:51:23 --enforcementcount 0 &gt;&gt;C:\Users\stu\Documents\GitHub\eaglep3-reporting\EC\2016-12-09-refined-times.txt</v>
      </c>
      <c r="AI218" s="119" t="str">
        <f t="shared" si="79"/>
        <v>echo {"issue":{"subject":"","project_id":79,"tracker_id":40,"status_id":1,"priority_id":2,"assigned_to_id":23,"start_date":"2016-12-10","description":"","custom_fields":[{"id":1,"name":"Subdivision","value":"Other"},{"id":4,"name":"Milepost","value":"2.2843"},{"id":17,"name":"Train ID","value":"311-09"},{"id":16,"name":"Locomotive ID","value":"4022"},{"id":130,"name":"Impact","value":""},{"id":150,"name":"Time of Event (Mountain Time)","value":"01:51:23"},{"id":151,"name":"Denver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402</v>
      </c>
      <c r="B219" s="7">
        <v>4002</v>
      </c>
      <c r="C219" s="22" t="s">
        <v>206</v>
      </c>
      <c r="D219" s="22" t="s">
        <v>470</v>
      </c>
      <c r="E219" s="13">
        <v>42714.087488425925</v>
      </c>
      <c r="F219" s="13">
        <v>25568.708333333332</v>
      </c>
      <c r="G219" s="7">
        <v>1</v>
      </c>
      <c r="H219" s="22" t="s">
        <v>471</v>
      </c>
      <c r="I219" s="13">
        <v>25568.708333333332</v>
      </c>
      <c r="J219" s="7">
        <v>0</v>
      </c>
      <c r="K219" s="109" t="str">
        <f t="shared" si="80"/>
        <v>4001/4002</v>
      </c>
      <c r="L219" s="22" t="str">
        <f>VLOOKUP(A219,'Trips&amp;Operators'!$C$1:$G$99999,5,FALSE)</f>
        <v>STAMBAUGH JAMES</v>
      </c>
      <c r="M219" s="6">
        <f t="shared" si="81"/>
        <v>0</v>
      </c>
      <c r="N219" s="7">
        <f t="shared" si="76"/>
        <v>0</v>
      </c>
      <c r="O219" s="7"/>
      <c r="P219" s="7"/>
      <c r="Q219" s="23"/>
      <c r="R219" s="23"/>
      <c r="S219" s="35">
        <f t="shared" si="77"/>
        <v>1</v>
      </c>
      <c r="T219" s="50" t="str">
        <f t="shared" si="82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https://search-rtdc-monitor-bjffxe2xuh6vdkpspy63sjmuny.us-east-1.es.amazonaws.com/_plugin/kibana/#/discover/Steve-Slow-Train-Analysis-(2080s-and-2083s)?_g=(refreshInterval:(display:Off,section:0,value:0),time:(from:'2016-12-10 01:05:59-700',mode:absolute,to:'1969-12-31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19" s="52" t="str">
        <f t="shared" si="84"/>
        <v>Y</v>
      </c>
      <c r="X219" s="177">
        <f t="shared" si="75"/>
        <v>2</v>
      </c>
      <c r="Y219" s="67">
        <f t="shared" si="74"/>
        <v>5.6599999999999998E-2</v>
      </c>
      <c r="Z219" s="67">
        <f t="shared" ref="Z219:Z235" si="90">RIGHT(H219,LEN(H219)-4)/10000</f>
        <v>2.3138000000000001</v>
      </c>
      <c r="AA219" s="67">
        <f t="shared" si="85"/>
        <v>2.2572000000000001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86"/>
        <v>0313-09</v>
      </c>
      <c r="AE219" s="91" t="str">
        <f t="shared" si="87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19" s="88" t="str">
        <f t="shared" si="88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19" s="1" t="str">
        <f t="shared" si="89"/>
        <v>Other</v>
      </c>
      <c r="AH219" s="92" t="str">
        <f t="shared" si="78"/>
        <v>"%USERPROFILE%\Documents\GitHub\eaglep3\Utilities\RefineRTDCRunTimes.py" --tripid 313-09 --locoid 4002 --swversion DE.1.0.8.0 --startMP 204:566 --initTime 2016-12-10T02:05:59 --startdatetime 1969-12-31T17:00:00 --delay 1 --endMP 300:23138 --enddatetime 1969-12-31T17:00:00 --enforcementcount 0 &gt;&gt;C:\Users\stu\Documents\GitHub\eaglep3-reporting\EC\2016-12-09-refined-times.txt</v>
      </c>
      <c r="AI219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{"issue":{"subject":"","project_id":79,"tracker_id":40,"status_id":1,"priority_id":2,"assigned_to_id":23,"start_date":"1969-12-31","description":"","custom_fields":[{"id":1,"name":"Subdivision","value":"Other"},{"id":4,"name":"Milepost","value":"2.3138"},{"id":17,"name":"Train ID","value":"313-09"},{"id":16,"name":"Locomotive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368</v>
      </c>
      <c r="B220" s="7">
        <v>4014</v>
      </c>
      <c r="C220" s="22" t="s">
        <v>206</v>
      </c>
      <c r="D220" s="22" t="s">
        <v>194</v>
      </c>
      <c r="E220" s="13">
        <v>42713.089560185188</v>
      </c>
      <c r="F220" s="13">
        <v>25568.708333333332</v>
      </c>
      <c r="G220" s="7">
        <v>1</v>
      </c>
      <c r="H220" s="22" t="s">
        <v>384</v>
      </c>
      <c r="I220" s="13">
        <v>25568.708333333332</v>
      </c>
      <c r="J220" s="7">
        <v>0</v>
      </c>
      <c r="K220" s="109" t="str">
        <f t="shared" si="80"/>
        <v>4013/4014</v>
      </c>
      <c r="L220" s="22" t="str">
        <f>VLOOKUP(A220,'Trips&amp;Operators'!$C$1:$G$99999,5,FALSE)</f>
        <v>STAMBAUGH JAMES</v>
      </c>
      <c r="M220" s="6">
        <f t="shared" si="81"/>
        <v>0</v>
      </c>
      <c r="N220" s="7">
        <f t="shared" si="76"/>
        <v>0</v>
      </c>
      <c r="O220" s="7"/>
      <c r="P220" s="7"/>
      <c r="Q220" s="23"/>
      <c r="R220" s="23"/>
      <c r="S220" s="35">
        <f t="shared" si="77"/>
        <v>1</v>
      </c>
      <c r="T220" s="50" t="str">
        <f t="shared" si="82"/>
        <v>NorthBound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01:08:58-700',mode:absolute,to:'1969-12-31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20" s="52" t="str">
        <f t="shared" si="84"/>
        <v>Y</v>
      </c>
      <c r="X220" s="177">
        <f t="shared" si="75"/>
        <v>2</v>
      </c>
      <c r="Y220" s="67">
        <f t="shared" ref="Y220:Y235" si="91">RIGHT(D220,LEN(D220)-4)/10000</f>
        <v>4.4699999999999997E-2</v>
      </c>
      <c r="Z220" s="67">
        <f t="shared" si="90"/>
        <v>2.3294999999999999</v>
      </c>
      <c r="AA220" s="67">
        <f t="shared" si="85"/>
        <v>2.2847999999999997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86"/>
        <v>0315-08</v>
      </c>
      <c r="AE220" s="91" t="str">
        <f t="shared" si="87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20" s="88" t="str">
        <f t="shared" si="88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20" s="1" t="str">
        <f t="shared" si="89"/>
        <v>Other</v>
      </c>
      <c r="AH220" s="92" t="str">
        <f t="shared" si="78"/>
        <v>"%USERPROFILE%\Documents\GitHub\eaglep3\Utilities\RefineRTDCRunTimes.py" --tripid 315-08 --locoid 4014 --swversion DE.1.0.8.0 --startMP 204:447 --initTime 2016-12-09T02:08:58 --startdatetime 1969-12-31T17:00:00 --delay 1 --endMP 300:23295 --enddatetime 1969-12-31T17:00:00 --enforcementcount 0 &gt;&gt;C:\Users\stu\Documents\GitHub\eaglep3-reporting\EC\2016-12-09-refined-times.txt</v>
      </c>
      <c r="AI220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ID","value":"315-08"},{"id":16,"name":"Locomotive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403</v>
      </c>
      <c r="B221" s="7">
        <v>4011</v>
      </c>
      <c r="C221" s="22" t="s">
        <v>206</v>
      </c>
      <c r="D221" s="22" t="s">
        <v>194</v>
      </c>
      <c r="E221" s="13">
        <v>42714.111273148148</v>
      </c>
      <c r="F221" s="13">
        <v>25568.708333333332</v>
      </c>
      <c r="G221" s="7">
        <v>1</v>
      </c>
      <c r="H221" s="22" t="s">
        <v>472</v>
      </c>
      <c r="I221" s="13">
        <v>25568.708333333332</v>
      </c>
      <c r="J221" s="7">
        <v>0</v>
      </c>
      <c r="K221" s="109" t="str">
        <f t="shared" si="80"/>
        <v>4011/4012</v>
      </c>
      <c r="L221" s="22" t="str">
        <f>VLOOKUP(A221,'Trips&amp;Operators'!$C$1:$G$99999,5,FALSE)</f>
        <v>LEVIN SCOTT</v>
      </c>
      <c r="M221" s="6">
        <f t="shared" si="81"/>
        <v>0</v>
      </c>
      <c r="N221" s="7">
        <f t="shared" si="76"/>
        <v>0</v>
      </c>
      <c r="O221" s="7"/>
      <c r="P221" s="7"/>
      <c r="Q221" s="23"/>
      <c r="R221" s="23"/>
      <c r="S221" s="35">
        <f t="shared" si="77"/>
        <v>1</v>
      </c>
      <c r="T221" s="50" t="str">
        <f t="shared" si="82"/>
        <v>NorthBound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https://search-rtdc-monitor-bjffxe2xuh6vdkpspy63sjmuny.us-east-1.es.amazonaws.com/_plugin/kibana/#/discover/Steve-Slow-Train-Analysis-(2080s-and-2083s)?_g=(refreshInterval:(display:Off,section:0,value:0),time:(from:'2016-12-10 01:40:14-700',mode:absolute,to:'1969-12-31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21" s="52" t="str">
        <f t="shared" si="84"/>
        <v>Y</v>
      </c>
      <c r="X221" s="177">
        <f t="shared" si="75"/>
        <v>0</v>
      </c>
      <c r="Y221" s="67">
        <f t="shared" si="91"/>
        <v>4.4699999999999997E-2</v>
      </c>
      <c r="Z221" s="67">
        <f t="shared" si="90"/>
        <v>2.3313999999999999</v>
      </c>
      <c r="AA221" s="67">
        <f t="shared" si="85"/>
        <v>2.2866999999999997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86"/>
        <v>0315-09</v>
      </c>
      <c r="AE221" s="91" t="str">
        <f t="shared" si="87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21" s="88" t="str">
        <f t="shared" si="88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221" s="1" t="str">
        <f t="shared" si="89"/>
        <v>Other</v>
      </c>
      <c r="AH221" s="92" t="str">
        <f t="shared" si="78"/>
        <v>"%USERPROFILE%\Documents\GitHub\eaglep3\Utilities\RefineRTDCRunTimes.py" --tripid 315-09 --locoid 4011 --swversion DE.1.0.8.0 --startMP 204:447 --initTime 2016-12-10T02:40:14 --startdatetime 1969-12-31T17:00:00 --delay 1 --endMP 300:23314 --enddatetime 1969-12-31T17:00:00 --enforcementcount 0 &gt;&gt;C:\Users\stu\Documents\GitHub\eaglep3-reporting\EC\2016-12-09-refined-times.txt</v>
      </c>
      <c r="AI221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ID","value":"315-09"},{"id":16,"name":"Locomotive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526</v>
      </c>
      <c r="B222" s="7">
        <v>4044</v>
      </c>
      <c r="C222" s="22" t="s">
        <v>206</v>
      </c>
      <c r="D222" s="22" t="s">
        <v>800</v>
      </c>
      <c r="E222" s="13">
        <v>42713.194282407407</v>
      </c>
      <c r="F222" s="13">
        <v>42713.199456018519</v>
      </c>
      <c r="G222" s="7">
        <v>7</v>
      </c>
      <c r="H222" s="22" t="s">
        <v>801</v>
      </c>
      <c r="I222" s="13">
        <v>42713.205150462964</v>
      </c>
      <c r="J222" s="7">
        <v>0</v>
      </c>
      <c r="K222" s="109" t="str">
        <f t="shared" si="80"/>
        <v>4043/4044</v>
      </c>
      <c r="L222" s="22" t="str">
        <f>VLOOKUP(A222,'Trips&amp;Operators'!$C$1:$G$99999,5,FALSE)</f>
        <v>STRICKLAND EVAN</v>
      </c>
      <c r="M222" s="6">
        <f t="shared" si="81"/>
        <v>5.694444444088731E-3</v>
      </c>
      <c r="N222" s="7">
        <f t="shared" si="76"/>
        <v>8.1999999994877726</v>
      </c>
      <c r="O222" s="7"/>
      <c r="P222" s="7"/>
      <c r="Q222" s="23"/>
      <c r="R222" s="23"/>
      <c r="S222" s="35">
        <f t="shared" si="77"/>
        <v>0</v>
      </c>
      <c r="T222" s="50" t="str">
        <f t="shared" si="82"/>
        <v>NorthBound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03:39:46-700',mode:absolute,to:'2016-12-09 05:55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2" s="52" t="str">
        <f t="shared" si="84"/>
        <v>Y</v>
      </c>
      <c r="X222" s="177">
        <f t="shared" si="75"/>
        <v>586</v>
      </c>
      <c r="Y222" s="67">
        <f t="shared" si="91"/>
        <v>3.0518999999999998</v>
      </c>
      <c r="Z222" s="67">
        <f t="shared" si="90"/>
        <v>5.8967000000000001</v>
      </c>
      <c r="AA222" s="67">
        <f t="shared" si="85"/>
        <v>2.8448000000000002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86"/>
        <v>0901-09</v>
      </c>
      <c r="AE222" s="91" t="str">
        <f t="shared" si="87"/>
        <v>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 &amp; aws s3 cp s3://rtdc.mdm.uploadarchive.raw/RTDC4044/ "%USERPROFILE%\AppData\Local\Temp\OnboardLogs"\RTDC4044\2016-12-10 --exclude "*" --recursive --include "*20161210*" &amp; "%USERPROFILE%\Documents\GitHub\mrs-test-scripts\Headless Mode &amp; Sideloading\WalkAndUnGZ.bat" "%USERPROFILE%\AppData\Local\Temp\OnboardLogs"\RTDC4044\2016-12-10</v>
      </c>
      <c r="AF222" s="88" t="str">
        <f t="shared" si="88"/>
        <v>"C:\Program Files (x86)\AstroGrep\AstroGrep.exe" /spath="%USERPROFILE%\AppData\Local\Temp\OnboardLogs" /stypes="app*4044*20161209*" /stext=" 11:.+((SYSTEM_STATE.+slice.+state.+changed )|(ment ac)|(multiple cpu faults)|(system.+state.+changed )|(\[timeout)|(PRM\|1\|D)|(kpr)|(kdp)|(\|lc)|(penalty))" /e /r /s</v>
      </c>
      <c r="AG222" s="1" t="str">
        <f t="shared" si="89"/>
        <v>Other</v>
      </c>
      <c r="AH222" s="92" t="str">
        <f t="shared" si="78"/>
        <v>"%USERPROFILE%\Documents\GitHub\eaglep3\Utilities\RefineRTDCRunTimes.py" --tripid 901-09 --locoid 4044 --swversion DE.1.0.8.0 --startMP 300:30519 --initTime 2016-12-09T04:39:46 --startdatetime 2016-12-09T04:47:13 --delay 7 --endMP 300:58967 --enddatetime 2016-12-09T04:55:25 --enforcementcount 0 &gt;&gt;C:\Users\stu\Documents\GitHub\eaglep3-reporting\EC\2016-12-09-refined-times.txt</v>
      </c>
      <c r="AI222" s="119" t="str">
        <f t="shared" si="79"/>
        <v>echo {"issue":{"subject":"","project_id":79,"tracker_id":40,"status_id":1,"priority_id":2,"assigned_to_id":23,"start_date":"2016-12-09","description":"","custom_fields":[{"id":1,"name":"Subdivision","value":"Other"},{"id":4,"name":"Milepost","value":"5.8967"},{"id":17,"name":"Train ID","value":"901-09"},{"id":16,"name":"Locomotive ID","value":"4044"},{"id":130,"name":"Impact","value":""},{"id":150,"name":"Time of Event (Mountain Time)","value":"04:55:25"},{"id":151,"name":"Denver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539</v>
      </c>
      <c r="B223" s="7">
        <v>4039</v>
      </c>
      <c r="C223" s="22" t="s">
        <v>206</v>
      </c>
      <c r="D223" s="22" t="s">
        <v>802</v>
      </c>
      <c r="E223" s="13">
        <v>42713.249918981484</v>
      </c>
      <c r="F223" s="13">
        <v>42713.251099537039</v>
      </c>
      <c r="G223" s="7">
        <v>1</v>
      </c>
      <c r="H223" s="22" t="s">
        <v>416</v>
      </c>
      <c r="I223" s="13">
        <v>42713.256574074076</v>
      </c>
      <c r="J223" s="7">
        <v>0</v>
      </c>
      <c r="K223" s="109" t="str">
        <f t="shared" si="80"/>
        <v>4039/4040</v>
      </c>
      <c r="L223" s="22" t="str">
        <f>VLOOKUP(A223,'Trips&amp;Operators'!$C$1:$G$99999,5,FALSE)</f>
        <v>YORK EDGAR</v>
      </c>
      <c r="M223" s="6">
        <f t="shared" si="81"/>
        <v>5.4745370362070389E-3</v>
      </c>
      <c r="N223" s="7">
        <f t="shared" si="76"/>
        <v>7.883333332138136</v>
      </c>
      <c r="O223" s="7"/>
      <c r="P223" s="7"/>
      <c r="Q223" s="23"/>
      <c r="R223" s="23"/>
      <c r="S223" s="35">
        <f t="shared" si="77"/>
        <v>1</v>
      </c>
      <c r="T223" s="50" t="str">
        <f t="shared" si="82"/>
        <v>Southbound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04:59:53-700',mode:absolute,to:'2016-12-09 07:09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3" s="52" t="str">
        <f t="shared" si="84"/>
        <v>Y</v>
      </c>
      <c r="X223" s="177">
        <f t="shared" si="75"/>
        <v>1</v>
      </c>
      <c r="Y223" s="67">
        <f t="shared" si="91"/>
        <v>2.2130000000000001</v>
      </c>
      <c r="Z223" s="67">
        <f t="shared" si="90"/>
        <v>7.4099999999999999E-2</v>
      </c>
      <c r="AA223" s="67">
        <f t="shared" si="85"/>
        <v>2.1389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86"/>
        <v>0902-09</v>
      </c>
      <c r="AE223" s="91" t="str">
        <f t="shared" si="87"/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AF223" s="88" t="str">
        <f t="shared" si="88"/>
        <v>"C:\Program Files (x86)\AstroGrep\AstroGrep.exe" /spath="%USERPROFILE%\AppData\Local\Temp\OnboardLogs" /stypes="app*4039*20161209*" /stext=" 13:.+((SYSTEM_STATE.+slice.+state.+changed )|(ment ac)|(multiple cpu faults)|(system.+state.+changed )|(\[timeout)|(PRM\|1\|D)|(kpr)|(kdp)|(\|lc)|(penalty))" /e /r /s</v>
      </c>
      <c r="AG223" s="1" t="str">
        <f t="shared" si="89"/>
        <v>Other</v>
      </c>
      <c r="AH223" s="92" t="str">
        <f t="shared" si="78"/>
        <v>"%USERPROFILE%\Documents\GitHub\eaglep3\Utilities\RefineRTDCRunTimes.py" --tripid 902-09 --locoid 4039 --swversion DE.1.0.8.0 --startMP 300:22130 --initTime 2016-12-09T05:59:53 --startdatetime 2016-12-09T06:01:35 --delay 1 --endMP 204:741 --enddatetime 2016-12-09T06:09:28 --enforcementcount 0 &gt;&gt;C:\Users\stu\Documents\GitHub\eaglep3-reporting\EC\2016-12-09-refined-times.txt</v>
      </c>
      <c r="AI223" s="119" t="str">
        <f t="shared" si="79"/>
        <v>echo {"issue":{"subject":"","project_id":79,"tracker_id":40,"status_id":1,"priority_id":2,"assigned_to_id":23,"start_date":"2016-12-09","description":"","custom_fields":[{"id":1,"name":"Subdivision","value":"Other"},{"id":4,"name":"Milepost","value":"0.0741"},{"id":17,"name":"Train ID","value":"902-09"},{"id":16,"name":"Locomotive ID","value":"4039"},{"id":130,"name":"Impact","value":""},{"id":150,"name":"Time of Event (Mountain Time)","value":"06:09:28"},{"id":151,"name":"Denver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564</v>
      </c>
      <c r="B224" s="7">
        <v>4044</v>
      </c>
      <c r="C224" s="22" t="s">
        <v>206</v>
      </c>
      <c r="D224" s="22" t="s">
        <v>803</v>
      </c>
      <c r="E224" s="13">
        <v>42713.353900462964</v>
      </c>
      <c r="F224" s="13">
        <v>42713.359027777777</v>
      </c>
      <c r="G224" s="7">
        <v>1</v>
      </c>
      <c r="H224" s="22" t="s">
        <v>804</v>
      </c>
      <c r="I224" s="13">
        <v>42713.364699074074</v>
      </c>
      <c r="J224" s="7">
        <v>0</v>
      </c>
      <c r="K224" s="109" t="str">
        <f t="shared" si="80"/>
        <v>4043/4044</v>
      </c>
      <c r="L224" s="22" t="str">
        <f>VLOOKUP(A224,'Trips&amp;Operators'!$C$1:$G$99999,5,FALSE)</f>
        <v>BEAM ROSS</v>
      </c>
      <c r="M224" s="6">
        <f t="shared" si="81"/>
        <v>5.6712962978053838E-3</v>
      </c>
      <c r="N224" s="7">
        <f t="shared" si="76"/>
        <v>8.1666666688397527</v>
      </c>
      <c r="O224" s="7"/>
      <c r="P224" s="7"/>
      <c r="Q224" s="23"/>
      <c r="R224" s="23"/>
      <c r="S224" s="35">
        <f t="shared" si="77"/>
        <v>1</v>
      </c>
      <c r="T224" s="50" t="str">
        <f t="shared" si="82"/>
        <v>NorthBound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1</v>
      </c>
      <c r="V224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07:29:37-700',mode:absolute,to:'2016-12-09 09:45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24" s="52" t="str">
        <f t="shared" si="84"/>
        <v>Y</v>
      </c>
      <c r="X224" s="177">
        <f t="shared" si="75"/>
        <v>1</v>
      </c>
      <c r="Y224" s="67">
        <f t="shared" si="91"/>
        <v>0.1055</v>
      </c>
      <c r="Z224" s="67">
        <f t="shared" si="90"/>
        <v>3.1145999999999998</v>
      </c>
      <c r="AA224" s="67">
        <f t="shared" si="85"/>
        <v>3.0090999999999997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86"/>
        <v>0903-09</v>
      </c>
      <c r="AE224" s="91" t="str">
        <f t="shared" si="87"/>
        <v>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 &amp; aws s3 cp s3://rtdc.mdm.uploadarchive.raw/RTDC4044/ "%USERPROFILE%\AppData\Local\Temp\OnboardLogs"\RTDC4044\2016-12-10 --exclude "*" --recursive --include "*20161210*" &amp; "%USERPROFILE%\Documents\GitHub\mrs-test-scripts\Headless Mode &amp; Sideloading\WalkAndUnGZ.bat" "%USERPROFILE%\AppData\Local\Temp\OnboardLogs"\RTDC4044\2016-12-10</v>
      </c>
      <c r="AF224" s="88" t="str">
        <f t="shared" si="88"/>
        <v>"C:\Program Files (x86)\AstroGrep\AstroGrep.exe" /spath="%USERPROFILE%\AppData\Local\Temp\OnboardLogs" /stypes="app*4044*20161209*" /stext=" 15:.+((SYSTEM_STATE.+slice.+state.+changed )|(ment ac)|(multiple cpu faults)|(system.+state.+changed )|(\[timeout)|(PRM\|1\|D)|(kpr)|(kdp)|(\|lc)|(penalty))" /e /r /s</v>
      </c>
      <c r="AG224" s="1" t="str">
        <f t="shared" si="89"/>
        <v>Other</v>
      </c>
      <c r="AH224" s="92" t="str">
        <f t="shared" si="78"/>
        <v>"%USERPROFILE%\Documents\GitHub\eaglep3\Utilities\RefineRTDCRunTimes.py" --tripid 903-09 --locoid 4044 --swversion DE.1.0.8.0 --startMP 204:1055 --initTime 2016-12-09T08:29:37 --startdatetime 2016-12-09T08:37:00 --delay 1 --endMP 300:31146 --enddatetime 2016-12-09T08:45:10 --enforcementcount 0 &gt;&gt;C:\Users\stu\Documents\GitHub\eaglep3-reporting\EC\2016-12-09-refined-times.txt</v>
      </c>
      <c r="AI224" s="119" t="str">
        <f t="shared" si="79"/>
        <v>echo {"issue":{"subject":"","project_id":79,"tracker_id":40,"status_id":1,"priority_id":2,"assigned_to_id":23,"start_date":"2016-12-09","description":"","custom_fields":[{"id":1,"name":"Subdivision","value":"Other"},{"id":4,"name":"Milepost","value":"3.1146"},{"id":17,"name":"Train ID","value":"903-09"},{"id":16,"name":"Locomotive ID","value":"4044"},{"id":130,"name":"Impact","value":""},{"id":150,"name":"Time of Event (Mountain Time)","value":"08:45:10"},{"id":151,"name":"Denver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8" x14ac:dyDescent="0.25">
      <c r="A225" s="37" t="s">
        <v>504</v>
      </c>
      <c r="B225" s="7">
        <v>4043</v>
      </c>
      <c r="C225" s="22" t="s">
        <v>206</v>
      </c>
      <c r="D225" s="22" t="s">
        <v>805</v>
      </c>
      <c r="E225" s="13">
        <v>42713.640613425923</v>
      </c>
      <c r="F225" s="13">
        <v>42713.643252314818</v>
      </c>
      <c r="G225" s="7">
        <v>3</v>
      </c>
      <c r="H225" s="22" t="s">
        <v>806</v>
      </c>
      <c r="I225" s="13">
        <v>42713.643750000003</v>
      </c>
      <c r="J225" s="7">
        <v>0</v>
      </c>
      <c r="K225" s="109" t="str">
        <f t="shared" si="80"/>
        <v>4043/4044</v>
      </c>
      <c r="L225" s="22" t="str">
        <f>VLOOKUP(A225,'Trips&amp;Operators'!$C$1:$G$99999,5,FALSE)</f>
        <v>NEWELL JAMES</v>
      </c>
      <c r="M225" s="6">
        <f t="shared" si="81"/>
        <v>4.9768518510973081E-4</v>
      </c>
      <c r="N225" s="7">
        <f t="shared" si="76"/>
        <v>0.71666666655801237</v>
      </c>
      <c r="O225" s="7"/>
      <c r="P225" s="7"/>
      <c r="Q225" s="23"/>
      <c r="R225" s="23"/>
      <c r="S225" s="35">
        <f t="shared" si="77"/>
        <v>0</v>
      </c>
      <c r="T225" s="50" t="str">
        <f t="shared" si="82"/>
        <v>Southbound</v>
      </c>
      <c r="U225" s="17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14:22:29-700',mode:absolute,to:'2016-12-09 16:27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5" s="52" t="str">
        <f t="shared" si="84"/>
        <v>Y</v>
      </c>
      <c r="X225" s="177">
        <f t="shared" si="75"/>
        <v>1</v>
      </c>
      <c r="Y225" s="67">
        <f t="shared" si="91"/>
        <v>2.3531</v>
      </c>
      <c r="Z225" s="67">
        <f t="shared" si="90"/>
        <v>2.2906</v>
      </c>
      <c r="AA225" s="67">
        <f t="shared" si="85"/>
        <v>6.25E-2</v>
      </c>
      <c r="AB225" s="64" t="e">
        <f>VLOOKUP(A225,Enforcements!$C$7:$K$20,8,0)</f>
        <v>#N/A</v>
      </c>
      <c r="AC225" s="60" t="e">
        <f>VLOOKUP(A225,Enforcements!$C$7:$E$20,3,0)</f>
        <v>#N/A</v>
      </c>
      <c r="AD225" s="61" t="str">
        <f t="shared" si="86"/>
        <v>0904-09</v>
      </c>
      <c r="AE225" s="91" t="str">
        <f t="shared" si="87"/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AF225" s="88" t="str">
        <f t="shared" si="88"/>
        <v>"C:\Program Files (x86)\AstroGrep\AstroGrep.exe" /spath="%USERPROFILE%\AppData\Local\Temp\OnboardLogs" /stypes="app*4043*20161209*" /stext=" 22:.+((SYSTEM_STATE.+slice.+state.+changed )|(ment ac)|(multiple cpu faults)|(system.+state.+changed )|(\[timeout)|(PRM\|1\|D)|(kpr)|(kdp)|(\|lc)|(penalty))" /e /r /s</v>
      </c>
      <c r="AG225" s="1" t="str">
        <f t="shared" si="89"/>
        <v>Other</v>
      </c>
      <c r="AH225" s="92" t="str">
        <f t="shared" si="78"/>
        <v>"%USERPROFILE%\Documents\GitHub\eaglep3\Utilities\RefineRTDCRunTimes.py" --tripid 904-09 --locoid 4043 --swversion DE.1.0.8.0 --startMP 300:23531 --initTime 2016-12-09T15:22:29 --startdatetime 2016-12-09T15:26:17 --delay 3 --endMP 300:22906 --enddatetime 2016-12-09T15:27:00 --enforcementcount 0 &gt;&gt;C:\Users\stu\Documents\GitHub\eaglep3-reporting\EC\2016-12-09-refined-times.txt</v>
      </c>
      <c r="AI225" s="119" t="str">
        <f t="shared" si="79"/>
        <v>echo {"issue":{"subject":"","project_id":79,"tracker_id":40,"status_id":1,"priority_id":2,"assigned_to_id":23,"start_date":"2016-12-09","description":"","custom_fields":[{"id":1,"name":"Subdivision","value":"Other"},{"id":4,"name":"Milepost","value":"2.2906"},{"id":17,"name":"Train ID","value":"904-09"},{"id":16,"name":"Locomotive ID","value":"4043"},{"id":130,"name":"Impact","value":""},{"id":150,"name":"Time of Event (Mountain Time)","value":"15:27:00"},{"id":151,"name":"Denver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3"/>
      <c r="AK225" s="53"/>
      <c r="AL225" s="53"/>
    </row>
    <row r="226" spans="1:38" x14ac:dyDescent="0.25">
      <c r="A226" s="37" t="s">
        <v>662</v>
      </c>
      <c r="B226" s="7">
        <v>4043</v>
      </c>
      <c r="C226" s="22" t="s">
        <v>206</v>
      </c>
      <c r="D226" s="22" t="s">
        <v>389</v>
      </c>
      <c r="E226" s="13">
        <v>42713.795763888891</v>
      </c>
      <c r="F226" s="13">
        <v>25568.708333333332</v>
      </c>
      <c r="G226" s="7">
        <v>1</v>
      </c>
      <c r="H226" s="22" t="s">
        <v>807</v>
      </c>
      <c r="I226" s="13">
        <v>25568.708333333332</v>
      </c>
      <c r="J226" s="7">
        <v>0</v>
      </c>
      <c r="K226" s="109" t="str">
        <f t="shared" si="80"/>
        <v>4043/4044</v>
      </c>
      <c r="L226" s="22" t="str">
        <f>VLOOKUP(A226,'Trips&amp;Operators'!$C$1:$G$99999,5,FALSE)</f>
        <v>NEWELL JAMES</v>
      </c>
      <c r="M226" s="6">
        <f t="shared" si="81"/>
        <v>0</v>
      </c>
      <c r="N226" s="7">
        <f t="shared" si="76"/>
        <v>0</v>
      </c>
      <c r="O226" s="7"/>
      <c r="P226" s="7"/>
      <c r="Q226" s="23"/>
      <c r="R226" s="23"/>
      <c r="S226" s="35">
        <f t="shared" si="77"/>
        <v>0</v>
      </c>
      <c r="T226" s="50" t="str">
        <f t="shared" si="82"/>
        <v>Southbound</v>
      </c>
      <c r="U226" s="17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18:05:54-700',mode:absolute,to:'1969-12-31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26" s="52" t="str">
        <f t="shared" si="84"/>
        <v>Y</v>
      </c>
      <c r="X226" s="177">
        <f t="shared" si="75"/>
        <v>2</v>
      </c>
      <c r="Y226" s="67">
        <f t="shared" si="91"/>
        <v>5.8616999999999999</v>
      </c>
      <c r="Z226" s="67">
        <f t="shared" si="90"/>
        <v>2.8731</v>
      </c>
      <c r="AA226" s="67">
        <f t="shared" si="85"/>
        <v>2.9885999999999999</v>
      </c>
      <c r="AB226" s="64" t="e">
        <f>VLOOKUP(A226,Enforcements!$C$7:$K$20,8,0)</f>
        <v>#N/A</v>
      </c>
      <c r="AC226" s="60" t="e">
        <f>VLOOKUP(A226,Enforcements!$C$7:$E$20,3,0)</f>
        <v>#N/A</v>
      </c>
      <c r="AD226" s="61" t="str">
        <f t="shared" si="86"/>
        <v>0906-09</v>
      </c>
      <c r="AE226" s="91" t="str">
        <f t="shared" si="87"/>
        <v>aws s3 cp s3://rtdc.mdm.uploadarchive.raw/RTDC4043/ "%USERPROFILE%\AppData\Local\Temp\OnboardLogs"\RTDC4043\1969-12-31 --exclude "*" --recursive --include "*19691231*" &amp; "%USERPROFILE%\Documents\GitHub\mrs-test-scripts\Headless Mode &amp; Sideloading\WalkAndUnGZ.bat" "%USERPROFILE%\AppData\Local\Temp\OnboardLogs"\RTDC4043\1969-12-31 &amp; aws s3 cp s3://rtdc.mdm.uploadarchive.raw/RTDC4043/ "%USERPROFILE%\AppData\Local\Temp\OnboardLogs"\RTDC4043\1970-01-01 --exclude "*" --recursive --include "*19700101*" &amp; "%USERPROFILE%\Documents\GitHub\mrs-test-scripts\Headless Mode &amp; Sideloading\WalkAndUnGZ.bat" "%USERPROFILE%\AppData\Local\Temp\OnboardLogs"\RTDC4043\1970-01-01</v>
      </c>
      <c r="AF226" s="88" t="str">
        <f t="shared" si="88"/>
        <v>"C:\Program Files (x86)\AstroGrep\AstroGrep.exe" /spath="%USERPROFILE%\AppData\Local\Temp\OnboardLogs" /stypes="app*4043*19700101*" /stext=" 00:.+((SYSTEM_STATE.+slice.+state.+changed )|(ment ac)|(multiple cpu faults)|(system.+state.+changed )|(\[timeout)|(PRM\|1\|D)|(kpr)|(kdp)|(\|lc)|(penalty))" /e /r /s</v>
      </c>
      <c r="AG226" s="1" t="str">
        <f t="shared" si="89"/>
        <v>Other</v>
      </c>
      <c r="AH226" s="92" t="str">
        <f t="shared" si="78"/>
        <v>"%USERPROFILE%\Documents\GitHub\eaglep3\Utilities\RefineRTDCRunTimes.py" --tripid 906-09 --locoid 4043 --swversion DE.1.0.8.0 --startMP 300:58617 --initTime 2016-12-09T19:05:54 --startdatetime 1969-12-31T17:00:00 --delay 1 --endMP 300:28731 --enddatetime 1969-12-31T17:00:00 --enforcementcount 0 &gt;&gt;C:\Users\stu\Documents\GitHub\eaglep3-reporting\EC\2016-12-09-refined-times.txt</v>
      </c>
      <c r="AI226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{"issue":{"subject":"","project_id":79,"tracker_id":40,"status_id":1,"priority_id":2,"assigned_to_id":23,"start_date":"1969-12-31","description":"","custom_fields":[{"id":1,"name":"Subdivision","value":"Other"},{"id":4,"name":"Milepost","value":"2.8731"},{"id":17,"name":"Train ID","value":"906-09"},{"id":16,"name":"Locomotive ID","value":"4043"},{"id":130,"name":"Impact","value":""},{"id":150,"name":"Time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3"/>
      <c r="AK226" s="53"/>
      <c r="AL226" s="53"/>
    </row>
    <row r="227" spans="1:38" x14ac:dyDescent="0.25">
      <c r="A227" s="37" t="s">
        <v>489</v>
      </c>
      <c r="B227" s="7">
        <v>4045</v>
      </c>
      <c r="C227" s="22" t="s">
        <v>206</v>
      </c>
      <c r="D227" s="22" t="s">
        <v>752</v>
      </c>
      <c r="E227" s="13">
        <v>42713.432685185187</v>
      </c>
      <c r="F227" s="13">
        <v>42713.437881944446</v>
      </c>
      <c r="G227" s="7">
        <v>7</v>
      </c>
      <c r="H227" s="22" t="s">
        <v>753</v>
      </c>
      <c r="I227" s="13">
        <v>42713.441342592596</v>
      </c>
      <c r="J227" s="7">
        <v>0</v>
      </c>
      <c r="K227" s="109" t="str">
        <f t="shared" si="80"/>
        <v>4045/4046</v>
      </c>
      <c r="L227" s="22" t="str">
        <f>VLOOKUP(A227,'Trips&amp;Operators'!$C$1:$G$99999,5,FALSE)</f>
        <v>SMITH MICHAEL</v>
      </c>
      <c r="M227" s="6">
        <f t="shared" si="81"/>
        <v>3.4606481494847685E-3</v>
      </c>
      <c r="N227" s="7">
        <f t="shared" si="76"/>
        <v>4.9833333352580667</v>
      </c>
      <c r="O227" s="7"/>
      <c r="P227" s="7"/>
      <c r="Q227" s="23"/>
      <c r="R227" s="23"/>
      <c r="S227" s="35">
        <f t="shared" si="77"/>
        <v>0</v>
      </c>
      <c r="T227" s="50" t="e">
        <f t="shared" si="82"/>
        <v>#VALUE!</v>
      </c>
      <c r="U227" s="17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09:23:04-700',mode:absolute,to:'2016-12-09 11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7" s="52" t="str">
        <f t="shared" si="84"/>
        <v>Y</v>
      </c>
      <c r="X227" s="177" t="e">
        <f t="shared" si="75"/>
        <v>#VALUE!</v>
      </c>
      <c r="Y227" s="67">
        <f t="shared" si="91"/>
        <v>2.2092000000000001</v>
      </c>
      <c r="Z227" s="67">
        <f t="shared" si="90"/>
        <v>1.7716000000000001</v>
      </c>
      <c r="AA227" s="67">
        <f t="shared" si="85"/>
        <v>0.43759999999999999</v>
      </c>
      <c r="AB227" s="64" t="e">
        <f>VLOOKUP(A227,Enforcements!$C$7:$K$20,8,0)</f>
        <v>#N/A</v>
      </c>
      <c r="AC227" s="60" t="e">
        <f>VLOOKUP(A227,Enforcements!$C$7:$E$20,3,0)</f>
        <v>#N/A</v>
      </c>
      <c r="AD227" s="61" t="str">
        <f t="shared" si="86"/>
        <v>50-09</v>
      </c>
      <c r="AE227" s="91" t="str">
        <f t="shared" si="87"/>
        <v>aws s3 cp s3://rtdc.mdm.uploadarchive.raw/RTDC4045/ "%USERPROFILE%\AppData\Local\Temp\OnboardLogs"\RTDC4045\2016-12-09 --exclude "*" --recursive --include "*20161209*" &amp; "%USERPROFILE%\Documents\GitHub\mrs-test-scripts\Headless Mode &amp; Sideloading\WalkAndUnGZ.bat" "%USERPROFILE%\AppData\Local\Temp\OnboardLogs"\RTDC4045\2016-12-09 &amp; aws s3 cp s3://rtdc.mdm.uploadarchive.raw/RTDC4045/ "%USERPROFILE%\AppData\Local\Temp\OnboardLogs"\RTDC4045\2016-12-10 --exclude "*" --recursive --include "*20161210*" &amp; "%USERPROFILE%\Documents\GitHub\mrs-test-scripts\Headless Mode &amp; Sideloading\WalkAndUnGZ.bat" "%USERPROFILE%\AppData\Local\Temp\OnboardLogs"\RTDC4045\2016-12-10</v>
      </c>
      <c r="AF227" s="88" t="str">
        <f t="shared" si="88"/>
        <v>"C:\Program Files (x86)\AstroGrep\AstroGrep.exe" /spath="%USERPROFILE%\AppData\Local\Temp\OnboardLogs" /stypes="app*4045*20161209*" /stext=" 17:.+((SYSTEM_STATE.+slice.+state.+changed )|(ment ac)|(multiple cpu faults)|(system.+state.+changed )|(\[timeout)|(PRM\|1\|D)|(kpr)|(kdp)|(\|lc)|(penalty))" /e /r /s</v>
      </c>
      <c r="AG227" s="1" t="str">
        <f t="shared" si="89"/>
        <v>Other</v>
      </c>
      <c r="AH227" s="92" t="str">
        <f t="shared" si="78"/>
        <v>"%USERPROFILE%\Documents\GitHub\eaglep3\Utilities\RefineRTDCRunTimes.py" --tripid 50-09 --locoid 4045 --swversion DE.1.0.8.0 --startMP 300:22092 --initTime 2016-12-09T10:23:04 --startdatetime 2016-12-09T10:30:33 --delay 7 --endMP 300:17716 --enddatetime 2016-12-09T10:35:32 --enforcementcount 0 &gt;&gt;C:\Users\stu\Documents\GitHub\eaglep3-reporting\EC\2016-12-09-refined-times.txt</v>
      </c>
      <c r="AI227" s="119" t="str">
        <f t="shared" si="79"/>
        <v>echo {"issue":{"subject":"","project_id":79,"tracker_id":40,"status_id":1,"priority_id":2,"assigned_to_id":23,"start_date":"2016-12-09","description":"","custom_fields":[{"id":1,"name":"Subdivision","value":"Other"},{"id":4,"name":"Milepost","value":"1.7716"},{"id":17,"name":"Train ID","value":"50-09"},{"id":16,"name":"Locomotive ID","value":"4045"},{"id":130,"name":"Impact","value":""},{"id":150,"name":"Time of Event (Mountain Time)","value":"10:35:32"},{"id":151,"name":"Denver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3"/>
      <c r="AK227" s="53"/>
      <c r="AL227" s="53"/>
    </row>
    <row r="228" spans="1:38" x14ac:dyDescent="0.25">
      <c r="A228" s="37" t="s">
        <v>585</v>
      </c>
      <c r="B228" s="7">
        <v>4046</v>
      </c>
      <c r="C228" s="22" t="s">
        <v>206</v>
      </c>
      <c r="D228" s="22" t="s">
        <v>754</v>
      </c>
      <c r="E228" s="13">
        <v>42713.468900462962</v>
      </c>
      <c r="F228" s="13">
        <v>25568.708333333332</v>
      </c>
      <c r="G228" s="7">
        <v>1</v>
      </c>
      <c r="H228" s="22" t="s">
        <v>383</v>
      </c>
      <c r="I228" s="13">
        <v>25568.708333333332</v>
      </c>
      <c r="J228" s="7">
        <v>0</v>
      </c>
      <c r="K228" s="109" t="str">
        <f t="shared" si="80"/>
        <v>4045/4046</v>
      </c>
      <c r="L228" s="22" t="str">
        <f>VLOOKUP(A228,'Trips&amp;Operators'!$C$1:$G$99999,5,FALSE)</f>
        <v>GRASTON MATHEU</v>
      </c>
      <c r="M228" s="6">
        <f t="shared" si="81"/>
        <v>0</v>
      </c>
      <c r="N228" s="7">
        <f t="shared" si="76"/>
        <v>0</v>
      </c>
      <c r="O228" s="7"/>
      <c r="P228" s="7"/>
      <c r="Q228" s="23"/>
      <c r="R228" s="23"/>
      <c r="S228" s="35">
        <f t="shared" si="77"/>
        <v>0</v>
      </c>
      <c r="T228" s="50" t="e">
        <f t="shared" si="82"/>
        <v>#VALUE!</v>
      </c>
      <c r="U228" s="17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10:15:13-700',mode:absolute,to:'1969-12-31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28" s="52" t="str">
        <f t="shared" si="84"/>
        <v>Y</v>
      </c>
      <c r="X228" s="177" t="e">
        <f t="shared" si="75"/>
        <v>#VALUE!</v>
      </c>
      <c r="Y228" s="67">
        <f t="shared" si="91"/>
        <v>0.1203</v>
      </c>
      <c r="Z228" s="67">
        <f t="shared" si="90"/>
        <v>2.3304</v>
      </c>
      <c r="AA228" s="67">
        <f t="shared" si="85"/>
        <v>2.2101000000000002</v>
      </c>
      <c r="AB228" s="64" t="e">
        <f>VLOOKUP(A228,Enforcements!$C$7:$K$20,8,0)</f>
        <v>#N/A</v>
      </c>
      <c r="AC228" s="60" t="e">
        <f>VLOOKUP(A228,Enforcements!$C$7:$E$20,3,0)</f>
        <v>#N/A</v>
      </c>
      <c r="AD228" s="61" t="str">
        <f t="shared" si="86"/>
        <v>51-09</v>
      </c>
      <c r="AE228" s="91" t="str">
        <f t="shared" si="87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28" s="88" t="str">
        <f t="shared" si="88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28" s="1" t="str">
        <f t="shared" si="89"/>
        <v>Other</v>
      </c>
      <c r="AH228" s="92" t="str">
        <f t="shared" si="78"/>
        <v>"%USERPROFILE%\Documents\GitHub\eaglep3\Utilities\RefineRTDCRunTimes.py" --tripid 51-09 --locoid 4046 --swversion DE.1.0.8.0 --startMP 204:1203 --initTime 2016-12-09T11:15:13 --startdatetime 1969-12-31T17:00:00 --delay 1 --endMP 300:23304 --enddatetime 1969-12-31T17:00:00 --enforcementcount 0 &gt;&gt;C:\Users\stu\Documents\GitHub\eaglep3-reporting\EC\2016-12-09-refined-times.txt</v>
      </c>
      <c r="AI228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ID","value":"51-09"},{"id":16,"name":"Locomotive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3"/>
      <c r="AK228" s="53"/>
      <c r="AL228" s="53"/>
    </row>
    <row r="229" spans="1:38" x14ac:dyDescent="0.25">
      <c r="A229" s="37" t="s">
        <v>592</v>
      </c>
      <c r="B229" s="7">
        <v>4045</v>
      </c>
      <c r="C229" s="22" t="s">
        <v>206</v>
      </c>
      <c r="D229" s="22" t="s">
        <v>755</v>
      </c>
      <c r="E229" s="13">
        <v>42713.484143518515</v>
      </c>
      <c r="F229" s="13">
        <v>42713.485497685186</v>
      </c>
      <c r="G229" s="7">
        <v>1</v>
      </c>
      <c r="H229" s="22" t="s">
        <v>756</v>
      </c>
      <c r="I229" s="13">
        <v>42713.491851851853</v>
      </c>
      <c r="J229" s="7">
        <v>0</v>
      </c>
      <c r="K229" s="109" t="str">
        <f t="shared" si="80"/>
        <v>4045/4046</v>
      </c>
      <c r="L229" s="22" t="str">
        <f>VLOOKUP(A229,'Trips&amp;Operators'!$C$1:$G$99999,5,FALSE)</f>
        <v>HOLCOMB KAMDEN</v>
      </c>
      <c r="M229" s="6">
        <f t="shared" si="81"/>
        <v>6.3541666677338071E-3</v>
      </c>
      <c r="N229" s="7">
        <f t="shared" si="76"/>
        <v>9.1500000015366822</v>
      </c>
      <c r="O229" s="7"/>
      <c r="P229" s="7"/>
      <c r="Q229" s="23"/>
      <c r="R229" s="23"/>
      <c r="S229" s="35">
        <f t="shared" si="77"/>
        <v>0</v>
      </c>
      <c r="T229" s="50" t="e">
        <f t="shared" si="82"/>
        <v>#VALUE!</v>
      </c>
      <c r="U229" s="17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10:37:10-700',mode:absolute,to:'2016-12-09 12:48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9" s="52" t="str">
        <f t="shared" si="84"/>
        <v>Y</v>
      </c>
      <c r="X229" s="177" t="e">
        <f t="shared" si="75"/>
        <v>#VALUE!</v>
      </c>
      <c r="Y229" s="67">
        <f t="shared" si="91"/>
        <v>2.1831</v>
      </c>
      <c r="Z229" s="67">
        <f t="shared" si="90"/>
        <v>8.72E-2</v>
      </c>
      <c r="AA229" s="67">
        <f t="shared" si="85"/>
        <v>2.0958999999999999</v>
      </c>
      <c r="AB229" s="64" t="e">
        <f>VLOOKUP(A229,Enforcements!$C$7:$K$20,8,0)</f>
        <v>#N/A</v>
      </c>
      <c r="AC229" s="60" t="e">
        <f>VLOOKUP(A229,Enforcements!$C$7:$E$20,3,0)</f>
        <v>#N/A</v>
      </c>
      <c r="AD229" s="61" t="str">
        <f t="shared" si="86"/>
        <v>54-09</v>
      </c>
      <c r="AE229" s="91" t="str">
        <f t="shared" si="87"/>
        <v>aws s3 cp s3://rtdc.mdm.uploadarchive.raw/RTDC4045/ "%USERPROFILE%\AppData\Local\Temp\OnboardLogs"\RTDC4045\2016-12-09 --exclude "*" --recursive --include "*20161209*" &amp; "%USERPROFILE%\Documents\GitHub\mrs-test-scripts\Headless Mode &amp; Sideloading\WalkAndUnGZ.bat" "%USERPROFILE%\AppData\Local\Temp\OnboardLogs"\RTDC4045\2016-12-09 &amp; aws s3 cp s3://rtdc.mdm.uploadarchive.raw/RTDC4045/ "%USERPROFILE%\AppData\Local\Temp\OnboardLogs"\RTDC4045\2016-12-10 --exclude "*" --recursive --include "*20161210*" &amp; "%USERPROFILE%\Documents\GitHub\mrs-test-scripts\Headless Mode &amp; Sideloading\WalkAndUnGZ.bat" "%USERPROFILE%\AppData\Local\Temp\OnboardLogs"\RTDC4045\2016-12-10</v>
      </c>
      <c r="AF229" s="88" t="str">
        <f t="shared" si="88"/>
        <v>"C:\Program Files (x86)\AstroGrep\AstroGrep.exe" /spath="%USERPROFILE%\AppData\Local\Temp\OnboardLogs" /stypes="app*4045*20161209*" /stext=" 18:.+((SYSTEM_STATE.+slice.+state.+changed )|(ment ac)|(multiple cpu faults)|(system.+state.+changed )|(\[timeout)|(PRM\|1\|D)|(kpr)|(kdp)|(\|lc)|(penalty))" /e /r /s</v>
      </c>
      <c r="AG229" s="1" t="str">
        <f t="shared" si="89"/>
        <v>Other</v>
      </c>
      <c r="AH229" s="92" t="str">
        <f t="shared" si="78"/>
        <v>"%USERPROFILE%\Documents\GitHub\eaglep3\Utilities\RefineRTDCRunTimes.py" --tripid 54-09 --locoid 4045 --swversion DE.1.0.8.0 --startMP 300:21831 --initTime 2016-12-09T11:37:10 --startdatetime 2016-12-09T11:39:07 --delay 1 --endMP 204:872 --enddatetime 2016-12-09T11:48:16 --enforcementcount 0 &gt;&gt;C:\Users\stu\Documents\GitHub\eaglep3-reporting\EC\2016-12-09-refined-times.txt</v>
      </c>
      <c r="AI229" s="119" t="str">
        <f t="shared" si="79"/>
        <v>echo {"issue":{"subject":"","project_id":79,"tracker_id":40,"status_id":1,"priority_id":2,"assigned_to_id":23,"start_date":"2016-12-09","description":"","custom_fields":[{"id":1,"name":"Subdivision","value":"Other"},{"id":4,"name":"Milepost","value":"0.0872"},{"id":17,"name":"Train ID","value":"54-09"},{"id":16,"name":"Locomotive ID","value":"4045"},{"id":130,"name":"Impact","value":""},{"id":150,"name":"Time of Event (Mountain Time)","value":"11:48:16"},{"id":151,"name":"Denver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3"/>
      <c r="AK229" s="53"/>
      <c r="AL229" s="53"/>
    </row>
    <row r="230" spans="1:38" x14ac:dyDescent="0.25">
      <c r="A230" s="37" t="s">
        <v>598</v>
      </c>
      <c r="B230" s="7">
        <v>4046</v>
      </c>
      <c r="C230" s="22" t="s">
        <v>206</v>
      </c>
      <c r="D230" s="22" t="s">
        <v>757</v>
      </c>
      <c r="E230" s="13">
        <v>42713.508981481478</v>
      </c>
      <c r="F230" s="13">
        <v>25568.708333333332</v>
      </c>
      <c r="G230" s="7">
        <v>1</v>
      </c>
      <c r="H230" s="22" t="s">
        <v>383</v>
      </c>
      <c r="I230" s="13">
        <v>25568.708333333332</v>
      </c>
      <c r="J230" s="7">
        <v>0</v>
      </c>
      <c r="K230" s="109" t="str">
        <f t="shared" si="80"/>
        <v>4045/4046</v>
      </c>
      <c r="L230" s="22" t="str">
        <f>VLOOKUP(A230,'Trips&amp;Operators'!$C$1:$G$99999,5,FALSE)</f>
        <v>ISHMAEL JOSEPH</v>
      </c>
      <c r="M230" s="6">
        <f t="shared" si="81"/>
        <v>0</v>
      </c>
      <c r="N230" s="7">
        <f t="shared" si="76"/>
        <v>0</v>
      </c>
      <c r="O230" s="7"/>
      <c r="P230" s="7"/>
      <c r="Q230" s="23"/>
      <c r="R230" s="23"/>
      <c r="S230" s="35">
        <f t="shared" si="77"/>
        <v>0</v>
      </c>
      <c r="T230" s="50" t="e">
        <f t="shared" si="82"/>
        <v>#VALUE!</v>
      </c>
      <c r="U230" s="17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11:12:56-700',mode:absolute,to:'1969-12-31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30" s="52" t="str">
        <f t="shared" si="84"/>
        <v>Y</v>
      </c>
      <c r="X230" s="177" t="e">
        <f t="shared" si="75"/>
        <v>#VALUE!</v>
      </c>
      <c r="Y230" s="67">
        <f t="shared" si="91"/>
        <v>0.1186</v>
      </c>
      <c r="Z230" s="67">
        <f t="shared" si="90"/>
        <v>2.3304</v>
      </c>
      <c r="AA230" s="67">
        <f t="shared" si="85"/>
        <v>2.2118000000000002</v>
      </c>
      <c r="AB230" s="64" t="e">
        <f>VLOOKUP(A230,Enforcements!$C$7:$K$20,8,0)</f>
        <v>#N/A</v>
      </c>
      <c r="AC230" s="60" t="e">
        <f>VLOOKUP(A230,Enforcements!$C$7:$E$20,3,0)</f>
        <v>#N/A</v>
      </c>
      <c r="AD230" s="61" t="str">
        <f t="shared" si="86"/>
        <v>55-09</v>
      </c>
      <c r="AE230" s="91" t="str">
        <f t="shared" si="87"/>
        <v>aws s3 cp s3://rtdc.mdm.uploadarchive.raw/RTDC4046/ "%USERPROFILE%\AppData\Local\Temp\OnboardLogs"\RTDC4046\1969-12-31 --exclude "*" --recursive --include "*19691231*" &amp; "%USERPROFILE%\Documents\GitHub\mrs-test-scripts\Headless Mode &amp; Sideloading\WalkAndUnGZ.bat" "%USERPROFILE%\AppData\Local\Temp\OnboardLogs"\RTDC4046\1969-12-31 &amp; aws s3 cp s3://rtdc.mdm.uploadarchive.raw/RTDC4046/ "%USERPROFILE%\AppData\Local\Temp\OnboardLogs"\RTDC4046\1970-01-01 --exclude "*" --recursive --include "*19700101*" &amp; "%USERPROFILE%\Documents\GitHub\mrs-test-scripts\Headless Mode &amp; Sideloading\WalkAndUnGZ.bat" "%USERPROFILE%\AppData\Local\Temp\OnboardLogs"\RTDC4046\1970-01-01</v>
      </c>
      <c r="AF230" s="88" t="str">
        <f t="shared" si="88"/>
        <v>"C:\Program Files (x86)\AstroGrep\AstroGrep.exe" /spath="%USERPROFILE%\AppData\Local\Temp\OnboardLogs" /stypes="app*4046*19700101*" /stext=" 00:.+((SYSTEM_STATE.+slice.+state.+changed )|(ment ac)|(multiple cpu faults)|(system.+state.+changed )|(\[timeout)|(PRM\|1\|D)|(kpr)|(kdp)|(\|lc)|(penalty))" /e /r /s</v>
      </c>
      <c r="AG230" s="1" t="str">
        <f t="shared" si="89"/>
        <v>Other</v>
      </c>
      <c r="AH230" s="92" t="str">
        <f t="shared" si="78"/>
        <v>"%USERPROFILE%\Documents\GitHub\eaglep3\Utilities\RefineRTDCRunTimes.py" --tripid 55-09 --locoid 4046 --swversion DE.1.0.8.0 --startMP 204:1186 --initTime 2016-12-09T12:12:56 --startdatetime 1969-12-31T17:00:00 --delay 1 --endMP 300:23304 --enddatetime 1969-12-31T17:00:00 --enforcementcount 0 &gt;&gt;C:\Users\stu\Documents\GitHub\eaglep3-reporting\EC\2016-12-09-refined-times.txt</v>
      </c>
      <c r="AI230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ID","value":"55-09"},{"id":16,"name":"Locomotive ID","value":"4046"},{"id":130,"name":"Impact","value":""},{"id":150,"name":"Time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3"/>
      <c r="AK230" s="53"/>
      <c r="AL230" s="53"/>
    </row>
    <row r="231" spans="1:38" x14ac:dyDescent="0.25">
      <c r="A231" s="37" t="s">
        <v>515</v>
      </c>
      <c r="B231" s="7">
        <v>4045</v>
      </c>
      <c r="C231" s="22" t="s">
        <v>206</v>
      </c>
      <c r="D231" s="22" t="s">
        <v>758</v>
      </c>
      <c r="E231" s="13">
        <v>42713.743761574071</v>
      </c>
      <c r="F231" s="13">
        <v>42713.744849537034</v>
      </c>
      <c r="G231" s="7">
        <v>1</v>
      </c>
      <c r="H231" s="22" t="s">
        <v>759</v>
      </c>
      <c r="I231" s="13">
        <v>42713.752384259256</v>
      </c>
      <c r="J231" s="7">
        <v>0</v>
      </c>
      <c r="K231" s="109" t="str">
        <f t="shared" si="80"/>
        <v>4045/4046</v>
      </c>
      <c r="L231" s="22" t="str">
        <f>VLOOKUP(A231,'Trips&amp;Operators'!$C$1:$G$99999,5,FALSE)</f>
        <v>CHANDLER KELVIN</v>
      </c>
      <c r="M231" s="6">
        <f t="shared" si="81"/>
        <v>7.5347222227719612E-3</v>
      </c>
      <c r="N231" s="7">
        <f t="shared" si="76"/>
        <v>10.850000000791624</v>
      </c>
      <c r="O231" s="7"/>
      <c r="P231" s="7"/>
      <c r="Q231" s="23"/>
      <c r="R231" s="23"/>
      <c r="S231" s="35">
        <f t="shared" si="77"/>
        <v>0</v>
      </c>
      <c r="T231" s="50" t="e">
        <f t="shared" si="82"/>
        <v>#VALUE!</v>
      </c>
      <c r="U231" s="171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16:51:01-700',mode:absolute,to:'2016-12-09 19:03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31" s="52" t="str">
        <f t="shared" si="84"/>
        <v>Y</v>
      </c>
      <c r="X231" s="177" t="e">
        <f t="shared" si="75"/>
        <v>#VALUE!</v>
      </c>
      <c r="Y231" s="67">
        <f t="shared" si="91"/>
        <v>2.1913999999999998</v>
      </c>
      <c r="Z231" s="67">
        <f t="shared" si="90"/>
        <v>0.1658</v>
      </c>
      <c r="AA231" s="67">
        <f t="shared" si="85"/>
        <v>2.0255999999999998</v>
      </c>
      <c r="AB231" s="64" t="e">
        <f>VLOOKUP(A231,Enforcements!$C$7:$K$20,8,0)</f>
        <v>#N/A</v>
      </c>
      <c r="AC231" s="60" t="e">
        <f>VLOOKUP(A231,Enforcements!$C$7:$E$20,3,0)</f>
        <v>#N/A</v>
      </c>
      <c r="AD231" s="61" t="str">
        <f t="shared" si="86"/>
        <v>72-09</v>
      </c>
      <c r="AE231" s="91" t="str">
        <f t="shared" si="87"/>
        <v>aws s3 cp s3://rtdc.mdm.uploadarchive.raw/RTDC4045/ "%USERPROFILE%\AppData\Local\Temp\OnboardLogs"\RTDC4045\2016-12-09 --exclude "*" --recursive --include "*20161209*" &amp; "%USERPROFILE%\Documents\GitHub\mrs-test-scripts\Headless Mode &amp; Sideloading\WalkAndUnGZ.bat" "%USERPROFILE%\AppData\Local\Temp\OnboardLogs"\RTDC4045\2016-12-09 &amp; aws s3 cp s3://rtdc.mdm.uploadarchive.raw/RTDC4045/ "%USERPROFILE%\AppData\Local\Temp\OnboardLogs"\RTDC4045\2016-12-10 --exclude "*" --recursive --include "*20161210*" &amp; "%USERPROFILE%\Documents\GitHub\mrs-test-scripts\Headless Mode &amp; Sideloading\WalkAndUnGZ.bat" "%USERPROFILE%\AppData\Local\Temp\OnboardLogs"\RTDC4045\2016-12-10</v>
      </c>
      <c r="AF231" s="88" t="str">
        <f t="shared" si="88"/>
        <v>"C:\Program Files (x86)\AstroGrep\AstroGrep.exe" /spath="%USERPROFILE%\AppData\Local\Temp\OnboardLogs" /stypes="app*4045*20161210*" /stext=" 01:.+((SYSTEM_STATE.+slice.+state.+changed )|(ment ac)|(multiple cpu faults)|(system.+state.+changed )|(\[timeout)|(PRM\|1\|D)|(kpr)|(kdp)|(\|lc)|(penalty))" /e /r /s</v>
      </c>
      <c r="AG231" s="1" t="str">
        <f t="shared" si="89"/>
        <v>Other</v>
      </c>
      <c r="AH231" s="92" t="str">
        <f t="shared" si="78"/>
        <v>"%USERPROFILE%\Documents\GitHub\eaglep3\Utilities\RefineRTDCRunTimes.py" --tripid 72-09 --locoid 4045 --swversion DE.1.0.8.0 --startMP 300:21914 --initTime 2016-12-09T17:51:01 --startdatetime 2016-12-09T17:52:35 --delay 1 --endMP 204:1658 --enddatetime 2016-12-09T18:03:26 --enforcementcount 0 &gt;&gt;C:\Users\stu\Documents\GitHub\eaglep3-reporting\EC\2016-12-09-refined-times.txt</v>
      </c>
      <c r="AI231" s="119" t="str">
        <f t="shared" si="79"/>
        <v>echo {"issue":{"subject":"","project_id":79,"tracker_id":40,"status_id":1,"priority_id":2,"assigned_to_id":23,"start_date":"2016-12-09","description":"","custom_fields":[{"id":1,"name":"Subdivision","value":"Other"},{"id":4,"name":"Milepost","value":"0.1658"},{"id":17,"name":"Train ID","value":"72-09"},{"id":16,"name":"Locomotive ID","value":"4045"},{"id":130,"name":"Impact","value":""},{"id":150,"name":"Time of Event (Mountain Time)","value":"18:03:26"},{"id":151,"name":"Denver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3"/>
      <c r="AK231" s="53"/>
      <c r="AL231" s="53"/>
    </row>
    <row r="232" spans="1:38" x14ac:dyDescent="0.25">
      <c r="A232" s="37" t="s">
        <v>648</v>
      </c>
      <c r="B232" s="7">
        <v>4041</v>
      </c>
      <c r="C232" s="22" t="s">
        <v>206</v>
      </c>
      <c r="D232" s="22" t="s">
        <v>760</v>
      </c>
      <c r="E232" s="13">
        <v>42713.750891203701</v>
      </c>
      <c r="F232" s="13">
        <v>25568.708333333332</v>
      </c>
      <c r="G232" s="7">
        <v>1</v>
      </c>
      <c r="H232" s="22" t="s">
        <v>761</v>
      </c>
      <c r="I232" s="13">
        <v>25568.708333333332</v>
      </c>
      <c r="J232" s="7">
        <v>0</v>
      </c>
      <c r="K232" s="109" t="str">
        <f t="shared" si="80"/>
        <v>4041/4042</v>
      </c>
      <c r="L232" s="22" t="str">
        <f>VLOOKUP(A232,'Trips&amp;Operators'!$C$1:$G$99999,5,FALSE)</f>
        <v>LALONDE GREGORY</v>
      </c>
      <c r="M232" s="6">
        <f t="shared" si="81"/>
        <v>0</v>
      </c>
      <c r="N232" s="7">
        <f t="shared" si="76"/>
        <v>0</v>
      </c>
      <c r="O232" s="7"/>
      <c r="P232" s="7"/>
      <c r="Q232" s="23"/>
      <c r="R232" s="23"/>
      <c r="S232" s="35">
        <f t="shared" si="77"/>
        <v>0</v>
      </c>
      <c r="T232" s="50" t="e">
        <f t="shared" si="82"/>
        <v>#VALUE!</v>
      </c>
      <c r="U232" s="171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17:01:17-700',mode:absolute,to:'1969-12-31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32" s="52" t="str">
        <f t="shared" si="84"/>
        <v>Y</v>
      </c>
      <c r="X232" s="177" t="e">
        <f t="shared" si="75"/>
        <v>#VALUE!</v>
      </c>
      <c r="Y232" s="67">
        <f t="shared" si="91"/>
        <v>2.1909000000000001</v>
      </c>
      <c r="Z232" s="67">
        <f t="shared" si="90"/>
        <v>0.1656</v>
      </c>
      <c r="AA232" s="67">
        <f t="shared" si="85"/>
        <v>2.0253000000000001</v>
      </c>
      <c r="AB232" s="64" t="e">
        <f>VLOOKUP(A232,Enforcements!$C$7:$K$20,8,0)</f>
        <v>#N/A</v>
      </c>
      <c r="AC232" s="60" t="e">
        <f>VLOOKUP(A232,Enforcements!$C$7:$E$20,3,0)</f>
        <v>#N/A</v>
      </c>
      <c r="AD232" s="61" t="str">
        <f t="shared" si="86"/>
        <v>74-09</v>
      </c>
      <c r="AE232" s="91" t="str">
        <f t="shared" si="87"/>
        <v>aws s3 cp s3://rtdc.mdm.uploadarchive.raw/RTDC4041/ "%USERPROFILE%\AppData\Local\Temp\OnboardLogs"\RTDC4041\1969-12-31 --exclude "*" --recursive --include "*19691231*" &amp; "%USERPROFILE%\Documents\GitHub\mrs-test-scripts\Headless Mode &amp; Sideloading\WalkAndUnGZ.bat" "%USERPROFILE%\AppData\Local\Temp\OnboardLogs"\RTDC4041\1969-12-31 &amp; aws s3 cp s3://rtdc.mdm.uploadarchive.raw/RTDC4041/ "%USERPROFILE%\AppData\Local\Temp\OnboardLogs"\RTDC4041\1970-01-01 --exclude "*" --recursive --include "*19700101*" &amp; "%USERPROFILE%\Documents\GitHub\mrs-test-scripts\Headless Mode &amp; Sideloading\WalkAndUnGZ.bat" "%USERPROFILE%\AppData\Local\Temp\OnboardLogs"\RTDC4041\1970-01-01</v>
      </c>
      <c r="AF232" s="88" t="str">
        <f t="shared" si="88"/>
        <v>"C:\Program Files (x86)\AstroGrep\AstroGrep.exe" /spath="%USERPROFILE%\AppData\Local\Temp\OnboardLogs" /stypes="app*4041*19700101*" /stext=" 00:.+((SYSTEM_STATE.+slice.+state.+changed )|(ment ac)|(multiple cpu faults)|(system.+state.+changed )|(\[timeout)|(PRM\|1\|D)|(kpr)|(kdp)|(\|lc)|(penalty))" /e /r /s</v>
      </c>
      <c r="AG232" s="1" t="str">
        <f t="shared" si="89"/>
        <v>Other</v>
      </c>
      <c r="AH232" s="92" t="str">
        <f t="shared" si="78"/>
        <v>"%USERPROFILE%\Documents\GitHub\eaglep3\Utilities\RefineRTDCRunTimes.py" --tripid 74-09 --locoid 4041 --swversion DE.1.0.8.0 --startMP 300:21909 --initTime 2016-12-09T18:01:17 --startdatetime 1969-12-31T17:00:00 --delay 1 --endMP 204:1656 --enddatetime 1969-12-31T17:00:00 --enforcementcount 0 &gt;&gt;C:\Users\stu\Documents\GitHub\eaglep3-reporting\EC\2016-12-09-refined-times.txt</v>
      </c>
      <c r="AI232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{"issue":{"subject":"","project_id":79,"tracker_id":40,"status_id":1,"priority_id":2,"assigned_to_id":23,"start_date":"1969-12-31","description":"","custom_fields":[{"id":1,"name":"Subdivision","value":"Other"},{"id":4,"name":"Milepost","value":"0.1656"},{"id":17,"name":"Train ID","value":"74-09"},{"id":16,"name":"Locomotive ID","value":"4041"},{"id":130,"name":"Impact","value":""},{"id":150,"name":"Time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3"/>
      <c r="AK232" s="53"/>
      <c r="AL232" s="53"/>
    </row>
    <row r="233" spans="1:38" x14ac:dyDescent="0.25">
      <c r="A233" s="37" t="s">
        <v>640</v>
      </c>
      <c r="B233" s="7">
        <v>4009</v>
      </c>
      <c r="C233" s="22" t="s">
        <v>206</v>
      </c>
      <c r="D233" s="22" t="s">
        <v>762</v>
      </c>
      <c r="E233" s="13">
        <v>42713.767384259256</v>
      </c>
      <c r="F233" s="13">
        <v>25568.708333333332</v>
      </c>
      <c r="G233" s="7">
        <v>1</v>
      </c>
      <c r="H233" s="22" t="s">
        <v>763</v>
      </c>
      <c r="I233" s="13">
        <v>25568.708333333332</v>
      </c>
      <c r="J233" s="7">
        <v>0</v>
      </c>
      <c r="K233" s="109" t="str">
        <f t="shared" si="80"/>
        <v>4009/4010</v>
      </c>
      <c r="L233" s="22" t="str">
        <f>VLOOKUP(A233,'Trips&amp;Operators'!$C$1:$G$99999,5,FALSE)</f>
        <v>HILLS DUSTIN</v>
      </c>
      <c r="M233" s="6">
        <f t="shared" si="81"/>
        <v>0</v>
      </c>
      <c r="N233" s="7">
        <f t="shared" si="76"/>
        <v>0</v>
      </c>
      <c r="O233" s="7"/>
      <c r="P233" s="7"/>
      <c r="Q233" s="23"/>
      <c r="R233" s="23"/>
      <c r="S233" s="35">
        <f t="shared" si="77"/>
        <v>0</v>
      </c>
      <c r="T233" s="50" t="e">
        <f t="shared" si="82"/>
        <v>#VALUE!</v>
      </c>
      <c r="U233" s="171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17:25:02-700',mode:absolute,to:'1969-12-31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3" s="52" t="str">
        <f t="shared" si="84"/>
        <v>Y</v>
      </c>
      <c r="X233" s="177" t="e">
        <f t="shared" si="75"/>
        <v>#VALUE!</v>
      </c>
      <c r="Y233" s="67">
        <f t="shared" si="91"/>
        <v>0.1171</v>
      </c>
      <c r="Z233" s="67">
        <f t="shared" si="90"/>
        <v>2.331</v>
      </c>
      <c r="AA233" s="67">
        <f t="shared" si="85"/>
        <v>2.2138999999999998</v>
      </c>
      <c r="AB233" s="64" t="e">
        <f>VLOOKUP(A233,Enforcements!$C$7:$K$20,8,0)</f>
        <v>#N/A</v>
      </c>
      <c r="AC233" s="60" t="e">
        <f>VLOOKUP(A233,Enforcements!$C$7:$E$20,3,0)</f>
        <v>#N/A</v>
      </c>
      <c r="AD233" s="61" t="str">
        <f t="shared" si="86"/>
        <v>75-09</v>
      </c>
      <c r="AE233" s="91" t="str">
        <f t="shared" si="87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33" s="88" t="str">
        <f t="shared" si="88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33" s="1" t="str">
        <f t="shared" si="89"/>
        <v>Other</v>
      </c>
      <c r="AH233" s="92" t="str">
        <f t="shared" si="78"/>
        <v>"%USERPROFILE%\Documents\GitHub\eaglep3\Utilities\RefineRTDCRunTimes.py" --tripid 75-09 --locoid 4009 --swversion DE.1.0.8.0 --startMP 204:1171 --initTime 2016-12-09T18:25:02 --startdatetime 1969-12-31T17:00:00 --delay 1 --endMP 300:23310 --enddatetime 1969-12-31T17:00:00 --enforcementcount 0 &gt;&gt;C:\Users\stu\Documents\GitHub\eaglep3-reporting\EC\2016-12-09-refined-times.txt</v>
      </c>
      <c r="AI233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ID","value":"75-09"},{"id":16,"name":"Locomotive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3"/>
      <c r="AK233" s="53"/>
      <c r="AL233" s="53"/>
    </row>
    <row r="234" spans="1:38" x14ac:dyDescent="0.25">
      <c r="A234" s="37" t="s">
        <v>640</v>
      </c>
      <c r="B234" s="7">
        <v>4051</v>
      </c>
      <c r="C234" s="22" t="s">
        <v>206</v>
      </c>
      <c r="D234" s="22" t="s">
        <v>764</v>
      </c>
      <c r="E234" s="13">
        <v>42713.714803240742</v>
      </c>
      <c r="F234" s="13">
        <v>42713.739791666667</v>
      </c>
      <c r="G234" s="7">
        <v>1</v>
      </c>
      <c r="H234" s="22" t="s">
        <v>765</v>
      </c>
      <c r="I234" s="13">
        <v>42713.771574074075</v>
      </c>
      <c r="J234" s="7">
        <v>0</v>
      </c>
      <c r="K234" s="109" t="str">
        <f t="shared" si="80"/>
        <v>4051/4052</v>
      </c>
      <c r="L234" s="22" t="str">
        <f>VLOOKUP(A234,'Trips&amp;Operators'!$C$1:$G$99999,5,FALSE)</f>
        <v>HILLS DUSTIN</v>
      </c>
      <c r="M234" s="6">
        <f t="shared" si="81"/>
        <v>3.178240740817273E-2</v>
      </c>
      <c r="N234" s="7">
        <f t="shared" si="76"/>
        <v>45.766666667768732</v>
      </c>
      <c r="O234" s="7"/>
      <c r="P234" s="7"/>
      <c r="Q234" s="23"/>
      <c r="R234" s="23"/>
      <c r="S234" s="35">
        <f t="shared" si="77"/>
        <v>0</v>
      </c>
      <c r="T234" s="50" t="e">
        <f t="shared" si="82"/>
        <v>#VALUE!</v>
      </c>
      <c r="U234" s="171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16:09:19-700',mode:absolute,to:'2016-12-09 19:31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34" s="52" t="str">
        <f t="shared" si="84"/>
        <v>Y</v>
      </c>
      <c r="X234" s="177" t="e">
        <f t="shared" si="75"/>
        <v>#VALUE!</v>
      </c>
      <c r="Y234" s="67">
        <f t="shared" si="91"/>
        <v>0.14879999999999999</v>
      </c>
      <c r="Z234" s="67">
        <f t="shared" si="90"/>
        <v>0.1477</v>
      </c>
      <c r="AA234" s="67">
        <f t="shared" si="85"/>
        <v>1.0999999999999899E-3</v>
      </c>
      <c r="AB234" s="64" t="e">
        <f>VLOOKUP(A234,Enforcements!$C$7:$K$20,8,0)</f>
        <v>#N/A</v>
      </c>
      <c r="AC234" s="60" t="e">
        <f>VLOOKUP(A234,Enforcements!$C$7:$E$20,3,0)</f>
        <v>#N/A</v>
      </c>
      <c r="AD234" s="61" t="str">
        <f t="shared" si="86"/>
        <v>75-09</v>
      </c>
      <c r="AE234" s="91" t="str">
        <f t="shared" si="87"/>
        <v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v>
      </c>
      <c r="AF234" s="88" t="str">
        <f t="shared" si="88"/>
        <v>"C:\Program Files (x86)\AstroGrep\AstroGrep.exe" /spath="%USERPROFILE%\AppData\Local\Temp\OnboardLogs" /stypes="app*4051*20161210*" /stext=" 01:.+((SYSTEM_STATE.+slice.+state.+changed )|(ment ac)|(multiple cpu faults)|(system.+state.+changed )|(\[timeout)|(PRM\|1\|D)|(kpr)|(kdp)|(\|lc)|(penalty))" /e /r /s</v>
      </c>
      <c r="AG234" s="1" t="str">
        <f t="shared" si="89"/>
        <v>Other</v>
      </c>
      <c r="AH234" s="92" t="str">
        <f t="shared" si="78"/>
        <v>"%USERPROFILE%\Documents\GitHub\eaglep3\Utilities\RefineRTDCRunTimes.py" --tripid 75-09 --locoid 4051 --swversion DE.1.0.8.0 --startMP 204:1488 --initTime 2016-12-09T17:09:19 --startdatetime 2016-12-09T17:45:18 --delay 1 --endMP 204:1477 --enddatetime 2016-12-09T18:31:04 --enforcementcount 0 &gt;&gt;C:\Users\stu\Documents\GitHub\eaglep3-reporting\EC\2016-12-09-refined-times.txt</v>
      </c>
      <c r="AI234" s="119" t="str">
        <f t="shared" si="79"/>
        <v>echo {"issue":{"subject":"","project_id":79,"tracker_id":40,"status_id":1,"priority_id":2,"assigned_to_id":23,"start_date":"2016-12-09","description":"","custom_fields":[{"id":1,"name":"Subdivision","value":"Other"},{"id":4,"name":"Milepost","value":"0.1477"},{"id":17,"name":"Train ID","value":"75-09"},{"id":16,"name":"Locomotive ID","value":"4051"},{"id":130,"name":"Impact","value":""},{"id":150,"name":"Time of Event (Mountain Time)","value":"18:31:04"},{"id":151,"name":"Denver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3"/>
      <c r="AK234" s="53"/>
      <c r="AL234" s="53"/>
    </row>
    <row r="235" spans="1:38" x14ac:dyDescent="0.25">
      <c r="A235" s="37" t="s">
        <v>670</v>
      </c>
      <c r="B235" s="7">
        <v>4025</v>
      </c>
      <c r="C235" s="22" t="s">
        <v>206</v>
      </c>
      <c r="D235" s="22" t="s">
        <v>766</v>
      </c>
      <c r="E235" s="13">
        <v>42713.818923611114</v>
      </c>
      <c r="F235" s="13">
        <v>25568.708333333332</v>
      </c>
      <c r="G235" s="7">
        <v>1</v>
      </c>
      <c r="H235" s="22" t="s">
        <v>767</v>
      </c>
      <c r="I235" s="13">
        <v>25568.708333333332</v>
      </c>
      <c r="J235" s="7">
        <v>0</v>
      </c>
      <c r="K235" s="109" t="str">
        <f t="shared" si="80"/>
        <v>4025/4026</v>
      </c>
      <c r="L235" s="22" t="str">
        <f>VLOOKUP(A235,'Trips&amp;Operators'!$C$1:$G$99999,5,FALSE)</f>
        <v>LOPES KIMBERLY</v>
      </c>
      <c r="M235" s="6">
        <f t="shared" si="81"/>
        <v>0</v>
      </c>
      <c r="N235" s="7">
        <f t="shared" si="76"/>
        <v>0</v>
      </c>
      <c r="O235" s="7"/>
      <c r="P235" s="7"/>
      <c r="Q235" s="23"/>
      <c r="R235" s="23"/>
      <c r="S235" s="35">
        <f t="shared" si="77"/>
        <v>0</v>
      </c>
      <c r="T235" s="50" t="e">
        <f t="shared" si="82"/>
        <v>#VALUE!</v>
      </c>
      <c r="U235" s="171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98" t="str">
        <f t="shared" si="83"/>
        <v>https://search-rtdc-monitor-bjffxe2xuh6vdkpspy63sjmuny.us-east-1.es.amazonaws.com/_plugin/kibana/#/discover/Steve-Slow-Train-Analysis-(2080s-and-2083s)?_g=(refreshInterval:(display:Off,section:0,value:0),time:(from:'2016-12-09 18:39:15-700',mode:absolute,to:'1969-12-31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35" s="52" t="str">
        <f t="shared" si="84"/>
        <v>Y</v>
      </c>
      <c r="X235" s="177" t="e">
        <f t="shared" si="75"/>
        <v>#VALUE!</v>
      </c>
      <c r="Y235" s="67">
        <f t="shared" si="91"/>
        <v>4.5900000000000003E-2</v>
      </c>
      <c r="Z235" s="67">
        <f t="shared" si="90"/>
        <v>2.3292999999999999</v>
      </c>
      <c r="AA235" s="67">
        <f t="shared" si="85"/>
        <v>2.2833999999999999</v>
      </c>
      <c r="AB235" s="64" t="e">
        <f>VLOOKUP(A235,Enforcements!$C$7:$K$20,8,0)</f>
        <v>#N/A</v>
      </c>
      <c r="AC235" s="60" t="e">
        <f>VLOOKUP(A235,Enforcements!$C$7:$E$20,3,0)</f>
        <v>#N/A</v>
      </c>
      <c r="AD235" s="61" t="str">
        <f t="shared" si="86"/>
        <v>79-09</v>
      </c>
      <c r="AE235" s="91" t="str">
        <f t="shared" si="87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235" s="88" t="str">
        <f t="shared" si="88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235" s="1" t="str">
        <f t="shared" si="89"/>
        <v>Other</v>
      </c>
      <c r="AH235" s="92" t="str">
        <f t="shared" si="78"/>
        <v>"%USERPROFILE%\Documents\GitHub\eaglep3\Utilities\RefineRTDCRunTimes.py" --tripid 79-09 --locoid 4025 --swversion DE.1.0.8.0 --startMP 204:459 --initTime 2016-12-09T19:39:15 --startdatetime 1969-12-31T17:00:00 --delay 1 --endMP 300:23293 --enddatetime 1969-12-31T17:00:00 --enforcementcount 0 &gt;&gt;C:\Users\stu\Documents\GitHub\eaglep3-reporting\EC\2016-12-09-refined-times.txt</v>
      </c>
      <c r="AI235" s="119" t="str">
        <f t="shared" si="79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ID","value":"79-09"},{"id":16,"name":"Locomotive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3"/>
      <c r="AK235" s="53"/>
      <c r="AL235" s="53"/>
    </row>
    <row r="236" spans="1:38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</sheetData>
  <autoFilter ref="A12:AG235"/>
  <sortState ref="A13:AH200">
    <sortCondition ref="AG13:AG200"/>
    <sortCondition ref="AD13:AD200"/>
  </sortState>
  <mergeCells count="1">
    <mergeCell ref="A11:P11"/>
  </mergeCells>
  <conditionalFormatting sqref="W11:W12 W237:X1048576 W13:X235">
    <cfRule type="cellIs" dxfId="10" priority="344" operator="equal">
      <formula>"Y"</formula>
    </cfRule>
  </conditionalFormatting>
  <conditionalFormatting sqref="X237:X1048576 X13:X235">
    <cfRule type="cellIs" dxfId="9" priority="327" operator="greaterThan">
      <formula>1</formula>
    </cfRule>
  </conditionalFormatting>
  <conditionalFormatting sqref="X237:X1048576 X12:X235">
    <cfRule type="cellIs" dxfId="8" priority="324" operator="equal">
      <formula>0</formula>
    </cfRule>
  </conditionalFormatting>
  <conditionalFormatting sqref="A13:S235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AK13:AK235</xm:sqref>
        </x14:dataValidation>
        <x14:dataValidation type="list" allowBlank="1" showInputMessage="1" showErrorMessage="1">
          <x14:formula1>
            <xm:f>'Redmine List Values'!$C$2:$C$15</xm:f>
          </x14:formula1>
          <xm:sqref>AL13:AL235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C21" sqref="C21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710937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5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45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3" t="str">
        <f>"Eagle P3 Braking Events - "&amp;TEXT(Variables!$A$2,"YYYY-mm-dd")</f>
        <v>Eagle P3 Braking Events - 2016-12-09</v>
      </c>
      <c r="B5" s="183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231</v>
      </c>
    </row>
    <row r="7" spans="1:30" s="1" customFormat="1" x14ac:dyDescent="0.25">
      <c r="A7" s="36">
        <v>42713.313287037039</v>
      </c>
      <c r="B7" s="31" t="s">
        <v>398</v>
      </c>
      <c r="C7" s="31" t="s">
        <v>480</v>
      </c>
      <c r="D7" s="31" t="s">
        <v>49</v>
      </c>
      <c r="E7" s="31" t="s">
        <v>270</v>
      </c>
      <c r="F7" s="47">
        <v>90</v>
      </c>
      <c r="G7" s="47">
        <v>149</v>
      </c>
      <c r="H7" s="47">
        <v>27445</v>
      </c>
      <c r="I7" s="47">
        <v>27255</v>
      </c>
      <c r="J7" s="31" t="s">
        <v>271</v>
      </c>
      <c r="K7" s="47">
        <v>27350</v>
      </c>
      <c r="L7" s="154" t="s">
        <v>51</v>
      </c>
      <c r="M7" s="155">
        <f t="shared" ref="M7:M38" si="0">CONVERT((I7-K7)/10000,"mi","ft")*IF(L7="Increasing Mileposts (1)",-1,1)</f>
        <v>-50.16</v>
      </c>
      <c r="N7" s="156" t="str">
        <f>VLOOKUP(C7,'Trips&amp;Operators'!$C$1:$G$99999,5,FALSE)</f>
        <v>ROBINSON KADDIBA</v>
      </c>
      <c r="O7" s="182" t="s">
        <v>195</v>
      </c>
      <c r="P7" s="157" t="s">
        <v>838</v>
      </c>
      <c r="Q7" s="31"/>
      <c r="R7" s="100" t="str">
        <f>VLOOKUP(C7,'Train Runs'!$A$13:$AE$9971,31,0)</f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S7" s="103" t="str">
        <f>VLOOKUP(C7,'Train Runs'!$A$13:$AE$9971,22,0)</f>
        <v>https://search-rtdc-monitor-bjffxe2xuh6vdkpspy63sjmuny.us-east-1.es.amazonaws.com/_plugin/kibana/#/discover/Steve-Slow-Train-Analysis-(2080s-and-2083s)?_g=(refreshInterval:(display:Off,section:0,value:0),time:(from:'2016-12-09 05:51:05-700',mode:absolute,to:'2016-12-09 08:39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/stypes="*4001*201612091*" /stext=" 14:.+((SYSTEM_STATE.+slice.+state.+changed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4001</v>
      </c>
      <c r="V7" s="36">
        <f t="shared" ref="V7:V38" si="3">A7-utc_offset/24</f>
        <v>42713.604953703703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1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arrival","project_id":79,"tracker_id":40,"status_id":1,"priority_id":2,"assigned_to_id":23,"start_date":"2016-12-09","description":"","custom_fields":[{"id":1,"name":"Subdivision","value":"EC"},{"id":4,"name":"Milepost","value":"2.735"},{"id":17,"name":"Train ID","value":"120-09"},{"id":16,"name":"Locomotive ID","value":"4001"},{"id":130,"name":"Impact","value":""},{"id":150,"name":"Time of Event (Mountain Time)","value":"07:31:08"},{"id":151,"name":"Denver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"%USERPROFILE%\AppData\Local\Temp\OnboardLogs"\RTDC4001\*4001*201612091*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"%USERPROFILE%\AppData\Local\Temp\OnboardLogs"\RTDC4001\*4001*201612091* &gt;&gt; 42713-slicedisagreementcheck.txt</v>
      </c>
    </row>
    <row r="8" spans="1:30" s="1" customFormat="1" x14ac:dyDescent="0.25">
      <c r="A8" s="36">
        <v>42713.339097222219</v>
      </c>
      <c r="B8" s="31" t="s">
        <v>205</v>
      </c>
      <c r="C8" s="31" t="s">
        <v>484</v>
      </c>
      <c r="D8" s="31" t="s">
        <v>98</v>
      </c>
      <c r="E8" s="31" t="s">
        <v>270</v>
      </c>
      <c r="F8" s="47">
        <v>150</v>
      </c>
      <c r="G8" s="47">
        <v>202</v>
      </c>
      <c r="H8" s="47">
        <v>30969</v>
      </c>
      <c r="I8" s="47">
        <v>31449</v>
      </c>
      <c r="J8" s="31" t="s">
        <v>271</v>
      </c>
      <c r="K8" s="47">
        <v>30830</v>
      </c>
      <c r="L8" s="154" t="s">
        <v>50</v>
      </c>
      <c r="M8" s="155">
        <f t="shared" si="0"/>
        <v>-326.83199999999999</v>
      </c>
      <c r="N8" s="156" t="str">
        <f>VLOOKUP(C8,'Trips&amp;Operators'!$C$1:$G$99999,5,FALSE)</f>
        <v>SANTIZO D. EDY</v>
      </c>
      <c r="O8" s="182" t="s">
        <v>195</v>
      </c>
      <c r="P8" s="157" t="s">
        <v>838</v>
      </c>
      <c r="Q8" s="31"/>
      <c r="R8" s="100" t="str">
        <f>VLOOKUP(C8,'Train Runs'!$A$13:$AE$9971,31,0)</f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S8" s="103" t="str">
        <f>VLOOKUP(C8,'Train Runs'!$A$13:$AE$9971,22,0)</f>
        <v>https://search-rtdc-monitor-bjffxe2xuh6vdkpspy63sjmuny.us-east-1.es.amazonaws.com/_plugin/kibana/#/discover/Steve-Slow-Train-Analysis-(2080s-and-2083s)?_g=(refreshInterval:(display:Off,section:0,value:0),time:(from:'2016-12-09 06:53:22-700',mode:absolute,to:'2016-12-09 09:38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8" s="105" t="str">
        <f t="shared" si="1"/>
        <v>"C:\Program Files (x86)\AstroGrep\AstroGrep.exe" /spath="%USERPROFILE%\AppData\Local\Temp\OnboardLogs" /stypes="*4011*201612091*" /stext=" 15:.+((SYSTEM_STATE.+slice.+state.+changed )|(ment ac)|(multiple cpu faults)|(system.+state.+changed )|(\[timeout)|(PRM\|1\|D)|(kpr)|(kdp)|(\|lc)|(penalty))" /e /r /s</v>
      </c>
      <c r="U8" s="9" t="str">
        <f t="shared" si="2"/>
        <v>4011</v>
      </c>
      <c r="V8" s="36">
        <f t="shared" si="3"/>
        <v>42713.630763888883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arrival","project_id":79,"tracker_id":40,"status_id":1,"priority_id":2,"assigned_to_id":23,"start_date":"2016-12-09","description":"","custom_fields":[{"id":1,"name":"Subdivision","value":"EC"},{"id":4,"name":"Milepost","value":"3.083"},{"id":17,"name":"Train ID","value":"135-09"},{"id":16,"name":"Locomotive ID","value":"4011"},{"id":130,"name":"Impact","value":""},{"id":150,"name":"Time of Event (Mountain Time)","value":"08:08:18"},{"id":151,"name":"Denver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"%USERPROFILE%\AppData\Local\Temp\OnboardLogs"\RTDC4011\*4011*201612091*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"%USERPROFILE%\AppData\Local\Temp\OnboardLogs"\RTDC4011\*4011*201612091* &gt;&gt; 42713-slicedisagreementcheck.txt</v>
      </c>
    </row>
    <row r="9" spans="1:30" s="1" customFormat="1" x14ac:dyDescent="0.25">
      <c r="A9" s="36">
        <v>42713.329467592594</v>
      </c>
      <c r="B9" s="31" t="s">
        <v>214</v>
      </c>
      <c r="C9" s="31" t="s">
        <v>483</v>
      </c>
      <c r="D9" s="31" t="s">
        <v>98</v>
      </c>
      <c r="E9" s="31" t="s">
        <v>270</v>
      </c>
      <c r="F9" s="47">
        <v>170</v>
      </c>
      <c r="G9" s="47">
        <v>233</v>
      </c>
      <c r="H9" s="47">
        <v>33207</v>
      </c>
      <c r="I9" s="47">
        <v>33659</v>
      </c>
      <c r="J9" s="31" t="s">
        <v>271</v>
      </c>
      <c r="K9" s="47">
        <v>33137</v>
      </c>
      <c r="L9" s="154" t="s">
        <v>50</v>
      </c>
      <c r="M9" s="155">
        <f t="shared" si="0"/>
        <v>-275.61599999999999</v>
      </c>
      <c r="N9" s="156" t="str">
        <f>VLOOKUP(C9,'Trips&amp;Operators'!$C$1:$G$99999,5,FALSE)</f>
        <v>ROBINSON KADDIBA</v>
      </c>
      <c r="O9" s="182" t="s">
        <v>195</v>
      </c>
      <c r="P9" s="157" t="s">
        <v>838</v>
      </c>
      <c r="Q9" s="31"/>
      <c r="R9" s="100" t="str">
        <f>VLOOKUP(C9,'Train Runs'!$A$13:$AE$9971,31,0)</f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S9" s="103" t="str">
        <f>VLOOKUP(C9,'Train Runs'!$A$13:$AE$9971,22,0)</f>
        <v>https://search-rtdc-monitor-bjffxe2xuh6vdkpspy63sjmuny.us-east-1.es.amazonaws.com/_plugin/kibana/#/discover/Steve-Slow-Train-Analysis-(2080s-and-2083s)?_g=(refreshInterval:(display:Off,section:0,value:0),time:(from:'2016-12-09 06:42:35-700',mode:absolute,to:'2016-12-09 09:23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9" s="105" t="str">
        <f t="shared" si="1"/>
        <v>"C:\Program Files (x86)\AstroGrep\AstroGrep.exe" /spath="%USERPROFILE%\AppData\Local\Temp\OnboardLogs" /stypes="*4002*201612091*" /stext=" 14:.+((SYSTEM_STATE.+slice.+state.+changed )|(ment ac)|(multiple cpu faults)|(system.+state.+changed )|(\[timeout)|(PRM\|1\|D)|(kpr)|(kdp)|(\|lc)|(penalty))" /e /r /s</v>
      </c>
      <c r="U9" s="9" t="str">
        <f t="shared" si="2"/>
        <v>4002</v>
      </c>
      <c r="V9" s="36">
        <f t="shared" si="3"/>
        <v>42713.621134259258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{"issue":{"subject":"Early arrival","project_id":79,"tracker_id":40,"status_id":1,"priority_id":2,"assigned_to_id":23,"start_date":"2016-12-09","description":"","custom_fields":[{"id":1,"name":"Subdivision","value":"EC"},{"id":4,"name":"Milepost","value":"3.3137"},{"id":17,"name":"Train ID","value":"133-09"},{"id":16,"name":"Locomotive ID","value":"4002"},{"id":130,"name":"Impact","value":""},{"id":150,"name":"Time of Event (Mountain Time)","value":"07:54:26"},{"id":151,"name":"Denver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"%USERPROFILE%\AppData\Local\Temp\OnboardLogs"\RTDC4002\*4002*201612091*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"%USERPROFILE%\AppData\Local\Temp\OnboardLogs"\RTDC4002\*4002*201612091* &gt;&gt; 42713-slicedisagreementcheck.txt</v>
      </c>
    </row>
    <row r="10" spans="1:30" s="1" customFormat="1" x14ac:dyDescent="0.25">
      <c r="A10" s="36">
        <v>42713.779756944445</v>
      </c>
      <c r="B10" s="31" t="s">
        <v>214</v>
      </c>
      <c r="C10" s="31" t="s">
        <v>518</v>
      </c>
      <c r="D10" s="31" t="s">
        <v>49</v>
      </c>
      <c r="E10" s="31" t="s">
        <v>270</v>
      </c>
      <c r="F10" s="47">
        <v>360</v>
      </c>
      <c r="G10" s="47">
        <v>415</v>
      </c>
      <c r="H10" s="47">
        <v>32921</v>
      </c>
      <c r="I10" s="47">
        <v>34065</v>
      </c>
      <c r="J10" s="31" t="s">
        <v>271</v>
      </c>
      <c r="K10" s="47">
        <v>33137</v>
      </c>
      <c r="L10" s="154" t="s">
        <v>50</v>
      </c>
      <c r="M10" s="155">
        <f t="shared" si="0"/>
        <v>-489.98399999999998</v>
      </c>
      <c r="N10" s="156" t="str">
        <f>VLOOKUP(C10,'Trips&amp;Operators'!$C$1:$G$99999,5,FALSE)</f>
        <v>STAMBAUGH JAMES</v>
      </c>
      <c r="O10" s="182" t="s">
        <v>195</v>
      </c>
      <c r="P10" s="157" t="s">
        <v>838</v>
      </c>
      <c r="Q10" s="31"/>
      <c r="R10" s="100" t="str">
        <f>VLOOKUP(C10,'Train Runs'!$A$13:$AE$9971,31,0)</f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S10" s="103" t="str">
        <f>VLOOKUP(C10,'Train Runs'!$A$13:$AE$9971,22,0)</f>
        <v>https://search-rtdc-monitor-bjffxe2xuh6vdkpspy63sjmuny.us-east-1.es.amazonaws.com/_plugin/kibana/#/discover/Steve-Slow-Train-Analysis-(2080s-and-2083s)?_g=(refreshInterval:(display:Off,section:0,value:0),time:(from:'2016-12-09 17:29:35-700',mode:absolute,to:'2016-12-09 20:15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10" s="105" t="str">
        <f t="shared" si="1"/>
        <v>"C:\Program Files (x86)\AstroGrep\AstroGrep.exe" /spath="%USERPROFILE%\AppData\Local\Temp\OnboardLogs" /stypes="*4002*201612100*" /stext=" 01:.+((SYSTEM_STATE.+slice.+state.+changed )|(ment ac)|(multiple cpu faults)|(system.+state.+changed )|(\[timeout)|(PRM\|1\|D)|(kpr)|(kdp)|(\|lc)|(penalty))" /e /r /s</v>
      </c>
      <c r="U10" s="9" t="str">
        <f t="shared" si="2"/>
        <v>4002</v>
      </c>
      <c r="V10" s="36">
        <f t="shared" si="3"/>
        <v>42714.071423611109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{"issue":{"subject":"Early arrival","project_id":79,"tracker_id":40,"status_id":1,"priority_id":2,"assigned_to_id":23,"start_date":"2016-12-09","description":"","custom_fields":[{"id":1,"name":"Subdivision","value":"EC"},{"id":4,"name":"Milepost","value":"3.3137"},{"id":17,"name":"Train ID","value":"219-09"},{"id":16,"name":"Locomotive ID","value":"4002"},{"id":130,"name":"Impact","value":""},{"id":150,"name":"Time of Event (Mountain Time)","value":"18:42:51"},{"id":151,"name":"Denver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"%USERPROFILE%\AppData\Local\Temp\OnboardLogs"\RTDC4002\*4002*201612100*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"%USERPROFILE%\AppData\Local\Temp\OnboardLogs"\RTDC4002\*4002*201612100* &gt;&gt; 42713-slicedisagreementcheck.txt</v>
      </c>
    </row>
    <row r="11" spans="1:30" s="1" customFormat="1" x14ac:dyDescent="0.25">
      <c r="A11" s="36">
        <v>42713.708587962959</v>
      </c>
      <c r="B11" s="31" t="s">
        <v>269</v>
      </c>
      <c r="C11" s="31" t="s">
        <v>511</v>
      </c>
      <c r="D11" s="31" t="s">
        <v>49</v>
      </c>
      <c r="E11" s="31" t="s">
        <v>270</v>
      </c>
      <c r="F11" s="47">
        <v>0</v>
      </c>
      <c r="G11" s="47">
        <v>654</v>
      </c>
      <c r="H11" s="47">
        <v>105013</v>
      </c>
      <c r="I11" s="47">
        <v>101885</v>
      </c>
      <c r="J11" s="31" t="s">
        <v>271</v>
      </c>
      <c r="K11" s="47">
        <v>103800</v>
      </c>
      <c r="L11" s="154" t="s">
        <v>51</v>
      </c>
      <c r="M11" s="155">
        <f t="shared" si="0"/>
        <v>-1011.12</v>
      </c>
      <c r="N11" s="156" t="str">
        <f>VLOOKUP(C11,'Trips&amp;Operators'!$C$1:$G$99999,5,FALSE)</f>
        <v>SHOOK JOHN</v>
      </c>
      <c r="O11" s="182" t="s">
        <v>195</v>
      </c>
      <c r="P11" s="157" t="s">
        <v>838</v>
      </c>
      <c r="Q11" s="31"/>
      <c r="R11" s="100" t="str">
        <f>VLOOKUP(C11,'Train Runs'!$A$13:$AE$9971,31,0)</f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S11" s="103" t="str">
        <f>VLOOKUP(C11,'Train Runs'!$A$13:$AE$9971,22,0)</f>
        <v>https://search-rtdc-monitor-bjffxe2xuh6vdkpspy63sjmuny.us-east-1.es.amazonaws.com/_plugin/kibana/#/discover/Steve-Slow-Train-Analysis-(2080s-and-2083s)?_g=(refreshInterval:(display:Off,section:0,value:0),time:(from:'2016-12-09 15:32:52-700',mode:absolute,to:'2016-12-09 18:23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1" s="105" t="str">
        <f t="shared" si="1"/>
        <v>"C:\Program Files (x86)\AstroGrep\AstroGrep.exe" /spath="%USERPROFILE%\AppData\Local\Temp\OnboardLogs" /stypes="*4030*201612100*" /stext=" 00:.+((SYSTEM_STATE.+slice.+state.+changed )|(ment ac)|(multiple cpu faults)|(system.+state.+changed )|(\[timeout)|(PRM\|1\|D)|(kpr)|(kdp)|(\|lc)|(penalty))" /e /r /s</v>
      </c>
      <c r="U11" s="9" t="str">
        <f t="shared" si="2"/>
        <v>4030</v>
      </c>
      <c r="V11" s="36">
        <f t="shared" si="3"/>
        <v>42714.000254629624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{"issue":{"subject":"Early arrival","project_id":79,"tracker_id":40,"status_id":1,"priority_id":2,"assigned_to_id":23,"start_date":"2016-12-09","description":"","custom_fields":[{"id":1,"name":"Subdivision","value":"EC"},{"id":4,"name":"Milepost","value":"10.38"},{"id":17,"name":"Train ID","value":"198-09"},{"id":16,"name":"Locomotive ID","value":"4030"},{"id":130,"name":"Impact","value":""},{"id":150,"name":"Time of Event (Mountain Time)","value":"17:00:22"},{"id":151,"name":"Denver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"%USERPROFILE%\AppData\Local\Temp\OnboardLogs"\RTDC4030\*4030*201612100*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"%USERPROFILE%\AppData\Local\Temp\OnboardLogs"\RTDC4030\*4030*201612100* &gt;&gt; 42713-slicedisagreementcheck.txt</v>
      </c>
    </row>
    <row r="12" spans="1:30" s="1" customFormat="1" x14ac:dyDescent="0.25">
      <c r="A12" s="36">
        <v>42713.736273148148</v>
      </c>
      <c r="B12" s="31" t="s">
        <v>394</v>
      </c>
      <c r="C12" s="31" t="s">
        <v>512</v>
      </c>
      <c r="D12" s="31" t="s">
        <v>98</v>
      </c>
      <c r="E12" s="31" t="s">
        <v>513</v>
      </c>
      <c r="F12" s="47">
        <v>0</v>
      </c>
      <c r="G12" s="47">
        <v>17</v>
      </c>
      <c r="H12" s="47">
        <v>111689</v>
      </c>
      <c r="I12" s="47">
        <v>111601</v>
      </c>
      <c r="J12" s="31" t="s">
        <v>514</v>
      </c>
      <c r="K12" s="47">
        <v>156300</v>
      </c>
      <c r="L12" s="154" t="s">
        <v>51</v>
      </c>
      <c r="M12" s="155">
        <f t="shared" si="0"/>
        <v>-23601.072</v>
      </c>
      <c r="N12" s="156" t="str">
        <f>VLOOKUP(C12,'Trips&amp;Operators'!$C$1:$G$99999,5,FALSE)</f>
        <v>SMITH MICHAEL</v>
      </c>
      <c r="O12" s="182" t="s">
        <v>232</v>
      </c>
      <c r="P12" s="157" t="s">
        <v>830</v>
      </c>
      <c r="Q12" s="31"/>
      <c r="R12" s="100" t="str">
        <f>VLOOKUP(C12,'Train Runs'!$A$13:$AE$9971,31,0)</f>
        <v>aws s3 cp s3://rtdc.mdm.uploadarchive.raw/RTDC4021/ "%USERPROFILE%\AppData\Local\Temp\OnboardLogs"\RTDC4021\2016-12-09 --exclude "*" --recursive --include "*20161209*" &amp; "%USERPROFILE%\Documents\GitHub\mrs-test-scripts\Headless Mode &amp; Sideloading\WalkAndUnGZ.bat" "%USERPROFILE%\AppData\Local\Temp\OnboardLogs"\RTDC4021\2016-12-09 &amp; aws s3 cp s3://rtdc.mdm.uploadarchive.raw/RTDC4021/ "%USERPROFILE%\AppData\Local\Temp\OnboardLogs"\RTDC4021\2016-12-10 --exclude "*" --recursive --include "*20161210*" &amp; "%USERPROFILE%\Documents\GitHub\mrs-test-scripts\Headless Mode &amp; Sideloading\WalkAndUnGZ.bat" "%USERPROFILE%\AppData\Local\Temp\OnboardLogs"\RTDC4021\2016-12-10</v>
      </c>
      <c r="S12" s="103" t="str">
        <f>VLOOKUP(C12,'Train Runs'!$A$13:$AE$9971,22,0)</f>
        <v>https://search-rtdc-monitor-bjffxe2xuh6vdkpspy63sjmuny.us-east-1.es.amazonaws.com/_plugin/kibana/#/discover/Steve-Slow-Train-Analysis-(2080s-and-2083s)?_g=(refreshInterval:(display:Off,section:0,value:0),time:(from:'2016-12-09 15:56:50-700',mode:absolute,to:'2016-12-09 19:17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12" s="105" t="str">
        <f t="shared" si="1"/>
        <v>"C:\Program Files (x86)\AstroGrep\AstroGrep.exe" /spath="%USERPROFILE%\AppData\Local\Temp\OnboardLogs" /stypes="*4021*201612100*" /stext=" 00:.+((SYSTEM_STATE.+slice.+state.+changed )|(ment ac)|(multiple cpu faults)|(system.+state.+changed )|(\[timeout)|(PRM\|1\|D)|(kpr)|(kdp)|(\|lc)|(penalty))" /e /r /s</v>
      </c>
      <c r="U12" s="9" t="str">
        <f t="shared" si="2"/>
        <v>4021</v>
      </c>
      <c r="V12" s="36">
        <f t="shared" si="3"/>
        <v>42714.027939814812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{"issue":{"subject":"Failed PSS","project_id":79,"tracker_id":40,"status_id":1,"priority_id":2,"assigned_to_id":23,"start_date":"2016-12-09","description":"The PSS issued during the event timeframe failed track limit CRC check. This is usually due to milepost values being populated inconsistently vs the subdiv file","custom_fields":[{"id":1,"name":"Subdivision","value":"EC"},{"id":4,"name":"Milepost","value":"15.63"},{"id":17,"name":"Train ID","value":"202-09"},{"id":16,"name":"Locomotive ID","value":"4021"},{"id":130,"name":"Impact","value":"Enforcement"},{"id":150,"name":"Time of Event (Mountain Time)","value":"17:40:14"},{"id":151,"name":"Denver Issue ID","value":""},{"id":178,"name":"Operational Impact","value":"Yes"},{"id":179,"name":"Denver Segment Assigned","value":"STMS"}]}} | curl -X POST -H "Content-Type: application/json" -H "X-Redmine-API-Key: d6333d4a04012a730768444271f8ca06482dae87" https://secure.xorail.net/redmine/issues.json --data @-</v>
      </c>
      <c r="Z12" s="53" t="s">
        <v>845</v>
      </c>
      <c r="AA12" s="53" t="s">
        <v>125</v>
      </c>
      <c r="AB12" s="53" t="s">
        <v>134</v>
      </c>
      <c r="AC12" s="138" t="str">
        <f t="shared" si="7"/>
        <v>grep -hSE -A100 "Enforcement Action" "%USERPROFILE%\AppData\Local\Temp\OnboardLogs"\RTDC4021\*4021*201612100*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"%USERPROFILE%\AppData\Local\Temp\OnboardLogs"\RTDC4021\*4021*201612100* &gt;&gt; 42713-slicedisagreementcheck.txt</v>
      </c>
    </row>
    <row r="13" spans="1:30" s="1" customFormat="1" x14ac:dyDescent="0.25">
      <c r="A13" s="36">
        <v>42713.512164351851</v>
      </c>
      <c r="B13" s="31" t="s">
        <v>272</v>
      </c>
      <c r="C13" s="31" t="s">
        <v>493</v>
      </c>
      <c r="D13" s="31" t="s">
        <v>98</v>
      </c>
      <c r="E13" s="31" t="s">
        <v>196</v>
      </c>
      <c r="F13" s="47">
        <v>150</v>
      </c>
      <c r="G13" s="47">
        <v>200</v>
      </c>
      <c r="H13" s="47">
        <v>3272</v>
      </c>
      <c r="I13" s="47">
        <v>3501</v>
      </c>
      <c r="J13" s="31" t="s">
        <v>197</v>
      </c>
      <c r="K13" s="47">
        <v>0</v>
      </c>
      <c r="L13" s="154" t="s">
        <v>50</v>
      </c>
      <c r="M13" s="155">
        <f t="shared" si="0"/>
        <v>-1848.528</v>
      </c>
      <c r="N13" s="156" t="str">
        <f>VLOOKUP(C13,'Trips&amp;Operators'!$C$1:$G$99999,5,FALSE)</f>
        <v>HILLS DUSTIN</v>
      </c>
      <c r="O13" s="182" t="s">
        <v>195</v>
      </c>
      <c r="P13" s="157"/>
      <c r="Q13" s="31"/>
      <c r="R13" s="100" t="str">
        <f>VLOOKUP(C13,'Train Runs'!$A$13:$AE$9971,31,0)</f>
        <v>aws s3 cp s3://rtdc.mdm.uploadarchive.raw/RTDC4029/ "%USERPROFILE%\AppData\Local\Temp\OnboardLogs"\RTDC4029\2016-12-09 --exclude "*" --recursive --include "*20161209*" &amp; "%USERPROFILE%\Documents\GitHub\mrs-test-scripts\Headless Mode &amp; Sideloading\WalkAndUnGZ.bat" "%USERPROFILE%\AppData\Local\Temp\OnboardLogs"\RTDC4029\2016-12-09 &amp; aws s3 cp s3://rtdc.mdm.uploadarchive.raw/RTDC4029/ "%USERPROFILE%\AppData\Local\Temp\OnboardLogs"\RTDC4029\2016-12-10 --exclude "*" --recursive --include "*20161210*" &amp; "%USERPROFILE%\Documents\GitHub\mrs-test-scripts\Headless Mode &amp; Sideloading\WalkAndUnGZ.bat" "%USERPROFILE%\AppData\Local\Temp\OnboardLogs"\RTDC4029\2016-12-10</v>
      </c>
      <c r="S13" s="103" t="str">
        <f>VLOOKUP(C13,'Train Runs'!$A$13:$AE$9971,22,0)</f>
        <v>https://search-rtdc-monitor-bjffxe2xuh6vdkpspy63sjmuny.us-east-1.es.amazonaws.com/_plugin/kibana/#/discover/Steve-Slow-Train-Analysis-(2080s-and-2083s)?_g=(refreshInterval:(display:Off,section:0,value:0),time:(from:'2016-12-09 11:08:43-700',mode:absolute,to:'2016-12-09 13:52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3" s="105" t="str">
        <f t="shared" si="1"/>
        <v>"C:\Program Files (x86)\AstroGrep\AstroGrep.exe" /spath="%USERPROFILE%\AppData\Local\Temp\OnboardLogs" /stypes="*4029*201612091*" /stext=" 19:.+((SYSTEM_STATE.+slice.+state.+changed )|(ment ac)|(multiple cpu faults)|(system.+state.+changed )|(\[timeout)|(PRM\|1\|D)|(kpr)|(kdp)|(\|lc)|(penalty))" /e /r /s</v>
      </c>
      <c r="U13" s="9" t="str">
        <f t="shared" si="2"/>
        <v>4029</v>
      </c>
      <c r="V13" s="36">
        <f t="shared" si="3"/>
        <v>42713.803831018515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{"issue":{"subject":"","project_id":79,"tracker_id":40,"status_id":1,"priority_id":2,"assigned_to_id":23,"start_date":"2016-12-09","description":"","custom_fields":[{"id":1,"name":"Subdivision","value":"EC"},{"id":4,"name":"Milepost","value":"0"},{"id":17,"name":"Train ID","value":"169-09"},{"id":16,"name":"Locomotive ID","value":"4029"},{"id":130,"name":"Impact","value":""},{"id":150,"name":"Time of Event (Mountain Time)","value":"12:17:31"},{"id":151,"name":"Denver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"%USERPROFILE%\AppData\Local\Temp\OnboardLogs"\RTDC4029\*4029*201612091*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"%USERPROFILE%\AppData\Local\Temp\OnboardLogs"\RTDC4029\*4029*201612091* &gt;&gt; 42713-slicedisagreementcheck.txt</v>
      </c>
    </row>
    <row r="14" spans="1:30" s="1" customFormat="1" x14ac:dyDescent="0.25">
      <c r="A14" s="36">
        <v>42713.918495370373</v>
      </c>
      <c r="B14" s="31" t="s">
        <v>398</v>
      </c>
      <c r="C14" s="31" t="s">
        <v>520</v>
      </c>
      <c r="D14" s="31" t="s">
        <v>49</v>
      </c>
      <c r="E14" s="31" t="s">
        <v>196</v>
      </c>
      <c r="F14" s="47">
        <v>200</v>
      </c>
      <c r="G14" s="47">
        <v>292</v>
      </c>
      <c r="H14" s="47">
        <v>6328</v>
      </c>
      <c r="I14" s="47">
        <v>5630</v>
      </c>
      <c r="J14" s="31" t="s">
        <v>197</v>
      </c>
      <c r="K14" s="47">
        <v>5457</v>
      </c>
      <c r="L14" s="154" t="s">
        <v>51</v>
      </c>
      <c r="M14" s="155">
        <f t="shared" si="0"/>
        <v>91.343999999999994</v>
      </c>
      <c r="N14" s="156" t="str">
        <f>VLOOKUP(C14,'Trips&amp;Operators'!$C$1:$G$99999,5,FALSE)</f>
        <v>STAMBAUGH JAMES</v>
      </c>
      <c r="O14" s="182" t="s">
        <v>195</v>
      </c>
      <c r="P14" s="157"/>
      <c r="Q14" s="31"/>
      <c r="R14" s="100" t="str">
        <f>VLOOKUP(C14,'Train Runs'!$A$13:$AE$9971,31,0)</f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S14" s="103" t="str">
        <f>VLOOKUP(C14,'Train Runs'!$A$13:$AE$9971,22,0)</f>
        <v>https://search-rtdc-monitor-bjffxe2xuh6vdkpspy63sjmuny.us-east-1.es.amazonaws.com/_plugin/kibana/#/discover/Steve-Slow-Train-Analysis-(2080s-and-2083s)?_g=(refreshInterval:(display:Off,section:0,value:0),time:(from:'2016-12-09 20:21:14-700',mode:absolute,to:'2016-12-09 23:05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4" s="105" t="str">
        <f t="shared" si="1"/>
        <v>"C:\Program Files (x86)\AstroGrep\AstroGrep.exe" /spath="%USERPROFILE%\AppData\Local\Temp\OnboardLogs" /stypes="*4001*201612100*" /stext=" 05:.+((SYSTEM_STATE.+slice.+state.+changed )|(ment ac)|(multiple cpu faults)|(system.+state.+changed )|(\[timeout)|(PRM\|1\|D)|(kpr)|(kdp)|(\|lc)|(penalty))" /e /r /s</v>
      </c>
      <c r="U14" s="9" t="str">
        <f t="shared" si="2"/>
        <v>4001</v>
      </c>
      <c r="V14" s="36">
        <f t="shared" si="3"/>
        <v>42714.210162037038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{"issue":{"subject":"","project_id":79,"tracker_id":40,"status_id":1,"priority_id":2,"assigned_to_id":23,"start_date":"2016-12-09","description":"","custom_fields":[{"id":1,"name":"Subdivision","value":"EC"},{"id":4,"name":"Milepost","value":"0.5457"},{"id":17,"name":"Train ID","value":"228-09"},{"id":16,"name":"Locomotive ID","value":"4001"},{"id":130,"name":"Impact","value":""},{"id":150,"name":"Time of Event (Mountain Time)","value":"22:02:38"},{"id":151,"name":"Denver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"%USERPROFILE%\AppData\Local\Temp\OnboardLogs"\RTDC4001\*4001*201612100*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"%USERPROFILE%\AppData\Local\Temp\OnboardLogs"\RTDC4001\*4001*201612100* &gt;&gt; 42713-slicedisagreementcheck.txt</v>
      </c>
    </row>
    <row r="15" spans="1:30" s="1" customFormat="1" x14ac:dyDescent="0.25">
      <c r="A15" s="36">
        <v>42713.416087962964</v>
      </c>
      <c r="B15" s="31" t="s">
        <v>393</v>
      </c>
      <c r="C15" s="31" t="s">
        <v>487</v>
      </c>
      <c r="D15" s="31" t="s">
        <v>98</v>
      </c>
      <c r="E15" s="31" t="s">
        <v>196</v>
      </c>
      <c r="F15" s="47">
        <v>550</v>
      </c>
      <c r="G15" s="47">
        <v>605</v>
      </c>
      <c r="H15" s="47">
        <v>222453</v>
      </c>
      <c r="I15" s="47">
        <v>219828</v>
      </c>
      <c r="J15" s="31" t="s">
        <v>197</v>
      </c>
      <c r="K15" s="47">
        <v>224578</v>
      </c>
      <c r="L15" s="154" t="s">
        <v>51</v>
      </c>
      <c r="M15" s="155">
        <f t="shared" si="0"/>
        <v>-2508</v>
      </c>
      <c r="N15" s="156" t="str">
        <f>VLOOKUP(C15,'Trips&amp;Operators'!$C$1:$G$99999,5,FALSE)</f>
        <v>ROCHA YAOTL</v>
      </c>
      <c r="O15" s="182" t="s">
        <v>195</v>
      </c>
      <c r="P15" s="157"/>
      <c r="Q15" s="31"/>
      <c r="R15" s="100" t="str">
        <f>VLOOKUP(C15,'Train Runs'!$A$13:$AE$9971,31,0)</f>
        <v>aws s3 cp s3://rtdc.mdm.uploadarchive.raw/RTDC4026/ "%USERPROFILE%\AppData\Local\Temp\OnboardLogs"\RTDC4026\2016-12-09 --exclude "*" --recursive --include "*20161209*" &amp; "%USERPROFILE%\Documents\GitHub\mrs-test-scripts\Headless Mode &amp; Sideloading\WalkAndUnGZ.bat" "%USERPROFILE%\AppData\Local\Temp\OnboardLogs"\RTDC4026\2016-12-09 &amp; 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</v>
      </c>
      <c r="S15" s="103" t="str">
        <f>VLOOKUP(C15,'Train Runs'!$A$13:$AE$9971,22,0)</f>
        <v>https://search-rtdc-monitor-bjffxe2xuh6vdkpspy63sjmuny.us-east-1.es.amazonaws.com/_plugin/kibana/#/discover/Steve-Slow-Train-Analysis-(2080s-and-2083s)?_g=(refreshInterval:(display:Off,section:0,value:0),time:(from:'2016-12-09 08:38:42-700',mode:absolute,to:'2016-12-09 11:35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5" s="105" t="str">
        <f t="shared" si="1"/>
        <v>"C:\Program Files (x86)\AstroGrep\AstroGrep.exe" /spath="%USERPROFILE%\AppData\Local\Temp\OnboardLogs" /stypes="*4026*201612091*" /stext=" 16:.+((SYSTEM_STATE.+slice.+state.+changed )|(ment ac)|(multiple cpu faults)|(system.+state.+changed )|(\[timeout)|(PRM\|1\|D)|(kpr)|(kdp)|(\|lc)|(penalty))" /e /r /s</v>
      </c>
      <c r="U15" s="9" t="str">
        <f t="shared" si="2"/>
        <v>4026</v>
      </c>
      <c r="V15" s="36">
        <f t="shared" si="3"/>
        <v>42713.707754629628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{"issue":{"subject":"","project_id":79,"tracker_id":40,"status_id":1,"priority_id":2,"assigned_to_id":23,"start_date":"2016-12-09","description":"","custom_fields":[{"id":1,"name":"Subdivision","value":"EC"},{"id":4,"name":"Milepost","value":"22.4578"},{"id":17,"name":"Train ID","value":"144-09"},{"id":16,"name":"Locomotive ID","value":"4026"},{"id":130,"name":"Impact","value":""},{"id":150,"name":"Time of Event (Mountain Time)","value":"09:59:10"},{"id":151,"name":"Denver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"%USERPROFILE%\AppData\Local\Temp\OnboardLogs"\RTDC4026\*4026*201612091*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"%USERPROFILE%\AppData\Local\Temp\OnboardLogs"\RTDC4026\*4026*201612091* &gt;&gt; 42713-slicedisagreementcheck.txt</v>
      </c>
    </row>
    <row r="16" spans="1:30" s="1" customFormat="1" x14ac:dyDescent="0.25">
      <c r="A16" s="36">
        <v>42713.547291666669</v>
      </c>
      <c r="B16" s="31" t="s">
        <v>405</v>
      </c>
      <c r="C16" s="31" t="s">
        <v>495</v>
      </c>
      <c r="D16" s="31" t="s">
        <v>49</v>
      </c>
      <c r="E16" s="31" t="s">
        <v>196</v>
      </c>
      <c r="F16" s="47">
        <v>350</v>
      </c>
      <c r="G16" s="47">
        <v>489</v>
      </c>
      <c r="H16" s="47">
        <v>223325</v>
      </c>
      <c r="I16" s="47">
        <v>233328</v>
      </c>
      <c r="J16" s="31" t="s">
        <v>197</v>
      </c>
      <c r="K16" s="47">
        <v>224578</v>
      </c>
      <c r="L16" s="154" t="s">
        <v>50</v>
      </c>
      <c r="M16" s="155">
        <f t="shared" si="0"/>
        <v>-4620</v>
      </c>
      <c r="N16" s="156" t="str">
        <f>VLOOKUP(C16,'Trips&amp;Operators'!$C$1:$G$99999,5,FALSE)</f>
        <v>LOPES KIMBERLY</v>
      </c>
      <c r="O16" s="182" t="s">
        <v>195</v>
      </c>
      <c r="P16" s="157"/>
      <c r="Q16" s="31"/>
      <c r="R16" s="100" t="str">
        <f>VLOOKUP(C16,'Train Runs'!$A$13:$AE$9971,31,0)</f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S16" s="103" t="str">
        <f>VLOOKUP(C16,'Train Runs'!$A$13:$AE$9971,22,0)</f>
        <v>https://search-rtdc-monitor-bjffxe2xuh6vdkpspy63sjmuny.us-east-1.es.amazonaws.com/_plugin/kibana/#/discover/Steve-Slow-Train-Analysis-(2080s-and-2083s)?_g=(refreshInterval:(display:Off,section:0,value:0),time:(from:'2016-12-09 11:26:18-700',mode:absolute,to:'2016-12-09 14:08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16" s="105" t="str">
        <f t="shared" si="1"/>
        <v>"C:\Program Files (x86)\AstroGrep\AstroGrep.exe" /spath="%USERPROFILE%\AppData\Local\Temp\OnboardLogs" /stypes="*4025*201612092*" /stext=" 20:.+((SYSTEM_STATE.+slice.+state.+changed )|(ment ac)|(multiple cpu faults)|(system.+state.+changed )|(\[timeout)|(PRM\|1\|D)|(kpr)|(kdp)|(\|lc)|(penalty))" /e /r /s</v>
      </c>
      <c r="U16" s="9" t="str">
        <f t="shared" si="2"/>
        <v>4025</v>
      </c>
      <c r="V16" s="36">
        <f t="shared" si="3"/>
        <v>42713.838958333334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{"issue":{"subject":"","project_id":79,"tracker_id":40,"status_id":1,"priority_id":2,"assigned_to_id":23,"start_date":"2016-12-09","description":"","custom_fields":[{"id":1,"name":"Subdivision","value":"EC"},{"id":4,"name":"Milepost","value":"22.4578"},{"id":17,"name":"Train ID","value":"171-09"},{"id":16,"name":"Locomotive ID","value":"4025"},{"id":130,"name":"Impact","value":""},{"id":150,"name":"Time of Event (Mountain Time)","value":"13:08:06"},{"id":151,"name":"Denver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"%USERPROFILE%\AppData\Local\Temp\OnboardLogs"\RTDC4025\*4025*201612092*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"%USERPROFILE%\AppData\Local\Temp\OnboardLogs"\RTDC4025\*4025*201612092* &gt;&gt; 42713-slicedisagreementcheck.txt</v>
      </c>
    </row>
    <row r="17" spans="1:30" s="1" customFormat="1" x14ac:dyDescent="0.25">
      <c r="A17" s="36">
        <v>42713.655150462961</v>
      </c>
      <c r="B17" s="31" t="s">
        <v>398</v>
      </c>
      <c r="C17" s="31" t="s">
        <v>506</v>
      </c>
      <c r="D17" s="31" t="s">
        <v>98</v>
      </c>
      <c r="E17" s="31" t="s">
        <v>196</v>
      </c>
      <c r="F17" s="47">
        <v>350</v>
      </c>
      <c r="G17" s="47">
        <v>401</v>
      </c>
      <c r="H17" s="47">
        <v>224902</v>
      </c>
      <c r="I17" s="47">
        <v>223704</v>
      </c>
      <c r="J17" s="31" t="s">
        <v>197</v>
      </c>
      <c r="K17" s="47">
        <v>232107</v>
      </c>
      <c r="L17" s="154" t="s">
        <v>51</v>
      </c>
      <c r="M17" s="155">
        <f t="shared" si="0"/>
        <v>-4436.7839999999997</v>
      </c>
      <c r="N17" s="156" t="str">
        <f>VLOOKUP(C17,'Trips&amp;Operators'!$C$1:$G$99999,5,FALSE)</f>
        <v>BROWN JACOB</v>
      </c>
      <c r="O17" s="182" t="s">
        <v>195</v>
      </c>
      <c r="P17" s="157"/>
      <c r="Q17" s="31"/>
      <c r="R17" s="100" t="str">
        <f>VLOOKUP(C17,'Train Runs'!$A$13:$AE$9971,31,0)</f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S17" s="103" t="str">
        <f>VLOOKUP(C17,'Train Runs'!$A$13:$AE$9971,22,0)</f>
        <v>https://search-rtdc-monitor-bjffxe2xuh6vdkpspy63sjmuny.us-east-1.es.amazonaws.com/_plugin/kibana/#/discover/Steve-Slow-Train-Analysis-(2080s-and-2083s)?_g=(refreshInterval:(display:Off,section:0,value:0),time:(from:'2016-12-09 14:38:50-700',mode:absolute,to:'2016-12-09 17:22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17" s="105" t="str">
        <f t="shared" si="1"/>
        <v>"C:\Program Files (x86)\AstroGrep\AstroGrep.exe" /spath="%USERPROFILE%\AppData\Local\Temp\OnboardLogs" /stypes="*4001*201612092*" /stext=" 22:.+((SYSTEM_STATE.+slice.+state.+changed )|(ment ac)|(multiple cpu faults)|(system.+state.+changed )|(\[timeout)|(PRM\|1\|D)|(kpr)|(kdp)|(\|lc)|(penalty))" /e /r /s</v>
      </c>
      <c r="U17" s="9" t="str">
        <f t="shared" si="2"/>
        <v>4001</v>
      </c>
      <c r="V17" s="36">
        <f t="shared" si="3"/>
        <v>42713.946817129625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{"issue":{"subject":"","project_id":79,"tracker_id":40,"status_id":1,"priority_id":2,"assigned_to_id":23,"start_date":"2016-12-09","description":"","custom_fields":[{"id":1,"name":"Subdivision","value":"EC"},{"id":4,"name":"Milepost","value":"23.2107"},{"id":17,"name":"Train ID","value":"190-09"},{"id":16,"name":"Locomotive ID","value":"4001"},{"id":130,"name":"Impact","value":""},{"id":150,"name":"Time of Event (Mountain Time)","value":"15:43:25"},{"id":151,"name":"Denver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"%USERPROFILE%\AppData\Local\Temp\OnboardLogs"\RTDC4001\*4001*201612092*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"%USERPROFILE%\AppData\Local\Temp\OnboardLogs"\RTDC4001\*4001*201612092* &gt;&gt; 42713-slicedisagreementcheck.txt</v>
      </c>
    </row>
    <row r="18" spans="1:30" s="1" customFormat="1" x14ac:dyDescent="0.25">
      <c r="A18" s="36">
        <v>42713.187916666669</v>
      </c>
      <c r="B18" s="31" t="s">
        <v>205</v>
      </c>
      <c r="C18" s="31" t="s">
        <v>474</v>
      </c>
      <c r="D18" s="31" t="s">
        <v>49</v>
      </c>
      <c r="E18" s="31" t="s">
        <v>198</v>
      </c>
      <c r="F18" s="47">
        <v>0</v>
      </c>
      <c r="G18" s="47">
        <v>141</v>
      </c>
      <c r="H18" s="47">
        <v>901</v>
      </c>
      <c r="I18" s="47">
        <v>1085</v>
      </c>
      <c r="J18" s="31" t="s">
        <v>199</v>
      </c>
      <c r="K18" s="47">
        <v>1692</v>
      </c>
      <c r="L18" s="154" t="s">
        <v>50</v>
      </c>
      <c r="M18" s="155">
        <f t="shared" si="0"/>
        <v>320.49599999999998</v>
      </c>
      <c r="N18" s="156" t="str">
        <f>VLOOKUP(C18,'Trips&amp;Operators'!$C$1:$G$99999,5,FALSE)</f>
        <v>SANTIZO D. EDY</v>
      </c>
      <c r="O18" s="182" t="s">
        <v>195</v>
      </c>
      <c r="P18" s="157" t="s">
        <v>828</v>
      </c>
      <c r="Q18" s="31"/>
      <c r="R18" s="100" t="str">
        <f>VLOOKUP(C18,'Train Runs'!$A$13:$AE$9971,31,0)</f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S18" s="103" t="str">
        <f>VLOOKUP(C18,'Train Runs'!$A$13:$AE$9971,22,0)</f>
        <v>https://search-rtdc-monitor-bjffxe2xuh6vdkpspy63sjmuny.us-east-1.es.amazonaws.com/_plugin/kibana/#/discover/Steve-Slow-Train-Analysis-(2080s-and-2083s)?_g=(refreshInterval:(display:Off,section:0,value:0),time:(from:'2016-12-09 03:36:14-700',mode:absolute,to:'2016-12-09 06:09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18" s="105" t="str">
        <f t="shared" si="1"/>
        <v>"C:\Program Files (x86)\AstroGrep\AstroGrep.exe" /spath="%USERPROFILE%\AppData\Local\Temp\OnboardLogs" /stypes="*4011*201612091*" /stext=" 11:.+((SYSTEM_STATE.+slice.+state.+changed )|(ment ac)|(multiple cpu faults)|(system.+state.+changed )|(\[timeout)|(PRM\|1\|D)|(kpr)|(kdp)|(\|lc)|(penalty))" /e /r /s</v>
      </c>
      <c r="U18" s="9" t="str">
        <f t="shared" si="2"/>
        <v>4011</v>
      </c>
      <c r="V18" s="36">
        <f t="shared" si="3"/>
        <v>42713.479583333334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{"issue":{"subject":"DUS 2N/20N STOP","project_id":79,"tracker_id":40,"status_id":1,"priority_id":2,"assigned_to_id":23,"start_date":"2016-12-09","description":"","custom_fields":[{"id":1,"name":"Subdivision","value":"EC"},{"id":4,"name":"Milepost","value":"0.1692"},{"id":17,"name":"Train ID","value":"107-09"},{"id":16,"name":"Locomotive ID","value":"4011"},{"id":130,"name":"Impact","value":""},{"id":150,"name":"Time of Event (Mountain Time)","value":"04:30:36"},{"id":151,"name":"Denver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"%USERPROFILE%\AppData\Local\Temp\OnboardLogs"\RTDC4011\*4011*201612091*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"%USERPROFILE%\AppData\Local\Temp\OnboardLogs"\RTDC4011\*4011*201612091* &gt;&gt; 42713-slicedisagreementcheck.txt</v>
      </c>
    </row>
    <row r="19" spans="1:30" s="1" customFormat="1" x14ac:dyDescent="0.25">
      <c r="A19" s="36">
        <v>42713.760648148149</v>
      </c>
      <c r="B19" s="31" t="s">
        <v>154</v>
      </c>
      <c r="C19" s="31" t="s">
        <v>516</v>
      </c>
      <c r="D19" s="31" t="s">
        <v>98</v>
      </c>
      <c r="E19" s="31" t="s">
        <v>198</v>
      </c>
      <c r="F19" s="47">
        <v>200</v>
      </c>
      <c r="G19" s="47">
        <v>261</v>
      </c>
      <c r="H19" s="47">
        <v>107278</v>
      </c>
      <c r="I19" s="47">
        <v>107963</v>
      </c>
      <c r="J19" s="31" t="s">
        <v>199</v>
      </c>
      <c r="K19" s="47">
        <v>103445</v>
      </c>
      <c r="L19" s="154" t="s">
        <v>50</v>
      </c>
      <c r="M19" s="155">
        <f t="shared" si="0"/>
        <v>-2385.5039999999999</v>
      </c>
      <c r="N19" s="156" t="str">
        <f>VLOOKUP(C19,'Trips&amp;Operators'!$C$1:$G$99999,5,FALSE)</f>
        <v>YANAI IAN</v>
      </c>
      <c r="O19" s="182" t="s">
        <v>195</v>
      </c>
      <c r="P19" s="157" t="s">
        <v>840</v>
      </c>
      <c r="Q19" s="31"/>
      <c r="R19" s="100" t="str">
        <f>VLOOKUP(C19,'Train Runs'!$A$13:$AE$9971,31,0)</f>
        <v>aws s3 cp s3://rtdc.mdm.uploadarchive.raw/RTDC4051/ "%USERPROFILE%\AppData\Local\Temp\OnboardLogs"\RTDC4051\2016-12-09 --exclude "*" --recursive --include "*20161209*" &amp; "%USERPROFILE%\Documents\GitHub\mrs-test-scripts\Headless Mode &amp; Sideloading\WalkAndUnGZ.bat" "%USERPROFILE%\AppData\Local\Temp\OnboardLogs"\RTDC4051\2016-12-09 &amp; aws s3 cp s3://rtdc.mdm.uploadarchive.raw/RTDC4051/ "%USERPROFILE%\AppData\Local\Temp\OnboardLogs"\RTDC4051\2016-12-10 --exclude "*" --recursive --include "*20161210*" &amp; "%USERPROFILE%\Documents\GitHub\mrs-test-scripts\Headless Mode &amp; Sideloading\WalkAndUnGZ.bat" "%USERPROFILE%\AppData\Local\Temp\OnboardLogs"\RTDC4051\2016-12-10</v>
      </c>
      <c r="S19" s="103" t="str">
        <f>VLOOKUP(C19,'Train Runs'!$A$13:$AE$9971,22,0)</f>
        <v>https://search-rtdc-monitor-bjffxe2xuh6vdkpspy63sjmuny.us-east-1.es.amazonaws.com/_plugin/kibana/#/discover/Steve-Slow-Train-Analysis-(2080s-and-2083s)?_g=(refreshInterval:(display:Off,section:0,value:0),time:(from:'2016-12-09 16:41:23-700',mode:absolute,to:'2016-12-09 19:31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19" s="105" t="str">
        <f t="shared" si="1"/>
        <v>"C:\Program Files (x86)\AstroGrep\AstroGrep.exe" /spath="%USERPROFILE%\AppData\Local\Temp\OnboardLogs" /stypes="*4051*201612100*" /stext=" 01:.+((SYSTEM_STATE.+slice.+state.+changed )|(ment ac)|(multiple cpu faults)|(system.+state.+changed )|(\[timeout)|(PRM\|1\|D)|(kpr)|(kdp)|(\|lc)|(penalty))" /e /r /s</v>
      </c>
      <c r="U19" s="9" t="str">
        <f t="shared" si="2"/>
        <v>4051</v>
      </c>
      <c r="V19" s="36">
        <f t="shared" si="3"/>
        <v>42714.052314814813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Overspeed","project_id":79,"tracker_id":40,"status_id":1,"priority_id":2,"assigned_to_id":23,"start_date":"2016-12-09","description":"","custom_fields":[{"id":1,"name":"Subdivision","value":"EC"},{"id":4,"name":"Milepost","value":"10.3445"},{"id":17,"name":"Train ID","value":"213-09"},{"id":16,"name":"Locomotive ID","value":"4051"},{"id":130,"name":"Impact","value":""},{"id":150,"name":"Time of Event (Mountain Time)","value":"18:15:20"},{"id":151,"name":"Denver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"%USERPROFILE%\AppData\Local\Temp\OnboardLogs"\RTDC4051\*4051*201612100*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"%USERPROFILE%\AppData\Local\Temp\OnboardLogs"\RTDC4051\*4051*201612100* &gt;&gt; 42713-slicedisagreementcheck.txt</v>
      </c>
    </row>
    <row r="20" spans="1:30" s="1" customFormat="1" x14ac:dyDescent="0.25">
      <c r="A20" s="36">
        <v>42713.464421296296</v>
      </c>
      <c r="B20" s="31" t="s">
        <v>297</v>
      </c>
      <c r="C20" s="31" t="s">
        <v>492</v>
      </c>
      <c r="D20" s="31" t="s">
        <v>49</v>
      </c>
      <c r="E20" s="31" t="s">
        <v>198</v>
      </c>
      <c r="F20" s="47">
        <v>0</v>
      </c>
      <c r="G20" s="47">
        <v>443</v>
      </c>
      <c r="H20" s="47">
        <v>130759</v>
      </c>
      <c r="I20" s="47">
        <v>129339</v>
      </c>
      <c r="J20" s="31" t="s">
        <v>199</v>
      </c>
      <c r="K20" s="47">
        <v>127587</v>
      </c>
      <c r="L20" s="154" t="s">
        <v>51</v>
      </c>
      <c r="M20" s="155">
        <f t="shared" si="0"/>
        <v>925.05600000000004</v>
      </c>
      <c r="N20" s="156" t="str">
        <f>VLOOKUP(C20,'Trips&amp;Operators'!$C$1:$G$99999,5,FALSE)</f>
        <v>MAGEE KENYA</v>
      </c>
      <c r="O20" s="182" t="s">
        <v>195</v>
      </c>
      <c r="P20" s="157" t="s">
        <v>842</v>
      </c>
      <c r="Q20" s="31"/>
      <c r="R20" s="100" t="str">
        <f>VLOOKUP(C20,'Train Runs'!$A$13:$AE$9971,31,0)</f>
        <v>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 &amp; 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</v>
      </c>
      <c r="S20" s="103" t="str">
        <f>VLOOKUP(C20,'Train Runs'!$A$13:$AE$9971,22,0)</f>
        <v>https://search-rtdc-monitor-bjffxe2xuh6vdkpspy63sjmuny.us-east-1.es.amazonaws.com/_plugin/kibana/#/discover/Steve-Slow-Train-Analysis-(2080s-and-2083s)?_g=(refreshInterval:(display:Off,section:0,value:0),time:(from:'2016-12-09 09:40:39-700',mode:absolute,to:'2016-12-09 12:37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0" s="105" t="str">
        <f t="shared" si="1"/>
        <v>"C:\Program Files (x86)\AstroGrep\AstroGrep.exe" /spath="%USERPROFILE%\AppData\Local\Temp\OnboardLogs" /stypes="*4015*201612091*" /stext=" 18:.+((SYSTEM_STATE.+slice.+state.+changed )|(ment ac)|(multiple cpu faults)|(system.+state.+changed )|(\[timeout)|(PRM\|1\|D)|(kpr)|(kdp)|(\|lc)|(penalty))" /e /r /s</v>
      </c>
      <c r="U20" s="9" t="str">
        <f t="shared" si="2"/>
        <v>4015</v>
      </c>
      <c r="V20" s="36">
        <f t="shared" si="3"/>
        <v>42713.75608796296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{"issue":{"subject":"40th 4S STOP","project_id":79,"tracker_id":40,"status_id":1,"priority_id":2,"assigned_to_id":23,"start_date":"2016-12-09","description":"","custom_fields":[{"id":1,"name":"Subdivision","value":"EC"},{"id":4,"name":"Milepost","value":"12.7587"},{"id":17,"name":"Train ID","value":"152-09"},{"id":16,"name":"Locomotive ID","value":"4015"},{"id":130,"name":"Impact","value":""},{"id":150,"name":"Time of Event (Mountain Time)","value":"11:08:46"},{"id":151,"name":"Denver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"%USERPROFILE%\AppData\Local\Temp\OnboardLogs"\RTDC4015\*4015*201612091*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"%USERPROFILE%\AppData\Local\Temp\OnboardLogs"\RTDC4015\*4015*201612091* &gt;&gt; 42713-slicedisagreementcheck.txt</v>
      </c>
    </row>
    <row r="21" spans="1:30" x14ac:dyDescent="0.25">
      <c r="A21" s="36">
        <v>42713.770543981482</v>
      </c>
      <c r="B21" s="31" t="s">
        <v>405</v>
      </c>
      <c r="C21" s="31" t="s">
        <v>517</v>
      </c>
      <c r="D21" s="31" t="s">
        <v>98</v>
      </c>
      <c r="E21" s="31" t="s">
        <v>198</v>
      </c>
      <c r="F21" s="47">
        <v>0</v>
      </c>
      <c r="G21" s="47">
        <v>771</v>
      </c>
      <c r="H21" s="47">
        <v>144426</v>
      </c>
      <c r="I21" s="47">
        <v>147871</v>
      </c>
      <c r="J21" s="31" t="s">
        <v>199</v>
      </c>
      <c r="K21" s="47">
        <v>144300</v>
      </c>
      <c r="L21" s="154" t="s">
        <v>50</v>
      </c>
      <c r="M21" s="155">
        <f t="shared" si="0"/>
        <v>-1885.4880000000001</v>
      </c>
      <c r="N21" s="156" t="str">
        <f>VLOOKUP(C21,'Trips&amp;Operators'!$C$1:$G$99999,5,FALSE)</f>
        <v>LOPES KIMBERLY</v>
      </c>
      <c r="O21" s="182" t="s">
        <v>232</v>
      </c>
      <c r="P21" s="157" t="s">
        <v>843</v>
      </c>
      <c r="Q21" s="31"/>
      <c r="R21" s="100" t="str">
        <f>VLOOKUP(C21,'Train Runs'!$A$13:$AE$9971,31,0)</f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S21" s="103" t="str">
        <f>VLOOKUP(C21,'Train Runs'!$A$13:$AE$9971,22,0)</f>
        <v>https://search-rtdc-monitor-bjffxe2xuh6vdkpspy63sjmuny.us-east-1.es.amazonaws.com/_plugin/kibana/#/discover/Steve-Slow-Train-Analysis-(2080s-and-2083s)?_g=(refreshInterval:(display:Off,section:0,value:0),time:(from:'2016-12-09 16:58:41-700',mode:absolute,to:'2016-12-09 19:42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1" s="105" t="str">
        <f t="shared" si="1"/>
        <v>"C:\Program Files (x86)\AstroGrep\AstroGrep.exe" /spath="%USERPROFILE%\AppData\Local\Temp\OnboardLogs" /stypes="*4025*201612100*" /stext=" 01:.+((SYSTEM_STATE.+slice.+state.+changed )|(ment ac)|(multiple cpu faults)|(system.+state.+changed )|(\[timeout)|(PRM\|1\|D)|(kpr)|(kdp)|(\|lc)|(penalty))" /e /r /s</v>
      </c>
      <c r="U21" s="9" t="str">
        <f t="shared" si="2"/>
        <v>4025</v>
      </c>
      <c r="V21" s="36">
        <f t="shared" si="3"/>
        <v>42714.062210648146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{"issue":{"subject":"Wi-MAX data drop","project_id":79,"tracker_id":40,"status_id":1,"priority_id":2,"assigned_to_id":23,"start_date":"2016-12-09","description":"","custom_fields":[{"id":1,"name":"Subdivision","value":"EC"},{"id":4,"name":"Milepost","value":"14.43"},{"id":17,"name":"Train ID","value":"215-09"},{"id":16,"name":"Locomotive ID","value":"4025"},{"id":130,"name":"Impact","value":""},{"id":150,"name":"Time of Event (Mountain Time)","value":"18:29:35"},{"id":151,"name":"Denver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"%USERPROFILE%\AppData\Local\Temp\OnboardLogs"\RTDC4025\*4025*201612100*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"%USERPROFILE%\AppData\Local\Temp\OnboardLogs"\RTDC4025\*4025*201612100* &gt;&gt; 42713-slicedisagreementcheck.txt</v>
      </c>
    </row>
    <row r="22" spans="1:30" x14ac:dyDescent="0.25">
      <c r="A22" s="36">
        <v>42713.653611111113</v>
      </c>
      <c r="B22" s="31" t="s">
        <v>260</v>
      </c>
      <c r="C22" s="31" t="s">
        <v>505</v>
      </c>
      <c r="D22" s="31" t="s">
        <v>49</v>
      </c>
      <c r="E22" s="31" t="s">
        <v>198</v>
      </c>
      <c r="F22" s="47">
        <v>0</v>
      </c>
      <c r="G22" s="47">
        <v>781</v>
      </c>
      <c r="H22" s="47">
        <v>145574</v>
      </c>
      <c r="I22" s="47">
        <v>149161</v>
      </c>
      <c r="J22" s="31" t="s">
        <v>199</v>
      </c>
      <c r="K22" s="47">
        <v>149694</v>
      </c>
      <c r="L22" s="154" t="s">
        <v>50</v>
      </c>
      <c r="M22" s="155">
        <f t="shared" si="0"/>
        <v>281.42399999999998</v>
      </c>
      <c r="N22" s="156" t="str">
        <f>VLOOKUP(C22,'Trips&amp;Operators'!$C$1:$G$99999,5,FALSE)</f>
        <v>MOSES BRADLEY</v>
      </c>
      <c r="O22" s="182" t="s">
        <v>232</v>
      </c>
      <c r="P22" s="157" t="s">
        <v>843</v>
      </c>
      <c r="Q22" s="31"/>
      <c r="R22" s="100" t="str">
        <f>VLOOKUP(C22,'Train Runs'!$A$13:$AE$9971,31,0)</f>
        <v>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 &amp; 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</v>
      </c>
      <c r="S22" s="103" t="str">
        <f>VLOOKUP(C22,'Train Runs'!$A$13:$AE$9971,22,0)</f>
        <v>https://search-rtdc-monitor-bjffxe2xuh6vdkpspy63sjmuny.us-east-1.es.amazonaws.com/_plugin/kibana/#/discover/Steve-Slow-Train-Analysis-(2080s-and-2083s)?_g=(refreshInterval:(display:Off,section:0,value:0),time:(from:'2016-12-09 14:09:46-700',mode:absolute,to:'2016-12-09 16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22" s="105" t="str">
        <f t="shared" si="1"/>
        <v>"C:\Program Files (x86)\AstroGrep\AstroGrep.exe" /spath="%USERPROFILE%\AppData\Local\Temp\OnboardLogs" /stypes="*4016*201612092*" /stext=" 22:.+((SYSTEM_STATE.+slice.+state.+changed )|(ment ac)|(multiple cpu faults)|(system.+state.+changed )|(\[timeout)|(PRM\|1\|D)|(kpr)|(kdp)|(\|lc)|(penalty))" /e /r /s</v>
      </c>
      <c r="U22" s="9" t="str">
        <f t="shared" si="2"/>
        <v>4016</v>
      </c>
      <c r="V22" s="36">
        <f t="shared" si="3"/>
        <v>42713.945277777777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{"issue":{"subject":"Wi-MAX data drop","project_id":79,"tracker_id":40,"status_id":1,"priority_id":2,"assigned_to_id":23,"start_date":"2016-12-09","description":"","custom_fields":[{"id":1,"name":"Subdivision","value":"EC"},{"id":4,"name":"Milepost","value":"14.9694"},{"id":17,"name":"Train ID","value":"193-09"},{"id":16,"name":"Locomotive ID","value":"4016"},{"id":130,"name":"Impact","value":""},{"id":150,"name":"Time of Event (Mountain Time)","value":"15:41:12"},{"id":151,"name":"Denver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"%USERPROFILE%\AppData\Local\Temp\OnboardLogs"\RTDC4016\*4016*201612092*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"%USERPROFILE%\AppData\Local\Temp\OnboardLogs"\RTDC4016\*4016*201612092* &gt;&gt; 42713-slicedisagreementcheck.txt</v>
      </c>
    </row>
    <row r="23" spans="1:30" x14ac:dyDescent="0.25">
      <c r="A23" s="36">
        <v>42713.199016203704</v>
      </c>
      <c r="B23" s="31" t="s">
        <v>155</v>
      </c>
      <c r="C23" s="31" t="s">
        <v>476</v>
      </c>
      <c r="D23" s="31" t="s">
        <v>49</v>
      </c>
      <c r="E23" s="31" t="s">
        <v>198</v>
      </c>
      <c r="F23" s="47">
        <v>0</v>
      </c>
      <c r="G23" s="47">
        <v>514</v>
      </c>
      <c r="H23" s="47">
        <v>195218</v>
      </c>
      <c r="I23" s="47">
        <v>193585</v>
      </c>
      <c r="J23" s="31" t="s">
        <v>199</v>
      </c>
      <c r="K23" s="47">
        <v>191723</v>
      </c>
      <c r="L23" s="154" t="s">
        <v>51</v>
      </c>
      <c r="M23" s="155">
        <f t="shared" si="0"/>
        <v>983.13599999999997</v>
      </c>
      <c r="N23" s="156" t="str">
        <f>VLOOKUP(C23,'Trips&amp;Operators'!$C$1:$G$99999,5,FALSE)</f>
        <v>DAVIS WENDY</v>
      </c>
      <c r="O23" s="182" t="s">
        <v>195</v>
      </c>
      <c r="P23" s="157" t="s">
        <v>841</v>
      </c>
      <c r="Q23" s="31"/>
      <c r="R23" s="100" t="str">
        <f>VLOOKUP(C23,'Train Runs'!$A$13:$AE$9971,31,0)</f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S23" s="103" t="str">
        <f>VLOOKUP(C23,'Train Runs'!$A$13:$AE$9971,22,0)</f>
        <v>https://search-rtdc-monitor-bjffxe2xuh6vdkpspy63sjmuny.us-east-1.es.amazonaws.com/_plugin/kibana/#/discover/Steve-Slow-Train-Analysis-(2080s-and-2083s)?_g=(refreshInterval:(display:Off,section:0,value:0),time:(from:'2016-12-09 03:36:08-700',mode:absolute,to:'2016-12-09 06:26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23" s="105" t="str">
        <f t="shared" si="1"/>
        <v>"C:\Program Files (x86)\AstroGrep\AstroGrep.exe" /spath="%USERPROFILE%\AppData\Local\Temp\OnboardLogs" /stypes="*4052*201612091*" /stext=" 11:.+((SYSTEM_STATE.+slice.+state.+changed )|(ment ac)|(multiple cpu faults)|(system.+state.+changed )|(\[timeout)|(PRM\|1\|D)|(kpr)|(kdp)|(\|lc)|(penalty))" /e /r /s</v>
      </c>
      <c r="U23" s="9" t="str">
        <f t="shared" si="2"/>
        <v>4052</v>
      </c>
      <c r="V23" s="36">
        <f t="shared" si="3"/>
        <v>42713.490682870368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{"issue":{"subject":"Pena 4S STOP","project_id":79,"tracker_id":40,"status_id":1,"priority_id":2,"assigned_to_id":23,"start_date":"2016-12-09","description":"","custom_fields":[{"id":1,"name":"Subdivision","value":"EC"},{"id":4,"name":"Milepost","value":"19.1723"},{"id":17,"name":"Train ID","value":"104-09"},{"id":16,"name":"Locomotive ID","value":"4052"},{"id":130,"name":"Impact","value":""},{"id":150,"name":"Time of Event (Mountain Time)","value":"04:46:35"},{"id":151,"name":"Denver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"%USERPROFILE%\AppData\Local\Temp\OnboardLogs"\RTDC4052\*4052*201612091*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"%USERPROFILE%\AppData\Local\Temp\OnboardLogs"\RTDC4052\*4052*201612091* &gt;&gt; 42713-slicedisagreementcheck.txt</v>
      </c>
    </row>
    <row r="24" spans="1:30" ht="15" customHeight="1" x14ac:dyDescent="0.25">
      <c r="A24" s="36">
        <v>42713.598020833335</v>
      </c>
      <c r="B24" s="31" t="s">
        <v>235</v>
      </c>
      <c r="C24" s="31" t="s">
        <v>500</v>
      </c>
      <c r="D24" s="31" t="s">
        <v>98</v>
      </c>
      <c r="E24" s="31" t="s">
        <v>198</v>
      </c>
      <c r="F24" s="47">
        <v>200</v>
      </c>
      <c r="G24" s="47">
        <v>250</v>
      </c>
      <c r="H24" s="47">
        <v>222196</v>
      </c>
      <c r="I24" s="47">
        <v>222844</v>
      </c>
      <c r="J24" s="31" t="s">
        <v>199</v>
      </c>
      <c r="K24" s="47">
        <v>217106</v>
      </c>
      <c r="L24" s="154" t="s">
        <v>50</v>
      </c>
      <c r="M24" s="155">
        <f t="shared" si="0"/>
        <v>-3029.6640000000002</v>
      </c>
      <c r="N24" s="156" t="str">
        <f>VLOOKUP(C24,'Trips&amp;Operators'!$C$1:$G$99999,5,FALSE)</f>
        <v>ADANE ELSHADAY</v>
      </c>
      <c r="O24" s="182" t="s">
        <v>195</v>
      </c>
      <c r="P24" s="157" t="s">
        <v>840</v>
      </c>
      <c r="Q24" s="31"/>
      <c r="R24" s="100" t="str">
        <f>VLOOKUP(C24,'Train Runs'!$A$13:$AE$9971,31,0)</f>
        <v>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 &amp; aws s3 cp s3://rtdc.mdm.uploadarchive.raw/RTDC4031/ "%USERPROFILE%\AppData\Local\Temp\OnboardLogs"\RTDC4031\2016-12-10 --exclude "*" --recursive --include "*20161210*" &amp; "%USERPROFILE%\Documents\GitHub\mrs-test-scripts\Headless Mode &amp; Sideloading\WalkAndUnGZ.bat" "%USERPROFILE%\AppData\Local\Temp\OnboardLogs"\RTDC4031\2016-12-10</v>
      </c>
      <c r="S24" s="103" t="str">
        <f>VLOOKUP(C24,'Train Runs'!$A$13:$AE$9971,22,0)</f>
        <v>https://search-rtdc-monitor-bjffxe2xuh6vdkpspy63sjmuny.us-east-1.es.amazonaws.com/_plugin/kibana/#/discover/Steve-Slow-Train-Analysis-(2080s-and-2083s)?_g=(refreshInterval:(display:Off,section:0,value:0),time:(from:'2016-12-09 12:39:59-700',mode:absolute,to:'2016-12-09 15:24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24" s="105" t="str">
        <f t="shared" si="1"/>
        <v>"C:\Program Files (x86)\AstroGrep\AstroGrep.exe" /spath="%USERPROFILE%\AppData\Local\Temp\OnboardLogs" /stypes="*4031*201612092*" /stext=" 21:.+((SYSTEM_STATE.+slice.+state.+changed )|(ment ac)|(multiple cpu faults)|(system.+state.+changed )|(\[timeout)|(PRM\|1\|D)|(kpr)|(kdp)|(\|lc)|(penalty))" /e /r /s</v>
      </c>
      <c r="U24" s="9" t="str">
        <f t="shared" si="2"/>
        <v>4031</v>
      </c>
      <c r="V24" s="36">
        <f t="shared" si="3"/>
        <v>42713.889687499999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Overspeed","project_id":79,"tracker_id":40,"status_id":1,"priority_id":2,"assigned_to_id":23,"start_date":"2016-12-09","description":"","custom_fields":[{"id":1,"name":"Subdivision","value":"EC"},{"id":4,"name":"Milepost","value":"21.7106"},{"id":17,"name":"Train ID","value":"181-09"},{"id":16,"name":"Locomotive ID","value":"4031"},{"id":130,"name":"Impact","value":""},{"id":150,"name":"Time of Event (Mountain Time)","value":"14:21:09"},{"id":151,"name":"Denver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"%USERPROFILE%\AppData\Local\Temp\OnboardLogs"\RTDC4031\*4031*201612092*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"%USERPROFILE%\AppData\Local\Temp\OnboardLogs"\RTDC4031\*4031*201612092* &gt;&gt; 42713-slicedisagreementcheck.txt</v>
      </c>
    </row>
    <row r="25" spans="1:30" x14ac:dyDescent="0.25">
      <c r="A25" s="36">
        <v>42713.617268518516</v>
      </c>
      <c r="B25" s="31" t="s">
        <v>405</v>
      </c>
      <c r="C25" s="31" t="s">
        <v>501</v>
      </c>
      <c r="D25" s="31" t="s">
        <v>49</v>
      </c>
      <c r="E25" s="31" t="s">
        <v>198</v>
      </c>
      <c r="F25" s="47">
        <v>0</v>
      </c>
      <c r="G25" s="47">
        <v>459</v>
      </c>
      <c r="H25" s="47">
        <v>214271</v>
      </c>
      <c r="I25" s="47">
        <v>215777</v>
      </c>
      <c r="J25" s="31" t="s">
        <v>199</v>
      </c>
      <c r="K25" s="47">
        <v>217106</v>
      </c>
      <c r="L25" s="154" t="s">
        <v>50</v>
      </c>
      <c r="M25" s="155">
        <f t="shared" si="0"/>
        <v>701.71199999999988</v>
      </c>
      <c r="N25" s="156" t="str">
        <f>VLOOKUP(C25,'Trips&amp;Operators'!$C$1:$G$99999,5,FALSE)</f>
        <v>LOPES KIMBERLY</v>
      </c>
      <c r="O25" s="182" t="s">
        <v>195</v>
      </c>
      <c r="P25" s="157" t="s">
        <v>844</v>
      </c>
      <c r="Q25" s="31"/>
      <c r="R25" s="100" t="str">
        <f>VLOOKUP(C25,'Train Runs'!$A$13:$AE$9971,31,0)</f>
        <v>aws s3 cp s3://rtdc.mdm.uploadarchive.raw/RTDC4025/ "%USERPROFILE%\AppData\Local\Temp\OnboardLogs"\RTDC4025\2016-12-09 --exclude "*" --recursive --include "*20161209*" &amp; "%USERPROFILE%\Documents\GitHub\mrs-test-scripts\Headless Mode &amp; Sideloading\WalkAndUnGZ.bat" "%USERPROFILE%\AppData\Local\Temp\OnboardLogs"\RTDC4025\2016-12-09 &amp; aws s3 cp s3://rtdc.mdm.uploadarchive.raw/RTDC4025/ "%USERPROFILE%\AppData\Local\Temp\OnboardLogs"\RTDC4025\2016-12-10 --exclude "*" --recursive --include "*20161210*" &amp; "%USERPROFILE%\Documents\GitHub\mrs-test-scripts\Headless Mode &amp; Sideloading\WalkAndUnGZ.bat" "%USERPROFILE%\AppData\Local\Temp\OnboardLogs"\RTDC4025\2016-12-10</v>
      </c>
      <c r="S25" s="103" t="str">
        <f>VLOOKUP(C25,'Train Runs'!$A$13:$AE$9971,22,0)</f>
        <v>https://search-rtdc-monitor-bjffxe2xuh6vdkpspy63sjmuny.us-east-1.es.amazonaws.com/_plugin/kibana/#/discover/Steve-Slow-Train-Analysis-(2080s-and-2083s)?_g=(refreshInterval:(display:Off,section:0,value:0),time:(from:'2016-12-09 13:07:39-700',mode:absolute,to:'2016-12-09 15:55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25" s="105" t="str">
        <f t="shared" si="1"/>
        <v>"C:\Program Files (x86)\AstroGrep\AstroGrep.exe" /spath="%USERPROFILE%\AppData\Local\Temp\OnboardLogs" /stypes="*4025*201612092*" /stext=" 21:.+((SYSTEM_STATE.+slice.+state.+changed )|(ment ac)|(multiple cpu faults)|(system.+state.+changed )|(\[timeout)|(PRM\|1\|D)|(kpr)|(kdp)|(\|lc)|(penalty))" /e /r /s</v>
      </c>
      <c r="U25" s="9" t="str">
        <f t="shared" si="2"/>
        <v>4025</v>
      </c>
      <c r="V25" s="36">
        <f t="shared" si="3"/>
        <v>42713.90893518518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{"issue":{"subject":"RESTRICTED aspect","project_id":79,"tracker_id":40,"status_id":1,"priority_id":2,"assigned_to_id":23,"start_date":"2016-12-09","description":"","custom_fields":[{"id":1,"name":"Subdivision","value":"EC"},{"id":4,"name":"Milepost","value":"21.7106"},{"id":17,"name":"Train ID","value":"185-09"},{"id":16,"name":"Locomotive ID","value":"4025"},{"id":130,"name":"Impact","value":""},{"id":150,"name":"Time of Event (Mountain Time)","value":"14:48:52"},{"id":151,"name":"Denver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"%USERPROFILE%\AppData\Local\Temp\OnboardLogs"\RTDC4025\*4025*201612092*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"%USERPROFILE%\AppData\Local\Temp\OnboardLogs"\RTDC4025\*4025*201612092* &gt;&gt; 42713-slicedisagreementcheck.txt</v>
      </c>
    </row>
    <row r="26" spans="1:30" x14ac:dyDescent="0.25">
      <c r="A26" s="36">
        <v>42713.77783564815</v>
      </c>
      <c r="B26" s="31" t="s">
        <v>214</v>
      </c>
      <c r="C26" s="31" t="s">
        <v>518</v>
      </c>
      <c r="D26" s="31" t="s">
        <v>49</v>
      </c>
      <c r="E26" s="31" t="s">
        <v>306</v>
      </c>
      <c r="F26" s="47">
        <v>150</v>
      </c>
      <c r="G26" s="47">
        <v>356</v>
      </c>
      <c r="H26" s="47">
        <v>25807</v>
      </c>
      <c r="I26" s="47">
        <v>26505</v>
      </c>
      <c r="J26" s="31" t="s">
        <v>271</v>
      </c>
      <c r="K26" s="47">
        <v>27000</v>
      </c>
      <c r="L26" s="154" t="s">
        <v>50</v>
      </c>
      <c r="M26" s="155">
        <f t="shared" si="0"/>
        <v>261.36</v>
      </c>
      <c r="N26" s="156" t="str">
        <f>VLOOKUP(C26,'Trips&amp;Operators'!$C$1:$G$99999,5,FALSE)</f>
        <v>STAMBAUGH JAMES</v>
      </c>
      <c r="O26" s="182" t="s">
        <v>195</v>
      </c>
      <c r="P26" s="157"/>
      <c r="Q26" s="31"/>
      <c r="R26" s="100" t="str">
        <f>VLOOKUP(C26,'Train Runs'!$A$13:$AE$9971,31,0)</f>
        <v>aws s3 cp s3://rtdc.mdm.uploadarchive.raw/RTDC4002/ "%USERPROFILE%\AppData\Local\Temp\OnboardLogs"\RTDC4002\2016-12-09 --exclude "*" --recursive --include "*20161209*" &amp; "%USERPROFILE%\Documents\GitHub\mrs-test-scripts\Headless Mode &amp; Sideloading\WalkAndUnGZ.bat" "%USERPROFILE%\AppData\Local\Temp\OnboardLogs"\RTDC4002\2016-12-09 &amp; aws s3 cp s3://rtdc.mdm.uploadarchive.raw/RTDC4002/ "%USERPROFILE%\AppData\Local\Temp\OnboardLogs"\RTDC4002\2016-12-10 --exclude "*" --recursive --include "*20161210*" &amp; "%USERPROFILE%\Documents\GitHub\mrs-test-scripts\Headless Mode &amp; Sideloading\WalkAndUnGZ.bat" "%USERPROFILE%\AppData\Local\Temp\OnboardLogs"\RTDC4002\2016-12-10</v>
      </c>
      <c r="S26" s="103" t="str">
        <f>VLOOKUP(C26,'Train Runs'!$A$13:$AE$9971,22,0)</f>
        <v>https://search-rtdc-monitor-bjffxe2xuh6vdkpspy63sjmuny.us-east-1.es.amazonaws.com/_plugin/kibana/#/discover/Steve-Slow-Train-Analysis-(2080s-and-2083s)?_g=(refreshInterval:(display:Off,section:0,value:0),time:(from:'2016-12-09 17:29:35-700',mode:absolute,to:'2016-12-09 20:15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T26" s="105" t="str">
        <f t="shared" si="1"/>
        <v>"C:\Program Files (x86)\AstroGrep\AstroGrep.exe" /spath="%USERPROFILE%\AppData\Local\Temp\OnboardLogs" /stypes="*4002*201612100*" /stext=" 01:.+((SYSTEM_STATE.+slice.+state.+changed )|(ment ac)|(multiple cpu faults)|(system.+state.+changed )|(\[timeout)|(PRM\|1\|D)|(kpr)|(kdp)|(\|lc)|(penalty))" /e /r /s</v>
      </c>
      <c r="U26" s="9" t="str">
        <f t="shared" si="2"/>
        <v>4002</v>
      </c>
      <c r="V26" s="36">
        <f t="shared" si="3"/>
        <v>42714.069502314815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{"issue":{"subject":"","project_id":79,"tracker_id":40,"status_id":1,"priority_id":2,"assigned_to_id":23,"start_date":"2016-12-09","description":"","custom_fields":[{"id":1,"name":"Subdivision","value":"EC"},{"id":4,"name":"Milepost","value":"2.7"},{"id":17,"name":"Train ID","value":"219-09"},{"id":16,"name":"Locomotive ID","value":"4002"},{"id":130,"name":"Impact","value":""},{"id":150,"name":"Time of Event (Mountain Time)","value":"18:40:05"},{"id":151,"name":"Denver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"%USERPROFILE%\AppData\Local\Temp\OnboardLogs"\RTDC4002\*4002*201612100*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"%USERPROFILE%\AppData\Local\Temp\OnboardLogs"\RTDC4002\*4002*201612100* &gt;&gt; 42713-slicedisagreementcheck.txt</v>
      </c>
    </row>
    <row r="27" spans="1:30" x14ac:dyDescent="0.25">
      <c r="A27" s="36">
        <v>42713.189976851849</v>
      </c>
      <c r="B27" s="31" t="s">
        <v>269</v>
      </c>
      <c r="C27" s="31" t="s">
        <v>475</v>
      </c>
      <c r="D27" s="31" t="s">
        <v>49</v>
      </c>
      <c r="E27" s="31" t="s">
        <v>306</v>
      </c>
      <c r="F27" s="47">
        <v>100</v>
      </c>
      <c r="G27" s="47">
        <v>275</v>
      </c>
      <c r="H27" s="47">
        <v>67903</v>
      </c>
      <c r="I27" s="47">
        <v>67342</v>
      </c>
      <c r="J27" s="31" t="s">
        <v>271</v>
      </c>
      <c r="K27" s="47">
        <v>66500</v>
      </c>
      <c r="L27" s="154" t="s">
        <v>51</v>
      </c>
      <c r="M27" s="155">
        <f t="shared" si="0"/>
        <v>444.57600000000002</v>
      </c>
      <c r="N27" s="156" t="str">
        <f>VLOOKUP(C27,'Trips&amp;Operators'!$C$1:$G$99999,5,FALSE)</f>
        <v>MAELZER KURT</v>
      </c>
      <c r="O27" s="182" t="s">
        <v>195</v>
      </c>
      <c r="P27" s="157"/>
      <c r="Q27" s="31"/>
      <c r="R27" s="100" t="str">
        <f>VLOOKUP(C27,'Train Runs'!$A$13:$AE$9971,31,0)</f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S27" s="103" t="str">
        <f>VLOOKUP(C27,'Train Runs'!$A$13:$AE$9971,22,0)</f>
        <v>https://search-rtdc-monitor-bjffxe2xuh6vdkpspy63sjmuny.us-east-1.es.amazonaws.com/_plugin/kibana/#/discover/Steve-Slow-Train-Analysis-(2080s-and-2083s)?_g=(refreshInterval:(display:Off,section:0,value:0),time:(from:'2016-12-09 03:09:54-700',mode:absolute,to:'2016-12-09 05:51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7" s="105" t="str">
        <f t="shared" si="1"/>
        <v>"C:\Program Files (x86)\AstroGrep\AstroGrep.exe" /spath="%USERPROFILE%\AppData\Local\Temp\OnboardLogs" /stypes="*4030*201612091*" /stext=" 11:.+((SYSTEM_STATE.+slice.+state.+changed )|(ment ac)|(multiple cpu faults)|(system.+state.+changed )|(\[timeout)|(PRM\|1\|D)|(kpr)|(kdp)|(\|lc)|(penalty))" /e /r /s</v>
      </c>
      <c r="U27" s="9" t="str">
        <f t="shared" si="2"/>
        <v>4030</v>
      </c>
      <c r="V27" s="36">
        <f t="shared" si="3"/>
        <v>42713.481643518513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{"issue":{"subject":"","project_id":79,"tracker_id":40,"status_id":1,"priority_id":2,"assigned_to_id":23,"start_date":"2016-12-09","description":"","custom_fields":[{"id":1,"name":"Subdivision","value":"EC"},{"id":4,"name":"Milepost","value":"6.65"},{"id":17,"name":"Train ID","value":"102-09"},{"id":16,"name":"Locomotive ID","value":"4030"},{"id":130,"name":"Impact","value":""},{"id":150,"name":"Time of Event (Mountain Time)","value":"04:33:34"},{"id":151,"name":"Denver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"%USERPROFILE%\AppData\Local\Temp\OnboardLogs"\RTDC4030\*4030*201612091*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"%USERPROFILE%\AppData\Local\Temp\OnboardLogs"\RTDC4030\*4030*201612091* &gt;&gt; 42713-slicedisagreementcheck.txt</v>
      </c>
    </row>
    <row r="28" spans="1:30" x14ac:dyDescent="0.25">
      <c r="A28" s="36">
        <v>42713.286145833335</v>
      </c>
      <c r="B28" s="31" t="s">
        <v>393</v>
      </c>
      <c r="C28" s="31" t="s">
        <v>478</v>
      </c>
      <c r="D28" s="31" t="s">
        <v>49</v>
      </c>
      <c r="E28" s="31" t="s">
        <v>306</v>
      </c>
      <c r="F28" s="47">
        <v>100</v>
      </c>
      <c r="G28" s="47">
        <v>444</v>
      </c>
      <c r="H28" s="47">
        <v>68427</v>
      </c>
      <c r="I28" s="47">
        <v>67032</v>
      </c>
      <c r="J28" s="31" t="s">
        <v>271</v>
      </c>
      <c r="K28" s="47">
        <v>66500</v>
      </c>
      <c r="L28" s="154" t="s">
        <v>51</v>
      </c>
      <c r="M28" s="155">
        <f t="shared" si="0"/>
        <v>280.89600000000002</v>
      </c>
      <c r="N28" s="156" t="str">
        <f>VLOOKUP(C28,'Trips&amp;Operators'!$C$1:$G$99999,5,FALSE)</f>
        <v>ROCHA YAOTL</v>
      </c>
      <c r="O28" s="182" t="s">
        <v>195</v>
      </c>
      <c r="P28" s="157"/>
      <c r="Q28" s="31"/>
      <c r="R28" s="100" t="str">
        <f>VLOOKUP(C28,'Train Runs'!$A$13:$AE$9971,31,0)</f>
        <v>aws s3 cp s3://rtdc.mdm.uploadarchive.raw/RTDC4026/ "%USERPROFILE%\AppData\Local\Temp\OnboardLogs"\RTDC4026\2016-12-09 --exclude "*" --recursive --include "*20161209*" &amp; "%USERPROFILE%\Documents\GitHub\mrs-test-scripts\Headless Mode &amp; Sideloading\WalkAndUnGZ.bat" "%USERPROFILE%\AppData\Local\Temp\OnboardLogs"\RTDC4026\2016-12-09 &amp; aws s3 cp s3://rtdc.mdm.uploadarchive.raw/RTDC4026/ "%USERPROFILE%\AppData\Local\Temp\OnboardLogs"\RTDC4026\2016-12-10 --exclude "*" --recursive --include "*20161210*" &amp; "%USERPROFILE%\Documents\GitHub\mrs-test-scripts\Headless Mode &amp; Sideloading\WalkAndUnGZ.bat" "%USERPROFILE%\AppData\Local\Temp\OnboardLogs"\RTDC4026\2016-12-10</v>
      </c>
      <c r="S28" s="103" t="str">
        <f>VLOOKUP(C28,'Train Runs'!$A$13:$AE$9971,22,0)</f>
        <v>https://search-rtdc-monitor-bjffxe2xuh6vdkpspy63sjmuny.us-east-1.es.amazonaws.com/_plugin/kibana/#/discover/Steve-Slow-Train-Analysis-(2080s-and-2083s)?_g=(refreshInterval:(display:Off,section:0,value:0),time:(from:'2016-12-09 05:24:54-700',mode:absolute,to:'2016-12-09 08:09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28" s="105" t="str">
        <f t="shared" si="1"/>
        <v>"C:\Program Files (x86)\AstroGrep\AstroGrep.exe" /spath="%USERPROFILE%\AppData\Local\Temp\OnboardLogs" /stypes="*4026*201612091*" /stext=" 13:.+((SYSTEM_STATE.+slice.+state.+changed )|(ment ac)|(multiple cpu faults)|(system.+state.+changed )|(\[timeout)|(PRM\|1\|D)|(kpr)|(kdp)|(\|lc)|(penalty))" /e /r /s</v>
      </c>
      <c r="U28" s="9" t="str">
        <f t="shared" si="2"/>
        <v>4026</v>
      </c>
      <c r="V28" s="36">
        <f t="shared" si="3"/>
        <v>42713.5778125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{"issue":{"subject":"","project_id":79,"tracker_id":40,"status_id":1,"priority_id":2,"assigned_to_id":23,"start_date":"2016-12-09","description":"","custom_fields":[{"id":1,"name":"Subdivision","value":"EC"},{"id":4,"name":"Milepost","value":"6.65"},{"id":17,"name":"Train ID","value":"116-09"},{"id":16,"name":"Locomotive ID","value":"4026"},{"id":130,"name":"Impact","value":""},{"id":150,"name":"Time of Event (Mountain Time)","value":"06:52:03"},{"id":151,"name":"Denver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"%USERPROFILE%\AppData\Local\Temp\OnboardLogs"\RTDC4026\*4026*201612091*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"%USERPROFILE%\AppData\Local\Temp\OnboardLogs"\RTDC4026\*4026*201612091* &gt;&gt; 42713-slicedisagreementcheck.txt</v>
      </c>
    </row>
    <row r="29" spans="1:30" x14ac:dyDescent="0.25">
      <c r="A29" s="36">
        <v>42713.304826388892</v>
      </c>
      <c r="B29" s="31" t="s">
        <v>398</v>
      </c>
      <c r="C29" s="31" t="s">
        <v>480</v>
      </c>
      <c r="D29" s="31" t="s">
        <v>49</v>
      </c>
      <c r="E29" s="31" t="s">
        <v>306</v>
      </c>
      <c r="F29" s="47">
        <v>100</v>
      </c>
      <c r="G29" s="47">
        <v>501</v>
      </c>
      <c r="H29" s="47">
        <v>69189</v>
      </c>
      <c r="I29" s="47">
        <v>67630</v>
      </c>
      <c r="J29" s="31" t="s">
        <v>271</v>
      </c>
      <c r="K29" s="47">
        <v>66500</v>
      </c>
      <c r="L29" s="154" t="s">
        <v>51</v>
      </c>
      <c r="M29" s="155">
        <f t="shared" si="0"/>
        <v>596.64</v>
      </c>
      <c r="N29" s="156" t="str">
        <f>VLOOKUP(C29,'Trips&amp;Operators'!$C$1:$G$99999,5,FALSE)</f>
        <v>ROBINSON KADDIBA</v>
      </c>
      <c r="O29" s="182" t="s">
        <v>195</v>
      </c>
      <c r="P29" s="157"/>
      <c r="Q29" s="31"/>
      <c r="R29" s="100" t="str">
        <f>VLOOKUP(C29,'Train Runs'!$A$13:$AE$9971,31,0)</f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S29" s="103" t="str">
        <f>VLOOKUP(C29,'Train Runs'!$A$13:$AE$9971,22,0)</f>
        <v>https://search-rtdc-monitor-bjffxe2xuh6vdkpspy63sjmuny.us-east-1.es.amazonaws.com/_plugin/kibana/#/discover/Steve-Slow-Train-Analysis-(2080s-and-2083s)?_g=(refreshInterval:(display:Off,section:0,value:0),time:(from:'2016-12-09 05:51:05-700',mode:absolute,to:'2016-12-09 08:39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29" s="105" t="str">
        <f t="shared" si="1"/>
        <v>"C:\Program Files (x86)\AstroGrep\AstroGrep.exe" /spath="%USERPROFILE%\AppData\Local\Temp\OnboardLogs" /stypes="*4001*201612091*" /stext=" 14:.+((SYSTEM_STATE.+slice.+state.+changed )|(ment ac)|(multiple cpu faults)|(system.+state.+changed )|(\[timeout)|(PRM\|1\|D)|(kpr)|(kdp)|(\|lc)|(penalty))" /e /r /s</v>
      </c>
      <c r="U29" s="9" t="str">
        <f t="shared" si="2"/>
        <v>4001</v>
      </c>
      <c r="V29" s="36">
        <f t="shared" si="3"/>
        <v>42713.596493055556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{"issue":{"subject":"","project_id":79,"tracker_id":40,"status_id":1,"priority_id":2,"assigned_to_id":23,"start_date":"2016-12-09","description":"","custom_fields":[{"id":1,"name":"Subdivision","value":"EC"},{"id":4,"name":"Milepost","value":"6.65"},{"id":17,"name":"Train ID","value":"120-09"},{"id":16,"name":"Locomotive ID","value":"4001"},{"id":130,"name":"Impact","value":""},{"id":150,"name":"Time of Event (Mountain Time)","value":"07:18:57"},{"id":151,"name":"Denver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"%USERPROFILE%\AppData\Local\Temp\OnboardLogs"\RTDC4001\*4001*201612091*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"%USERPROFILE%\AppData\Local\Temp\OnboardLogs"\RTDC4001\*4001*201612091* &gt;&gt; 42713-slicedisagreementcheck.txt</v>
      </c>
    </row>
    <row r="30" spans="1:30" ht="15" customHeight="1" x14ac:dyDescent="0.25">
      <c r="A30" s="36">
        <v>42713.34710648148</v>
      </c>
      <c r="B30" s="31" t="s">
        <v>269</v>
      </c>
      <c r="C30" s="31" t="s">
        <v>485</v>
      </c>
      <c r="D30" s="31" t="s">
        <v>49</v>
      </c>
      <c r="E30" s="31" t="s">
        <v>306</v>
      </c>
      <c r="F30" s="47">
        <v>100</v>
      </c>
      <c r="G30" s="47">
        <v>299</v>
      </c>
      <c r="H30" s="47">
        <v>67485</v>
      </c>
      <c r="I30" s="47">
        <v>66184</v>
      </c>
      <c r="J30" s="31" t="s">
        <v>271</v>
      </c>
      <c r="K30" s="47">
        <v>66500</v>
      </c>
      <c r="L30" s="154" t="s">
        <v>51</v>
      </c>
      <c r="M30" s="155">
        <f t="shared" si="0"/>
        <v>-166.84800000000001</v>
      </c>
      <c r="N30" s="156" t="str">
        <f>VLOOKUP(C30,'Trips&amp;Operators'!$C$1:$G$99999,5,FALSE)</f>
        <v>MAELZER KURT</v>
      </c>
      <c r="O30" s="182" t="s">
        <v>232</v>
      </c>
      <c r="P30" s="157" t="s">
        <v>967</v>
      </c>
      <c r="Q30" s="31"/>
      <c r="R30" s="100" t="str">
        <f>VLOOKUP(C30,'Train Runs'!$A$13:$AE$9971,31,0)</f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S30" s="103" t="str">
        <f>VLOOKUP(C30,'Train Runs'!$A$13:$AE$9971,22,0)</f>
        <v>https://search-rtdc-monitor-bjffxe2xuh6vdkpspy63sjmuny.us-east-1.es.amazonaws.com/_plugin/kibana/#/discover/Steve-Slow-Train-Analysis-(2080s-and-2083s)?_g=(refreshInterval:(display:Off,section:0,value:0),time:(from:'2016-12-09 06:48:21-700',mode:absolute,to:'2016-12-09 09:37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0" s="105" t="str">
        <f t="shared" si="1"/>
        <v>"C:\Program Files (x86)\AstroGrep\AstroGrep.exe" /spath="%USERPROFILE%\AppData\Local\Temp\OnboardLogs" /stypes="*4030*201612091*" /stext=" 15:.+((SYSTEM_STATE.+slice.+state.+changed )|(ment ac)|(multiple cpu faults)|(system.+state.+changed )|(\[timeout)|(PRM\|1\|D)|(kpr)|(kdp)|(\|lc)|(penalty))" /e /r /s</v>
      </c>
      <c r="U30" s="9" t="str">
        <f t="shared" si="2"/>
        <v>4030</v>
      </c>
      <c r="V30" s="36">
        <f t="shared" si="3"/>
        <v>42713.638773148145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{"issue":{"subject":"Banner without braking","project_id":79,"tracker_id":40,"status_id":1,"priority_id":2,"assigned_to_id":23,"start_date":"2016-12-09","description":"","custom_fields":[{"id":1,"name":"Subdivision","value":"EC"},{"id":4,"name":"Milepost","value":"6.65"},{"id":17,"name":"Train ID","value":"128-09"},{"id":16,"name":"Locomotive ID","value":"4030"},{"id":130,"name":"Impact","value":""},{"id":150,"name":"Time of Event (Mountain Time)","value":"08:19:50"},{"id":151,"name":"Denver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"%USERPROFILE%\AppData\Local\Temp\OnboardLogs"\RTDC4030\*4030*201612091*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"%USERPROFILE%\AppData\Local\Temp\OnboardLogs"\RTDC4030\*4030*201612091* &gt;&gt; 42713-slicedisagreementcheck.txt</v>
      </c>
    </row>
    <row r="31" spans="1:30" ht="15" customHeight="1" x14ac:dyDescent="0.25">
      <c r="A31" s="36">
        <v>42713.3983912037</v>
      </c>
      <c r="B31" s="31" t="s">
        <v>297</v>
      </c>
      <c r="C31" s="31" t="s">
        <v>486</v>
      </c>
      <c r="D31" s="31" t="s">
        <v>49</v>
      </c>
      <c r="E31" s="31" t="s">
        <v>306</v>
      </c>
      <c r="F31" s="47">
        <v>100</v>
      </c>
      <c r="G31" s="47">
        <v>315</v>
      </c>
      <c r="H31" s="47">
        <v>67575</v>
      </c>
      <c r="I31" s="47">
        <v>66934</v>
      </c>
      <c r="J31" s="31" t="s">
        <v>271</v>
      </c>
      <c r="K31" s="47">
        <v>66500</v>
      </c>
      <c r="L31" s="154" t="s">
        <v>51</v>
      </c>
      <c r="M31" s="155">
        <f t="shared" si="0"/>
        <v>229.15199999999999</v>
      </c>
      <c r="N31" s="156" t="str">
        <f>VLOOKUP(C31,'Trips&amp;Operators'!$C$1:$G$99999,5,FALSE)</f>
        <v>MAGEE KENYA</v>
      </c>
      <c r="O31" s="182" t="s">
        <v>195</v>
      </c>
      <c r="P31" s="157"/>
      <c r="Q31" s="31"/>
      <c r="R31" s="100" t="str">
        <f>VLOOKUP(C31,'Train Runs'!$A$13:$AE$9971,31,0)</f>
        <v>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 &amp; 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</v>
      </c>
      <c r="S31" s="103" t="str">
        <f>VLOOKUP(C31,'Train Runs'!$A$13:$AE$9971,22,0)</f>
        <v>https://search-rtdc-monitor-bjffxe2xuh6vdkpspy63sjmuny.us-east-1.es.amazonaws.com/_plugin/kibana/#/discover/Steve-Slow-Train-Analysis-(2080s-and-2083s)?_g=(refreshInterval:(display:Off,section:0,value:0),time:(from:'2016-12-09 08:06:03-700',mode:absolute,to:'2016-12-09 10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1" s="105" t="str">
        <f t="shared" si="1"/>
        <v>"C:\Program Files (x86)\AstroGrep\AstroGrep.exe" /spath="%USERPROFILE%\AppData\Local\Temp\OnboardLogs" /stypes="*4015*201612091*" /stext=" 16:.+((SYSTEM_STATE.+slice.+state.+changed )|(ment ac)|(multiple cpu faults)|(system.+state.+changed )|(\[timeout)|(PRM\|1\|D)|(kpr)|(kdp)|(\|lc)|(penalty))" /e /r /s</v>
      </c>
      <c r="U31" s="9" t="str">
        <f t="shared" si="2"/>
        <v>4015</v>
      </c>
      <c r="V31" s="36">
        <f t="shared" si="3"/>
        <v>42713.690057870364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{"issue":{"subject":"","project_id":79,"tracker_id":40,"status_id":1,"priority_id":2,"assigned_to_id":23,"start_date":"2016-12-09","description":"","custom_fields":[{"id":1,"name":"Subdivision","value":"EC"},{"id":4,"name":"Milepost","value":"6.65"},{"id":17,"name":"Train ID","value":"138-09"},{"id":16,"name":"Locomotive ID","value":"4015"},{"id":130,"name":"Impact","value":""},{"id":150,"name":"Time of Event (Mountain Time)","value":"09:33:41"},{"id":151,"name":"Denver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"%USERPROFILE%\AppData\Local\Temp\OnboardLogs"\RTDC4015\*4015*201612091*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"%USERPROFILE%\AppData\Local\Temp\OnboardLogs"\RTDC4015\*4015*201612091* &gt;&gt; 42713-slicedisagreementcheck.txt</v>
      </c>
    </row>
    <row r="32" spans="1:30" x14ac:dyDescent="0.25">
      <c r="A32" s="36">
        <v>42713.460729166669</v>
      </c>
      <c r="B32" s="31" t="s">
        <v>212</v>
      </c>
      <c r="C32" s="31" t="s">
        <v>491</v>
      </c>
      <c r="D32" s="31" t="s">
        <v>49</v>
      </c>
      <c r="E32" s="31" t="s">
        <v>306</v>
      </c>
      <c r="F32" s="47">
        <v>100</v>
      </c>
      <c r="G32" s="47">
        <v>415</v>
      </c>
      <c r="H32" s="47">
        <v>68382</v>
      </c>
      <c r="I32" s="47">
        <v>67301</v>
      </c>
      <c r="J32" s="31" t="s">
        <v>271</v>
      </c>
      <c r="K32" s="47">
        <v>66500</v>
      </c>
      <c r="L32" s="154" t="s">
        <v>51</v>
      </c>
      <c r="M32" s="155">
        <f t="shared" si="0"/>
        <v>422.928</v>
      </c>
      <c r="N32" s="156" t="str">
        <f>VLOOKUP(C32,'Trips&amp;Operators'!$C$1:$G$99999,5,FALSE)</f>
        <v>SANTIZO D. EDY</v>
      </c>
      <c r="O32" s="182" t="s">
        <v>195</v>
      </c>
      <c r="P32" s="157"/>
      <c r="Q32" s="31"/>
      <c r="R32" s="100" t="str">
        <f>VLOOKUP(C32,'Train Runs'!$A$13:$AE$9971,31,0)</f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S32" s="103" t="str">
        <f>VLOOKUP(C32,'Train Runs'!$A$13:$AE$9971,22,0)</f>
        <v>https://search-rtdc-monitor-bjffxe2xuh6vdkpspy63sjmuny.us-east-1.es.amazonaws.com/_plugin/kibana/#/discover/Steve-Slow-Train-Analysis-(2080s-and-2083s)?_g=(refreshInterval:(display:Off,section:0,value:0),time:(from:'2016-12-09 09:24:29-700',mode:absolute,to:'2016-12-09 12:22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2" s="105" t="str">
        <f t="shared" si="1"/>
        <v>"C:\Program Files (x86)\AstroGrep\AstroGrep.exe" /spath="%USERPROFILE%\AppData\Local\Temp\OnboardLogs" /stypes="*4012*201612091*" /stext=" 18:.+((SYSTEM_STATE.+slice.+state.+changed )|(ment ac)|(multiple cpu faults)|(system.+state.+changed )|(\[timeout)|(PRM\|1\|D)|(kpr)|(kdp)|(\|lc)|(penalty))" /e /r /s</v>
      </c>
      <c r="U32" s="9" t="str">
        <f t="shared" si="2"/>
        <v>4012</v>
      </c>
      <c r="V32" s="36">
        <f t="shared" si="3"/>
        <v>42713.752395833333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{"issue":{"subject":"","project_id":79,"tracker_id":40,"status_id":1,"priority_id":2,"assigned_to_id":23,"start_date":"2016-12-09","description":"","custom_fields":[{"id":1,"name":"Subdivision","value":"EC"},{"id":4,"name":"Milepost","value":"6.65"},{"id":17,"name":"Train ID","value":"150-09"},{"id":16,"name":"Locomotive ID","value":"4012"},{"id":130,"name":"Impact","value":""},{"id":150,"name":"Time of Event (Mountain Time)","value":"11:03:27"},{"id":151,"name":"Denver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"%USERPROFILE%\AppData\Local\Temp\OnboardLogs"\RTDC4012\*4012*201612091*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"%USERPROFILE%\AppData\Local\Temp\OnboardLogs"\RTDC4012\*4012*201612091* &gt;&gt; 42713-slicedisagreementcheck.txt</v>
      </c>
    </row>
    <row r="33" spans="1:30" x14ac:dyDescent="0.25">
      <c r="A33" s="36">
        <v>42713.565405092595</v>
      </c>
      <c r="B33" s="31" t="s">
        <v>269</v>
      </c>
      <c r="C33" s="31" t="s">
        <v>497</v>
      </c>
      <c r="D33" s="31" t="s">
        <v>49</v>
      </c>
      <c r="E33" s="31" t="s">
        <v>306</v>
      </c>
      <c r="F33" s="47">
        <v>100</v>
      </c>
      <c r="G33" s="47">
        <v>281</v>
      </c>
      <c r="H33" s="47">
        <v>67348</v>
      </c>
      <c r="I33" s="47">
        <v>66745</v>
      </c>
      <c r="J33" s="31" t="s">
        <v>271</v>
      </c>
      <c r="K33" s="47">
        <v>66500</v>
      </c>
      <c r="L33" s="154" t="s">
        <v>51</v>
      </c>
      <c r="M33" s="155">
        <f t="shared" si="0"/>
        <v>129.36000000000001</v>
      </c>
      <c r="N33" s="156" t="str">
        <f>VLOOKUP(C33,'Trips&amp;Operators'!$C$1:$G$99999,5,FALSE)</f>
        <v>HILLS DUSTIN</v>
      </c>
      <c r="O33" s="182" t="s">
        <v>195</v>
      </c>
      <c r="P33" s="157"/>
      <c r="Q33" s="31"/>
      <c r="R33" s="100" t="str">
        <f>VLOOKUP(C33,'Train Runs'!$A$13:$AE$9971,31,0)</f>
        <v>aws s3 cp s3://rtdc.mdm.uploadarchive.raw/RTDC4030/ "%USERPROFILE%\AppData\Local\Temp\OnboardLogs"\RTDC4030\2016-12-09 --exclude "*" --recursive --include "*20161209*" &amp; "%USERPROFILE%\Documents\GitHub\mrs-test-scripts\Headless Mode &amp; Sideloading\WalkAndUnGZ.bat" "%USERPROFILE%\AppData\Local\Temp\OnboardLogs"\RTDC4030\2016-12-09 &amp; aws s3 cp s3://rtdc.mdm.uploadarchive.raw/RTDC4030/ "%USERPROFILE%\AppData\Local\Temp\OnboardLogs"\RTDC4030\2016-12-10 --exclude "*" --recursive --include "*20161210*" &amp; "%USERPROFILE%\Documents\GitHub\mrs-test-scripts\Headless Mode &amp; Sideloading\WalkAndUnGZ.bat" "%USERPROFILE%\AppData\Local\Temp\OnboardLogs"\RTDC4030\2016-12-10</v>
      </c>
      <c r="S33" s="103" t="str">
        <f>VLOOKUP(C33,'Train Runs'!$A$13:$AE$9971,22,0)</f>
        <v>https://search-rtdc-monitor-bjffxe2xuh6vdkpspy63sjmuny.us-east-1.es.amazonaws.com/_plugin/kibana/#/discover/Steve-Slow-Train-Analysis-(2080s-and-2083s)?_g=(refreshInterval:(display:Off,section:0,value:0),time:(from:'2016-12-09 11:54:42-700',mode:absolute,to:'2016-12-09 14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3" s="105" t="str">
        <f t="shared" si="1"/>
        <v>"C:\Program Files (x86)\AstroGrep\AstroGrep.exe" /spath="%USERPROFILE%\AppData\Local\Temp\OnboardLogs" /stypes="*4030*201612092*" /stext=" 20:.+((SYSTEM_STATE.+slice.+state.+changed )|(ment ac)|(multiple cpu faults)|(system.+state.+changed )|(\[timeout)|(PRM\|1\|D)|(kpr)|(kdp)|(\|lc)|(penalty))" /e /r /s</v>
      </c>
      <c r="U33" s="9" t="str">
        <f t="shared" si="2"/>
        <v>4030</v>
      </c>
      <c r="V33" s="36">
        <f t="shared" si="3"/>
        <v>42713.857071759259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{"issue":{"subject":"","project_id":79,"tracker_id":40,"status_id":1,"priority_id":2,"assigned_to_id":23,"start_date":"2016-12-09","description":"","custom_fields":[{"id":1,"name":"Subdivision","value":"EC"},{"id":4,"name":"Milepost","value":"6.65"},{"id":17,"name":"Train ID","value":"170-09"},{"id":16,"name":"Locomotive ID","value":"4030"},{"id":130,"name":"Impact","value":""},{"id":150,"name":"Time of Event (Mountain Time)","value":"13:34:11"},{"id":151,"name":"Denver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"%USERPROFILE%\AppData\Local\Temp\OnboardLogs"\RTDC4030\*4030*201612092*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"%USERPROFILE%\AppData\Local\Temp\OnboardLogs"\RTDC4030\*4030*201612092* &gt;&gt; 42713-slicedisagreementcheck.txt</v>
      </c>
    </row>
    <row r="34" spans="1:30" x14ac:dyDescent="0.25">
      <c r="A34" s="36">
        <v>42713.596643518518</v>
      </c>
      <c r="B34" s="31" t="s">
        <v>398</v>
      </c>
      <c r="C34" s="31" t="s">
        <v>499</v>
      </c>
      <c r="D34" s="31" t="s">
        <v>49</v>
      </c>
      <c r="E34" s="31" t="s">
        <v>306</v>
      </c>
      <c r="F34" s="47">
        <v>100</v>
      </c>
      <c r="G34" s="47">
        <v>275</v>
      </c>
      <c r="H34" s="47">
        <v>67208</v>
      </c>
      <c r="I34" s="47">
        <v>66694</v>
      </c>
      <c r="J34" s="31" t="s">
        <v>271</v>
      </c>
      <c r="K34" s="47">
        <v>66500</v>
      </c>
      <c r="L34" s="154" t="s">
        <v>51</v>
      </c>
      <c r="M34" s="155">
        <f t="shared" si="0"/>
        <v>102.432</v>
      </c>
      <c r="N34" s="156" t="str">
        <f>VLOOKUP(C34,'Trips&amp;Operators'!$C$1:$G$99999,5,FALSE)</f>
        <v>BROWN JACOB</v>
      </c>
      <c r="O34" s="182" t="s">
        <v>195</v>
      </c>
      <c r="P34" s="157"/>
      <c r="Q34" s="31"/>
      <c r="R34" s="100" t="str">
        <f>VLOOKUP(C34,'Train Runs'!$A$13:$AE$9971,31,0)</f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S34" s="103" t="str">
        <f>VLOOKUP(C34,'Train Runs'!$A$13:$AE$9971,22,0)</f>
        <v>https://search-rtdc-monitor-bjffxe2xuh6vdkpspy63sjmuny.us-east-1.es.amazonaws.com/_plugin/kibana/#/discover/Steve-Slow-Train-Analysis-(2080s-and-2083s)?_g=(refreshInterval:(display:Off,section:0,value:0),time:(from:'2016-12-09 12:43:49-700',mode:absolute,to:'2016-12-09 15:36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34" s="105" t="str">
        <f t="shared" si="1"/>
        <v>"C:\Program Files (x86)\AstroGrep\AstroGrep.exe" /spath="%USERPROFILE%\AppData\Local\Temp\OnboardLogs" /stypes="*4001*201612092*" /stext=" 21:.+((SYSTEM_STATE.+slice.+state.+changed )|(ment ac)|(multiple cpu faults)|(system.+state.+changed )|(\[timeout)|(PRM\|1\|D)|(kpr)|(kdp)|(\|lc)|(penalty))" /e /r /s</v>
      </c>
      <c r="U34" s="9" t="str">
        <f t="shared" si="2"/>
        <v>4001</v>
      </c>
      <c r="V34" s="36">
        <f t="shared" si="3"/>
        <v>42713.888310185182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{"issue":{"subject":"","project_id":79,"tracker_id":40,"status_id":1,"priority_id":2,"assigned_to_id":23,"start_date":"2016-12-09","description":"","custom_fields":[{"id":1,"name":"Subdivision","value":"EC"},{"id":4,"name":"Milepost","value":"6.65"},{"id":17,"name":"Train ID","value":"176-09"},{"id":16,"name":"Locomotive ID","value":"4001"},{"id":130,"name":"Impact","value":""},{"id":150,"name":"Time of Event (Mountain Time)","value":"14:19:10"},{"id":151,"name":"Denver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"%USERPROFILE%\AppData\Local\Temp\OnboardLogs"\RTDC4001\*4001*201612092*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"%USERPROFILE%\AppData\Local\Temp\OnboardLogs"\RTDC4001\*4001*201612092* &gt;&gt; 42713-slicedisagreementcheck.txt</v>
      </c>
    </row>
    <row r="35" spans="1:30" x14ac:dyDescent="0.25">
      <c r="A35" s="36">
        <v>42713.617430555554</v>
      </c>
      <c r="B35" s="31" t="s">
        <v>297</v>
      </c>
      <c r="C35" s="31" t="s">
        <v>502</v>
      </c>
      <c r="D35" s="31" t="s">
        <v>49</v>
      </c>
      <c r="E35" s="31" t="s">
        <v>306</v>
      </c>
      <c r="F35" s="47">
        <v>100</v>
      </c>
      <c r="G35" s="47">
        <v>360</v>
      </c>
      <c r="H35" s="47">
        <v>67921</v>
      </c>
      <c r="I35" s="47">
        <v>67077</v>
      </c>
      <c r="J35" s="31" t="s">
        <v>271</v>
      </c>
      <c r="K35" s="47">
        <v>66500</v>
      </c>
      <c r="L35" s="154" t="s">
        <v>51</v>
      </c>
      <c r="M35" s="155">
        <f t="shared" si="0"/>
        <v>304.65600000000001</v>
      </c>
      <c r="N35" s="156" t="str">
        <f>VLOOKUP(C35,'Trips&amp;Operators'!$C$1:$G$99999,5,FALSE)</f>
        <v>MOSES BRADLEY</v>
      </c>
      <c r="O35" s="182" t="s">
        <v>195</v>
      </c>
      <c r="P35" s="157"/>
      <c r="Q35" s="31"/>
      <c r="R35" s="100" t="str">
        <f>VLOOKUP(C35,'Train Runs'!$A$13:$AE$9971,31,0)</f>
        <v>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 &amp; aws s3 cp s3://rtdc.mdm.uploadarchive.raw/RTDC4015/ "%USERPROFILE%\AppData\Local\Temp\OnboardLogs"\RTDC4015\2016-12-10 --exclude "*" --recursive --include "*20161210*" &amp; "%USERPROFILE%\Documents\GitHub\mrs-test-scripts\Headless Mode &amp; Sideloading\WalkAndUnGZ.bat" "%USERPROFILE%\AppData\Local\Temp\OnboardLogs"\RTDC4015\2016-12-10</v>
      </c>
      <c r="S35" s="103" t="str">
        <f>VLOOKUP(C35,'Train Runs'!$A$13:$AE$9971,22,0)</f>
        <v>https://search-rtdc-monitor-bjffxe2xuh6vdkpspy63sjmuny.us-east-1.es.amazonaws.com/_plugin/kibana/#/discover/Steve-Slow-Train-Analysis-(2080s-and-2083s)?_g=(refreshInterval:(display:Off,section:0,value:0),time:(from:'2016-12-09 13:15:51-700',mode:absolute,to:'2016-12-09 16:07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35" s="105" t="str">
        <f t="shared" si="1"/>
        <v>"C:\Program Files (x86)\AstroGrep\AstroGrep.exe" /spath="%USERPROFILE%\AppData\Local\Temp\OnboardLogs" /stypes="*4015*201612092*" /stext=" 21:.+((SYSTEM_STATE.+slice.+state.+changed )|(ment ac)|(multiple cpu faults)|(system.+state.+changed )|(\[timeout)|(PRM\|1\|D)|(kpr)|(kdp)|(\|lc)|(penalty))" /e /r /s</v>
      </c>
      <c r="U35" s="9" t="str">
        <f t="shared" si="2"/>
        <v>4015</v>
      </c>
      <c r="V35" s="36">
        <f t="shared" si="3"/>
        <v>42713.909097222218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{"issue":{"subject":"","project_id":79,"tracker_id":40,"status_id":1,"priority_id":2,"assigned_to_id":23,"start_date":"2016-12-09","description":"","custom_fields":[{"id":1,"name":"Subdivision","value":"EC"},{"id":4,"name":"Milepost","value":"6.65"},{"id":17,"name":"Train ID","value":"180-09"},{"id":16,"name":"Locomotive ID","value":"4015"},{"id":130,"name":"Impact","value":""},{"id":150,"name":"Time of Event (Mountain Time)","value":"14:49:06"},{"id":151,"name":"Denver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"%USERPROFILE%\AppData\Local\Temp\OnboardLogs"\RTDC4015\*4015*201612092*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"%USERPROFILE%\AppData\Local\Temp\OnboardLogs"\RTDC4015\*4015*201612092* &gt;&gt; 42713-slicedisagreementcheck.txt</v>
      </c>
    </row>
    <row r="36" spans="1:30" x14ac:dyDescent="0.25">
      <c r="A36" s="36">
        <v>42713.627800925926</v>
      </c>
      <c r="B36" s="31" t="s">
        <v>246</v>
      </c>
      <c r="C36" s="31" t="s">
        <v>503</v>
      </c>
      <c r="D36" s="31" t="s">
        <v>49</v>
      </c>
      <c r="E36" s="31" t="s">
        <v>306</v>
      </c>
      <c r="F36" s="47">
        <v>100</v>
      </c>
      <c r="G36" s="47">
        <v>286</v>
      </c>
      <c r="H36" s="47">
        <v>67725</v>
      </c>
      <c r="I36" s="47">
        <v>67047</v>
      </c>
      <c r="J36" s="31" t="s">
        <v>271</v>
      </c>
      <c r="K36" s="47">
        <v>66500</v>
      </c>
      <c r="L36" s="154" t="s">
        <v>51</v>
      </c>
      <c r="M36" s="155">
        <f t="shared" si="0"/>
        <v>288.81599999999997</v>
      </c>
      <c r="N36" s="156" t="str">
        <f>VLOOKUP(C36,'Trips&amp;Operators'!$C$1:$G$99999,5,FALSE)</f>
        <v>ADANE ELSHADAY</v>
      </c>
      <c r="O36" s="182" t="s">
        <v>195</v>
      </c>
      <c r="P36" s="157"/>
      <c r="Q36" s="31"/>
      <c r="R36" s="100" t="str">
        <f>VLOOKUP(C36,'Train Runs'!$A$13:$AE$9971,31,0)</f>
        <v>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 &amp; 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</v>
      </c>
      <c r="S36" s="103" t="str">
        <f>VLOOKUP(C36,'Train Runs'!$A$13:$AE$9971,22,0)</f>
        <v>https://search-rtdc-monitor-bjffxe2xuh6vdkpspy63sjmuny.us-east-1.es.amazonaws.com/_plugin/kibana/#/discover/Steve-Slow-Train-Analysis-(2080s-and-2083s)?_g=(refreshInterval:(display:Off,section:0,value:0),time:(from:'2016-12-09 13:28:53-700',mode:absolute,to:'2016-12-09 16:20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6" s="105" t="str">
        <f t="shared" si="1"/>
        <v>"C:\Program Files (x86)\AstroGrep\AstroGrep.exe" /spath="%USERPROFILE%\AppData\Local\Temp\OnboardLogs" /stypes="*4032*201612092*" /stext=" 22:.+((SYSTEM_STATE.+slice.+state.+changed )|(ment ac)|(multiple cpu faults)|(system.+state.+changed )|(\[timeout)|(PRM\|1\|D)|(kpr)|(kdp)|(\|lc)|(penalty))" /e /r /s</v>
      </c>
      <c r="U36" s="9" t="str">
        <f t="shared" si="2"/>
        <v>4032</v>
      </c>
      <c r="V36" s="36">
        <f t="shared" si="3"/>
        <v>42713.91946759259</v>
      </c>
      <c r="W36" s="50" t="str">
        <f t="shared" si="4"/>
        <v>EC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{"issue":{"subject":"","project_id":79,"tracker_id":40,"status_id":1,"priority_id":2,"assigned_to_id":23,"start_date":"2016-12-09","description":"","custom_fields":[{"id":1,"name":"Subdivision","value":"EC"},{"id":4,"name":"Milepost","value":"6.65"},{"id":17,"name":"Train ID","value":"182-09"},{"id":16,"name":"Locomotive ID","value":"4032"},{"id":130,"name":"Impact","value":""},{"id":150,"name":"Time of Event (Mountain Time)","value":"15:04:02"},{"id":151,"name":"Denver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"%USERPROFILE%\AppData\Local\Temp\OnboardLogs"\RTDC4032\*4032*201612092*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"%USERPROFILE%\AppData\Local\Temp\OnboardLogs"\RTDC4032\*4032*201612092* &gt;&gt; 42713-slicedisagreementcheck.txt</v>
      </c>
    </row>
    <row r="37" spans="1:30" x14ac:dyDescent="0.25">
      <c r="A37" s="36">
        <v>42713.70113425926</v>
      </c>
      <c r="B37" s="31" t="s">
        <v>246</v>
      </c>
      <c r="C37" s="31" t="s">
        <v>510</v>
      </c>
      <c r="D37" s="31" t="s">
        <v>49</v>
      </c>
      <c r="E37" s="31" t="s">
        <v>306</v>
      </c>
      <c r="F37" s="47">
        <v>100</v>
      </c>
      <c r="G37" s="47">
        <v>260</v>
      </c>
      <c r="H37" s="47">
        <v>67147</v>
      </c>
      <c r="I37" s="47">
        <v>66686</v>
      </c>
      <c r="J37" s="31" t="s">
        <v>271</v>
      </c>
      <c r="K37" s="47">
        <v>66500</v>
      </c>
      <c r="L37" s="154" t="s">
        <v>51</v>
      </c>
      <c r="M37" s="155">
        <f t="shared" si="0"/>
        <v>98.207999999999998</v>
      </c>
      <c r="N37" s="156" t="str">
        <f>VLOOKUP(C37,'Trips&amp;Operators'!$C$1:$G$99999,5,FALSE)</f>
        <v>ADANE ELSHADAY</v>
      </c>
      <c r="O37" s="182" t="s">
        <v>195</v>
      </c>
      <c r="P37" s="157"/>
      <c r="Q37" s="31"/>
      <c r="R37" s="100" t="str">
        <f>VLOOKUP(C37,'Train Runs'!$A$13:$AE$9971,31,0)</f>
        <v>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 &amp; 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</v>
      </c>
      <c r="S37" s="103" t="str">
        <f>VLOOKUP(C37,'Train Runs'!$A$13:$AE$9971,22,0)</f>
        <v>https://search-rtdc-monitor-bjffxe2xuh6vdkpspy63sjmuny.us-east-1.es.amazonaws.com/_plugin/kibana/#/discover/Steve-Slow-Train-Analysis-(2080s-and-2083s)?_g=(refreshInterval:(display:Off,section:0,value:0),time:(from:'2016-12-09 15:07:36-700',mode:absolute,to:'2016-12-09 18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37" s="105" t="str">
        <f t="shared" si="1"/>
        <v>"C:\Program Files (x86)\AstroGrep\AstroGrep.exe" /spath="%USERPROFILE%\AppData\Local\Temp\OnboardLogs" /stypes="*4032*201612092*" /stext=" 23:.+((SYSTEM_STATE.+slice.+state.+changed )|(ment ac)|(multiple cpu faults)|(system.+state.+changed )|(\[timeout)|(PRM\|1\|D)|(kpr)|(kdp)|(\|lc)|(penalty))" /e /r /s</v>
      </c>
      <c r="U37" s="9" t="str">
        <f t="shared" si="2"/>
        <v>4032</v>
      </c>
      <c r="V37" s="36">
        <f t="shared" si="3"/>
        <v>42713.992800925924</v>
      </c>
      <c r="W37" s="50" t="str">
        <f t="shared" si="4"/>
        <v>EC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{"issue":{"subject":"","project_id":79,"tracker_id":40,"status_id":1,"priority_id":2,"assigned_to_id":23,"start_date":"2016-12-09","description":"","custom_fields":[{"id":1,"name":"Subdivision","value":"EC"},{"id":4,"name":"Milepost","value":"6.65"},{"id":17,"name":"Train ID","value":"196-09"},{"id":16,"name":"Locomotive ID","value":"4032"},{"id":130,"name":"Impact","value":""},{"id":150,"name":"Time of Event (Mountain Time)","value":"16:49:38"},{"id":151,"name":"Denver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"%USERPROFILE%\AppData\Local\Temp\OnboardLogs"\RTDC4032\*4032*201612092*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"%USERPROFILE%\AppData\Local\Temp\OnboardLogs"\RTDC4032\*4032*201612092* &gt;&gt; 42713-slicedisagreementcheck.txt</v>
      </c>
    </row>
    <row r="38" spans="1:30" x14ac:dyDescent="0.25">
      <c r="A38" s="36">
        <v>42713.866828703707</v>
      </c>
      <c r="B38" s="31" t="s">
        <v>155</v>
      </c>
      <c r="C38" s="31" t="s">
        <v>519</v>
      </c>
      <c r="D38" s="31" t="s">
        <v>49</v>
      </c>
      <c r="E38" s="31" t="s">
        <v>306</v>
      </c>
      <c r="F38" s="47">
        <v>100</v>
      </c>
      <c r="G38" s="47">
        <v>532</v>
      </c>
      <c r="H38" s="47">
        <v>69302</v>
      </c>
      <c r="I38" s="47">
        <v>67751</v>
      </c>
      <c r="J38" s="31" t="s">
        <v>271</v>
      </c>
      <c r="K38" s="47">
        <v>66500</v>
      </c>
      <c r="L38" s="154" t="s">
        <v>51</v>
      </c>
      <c r="M38" s="155">
        <f t="shared" si="0"/>
        <v>660.52799999999991</v>
      </c>
      <c r="N38" s="156" t="str">
        <f>VLOOKUP(C38,'Trips&amp;Operators'!$C$1:$G$99999,5,FALSE)</f>
        <v>YANAI IAN</v>
      </c>
      <c r="O38" s="182" t="s">
        <v>195</v>
      </c>
      <c r="P38" s="157"/>
      <c r="Q38" s="31"/>
      <c r="R38" s="100" t="str">
        <f>VLOOKUP(C38,'Train Runs'!$A$13:$AE$9971,31,0)</f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S38" s="103" t="str">
        <f>VLOOKUP(C38,'Train Runs'!$A$13:$AE$9971,22,0)</f>
        <v>https://search-rtdc-monitor-bjffxe2xuh6vdkpspy63sjmuny.us-east-1.es.amazonaws.com/_plugin/kibana/#/discover/Steve-Slow-Train-Analysis-(2080s-and-2083s)?_g=(refreshInterval:(display:Off,section:0,value:0),time:(from:'2016-12-09 19:06:19-700',mode:absolute,to:'2016-12-09 22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38" s="105" t="str">
        <f t="shared" si="1"/>
        <v>"C:\Program Files (x86)\AstroGrep\AstroGrep.exe" /spath="%USERPROFILE%\AppData\Local\Temp\OnboardLogs" /stypes="*4052*201612100*" /stext=" 03:.+((SYSTEM_STATE.+slice.+state.+changed )|(ment ac)|(multiple cpu faults)|(system.+state.+changed )|(\[timeout)|(PRM\|1\|D)|(kpr)|(kdp)|(\|lc)|(penalty))" /e /r /s</v>
      </c>
      <c r="U38" s="9" t="str">
        <f t="shared" si="2"/>
        <v>4052</v>
      </c>
      <c r="V38" s="36">
        <f t="shared" si="3"/>
        <v>42714.158495370371</v>
      </c>
      <c r="W38" s="50" t="str">
        <f t="shared" si="4"/>
        <v>EC</v>
      </c>
      <c r="X38" s="50" t="str">
        <f t="shared" si="5"/>
        <v>KEEP</v>
      </c>
      <c r="Y38" s="119" t="str">
        <f t="shared" si="6"/>
        <v>echo {"issue":{"subject":"","project_id":79,"tracker_id":40,"status_id":1,"priority_id":2,"assigned_to_id":23,"start_date":"2016-12-09","description":"","custom_fields":[{"id":1,"name":"Subdivision","value":"EC"},{"id":4,"name":"Milepost","value":"6.65"},{"id":17,"name":"Train ID","value":"224-09"},{"id":16,"name":"Locomotive ID","value":"4052"},{"id":130,"name":"Impact","value":""},{"id":150,"name":"Time of Event (Mountain Time)","value":"20:48:14"},{"id":151,"name":"Denver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"%USERPROFILE%\AppData\Local\Temp\OnboardLogs"\RTDC4052\*4052*201612100*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"%USERPROFILE%\AppData\Local\Temp\OnboardLogs"\RTDC4052\*4052*201612100* &gt;&gt; 42713-slicedisagreementcheck.txt</v>
      </c>
    </row>
    <row r="39" spans="1:30" x14ac:dyDescent="0.25">
      <c r="A39" s="36">
        <v>42713.327175925922</v>
      </c>
      <c r="B39" s="31" t="s">
        <v>212</v>
      </c>
      <c r="C39" s="31" t="s">
        <v>482</v>
      </c>
      <c r="D39" s="31" t="s">
        <v>49</v>
      </c>
      <c r="E39" s="31" t="s">
        <v>200</v>
      </c>
      <c r="F39" s="47">
        <v>0</v>
      </c>
      <c r="G39" s="47">
        <v>67</v>
      </c>
      <c r="H39" s="47">
        <v>203</v>
      </c>
      <c r="I39" s="47">
        <v>147</v>
      </c>
      <c r="J39" s="31" t="s">
        <v>201</v>
      </c>
      <c r="K39" s="47">
        <v>1</v>
      </c>
      <c r="L39" s="154" t="s">
        <v>51</v>
      </c>
      <c r="M39" s="155">
        <f t="shared" ref="M39:M56" si="8">CONVERT((I39-K39)/10000,"mi","ft")*IF(L39="Increasing Mileposts (1)",-1,1)</f>
        <v>77.087999999999994</v>
      </c>
      <c r="N39" s="156" t="str">
        <f>VLOOKUP(C39,'Trips&amp;Operators'!$C$1:$G$99999,5,FALSE)</f>
        <v>SANTIZO D. EDY</v>
      </c>
      <c r="O39" s="182" t="s">
        <v>195</v>
      </c>
      <c r="P39" s="157"/>
      <c r="Q39" s="31"/>
      <c r="R39" s="100" t="str">
        <f>VLOOKUP(C39,'Train Runs'!$A$13:$AE$9971,31,0)</f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S39" s="103" t="str">
        <f>VLOOKUP(C39,'Train Runs'!$A$13:$AE$9971,22,0)</f>
        <v>https://search-rtdc-monitor-bjffxe2xuh6vdkpspy63sjmuny.us-east-1.es.amazonaws.com/_plugin/kibana/#/discover/Steve-Slow-Train-Analysis-(2080s-and-2083s)?_g=(refreshInterval:(display:Off,section:0,value:0),time:(from:'2016-12-09 05:53:48-700',mode:absolute,to:'2016-12-09 08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9" s="105" t="str">
        <f t="shared" ref="T39:T56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/stypes="*4012*201612091*" /stext=" 14:.+((SYSTEM_STATE.+slice.+state.+changed )|(ment ac)|(multiple cpu faults)|(system.+state.+changed )|(\[timeout)|(PRM\|1\|D)|(kpr)|(kdp)|(\|lc)|(penalty))" /e /r /s</v>
      </c>
      <c r="U39" s="9" t="str">
        <f t="shared" ref="U39:U56" si="10">MID(B39,13,4)</f>
        <v>4012</v>
      </c>
      <c r="V39" s="36">
        <f t="shared" ref="V39:V56" si="11">A39-utc_offset/24</f>
        <v>42713.618842592587</v>
      </c>
      <c r="W39" s="50" t="str">
        <f t="shared" ref="W39:W56" si="12">IF(VALUE(LEFT(IF(LEN(C39)=6,"0"&amp;C39,C39),2))&lt;=2,"EC",IF(OR(VALUE(LEFT(IF(LEN(C39)=6,"0"&amp;C39,C39),2))=8,VALUE(LEFT(IF(LEN(C39)=6,"0"&amp;C39,C39),2))=18),"NW","Other"))</f>
        <v>EC</v>
      </c>
      <c r="X39" s="50" t="str">
        <f t="shared" ref="X39:X56" si="13">IF(AND(E39="TRACK WARRANT AUTHORITY",G39&lt;10),"OMIT","KEEP")</f>
        <v>KEEP</v>
      </c>
      <c r="Y39" s="119" t="str">
        <f t="shared" ref="Y39:Y56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{"issue":{"subject":"","project_id":79,"tracker_id":40,"status_id":1,"priority_id":2,"assigned_to_id":23,"start_date":"2016-12-09","description":"","custom_fields":[{"id":1,"name":"Subdivision","value":"EC"},{"id":4,"name":"Milepost","value":"0.0001"},{"id":17,"name":"Train ID","value":"122-09"},{"id":16,"name":"Locomotive ID","value":"4012"},{"id":130,"name":"Impact","value":""},{"id":150,"name":"Time of Event (Mountain Time)","value":"07:51:08"},{"id":151,"name":"Denver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ref="AC39:AC56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"%USERPROFILE%\AppData\Local\Temp\OnboardLogs"\RTDC4012\*4012*201612091*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"%USERPROFILE%\AppData\Local\Temp\OnboardLogs"\RTDC4012\*4012*201612091* &gt;&gt; 42713-slicedisagreementcheck.txt</v>
      </c>
    </row>
    <row r="40" spans="1:30" x14ac:dyDescent="0.25">
      <c r="A40" s="36">
        <v>42713.453240740739</v>
      </c>
      <c r="B40" s="31" t="s">
        <v>155</v>
      </c>
      <c r="C40" s="31" t="s">
        <v>490</v>
      </c>
      <c r="D40" s="31" t="s">
        <v>49</v>
      </c>
      <c r="E40" s="31" t="s">
        <v>200</v>
      </c>
      <c r="F40" s="47">
        <v>0</v>
      </c>
      <c r="G40" s="47">
        <v>69</v>
      </c>
      <c r="H40" s="47">
        <v>234</v>
      </c>
      <c r="I40" s="47">
        <v>170</v>
      </c>
      <c r="J40" s="31" t="s">
        <v>201</v>
      </c>
      <c r="K40" s="47">
        <v>1</v>
      </c>
      <c r="L40" s="154" t="s">
        <v>51</v>
      </c>
      <c r="M40" s="155">
        <f t="shared" si="8"/>
        <v>89.231999999999985</v>
      </c>
      <c r="N40" s="156" t="str">
        <f>VLOOKUP(C40,'Trips&amp;Operators'!$C$1:$G$99999,5,FALSE)</f>
        <v>DAVIS WENDY</v>
      </c>
      <c r="O40" s="182" t="s">
        <v>195</v>
      </c>
      <c r="P40" s="157"/>
      <c r="Q40" s="31"/>
      <c r="R40" s="100" t="str">
        <f>VLOOKUP(C40,'Train Runs'!$A$13:$AE$9971,31,0)</f>
        <v>aws s3 cp s3://rtdc.mdm.uploadarchive.raw/RTDC4052/ "%USERPROFILE%\AppData\Local\Temp\OnboardLogs"\RTDC4052\2016-12-09 --exclude "*" --recursive --include "*20161209*" &amp; "%USERPROFILE%\Documents\GitHub\mrs-test-scripts\Headless Mode &amp; Sideloading\WalkAndUnGZ.bat" "%USERPROFILE%\AppData\Local\Temp\OnboardLogs"\RTDC4052\2016-12-09 &amp; aws s3 cp s3://rtdc.mdm.uploadarchive.raw/RTDC4052/ "%USERPROFILE%\AppData\Local\Temp\OnboardLogs"\RTDC4052\2016-12-10 --exclude "*" --recursive --include "*20161210*" &amp; "%USERPROFILE%\Documents\GitHub\mrs-test-scripts\Headless Mode &amp; Sideloading\WalkAndUnGZ.bat" "%USERPROFILE%\AppData\Local\Temp\OnboardLogs"\RTDC4052\2016-12-10</v>
      </c>
      <c r="S40" s="103" t="str">
        <f>VLOOKUP(C40,'Train Runs'!$A$13:$AE$9971,22,0)</f>
        <v>https://search-rtdc-monitor-bjffxe2xuh6vdkpspy63sjmuny.us-east-1.es.amazonaws.com/_plugin/kibana/#/discover/Steve-Slow-Train-Analysis-(2080s-and-2083s)?_g=(refreshInterval:(display:Off,section:0,value:0),time:(from:'2016-12-09 09:06:51-700',mode:absolute,to:'2016-12-09 11:52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T40" s="105" t="str">
        <f t="shared" si="9"/>
        <v>"C:\Program Files (x86)\AstroGrep\AstroGrep.exe" /spath="%USERPROFILE%\AppData\Local\Temp\OnboardLogs" /stypes="*4052*201612091*" /stext=" 17:.+((SYSTEM_STATE.+slice.+state.+changed )|(ment ac)|(multiple cpu faults)|(system.+state.+changed )|(\[timeout)|(PRM\|1\|D)|(kpr)|(kdp)|(\|lc)|(penalty))" /e /r /s</v>
      </c>
      <c r="U40" s="9" t="str">
        <f t="shared" si="10"/>
        <v>4052</v>
      </c>
      <c r="V40" s="36">
        <f t="shared" si="11"/>
        <v>42713.744907407403</v>
      </c>
      <c r="W40" s="50" t="str">
        <f t="shared" si="12"/>
        <v>EC</v>
      </c>
      <c r="X40" s="50" t="str">
        <f t="shared" si="13"/>
        <v>KEEP</v>
      </c>
      <c r="Y40" s="119" t="str">
        <f t="shared" si="14"/>
        <v>echo {"issue":{"subject":"","project_id":79,"tracker_id":40,"status_id":1,"priority_id":2,"assigned_to_id":23,"start_date":"2016-12-09","description":"","custom_fields":[{"id":1,"name":"Subdivision","value":"EC"},{"id":4,"name":"Milepost","value":"0.0001"},{"id":17,"name":"Train ID","value":"146-09"},{"id":16,"name":"Locomotive ID","value":"4052"},{"id":130,"name":"Impact","value":""},{"id":150,"name":"Time of Event (Mountain Time)","value":"10:52:40"},{"id":151,"name":"Denver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15"/>
        <v>grep -hSE -A100 "Enforcement Action" "%USERPROFILE%\AppData\Local\Temp\OnboardLogs"\RTDC4052\*4052*201612091*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"%USERPROFILE%\AppData\Local\Temp\OnboardLogs"\RTDC4052\*4052*201612091* &gt;&gt; 42713-slicedisagreementcheck.txt</v>
      </c>
    </row>
    <row r="41" spans="1:30" x14ac:dyDescent="0.25">
      <c r="A41" s="36">
        <v>42713.535775462966</v>
      </c>
      <c r="B41" s="31" t="s">
        <v>398</v>
      </c>
      <c r="C41" s="31" t="s">
        <v>494</v>
      </c>
      <c r="D41" s="31" t="s">
        <v>49</v>
      </c>
      <c r="E41" s="31" t="s">
        <v>200</v>
      </c>
      <c r="F41" s="47">
        <v>0</v>
      </c>
      <c r="G41" s="47">
        <v>48</v>
      </c>
      <c r="H41" s="47">
        <v>139</v>
      </c>
      <c r="I41" s="47">
        <v>110</v>
      </c>
      <c r="J41" s="31" t="s">
        <v>201</v>
      </c>
      <c r="K41" s="47">
        <v>1</v>
      </c>
      <c r="L41" s="154" t="s">
        <v>51</v>
      </c>
      <c r="M41" s="155">
        <f t="shared" si="8"/>
        <v>57.552</v>
      </c>
      <c r="N41" s="156" t="str">
        <f>VLOOKUP(C41,'Trips&amp;Operators'!$C$1:$G$99999,5,FALSE)</f>
        <v>BROWN JACOB</v>
      </c>
      <c r="O41" s="182" t="s">
        <v>195</v>
      </c>
      <c r="P41" s="157"/>
      <c r="Q41" s="31"/>
      <c r="R41" s="100" t="str">
        <f>VLOOKUP(C41,'Train Runs'!$A$13:$AE$9971,31,0)</f>
        <v>aws s3 cp s3://rtdc.mdm.uploadarchive.raw/RTDC4001/ "%USERPROFILE%\AppData\Local\Temp\OnboardLogs"\RTDC4001\2016-12-09 --exclude "*" --recursive --include "*20161209*" &amp; "%USERPROFILE%\Documents\GitHub\mrs-test-scripts\Headless Mode &amp; Sideloading\WalkAndUnGZ.bat" "%USERPROFILE%\AppData\Local\Temp\OnboardLogs"\RTDC4001\2016-12-09 &amp; aws s3 cp s3://rtdc.mdm.uploadarchive.raw/RTDC4001/ "%USERPROFILE%\AppData\Local\Temp\OnboardLogs"\RTDC4001\2016-12-10 --exclude "*" --recursive --include "*20161210*" &amp; "%USERPROFILE%\Documents\GitHub\mrs-test-scripts\Headless Mode &amp; Sideloading\WalkAndUnGZ.bat" "%USERPROFILE%\AppData\Local\Temp\OnboardLogs"\RTDC4001\2016-12-10</v>
      </c>
      <c r="S41" s="103" t="str">
        <f>VLOOKUP(C41,'Train Runs'!$A$13:$AE$9971,22,0)</f>
        <v>https://search-rtdc-monitor-bjffxe2xuh6vdkpspy63sjmuny.us-east-1.es.amazonaws.com/_plugin/kibana/#/discover/Steve-Slow-Train-Analysis-(2080s-and-2083s)?_g=(refreshInterval:(display:Off,section:0,value:0),time:(from:'2016-12-09 11:03:30-700',mode:absolute,to:'2016-12-09 13:51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T41" s="105" t="str">
        <f t="shared" si="9"/>
        <v>"C:\Program Files (x86)\AstroGrep\AstroGrep.exe" /spath="%USERPROFILE%\AppData\Local\Temp\OnboardLogs" /stypes="*4001*201612091*" /stext=" 19:.+((SYSTEM_STATE.+slice.+state.+changed )|(ment ac)|(multiple cpu faults)|(system.+state.+changed )|(\[timeout)|(PRM\|1\|D)|(kpr)|(kdp)|(\|lc)|(penalty))" /e /r /s</v>
      </c>
      <c r="U41" s="9" t="str">
        <f t="shared" si="10"/>
        <v>4001</v>
      </c>
      <c r="V41" s="36">
        <f t="shared" si="11"/>
        <v>42713.82744212963</v>
      </c>
      <c r="W41" s="50" t="str">
        <f t="shared" si="12"/>
        <v>EC</v>
      </c>
      <c r="X41" s="50" t="str">
        <f t="shared" si="13"/>
        <v>KEEP</v>
      </c>
      <c r="Y41" s="119" t="str">
        <f t="shared" si="14"/>
        <v>echo {"issue":{"subject":"","project_id":79,"tracker_id":40,"status_id":1,"priority_id":2,"assigned_to_id":23,"start_date":"2016-12-09","description":"","custom_fields":[{"id":1,"name":"Subdivision","value":"EC"},{"id":4,"name":"Milepost","value":"0.0001"},{"id":17,"name":"Train ID","value":"162-09"},{"id":16,"name":"Locomotive ID","value":"4001"},{"id":130,"name":"Impact","value":""},{"id":150,"name":"Time of Event (Mountain Time)","value":"12:51:31"},{"id":151,"name":"Denver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15"/>
        <v>grep -hSE -A100 "Enforcement Action" "%USERPROFILE%\AppData\Local\Temp\OnboardLogs"\RTDC4001\*4001*201612091*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"%USERPROFILE%\AppData\Local\Temp\OnboardLogs"\RTDC4001\*4001*201612091* &gt;&gt; 42713-slicedisagreementcheck.txt</v>
      </c>
    </row>
    <row r="42" spans="1:30" x14ac:dyDescent="0.25">
      <c r="A42" s="36">
        <v>42713.567106481481</v>
      </c>
      <c r="B42" s="31" t="s">
        <v>246</v>
      </c>
      <c r="C42" s="31" t="s">
        <v>498</v>
      </c>
      <c r="D42" s="31" t="s">
        <v>49</v>
      </c>
      <c r="E42" s="31" t="s">
        <v>200</v>
      </c>
      <c r="F42" s="47">
        <v>0</v>
      </c>
      <c r="G42" s="47">
        <v>54</v>
      </c>
      <c r="H42" s="47">
        <v>158</v>
      </c>
      <c r="I42" s="47">
        <v>103</v>
      </c>
      <c r="J42" s="31" t="s">
        <v>201</v>
      </c>
      <c r="K42" s="47">
        <v>1</v>
      </c>
      <c r="L42" s="154" t="s">
        <v>51</v>
      </c>
      <c r="M42" s="155">
        <f t="shared" si="8"/>
        <v>53.856000000000002</v>
      </c>
      <c r="N42" s="156" t="str">
        <f>VLOOKUP(C42,'Trips&amp;Operators'!$C$1:$G$99999,5,FALSE)</f>
        <v>HOLCOMB KAMDEN</v>
      </c>
      <c r="O42" s="182" t="s">
        <v>195</v>
      </c>
      <c r="P42" s="157"/>
      <c r="Q42" s="31"/>
      <c r="R42" s="100" t="str">
        <f>VLOOKUP(C42,'Train Runs'!$A$13:$AE$9971,31,0)</f>
        <v>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 &amp; aws s3 cp s3://rtdc.mdm.uploadarchive.raw/RTDC4032/ "%USERPROFILE%\AppData\Local\Temp\OnboardLogs"\RTDC4032\2016-12-10 --exclude "*" --recursive --include "*20161210*" &amp; "%USERPROFILE%\Documents\GitHub\mrs-test-scripts\Headless Mode &amp; Sideloading\WalkAndUnGZ.bat" "%USERPROFILE%\AppData\Local\Temp\OnboardLogs"\RTDC4032\2016-12-10</v>
      </c>
      <c r="S42" s="103" t="str">
        <f>VLOOKUP(C42,'Train Runs'!$A$13:$AE$9971,22,0)</f>
        <v>https://search-rtdc-monitor-bjffxe2xuh6vdkpspy63sjmuny.us-east-1.es.amazonaws.com/_plugin/kibana/#/discover/Steve-Slow-Train-Analysis-(2080s-and-2083s)?_g=(refreshInterval:(display:Off,section:0,value:0),time:(from:'2016-12-09 11:49:21-700',mode:absolute,to:'2016-12-09 14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42" s="105" t="str">
        <f t="shared" si="9"/>
        <v>"C:\Program Files (x86)\AstroGrep\AstroGrep.exe" /spath="%USERPROFILE%\AppData\Local\Temp\OnboardLogs" /stypes="*4032*201612092*" /stext=" 20:.+((SYSTEM_STATE.+slice.+state.+changed )|(ment ac)|(multiple cpu faults)|(system.+state.+changed )|(\[timeout)|(PRM\|1\|D)|(kpr)|(kdp)|(\|lc)|(penalty))" /e /r /s</v>
      </c>
      <c r="U42" s="9" t="str">
        <f t="shared" si="10"/>
        <v>4032</v>
      </c>
      <c r="V42" s="36">
        <f t="shared" si="11"/>
        <v>42713.858773148146</v>
      </c>
      <c r="W42" s="50" t="str">
        <f t="shared" si="12"/>
        <v>EC</v>
      </c>
      <c r="X42" s="50" t="str">
        <f t="shared" si="13"/>
        <v>KEEP</v>
      </c>
      <c r="Y42" s="119" t="str">
        <f t="shared" si="14"/>
        <v>echo {"issue":{"subject":"","project_id":79,"tracker_id":40,"status_id":1,"priority_id":2,"assigned_to_id":23,"start_date":"2016-12-09","description":"","custom_fields":[{"id":1,"name":"Subdivision","value":"EC"},{"id":4,"name":"Milepost","value":"0.0001"},{"id":17,"name":"Train ID","value":"168-09"},{"id":16,"name":"Locomotive ID","value":"4032"},{"id":130,"name":"Impact","value":""},{"id":150,"name":"Time of Event (Mountain Time)","value":"13:36:38"},{"id":151,"name":"Denver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15"/>
        <v>grep -hSE -A100 "Enforcement Action" "%USERPROFILE%\AppData\Local\Temp\OnboardLogs"\RTDC4032\*4032*201612092*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"%USERPROFILE%\AppData\Local\Temp\OnboardLogs"\RTDC4032\*4032*201612092* &gt;&gt; 42713-slicedisagreementcheck.txt</v>
      </c>
    </row>
    <row r="43" spans="1:30" x14ac:dyDescent="0.25">
      <c r="A43" s="36">
        <v>42713.694618055553</v>
      </c>
      <c r="B43" s="31" t="s">
        <v>212</v>
      </c>
      <c r="C43" s="31" t="s">
        <v>509</v>
      </c>
      <c r="D43" s="31" t="s">
        <v>49</v>
      </c>
      <c r="E43" s="31" t="s">
        <v>200</v>
      </c>
      <c r="F43" s="47">
        <v>0</v>
      </c>
      <c r="G43" s="47">
        <v>53</v>
      </c>
      <c r="H43" s="47">
        <v>178</v>
      </c>
      <c r="I43" s="47">
        <v>139</v>
      </c>
      <c r="J43" s="31" t="s">
        <v>201</v>
      </c>
      <c r="K43" s="47">
        <v>1</v>
      </c>
      <c r="L43" s="154" t="s">
        <v>51</v>
      </c>
      <c r="M43" s="155">
        <f t="shared" si="8"/>
        <v>72.864000000000004</v>
      </c>
      <c r="N43" s="156" t="str">
        <f>VLOOKUP(C43,'Trips&amp;Operators'!$C$1:$G$99999,5,FALSE)</f>
        <v>BONDS REYNALDO</v>
      </c>
      <c r="O43" s="182" t="s">
        <v>195</v>
      </c>
      <c r="P43" s="157"/>
      <c r="Q43" s="31"/>
      <c r="R43" s="100" t="str">
        <f>VLOOKUP(C43,'Train Runs'!$A$13:$AE$9971,31,0)</f>
        <v>aws s3 cp s3://rtdc.mdm.uploadarchive.raw/RTDC4012/ "%USERPROFILE%\AppData\Local\Temp\OnboardLogs"\RTDC4012\2016-12-09 --exclude "*" --recursive --include "*20161209*" &amp; "%USERPROFILE%\Documents\GitHub\mrs-test-scripts\Headless Mode &amp; Sideloading\WalkAndUnGZ.bat" "%USERPROFILE%\AppData\Local\Temp\OnboardLogs"\RTDC4012\2016-12-09 &amp; aws s3 cp s3://rtdc.mdm.uploadarchive.raw/RTDC4012/ "%USERPROFILE%\AppData\Local\Temp\OnboardLogs"\RTDC4012\2016-12-10 --exclude "*" --recursive --include "*20161210*" &amp; "%USERPROFILE%\Documents\GitHub\mrs-test-scripts\Headless Mode &amp; Sideloading\WalkAndUnGZ.bat" "%USERPROFILE%\AppData\Local\Temp\OnboardLogs"\RTDC4012\2016-12-10</v>
      </c>
      <c r="S43" s="103" t="str">
        <f>VLOOKUP(C43,'Train Runs'!$A$13:$AE$9971,22,0)</f>
        <v>https://search-rtdc-monitor-bjffxe2xuh6vdkpspy63sjmuny.us-east-1.es.amazonaws.com/_plugin/kibana/#/discover/Steve-Slow-Train-Analysis-(2080s-and-2083s)?_g=(refreshInterval:(display:Off,section:0,value:0),time:(from:'2016-12-09 14:47:42-700',mode:absolute,to:'2016-12-09 17:40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43" s="105" t="str">
        <f t="shared" si="9"/>
        <v>"C:\Program Files (x86)\AstroGrep\AstroGrep.exe" /spath="%USERPROFILE%\AppData\Local\Temp\OnboardLogs" /stypes="*4012*201612092*" /stext=" 23:.+((SYSTEM_STATE.+slice.+state.+changed )|(ment ac)|(multiple cpu faults)|(system.+state.+changed )|(\[timeout)|(PRM\|1\|D)|(kpr)|(kdp)|(\|lc)|(penalty))" /e /r /s</v>
      </c>
      <c r="U43" s="9" t="str">
        <f t="shared" si="10"/>
        <v>4012</v>
      </c>
      <c r="V43" s="36">
        <f t="shared" si="11"/>
        <v>42713.986284722218</v>
      </c>
      <c r="W43" s="50" t="str">
        <f t="shared" si="12"/>
        <v>EC</v>
      </c>
      <c r="X43" s="50" t="str">
        <f t="shared" si="13"/>
        <v>KEEP</v>
      </c>
      <c r="Y43" s="119" t="str">
        <f t="shared" si="14"/>
        <v>echo {"issue":{"subject":"","project_id":79,"tracker_id":40,"status_id":1,"priority_id":2,"assigned_to_id":23,"start_date":"2016-12-09","description":"","custom_fields":[{"id":1,"name":"Subdivision","value":"EC"},{"id":4,"name":"Milepost","value":"0.0001"},{"id":17,"name":"Train ID","value":"192-09"},{"id":16,"name":"Locomotive ID","value":"4012"},{"id":130,"name":"Impact","value":""},{"id":150,"name":"Time of Event (Mountain Time)","value":"16:40:15"},{"id":151,"name":"Denver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15"/>
        <v>grep -hSE -A100 "Enforcement Action" "%USERPROFILE%\AppData\Local\Temp\OnboardLogs"\RTDC4012\*4012*201612092*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"%USERPROFILE%\AppData\Local\Temp\OnboardLogs"\RTDC4012\*4012*201612092* &gt;&gt; 42713-slicedisagreementcheck.txt</v>
      </c>
    </row>
    <row r="44" spans="1:30" x14ac:dyDescent="0.25">
      <c r="A44" s="36">
        <v>42713.214837962965</v>
      </c>
      <c r="B44" s="31" t="s">
        <v>205</v>
      </c>
      <c r="C44" s="31" t="s">
        <v>474</v>
      </c>
      <c r="D44" s="31" t="s">
        <v>49</v>
      </c>
      <c r="E44" s="31" t="s">
        <v>200</v>
      </c>
      <c r="F44" s="47">
        <v>0</v>
      </c>
      <c r="G44" s="47">
        <v>51</v>
      </c>
      <c r="H44" s="47">
        <v>233309</v>
      </c>
      <c r="I44" s="47">
        <v>233353</v>
      </c>
      <c r="J44" s="31" t="s">
        <v>201</v>
      </c>
      <c r="K44" s="47">
        <v>233491</v>
      </c>
      <c r="L44" s="154" t="s">
        <v>50</v>
      </c>
      <c r="M44" s="155">
        <f t="shared" si="8"/>
        <v>72.864000000000004</v>
      </c>
      <c r="N44" s="156" t="str">
        <f>VLOOKUP(C44,'Trips&amp;Operators'!$C$1:$G$99999,5,FALSE)</f>
        <v>SANTIZO D. EDY</v>
      </c>
      <c r="O44" s="182" t="s">
        <v>195</v>
      </c>
      <c r="P44" s="157"/>
      <c r="Q44" s="31"/>
      <c r="R44" s="100" t="str">
        <f>VLOOKUP(C44,'Train Runs'!$A$13:$AE$9971,31,0)</f>
        <v>aws s3 cp s3://rtdc.mdm.uploadarchive.raw/RTDC4011/ "%USERPROFILE%\AppData\Local\Temp\OnboardLogs"\RTDC4011\2016-12-09 --exclude "*" --recursive --include "*20161209*" &amp; "%USERPROFILE%\Documents\GitHub\mrs-test-scripts\Headless Mode &amp; Sideloading\WalkAndUnGZ.bat" "%USERPROFILE%\AppData\Local\Temp\OnboardLogs"\RTDC4011\2016-12-09 &amp; aws s3 cp s3://rtdc.mdm.uploadarchive.raw/RTDC4011/ "%USERPROFILE%\AppData\Local\Temp\OnboardLogs"\RTDC4011\2016-12-10 --exclude "*" --recursive --include "*20161210*" &amp; "%USERPROFILE%\Documents\GitHub\mrs-test-scripts\Headless Mode &amp; Sideloading\WalkAndUnGZ.bat" "%USERPROFILE%\AppData\Local\Temp\OnboardLogs"\RTDC4011\2016-12-10</v>
      </c>
      <c r="S44" s="103" t="str">
        <f>VLOOKUP(C44,'Train Runs'!$A$13:$AE$9971,22,0)</f>
        <v>https://search-rtdc-monitor-bjffxe2xuh6vdkpspy63sjmuny.us-east-1.es.amazonaws.com/_plugin/kibana/#/discover/Steve-Slow-Train-Analysis-(2080s-and-2083s)?_g=(refreshInterval:(display:Off,section:0,value:0),time:(from:'2016-12-09 03:36:14-700',mode:absolute,to:'2016-12-09 06:09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44" s="105" t="str">
        <f t="shared" si="9"/>
        <v>"C:\Program Files (x86)\AstroGrep\AstroGrep.exe" /spath="%USERPROFILE%\AppData\Local\Temp\OnboardLogs" /stypes="*4011*201612091*" /stext=" 12:.+((SYSTEM_STATE.+slice.+state.+changed )|(ment ac)|(multiple cpu faults)|(system.+state.+changed )|(\[timeout)|(PRM\|1\|D)|(kpr)|(kdp)|(\|lc)|(penalty))" /e /r /s</v>
      </c>
      <c r="U44" s="9" t="str">
        <f t="shared" si="10"/>
        <v>4011</v>
      </c>
      <c r="V44" s="36">
        <f t="shared" si="11"/>
        <v>42713.506504629629</v>
      </c>
      <c r="W44" s="50" t="str">
        <f t="shared" si="12"/>
        <v>EC</v>
      </c>
      <c r="X44" s="50" t="str">
        <f t="shared" si="13"/>
        <v>KEEP</v>
      </c>
      <c r="Y44" s="119" t="str">
        <f t="shared" si="14"/>
        <v>echo {"issue":{"subject":"","project_id":79,"tracker_id":40,"status_id":1,"priority_id":2,"assigned_to_id":23,"start_date":"2016-12-09","description":"","custom_fields":[{"id":1,"name":"Subdivision","value":"EC"},{"id":4,"name":"Milepost","value":"23.3491"},{"id":17,"name":"Train ID","value":"107-09"},{"id":16,"name":"Locomotive ID","value":"4011"},{"id":130,"name":"Impact","value":""},{"id":150,"name":"Time of Event (Mountain Time)","value":"05:09:22"},{"id":151,"name":"Denver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15"/>
        <v>grep -hSE -A100 "Enforcement Action" "%USERPROFILE%\AppData\Local\Temp\OnboardLogs"\RTDC4011\*4011*201612091*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"%USERPROFILE%\AppData\Local\Temp\OnboardLogs"\RTDC4011\*4011*201612091* &gt;&gt; 42713-slicedisagreementcheck.txt</v>
      </c>
    </row>
    <row r="45" spans="1:30" x14ac:dyDescent="0.25">
      <c r="A45" s="36">
        <v>42713.222395833334</v>
      </c>
      <c r="B45" s="31" t="s">
        <v>260</v>
      </c>
      <c r="C45" s="31" t="s">
        <v>477</v>
      </c>
      <c r="D45" s="31" t="s">
        <v>49</v>
      </c>
      <c r="E45" s="31" t="s">
        <v>200</v>
      </c>
      <c r="F45" s="47">
        <v>0</v>
      </c>
      <c r="G45" s="47">
        <v>138</v>
      </c>
      <c r="H45" s="47">
        <v>232492</v>
      </c>
      <c r="I45" s="47">
        <v>232664</v>
      </c>
      <c r="J45" s="31" t="s">
        <v>201</v>
      </c>
      <c r="K45" s="47">
        <v>233491</v>
      </c>
      <c r="L45" s="154" t="s">
        <v>50</v>
      </c>
      <c r="M45" s="155">
        <f t="shared" si="8"/>
        <v>436.65600000000001</v>
      </c>
      <c r="N45" s="156" t="str">
        <f>VLOOKUP(C45,'Trips&amp;Operators'!$C$1:$G$99999,5,FALSE)</f>
        <v>MAGEE KENYA</v>
      </c>
      <c r="O45" s="182" t="s">
        <v>195</v>
      </c>
      <c r="P45" s="157"/>
      <c r="Q45" s="31"/>
      <c r="R45" s="100" t="str">
        <f>VLOOKUP(C45,'Train Runs'!$A$13:$AE$9971,31,0)</f>
        <v>aws s3 cp s3://rtdc.mdm.uploadarchive.raw/RTDC4016/ "%USERPROFILE%\AppData\Local\Temp\OnboardLogs"\RTDC4016\2016-12-09 --exclude "*" --recursive --include "*20161209*" &amp; "%USERPROFILE%\Documents\GitHub\mrs-test-scripts\Headless Mode &amp; Sideloading\WalkAndUnGZ.bat" "%USERPROFILE%\AppData\Local\Temp\OnboardLogs"\RTDC4016\2016-12-09 &amp; aws s3 cp s3://rtdc.mdm.uploadarchive.raw/RTDC4016/ "%USERPROFILE%\AppData\Local\Temp\OnboardLogs"\RTDC4016\2016-12-10 --exclude "*" --recursive --include "*20161210*" &amp; "%USERPROFILE%\Documents\GitHub\mrs-test-scripts\Headless Mode &amp; Sideloading\WalkAndUnGZ.bat" "%USERPROFILE%\AppData\Local\Temp\OnboardLogs"\RTDC4016\2016-12-10</v>
      </c>
      <c r="S45" s="103" t="str">
        <f>VLOOKUP(C45,'Train Runs'!$A$13:$AE$9971,22,0)</f>
        <v>https://search-rtdc-monitor-bjffxe2xuh6vdkpspy63sjmuny.us-east-1.es.amazonaws.com/_plugin/kibana/#/discover/Steve-Slow-Train-Analysis-(2080s-and-2083s)?_g=(refreshInterval:(display:Off,section:0,value:0),time:(from:'2016-12-09 03:42:54-700',mode:absolute,to:'2016-12-09 06:19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45" s="105" t="str">
        <f t="shared" si="9"/>
        <v>"C:\Program Files (x86)\AstroGrep\AstroGrep.exe" /spath="%USERPROFILE%\AppData\Local\Temp\OnboardLogs" /stypes="*4016*201612091*" /stext=" 12:.+((SYSTEM_STATE.+slice.+state.+changed )|(ment ac)|(multiple cpu faults)|(system.+state.+changed )|(\[timeout)|(PRM\|1\|D)|(kpr)|(kdp)|(\|lc)|(penalty))" /e /r /s</v>
      </c>
      <c r="U45" s="9" t="str">
        <f t="shared" si="10"/>
        <v>4016</v>
      </c>
      <c r="V45" s="36">
        <f t="shared" si="11"/>
        <v>42713.514062499999</v>
      </c>
      <c r="W45" s="50" t="str">
        <f t="shared" si="12"/>
        <v>EC</v>
      </c>
      <c r="X45" s="50" t="str">
        <f t="shared" si="13"/>
        <v>KEEP</v>
      </c>
      <c r="Y45" s="119" t="str">
        <f t="shared" si="14"/>
        <v>echo {"issue":{"subject":"","project_id":79,"tracker_id":40,"status_id":1,"priority_id":2,"assigned_to_id":23,"start_date":"2016-12-09","description":"","custom_fields":[{"id":1,"name":"Subdivision","value":"EC"},{"id":4,"name":"Milepost","value":"23.3491"},{"id":17,"name":"Train ID","value":"109-09"},{"id":16,"name":"Locomotive ID","value":"4016"},{"id":130,"name":"Impact","value":""},{"id":150,"name":"Time of Event (Mountain Time)","value":"05:20:15"},{"id":151,"name":"Denver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15"/>
        <v>grep -hSE -A100 "Enforcement Action" "%USERPROFILE%\AppData\Local\Temp\OnboardLogs"\RTDC4016\*4016*201612091*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"%USERPROFILE%\AppData\Local\Temp\OnboardLogs"\RTDC4016\*4016*201612091* &gt;&gt; 42713-slicedisagreementcheck.txt</v>
      </c>
    </row>
    <row r="46" spans="1:30" x14ac:dyDescent="0.25">
      <c r="A46" s="36">
        <v>42713.310983796298</v>
      </c>
      <c r="B46" s="31" t="s">
        <v>273</v>
      </c>
      <c r="C46" s="31" t="s">
        <v>481</v>
      </c>
      <c r="D46" s="31" t="s">
        <v>49</v>
      </c>
      <c r="E46" s="31" t="s">
        <v>270</v>
      </c>
      <c r="F46" s="47">
        <v>90</v>
      </c>
      <c r="G46" s="47">
        <v>257</v>
      </c>
      <c r="H46" s="47">
        <v>12736</v>
      </c>
      <c r="I46" s="47">
        <v>11949</v>
      </c>
      <c r="J46" s="31" t="s">
        <v>271</v>
      </c>
      <c r="K46" s="47">
        <v>10988</v>
      </c>
      <c r="L46" s="154" t="s">
        <v>51</v>
      </c>
      <c r="M46" s="155">
        <f t="shared" si="8"/>
        <v>507.40800000000002</v>
      </c>
      <c r="N46" s="156" t="str">
        <f>VLOOKUP(C46,'Trips&amp;Operators'!$C$1:$G$99999,5,FALSE)</f>
        <v>STRICKLAND EVAN</v>
      </c>
      <c r="O46" s="182" t="s">
        <v>195</v>
      </c>
      <c r="P46" s="157" t="s">
        <v>838</v>
      </c>
      <c r="Q46" s="31"/>
      <c r="R46" s="100" t="str">
        <f>VLOOKUP(C46,'Train Runs'!$A$13:$AE$9971,31,0)</f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S46" s="103" t="str">
        <f>VLOOKUP(C46,'Train Runs'!$A$13:$AE$9971,22,0)</f>
        <v>https://search-rtdc-monitor-bjffxe2xuh6vdkpspy63sjmuny.us-east-1.es.amazonaws.com/_plugin/kibana/#/discover/Steve-Slow-Train-Analysis-(2080s-and-2083s)?_g=(refreshInterval:(display:Off,section:0,value:0),time:(from:'2016-12-09 06:16:34-700',mode:absolute,to:'2016-12-09 08:32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46" s="105" t="str">
        <f t="shared" si="9"/>
        <v>"C:\Program Files (x86)\AstroGrep\AstroGrep.exe" /spath="%USERPROFILE%\AppData\Local\Temp\OnboardLogs" /stypes="*4043*201612091*" /stext=" 14:.+((SYSTEM_STATE.+slice.+state.+changed )|(ment ac)|(multiple cpu faults)|(system.+state.+changed )|(\[timeout)|(PRM\|1\|D)|(kpr)|(kdp)|(\|lc)|(penalty))" /e /r /s</v>
      </c>
      <c r="U46" s="9" t="str">
        <f t="shared" si="10"/>
        <v>4043</v>
      </c>
      <c r="V46" s="36">
        <f t="shared" si="11"/>
        <v>42713.602650462963</v>
      </c>
      <c r="W46" s="50" t="str">
        <f t="shared" si="12"/>
        <v>NW</v>
      </c>
      <c r="X46" s="50" t="str">
        <f t="shared" si="13"/>
        <v>KEEP</v>
      </c>
      <c r="Y46" s="119" t="str">
        <f t="shared" si="14"/>
        <v>echo {"issue":{"subject":"Early arrival","project_id":79,"tracker_id":40,"status_id":1,"priority_id":2,"assigned_to_id":23,"start_date":"2016-12-09","description":"","custom_fields":[{"id":1,"name":"Subdivision","value":"NW"},{"id":4,"name":"Milepost","value":"1.0988"},{"id":17,"name":"Train ID","value":"806-09"},{"id":16,"name":"Locomotive ID","value":"4043"},{"id":130,"name":"Impact","value":""},{"id":150,"name":"Time of Event (Mountain Time)","value":"07:27:49"},{"id":151,"name":"Denver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15"/>
        <v>grep -hSE -A100 "Enforcement Action" "%USERPROFILE%\AppData\Local\Temp\OnboardLogs"\RTDC4043\*4043*201612091*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"%USERPROFILE%\AppData\Local\Temp\OnboardLogs"\RTDC4043\*4043*201612091* &gt;&gt; 42713-slicedisagreementcheck.txt</v>
      </c>
    </row>
    <row r="47" spans="1:30" x14ac:dyDescent="0.25">
      <c r="A47" s="36">
        <v>42713.29760416667</v>
      </c>
      <c r="B47" s="31" t="s">
        <v>184</v>
      </c>
      <c r="C47" s="31" t="s">
        <v>479</v>
      </c>
      <c r="D47" s="31" t="s">
        <v>49</v>
      </c>
      <c r="E47" s="31" t="s">
        <v>196</v>
      </c>
      <c r="F47" s="47">
        <v>300</v>
      </c>
      <c r="G47" s="47">
        <v>414</v>
      </c>
      <c r="H47" s="47">
        <v>38851</v>
      </c>
      <c r="I47" s="47">
        <v>40002</v>
      </c>
      <c r="J47" s="31" t="s">
        <v>197</v>
      </c>
      <c r="K47" s="47">
        <v>39716</v>
      </c>
      <c r="L47" s="154" t="s">
        <v>50</v>
      </c>
      <c r="M47" s="155">
        <f t="shared" si="8"/>
        <v>-151.00800000000001</v>
      </c>
      <c r="N47" s="156" t="str">
        <f>VLOOKUP(C47,'Trips&amp;Operators'!$C$1:$G$99999,5,FALSE)</f>
        <v>STRICKLAND EVAN</v>
      </c>
      <c r="O47" s="182" t="s">
        <v>195</v>
      </c>
      <c r="P47" s="157"/>
      <c r="Q47" s="31"/>
      <c r="R47" s="100" t="str">
        <f>VLOOKUP(C47,'Train Runs'!$A$13:$AE$9971,31,0)</f>
        <v>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 &amp; aws s3 cp s3://rtdc.mdm.uploadarchive.raw/RTDC4044/ "%USERPROFILE%\AppData\Local\Temp\OnboardLogs"\RTDC4044\2016-12-10 --exclude "*" --recursive --include "*20161210*" &amp; "%USERPROFILE%\Documents\GitHub\mrs-test-scripts\Headless Mode &amp; Sideloading\WalkAndUnGZ.bat" "%USERPROFILE%\AppData\Local\Temp\OnboardLogs"\RTDC4044\2016-12-10</v>
      </c>
      <c r="S47" s="103" t="str">
        <f>VLOOKUP(C47,'Train Runs'!$A$13:$AE$9971,22,0)</f>
        <v>https://search-rtdc-monitor-bjffxe2xuh6vdkpspy63sjmuny.us-east-1.es.amazonaws.com/_plugin/kibana/#/discover/Steve-Slow-Train-Analysis-(2080s-and-2083s)?_g=(refreshInterval:(display:Off,section:0,value:0),time:(from:'2016-12-09 05:57:13-700',mode:absolute,to:'2016-12-09 08:14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7" s="105" t="str">
        <f t="shared" si="9"/>
        <v>"C:\Program Files (x86)\AstroGrep\AstroGrep.exe" /spath="%USERPROFILE%\AppData\Local\Temp\OnboardLogs" /stypes="*4044*201612091*" /stext=" 14:.+((SYSTEM_STATE.+slice.+state.+changed )|(ment ac)|(multiple cpu faults)|(system.+state.+changed )|(\[timeout)|(PRM\|1\|D)|(kpr)|(kdp)|(\|lc)|(penalty))" /e /r /s</v>
      </c>
      <c r="U47" s="9" t="str">
        <f t="shared" si="10"/>
        <v>4044</v>
      </c>
      <c r="V47" s="36">
        <f t="shared" si="11"/>
        <v>42713.589270833334</v>
      </c>
      <c r="W47" s="50" t="str">
        <f t="shared" si="12"/>
        <v>NW</v>
      </c>
      <c r="X47" s="50" t="str">
        <f t="shared" si="13"/>
        <v>KEEP</v>
      </c>
      <c r="Y47" s="119" t="str">
        <f t="shared" si="14"/>
        <v>echo {"issue":{"subject":"","project_id":79,"tracker_id":40,"status_id":1,"priority_id":2,"assigned_to_id":23,"start_date":"2016-12-09","description":"","custom_fields":[{"id":1,"name":"Subdivision","value":"NW"},{"id":4,"name":"Milepost","value":"3.9716"},{"id":17,"name":"Train ID","value":"805-09"},{"id":16,"name":"Locomotive ID","value":"4044"},{"id":130,"name":"Impact","value":""},{"id":150,"name":"Time of Event (Mountain Time)","value":"07:08:33"},{"id":151,"name":"Denver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15"/>
        <v>grep -hSE -A100 "Enforcement Action" "%USERPROFILE%\AppData\Local\Temp\OnboardLogs"\RTDC4044\*4044*201612091*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"%USERPROFILE%\AppData\Local\Temp\OnboardLogs"\RTDC4044\*4044*201612091* &gt;&gt; 42713-slicedisagreementcheck.txt</v>
      </c>
    </row>
    <row r="48" spans="1:30" x14ac:dyDescent="0.25">
      <c r="A48" s="36">
        <v>42713.563090277778</v>
      </c>
      <c r="B48" s="31" t="s">
        <v>207</v>
      </c>
      <c r="C48" s="31" t="s">
        <v>496</v>
      </c>
      <c r="D48" s="31" t="s">
        <v>98</v>
      </c>
      <c r="E48" s="31" t="s">
        <v>196</v>
      </c>
      <c r="F48" s="47">
        <v>300</v>
      </c>
      <c r="G48" s="47">
        <v>361</v>
      </c>
      <c r="H48" s="47">
        <v>42150</v>
      </c>
      <c r="I48" s="47">
        <v>43227</v>
      </c>
      <c r="J48" s="31" t="s">
        <v>197</v>
      </c>
      <c r="K48" s="47">
        <v>39716</v>
      </c>
      <c r="L48" s="154" t="s">
        <v>50</v>
      </c>
      <c r="M48" s="155">
        <f t="shared" si="8"/>
        <v>-1853.808</v>
      </c>
      <c r="N48" s="156" t="str">
        <f>VLOOKUP(C48,'Trips&amp;Operators'!$C$1:$G$99999,5,FALSE)</f>
        <v>SHOOK JOHN</v>
      </c>
      <c r="O48" s="182" t="s">
        <v>195</v>
      </c>
      <c r="P48" s="157"/>
      <c r="Q48" s="31"/>
      <c r="R48" s="100" t="str">
        <f>VLOOKUP(C48,'Train Runs'!$A$13:$AE$9971,31,0)</f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S48" s="103" t="str">
        <f>VLOOKUP(C48,'Train Runs'!$A$13:$AE$9971,22,0)</f>
        <v>https://search-rtdc-monitor-bjffxe2xuh6vdkpspy63sjmuny.us-east-1.es.amazonaws.com/_plugin/kibana/#/discover/Steve-Slow-Train-Analysis-(2080s-and-2083s)?_g=(refreshInterval:(display:Off,section:0,value:0),time:(from:'2016-12-09 12:12:46-700',mode:absolute,to:'2016-12-09 14:36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48" s="105" t="str">
        <f t="shared" si="9"/>
        <v>"C:\Program Files (x86)\AstroGrep\AstroGrep.exe" /spath="%USERPROFILE%\AppData\Local\Temp\OnboardLogs" /stypes="*4040*201612092*" /stext=" 20:.+((SYSTEM_STATE.+slice.+state.+changed )|(ment ac)|(multiple cpu faults)|(system.+state.+changed )|(\[timeout)|(PRM\|1\|D)|(kpr)|(kdp)|(\|lc)|(penalty))" /e /r /s</v>
      </c>
      <c r="U48" s="9" t="str">
        <f t="shared" si="10"/>
        <v>4040</v>
      </c>
      <c r="V48" s="36">
        <f t="shared" si="11"/>
        <v>42713.854756944442</v>
      </c>
      <c r="W48" s="50" t="str">
        <f t="shared" si="12"/>
        <v>NW</v>
      </c>
      <c r="X48" s="50" t="str">
        <f t="shared" si="13"/>
        <v>KEEP</v>
      </c>
      <c r="Y48" s="119" t="str">
        <f t="shared" si="14"/>
        <v>echo {"issue":{"subject":"","project_id":79,"tracker_id":40,"status_id":1,"priority_id":2,"assigned_to_id":23,"start_date":"2016-12-09","description":"","custom_fields":[{"id":1,"name":"Subdivision","value":"NW"},{"id":4,"name":"Milepost","value":"3.9716"},{"id":17,"name":"Train ID","value":"821-09"},{"id":16,"name":"Locomotive ID","value":"4040"},{"id":130,"name":"Impact","value":""},{"id":150,"name":"Time of Event (Mountain Time)","value":"13:30:51"},{"id":151,"name":"Denver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15"/>
        <v>grep -hSE -A100 "Enforcement Action" "%USERPROFILE%\AppData\Local\Temp\OnboardLogs"\RTDC4040\*4040*201612092*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"%USERPROFILE%\AppData\Local\Temp\OnboardLogs"\RTDC4040\*4040*201612092* &gt;&gt; 42713-slicedisagreementcheck.txt</v>
      </c>
    </row>
    <row r="49" spans="1:30" x14ac:dyDescent="0.25">
      <c r="A49" s="36">
        <v>42713.299791666665</v>
      </c>
      <c r="B49" s="31" t="s">
        <v>184</v>
      </c>
      <c r="C49" s="31" t="s">
        <v>479</v>
      </c>
      <c r="D49" s="31" t="s">
        <v>49</v>
      </c>
      <c r="E49" s="31" t="s">
        <v>196</v>
      </c>
      <c r="F49" s="47">
        <v>150</v>
      </c>
      <c r="G49" s="47">
        <v>379</v>
      </c>
      <c r="H49" s="47">
        <v>55338</v>
      </c>
      <c r="I49" s="47">
        <v>56323</v>
      </c>
      <c r="J49" s="31" t="s">
        <v>197</v>
      </c>
      <c r="K49" s="47">
        <v>57008</v>
      </c>
      <c r="L49" s="154" t="s">
        <v>50</v>
      </c>
      <c r="M49" s="155">
        <f t="shared" si="8"/>
        <v>361.68</v>
      </c>
      <c r="N49" s="156" t="str">
        <f>VLOOKUP(C49,'Trips&amp;Operators'!$C$1:$G$99999,5,FALSE)</f>
        <v>STRICKLAND EVAN</v>
      </c>
      <c r="O49" s="182" t="s">
        <v>195</v>
      </c>
      <c r="P49" s="157"/>
      <c r="Q49" s="31"/>
      <c r="R49" s="100" t="str">
        <f>VLOOKUP(C49,'Train Runs'!$A$13:$AE$9971,31,0)</f>
        <v>aws s3 cp s3://rtdc.mdm.uploadarchive.raw/RTDC4044/ "%USERPROFILE%\AppData\Local\Temp\OnboardLogs"\RTDC4044\2016-12-09 --exclude "*" --recursive --include "*20161209*" &amp; "%USERPROFILE%\Documents\GitHub\mrs-test-scripts\Headless Mode &amp; Sideloading\WalkAndUnGZ.bat" "%USERPROFILE%\AppData\Local\Temp\OnboardLogs"\RTDC4044\2016-12-09 &amp; aws s3 cp s3://rtdc.mdm.uploadarchive.raw/RTDC4044/ "%USERPROFILE%\AppData\Local\Temp\OnboardLogs"\RTDC4044\2016-12-10 --exclude "*" --recursive --include "*20161210*" &amp; "%USERPROFILE%\Documents\GitHub\mrs-test-scripts\Headless Mode &amp; Sideloading\WalkAndUnGZ.bat" "%USERPROFILE%\AppData\Local\Temp\OnboardLogs"\RTDC4044\2016-12-10</v>
      </c>
      <c r="S49" s="103" t="str">
        <f>VLOOKUP(C49,'Train Runs'!$A$13:$AE$9971,22,0)</f>
        <v>https://search-rtdc-monitor-bjffxe2xuh6vdkpspy63sjmuny.us-east-1.es.amazonaws.com/_plugin/kibana/#/discover/Steve-Slow-Train-Analysis-(2080s-and-2083s)?_g=(refreshInterval:(display:Off,section:0,value:0),time:(from:'2016-12-09 05:57:13-700',mode:absolute,to:'2016-12-09 08:14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49" s="105" t="str">
        <f t="shared" si="9"/>
        <v>"C:\Program Files (x86)\AstroGrep\AstroGrep.exe" /spath="%USERPROFILE%\AppData\Local\Temp\OnboardLogs" /stypes="*4044*201612091*" /stext=" 14:.+((SYSTEM_STATE.+slice.+state.+changed )|(ment ac)|(multiple cpu faults)|(system.+state.+changed )|(\[timeout)|(PRM\|1\|D)|(kpr)|(kdp)|(\|lc)|(penalty))" /e /r /s</v>
      </c>
      <c r="U49" s="9" t="str">
        <f t="shared" si="10"/>
        <v>4044</v>
      </c>
      <c r="V49" s="36">
        <f t="shared" si="11"/>
        <v>42713.591458333329</v>
      </c>
      <c r="W49" s="50" t="str">
        <f t="shared" si="12"/>
        <v>NW</v>
      </c>
      <c r="X49" s="50" t="str">
        <f t="shared" si="13"/>
        <v>KEEP</v>
      </c>
      <c r="Y49" s="119" t="str">
        <f t="shared" si="14"/>
        <v>echo {"issue":{"subject":"","project_id":79,"tracker_id":40,"status_id":1,"priority_id":2,"assigned_to_id":23,"start_date":"2016-12-09","description":"","custom_fields":[{"id":1,"name":"Subdivision","value":"NW"},{"id":4,"name":"Milepost","value":"5.7008"},{"id":17,"name":"Train ID","value":"805-09"},{"id":16,"name":"Locomotive ID","value":"4044"},{"id":130,"name":"Impact","value":""},{"id":150,"name":"Time of Event (Mountain Time)","value":"07:11:42"},{"id":151,"name":"Denver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15"/>
        <v>grep -hSE -A100 "Enforcement Action" "%USERPROFILE%\AppData\Local\Temp\OnboardLogs"\RTDC4044\*4044*201612091*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"%USERPROFILE%\AppData\Local\Temp\OnboardLogs"\RTDC4044\*4044*201612091* &gt;&gt; 42713-slicedisagreementcheck.txt</v>
      </c>
    </row>
    <row r="50" spans="1:30" x14ac:dyDescent="0.25">
      <c r="A50" s="36">
        <v>42713.305590277778</v>
      </c>
      <c r="B50" s="31" t="s">
        <v>273</v>
      </c>
      <c r="C50" s="31" t="s">
        <v>481</v>
      </c>
      <c r="D50" s="31" t="s">
        <v>98</v>
      </c>
      <c r="E50" s="31" t="s">
        <v>196</v>
      </c>
      <c r="F50" s="47">
        <v>150</v>
      </c>
      <c r="G50" s="47">
        <v>207</v>
      </c>
      <c r="H50" s="47">
        <v>56621</v>
      </c>
      <c r="I50" s="47">
        <v>56088</v>
      </c>
      <c r="J50" s="31" t="s">
        <v>197</v>
      </c>
      <c r="K50" s="47">
        <v>59050</v>
      </c>
      <c r="L50" s="154" t="s">
        <v>51</v>
      </c>
      <c r="M50" s="155">
        <f t="shared" si="8"/>
        <v>-1563.9359999999999</v>
      </c>
      <c r="N50" s="156" t="str">
        <f>VLOOKUP(C50,'Trips&amp;Operators'!$C$1:$G$99999,5,FALSE)</f>
        <v>STRICKLAND EVAN</v>
      </c>
      <c r="O50" s="182" t="s">
        <v>232</v>
      </c>
      <c r="P50" s="157" t="s">
        <v>967</v>
      </c>
      <c r="Q50" s="31"/>
      <c r="R50" s="100" t="str">
        <f>VLOOKUP(C50,'Train Runs'!$A$13:$AE$9971,31,0)</f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S50" s="103" t="str">
        <f>VLOOKUP(C50,'Train Runs'!$A$13:$AE$9971,22,0)</f>
        <v>https://search-rtdc-monitor-bjffxe2xuh6vdkpspy63sjmuny.us-east-1.es.amazonaws.com/_plugin/kibana/#/discover/Steve-Slow-Train-Analysis-(2080s-and-2083s)?_g=(refreshInterval:(display:Off,section:0,value:0),time:(from:'2016-12-09 06:16:34-700',mode:absolute,to:'2016-12-09 08:32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50" s="105" t="str">
        <f t="shared" si="9"/>
        <v>"C:\Program Files (x86)\AstroGrep\AstroGrep.exe" /spath="%USERPROFILE%\AppData\Local\Temp\OnboardLogs" /stypes="*4043*201612091*" /stext=" 14:.+((SYSTEM_STATE.+slice.+state.+changed )|(ment ac)|(multiple cpu faults)|(system.+state.+changed )|(\[timeout)|(PRM\|1\|D)|(kpr)|(kdp)|(\|lc)|(penalty))" /e /r /s</v>
      </c>
      <c r="U50" s="9" t="str">
        <f t="shared" si="10"/>
        <v>4043</v>
      </c>
      <c r="V50" s="36">
        <f t="shared" si="11"/>
        <v>42713.597256944442</v>
      </c>
      <c r="W50" s="50" t="str">
        <f t="shared" si="12"/>
        <v>NW</v>
      </c>
      <c r="X50" s="50" t="str">
        <f t="shared" si="13"/>
        <v>KEEP</v>
      </c>
      <c r="Y50" s="119" t="str">
        <f t="shared" si="14"/>
        <v>echo {"issue":{"subject":"Banner without braking","project_id":79,"tracker_id":40,"status_id":1,"priority_id":2,"assigned_to_id":23,"start_date":"2016-12-09","description":"","custom_fields":[{"id":1,"name":"Subdivision","value":"NW"},{"id":4,"name":"Milepost","value":"5.905"},{"id":17,"name":"Train ID","value":"806-09"},{"id":16,"name":"Locomotive ID","value":"4043"},{"id":130,"name":"Impact","value":""},{"id":150,"name":"Time of Event (Mountain Time)","value":"07:20:03"},{"id":151,"name":"Denver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15"/>
        <v>grep -hSE -A100 "Enforcement Action" "%USERPROFILE%\AppData\Local\Temp\OnboardLogs"\RTDC4043\*4043*201612091*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"%USERPROFILE%\AppData\Local\Temp\OnboardLogs"\RTDC4043\*4043*201612091* &gt;&gt; 42713-slicedisagreementcheck.txt</v>
      </c>
    </row>
    <row r="51" spans="1:30" x14ac:dyDescent="0.25">
      <c r="A51" s="36">
        <v>42713.658229166664</v>
      </c>
      <c r="B51" s="31" t="s">
        <v>209</v>
      </c>
      <c r="C51" s="31" t="s">
        <v>507</v>
      </c>
      <c r="D51" s="31" t="s">
        <v>49</v>
      </c>
      <c r="E51" s="31" t="s">
        <v>198</v>
      </c>
      <c r="F51" s="47">
        <v>0</v>
      </c>
      <c r="G51" s="47">
        <v>630</v>
      </c>
      <c r="H51" s="47">
        <v>28352</v>
      </c>
      <c r="I51" s="47">
        <v>25770</v>
      </c>
      <c r="J51" s="31" t="s">
        <v>199</v>
      </c>
      <c r="K51" s="47">
        <v>24235</v>
      </c>
      <c r="L51" s="154" t="s">
        <v>51</v>
      </c>
      <c r="M51" s="155">
        <f t="shared" si="8"/>
        <v>810.48</v>
      </c>
      <c r="N51" s="156" t="str">
        <f>VLOOKUP(C51,'Trips&amp;Operators'!$C$1:$G$99999,5,FALSE)</f>
        <v>HELVIE ADAM</v>
      </c>
      <c r="O51" s="182" t="s">
        <v>195</v>
      </c>
      <c r="P51" s="157" t="s">
        <v>839</v>
      </c>
      <c r="Q51" s="31"/>
      <c r="R51" s="100" t="str">
        <f>VLOOKUP(C51,'Train Runs'!$A$13:$AE$9971,31,0)</f>
        <v>aws s3 cp s3://rtdc.mdm.uploadarchive.raw/RTDC4039/ "%USERPROFILE%\AppData\Local\Temp\OnboardLogs"\RTDC4039\2016-12-09 --exclude "*" --recursive --include "*20161209*" &amp; "%USERPROFILE%\Documents\GitHub\mrs-test-scripts\Headless Mode &amp; Sideloading\WalkAndUnGZ.bat" "%USERPROFILE%\AppData\Local\Temp\OnboardLogs"\RTDC4039\2016-12-09 &amp; aws s3 cp s3://rtdc.mdm.uploadarchive.raw/RTDC4039/ "%USERPROFILE%\AppData\Local\Temp\OnboardLogs"\RTDC4039\2016-12-10 --exclude "*" --recursive --include "*20161210*" &amp; "%USERPROFILE%\Documents\GitHub\mrs-test-scripts\Headless Mode &amp; Sideloading\WalkAndUnGZ.bat" "%USERPROFILE%\AppData\Local\Temp\OnboardLogs"\RTDC4039\2016-12-10</v>
      </c>
      <c r="S51" s="103" t="str">
        <f>VLOOKUP(C51,'Train Runs'!$A$13:$AE$9971,22,0)</f>
        <v>https://search-rtdc-monitor-bjffxe2xuh6vdkpspy63sjmuny.us-east-1.es.amazonaws.com/_plugin/kibana/#/discover/Steve-Slow-Train-Analysis-(2080s-and-2083s)?_g=(refreshInterval:(display:Off,section:0,value:0),time:(from:'2016-12-09 14:36:59-700',mode:absolute,to:'2016-12-09 16:55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51" s="105" t="str">
        <f t="shared" si="9"/>
        <v>"C:\Program Files (x86)\AstroGrep\AstroGrep.exe" /spath="%USERPROFILE%\AppData\Local\Temp\OnboardLogs" /stypes="*4039*201612092*" /stext=" 22:.+((SYSTEM_STATE.+slice.+state.+changed )|(ment ac)|(multiple cpu faults)|(system.+state.+changed )|(\[timeout)|(PRM\|1\|D)|(kpr)|(kdp)|(\|lc)|(penalty))" /e /r /s</v>
      </c>
      <c r="U51" s="9" t="str">
        <f t="shared" si="10"/>
        <v>4039</v>
      </c>
      <c r="V51" s="36">
        <f t="shared" si="11"/>
        <v>42713.949895833328</v>
      </c>
      <c r="W51" s="50" t="str">
        <f t="shared" si="12"/>
        <v>NW</v>
      </c>
      <c r="X51" s="50" t="str">
        <f t="shared" si="13"/>
        <v>KEEP</v>
      </c>
      <c r="Y51" s="119" t="str">
        <f t="shared" si="14"/>
        <v>echo {"issue":{"subject":"CRMFN 2S STOP","project_id":79,"tracker_id":40,"status_id":1,"priority_id":2,"assigned_to_id":23,"start_date":"2016-12-09","description":"","custom_fields":[{"id":1,"name":"Subdivision","value":"NW"},{"id":4,"name":"Milepost","value":"2.4235"},{"id":17,"name":"Train ID","value":"826-09"},{"id":16,"name":"Locomotive ID","value":"4039"},{"id":130,"name":"Impact","value":""},{"id":150,"name":"Time of Event (Mountain Time)","value":"15:47:51"},{"id":151,"name":"Denver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 t="shared" si="15"/>
        <v>grep -hSE -A100 "Enforcement Action" "%USERPROFILE%\AppData\Local\Temp\OnboardLogs"\RTDC4039\*4039*201612092*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"%USERPROFILE%\AppData\Local\Temp\OnboardLogs"\RTDC4039\*4039*201612092* &gt;&gt; 42713-slicedisagreementcheck.txt</v>
      </c>
    </row>
    <row r="52" spans="1:30" x14ac:dyDescent="0.25">
      <c r="A52" s="36">
        <v>42713.433657407404</v>
      </c>
      <c r="B52" s="31" t="s">
        <v>207</v>
      </c>
      <c r="C52" s="31" t="s">
        <v>488</v>
      </c>
      <c r="D52" s="31" t="s">
        <v>49</v>
      </c>
      <c r="E52" s="31" t="s">
        <v>306</v>
      </c>
      <c r="F52" s="47">
        <v>100</v>
      </c>
      <c r="G52" s="47">
        <v>152</v>
      </c>
      <c r="H52" s="47">
        <v>10185</v>
      </c>
      <c r="I52" s="47">
        <v>10426</v>
      </c>
      <c r="J52" s="31" t="s">
        <v>271</v>
      </c>
      <c r="K52" s="47">
        <v>10701</v>
      </c>
      <c r="L52" s="154" t="s">
        <v>50</v>
      </c>
      <c r="M52" s="155">
        <f t="shared" si="8"/>
        <v>145.19999999999999</v>
      </c>
      <c r="N52" s="156" t="str">
        <f>VLOOKUP(C52,'Trips&amp;Operators'!$C$1:$G$99999,5,FALSE)</f>
        <v>YORK EDGAR</v>
      </c>
      <c r="O52" s="182" t="s">
        <v>195</v>
      </c>
      <c r="P52" s="157"/>
      <c r="Q52" s="31"/>
      <c r="R52" s="100" t="str">
        <f>VLOOKUP(C52,'Train Runs'!$A$13:$AE$9971,31,0)</f>
        <v>aws s3 cp s3://rtdc.mdm.uploadarchive.raw/RTDC4040/ "%USERPROFILE%\AppData\Local\Temp\OnboardLogs"\RTDC4040\2016-12-09 --exclude "*" --recursive --include "*20161209*" &amp; "%USERPROFILE%\Documents\GitHub\mrs-test-scripts\Headless Mode &amp; Sideloading\WalkAndUnGZ.bat" "%USERPROFILE%\AppData\Local\Temp\OnboardLogs"\RTDC4040\2016-12-09 &amp; aws s3 cp s3://rtdc.mdm.uploadarchive.raw/RTDC4040/ "%USERPROFILE%\AppData\Local\Temp\OnboardLogs"\RTDC4040\2016-12-10 --exclude "*" --recursive --include "*20161210*" &amp; "%USERPROFILE%\Documents\GitHub\mrs-test-scripts\Headless Mode &amp; Sideloading\WalkAndUnGZ.bat" "%USERPROFILE%\AppData\Local\Temp\OnboardLogs"\RTDC4040\2016-12-10</v>
      </c>
      <c r="S52" s="103" t="str">
        <f>VLOOKUP(C52,'Train Runs'!$A$13:$AE$9971,22,0)</f>
        <v>https://search-rtdc-monitor-bjffxe2xuh6vdkpspy63sjmuny.us-east-1.es.amazonaws.com/_plugin/kibana/#/discover/Steve-Slow-Train-Analysis-(2080s-and-2083s)?_g=(refreshInterval:(display:Off,section:0,value:0),time:(from:'2016-12-09 08:56:26-700',mode:absolute,to:'2016-12-09 11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52" s="105" t="str">
        <f t="shared" si="9"/>
        <v>"C:\Program Files (x86)\AstroGrep\AstroGrep.exe" /spath="%USERPROFILE%\AppData\Local\Temp\OnboardLogs" /stypes="*4040*201612091*" /stext=" 17:.+((SYSTEM_STATE.+slice.+state.+changed )|(ment ac)|(multiple cpu faults)|(system.+state.+changed )|(\[timeout)|(PRM\|1\|D)|(kpr)|(kdp)|(\|lc)|(penalty))" /e /r /s</v>
      </c>
      <c r="U52" s="9" t="str">
        <f t="shared" si="10"/>
        <v>4040</v>
      </c>
      <c r="V52" s="36">
        <f t="shared" si="11"/>
        <v>42713.725324074068</v>
      </c>
      <c r="W52" s="50" t="str">
        <f t="shared" si="12"/>
        <v>NW</v>
      </c>
      <c r="X52" s="50" t="str">
        <f t="shared" si="13"/>
        <v>KEEP</v>
      </c>
      <c r="Y52" s="119" t="str">
        <f t="shared" si="14"/>
        <v>echo {"issue":{"subject":"","project_id":79,"tracker_id":40,"status_id":1,"priority_id":2,"assigned_to_id":23,"start_date":"2016-12-09","description":"","custom_fields":[{"id":1,"name":"Subdivision","value":"NW"},{"id":4,"name":"Milepost","value":"1.0701"},{"id":17,"name":"Train ID","value":"815-09"},{"id":16,"name":"Locomotive ID","value":"4040"},{"id":130,"name":"Impact","value":""},{"id":150,"name":"Time of Event (Mountain Time)","value":"10:24:28"},{"id":151,"name":"Denver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 t="shared" si="15"/>
        <v>grep -hSE -A100 "Enforcement Action" "%USERPROFILE%\AppData\Local\Temp\OnboardLogs"\RTDC4040\*4040*201612091*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"&amp;Variables!$A$2&amp;"-slicedisagreementcheck.txt"</f>
        <v>grep -hSE "Enforcement Action" "%USERPROFILE%\AppData\Local\Temp\OnboardLogs"\RTDC4040\*4040*201612091* &gt;&gt; 42713-slicedisagreementcheck.txt</v>
      </c>
    </row>
    <row r="53" spans="1:30" x14ac:dyDescent="0.25">
      <c r="A53" s="36">
        <v>42713.686377314814</v>
      </c>
      <c r="B53" s="31" t="s">
        <v>273</v>
      </c>
      <c r="C53" s="31" t="s">
        <v>508</v>
      </c>
      <c r="D53" s="31" t="s">
        <v>49</v>
      </c>
      <c r="E53" s="31" t="s">
        <v>200</v>
      </c>
      <c r="F53" s="47">
        <v>0</v>
      </c>
      <c r="G53" s="47">
        <v>39</v>
      </c>
      <c r="H53" s="47">
        <v>692</v>
      </c>
      <c r="I53" s="47">
        <v>663</v>
      </c>
      <c r="J53" s="31" t="s">
        <v>201</v>
      </c>
      <c r="K53" s="47">
        <v>575</v>
      </c>
      <c r="L53" s="154" t="s">
        <v>51</v>
      </c>
      <c r="M53" s="155">
        <f t="shared" si="8"/>
        <v>46.463999999999999</v>
      </c>
      <c r="N53" s="156" t="str">
        <f>VLOOKUP(C53,'Trips&amp;Operators'!$C$1:$G$99999,5,FALSE)</f>
        <v>NEWELL JAMES</v>
      </c>
      <c r="O53" s="182" t="s">
        <v>195</v>
      </c>
      <c r="P53" s="157"/>
      <c r="Q53" s="31"/>
      <c r="R53" s="100" t="str">
        <f>VLOOKUP(C53,'Train Runs'!$A$13:$AE$9971,31,0)</f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S53" s="103" t="str">
        <f>VLOOKUP(C53,'Train Runs'!$A$13:$AE$9971,22,0)</f>
        <v>https://search-rtdc-monitor-bjffxe2xuh6vdkpspy63sjmuny.us-east-1.es.amazonaws.com/_plugin/kibana/#/discover/Steve-Slow-Train-Analysis-(2080s-and-2083s)?_g=(refreshInterval:(display:Off,section:0,value:0),time:(from:'2016-12-09 15:16:33-700',mode:absolute,to:'2016-12-09 17:28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53" s="105" t="str">
        <f t="shared" si="9"/>
        <v>"C:\Program Files (x86)\AstroGrep\AstroGrep.exe" /spath="%USERPROFILE%\AppData\Local\Temp\OnboardLogs" /stypes="*4043*201612092*" /stext=" 23:.+((SYSTEM_STATE.+slice.+state.+changed )|(ment ac)|(multiple cpu faults)|(system.+state.+changed )|(\[timeout)|(PRM\|1\|D)|(kpr)|(kdp)|(\|lc)|(penalty))" /e /r /s</v>
      </c>
      <c r="U53" s="9" t="str">
        <f t="shared" si="10"/>
        <v>4043</v>
      </c>
      <c r="V53" s="36">
        <f t="shared" si="11"/>
        <v>42713.978043981479</v>
      </c>
      <c r="W53" s="50" t="str">
        <f t="shared" si="12"/>
        <v>NW</v>
      </c>
      <c r="X53" s="50" t="str">
        <f t="shared" si="13"/>
        <v>KEEP</v>
      </c>
      <c r="Y53" s="119" t="str">
        <f t="shared" si="14"/>
        <v>echo {"issue":{"subject":"","project_id":79,"tracker_id":40,"status_id":1,"priority_id":2,"assigned_to_id":23,"start_date":"2016-12-09","description":"","custom_fields":[{"id":1,"name":"Subdivision","value":"NW"},{"id":4,"name":"Milepost","value":"0.0575"},{"id":17,"name":"Train ID","value":"828-09"},{"id":16,"name":"Locomotive ID","value":"4043"},{"id":130,"name":"Impact","value":""},{"id":150,"name":"Time of Event (Mountain Time)","value":"16:28:23"},{"id":151,"name":"Denver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 t="shared" si="15"/>
        <v>grep -hSE -A100 "Enforcement Action" "%USERPROFILE%\AppData\Local\Temp\OnboardLogs"\RTDC4043\*4043*201612092*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"&amp;Variables!$A$2&amp;"-slicedisagreementcheck.txt"</f>
        <v>grep -hSE "Enforcement Action" "%USERPROFILE%\AppData\Local\Temp\OnboardLogs"\RTDC4043\*4043*201612092* &gt;&gt; 42713-slicedisagreementcheck.txt</v>
      </c>
    </row>
    <row r="54" spans="1:30" x14ac:dyDescent="0.25">
      <c r="A54" s="36">
        <v>42713.439120370371</v>
      </c>
      <c r="B54" s="31" t="s">
        <v>307</v>
      </c>
      <c r="C54" s="31" t="s">
        <v>489</v>
      </c>
      <c r="D54" s="31" t="s">
        <v>49</v>
      </c>
      <c r="E54" s="31" t="s">
        <v>198</v>
      </c>
      <c r="F54" s="47">
        <v>0</v>
      </c>
      <c r="G54" s="47">
        <v>116</v>
      </c>
      <c r="H54" s="47">
        <v>19512</v>
      </c>
      <c r="I54" s="47">
        <v>19422</v>
      </c>
      <c r="J54" s="31" t="s">
        <v>199</v>
      </c>
      <c r="K54" s="47">
        <v>19000</v>
      </c>
      <c r="L54" s="154" t="s">
        <v>51</v>
      </c>
      <c r="M54" s="155">
        <f t="shared" si="8"/>
        <v>222.816</v>
      </c>
      <c r="N54" s="156" t="str">
        <f>VLOOKUP(C54,'Trips&amp;Operators'!$C$1:$G$99999,5,FALSE)</f>
        <v>SMITH MICHAEL</v>
      </c>
      <c r="O54" s="182" t="s">
        <v>195</v>
      </c>
      <c r="P54" s="157"/>
      <c r="Q54" s="31"/>
      <c r="R54" s="100" t="str">
        <f>VLOOKUP(C54,'Train Runs'!$A$13:$AE$9971,31,0)</f>
        <v>aws s3 cp s3://rtdc.mdm.uploadarchive.raw/RTDC4045/ "%USERPROFILE%\AppData\Local\Temp\OnboardLogs"\RTDC4045\2016-12-09 --exclude "*" --recursive --include "*20161209*" &amp; "%USERPROFILE%\Documents\GitHub\mrs-test-scripts\Headless Mode &amp; Sideloading\WalkAndUnGZ.bat" "%USERPROFILE%\AppData\Local\Temp\OnboardLogs"\RTDC4045\2016-12-09 &amp; aws s3 cp s3://rtdc.mdm.uploadarchive.raw/RTDC4045/ "%USERPROFILE%\AppData\Local\Temp\OnboardLogs"\RTDC4045\2016-12-10 --exclude "*" --recursive --include "*20161210*" &amp; "%USERPROFILE%\Documents\GitHub\mrs-test-scripts\Headless Mode &amp; Sideloading\WalkAndUnGZ.bat" "%USERPROFILE%\AppData\Local\Temp\OnboardLogs"\RTDC4045\2016-12-10</v>
      </c>
      <c r="S54" s="103" t="str">
        <f>VLOOKUP(C54,'Train Runs'!$A$13:$AE$9971,22,0)</f>
        <v>https://search-rtdc-monitor-bjffxe2xuh6vdkpspy63sjmuny.us-east-1.es.amazonaws.com/_plugin/kibana/#/discover/Steve-Slow-Train-Analysis-(2080s-and-2083s)?_g=(refreshInterval:(display:Off,section:0,value:0),time:(from:'2016-12-09 09:23:04-700',mode:absolute,to:'2016-12-09 11:35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54" s="105" t="str">
        <f t="shared" si="9"/>
        <v>"C:\Program Files (x86)\AstroGrep\AstroGrep.exe" /spath="%USERPROFILE%\AppData\Local\Temp\OnboardLogs" /stypes="*4045*201612091*" /stext=" 17:.+((SYSTEM_STATE.+slice.+state.+changed )|(ment ac)|(multiple cpu faults)|(system.+state.+changed )|(\[timeout)|(PRM\|1\|D)|(kpr)|(kdp)|(\|lc)|(penalty))" /e /r /s</v>
      </c>
      <c r="U54" s="9" t="str">
        <f t="shared" si="10"/>
        <v>4045</v>
      </c>
      <c r="V54" s="36">
        <f t="shared" si="11"/>
        <v>42713.730787037035</v>
      </c>
      <c r="W54" s="50" t="str">
        <f t="shared" si="12"/>
        <v>Other</v>
      </c>
      <c r="X54" s="50" t="str">
        <f t="shared" si="13"/>
        <v>KEEP</v>
      </c>
      <c r="Y54" s="119" t="str">
        <f t="shared" si="14"/>
        <v>echo {"issue":{"subject":"","project_id":79,"tracker_id":40,"status_id":1,"priority_id":2,"assigned_to_id":23,"start_date":"2016-12-09","description":"","custom_fields":[{"id":1,"name":"Subdivision","value":"Other"},{"id":4,"name":"Milepost","value":"1.9"},{"id":17,"name":"Train ID","value":"50-09"},{"id":16,"name":"Locomotive ID","value":"4045"},{"id":130,"name":"Impact","value":""},{"id":150,"name":"Time of Event (Mountain Time)","value":"10:32:20"},{"id":151,"name":"Denver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38" t="str">
        <f t="shared" si="15"/>
        <v>grep -hSE -A100 "Enforcement Action" "%USERPROFILE%\AppData\Local\Temp\OnboardLogs"\RTDC4045\*4045*201612091*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"&amp;Variables!$A$2&amp;"-slicedisagreementcheck.txt"</f>
        <v>grep -hSE "Enforcement Action" "%USERPROFILE%\AppData\Local\Temp\OnboardLogs"\RTDC4045\*4045*201612091* &gt;&gt; 42713-slicedisagreementcheck.txt</v>
      </c>
    </row>
    <row r="55" spans="1:30" x14ac:dyDescent="0.25">
      <c r="A55" s="36">
        <v>42713.643761574072</v>
      </c>
      <c r="B55" s="31" t="s">
        <v>273</v>
      </c>
      <c r="C55" s="31" t="s">
        <v>504</v>
      </c>
      <c r="D55" s="31" t="s">
        <v>98</v>
      </c>
      <c r="E55" s="31" t="s">
        <v>198</v>
      </c>
      <c r="F55" s="47">
        <v>0</v>
      </c>
      <c r="G55" s="47">
        <v>5</v>
      </c>
      <c r="H55" s="47">
        <v>22951</v>
      </c>
      <c r="I55" s="47">
        <v>22891</v>
      </c>
      <c r="J55" s="31" t="s">
        <v>199</v>
      </c>
      <c r="K55" s="47">
        <v>24161</v>
      </c>
      <c r="L55" s="154" t="s">
        <v>51</v>
      </c>
      <c r="M55" s="155">
        <f t="shared" si="8"/>
        <v>-670.56</v>
      </c>
      <c r="N55" s="156" t="str">
        <f>VLOOKUP(C55,'Trips&amp;Operators'!$C$1:$G$99999,5,FALSE)</f>
        <v>NEWELL JAMES</v>
      </c>
      <c r="O55" s="182" t="s">
        <v>195</v>
      </c>
      <c r="P55" s="157"/>
      <c r="Q55" s="31"/>
      <c r="R55" s="100" t="str">
        <f>VLOOKUP(C55,'Train Runs'!$A$13:$AE$9971,31,0)</f>
        <v>aws s3 cp s3://rtdc.mdm.uploadarchive.raw/RTDC4043/ "%USERPROFILE%\AppData\Local\Temp\OnboardLogs"\RTDC4043\2016-12-09 --exclude "*" --recursive --include "*20161209*" &amp; "%USERPROFILE%\Documents\GitHub\mrs-test-scripts\Headless Mode &amp; Sideloading\WalkAndUnGZ.bat" "%USERPROFILE%\AppData\Local\Temp\OnboardLogs"\RTDC4043\2016-12-09 &amp; aws s3 cp s3://rtdc.mdm.uploadarchive.raw/RTDC4043/ "%USERPROFILE%\AppData\Local\Temp\OnboardLogs"\RTDC4043\2016-12-10 --exclude "*" --recursive --include "*20161210*" &amp; "%USERPROFILE%\Documents\GitHub\mrs-test-scripts\Headless Mode &amp; Sideloading\WalkAndUnGZ.bat" "%USERPROFILE%\AppData\Local\Temp\OnboardLogs"\RTDC4043\2016-12-10</v>
      </c>
      <c r="S55" s="103" t="str">
        <f>VLOOKUP(C55,'Train Runs'!$A$13:$AE$9971,22,0)</f>
        <v>https://search-rtdc-monitor-bjffxe2xuh6vdkpspy63sjmuny.us-east-1.es.amazonaws.com/_plugin/kibana/#/discover/Steve-Slow-Train-Analysis-(2080s-and-2083s)?_g=(refreshInterval:(display:Off,section:0,value:0),time:(from:'2016-12-09 14:22:29-700',mode:absolute,to:'2016-12-09 16:27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55" s="105" t="str">
        <f t="shared" si="9"/>
        <v>"C:\Program Files (x86)\AstroGrep\AstroGrep.exe" /spath="%USERPROFILE%\AppData\Local\Temp\OnboardLogs" /stypes="*4043*201612092*" /stext=" 22:.+((SYSTEM_STATE.+slice.+state.+changed )|(ment ac)|(multiple cpu faults)|(system.+state.+changed )|(\[timeout)|(PRM\|1\|D)|(kpr)|(kdp)|(\|lc)|(penalty))" /e /r /s</v>
      </c>
      <c r="U55" s="9" t="str">
        <f t="shared" si="10"/>
        <v>4043</v>
      </c>
      <c r="V55" s="36">
        <f t="shared" si="11"/>
        <v>42713.935428240737</v>
      </c>
      <c r="W55" s="50" t="str">
        <f t="shared" si="12"/>
        <v>Other</v>
      </c>
      <c r="X55" s="50" t="str">
        <f t="shared" si="13"/>
        <v>KEEP</v>
      </c>
      <c r="Y55" s="119" t="str">
        <f t="shared" si="14"/>
        <v>echo {"issue":{"subject":"","project_id":79,"tracker_id":40,"status_id":1,"priority_id":2,"assigned_to_id":23,"start_date":"2016-12-09","description":"","custom_fields":[{"id":1,"name":"Subdivision","value":"Other"},{"id":4,"name":"Milepost","value":"2.4161"},{"id":17,"name":"Train ID","value":"904-09"},{"id":16,"name":"Locomotive ID","value":"4043"},{"id":130,"name":"Impact","value":""},{"id":150,"name":"Time of Event (Mountain Time)","value":"15:27:01"},{"id":151,"name":"Denver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38" t="str">
        <f t="shared" si="15"/>
        <v>grep -hSE -A100 "Enforcement Action" "%USERPROFILE%\AppData\Local\Temp\OnboardLogs"\RTDC4043\*4043*201612092*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"&amp;Variables!$A$2&amp;"-slicedisagreementcheck.txt"</f>
        <v>grep -hSE "Enforcement Action" "%USERPROFILE%\AppData\Local\Temp\OnboardLogs"\RTDC4043\*4043*201612092* &gt;&gt; 42713-slicedisagreementcheck.txt</v>
      </c>
    </row>
    <row r="56" spans="1:30" x14ac:dyDescent="0.25">
      <c r="A56" s="36">
        <v>42713.752384259256</v>
      </c>
      <c r="B56" s="31" t="s">
        <v>307</v>
      </c>
      <c r="C56" s="31" t="s">
        <v>515</v>
      </c>
      <c r="D56" s="31" t="s">
        <v>98</v>
      </c>
      <c r="E56" s="31" t="s">
        <v>200</v>
      </c>
      <c r="F56" s="47">
        <v>0</v>
      </c>
      <c r="G56" s="47">
        <v>10</v>
      </c>
      <c r="H56" s="47">
        <v>0</v>
      </c>
      <c r="I56" s="47">
        <v>0</v>
      </c>
      <c r="J56" s="31" t="s">
        <v>201</v>
      </c>
      <c r="K56" s="47">
        <v>1</v>
      </c>
      <c r="L56" s="154" t="s">
        <v>51</v>
      </c>
      <c r="M56" s="155">
        <f t="shared" si="8"/>
        <v>-0.52800000000000002</v>
      </c>
      <c r="N56" s="156" t="str">
        <f>VLOOKUP(C56,'Trips&amp;Operators'!$C$1:$G$99999,5,FALSE)</f>
        <v>CHANDLER KELVIN</v>
      </c>
      <c r="O56" s="182" t="s">
        <v>195</v>
      </c>
      <c r="P56" s="157"/>
      <c r="Q56" s="31"/>
      <c r="R56" s="100" t="str">
        <f>VLOOKUP(C56,'Train Runs'!$A$13:$AE$9971,31,0)</f>
        <v>aws s3 cp s3://rtdc.mdm.uploadarchive.raw/RTDC4045/ "%USERPROFILE%\AppData\Local\Temp\OnboardLogs"\RTDC4045\2016-12-09 --exclude "*" --recursive --include "*20161209*" &amp; "%USERPROFILE%\Documents\GitHub\mrs-test-scripts\Headless Mode &amp; Sideloading\WalkAndUnGZ.bat" "%USERPROFILE%\AppData\Local\Temp\OnboardLogs"\RTDC4045\2016-12-09 &amp; aws s3 cp s3://rtdc.mdm.uploadarchive.raw/RTDC4045/ "%USERPROFILE%\AppData\Local\Temp\OnboardLogs"\RTDC4045\2016-12-10 --exclude "*" --recursive --include "*20161210*" &amp; "%USERPROFILE%\Documents\GitHub\mrs-test-scripts\Headless Mode &amp; Sideloading\WalkAndUnGZ.bat" "%USERPROFILE%\AppData\Local\Temp\OnboardLogs"\RTDC4045\2016-12-10</v>
      </c>
      <c r="S56" s="103" t="str">
        <f>VLOOKUP(C56,'Train Runs'!$A$13:$AE$9971,22,0)</f>
        <v>https://search-rtdc-monitor-bjffxe2xuh6vdkpspy63sjmuny.us-east-1.es.amazonaws.com/_plugin/kibana/#/discover/Steve-Slow-Train-Analysis-(2080s-and-2083s)?_g=(refreshInterval:(display:Off,section:0,value:0),time:(from:'2016-12-09 16:51:01-700',mode:absolute,to:'2016-12-09 19:03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56" s="105" t="str">
        <f t="shared" si="9"/>
        <v>"C:\Program Files (x86)\AstroGrep\AstroGrep.exe" /spath="%USERPROFILE%\AppData\Local\Temp\OnboardLogs" /stypes="*4045*201612100*" /stext=" 01:.+((SYSTEM_STATE.+slice.+state.+changed )|(ment ac)|(multiple cpu faults)|(system.+state.+changed )|(\[timeout)|(PRM\|1\|D)|(kpr)|(kdp)|(\|lc)|(penalty))" /e /r /s</v>
      </c>
      <c r="U56" s="9" t="str">
        <f t="shared" si="10"/>
        <v>4045</v>
      </c>
      <c r="V56" s="36">
        <f t="shared" si="11"/>
        <v>42714.044050925921</v>
      </c>
      <c r="W56" s="50" t="str">
        <f t="shared" si="12"/>
        <v>Other</v>
      </c>
      <c r="X56" s="50" t="str">
        <f t="shared" si="13"/>
        <v>KEEP</v>
      </c>
      <c r="Y56" s="119" t="str">
        <f t="shared" si="14"/>
        <v>echo {"issue":{"subject":"","project_id":79,"tracker_id":40,"status_id":1,"priority_id":2,"assigned_to_id":23,"start_date":"2016-12-09","description":"","custom_fields":[{"id":1,"name":"Subdivision","value":"Other"},{"id":4,"name":"Milepost","value":"0.0001"},{"id":17,"name":"Train ID","value":"72-09"},{"id":16,"name":"Locomotive ID","value":"4045"},{"id":130,"name":"Impact","value":""},{"id":150,"name":"Time of Event (Mountain Time)","value":"18:03:26"},{"id":151,"name":"Denver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38" t="str">
        <f t="shared" si="15"/>
        <v>grep -hSE -A100 "Enforcement Action" "%USERPROFILE%\AppData\Local\Temp\OnboardLogs"\RTDC4045\*4045*201612100*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"&amp;Variables!$A$2&amp;"-slicedisagreementcheck.txt"</f>
        <v>grep -hSE "Enforcement Action" "%USERPROFILE%\AppData\Local\Temp\OnboardLogs"\RTDC4045\*4045*201612100* &gt;&gt; 42713-slicedisagreementcheck.txt</v>
      </c>
    </row>
    <row r="57" spans="1:30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30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30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56">
      <sortCondition ref="V6:V46"/>
    </sortState>
  </autoFilter>
  <sortState ref="A7:AD56">
    <sortCondition ref="W7:W56"/>
    <sortCondition ref="E7:E56"/>
    <sortCondition ref="K7:K56"/>
    <sortCondition ref="C7:C56"/>
    <sortCondition ref="F7:F56"/>
  </sortState>
  <mergeCells count="1">
    <mergeCell ref="A5:O5"/>
  </mergeCells>
  <conditionalFormatting sqref="O6:P6 R6 O76:O1048576 O7:O5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6">
    <cfRule type="expression" dxfId="1" priority="20">
      <formula>$O7="Y"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AA7:AA56</xm:sqref>
        </x14:dataValidation>
        <x14:dataValidation type="list" allowBlank="1" showInputMessage="1" showErrorMessage="1">
          <x14:formula1>
            <xm:f>'Redmine List Values'!$C$2:$C$15</xm:f>
          </x14:formula1>
          <xm:sqref>AB7:AB56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"/>
  <sheetViews>
    <sheetView workbookViewId="0">
      <selection activeCell="E3" sqref="E3:E9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4" t="str">
        <f>"Trips that did not appear in PTC Data "&amp;TEXT(Variables!$A$2,"YYYY-mm-dd")</f>
        <v>Trips that did not appear in PTC Data 2016-12-09</v>
      </c>
      <c r="C1" s="184"/>
      <c r="D1" s="184"/>
      <c r="E1" s="184"/>
      <c r="F1" s="184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/>
      <c r="B3" s="47" t="str">
        <f>A3&amp;"-"&amp;IF(DAY(Variables!$A$2)&lt;10,0,"")&amp;DAY(Variables!$A$2)</f>
        <v>-09</v>
      </c>
      <c r="C3" s="158"/>
      <c r="D3" s="163"/>
      <c r="E3" s="31"/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3" s="31" t="e">
        <f>VLOOKUP(B3,'Train Runs'!$A$13:$A$99968,1,FALSE)</f>
        <v>#N/A</v>
      </c>
      <c r="K3" s="31" t="e">
        <f>IF(VLOOKUP(A3,$K$36:$K$59,1,FALSE),"Cancelled")</f>
        <v>#N/A</v>
      </c>
    </row>
    <row r="4" spans="1:11" x14ac:dyDescent="0.25">
      <c r="A4" s="171"/>
      <c r="B4" s="47" t="str">
        <f>A4&amp;"-"&amp;IF(DAY(Variables!$A$2)&lt;10,0,"")&amp;DAY(Variables!$A$2)</f>
        <v>-09</v>
      </c>
      <c r="C4" s="158"/>
      <c r="D4" s="163"/>
      <c r="E4" s="31"/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4" s="31" t="e">
        <f>VLOOKUP(B4,'Train Runs'!$A$13:$A$99968,1,FALSE)</f>
        <v>#N/A</v>
      </c>
      <c r="K4" s="31" t="e">
        <f>IF(VLOOKUP(A4,$K$36:$K$59,1,FALSE),"Cancelled")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-09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5" s="31" t="e">
        <f>VLOOKUP(B5,'Train Runs'!$A$13:$A$99968,1,FALSE)</f>
        <v>#N/A</v>
      </c>
      <c r="K5" s="31" t="e">
        <f>IF(VLOOKUP(A5,$K$36:$K$59,1,FALSE),"Cancelled")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-09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6" s="31" t="e">
        <f>VLOOKUP(B6,'Train Runs'!$A$13:$A$99968,1,FALSE)</f>
        <v>#N/A</v>
      </c>
      <c r="K6" s="31" t="e">
        <f>IF(VLOOKUP(A6,$K$36:$K$59,1,FALSE),"Cancelled")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-09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ref="I7:I15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7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7" s="31" t="e">
        <f>VLOOKUP(B7,'Train Runs'!$A$13:$A$99968,1,FALSE)</f>
        <v>#N/A</v>
      </c>
      <c r="K7" s="31" t="e">
        <f t="shared" ref="K7:K15" si="2">IF(VLOOKUP(A7,$K$36:$K$59,1,FALSE),"Cancelled")</f>
        <v>#N/A</v>
      </c>
    </row>
    <row r="8" spans="1:11" x14ac:dyDescent="0.25">
      <c r="A8" s="171"/>
      <c r="B8" s="47" t="str">
        <f>A8&amp;"-"&amp;IF(DAY(Variables!$A$2)&lt;10,0,"")&amp;DAY(Variables!$A$2)</f>
        <v>-09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8" s="31" t="e">
        <f>VLOOKUP(B8,'Train Runs'!$A$13:$A$99968,1,FALSE)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-09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9" s="31" t="e">
        <f>VLOOKUP(B9,'Train Runs'!$A$13:$A$99968,1,FALSE)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-09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0" s="31" t="e">
        <f>VLOOKUP(B10,'Train Runs'!$A$13:$A$99968,1,FALSE)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-09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1" s="31" t="e">
        <f>VLOOKUP(B11,'Train Runs'!$A$13:$A$99968,1,FALSE)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-09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2" s="31" t="e">
        <f>VLOOKUP(B12,'Train Runs'!$A$13:$A$99968,1,FALSE)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-09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3" s="31" t="e">
        <f>VLOOKUP(B13,'Train Runs'!$A$13:$A$99968,1,FALSE)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-09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4" s="31" t="e">
        <f>VLOOKUP(B14,'Train Runs'!$A$13:$A$99968,1,FALSE)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-09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-09%22)),sort:!(Time,asc))</v>
      </c>
      <c r="J15" s="31" t="e">
        <f>VLOOKUP(B15,'Train Runs'!$A$13:$A$99968,1,FALSE)</f>
        <v>#N/A</v>
      </c>
      <c r="K15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281</v>
      </c>
      <c r="G1" s="8" t="s">
        <v>280</v>
      </c>
    </row>
    <row r="2" spans="1:7" x14ac:dyDescent="0.25">
      <c r="A2" s="8">
        <v>42713.036782407406</v>
      </c>
      <c r="B2" s="21" t="s">
        <v>285</v>
      </c>
      <c r="C2" s="21" t="s">
        <v>363</v>
      </c>
      <c r="D2" s="165">
        <v>1180000</v>
      </c>
      <c r="E2" s="21" t="s">
        <v>261</v>
      </c>
      <c r="F2" s="21" t="s">
        <v>277</v>
      </c>
      <c r="G2" s="8" t="str">
        <f>E2&amp;" "&amp;F2</f>
        <v>LEVERE CRAIG</v>
      </c>
    </row>
    <row r="3" spans="1:7" x14ac:dyDescent="0.25">
      <c r="A3" s="8">
        <v>42713.03702546296</v>
      </c>
      <c r="B3" s="21" t="s">
        <v>283</v>
      </c>
      <c r="C3" s="21" t="s">
        <v>364</v>
      </c>
      <c r="D3" s="165">
        <v>1300000</v>
      </c>
      <c r="E3" s="21" t="s">
        <v>113</v>
      </c>
      <c r="F3" s="21" t="s">
        <v>278</v>
      </c>
      <c r="G3" s="8" t="str">
        <f t="shared" ref="G3:G66" si="0">E3&amp;" "&amp;F3</f>
        <v>LEVIN SCOTT</v>
      </c>
    </row>
    <row r="4" spans="1:7" x14ac:dyDescent="0.25">
      <c r="A4" s="8">
        <v>42713.048368055555</v>
      </c>
      <c r="B4" s="21" t="s">
        <v>241</v>
      </c>
      <c r="C4" s="21" t="s">
        <v>365</v>
      </c>
      <c r="D4" s="165">
        <v>1290000</v>
      </c>
      <c r="E4" s="21" t="s">
        <v>262</v>
      </c>
      <c r="F4" s="21" t="s">
        <v>275</v>
      </c>
      <c r="G4" s="8" t="str">
        <f t="shared" si="0"/>
        <v>COOLAHAN JOHN</v>
      </c>
    </row>
    <row r="5" spans="1:7" x14ac:dyDescent="0.25">
      <c r="A5" s="8">
        <v>42713.057604166665</v>
      </c>
      <c r="B5" s="21" t="s">
        <v>230</v>
      </c>
      <c r="C5" s="21" t="s">
        <v>366</v>
      </c>
      <c r="D5" s="165">
        <v>2000000</v>
      </c>
      <c r="E5" s="21" t="s">
        <v>211</v>
      </c>
      <c r="F5" s="21" t="s">
        <v>279</v>
      </c>
      <c r="G5" s="8" t="str">
        <f t="shared" si="0"/>
        <v>STAMBAUGH JAMES</v>
      </c>
    </row>
    <row r="6" spans="1:7" x14ac:dyDescent="0.25">
      <c r="A6" s="8">
        <v>42713.068333333336</v>
      </c>
      <c r="B6" s="21" t="s">
        <v>284</v>
      </c>
      <c r="C6" s="21" t="s">
        <v>367</v>
      </c>
      <c r="D6" s="165">
        <v>1300000</v>
      </c>
      <c r="E6" s="21" t="s">
        <v>113</v>
      </c>
      <c r="F6" s="21" t="s">
        <v>278</v>
      </c>
      <c r="G6" s="8" t="str">
        <f t="shared" si="0"/>
        <v>LEVIN SCOTT</v>
      </c>
    </row>
    <row r="7" spans="1:7" x14ac:dyDescent="0.25">
      <c r="A7" s="8">
        <v>42713.090092592596</v>
      </c>
      <c r="B7" s="21" t="s">
        <v>229</v>
      </c>
      <c r="C7" s="21" t="s">
        <v>368</v>
      </c>
      <c r="D7" s="165">
        <v>2000000</v>
      </c>
      <c r="E7" s="21" t="s">
        <v>211</v>
      </c>
      <c r="F7" s="21" t="s">
        <v>279</v>
      </c>
      <c r="G7" s="8" t="str">
        <f t="shared" si="0"/>
        <v>STAMBAUGH JAMES</v>
      </c>
    </row>
    <row r="8" spans="1:7" x14ac:dyDescent="0.25">
      <c r="A8" s="8">
        <v>42713.144537037035</v>
      </c>
      <c r="B8" s="21" t="s">
        <v>235</v>
      </c>
      <c r="C8" s="21" t="s">
        <v>521</v>
      </c>
      <c r="D8" s="165">
        <v>2010000</v>
      </c>
      <c r="E8" s="21" t="s">
        <v>324</v>
      </c>
      <c r="F8" s="21" t="s">
        <v>325</v>
      </c>
      <c r="G8" s="8" t="str">
        <f t="shared" si="0"/>
        <v>MAELZER KURT</v>
      </c>
    </row>
    <row r="9" spans="1:7" ht="15.75" thickBot="1" x14ac:dyDescent="0.3">
      <c r="A9" s="25">
        <v>42713.145416666666</v>
      </c>
      <c r="B9" s="21" t="s">
        <v>235</v>
      </c>
      <c r="C9" s="21" t="s">
        <v>521</v>
      </c>
      <c r="D9" s="165">
        <v>2010000</v>
      </c>
      <c r="E9" s="21" t="s">
        <v>324</v>
      </c>
      <c r="F9" s="21" t="s">
        <v>325</v>
      </c>
      <c r="G9" s="8" t="str">
        <f t="shared" si="0"/>
        <v>MAELZER KURT</v>
      </c>
    </row>
    <row r="10" spans="1:7" x14ac:dyDescent="0.25">
      <c r="A10" s="8">
        <v>42713.157164351855</v>
      </c>
      <c r="B10" s="21" t="s">
        <v>405</v>
      </c>
      <c r="C10" s="21" t="s">
        <v>522</v>
      </c>
      <c r="D10" s="165">
        <v>1990000</v>
      </c>
      <c r="E10" s="21" t="s">
        <v>362</v>
      </c>
      <c r="F10" s="21" t="s">
        <v>404</v>
      </c>
      <c r="G10" s="8" t="str">
        <f t="shared" si="0"/>
        <v>DAVIS WENDY</v>
      </c>
    </row>
    <row r="11" spans="1:7" x14ac:dyDescent="0.25">
      <c r="A11" s="8">
        <v>42713.166307870371</v>
      </c>
      <c r="B11" s="21" t="s">
        <v>394</v>
      </c>
      <c r="C11" s="21" t="s">
        <v>523</v>
      </c>
      <c r="D11" s="165">
        <v>2140000</v>
      </c>
      <c r="E11" s="21" t="s">
        <v>349</v>
      </c>
      <c r="F11" s="21" t="s">
        <v>350</v>
      </c>
      <c r="G11" s="8" t="str">
        <f t="shared" si="0"/>
        <v>ROBINSON KADDIBA</v>
      </c>
    </row>
    <row r="12" spans="1:7" x14ac:dyDescent="0.25">
      <c r="A12" s="8">
        <v>42713.17087962963</v>
      </c>
      <c r="B12" s="21" t="s">
        <v>405</v>
      </c>
      <c r="C12" s="21" t="s">
        <v>522</v>
      </c>
      <c r="D12" s="165">
        <v>1990000</v>
      </c>
      <c r="E12" s="21" t="s">
        <v>362</v>
      </c>
      <c r="F12" s="21" t="s">
        <v>404</v>
      </c>
      <c r="G12" s="8" t="str">
        <f t="shared" si="0"/>
        <v>DAVIS WENDY</v>
      </c>
    </row>
    <row r="13" spans="1:7" x14ac:dyDescent="0.25">
      <c r="A13" s="8">
        <v>42713.173958333333</v>
      </c>
      <c r="B13" s="21" t="s">
        <v>269</v>
      </c>
      <c r="C13" s="21" t="s">
        <v>475</v>
      </c>
      <c r="D13" s="165">
        <v>2010000</v>
      </c>
      <c r="E13" s="21" t="s">
        <v>324</v>
      </c>
      <c r="F13" s="21" t="s">
        <v>325</v>
      </c>
      <c r="G13" s="8" t="str">
        <f t="shared" si="0"/>
        <v>MAELZER KURT</v>
      </c>
    </row>
    <row r="14" spans="1:7" x14ac:dyDescent="0.25">
      <c r="A14" s="8">
        <v>42713.175694444442</v>
      </c>
      <c r="B14" s="21" t="s">
        <v>212</v>
      </c>
      <c r="C14" s="21" t="s">
        <v>524</v>
      </c>
      <c r="D14" s="165">
        <v>1360000</v>
      </c>
      <c r="E14" s="21" t="s">
        <v>355</v>
      </c>
      <c r="F14" s="21" t="s">
        <v>356</v>
      </c>
      <c r="G14" s="8" t="str">
        <f t="shared" si="0"/>
        <v>SANTIZO D. EDY</v>
      </c>
    </row>
    <row r="15" spans="1:7" x14ac:dyDescent="0.25">
      <c r="A15" s="8">
        <v>42713.176157407404</v>
      </c>
      <c r="B15" s="21" t="s">
        <v>214</v>
      </c>
      <c r="C15" s="21" t="s">
        <v>525</v>
      </c>
      <c r="D15" s="165">
        <v>2140000</v>
      </c>
      <c r="E15" s="21" t="s">
        <v>349</v>
      </c>
      <c r="F15" s="21" t="s">
        <v>350</v>
      </c>
      <c r="G15" s="8" t="str">
        <f t="shared" si="0"/>
        <v>ROBINSON KADDIBA</v>
      </c>
    </row>
    <row r="16" spans="1:7" x14ac:dyDescent="0.25">
      <c r="A16" s="8">
        <v>42713.176921296297</v>
      </c>
      <c r="B16" s="21" t="s">
        <v>214</v>
      </c>
      <c r="C16" s="21" t="s">
        <v>525</v>
      </c>
      <c r="D16" s="165">
        <v>2140000</v>
      </c>
      <c r="E16" s="21" t="s">
        <v>349</v>
      </c>
      <c r="F16" s="21" t="s">
        <v>350</v>
      </c>
      <c r="G16" s="8" t="str">
        <f t="shared" si="0"/>
        <v>ROBINSON KADDIBA</v>
      </c>
    </row>
    <row r="17" spans="1:7" x14ac:dyDescent="0.25">
      <c r="A17" s="8">
        <v>42713.184745370374</v>
      </c>
      <c r="B17" s="21" t="s">
        <v>205</v>
      </c>
      <c r="C17" s="21" t="s">
        <v>474</v>
      </c>
      <c r="D17" s="165">
        <v>1360000</v>
      </c>
      <c r="E17" s="21" t="s">
        <v>355</v>
      </c>
      <c r="F17" s="21" t="s">
        <v>356</v>
      </c>
      <c r="G17" s="8" t="str">
        <f t="shared" si="0"/>
        <v>SANTIZO D. EDY</v>
      </c>
    </row>
    <row r="18" spans="1:7" x14ac:dyDescent="0.25">
      <c r="A18" s="8">
        <v>42713.192002314812</v>
      </c>
      <c r="B18" s="21" t="s">
        <v>205</v>
      </c>
      <c r="C18" s="21" t="s">
        <v>474</v>
      </c>
      <c r="D18" s="165">
        <v>1360000</v>
      </c>
      <c r="E18" s="21" t="s">
        <v>355</v>
      </c>
      <c r="F18" s="21" t="s">
        <v>356</v>
      </c>
      <c r="G18" s="8" t="str">
        <f t="shared" si="0"/>
        <v>SANTIZO D. EDY</v>
      </c>
    </row>
    <row r="19" spans="1:7" x14ac:dyDescent="0.25">
      <c r="A19" s="8">
        <v>42713.192326388889</v>
      </c>
      <c r="B19" s="21" t="s">
        <v>155</v>
      </c>
      <c r="C19" s="21" t="s">
        <v>476</v>
      </c>
      <c r="D19" s="165">
        <v>1990000</v>
      </c>
      <c r="E19" s="21" t="s">
        <v>362</v>
      </c>
      <c r="F19" s="21" t="s">
        <v>404</v>
      </c>
      <c r="G19" s="8" t="str">
        <f t="shared" si="0"/>
        <v>DAVIS WENDY</v>
      </c>
    </row>
    <row r="20" spans="1:7" x14ac:dyDescent="0.25">
      <c r="A20" s="8">
        <v>42713.195254629631</v>
      </c>
      <c r="B20" s="21" t="s">
        <v>184</v>
      </c>
      <c r="C20" s="21" t="s">
        <v>526</v>
      </c>
      <c r="D20" s="165">
        <v>1760000</v>
      </c>
      <c r="E20" s="21" t="s">
        <v>351</v>
      </c>
      <c r="F20" s="21" t="s">
        <v>352</v>
      </c>
      <c r="G20" s="8" t="str">
        <f t="shared" si="0"/>
        <v>STRICKLAND EVAN</v>
      </c>
    </row>
    <row r="21" spans="1:7" x14ac:dyDescent="0.25">
      <c r="A21" s="8">
        <v>42713.196886574071</v>
      </c>
      <c r="B21" s="21" t="s">
        <v>260</v>
      </c>
      <c r="C21" s="21" t="s">
        <v>477</v>
      </c>
      <c r="D21" s="165">
        <v>2610000</v>
      </c>
      <c r="E21" s="21" t="s">
        <v>298</v>
      </c>
      <c r="F21" s="21" t="s">
        <v>299</v>
      </c>
      <c r="G21" s="8" t="str">
        <f t="shared" si="0"/>
        <v>MAGEE KENYA</v>
      </c>
    </row>
    <row r="22" spans="1:7" x14ac:dyDescent="0.25">
      <c r="A22" s="27">
        <v>42713.206145833334</v>
      </c>
      <c r="B22" s="21" t="s">
        <v>235</v>
      </c>
      <c r="C22" s="21" t="s">
        <v>527</v>
      </c>
      <c r="D22" s="165">
        <v>2100000</v>
      </c>
      <c r="E22" s="21" t="s">
        <v>353</v>
      </c>
      <c r="F22" s="21" t="s">
        <v>354</v>
      </c>
      <c r="G22" s="8" t="str">
        <f t="shared" si="0"/>
        <v>ISHMAEL JOSEPH</v>
      </c>
    </row>
    <row r="23" spans="1:7" x14ac:dyDescent="0.25">
      <c r="A23" s="8">
        <v>42713.207141203704</v>
      </c>
      <c r="B23" s="21" t="s">
        <v>273</v>
      </c>
      <c r="C23" s="21" t="s">
        <v>528</v>
      </c>
      <c r="D23" s="165">
        <v>1760000</v>
      </c>
      <c r="E23" s="21" t="s">
        <v>351</v>
      </c>
      <c r="F23" s="21" t="s">
        <v>352</v>
      </c>
      <c r="G23" s="8" t="str">
        <f t="shared" si="0"/>
        <v>STRICKLAND EVAN</v>
      </c>
    </row>
    <row r="24" spans="1:7" x14ac:dyDescent="0.25">
      <c r="A24" s="8">
        <v>42713.207418981481</v>
      </c>
      <c r="B24" s="21" t="s">
        <v>235</v>
      </c>
      <c r="C24" s="21" t="s">
        <v>527</v>
      </c>
      <c r="D24" s="165">
        <v>2100000</v>
      </c>
      <c r="E24" s="21" t="s">
        <v>353</v>
      </c>
      <c r="F24" s="21" t="s">
        <v>354</v>
      </c>
      <c r="G24" s="8" t="str">
        <f t="shared" si="0"/>
        <v>ISHMAEL JOSEPH</v>
      </c>
    </row>
    <row r="25" spans="1:7" x14ac:dyDescent="0.25">
      <c r="A25" s="8">
        <v>42713.208611111113</v>
      </c>
      <c r="B25" s="21" t="s">
        <v>394</v>
      </c>
      <c r="C25" s="21" t="s">
        <v>529</v>
      </c>
      <c r="D25" s="165">
        <v>2140000</v>
      </c>
      <c r="E25" s="21" t="s">
        <v>349</v>
      </c>
      <c r="F25" s="21" t="s">
        <v>350</v>
      </c>
      <c r="G25" s="8" t="str">
        <f t="shared" si="0"/>
        <v>ROBINSON KADDIBA</v>
      </c>
    </row>
    <row r="26" spans="1:7" x14ac:dyDescent="0.25">
      <c r="A26" s="8">
        <v>42713.217060185183</v>
      </c>
      <c r="B26" s="21" t="s">
        <v>212</v>
      </c>
      <c r="C26" s="21" t="s">
        <v>530</v>
      </c>
      <c r="D26" s="165">
        <v>1360000</v>
      </c>
      <c r="E26" s="21" t="s">
        <v>355</v>
      </c>
      <c r="F26" s="21" t="s">
        <v>356</v>
      </c>
      <c r="G26" s="8" t="str">
        <f t="shared" si="0"/>
        <v>SANTIZO D. EDY</v>
      </c>
    </row>
    <row r="27" spans="1:7" x14ac:dyDescent="0.25">
      <c r="A27" s="8">
        <v>42713.218078703707</v>
      </c>
      <c r="B27" s="21" t="s">
        <v>272</v>
      </c>
      <c r="C27" s="21" t="s">
        <v>531</v>
      </c>
      <c r="D27" s="165">
        <v>2010000</v>
      </c>
      <c r="E27" s="21" t="s">
        <v>324</v>
      </c>
      <c r="F27" s="21" t="s">
        <v>325</v>
      </c>
      <c r="G27" s="8" t="str">
        <f t="shared" si="0"/>
        <v>MAELZER KURT</v>
      </c>
    </row>
    <row r="28" spans="1:7" x14ac:dyDescent="0.25">
      <c r="A28" s="8">
        <v>42713.218912037039</v>
      </c>
      <c r="B28" s="21" t="s">
        <v>272</v>
      </c>
      <c r="C28" s="21" t="s">
        <v>531</v>
      </c>
      <c r="D28" s="165">
        <v>2010000</v>
      </c>
      <c r="E28" s="21" t="s">
        <v>324</v>
      </c>
      <c r="F28" s="21" t="s">
        <v>325</v>
      </c>
      <c r="G28" s="8" t="str">
        <f t="shared" si="0"/>
        <v>MAELZER KURT</v>
      </c>
    </row>
    <row r="29" spans="1:7" x14ac:dyDescent="0.25">
      <c r="A29" s="8">
        <v>42713.229432870372</v>
      </c>
      <c r="B29" s="21" t="s">
        <v>405</v>
      </c>
      <c r="C29" s="21" t="s">
        <v>532</v>
      </c>
      <c r="D29" s="165">
        <v>900000</v>
      </c>
      <c r="E29" s="21" t="s">
        <v>310</v>
      </c>
      <c r="F29" s="21" t="s">
        <v>311</v>
      </c>
      <c r="G29" s="8" t="str">
        <f t="shared" si="0"/>
        <v>ROCHA YAOTL</v>
      </c>
    </row>
    <row r="30" spans="1:7" x14ac:dyDescent="0.25">
      <c r="A30" s="8">
        <v>42713.230706018519</v>
      </c>
      <c r="B30" s="21" t="s">
        <v>405</v>
      </c>
      <c r="C30" s="21" t="s">
        <v>532</v>
      </c>
      <c r="D30" s="165">
        <v>900000</v>
      </c>
      <c r="E30" s="21" t="s">
        <v>310</v>
      </c>
      <c r="F30" s="21" t="s">
        <v>311</v>
      </c>
      <c r="G30" s="8" t="str">
        <f t="shared" si="0"/>
        <v>ROCHA YAOTL</v>
      </c>
    </row>
    <row r="31" spans="1:7" x14ac:dyDescent="0.25">
      <c r="A31" s="8">
        <v>42713.233310185184</v>
      </c>
      <c r="B31" s="21" t="s">
        <v>184</v>
      </c>
      <c r="C31" s="21" t="s">
        <v>533</v>
      </c>
      <c r="D31" s="165">
        <v>1760000</v>
      </c>
      <c r="E31" s="21" t="s">
        <v>351</v>
      </c>
      <c r="F31" s="21" t="s">
        <v>352</v>
      </c>
      <c r="G31" s="8" t="str">
        <f t="shared" si="0"/>
        <v>STRICKLAND EVAN</v>
      </c>
    </row>
    <row r="32" spans="1:7" x14ac:dyDescent="0.25">
      <c r="A32" s="8">
        <v>42713.234270833331</v>
      </c>
      <c r="B32" s="21" t="s">
        <v>184</v>
      </c>
      <c r="C32" s="21" t="s">
        <v>533</v>
      </c>
      <c r="D32" s="165">
        <v>1760000</v>
      </c>
      <c r="E32" s="21" t="s">
        <v>351</v>
      </c>
      <c r="F32" s="21" t="s">
        <v>352</v>
      </c>
      <c r="G32" s="8" t="str">
        <f t="shared" si="0"/>
        <v>STRICKLAND EVAN</v>
      </c>
    </row>
    <row r="33" spans="1:7" x14ac:dyDescent="0.25">
      <c r="A33" s="8">
        <v>42713.234664351854</v>
      </c>
      <c r="B33" s="21" t="s">
        <v>154</v>
      </c>
      <c r="C33" s="21" t="s">
        <v>534</v>
      </c>
      <c r="D33" s="165">
        <v>1990000</v>
      </c>
      <c r="E33" s="21" t="s">
        <v>362</v>
      </c>
      <c r="F33" s="21" t="s">
        <v>404</v>
      </c>
      <c r="G33" s="8" t="str">
        <f t="shared" si="0"/>
        <v>DAVIS WENDY</v>
      </c>
    </row>
    <row r="34" spans="1:7" x14ac:dyDescent="0.25">
      <c r="A34" s="8">
        <v>42713.235381944447</v>
      </c>
      <c r="B34" s="21" t="s">
        <v>297</v>
      </c>
      <c r="C34" s="21" t="s">
        <v>535</v>
      </c>
      <c r="D34" s="165">
        <v>2610000</v>
      </c>
      <c r="E34" s="21" t="s">
        <v>298</v>
      </c>
      <c r="F34" s="21" t="s">
        <v>299</v>
      </c>
      <c r="G34" s="8" t="str">
        <f t="shared" si="0"/>
        <v>MAGEE KENYA</v>
      </c>
    </row>
    <row r="35" spans="1:7" x14ac:dyDescent="0.25">
      <c r="A35" s="8">
        <v>42713.239479166667</v>
      </c>
      <c r="B35" s="21" t="s">
        <v>184</v>
      </c>
      <c r="C35" s="21" t="s">
        <v>536</v>
      </c>
      <c r="D35" s="165">
        <v>1760000</v>
      </c>
      <c r="E35" s="21" t="s">
        <v>351</v>
      </c>
      <c r="F35" s="21" t="s">
        <v>352</v>
      </c>
      <c r="G35" s="8" t="str">
        <f t="shared" si="0"/>
        <v>STRICKLAND EVAN</v>
      </c>
    </row>
    <row r="36" spans="1:7" x14ac:dyDescent="0.25">
      <c r="A36" s="8">
        <v>42713.239907407406</v>
      </c>
      <c r="B36" s="21" t="s">
        <v>246</v>
      </c>
      <c r="C36" s="21" t="s">
        <v>537</v>
      </c>
      <c r="D36" s="165">
        <v>2100000</v>
      </c>
      <c r="E36" s="21" t="s">
        <v>353</v>
      </c>
      <c r="F36" s="21" t="s">
        <v>354</v>
      </c>
      <c r="G36" s="8" t="str">
        <f t="shared" si="0"/>
        <v>ISHMAEL JOSEPH</v>
      </c>
    </row>
    <row r="37" spans="1:7" x14ac:dyDescent="0.25">
      <c r="A37" s="8">
        <v>42713.240983796299</v>
      </c>
      <c r="B37" s="21" t="s">
        <v>246</v>
      </c>
      <c r="C37" s="21" t="s">
        <v>537</v>
      </c>
      <c r="D37" s="165">
        <v>2100000</v>
      </c>
      <c r="E37" s="21" t="s">
        <v>353</v>
      </c>
      <c r="F37" s="21" t="s">
        <v>354</v>
      </c>
      <c r="G37" s="8" t="str">
        <f t="shared" si="0"/>
        <v>ISHMAEL JOSEPH</v>
      </c>
    </row>
    <row r="38" spans="1:7" x14ac:dyDescent="0.25">
      <c r="A38" s="8">
        <v>42713.248969907407</v>
      </c>
      <c r="B38" s="21" t="s">
        <v>214</v>
      </c>
      <c r="C38" s="21" t="s">
        <v>538</v>
      </c>
      <c r="D38" s="165">
        <v>2140000</v>
      </c>
      <c r="E38" s="21" t="s">
        <v>349</v>
      </c>
      <c r="F38" s="21" t="s">
        <v>350</v>
      </c>
      <c r="G38" s="8" t="str">
        <f t="shared" si="0"/>
        <v>ROBINSON KADDIBA</v>
      </c>
    </row>
    <row r="39" spans="1:7" x14ac:dyDescent="0.25">
      <c r="A39" s="8">
        <v>42713.250358796293</v>
      </c>
      <c r="B39" s="21" t="s">
        <v>209</v>
      </c>
      <c r="C39" s="21" t="s">
        <v>539</v>
      </c>
      <c r="D39" s="165">
        <v>1830000</v>
      </c>
      <c r="E39" s="21" t="s">
        <v>406</v>
      </c>
      <c r="F39" s="21" t="s">
        <v>407</v>
      </c>
      <c r="G39" s="8" t="str">
        <f t="shared" si="0"/>
        <v>YORK EDGAR</v>
      </c>
    </row>
    <row r="40" spans="1:7" x14ac:dyDescent="0.25">
      <c r="A40" s="8">
        <v>42713.255543981482</v>
      </c>
      <c r="B40" s="26" t="s">
        <v>269</v>
      </c>
      <c r="C40" s="21" t="s">
        <v>540</v>
      </c>
      <c r="D40" s="165">
        <v>2010000</v>
      </c>
      <c r="E40" s="21" t="s">
        <v>324</v>
      </c>
      <c r="F40" s="21" t="s">
        <v>325</v>
      </c>
      <c r="G40" s="8" t="str">
        <f t="shared" si="0"/>
        <v>MAELZER KURT</v>
      </c>
    </row>
    <row r="41" spans="1:7" x14ac:dyDescent="0.25">
      <c r="A41" s="8">
        <v>42713.256481481483</v>
      </c>
      <c r="B41" s="21" t="s">
        <v>273</v>
      </c>
      <c r="C41" s="21" t="s">
        <v>533</v>
      </c>
      <c r="D41" s="165">
        <v>1760000</v>
      </c>
      <c r="E41" s="21" t="s">
        <v>351</v>
      </c>
      <c r="F41" s="21" t="s">
        <v>352</v>
      </c>
      <c r="G41" s="8" t="str">
        <f t="shared" si="0"/>
        <v>STRICKLAND EVAN</v>
      </c>
    </row>
    <row r="42" spans="1:7" x14ac:dyDescent="0.25">
      <c r="A42" s="8">
        <v>42713.257789351854</v>
      </c>
      <c r="B42" s="21" t="s">
        <v>205</v>
      </c>
      <c r="C42" s="21" t="s">
        <v>541</v>
      </c>
      <c r="D42" s="165">
        <v>1360000</v>
      </c>
      <c r="E42" s="21" t="s">
        <v>355</v>
      </c>
      <c r="F42" s="21" t="s">
        <v>356</v>
      </c>
      <c r="G42" s="8" t="str">
        <f t="shared" si="0"/>
        <v>SANTIZO D. EDY</v>
      </c>
    </row>
    <row r="43" spans="1:7" x14ac:dyDescent="0.25">
      <c r="A43" s="8">
        <v>42713.259664351855</v>
      </c>
      <c r="B43" s="21" t="s">
        <v>207</v>
      </c>
      <c r="C43" s="21" t="s">
        <v>542</v>
      </c>
      <c r="D43" s="165">
        <v>1830000</v>
      </c>
      <c r="E43" s="21" t="s">
        <v>406</v>
      </c>
      <c r="F43" s="21" t="s">
        <v>407</v>
      </c>
      <c r="G43" s="8" t="str">
        <f t="shared" si="0"/>
        <v>YORK EDGAR</v>
      </c>
    </row>
    <row r="44" spans="1:7" x14ac:dyDescent="0.25">
      <c r="A44" s="8">
        <v>42713.267395833333</v>
      </c>
      <c r="B44" s="21" t="s">
        <v>260</v>
      </c>
      <c r="C44" s="21" t="s">
        <v>543</v>
      </c>
      <c r="D44" s="165">
        <v>2610000</v>
      </c>
      <c r="E44" s="21" t="s">
        <v>298</v>
      </c>
      <c r="F44" s="21" t="s">
        <v>299</v>
      </c>
      <c r="G44" s="8" t="str">
        <f t="shared" si="0"/>
        <v>MAGEE KENYA</v>
      </c>
    </row>
    <row r="45" spans="1:7" x14ac:dyDescent="0.25">
      <c r="A45" s="8">
        <v>42713.267743055556</v>
      </c>
      <c r="B45" s="21" t="s">
        <v>393</v>
      </c>
      <c r="C45" s="21" t="s">
        <v>478</v>
      </c>
      <c r="D45" s="165">
        <v>900000</v>
      </c>
      <c r="E45" s="21" t="s">
        <v>310</v>
      </c>
      <c r="F45" s="21" t="s">
        <v>311</v>
      </c>
      <c r="G45" s="8" t="str">
        <f t="shared" si="0"/>
        <v>ROCHA YAOTL</v>
      </c>
    </row>
    <row r="46" spans="1:7" x14ac:dyDescent="0.25">
      <c r="A46" s="8">
        <v>42713.276562500003</v>
      </c>
      <c r="B46" s="21" t="s">
        <v>209</v>
      </c>
      <c r="C46" s="21" t="s">
        <v>544</v>
      </c>
      <c r="D46" s="165">
        <v>1830000</v>
      </c>
      <c r="E46" s="21" t="s">
        <v>406</v>
      </c>
      <c r="F46" s="21" t="s">
        <v>407</v>
      </c>
      <c r="G46" s="8" t="str">
        <f t="shared" si="0"/>
        <v>YORK EDGAR</v>
      </c>
    </row>
    <row r="47" spans="1:7" x14ac:dyDescent="0.25">
      <c r="A47" s="8">
        <v>42713.277060185188</v>
      </c>
      <c r="B47" s="21" t="s">
        <v>155</v>
      </c>
      <c r="C47" s="21" t="s">
        <v>545</v>
      </c>
      <c r="D47" s="165">
        <v>1990000</v>
      </c>
      <c r="E47" s="21" t="s">
        <v>362</v>
      </c>
      <c r="F47" s="21" t="s">
        <v>404</v>
      </c>
      <c r="G47" s="8" t="str">
        <f t="shared" si="0"/>
        <v>DAVIS WENDY</v>
      </c>
    </row>
    <row r="48" spans="1:7" x14ac:dyDescent="0.25">
      <c r="A48" s="8">
        <v>42713.279548611114</v>
      </c>
      <c r="B48" s="21" t="s">
        <v>235</v>
      </c>
      <c r="C48" s="21" t="s">
        <v>546</v>
      </c>
      <c r="D48" s="165">
        <v>2100000</v>
      </c>
      <c r="E48" s="21" t="s">
        <v>353</v>
      </c>
      <c r="F48" s="21" t="s">
        <v>354</v>
      </c>
      <c r="G48" s="8" t="str">
        <f t="shared" si="0"/>
        <v>ISHMAEL JOSEPH</v>
      </c>
    </row>
    <row r="49" spans="1:7" x14ac:dyDescent="0.25">
      <c r="A49" s="8">
        <v>42713.286122685182</v>
      </c>
      <c r="B49" s="21" t="s">
        <v>398</v>
      </c>
      <c r="C49" s="21" t="s">
        <v>480</v>
      </c>
      <c r="D49" s="165">
        <v>2140000</v>
      </c>
      <c r="E49" s="21" t="s">
        <v>349</v>
      </c>
      <c r="F49" s="21" t="s">
        <v>350</v>
      </c>
      <c r="G49" s="8" t="str">
        <f t="shared" si="0"/>
        <v>ROBINSON KADDIBA</v>
      </c>
    </row>
    <row r="50" spans="1:7" x14ac:dyDescent="0.25">
      <c r="A50" s="8">
        <v>42713.287685185183</v>
      </c>
      <c r="B50" s="21" t="s">
        <v>212</v>
      </c>
      <c r="C50" s="21" t="s">
        <v>482</v>
      </c>
      <c r="D50" s="165">
        <v>1360000</v>
      </c>
      <c r="E50" s="21" t="s">
        <v>355</v>
      </c>
      <c r="F50" s="21" t="s">
        <v>356</v>
      </c>
      <c r="G50" s="8" t="str">
        <f t="shared" si="0"/>
        <v>SANTIZO D. EDY</v>
      </c>
    </row>
    <row r="51" spans="1:7" x14ac:dyDescent="0.25">
      <c r="A51" s="8">
        <v>42713.289687500001</v>
      </c>
      <c r="B51" s="21" t="s">
        <v>272</v>
      </c>
      <c r="C51" s="21" t="s">
        <v>547</v>
      </c>
      <c r="D51" s="165">
        <v>2010000</v>
      </c>
      <c r="E51" s="21" t="s">
        <v>324</v>
      </c>
      <c r="F51" s="21" t="s">
        <v>325</v>
      </c>
      <c r="G51" s="8" t="str">
        <f t="shared" si="0"/>
        <v>MAELZER KURT</v>
      </c>
    </row>
    <row r="52" spans="1:7" x14ac:dyDescent="0.25">
      <c r="A52" s="8">
        <v>42713.290127314816</v>
      </c>
      <c r="B52" s="21" t="s">
        <v>184</v>
      </c>
      <c r="C52" s="21" t="s">
        <v>479</v>
      </c>
      <c r="D52" s="165">
        <v>1760000</v>
      </c>
      <c r="E52" s="21" t="s">
        <v>351</v>
      </c>
      <c r="F52" s="21" t="s">
        <v>352</v>
      </c>
      <c r="G52" s="8" t="str">
        <f t="shared" si="0"/>
        <v>STRICKLAND EVAN</v>
      </c>
    </row>
    <row r="53" spans="1:7" x14ac:dyDescent="0.25">
      <c r="A53" s="8">
        <v>42713.291504629633</v>
      </c>
      <c r="B53" s="21" t="s">
        <v>207</v>
      </c>
      <c r="C53" s="21" t="s">
        <v>548</v>
      </c>
      <c r="D53" s="165">
        <v>1830000</v>
      </c>
      <c r="E53" s="21" t="s">
        <v>406</v>
      </c>
      <c r="F53" s="21" t="s">
        <v>407</v>
      </c>
      <c r="G53" s="8" t="str">
        <f t="shared" si="0"/>
        <v>YORK EDGAR</v>
      </c>
    </row>
    <row r="54" spans="1:7" x14ac:dyDescent="0.25">
      <c r="A54" s="8">
        <v>42713.298101851855</v>
      </c>
      <c r="B54" s="21" t="s">
        <v>297</v>
      </c>
      <c r="C54" s="21" t="s">
        <v>549</v>
      </c>
      <c r="D54" s="165">
        <v>2610000</v>
      </c>
      <c r="E54" s="21" t="s">
        <v>298</v>
      </c>
      <c r="F54" s="21" t="s">
        <v>299</v>
      </c>
      <c r="G54" s="8" t="str">
        <f t="shared" si="0"/>
        <v>MAGEE KENYA</v>
      </c>
    </row>
    <row r="55" spans="1:7" x14ac:dyDescent="0.25">
      <c r="A55" s="8">
        <v>42713.300706018519</v>
      </c>
      <c r="B55" s="21" t="s">
        <v>405</v>
      </c>
      <c r="C55" s="21" t="s">
        <v>550</v>
      </c>
      <c r="D55" s="165">
        <v>900000</v>
      </c>
      <c r="E55" s="21" t="s">
        <v>310</v>
      </c>
      <c r="F55" s="21" t="s">
        <v>311</v>
      </c>
      <c r="G55" s="8" t="str">
        <f t="shared" si="0"/>
        <v>ROCHA YAOTL</v>
      </c>
    </row>
    <row r="56" spans="1:7" x14ac:dyDescent="0.25">
      <c r="A56" s="8">
        <v>42713.302465277775</v>
      </c>
      <c r="B56" s="21" t="s">
        <v>273</v>
      </c>
      <c r="C56" s="21" t="s">
        <v>533</v>
      </c>
      <c r="D56" s="165">
        <v>1760000</v>
      </c>
      <c r="E56" s="21" t="s">
        <v>351</v>
      </c>
      <c r="F56" s="21" t="s">
        <v>352</v>
      </c>
      <c r="G56" s="8" t="str">
        <f t="shared" si="0"/>
        <v>STRICKLAND EVAN</v>
      </c>
    </row>
    <row r="57" spans="1:7" x14ac:dyDescent="0.25">
      <c r="A57" s="8">
        <v>42713.303530092591</v>
      </c>
      <c r="B57" s="21" t="s">
        <v>273</v>
      </c>
      <c r="C57" s="21" t="s">
        <v>481</v>
      </c>
      <c r="D57" s="165">
        <v>1760000</v>
      </c>
      <c r="E57" s="21" t="s">
        <v>351</v>
      </c>
      <c r="F57" s="21" t="s">
        <v>352</v>
      </c>
      <c r="G57" s="8" t="str">
        <f t="shared" si="0"/>
        <v>STRICKLAND EVAN</v>
      </c>
    </row>
    <row r="58" spans="1:7" x14ac:dyDescent="0.25">
      <c r="A58" s="8">
        <v>42713.309120370373</v>
      </c>
      <c r="B58" s="21" t="s">
        <v>154</v>
      </c>
      <c r="C58" s="21" t="s">
        <v>551</v>
      </c>
      <c r="D58" s="165">
        <v>1990000</v>
      </c>
      <c r="E58" s="21" t="s">
        <v>362</v>
      </c>
      <c r="F58" s="21" t="s">
        <v>404</v>
      </c>
      <c r="G58" s="8" t="str">
        <f t="shared" si="0"/>
        <v>DAVIS WENDY</v>
      </c>
    </row>
    <row r="59" spans="1:7" x14ac:dyDescent="0.25">
      <c r="A59" s="8">
        <v>42713.318020833336</v>
      </c>
      <c r="B59" s="21" t="s">
        <v>246</v>
      </c>
      <c r="C59" s="21" t="s">
        <v>552</v>
      </c>
      <c r="D59" s="165">
        <v>2100000</v>
      </c>
      <c r="E59" s="21" t="s">
        <v>353</v>
      </c>
      <c r="F59" s="21" t="s">
        <v>354</v>
      </c>
      <c r="G59" s="8" t="str">
        <f t="shared" si="0"/>
        <v>ISHMAEL JOSEPH</v>
      </c>
    </row>
    <row r="60" spans="1:7" x14ac:dyDescent="0.25">
      <c r="A60" s="8">
        <v>42713.318113425928</v>
      </c>
      <c r="B60" s="21" t="s">
        <v>184</v>
      </c>
      <c r="C60" s="21" t="s">
        <v>553</v>
      </c>
      <c r="D60" s="165">
        <v>1340000</v>
      </c>
      <c r="E60" s="21" t="s">
        <v>554</v>
      </c>
      <c r="F60" s="21" t="s">
        <v>555</v>
      </c>
      <c r="G60" s="8" t="str">
        <f t="shared" si="0"/>
        <v>BEAM ROSS</v>
      </c>
    </row>
    <row r="61" spans="1:7" x14ac:dyDescent="0.25">
      <c r="A61" s="8">
        <v>42713.318935185183</v>
      </c>
      <c r="B61" s="21" t="s">
        <v>209</v>
      </c>
      <c r="C61" s="21" t="s">
        <v>556</v>
      </c>
      <c r="D61" s="165">
        <v>1830000</v>
      </c>
      <c r="E61" s="21" t="s">
        <v>406</v>
      </c>
      <c r="F61" s="21" t="s">
        <v>407</v>
      </c>
      <c r="G61" s="8" t="str">
        <f t="shared" si="0"/>
        <v>YORK EDGAR</v>
      </c>
    </row>
    <row r="62" spans="1:7" x14ac:dyDescent="0.25">
      <c r="A62" s="8">
        <v>42713.321562500001</v>
      </c>
      <c r="B62" s="21" t="s">
        <v>214</v>
      </c>
      <c r="C62" s="21" t="s">
        <v>483</v>
      </c>
      <c r="D62" s="165">
        <v>2140000</v>
      </c>
      <c r="E62" s="21" t="s">
        <v>349</v>
      </c>
      <c r="F62" s="21" t="s">
        <v>350</v>
      </c>
      <c r="G62" s="8" t="str">
        <f t="shared" si="0"/>
        <v>ROBINSON KADDIBA</v>
      </c>
    </row>
    <row r="63" spans="1:7" x14ac:dyDescent="0.25">
      <c r="A63" s="8">
        <v>42713.325520833336</v>
      </c>
      <c r="B63" s="21" t="s">
        <v>269</v>
      </c>
      <c r="C63" s="21" t="s">
        <v>485</v>
      </c>
      <c r="D63" s="165">
        <v>2010000</v>
      </c>
      <c r="E63" s="21" t="s">
        <v>324</v>
      </c>
      <c r="F63" s="21" t="s">
        <v>325</v>
      </c>
      <c r="G63" s="8" t="str">
        <f t="shared" si="0"/>
        <v>MAELZER KURT</v>
      </c>
    </row>
    <row r="64" spans="1:7" x14ac:dyDescent="0.25">
      <c r="A64" s="27">
        <v>42713.329108796293</v>
      </c>
      <c r="B64" s="21" t="s">
        <v>205</v>
      </c>
      <c r="C64" s="21" t="s">
        <v>484</v>
      </c>
      <c r="D64" s="165">
        <v>1360000</v>
      </c>
      <c r="E64" s="21" t="s">
        <v>355</v>
      </c>
      <c r="F64" s="21" t="s">
        <v>356</v>
      </c>
      <c r="G64" s="8" t="str">
        <f t="shared" si="0"/>
        <v>SANTIZO D. EDY</v>
      </c>
    </row>
    <row r="65" spans="1:7" x14ac:dyDescent="0.25">
      <c r="A65" s="8">
        <v>42713.331574074073</v>
      </c>
      <c r="B65" s="21" t="s">
        <v>207</v>
      </c>
      <c r="C65" s="21" t="s">
        <v>557</v>
      </c>
      <c r="D65" s="165">
        <v>1830000</v>
      </c>
      <c r="E65" s="21" t="s">
        <v>406</v>
      </c>
      <c r="F65" s="21" t="s">
        <v>407</v>
      </c>
      <c r="G65" s="8" t="str">
        <f t="shared" si="0"/>
        <v>YORK EDGAR</v>
      </c>
    </row>
    <row r="66" spans="1:7" x14ac:dyDescent="0.25">
      <c r="A66" s="8">
        <v>42713.334502314814</v>
      </c>
      <c r="B66" s="21" t="s">
        <v>393</v>
      </c>
      <c r="C66" s="21" t="s">
        <v>558</v>
      </c>
      <c r="D66" s="165">
        <v>900000</v>
      </c>
      <c r="E66" s="21" t="s">
        <v>310</v>
      </c>
      <c r="F66" s="21" t="s">
        <v>311</v>
      </c>
      <c r="G66" s="8" t="str">
        <f t="shared" si="0"/>
        <v>ROCHA YAOTL</v>
      </c>
    </row>
    <row r="67" spans="1:7" x14ac:dyDescent="0.25">
      <c r="A67" s="8">
        <v>42713.338437500002</v>
      </c>
      <c r="B67" s="21" t="s">
        <v>273</v>
      </c>
      <c r="C67" s="21" t="s">
        <v>559</v>
      </c>
      <c r="D67" s="165">
        <v>1340000</v>
      </c>
      <c r="E67" s="21" t="s">
        <v>554</v>
      </c>
      <c r="F67" s="21" t="s">
        <v>555</v>
      </c>
      <c r="G67" s="8" t="str">
        <f t="shared" ref="G67:G130" si="1">E67&amp;" "&amp;F67</f>
        <v>BEAM ROSS</v>
      </c>
    </row>
    <row r="68" spans="1:7" x14ac:dyDescent="0.25">
      <c r="A68" s="8">
        <v>42713.345138888886</v>
      </c>
      <c r="B68" s="21" t="s">
        <v>260</v>
      </c>
      <c r="C68" s="21" t="s">
        <v>560</v>
      </c>
      <c r="D68" s="165">
        <v>2610000</v>
      </c>
      <c r="E68" s="21" t="s">
        <v>298</v>
      </c>
      <c r="F68" s="21" t="s">
        <v>299</v>
      </c>
      <c r="G68" s="8" t="str">
        <f t="shared" si="1"/>
        <v>MAGEE KENYA</v>
      </c>
    </row>
    <row r="69" spans="1:7" x14ac:dyDescent="0.25">
      <c r="A69" s="8">
        <v>42713.347893518519</v>
      </c>
      <c r="B69" s="21" t="s">
        <v>155</v>
      </c>
      <c r="C69" s="21" t="s">
        <v>561</v>
      </c>
      <c r="D69" s="165">
        <v>1990000</v>
      </c>
      <c r="E69" s="21" t="s">
        <v>362</v>
      </c>
      <c r="F69" s="21" t="s">
        <v>404</v>
      </c>
      <c r="G69" s="8" t="str">
        <f t="shared" si="1"/>
        <v>DAVIS WENDY</v>
      </c>
    </row>
    <row r="70" spans="1:7" x14ac:dyDescent="0.25">
      <c r="A70" s="8">
        <v>42713.350277777776</v>
      </c>
      <c r="B70" s="21" t="s">
        <v>235</v>
      </c>
      <c r="C70" s="21" t="s">
        <v>562</v>
      </c>
      <c r="D70" s="165">
        <v>2100000</v>
      </c>
      <c r="E70" s="21" t="s">
        <v>353</v>
      </c>
      <c r="F70" s="21" t="s">
        <v>354</v>
      </c>
      <c r="G70" s="8" t="str">
        <f t="shared" si="1"/>
        <v>ISHMAEL JOSEPH</v>
      </c>
    </row>
    <row r="71" spans="1:7" x14ac:dyDescent="0.25">
      <c r="A71" s="8">
        <v>42713.35260416667</v>
      </c>
      <c r="B71" s="21" t="s">
        <v>398</v>
      </c>
      <c r="C71" s="21" t="s">
        <v>563</v>
      </c>
      <c r="D71" s="165">
        <v>2140000</v>
      </c>
      <c r="E71" s="21" t="s">
        <v>349</v>
      </c>
      <c r="F71" s="21" t="s">
        <v>350</v>
      </c>
      <c r="G71" s="8" t="str">
        <f t="shared" si="1"/>
        <v>ROBINSON KADDIBA</v>
      </c>
    </row>
    <row r="72" spans="1:7" x14ac:dyDescent="0.25">
      <c r="A72" s="8">
        <v>42713.354456018518</v>
      </c>
      <c r="B72" s="21" t="s">
        <v>184</v>
      </c>
      <c r="C72" s="21" t="s">
        <v>564</v>
      </c>
      <c r="D72" s="165">
        <v>1340000</v>
      </c>
      <c r="E72" s="21" t="s">
        <v>554</v>
      </c>
      <c r="F72" s="21" t="s">
        <v>555</v>
      </c>
      <c r="G72" s="8" t="str">
        <f t="shared" si="1"/>
        <v>BEAM ROSS</v>
      </c>
    </row>
    <row r="73" spans="1:7" x14ac:dyDescent="0.25">
      <c r="A73" s="8">
        <v>42713.358055555553</v>
      </c>
      <c r="B73" s="21" t="s">
        <v>209</v>
      </c>
      <c r="C73" s="21" t="s">
        <v>565</v>
      </c>
      <c r="D73" s="165">
        <v>1830000</v>
      </c>
      <c r="E73" s="21" t="s">
        <v>406</v>
      </c>
      <c r="F73" s="21" t="s">
        <v>407</v>
      </c>
      <c r="G73" s="8" t="str">
        <f t="shared" si="1"/>
        <v>YORK EDGAR</v>
      </c>
    </row>
    <row r="74" spans="1:7" x14ac:dyDescent="0.25">
      <c r="A74" s="8">
        <v>42713.36146990741</v>
      </c>
      <c r="B74" s="21" t="s">
        <v>212</v>
      </c>
      <c r="C74" s="21" t="s">
        <v>566</v>
      </c>
      <c r="D74" s="165">
        <v>1360000</v>
      </c>
      <c r="E74" s="21" t="s">
        <v>355</v>
      </c>
      <c r="F74" s="21" t="s">
        <v>356</v>
      </c>
      <c r="G74" s="8" t="str">
        <f t="shared" si="1"/>
        <v>SANTIZO D. EDY</v>
      </c>
    </row>
    <row r="75" spans="1:7" x14ac:dyDescent="0.25">
      <c r="A75" s="8">
        <v>42713.361909722225</v>
      </c>
      <c r="B75" s="21" t="s">
        <v>272</v>
      </c>
      <c r="C75" s="21" t="s">
        <v>567</v>
      </c>
      <c r="D75" s="165">
        <v>2010000</v>
      </c>
      <c r="E75" s="21" t="s">
        <v>324</v>
      </c>
      <c r="F75" s="21" t="s">
        <v>325</v>
      </c>
      <c r="G75" s="8" t="str">
        <f t="shared" si="1"/>
        <v>MAELZER KURT</v>
      </c>
    </row>
    <row r="76" spans="1:7" x14ac:dyDescent="0.25">
      <c r="A76" s="8">
        <v>42713.373194444444</v>
      </c>
      <c r="B76" s="21" t="s">
        <v>207</v>
      </c>
      <c r="C76" s="21" t="s">
        <v>568</v>
      </c>
      <c r="D76" s="165">
        <v>1830000</v>
      </c>
      <c r="E76" s="21" t="s">
        <v>406</v>
      </c>
      <c r="F76" s="21" t="s">
        <v>407</v>
      </c>
      <c r="G76" s="8" t="str">
        <f t="shared" si="1"/>
        <v>YORK EDGAR</v>
      </c>
    </row>
    <row r="77" spans="1:7" x14ac:dyDescent="0.25">
      <c r="A77" s="8">
        <v>42713.373414351852</v>
      </c>
      <c r="B77" s="21" t="s">
        <v>405</v>
      </c>
      <c r="C77" s="21" t="s">
        <v>569</v>
      </c>
      <c r="D77" s="165">
        <v>900000</v>
      </c>
      <c r="E77" s="21" t="s">
        <v>310</v>
      </c>
      <c r="F77" s="21" t="s">
        <v>311</v>
      </c>
      <c r="G77" s="8" t="str">
        <f t="shared" si="1"/>
        <v>ROCHA YAOTL</v>
      </c>
    </row>
    <row r="78" spans="1:7" x14ac:dyDescent="0.25">
      <c r="A78" s="8">
        <v>42713.379525462966</v>
      </c>
      <c r="B78" s="21" t="s">
        <v>297</v>
      </c>
      <c r="C78" s="21" t="s">
        <v>486</v>
      </c>
      <c r="D78" s="165">
        <v>2610000</v>
      </c>
      <c r="E78" s="21" t="s">
        <v>298</v>
      </c>
      <c r="F78" s="21" t="s">
        <v>299</v>
      </c>
      <c r="G78" s="8" t="str">
        <f t="shared" si="1"/>
        <v>MAGEE KENYA</v>
      </c>
    </row>
    <row r="79" spans="1:7" x14ac:dyDescent="0.25">
      <c r="A79" s="8">
        <v>42713.383159722223</v>
      </c>
      <c r="B79" s="21" t="s">
        <v>154</v>
      </c>
      <c r="C79" s="21" t="s">
        <v>570</v>
      </c>
      <c r="D79" s="165">
        <v>1990000</v>
      </c>
      <c r="E79" s="21" t="s">
        <v>362</v>
      </c>
      <c r="F79" s="21" t="s">
        <v>404</v>
      </c>
      <c r="G79" s="8" t="str">
        <f t="shared" si="1"/>
        <v>DAVIS WENDY</v>
      </c>
    </row>
    <row r="80" spans="1:7" x14ac:dyDescent="0.25">
      <c r="A80" s="8">
        <v>42713.393136574072</v>
      </c>
      <c r="B80" s="21" t="s">
        <v>214</v>
      </c>
      <c r="C80" s="21" t="s">
        <v>571</v>
      </c>
      <c r="D80" s="165">
        <v>2140000</v>
      </c>
      <c r="E80" s="21" t="s">
        <v>349</v>
      </c>
      <c r="F80" s="21" t="s">
        <v>350</v>
      </c>
      <c r="G80" s="8" t="str">
        <f t="shared" si="1"/>
        <v>ROBINSON KADDIBA</v>
      </c>
    </row>
    <row r="81" spans="1:7" x14ac:dyDescent="0.25">
      <c r="A81" s="8">
        <v>42713.401458333334</v>
      </c>
      <c r="B81" s="21" t="s">
        <v>269</v>
      </c>
      <c r="C81" s="21" t="s">
        <v>572</v>
      </c>
      <c r="D81" s="165">
        <v>2010000</v>
      </c>
      <c r="E81" s="21" t="s">
        <v>324</v>
      </c>
      <c r="F81" s="21" t="s">
        <v>325</v>
      </c>
      <c r="G81" s="8" t="str">
        <f t="shared" si="1"/>
        <v>MAELZER KURT</v>
      </c>
    </row>
    <row r="82" spans="1:7" x14ac:dyDescent="0.25">
      <c r="A82" s="8">
        <v>42713.401898148149</v>
      </c>
      <c r="B82" s="21" t="s">
        <v>205</v>
      </c>
      <c r="C82" s="21" t="s">
        <v>573</v>
      </c>
      <c r="D82" s="165">
        <v>1360000</v>
      </c>
      <c r="E82" s="21" t="s">
        <v>355</v>
      </c>
      <c r="F82" s="21" t="s">
        <v>356</v>
      </c>
      <c r="G82" s="8" t="str">
        <f t="shared" si="1"/>
        <v>SANTIZO D. EDY</v>
      </c>
    </row>
    <row r="83" spans="1:7" x14ac:dyDescent="0.25">
      <c r="A83" s="8">
        <v>42713.402361111112</v>
      </c>
      <c r="B83" s="21" t="s">
        <v>209</v>
      </c>
      <c r="C83" s="21" t="s">
        <v>574</v>
      </c>
      <c r="D83" s="165">
        <v>1830000</v>
      </c>
      <c r="E83" s="21" t="s">
        <v>406</v>
      </c>
      <c r="F83" s="21" t="s">
        <v>407</v>
      </c>
      <c r="G83" s="8" t="str">
        <f t="shared" si="1"/>
        <v>YORK EDGAR</v>
      </c>
    </row>
    <row r="84" spans="1:7" x14ac:dyDescent="0.25">
      <c r="A84" s="8">
        <v>42713.402418981481</v>
      </c>
      <c r="B84" s="21" t="s">
        <v>393</v>
      </c>
      <c r="C84" s="21" t="s">
        <v>487</v>
      </c>
      <c r="D84" s="165">
        <v>900000</v>
      </c>
      <c r="E84" s="21" t="s">
        <v>310</v>
      </c>
      <c r="F84" s="21" t="s">
        <v>311</v>
      </c>
      <c r="G84" s="8" t="str">
        <f t="shared" si="1"/>
        <v>ROCHA YAOTL</v>
      </c>
    </row>
    <row r="85" spans="1:7" x14ac:dyDescent="0.25">
      <c r="A85" s="8">
        <v>42713.413472222222</v>
      </c>
      <c r="B85" s="21" t="s">
        <v>260</v>
      </c>
      <c r="C85" s="21" t="s">
        <v>575</v>
      </c>
      <c r="D85" s="165">
        <v>2610000</v>
      </c>
      <c r="E85" s="21" t="s">
        <v>298</v>
      </c>
      <c r="F85" s="21" t="s">
        <v>299</v>
      </c>
      <c r="G85" s="8" t="str">
        <f t="shared" si="1"/>
        <v>MAGEE KENYA</v>
      </c>
    </row>
    <row r="86" spans="1:7" x14ac:dyDescent="0.25">
      <c r="A86" s="8">
        <v>42713.414560185185</v>
      </c>
      <c r="B86" s="21" t="s">
        <v>207</v>
      </c>
      <c r="C86" s="21" t="s">
        <v>488</v>
      </c>
      <c r="D86" s="165">
        <v>1830000</v>
      </c>
      <c r="E86" s="21" t="s">
        <v>406</v>
      </c>
      <c r="F86" s="21" t="s">
        <v>407</v>
      </c>
      <c r="G86" s="8" t="str">
        <f t="shared" si="1"/>
        <v>YORK EDGAR</v>
      </c>
    </row>
    <row r="87" spans="1:7" x14ac:dyDescent="0.25">
      <c r="A87" s="8">
        <v>42713.421770833331</v>
      </c>
      <c r="B87" s="21" t="s">
        <v>155</v>
      </c>
      <c r="C87" s="21" t="s">
        <v>490</v>
      </c>
      <c r="D87" s="165">
        <v>1990000</v>
      </c>
      <c r="E87" s="21" t="s">
        <v>362</v>
      </c>
      <c r="F87" s="21" t="s">
        <v>404</v>
      </c>
      <c r="G87" s="8" t="str">
        <f t="shared" si="1"/>
        <v>DAVIS WENDY</v>
      </c>
    </row>
    <row r="88" spans="1:7" x14ac:dyDescent="0.25">
      <c r="A88" s="8">
        <v>42713.423206018517</v>
      </c>
      <c r="B88" s="21" t="s">
        <v>235</v>
      </c>
      <c r="C88" s="21" t="s">
        <v>576</v>
      </c>
      <c r="D88" s="165">
        <v>2100000</v>
      </c>
      <c r="E88" s="21" t="s">
        <v>353</v>
      </c>
      <c r="F88" s="21" t="s">
        <v>354</v>
      </c>
      <c r="G88" s="8" t="str">
        <f t="shared" si="1"/>
        <v>ISHMAEL JOSEPH</v>
      </c>
    </row>
    <row r="89" spans="1:7" x14ac:dyDescent="0.25">
      <c r="A89" s="8">
        <v>42713.432881944442</v>
      </c>
      <c r="B89" s="21" t="s">
        <v>398</v>
      </c>
      <c r="C89" s="21" t="s">
        <v>577</v>
      </c>
      <c r="D89" s="165">
        <v>2140000</v>
      </c>
      <c r="E89" s="21" t="s">
        <v>349</v>
      </c>
      <c r="F89" s="21" t="s">
        <v>350</v>
      </c>
      <c r="G89" s="8" t="str">
        <f t="shared" si="1"/>
        <v>ROBINSON KADDIBA</v>
      </c>
    </row>
    <row r="90" spans="1:7" x14ac:dyDescent="0.25">
      <c r="A90" s="8">
        <v>42713.433946759258</v>
      </c>
      <c r="B90" s="21" t="s">
        <v>212</v>
      </c>
      <c r="C90" s="21" t="s">
        <v>491</v>
      </c>
      <c r="D90" s="165">
        <v>1360000</v>
      </c>
      <c r="E90" s="21" t="s">
        <v>355</v>
      </c>
      <c r="F90" s="21" t="s">
        <v>356</v>
      </c>
      <c r="G90" s="8" t="str">
        <f t="shared" si="1"/>
        <v>SANTIZO D. EDY</v>
      </c>
    </row>
    <row r="91" spans="1:7" x14ac:dyDescent="0.25">
      <c r="A91" s="8">
        <v>42713.434976851851</v>
      </c>
      <c r="B91" s="21" t="s">
        <v>272</v>
      </c>
      <c r="C91" s="21" t="s">
        <v>578</v>
      </c>
      <c r="D91" s="165">
        <v>1340000</v>
      </c>
      <c r="E91" s="21" t="s">
        <v>554</v>
      </c>
      <c r="F91" s="21" t="s">
        <v>555</v>
      </c>
      <c r="G91" s="8" t="str">
        <f t="shared" si="1"/>
        <v>BEAM ROSS</v>
      </c>
    </row>
    <row r="92" spans="1:7" x14ac:dyDescent="0.25">
      <c r="A92" s="8">
        <v>42713.437094907407</v>
      </c>
      <c r="B92" s="21" t="s">
        <v>307</v>
      </c>
      <c r="C92" s="21" t="s">
        <v>489</v>
      </c>
      <c r="D92" s="165">
        <v>2230000</v>
      </c>
      <c r="E92" s="21" t="s">
        <v>357</v>
      </c>
      <c r="F92" s="21" t="s">
        <v>348</v>
      </c>
      <c r="G92" s="8" t="str">
        <f t="shared" si="1"/>
        <v>SMITH MICHAEL</v>
      </c>
    </row>
    <row r="93" spans="1:7" x14ac:dyDescent="0.25">
      <c r="A93" s="8">
        <v>42713.44394675926</v>
      </c>
      <c r="B93" s="21" t="s">
        <v>405</v>
      </c>
      <c r="C93" s="21" t="s">
        <v>579</v>
      </c>
      <c r="D93" s="165">
        <v>900000</v>
      </c>
      <c r="E93" s="21" t="s">
        <v>310</v>
      </c>
      <c r="F93" s="21" t="s">
        <v>311</v>
      </c>
      <c r="G93" s="8" t="str">
        <f t="shared" si="1"/>
        <v>ROCHA YAOTL</v>
      </c>
    </row>
    <row r="94" spans="1:7" x14ac:dyDescent="0.25">
      <c r="A94" s="8">
        <v>42713.444571759261</v>
      </c>
      <c r="B94" s="21" t="s">
        <v>209</v>
      </c>
      <c r="C94" s="21" t="s">
        <v>580</v>
      </c>
      <c r="D94" s="165">
        <v>1830000</v>
      </c>
      <c r="E94" s="21" t="s">
        <v>406</v>
      </c>
      <c r="F94" s="21" t="s">
        <v>407</v>
      </c>
      <c r="G94" s="8" t="str">
        <f t="shared" si="1"/>
        <v>YORK EDGAR</v>
      </c>
    </row>
    <row r="95" spans="1:7" x14ac:dyDescent="0.25">
      <c r="A95" s="8">
        <v>42713.4452662037</v>
      </c>
      <c r="B95" s="21" t="s">
        <v>297</v>
      </c>
      <c r="C95" s="21" t="s">
        <v>492</v>
      </c>
      <c r="D95" s="165">
        <v>2610000</v>
      </c>
      <c r="E95" s="21" t="s">
        <v>298</v>
      </c>
      <c r="F95" s="21" t="s">
        <v>299</v>
      </c>
      <c r="G95" s="8" t="str">
        <f t="shared" si="1"/>
        <v>MAGEE KENYA</v>
      </c>
    </row>
    <row r="96" spans="1:7" x14ac:dyDescent="0.25">
      <c r="A96" s="8">
        <v>42713.456365740742</v>
      </c>
      <c r="B96" s="21" t="s">
        <v>207</v>
      </c>
      <c r="C96" s="21" t="s">
        <v>581</v>
      </c>
      <c r="D96" s="165">
        <v>1830000</v>
      </c>
      <c r="E96" s="21" t="s">
        <v>406</v>
      </c>
      <c r="F96" s="21" t="s">
        <v>407</v>
      </c>
      <c r="G96" s="8" t="str">
        <f t="shared" si="1"/>
        <v>YORK EDGAR</v>
      </c>
    </row>
    <row r="97" spans="1:7" x14ac:dyDescent="0.25">
      <c r="A97" s="8">
        <v>42713.456365740742</v>
      </c>
      <c r="B97" s="21" t="s">
        <v>154</v>
      </c>
      <c r="C97" s="21" t="s">
        <v>582</v>
      </c>
      <c r="D97" s="165">
        <v>880000</v>
      </c>
      <c r="E97" s="21" t="s">
        <v>408</v>
      </c>
      <c r="F97" s="21" t="s">
        <v>348</v>
      </c>
      <c r="G97" s="8" t="str">
        <f t="shared" si="1"/>
        <v>STEWART MICHAEL</v>
      </c>
    </row>
    <row r="98" spans="1:7" x14ac:dyDescent="0.25">
      <c r="A98" s="8">
        <v>42713.460520833331</v>
      </c>
      <c r="B98" s="21" t="s">
        <v>246</v>
      </c>
      <c r="C98" s="21" t="s">
        <v>583</v>
      </c>
      <c r="D98" s="165">
        <v>2100000</v>
      </c>
      <c r="E98" s="21" t="s">
        <v>353</v>
      </c>
      <c r="F98" s="21" t="s">
        <v>354</v>
      </c>
      <c r="G98" s="8" t="str">
        <f t="shared" si="1"/>
        <v>ISHMAEL JOSEPH</v>
      </c>
    </row>
    <row r="99" spans="1:7" x14ac:dyDescent="0.25">
      <c r="A99" s="8">
        <v>42713.465717592589</v>
      </c>
      <c r="B99" s="21" t="s">
        <v>214</v>
      </c>
      <c r="C99" s="21" t="s">
        <v>584</v>
      </c>
      <c r="D99" s="165">
        <v>2270000</v>
      </c>
      <c r="E99" s="21" t="s">
        <v>326</v>
      </c>
      <c r="F99" s="21" t="s">
        <v>327</v>
      </c>
      <c r="G99" s="8" t="str">
        <f t="shared" si="1"/>
        <v>BROWN JACOB</v>
      </c>
    </row>
    <row r="100" spans="1:7" x14ac:dyDescent="0.25">
      <c r="A100" s="8">
        <v>42713.469328703701</v>
      </c>
      <c r="B100" s="21" t="s">
        <v>237</v>
      </c>
      <c r="C100" s="21" t="s">
        <v>585</v>
      </c>
      <c r="D100" s="165">
        <v>1240000</v>
      </c>
      <c r="E100" s="21" t="s">
        <v>586</v>
      </c>
      <c r="F100" s="21" t="s">
        <v>587</v>
      </c>
      <c r="G100" s="8" t="str">
        <f t="shared" si="1"/>
        <v>GRASTON MATHEU</v>
      </c>
    </row>
    <row r="101" spans="1:7" x14ac:dyDescent="0.25">
      <c r="A101" s="8">
        <v>42713.474722222221</v>
      </c>
      <c r="B101" s="21" t="s">
        <v>269</v>
      </c>
      <c r="C101" s="21" t="s">
        <v>588</v>
      </c>
      <c r="D101" s="165">
        <v>1340000</v>
      </c>
      <c r="E101" s="21" t="s">
        <v>554</v>
      </c>
      <c r="F101" s="21" t="s">
        <v>555</v>
      </c>
      <c r="G101" s="8" t="str">
        <f t="shared" si="1"/>
        <v>BEAM ROSS</v>
      </c>
    </row>
    <row r="102" spans="1:7" x14ac:dyDescent="0.25">
      <c r="A102" s="8">
        <v>42713.476909722223</v>
      </c>
      <c r="B102" s="21" t="s">
        <v>205</v>
      </c>
      <c r="C102" s="21" t="s">
        <v>589</v>
      </c>
      <c r="D102" s="165">
        <v>940000</v>
      </c>
      <c r="E102" s="21" t="s">
        <v>300</v>
      </c>
      <c r="F102" s="21" t="s">
        <v>301</v>
      </c>
      <c r="G102" s="8" t="str">
        <f t="shared" si="1"/>
        <v>BONDS REYNALDO</v>
      </c>
    </row>
    <row r="103" spans="1:7" x14ac:dyDescent="0.25">
      <c r="A103" s="8">
        <v>42713.482916666668</v>
      </c>
      <c r="B103" s="21" t="s">
        <v>393</v>
      </c>
      <c r="C103" s="21" t="s">
        <v>590</v>
      </c>
      <c r="D103" s="165">
        <v>900000</v>
      </c>
      <c r="E103" s="21" t="s">
        <v>310</v>
      </c>
      <c r="F103" s="21" t="s">
        <v>311</v>
      </c>
      <c r="G103" s="8" t="str">
        <f t="shared" si="1"/>
        <v>ROCHA YAOTL</v>
      </c>
    </row>
    <row r="104" spans="1:7" x14ac:dyDescent="0.25">
      <c r="A104" s="8">
        <v>42713.48296296296</v>
      </c>
      <c r="B104" s="21" t="s">
        <v>209</v>
      </c>
      <c r="C104" s="21" t="s">
        <v>591</v>
      </c>
      <c r="D104" s="165">
        <v>1830000</v>
      </c>
      <c r="E104" s="21" t="s">
        <v>406</v>
      </c>
      <c r="F104" s="21" t="s">
        <v>407</v>
      </c>
      <c r="G104" s="8" t="str">
        <f t="shared" si="1"/>
        <v>YORK EDGAR</v>
      </c>
    </row>
    <row r="105" spans="1:7" x14ac:dyDescent="0.25">
      <c r="A105" s="8">
        <v>42713.484618055554</v>
      </c>
      <c r="B105" s="21" t="s">
        <v>307</v>
      </c>
      <c r="C105" s="21" t="s">
        <v>592</v>
      </c>
      <c r="D105" s="165">
        <v>2420000</v>
      </c>
      <c r="E105" s="21" t="s">
        <v>217</v>
      </c>
      <c r="F105" s="21" t="s">
        <v>593</v>
      </c>
      <c r="G105" s="8" t="str">
        <f t="shared" si="1"/>
        <v>HOLCOMB KAMDEN</v>
      </c>
    </row>
    <row r="106" spans="1:7" x14ac:dyDescent="0.25">
      <c r="A106" s="8">
        <v>42713.488483796296</v>
      </c>
      <c r="B106" s="21" t="s">
        <v>260</v>
      </c>
      <c r="C106" s="21" t="s">
        <v>594</v>
      </c>
      <c r="D106" s="165">
        <v>2040000</v>
      </c>
      <c r="E106" s="21" t="s">
        <v>328</v>
      </c>
      <c r="F106" s="21" t="s">
        <v>329</v>
      </c>
      <c r="G106" s="8" t="str">
        <f t="shared" si="1"/>
        <v>MOSES BRADLEY</v>
      </c>
    </row>
    <row r="107" spans="1:7" x14ac:dyDescent="0.25">
      <c r="A107" s="8">
        <v>42713.495810185188</v>
      </c>
      <c r="B107" s="21" t="s">
        <v>155</v>
      </c>
      <c r="C107" s="21" t="s">
        <v>595</v>
      </c>
      <c r="D107" s="165">
        <v>880000</v>
      </c>
      <c r="E107" s="21" t="s">
        <v>408</v>
      </c>
      <c r="F107" s="21" t="s">
        <v>348</v>
      </c>
      <c r="G107" s="8" t="str">
        <f t="shared" si="1"/>
        <v>STEWART MICHAEL</v>
      </c>
    </row>
    <row r="108" spans="1:7" x14ac:dyDescent="0.25">
      <c r="A108" s="8">
        <v>42713.498055555552</v>
      </c>
      <c r="B108" s="21" t="s">
        <v>235</v>
      </c>
      <c r="C108" s="21" t="s">
        <v>596</v>
      </c>
      <c r="D108" s="165">
        <v>2420000</v>
      </c>
      <c r="E108" s="21" t="s">
        <v>217</v>
      </c>
      <c r="F108" s="21" t="s">
        <v>593</v>
      </c>
      <c r="G108" s="8" t="str">
        <f t="shared" si="1"/>
        <v>HOLCOMB KAMDEN</v>
      </c>
    </row>
    <row r="109" spans="1:7" x14ac:dyDescent="0.25">
      <c r="A109" s="8">
        <v>42713.499201388891</v>
      </c>
      <c r="B109" s="21" t="s">
        <v>207</v>
      </c>
      <c r="C109" s="21" t="s">
        <v>597</v>
      </c>
      <c r="D109" s="165">
        <v>1830000</v>
      </c>
      <c r="E109" s="21" t="s">
        <v>406</v>
      </c>
      <c r="F109" s="21" t="s">
        <v>407</v>
      </c>
      <c r="G109" s="8" t="str">
        <f t="shared" si="1"/>
        <v>YORK EDGAR</v>
      </c>
    </row>
    <row r="110" spans="1:7" x14ac:dyDescent="0.25">
      <c r="A110" s="8">
        <v>42713.502916666665</v>
      </c>
      <c r="B110" s="21" t="s">
        <v>398</v>
      </c>
      <c r="C110" s="21" t="s">
        <v>494</v>
      </c>
      <c r="D110" s="165">
        <v>2270000</v>
      </c>
      <c r="E110" s="21" t="s">
        <v>326</v>
      </c>
      <c r="F110" s="21" t="s">
        <v>327</v>
      </c>
      <c r="G110" s="8" t="str">
        <f t="shared" si="1"/>
        <v>BROWN JACOB</v>
      </c>
    </row>
    <row r="111" spans="1:7" x14ac:dyDescent="0.25">
      <c r="A111" s="8">
        <v>42713.506574074076</v>
      </c>
      <c r="B111" s="21" t="s">
        <v>272</v>
      </c>
      <c r="C111" s="21" t="s">
        <v>493</v>
      </c>
      <c r="D111" s="165">
        <v>2220000</v>
      </c>
      <c r="E111" s="21" t="s">
        <v>359</v>
      </c>
      <c r="F111" s="21" t="s">
        <v>360</v>
      </c>
      <c r="G111" s="8" t="str">
        <f t="shared" si="1"/>
        <v>HILLS DUSTIN</v>
      </c>
    </row>
    <row r="112" spans="1:7" x14ac:dyDescent="0.25">
      <c r="A112" s="8">
        <v>42713.509421296294</v>
      </c>
      <c r="B112" s="21" t="s">
        <v>237</v>
      </c>
      <c r="C112" s="21" t="s">
        <v>598</v>
      </c>
      <c r="D112" s="165">
        <v>2100000</v>
      </c>
      <c r="E112" s="21" t="s">
        <v>353</v>
      </c>
      <c r="F112" s="21" t="s">
        <v>354</v>
      </c>
      <c r="G112" s="8" t="str">
        <f t="shared" si="1"/>
        <v>ISHMAEL JOSEPH</v>
      </c>
    </row>
    <row r="113" spans="1:7" x14ac:dyDescent="0.25">
      <c r="A113" s="8">
        <v>42713.511712962965</v>
      </c>
      <c r="B113" s="21" t="s">
        <v>212</v>
      </c>
      <c r="C113" s="21" t="s">
        <v>599</v>
      </c>
      <c r="D113" s="165">
        <v>940000</v>
      </c>
      <c r="E113" s="21" t="s">
        <v>300</v>
      </c>
      <c r="F113" s="21" t="s">
        <v>301</v>
      </c>
      <c r="G113" s="8" t="str">
        <f t="shared" si="1"/>
        <v>BONDS REYNALDO</v>
      </c>
    </row>
    <row r="114" spans="1:7" x14ac:dyDescent="0.25">
      <c r="A114" s="8">
        <v>42713.518888888888</v>
      </c>
      <c r="B114" s="21" t="s">
        <v>405</v>
      </c>
      <c r="C114" s="21" t="s">
        <v>495</v>
      </c>
      <c r="D114" s="165">
        <v>2440000</v>
      </c>
      <c r="E114" s="21" t="s">
        <v>409</v>
      </c>
      <c r="F114" s="21" t="s">
        <v>410</v>
      </c>
      <c r="G114" s="8" t="str">
        <f t="shared" si="1"/>
        <v>LOPES KIMBERLY</v>
      </c>
    </row>
    <row r="115" spans="1:7" x14ac:dyDescent="0.25">
      <c r="A115" s="8">
        <v>42713.526018518518</v>
      </c>
      <c r="B115" s="21" t="s">
        <v>297</v>
      </c>
      <c r="C115" s="21" t="s">
        <v>600</v>
      </c>
      <c r="D115" s="165">
        <v>2040000</v>
      </c>
      <c r="E115" s="21" t="s">
        <v>328</v>
      </c>
      <c r="F115" s="21" t="s">
        <v>329</v>
      </c>
      <c r="G115" s="8" t="str">
        <f t="shared" si="1"/>
        <v>MOSES BRADLEY</v>
      </c>
    </row>
    <row r="116" spans="1:7" x14ac:dyDescent="0.25">
      <c r="A116" s="8">
        <v>42713.526307870372</v>
      </c>
      <c r="B116" s="21" t="s">
        <v>209</v>
      </c>
      <c r="C116" s="21" t="s">
        <v>601</v>
      </c>
      <c r="D116" s="165">
        <v>1830000</v>
      </c>
      <c r="E116" s="21" t="s">
        <v>406</v>
      </c>
      <c r="F116" s="21" t="s">
        <v>407</v>
      </c>
      <c r="G116" s="8" t="str">
        <f t="shared" si="1"/>
        <v>YORK EDGAR</v>
      </c>
    </row>
    <row r="117" spans="1:7" x14ac:dyDescent="0.25">
      <c r="A117" s="8">
        <v>42713.52920138889</v>
      </c>
      <c r="B117" s="21" t="s">
        <v>154</v>
      </c>
      <c r="C117" s="21" t="s">
        <v>602</v>
      </c>
      <c r="D117" s="165">
        <v>880000</v>
      </c>
      <c r="E117" s="21" t="s">
        <v>408</v>
      </c>
      <c r="F117" s="21" t="s">
        <v>348</v>
      </c>
      <c r="G117" s="8" t="str">
        <f t="shared" si="1"/>
        <v>STEWART MICHAEL</v>
      </c>
    </row>
    <row r="118" spans="1:7" x14ac:dyDescent="0.25">
      <c r="A118" s="8">
        <v>42713.534756944442</v>
      </c>
      <c r="B118" s="21" t="s">
        <v>246</v>
      </c>
      <c r="C118" s="21" t="s">
        <v>498</v>
      </c>
      <c r="D118" s="165">
        <v>2420000</v>
      </c>
      <c r="E118" s="21" t="s">
        <v>217</v>
      </c>
      <c r="F118" s="21" t="s">
        <v>593</v>
      </c>
      <c r="G118" s="8" t="str">
        <f t="shared" si="1"/>
        <v>HOLCOMB KAMDEN</v>
      </c>
    </row>
    <row r="119" spans="1:7" x14ac:dyDescent="0.25">
      <c r="A119" s="8">
        <v>42713.538587962961</v>
      </c>
      <c r="B119" s="21" t="s">
        <v>269</v>
      </c>
      <c r="C119" s="21" t="s">
        <v>497</v>
      </c>
      <c r="D119" s="165">
        <v>2220000</v>
      </c>
      <c r="E119" s="21" t="s">
        <v>359</v>
      </c>
      <c r="F119" s="21" t="s">
        <v>360</v>
      </c>
      <c r="G119" s="8" t="str">
        <f t="shared" si="1"/>
        <v>HILLS DUSTIN</v>
      </c>
    </row>
    <row r="120" spans="1:7" x14ac:dyDescent="0.25">
      <c r="A120" s="8">
        <v>42713.540486111109</v>
      </c>
      <c r="B120" s="21" t="s">
        <v>214</v>
      </c>
      <c r="C120" s="21" t="s">
        <v>603</v>
      </c>
      <c r="D120" s="165">
        <v>2270000</v>
      </c>
      <c r="E120" s="21" t="s">
        <v>326</v>
      </c>
      <c r="F120" s="21" t="s">
        <v>327</v>
      </c>
      <c r="G120" s="8" t="str">
        <f t="shared" si="1"/>
        <v>BROWN JACOB</v>
      </c>
    </row>
    <row r="121" spans="1:7" x14ac:dyDescent="0.25">
      <c r="A121" s="8">
        <v>42713.54892361111</v>
      </c>
      <c r="B121" s="21" t="s">
        <v>205</v>
      </c>
      <c r="C121" s="21" t="s">
        <v>604</v>
      </c>
      <c r="D121" s="165">
        <v>940000</v>
      </c>
      <c r="E121" s="21" t="s">
        <v>300</v>
      </c>
      <c r="F121" s="21" t="s">
        <v>301</v>
      </c>
      <c r="G121" s="8" t="str">
        <f t="shared" si="1"/>
        <v>BONDS REYNALDO</v>
      </c>
    </row>
    <row r="122" spans="1:7" x14ac:dyDescent="0.25">
      <c r="A122" s="8">
        <v>42713.550555555557</v>
      </c>
      <c r="B122" s="26" t="s">
        <v>393</v>
      </c>
      <c r="C122" s="21" t="s">
        <v>605</v>
      </c>
      <c r="D122" s="165">
        <v>2440000</v>
      </c>
      <c r="E122" s="21" t="s">
        <v>409</v>
      </c>
      <c r="F122" s="21" t="s">
        <v>410</v>
      </c>
      <c r="G122" s="8" t="str">
        <f t="shared" si="1"/>
        <v>LOPES KIMBERLY</v>
      </c>
    </row>
    <row r="123" spans="1:7" x14ac:dyDescent="0.25">
      <c r="A123" s="8">
        <v>42713.550625000003</v>
      </c>
      <c r="B123" s="21" t="s">
        <v>284</v>
      </c>
      <c r="C123" s="21" t="s">
        <v>606</v>
      </c>
      <c r="D123" s="165">
        <v>330000</v>
      </c>
      <c r="E123" s="21" t="s">
        <v>607</v>
      </c>
      <c r="F123" s="21" t="s">
        <v>608</v>
      </c>
      <c r="G123" s="8" t="str">
        <f t="shared" si="1"/>
        <v>PELLITIER GEORGE</v>
      </c>
    </row>
    <row r="124" spans="1:7" x14ac:dyDescent="0.25">
      <c r="A124" s="8">
        <v>42713.551168981481</v>
      </c>
      <c r="B124" s="21" t="s">
        <v>207</v>
      </c>
      <c r="C124" s="21" t="s">
        <v>496</v>
      </c>
      <c r="D124" s="165">
        <v>2020000</v>
      </c>
      <c r="E124" s="21" t="s">
        <v>358</v>
      </c>
      <c r="F124" s="21" t="s">
        <v>275</v>
      </c>
      <c r="G124" s="8" t="str">
        <f t="shared" si="1"/>
        <v>SHOOK JOHN</v>
      </c>
    </row>
    <row r="125" spans="1:7" x14ac:dyDescent="0.25">
      <c r="A125" s="8">
        <v>42713.560115740744</v>
      </c>
      <c r="B125" s="21" t="s">
        <v>260</v>
      </c>
      <c r="C125" s="21" t="s">
        <v>609</v>
      </c>
      <c r="D125" s="165">
        <v>2040000</v>
      </c>
      <c r="E125" s="21" t="s">
        <v>328</v>
      </c>
      <c r="F125" s="21" t="s">
        <v>329</v>
      </c>
      <c r="G125" s="8" t="str">
        <f t="shared" si="1"/>
        <v>MOSES BRADLEY</v>
      </c>
    </row>
    <row r="126" spans="1:7" x14ac:dyDescent="0.25">
      <c r="A126" s="8">
        <v>42713.56821759259</v>
      </c>
      <c r="B126" s="21" t="s">
        <v>155</v>
      </c>
      <c r="C126" s="21" t="s">
        <v>610</v>
      </c>
      <c r="D126" s="165">
        <v>880000</v>
      </c>
      <c r="E126" s="21" t="s">
        <v>408</v>
      </c>
      <c r="F126" s="21" t="s">
        <v>348</v>
      </c>
      <c r="G126" s="8" t="str">
        <f t="shared" si="1"/>
        <v>STEWART MICHAEL</v>
      </c>
    </row>
    <row r="127" spans="1:7" x14ac:dyDescent="0.25">
      <c r="A127" s="8">
        <v>42713.568831018521</v>
      </c>
      <c r="B127" s="21" t="s">
        <v>209</v>
      </c>
      <c r="C127" s="21" t="s">
        <v>611</v>
      </c>
      <c r="D127" s="165">
        <v>2020000</v>
      </c>
      <c r="E127" s="21" t="s">
        <v>358</v>
      </c>
      <c r="F127" s="21" t="s">
        <v>275</v>
      </c>
      <c r="G127" s="8" t="str">
        <f t="shared" si="1"/>
        <v>SHOOK JOHN</v>
      </c>
    </row>
    <row r="128" spans="1:7" x14ac:dyDescent="0.25">
      <c r="A128" s="8">
        <v>42713.570902777778</v>
      </c>
      <c r="B128" s="21" t="s">
        <v>235</v>
      </c>
      <c r="C128" s="21" t="s">
        <v>500</v>
      </c>
      <c r="D128" s="165">
        <v>1820000</v>
      </c>
      <c r="E128" s="21" t="s">
        <v>612</v>
      </c>
      <c r="F128" s="21" t="s">
        <v>613</v>
      </c>
      <c r="G128" s="8" t="str">
        <f t="shared" si="1"/>
        <v>ADANE ELSHADAY</v>
      </c>
    </row>
    <row r="129" spans="1:7" x14ac:dyDescent="0.25">
      <c r="A129" s="8">
        <v>42713.572592592594</v>
      </c>
      <c r="B129" s="21" t="s">
        <v>398</v>
      </c>
      <c r="C129" s="21" t="s">
        <v>499</v>
      </c>
      <c r="D129" s="165">
        <v>2270000</v>
      </c>
      <c r="E129" s="21" t="s">
        <v>326</v>
      </c>
      <c r="F129" s="21" t="s">
        <v>327</v>
      </c>
      <c r="G129" s="8" t="str">
        <f t="shared" si="1"/>
        <v>BROWN JACOB</v>
      </c>
    </row>
    <row r="130" spans="1:7" x14ac:dyDescent="0.25">
      <c r="A130" s="8">
        <v>42713.578796296293</v>
      </c>
      <c r="B130" s="21" t="s">
        <v>272</v>
      </c>
      <c r="C130" s="21" t="s">
        <v>614</v>
      </c>
      <c r="D130" s="165">
        <v>2220000</v>
      </c>
      <c r="E130" s="21" t="s">
        <v>359</v>
      </c>
      <c r="F130" s="21" t="s">
        <v>360</v>
      </c>
      <c r="G130" s="8" t="str">
        <f t="shared" si="1"/>
        <v>HILLS DUSTIN</v>
      </c>
    </row>
    <row r="131" spans="1:7" x14ac:dyDescent="0.25">
      <c r="A131" s="8">
        <v>42713.582604166666</v>
      </c>
      <c r="B131" s="21" t="s">
        <v>212</v>
      </c>
      <c r="C131" s="21" t="s">
        <v>615</v>
      </c>
      <c r="D131" s="165">
        <v>940000</v>
      </c>
      <c r="E131" s="21" t="s">
        <v>300</v>
      </c>
      <c r="F131" s="21" t="s">
        <v>301</v>
      </c>
      <c r="G131" s="8" t="str">
        <f t="shared" ref="G131:G194" si="2">E131&amp;" "&amp;F131</f>
        <v>BONDS REYNALDO</v>
      </c>
    </row>
    <row r="132" spans="1:7" x14ac:dyDescent="0.25">
      <c r="A132" s="8">
        <v>42713.587129629632</v>
      </c>
      <c r="B132" s="21" t="s">
        <v>284</v>
      </c>
      <c r="C132" s="21" t="s">
        <v>606</v>
      </c>
      <c r="D132" s="165">
        <v>330000</v>
      </c>
      <c r="E132" s="21" t="s">
        <v>607</v>
      </c>
      <c r="F132" s="21" t="s">
        <v>608</v>
      </c>
      <c r="G132" s="8" t="str">
        <f t="shared" si="2"/>
        <v>PELLITIER GEORGE</v>
      </c>
    </row>
    <row r="133" spans="1:7" x14ac:dyDescent="0.25">
      <c r="A133" s="8">
        <v>42713.58902777778</v>
      </c>
      <c r="B133" s="21" t="s">
        <v>405</v>
      </c>
      <c r="C133" s="21" t="s">
        <v>501</v>
      </c>
      <c r="D133" s="165">
        <v>2440000</v>
      </c>
      <c r="E133" s="21" t="s">
        <v>409</v>
      </c>
      <c r="F133" s="21" t="s">
        <v>410</v>
      </c>
      <c r="G133" s="8" t="str">
        <f t="shared" si="2"/>
        <v>LOPES KIMBERLY</v>
      </c>
    </row>
    <row r="134" spans="1:7" x14ac:dyDescent="0.25">
      <c r="A134" s="8">
        <v>42713.594004629631</v>
      </c>
      <c r="B134" s="21" t="s">
        <v>207</v>
      </c>
      <c r="C134" s="21" t="s">
        <v>616</v>
      </c>
      <c r="D134" s="165">
        <v>2020000</v>
      </c>
      <c r="E134" s="21" t="s">
        <v>358</v>
      </c>
      <c r="F134" s="21" t="s">
        <v>275</v>
      </c>
      <c r="G134" s="8" t="str">
        <f t="shared" si="2"/>
        <v>SHOOK JOHN</v>
      </c>
    </row>
    <row r="135" spans="1:7" x14ac:dyDescent="0.25">
      <c r="A135" s="8">
        <v>42713.594699074078</v>
      </c>
      <c r="B135" s="21" t="s">
        <v>297</v>
      </c>
      <c r="C135" s="21" t="s">
        <v>502</v>
      </c>
      <c r="D135" s="165">
        <v>2040000</v>
      </c>
      <c r="E135" s="21" t="s">
        <v>328</v>
      </c>
      <c r="F135" s="21" t="s">
        <v>329</v>
      </c>
      <c r="G135" s="8" t="str">
        <f t="shared" si="2"/>
        <v>MOSES BRADLEY</v>
      </c>
    </row>
    <row r="136" spans="1:7" x14ac:dyDescent="0.25">
      <c r="A136" s="8">
        <v>42713.600844907407</v>
      </c>
      <c r="B136" s="21" t="s">
        <v>154</v>
      </c>
      <c r="C136" s="21" t="s">
        <v>617</v>
      </c>
      <c r="D136" s="165">
        <v>880000</v>
      </c>
      <c r="E136" s="21" t="s">
        <v>408</v>
      </c>
      <c r="F136" s="21" t="s">
        <v>348</v>
      </c>
      <c r="G136" s="8" t="str">
        <f t="shared" si="2"/>
        <v>STEWART MICHAEL</v>
      </c>
    </row>
    <row r="137" spans="1:7" x14ac:dyDescent="0.25">
      <c r="A137" s="8">
        <v>42713.603958333333</v>
      </c>
      <c r="B137" s="21" t="s">
        <v>246</v>
      </c>
      <c r="C137" s="21" t="s">
        <v>503</v>
      </c>
      <c r="D137" s="165">
        <v>1820000</v>
      </c>
      <c r="E137" s="21" t="s">
        <v>612</v>
      </c>
      <c r="F137" s="21" t="s">
        <v>613</v>
      </c>
      <c r="G137" s="8" t="str">
        <f t="shared" si="2"/>
        <v>ADANE ELSHADAY</v>
      </c>
    </row>
    <row r="138" spans="1:7" x14ac:dyDescent="0.25">
      <c r="A138" s="8">
        <v>42713.610115740739</v>
      </c>
      <c r="B138" s="21" t="s">
        <v>209</v>
      </c>
      <c r="C138" s="21" t="s">
        <v>618</v>
      </c>
      <c r="D138" s="165">
        <v>2020000</v>
      </c>
      <c r="E138" s="21" t="s">
        <v>358</v>
      </c>
      <c r="F138" s="21" t="s">
        <v>275</v>
      </c>
      <c r="G138" s="8" t="str">
        <f t="shared" si="2"/>
        <v>SHOOK JOHN</v>
      </c>
    </row>
    <row r="139" spans="1:7" x14ac:dyDescent="0.25">
      <c r="A139" s="8">
        <v>42713.610381944447</v>
      </c>
      <c r="B139" s="21" t="s">
        <v>269</v>
      </c>
      <c r="C139" s="21" t="s">
        <v>619</v>
      </c>
      <c r="D139" s="165">
        <v>2220000</v>
      </c>
      <c r="E139" s="21" t="s">
        <v>359</v>
      </c>
      <c r="F139" s="21" t="s">
        <v>360</v>
      </c>
      <c r="G139" s="8" t="str">
        <f t="shared" si="2"/>
        <v>HILLS DUSTIN</v>
      </c>
    </row>
    <row r="140" spans="1:7" x14ac:dyDescent="0.25">
      <c r="A140" s="8">
        <v>42713.611967592595</v>
      </c>
      <c r="B140" s="21" t="s">
        <v>214</v>
      </c>
      <c r="C140" s="21" t="s">
        <v>620</v>
      </c>
      <c r="D140" s="165">
        <v>2270000</v>
      </c>
      <c r="E140" s="21" t="s">
        <v>326</v>
      </c>
      <c r="F140" s="21" t="s">
        <v>327</v>
      </c>
      <c r="G140" s="8" t="str">
        <f t="shared" si="2"/>
        <v>BROWN JACOB</v>
      </c>
    </row>
    <row r="141" spans="1:7" x14ac:dyDescent="0.25">
      <c r="A141" s="8">
        <v>42713.621678240743</v>
      </c>
      <c r="B141" s="21" t="s">
        <v>205</v>
      </c>
      <c r="C141" s="21" t="s">
        <v>621</v>
      </c>
      <c r="D141" s="165">
        <v>940000</v>
      </c>
      <c r="E141" s="21" t="s">
        <v>300</v>
      </c>
      <c r="F141" s="21" t="s">
        <v>301</v>
      </c>
      <c r="G141" s="8" t="str">
        <f t="shared" si="2"/>
        <v>BONDS REYNALDO</v>
      </c>
    </row>
    <row r="142" spans="1:7" x14ac:dyDescent="0.25">
      <c r="A142" s="8">
        <v>42713.625162037039</v>
      </c>
      <c r="B142" s="21" t="s">
        <v>393</v>
      </c>
      <c r="C142" s="21" t="s">
        <v>622</v>
      </c>
      <c r="D142" s="165">
        <v>2440000</v>
      </c>
      <c r="E142" s="21" t="s">
        <v>409</v>
      </c>
      <c r="F142" s="21" t="s">
        <v>410</v>
      </c>
      <c r="G142" s="8" t="str">
        <f t="shared" si="2"/>
        <v>LOPES KIMBERLY</v>
      </c>
    </row>
    <row r="143" spans="1:7" x14ac:dyDescent="0.25">
      <c r="A143" s="8">
        <v>42713.632280092592</v>
      </c>
      <c r="B143" s="21" t="s">
        <v>260</v>
      </c>
      <c r="C143" s="21" t="s">
        <v>505</v>
      </c>
      <c r="D143" s="165">
        <v>2040000</v>
      </c>
      <c r="E143" s="21" t="s">
        <v>328</v>
      </c>
      <c r="F143" s="21" t="s">
        <v>329</v>
      </c>
      <c r="G143" s="8" t="str">
        <f t="shared" si="2"/>
        <v>MOSES BRADLEY</v>
      </c>
    </row>
    <row r="144" spans="1:7" x14ac:dyDescent="0.25">
      <c r="A144" s="8">
        <v>42713.638148148151</v>
      </c>
      <c r="B144" s="21" t="s">
        <v>207</v>
      </c>
      <c r="C144" s="21" t="s">
        <v>623</v>
      </c>
      <c r="D144" s="165">
        <v>1540000</v>
      </c>
      <c r="E144" s="21" t="s">
        <v>302</v>
      </c>
      <c r="F144" s="21" t="s">
        <v>303</v>
      </c>
      <c r="G144" s="8" t="str">
        <f t="shared" si="2"/>
        <v>HELVIE ADAM</v>
      </c>
    </row>
    <row r="145" spans="1:7" x14ac:dyDescent="0.25">
      <c r="A145" s="8">
        <v>42713.641157407408</v>
      </c>
      <c r="B145" s="21" t="s">
        <v>155</v>
      </c>
      <c r="C145" s="21" t="s">
        <v>624</v>
      </c>
      <c r="D145" s="165">
        <v>880000</v>
      </c>
      <c r="E145" s="21" t="s">
        <v>408</v>
      </c>
      <c r="F145" s="21" t="s">
        <v>348</v>
      </c>
      <c r="G145" s="8" t="str">
        <f t="shared" si="2"/>
        <v>STEWART MICHAEL</v>
      </c>
    </row>
    <row r="146" spans="1:7" x14ac:dyDescent="0.25">
      <c r="A146" s="8">
        <v>42713.641412037039</v>
      </c>
      <c r="B146" s="21" t="s">
        <v>273</v>
      </c>
      <c r="C146" s="21" t="s">
        <v>504</v>
      </c>
      <c r="D146" s="165">
        <v>1810000</v>
      </c>
      <c r="E146" s="21" t="s">
        <v>361</v>
      </c>
      <c r="F146" s="21" t="s">
        <v>279</v>
      </c>
      <c r="G146" s="8" t="str">
        <f t="shared" si="2"/>
        <v>NEWELL JAMES</v>
      </c>
    </row>
    <row r="147" spans="1:7" x14ac:dyDescent="0.25">
      <c r="A147" s="8">
        <v>42713.641655092593</v>
      </c>
      <c r="B147" s="21" t="s">
        <v>235</v>
      </c>
      <c r="C147" s="21" t="s">
        <v>625</v>
      </c>
      <c r="D147" s="165">
        <v>1820000</v>
      </c>
      <c r="E147" s="21" t="s">
        <v>612</v>
      </c>
      <c r="F147" s="21" t="s">
        <v>613</v>
      </c>
      <c r="G147" s="8" t="str">
        <f t="shared" si="2"/>
        <v>ADANE ELSHADAY</v>
      </c>
    </row>
    <row r="148" spans="1:7" x14ac:dyDescent="0.25">
      <c r="A148" s="8">
        <v>42713.651307870372</v>
      </c>
      <c r="B148" s="21" t="s">
        <v>184</v>
      </c>
      <c r="C148" s="21" t="s">
        <v>626</v>
      </c>
      <c r="D148" s="165">
        <v>1810000</v>
      </c>
      <c r="E148" s="21" t="s">
        <v>361</v>
      </c>
      <c r="F148" s="21" t="s">
        <v>279</v>
      </c>
      <c r="G148" s="8" t="str">
        <f t="shared" si="2"/>
        <v>NEWELL JAMES</v>
      </c>
    </row>
    <row r="149" spans="1:7" x14ac:dyDescent="0.25">
      <c r="A149" s="8">
        <v>42713.651331018518</v>
      </c>
      <c r="B149" s="21" t="s">
        <v>209</v>
      </c>
      <c r="C149" s="21" t="s">
        <v>507</v>
      </c>
      <c r="D149" s="165">
        <v>1540000</v>
      </c>
      <c r="E149" s="21" t="s">
        <v>302</v>
      </c>
      <c r="F149" s="21" t="s">
        <v>303</v>
      </c>
      <c r="G149" s="8" t="str">
        <f t="shared" si="2"/>
        <v>HELVIE ADAM</v>
      </c>
    </row>
    <row r="150" spans="1:7" x14ac:dyDescent="0.25">
      <c r="A150" s="8">
        <v>42713.652384259258</v>
      </c>
      <c r="B150" s="21" t="s">
        <v>398</v>
      </c>
      <c r="C150" s="21" t="s">
        <v>506</v>
      </c>
      <c r="D150" s="165">
        <v>2270000</v>
      </c>
      <c r="E150" s="21" t="s">
        <v>326</v>
      </c>
      <c r="F150" s="21" t="s">
        <v>327</v>
      </c>
      <c r="G150" s="8" t="str">
        <f t="shared" si="2"/>
        <v>BROWN JACOB</v>
      </c>
    </row>
    <row r="151" spans="1:7" x14ac:dyDescent="0.25">
      <c r="A151" s="8">
        <v>42713.653009259258</v>
      </c>
      <c r="B151" s="21" t="s">
        <v>272</v>
      </c>
      <c r="C151" s="21" t="s">
        <v>627</v>
      </c>
      <c r="D151" s="165">
        <v>2020000</v>
      </c>
      <c r="E151" s="21" t="s">
        <v>358</v>
      </c>
      <c r="F151" s="21" t="s">
        <v>275</v>
      </c>
      <c r="G151" s="8" t="str">
        <f t="shared" si="2"/>
        <v>SHOOK JOHN</v>
      </c>
    </row>
    <row r="152" spans="1:7" x14ac:dyDescent="0.25">
      <c r="A152" s="8">
        <v>42713.658599537041</v>
      </c>
      <c r="B152" s="21" t="s">
        <v>212</v>
      </c>
      <c r="C152" s="21" t="s">
        <v>509</v>
      </c>
      <c r="D152" s="165">
        <v>940000</v>
      </c>
      <c r="E152" s="21" t="s">
        <v>300</v>
      </c>
      <c r="F152" s="21" t="s">
        <v>301</v>
      </c>
      <c r="G152" s="8" t="str">
        <f t="shared" si="2"/>
        <v>BONDS REYNALDO</v>
      </c>
    </row>
    <row r="153" spans="1:7" x14ac:dyDescent="0.25">
      <c r="A153" s="8">
        <v>42713.661724537036</v>
      </c>
      <c r="B153" s="21" t="s">
        <v>405</v>
      </c>
      <c r="C153" s="21" t="s">
        <v>628</v>
      </c>
      <c r="D153" s="165">
        <v>2440000</v>
      </c>
      <c r="E153" s="21" t="s">
        <v>409</v>
      </c>
      <c r="F153" s="21" t="s">
        <v>410</v>
      </c>
      <c r="G153" s="8" t="str">
        <f t="shared" si="2"/>
        <v>LOPES KIMBERLY</v>
      </c>
    </row>
    <row r="154" spans="1:7" x14ac:dyDescent="0.25">
      <c r="A154" s="8">
        <v>42713.669340277775</v>
      </c>
      <c r="B154" s="21" t="s">
        <v>216</v>
      </c>
      <c r="C154" s="21" t="s">
        <v>629</v>
      </c>
      <c r="D154" s="165">
        <v>2230000</v>
      </c>
      <c r="E154" s="21" t="s">
        <v>357</v>
      </c>
      <c r="F154" s="21" t="s">
        <v>348</v>
      </c>
      <c r="G154" s="8" t="str">
        <f t="shared" si="2"/>
        <v>SMITH MICHAEL</v>
      </c>
    </row>
    <row r="155" spans="1:7" x14ac:dyDescent="0.25">
      <c r="A155" s="8">
        <v>42713.671087962961</v>
      </c>
      <c r="B155" s="21" t="s">
        <v>273</v>
      </c>
      <c r="C155" s="21" t="s">
        <v>508</v>
      </c>
      <c r="D155" s="165">
        <v>1810000</v>
      </c>
      <c r="E155" s="21" t="s">
        <v>361</v>
      </c>
      <c r="F155" s="21" t="s">
        <v>279</v>
      </c>
      <c r="G155" s="8" t="str">
        <f t="shared" si="2"/>
        <v>NEWELL JAMES</v>
      </c>
    </row>
    <row r="156" spans="1:7" x14ac:dyDescent="0.25">
      <c r="A156" s="8">
        <v>42713.671122685184</v>
      </c>
      <c r="B156" s="21" t="s">
        <v>297</v>
      </c>
      <c r="C156" s="21" t="s">
        <v>630</v>
      </c>
      <c r="D156" s="165">
        <v>2040000</v>
      </c>
      <c r="E156" s="21" t="s">
        <v>328</v>
      </c>
      <c r="F156" s="21" t="s">
        <v>329</v>
      </c>
      <c r="G156" s="8" t="str">
        <f t="shared" si="2"/>
        <v>MOSES BRADLEY</v>
      </c>
    </row>
    <row r="157" spans="1:7" x14ac:dyDescent="0.25">
      <c r="A157" s="8">
        <v>42713.672395833331</v>
      </c>
      <c r="B157" s="21" t="s">
        <v>246</v>
      </c>
      <c r="C157" s="21" t="s">
        <v>510</v>
      </c>
      <c r="D157" s="165">
        <v>1820000</v>
      </c>
      <c r="E157" s="21" t="s">
        <v>612</v>
      </c>
      <c r="F157" s="21" t="s">
        <v>613</v>
      </c>
      <c r="G157" s="8" t="str">
        <f t="shared" si="2"/>
        <v>ADANE ELSHADAY</v>
      </c>
    </row>
    <row r="158" spans="1:7" x14ac:dyDescent="0.25">
      <c r="A158" s="8">
        <v>42713.677152777775</v>
      </c>
      <c r="B158" s="21" t="s">
        <v>207</v>
      </c>
      <c r="C158" s="21" t="s">
        <v>631</v>
      </c>
      <c r="D158" s="165">
        <v>1540000</v>
      </c>
      <c r="E158" s="21" t="s">
        <v>302</v>
      </c>
      <c r="F158" s="21" t="s">
        <v>303</v>
      </c>
      <c r="G158" s="8" t="str">
        <f t="shared" si="2"/>
        <v>HELVIE ADAM</v>
      </c>
    </row>
    <row r="159" spans="1:7" x14ac:dyDescent="0.25">
      <c r="A159" s="8">
        <v>42713.678333333337</v>
      </c>
      <c r="B159" s="21" t="s">
        <v>273</v>
      </c>
      <c r="C159" s="21" t="s">
        <v>508</v>
      </c>
      <c r="D159" s="165">
        <v>1810000</v>
      </c>
      <c r="E159" s="21" t="s">
        <v>361</v>
      </c>
      <c r="F159" s="21" t="s">
        <v>279</v>
      </c>
      <c r="G159" s="8" t="str">
        <f t="shared" si="2"/>
        <v>NEWELL JAMES</v>
      </c>
    </row>
    <row r="160" spans="1:7" x14ac:dyDescent="0.25">
      <c r="A160" s="8">
        <v>42713.686874999999</v>
      </c>
      <c r="B160" s="21" t="s">
        <v>214</v>
      </c>
      <c r="C160" s="21" t="s">
        <v>632</v>
      </c>
      <c r="D160" s="165">
        <v>2270000</v>
      </c>
      <c r="E160" s="21" t="s">
        <v>326</v>
      </c>
      <c r="F160" s="21" t="s">
        <v>327</v>
      </c>
      <c r="G160" s="8" t="str">
        <f t="shared" si="2"/>
        <v>BROWN JACOB</v>
      </c>
    </row>
    <row r="161" spans="1:7" x14ac:dyDescent="0.25">
      <c r="A161" s="8">
        <v>42713.688321759262</v>
      </c>
      <c r="B161" s="21" t="s">
        <v>184</v>
      </c>
      <c r="C161" s="21" t="s">
        <v>633</v>
      </c>
      <c r="D161" s="165">
        <v>1810000</v>
      </c>
      <c r="E161" s="21" t="s">
        <v>361</v>
      </c>
      <c r="F161" s="21" t="s">
        <v>279</v>
      </c>
      <c r="G161" s="8" t="str">
        <f t="shared" si="2"/>
        <v>NEWELL JAMES</v>
      </c>
    </row>
    <row r="162" spans="1:7" x14ac:dyDescent="0.25">
      <c r="A162" s="8">
        <v>42713.690034722225</v>
      </c>
      <c r="B162" s="21" t="s">
        <v>269</v>
      </c>
      <c r="C162" s="21" t="s">
        <v>511</v>
      </c>
      <c r="D162" s="165">
        <v>2020000</v>
      </c>
      <c r="E162" s="21" t="s">
        <v>358</v>
      </c>
      <c r="F162" s="21" t="s">
        <v>275</v>
      </c>
      <c r="G162" s="8" t="str">
        <f t="shared" si="2"/>
        <v>SHOOK JOHN</v>
      </c>
    </row>
    <row r="163" spans="1:7" x14ac:dyDescent="0.25">
      <c r="A163" s="8">
        <v>42713.691064814811</v>
      </c>
      <c r="B163" s="21" t="s">
        <v>209</v>
      </c>
      <c r="C163" s="21" t="s">
        <v>634</v>
      </c>
      <c r="D163" s="165">
        <v>1540000</v>
      </c>
      <c r="E163" s="21" t="s">
        <v>302</v>
      </c>
      <c r="F163" s="21" t="s">
        <v>303</v>
      </c>
      <c r="G163" s="8" t="str">
        <f t="shared" si="2"/>
        <v>HELVIE ADAM</v>
      </c>
    </row>
    <row r="164" spans="1:7" x14ac:dyDescent="0.25">
      <c r="A164" s="8">
        <v>42713.69599537037</v>
      </c>
      <c r="B164" s="21" t="s">
        <v>205</v>
      </c>
      <c r="C164" s="21" t="s">
        <v>635</v>
      </c>
      <c r="D164" s="165">
        <v>940000</v>
      </c>
      <c r="E164" s="21" t="s">
        <v>300</v>
      </c>
      <c r="F164" s="21" t="s">
        <v>301</v>
      </c>
      <c r="G164" s="8" t="str">
        <f t="shared" si="2"/>
        <v>BONDS REYNALDO</v>
      </c>
    </row>
    <row r="165" spans="1:7" x14ac:dyDescent="0.25">
      <c r="A165" s="8">
        <v>42713.696932870371</v>
      </c>
      <c r="B165" s="21" t="s">
        <v>393</v>
      </c>
      <c r="C165" s="21" t="s">
        <v>636</v>
      </c>
      <c r="D165" s="165">
        <v>2440000</v>
      </c>
      <c r="E165" s="21" t="s">
        <v>409</v>
      </c>
      <c r="F165" s="21" t="s">
        <v>410</v>
      </c>
      <c r="G165" s="8" t="str">
        <f t="shared" si="2"/>
        <v>LOPES KIMBERLY</v>
      </c>
    </row>
    <row r="166" spans="1:7" x14ac:dyDescent="0.25">
      <c r="A166" s="8">
        <v>42713.705277777779</v>
      </c>
      <c r="B166" s="21" t="s">
        <v>260</v>
      </c>
      <c r="C166" s="21" t="s">
        <v>637</v>
      </c>
      <c r="D166" s="165">
        <v>2040000</v>
      </c>
      <c r="E166" s="21" t="s">
        <v>328</v>
      </c>
      <c r="F166" s="21" t="s">
        <v>329</v>
      </c>
      <c r="G166" s="8" t="str">
        <f t="shared" si="2"/>
        <v>MOSES BRADLEY</v>
      </c>
    </row>
    <row r="167" spans="1:7" x14ac:dyDescent="0.25">
      <c r="A167" s="8">
        <v>42713.706736111111</v>
      </c>
      <c r="B167" s="21" t="s">
        <v>394</v>
      </c>
      <c r="C167" s="21" t="s">
        <v>512</v>
      </c>
      <c r="D167" s="165">
        <v>2230000</v>
      </c>
      <c r="E167" s="21" t="s">
        <v>357</v>
      </c>
      <c r="F167" s="21" t="s">
        <v>348</v>
      </c>
      <c r="G167" s="8" t="str">
        <f t="shared" si="2"/>
        <v>SMITH MICHAEL</v>
      </c>
    </row>
    <row r="168" spans="1:7" x14ac:dyDescent="0.25">
      <c r="A168" s="8">
        <v>42713.712951388887</v>
      </c>
      <c r="B168" s="21" t="s">
        <v>273</v>
      </c>
      <c r="C168" s="21" t="s">
        <v>638</v>
      </c>
      <c r="D168" s="165">
        <v>1810000</v>
      </c>
      <c r="E168" s="21" t="s">
        <v>361</v>
      </c>
      <c r="F168" s="21" t="s">
        <v>279</v>
      </c>
      <c r="G168" s="8" t="str">
        <f t="shared" si="2"/>
        <v>NEWELL JAMES</v>
      </c>
    </row>
    <row r="169" spans="1:7" x14ac:dyDescent="0.25">
      <c r="A169" s="8">
        <v>42713.715127314812</v>
      </c>
      <c r="B169" s="21" t="s">
        <v>235</v>
      </c>
      <c r="C169" s="21" t="s">
        <v>639</v>
      </c>
      <c r="D169" s="165">
        <v>1820000</v>
      </c>
      <c r="E169" s="21" t="s">
        <v>612</v>
      </c>
      <c r="F169" s="21" t="s">
        <v>613</v>
      </c>
      <c r="G169" s="8" t="str">
        <f t="shared" si="2"/>
        <v>ADANE ELSHADAY</v>
      </c>
    </row>
    <row r="170" spans="1:7" x14ac:dyDescent="0.25">
      <c r="A170" s="8">
        <v>42713.715277777781</v>
      </c>
      <c r="B170" s="21" t="s">
        <v>154</v>
      </c>
      <c r="C170" s="21" t="s">
        <v>640</v>
      </c>
      <c r="D170" s="165">
        <v>2220000</v>
      </c>
      <c r="E170" s="21" t="s">
        <v>359</v>
      </c>
      <c r="F170" s="21" t="s">
        <v>360</v>
      </c>
      <c r="G170" s="8" t="str">
        <f t="shared" si="2"/>
        <v>HILLS DUSTIN</v>
      </c>
    </row>
    <row r="171" spans="1:7" x14ac:dyDescent="0.25">
      <c r="A171" s="8">
        <v>42713.719687500001</v>
      </c>
      <c r="B171" s="21" t="s">
        <v>398</v>
      </c>
      <c r="C171" s="21" t="s">
        <v>641</v>
      </c>
      <c r="D171" s="165">
        <v>2270000</v>
      </c>
      <c r="E171" s="21" t="s">
        <v>326</v>
      </c>
      <c r="F171" s="21" t="s">
        <v>327</v>
      </c>
      <c r="G171" s="8" t="str">
        <f t="shared" si="2"/>
        <v>BROWN JACOB</v>
      </c>
    </row>
    <row r="172" spans="1:7" x14ac:dyDescent="0.25">
      <c r="A172" s="8">
        <v>42713.719861111109</v>
      </c>
      <c r="B172" s="21" t="s">
        <v>207</v>
      </c>
      <c r="C172" s="21" t="s">
        <v>642</v>
      </c>
      <c r="D172" s="165">
        <v>1540000</v>
      </c>
      <c r="E172" s="21" t="s">
        <v>302</v>
      </c>
      <c r="F172" s="21" t="s">
        <v>303</v>
      </c>
      <c r="G172" s="8" t="str">
        <f t="shared" si="2"/>
        <v>HELVIE ADAM</v>
      </c>
    </row>
    <row r="173" spans="1:7" x14ac:dyDescent="0.25">
      <c r="A173" s="8">
        <v>42713.726493055554</v>
      </c>
      <c r="B173" s="21" t="s">
        <v>272</v>
      </c>
      <c r="C173" s="21" t="s">
        <v>643</v>
      </c>
      <c r="D173" s="165">
        <v>2020000</v>
      </c>
      <c r="E173" s="21" t="s">
        <v>358</v>
      </c>
      <c r="F173" s="21" t="s">
        <v>275</v>
      </c>
      <c r="G173" s="8" t="str">
        <f t="shared" si="2"/>
        <v>SHOOK JOHN</v>
      </c>
    </row>
    <row r="174" spans="1:7" x14ac:dyDescent="0.25">
      <c r="A174" s="8">
        <v>42713.727488425924</v>
      </c>
      <c r="B174" s="21" t="s">
        <v>184</v>
      </c>
      <c r="C174" s="21" t="s">
        <v>644</v>
      </c>
      <c r="D174" s="165">
        <v>1810000</v>
      </c>
      <c r="E174" s="21" t="s">
        <v>361</v>
      </c>
      <c r="F174" s="21" t="s">
        <v>279</v>
      </c>
      <c r="G174" s="8" t="str">
        <f t="shared" si="2"/>
        <v>NEWELL JAMES</v>
      </c>
    </row>
    <row r="175" spans="1:7" x14ac:dyDescent="0.25">
      <c r="A175" s="8">
        <v>42713.729560185187</v>
      </c>
      <c r="B175" s="21" t="s">
        <v>212</v>
      </c>
      <c r="C175" s="21" t="s">
        <v>645</v>
      </c>
      <c r="D175" s="165">
        <v>940000</v>
      </c>
      <c r="E175" s="21" t="s">
        <v>300</v>
      </c>
      <c r="F175" s="21" t="s">
        <v>301</v>
      </c>
      <c r="G175" s="8" t="str">
        <f t="shared" si="2"/>
        <v>BONDS REYNALDO</v>
      </c>
    </row>
    <row r="176" spans="1:7" x14ac:dyDescent="0.25">
      <c r="A176" s="8">
        <v>42713.733668981484</v>
      </c>
      <c r="B176" s="21" t="s">
        <v>209</v>
      </c>
      <c r="C176" s="21" t="s">
        <v>646</v>
      </c>
      <c r="D176" s="165">
        <v>1540000</v>
      </c>
      <c r="E176" s="21" t="s">
        <v>302</v>
      </c>
      <c r="F176" s="21" t="s">
        <v>303</v>
      </c>
      <c r="G176" s="8" t="str">
        <f t="shared" si="2"/>
        <v>HELVIE ADAM</v>
      </c>
    </row>
    <row r="177" spans="1:7" x14ac:dyDescent="0.25">
      <c r="A177" s="8">
        <v>42713.737500000003</v>
      </c>
      <c r="B177" s="21" t="s">
        <v>154</v>
      </c>
      <c r="C177" s="21" t="s">
        <v>516</v>
      </c>
      <c r="D177" s="165">
        <v>1230000</v>
      </c>
      <c r="E177" s="21" t="s">
        <v>266</v>
      </c>
      <c r="F177" s="21" t="s">
        <v>276</v>
      </c>
      <c r="G177" s="8" t="str">
        <f t="shared" si="2"/>
        <v>YANAI IAN</v>
      </c>
    </row>
    <row r="178" spans="1:7" x14ac:dyDescent="0.25">
      <c r="A178" s="8">
        <v>42713.743657407409</v>
      </c>
      <c r="B178" s="21" t="s">
        <v>297</v>
      </c>
      <c r="C178" s="21" t="s">
        <v>647</v>
      </c>
      <c r="D178" s="165">
        <v>2040000</v>
      </c>
      <c r="E178" s="21" t="s">
        <v>328</v>
      </c>
      <c r="F178" s="21" t="s">
        <v>329</v>
      </c>
      <c r="G178" s="8" t="str">
        <f t="shared" si="2"/>
        <v>MOSES BRADLEY</v>
      </c>
    </row>
    <row r="179" spans="1:7" x14ac:dyDescent="0.25">
      <c r="A179" s="8">
        <v>42713.744270833333</v>
      </c>
      <c r="B179" s="21" t="s">
        <v>307</v>
      </c>
      <c r="C179" s="21" t="s">
        <v>515</v>
      </c>
      <c r="D179" s="165">
        <v>1800000</v>
      </c>
      <c r="E179" s="21" t="s">
        <v>247</v>
      </c>
      <c r="F179" s="21" t="s">
        <v>288</v>
      </c>
      <c r="G179" s="8" t="str">
        <f t="shared" si="2"/>
        <v>CHANDLER KELVIN</v>
      </c>
    </row>
    <row r="180" spans="1:7" x14ac:dyDescent="0.25">
      <c r="A180" s="8">
        <v>42713.745115740741</v>
      </c>
      <c r="B180" s="21" t="s">
        <v>394</v>
      </c>
      <c r="C180" s="21" t="s">
        <v>512</v>
      </c>
      <c r="D180" s="165">
        <v>2230000</v>
      </c>
      <c r="E180" s="21" t="s">
        <v>357</v>
      </c>
      <c r="F180" s="21" t="s">
        <v>348</v>
      </c>
      <c r="G180" s="8" t="str">
        <f t="shared" si="2"/>
        <v>SMITH MICHAEL</v>
      </c>
    </row>
    <row r="181" spans="1:7" x14ac:dyDescent="0.25">
      <c r="A181" s="8">
        <v>42713.749745370369</v>
      </c>
      <c r="B181" s="21" t="s">
        <v>405</v>
      </c>
      <c r="C181" s="21" t="s">
        <v>517</v>
      </c>
      <c r="D181" s="165">
        <v>2440000</v>
      </c>
      <c r="E181" s="21" t="s">
        <v>409</v>
      </c>
      <c r="F181" s="21" t="s">
        <v>410</v>
      </c>
      <c r="G181" s="8" t="str">
        <f t="shared" si="2"/>
        <v>LOPES KIMBERLY</v>
      </c>
    </row>
    <row r="182" spans="1:7" x14ac:dyDescent="0.25">
      <c r="A182" s="8">
        <v>42713.751446759263</v>
      </c>
      <c r="B182" s="21" t="s">
        <v>242</v>
      </c>
      <c r="C182" s="21" t="s">
        <v>648</v>
      </c>
      <c r="D182" s="165">
        <v>2530000</v>
      </c>
      <c r="E182" s="21" t="s">
        <v>248</v>
      </c>
      <c r="F182" s="21" t="s">
        <v>649</v>
      </c>
      <c r="G182" s="8" t="str">
        <f t="shared" si="2"/>
        <v>LALONDE GREGORY</v>
      </c>
    </row>
    <row r="183" spans="1:7" x14ac:dyDescent="0.25">
      <c r="A183" s="8">
        <v>42713.754293981481</v>
      </c>
      <c r="B183" s="21" t="s">
        <v>398</v>
      </c>
      <c r="C183" s="21" t="s">
        <v>641</v>
      </c>
      <c r="D183" s="165">
        <v>2270000</v>
      </c>
      <c r="E183" s="21" t="s">
        <v>326</v>
      </c>
      <c r="F183" s="21" t="s">
        <v>327</v>
      </c>
      <c r="G183" s="8" t="str">
        <f t="shared" si="2"/>
        <v>BROWN JACOB</v>
      </c>
    </row>
    <row r="184" spans="1:7" x14ac:dyDescent="0.25">
      <c r="A184" s="8">
        <v>42713.754629629628</v>
      </c>
      <c r="B184" s="21" t="s">
        <v>273</v>
      </c>
      <c r="C184" s="21" t="s">
        <v>650</v>
      </c>
      <c r="D184" s="165">
        <v>1810000</v>
      </c>
      <c r="E184" s="21" t="s">
        <v>361</v>
      </c>
      <c r="F184" s="21" t="s">
        <v>279</v>
      </c>
      <c r="G184" s="8" t="str">
        <f t="shared" si="2"/>
        <v>NEWELL JAMES</v>
      </c>
    </row>
    <row r="185" spans="1:7" x14ac:dyDescent="0.25">
      <c r="A185" s="8">
        <v>42713.761041666665</v>
      </c>
      <c r="B185" s="21" t="s">
        <v>246</v>
      </c>
      <c r="C185" s="21" t="s">
        <v>651</v>
      </c>
      <c r="D185" s="165">
        <v>1820000</v>
      </c>
      <c r="E185" s="21" t="s">
        <v>612</v>
      </c>
      <c r="F185" s="21" t="s">
        <v>613</v>
      </c>
      <c r="G185" s="8" t="str">
        <f t="shared" si="2"/>
        <v>ADANE ELSHADAY</v>
      </c>
    </row>
    <row r="186" spans="1:7" x14ac:dyDescent="0.25">
      <c r="A186" s="8">
        <v>42713.762349537035</v>
      </c>
      <c r="B186" s="21" t="s">
        <v>207</v>
      </c>
      <c r="C186" s="21" t="s">
        <v>652</v>
      </c>
      <c r="D186" s="165">
        <v>1540000</v>
      </c>
      <c r="E186" s="21" t="s">
        <v>302</v>
      </c>
      <c r="F186" s="21" t="s">
        <v>303</v>
      </c>
      <c r="G186" s="8" t="str">
        <f t="shared" si="2"/>
        <v>HELVIE ADAM</v>
      </c>
    </row>
    <row r="187" spans="1:7" x14ac:dyDescent="0.25">
      <c r="A187" s="8">
        <v>42713.766446759262</v>
      </c>
      <c r="B187" s="21" t="s">
        <v>216</v>
      </c>
      <c r="C187" s="21" t="s">
        <v>653</v>
      </c>
      <c r="D187" s="165">
        <v>1800000</v>
      </c>
      <c r="E187" s="21" t="s">
        <v>247</v>
      </c>
      <c r="F187" s="21" t="s">
        <v>288</v>
      </c>
      <c r="G187" s="8" t="str">
        <f t="shared" si="2"/>
        <v>CHANDLER KELVIN</v>
      </c>
    </row>
    <row r="188" spans="1:7" x14ac:dyDescent="0.25">
      <c r="A188" s="8">
        <v>42713.767789351848</v>
      </c>
      <c r="B188" s="21" t="s">
        <v>183</v>
      </c>
      <c r="C188" s="21" t="s">
        <v>640</v>
      </c>
      <c r="D188" s="165">
        <v>2220000</v>
      </c>
      <c r="E188" s="21" t="s">
        <v>359</v>
      </c>
      <c r="F188" s="21" t="s">
        <v>360</v>
      </c>
      <c r="G188" s="8" t="str">
        <f t="shared" si="2"/>
        <v>HILLS DUSTIN</v>
      </c>
    </row>
    <row r="189" spans="1:7" x14ac:dyDescent="0.25">
      <c r="A189" s="8">
        <v>42713.76840277778</v>
      </c>
      <c r="B189" s="21" t="s">
        <v>237</v>
      </c>
      <c r="C189" s="21" t="s">
        <v>654</v>
      </c>
      <c r="D189" s="165">
        <v>2230000</v>
      </c>
      <c r="E189" s="21" t="s">
        <v>357</v>
      </c>
      <c r="F189" s="21" t="s">
        <v>348</v>
      </c>
      <c r="G189" s="8" t="str">
        <f t="shared" si="2"/>
        <v>SMITH MICHAEL</v>
      </c>
    </row>
    <row r="190" spans="1:7" x14ac:dyDescent="0.25">
      <c r="A190" s="8">
        <v>42713.769131944442</v>
      </c>
      <c r="B190" s="21" t="s">
        <v>269</v>
      </c>
      <c r="C190" s="21" t="s">
        <v>655</v>
      </c>
      <c r="D190" s="165">
        <v>2020000</v>
      </c>
      <c r="E190" s="21" t="s">
        <v>358</v>
      </c>
      <c r="F190" s="21" t="s">
        <v>275</v>
      </c>
      <c r="G190" s="8" t="str">
        <f t="shared" si="2"/>
        <v>SHOOK JOHN</v>
      </c>
    </row>
    <row r="191" spans="1:7" x14ac:dyDescent="0.25">
      <c r="A191" s="8">
        <v>42713.771597222221</v>
      </c>
      <c r="B191" s="21" t="s">
        <v>214</v>
      </c>
      <c r="C191" s="21" t="s">
        <v>518</v>
      </c>
      <c r="D191" s="165">
        <v>2000000</v>
      </c>
      <c r="E191" s="21" t="s">
        <v>211</v>
      </c>
      <c r="F191" s="21" t="s">
        <v>279</v>
      </c>
      <c r="G191" s="8" t="str">
        <f t="shared" si="2"/>
        <v>STAMBAUGH JAMES</v>
      </c>
    </row>
    <row r="192" spans="1:7" x14ac:dyDescent="0.25">
      <c r="A192" s="8">
        <v>42713.77542824074</v>
      </c>
      <c r="B192" s="21" t="s">
        <v>209</v>
      </c>
      <c r="C192" s="21" t="s">
        <v>656</v>
      </c>
      <c r="D192" s="165">
        <v>1540000</v>
      </c>
      <c r="E192" s="21" t="s">
        <v>302</v>
      </c>
      <c r="F192" s="21" t="s">
        <v>303</v>
      </c>
      <c r="G192" s="8" t="str">
        <f t="shared" si="2"/>
        <v>HELVIE ADAM</v>
      </c>
    </row>
    <row r="193" spans="1:7" x14ac:dyDescent="0.25">
      <c r="A193" s="8">
        <v>42713.776331018518</v>
      </c>
      <c r="B193" s="21" t="s">
        <v>155</v>
      </c>
      <c r="C193" s="21" t="s">
        <v>657</v>
      </c>
      <c r="D193" s="165">
        <v>1230000</v>
      </c>
      <c r="E193" s="21" t="s">
        <v>266</v>
      </c>
      <c r="F193" s="21" t="s">
        <v>276</v>
      </c>
      <c r="G193" s="8" t="str">
        <f t="shared" si="2"/>
        <v>YANAI IAN</v>
      </c>
    </row>
    <row r="194" spans="1:7" x14ac:dyDescent="0.25">
      <c r="A194" s="8">
        <v>42713.780532407407</v>
      </c>
      <c r="B194" s="21" t="s">
        <v>184</v>
      </c>
      <c r="C194" s="21" t="s">
        <v>658</v>
      </c>
      <c r="D194" s="165">
        <v>1810000</v>
      </c>
      <c r="E194" s="21" t="s">
        <v>361</v>
      </c>
      <c r="F194" s="21" t="s">
        <v>279</v>
      </c>
      <c r="G194" s="8" t="str">
        <f t="shared" si="2"/>
        <v>NEWELL JAMES</v>
      </c>
    </row>
    <row r="195" spans="1:7" x14ac:dyDescent="0.25">
      <c r="A195" s="8">
        <v>42713.781087962961</v>
      </c>
      <c r="B195" s="21" t="s">
        <v>393</v>
      </c>
      <c r="C195" s="21" t="s">
        <v>659</v>
      </c>
      <c r="D195" s="165">
        <v>2440000</v>
      </c>
      <c r="E195" s="21" t="s">
        <v>409</v>
      </c>
      <c r="F195" s="21" t="s">
        <v>410</v>
      </c>
      <c r="G195" s="8" t="str">
        <f t="shared" ref="G195:G258" si="3">E195&amp;" "&amp;F195</f>
        <v>LOPES KIMBERLY</v>
      </c>
    </row>
    <row r="196" spans="1:7" x14ac:dyDescent="0.25">
      <c r="A196" s="8">
        <v>42713.781724537039</v>
      </c>
      <c r="B196" s="21" t="s">
        <v>205</v>
      </c>
      <c r="C196" s="21" t="s">
        <v>660</v>
      </c>
      <c r="D196" s="165">
        <v>1300000</v>
      </c>
      <c r="E196" s="21" t="s">
        <v>113</v>
      </c>
      <c r="F196" s="21" t="s">
        <v>278</v>
      </c>
      <c r="G196" s="8" t="str">
        <f t="shared" si="3"/>
        <v>LEVIN SCOTT</v>
      </c>
    </row>
    <row r="197" spans="1:7" x14ac:dyDescent="0.25">
      <c r="A197" s="8">
        <v>42713.784918981481</v>
      </c>
      <c r="B197" s="21" t="s">
        <v>260</v>
      </c>
      <c r="C197" s="21" t="s">
        <v>661</v>
      </c>
      <c r="D197" s="165">
        <v>2040000</v>
      </c>
      <c r="E197" s="21" t="s">
        <v>328</v>
      </c>
      <c r="F197" s="21" t="s">
        <v>329</v>
      </c>
      <c r="G197" s="8" t="str">
        <f t="shared" si="3"/>
        <v>MOSES BRADLEY</v>
      </c>
    </row>
    <row r="198" spans="1:7" x14ac:dyDescent="0.25">
      <c r="A198" s="8">
        <v>42713.796087962961</v>
      </c>
      <c r="B198" s="21" t="s">
        <v>273</v>
      </c>
      <c r="C198" s="21" t="s">
        <v>662</v>
      </c>
      <c r="D198" s="165">
        <v>1810000</v>
      </c>
      <c r="E198" s="21" t="s">
        <v>361</v>
      </c>
      <c r="F198" s="21" t="s">
        <v>279</v>
      </c>
      <c r="G198" s="8" t="str">
        <f t="shared" si="3"/>
        <v>NEWELL JAMES</v>
      </c>
    </row>
    <row r="199" spans="1:7" x14ac:dyDescent="0.25">
      <c r="A199" s="8">
        <v>42713.79792824074</v>
      </c>
      <c r="B199" s="21" t="s">
        <v>235</v>
      </c>
      <c r="C199" s="21" t="s">
        <v>663</v>
      </c>
      <c r="D199" s="165">
        <v>1820000</v>
      </c>
      <c r="E199" s="21" t="s">
        <v>612</v>
      </c>
      <c r="F199" s="21" t="s">
        <v>613</v>
      </c>
      <c r="G199" s="8" t="str">
        <f t="shared" si="3"/>
        <v>ADANE ELSHADAY</v>
      </c>
    </row>
    <row r="200" spans="1:7" x14ac:dyDescent="0.25">
      <c r="A200" s="8">
        <v>42713.800254629627</v>
      </c>
      <c r="B200" s="21" t="s">
        <v>394</v>
      </c>
      <c r="C200" s="21" t="s">
        <v>664</v>
      </c>
      <c r="D200" s="165">
        <v>1800000</v>
      </c>
      <c r="E200" s="21" t="s">
        <v>247</v>
      </c>
      <c r="F200" s="21" t="s">
        <v>288</v>
      </c>
      <c r="G200" s="8" t="str">
        <f t="shared" si="3"/>
        <v>CHANDLER KELVIN</v>
      </c>
    </row>
    <row r="201" spans="1:7" x14ac:dyDescent="0.25">
      <c r="A201" s="8">
        <v>42713.803356481483</v>
      </c>
      <c r="B201" s="21" t="s">
        <v>207</v>
      </c>
      <c r="C201" s="21" t="s">
        <v>665</v>
      </c>
      <c r="D201" s="165">
        <v>1540000</v>
      </c>
      <c r="E201" s="21" t="s">
        <v>302</v>
      </c>
      <c r="F201" s="21" t="s">
        <v>303</v>
      </c>
      <c r="G201" s="8" t="str">
        <f t="shared" si="3"/>
        <v>HELVIE ADAM</v>
      </c>
    </row>
    <row r="202" spans="1:7" x14ac:dyDescent="0.25">
      <c r="A202" s="27">
        <v>42713.803368055553</v>
      </c>
      <c r="B202" s="21" t="s">
        <v>272</v>
      </c>
      <c r="C202" s="21" t="s">
        <v>666</v>
      </c>
      <c r="D202" s="165">
        <v>2020000</v>
      </c>
      <c r="E202" s="21" t="s">
        <v>358</v>
      </c>
      <c r="F202" s="21" t="s">
        <v>275</v>
      </c>
      <c r="G202" s="8" t="str">
        <f t="shared" si="3"/>
        <v>SHOOK JOHN</v>
      </c>
    </row>
    <row r="203" spans="1:7" x14ac:dyDescent="0.25">
      <c r="A203" s="8">
        <v>42713.80810185185</v>
      </c>
      <c r="B203" s="21" t="s">
        <v>154</v>
      </c>
      <c r="C203" s="21" t="s">
        <v>667</v>
      </c>
      <c r="D203" s="165">
        <v>1230000</v>
      </c>
      <c r="E203" s="21" t="s">
        <v>266</v>
      </c>
      <c r="F203" s="21" t="s">
        <v>276</v>
      </c>
      <c r="G203" s="8" t="str">
        <f t="shared" si="3"/>
        <v>YANAI IAN</v>
      </c>
    </row>
    <row r="204" spans="1:7" x14ac:dyDescent="0.25">
      <c r="A204" s="8">
        <v>42713.809027777781</v>
      </c>
      <c r="B204" s="21" t="s">
        <v>398</v>
      </c>
      <c r="C204" s="21" t="s">
        <v>668</v>
      </c>
      <c r="D204" s="165">
        <v>2000000</v>
      </c>
      <c r="E204" s="21" t="s">
        <v>211</v>
      </c>
      <c r="F204" s="21" t="s">
        <v>279</v>
      </c>
      <c r="G204" s="8" t="str">
        <f t="shared" si="3"/>
        <v>STAMBAUGH JAMES</v>
      </c>
    </row>
    <row r="205" spans="1:7" x14ac:dyDescent="0.25">
      <c r="A205" s="8">
        <v>42713.816412037035</v>
      </c>
      <c r="B205" s="21" t="s">
        <v>209</v>
      </c>
      <c r="C205" s="21" t="s">
        <v>669</v>
      </c>
      <c r="D205" s="165">
        <v>1540000</v>
      </c>
      <c r="E205" s="21" t="s">
        <v>302</v>
      </c>
      <c r="F205" s="21" t="s">
        <v>303</v>
      </c>
      <c r="G205" s="8" t="str">
        <f t="shared" si="3"/>
        <v>HELVIE ADAM</v>
      </c>
    </row>
    <row r="206" spans="1:7" x14ac:dyDescent="0.25">
      <c r="A206" s="8">
        <v>42713.819409722222</v>
      </c>
      <c r="B206" s="21" t="s">
        <v>405</v>
      </c>
      <c r="C206" s="21" t="s">
        <v>670</v>
      </c>
      <c r="D206" s="165">
        <v>2440000</v>
      </c>
      <c r="E206" s="21" t="s">
        <v>409</v>
      </c>
      <c r="F206" s="21" t="s">
        <v>410</v>
      </c>
      <c r="G206" s="8" t="str">
        <f t="shared" si="3"/>
        <v>LOPES KIMBERLY</v>
      </c>
    </row>
    <row r="207" spans="1:7" x14ac:dyDescent="0.25">
      <c r="A207" s="8">
        <v>42713.827256944445</v>
      </c>
      <c r="B207" s="21" t="s">
        <v>212</v>
      </c>
      <c r="C207" s="21" t="s">
        <v>671</v>
      </c>
      <c r="D207" s="165">
        <v>1300000</v>
      </c>
      <c r="E207" s="21" t="s">
        <v>113</v>
      </c>
      <c r="F207" s="21" t="s">
        <v>278</v>
      </c>
      <c r="G207" s="8" t="str">
        <f t="shared" si="3"/>
        <v>LEVIN SCOTT</v>
      </c>
    </row>
    <row r="208" spans="1:7" x14ac:dyDescent="0.25">
      <c r="A208" s="8">
        <v>42713.832812499997</v>
      </c>
      <c r="B208" s="21" t="s">
        <v>216</v>
      </c>
      <c r="C208" s="21" t="s">
        <v>672</v>
      </c>
      <c r="D208" s="165">
        <v>1800000</v>
      </c>
      <c r="E208" s="21" t="s">
        <v>247</v>
      </c>
      <c r="F208" s="21" t="s">
        <v>288</v>
      </c>
      <c r="G208" s="8" t="str">
        <f t="shared" si="3"/>
        <v>CHANDLER KELVIN</v>
      </c>
    </row>
    <row r="209" spans="1:7" x14ac:dyDescent="0.25">
      <c r="A209" s="8">
        <v>42713.837395833332</v>
      </c>
      <c r="B209" s="21" t="s">
        <v>214</v>
      </c>
      <c r="C209" s="21" t="s">
        <v>673</v>
      </c>
      <c r="D209" s="165">
        <v>2000000</v>
      </c>
      <c r="E209" s="21" t="s">
        <v>211</v>
      </c>
      <c r="F209" s="21" t="s">
        <v>279</v>
      </c>
      <c r="G209" s="8" t="str">
        <f t="shared" si="3"/>
        <v>STAMBAUGH JAMES</v>
      </c>
    </row>
    <row r="210" spans="1:7" x14ac:dyDescent="0.25">
      <c r="A210" s="8">
        <v>42713.83797453704</v>
      </c>
      <c r="B210" s="21" t="s">
        <v>155</v>
      </c>
      <c r="C210" s="21" t="s">
        <v>519</v>
      </c>
      <c r="D210" s="165">
        <v>1230000</v>
      </c>
      <c r="E210" s="21" t="s">
        <v>266</v>
      </c>
      <c r="F210" s="21" t="s">
        <v>276</v>
      </c>
      <c r="G210" s="8" t="str">
        <f t="shared" si="3"/>
        <v>YANAI IAN</v>
      </c>
    </row>
    <row r="211" spans="1:7" x14ac:dyDescent="0.25">
      <c r="A211" s="8">
        <v>42713.845127314817</v>
      </c>
      <c r="B211" s="21" t="s">
        <v>207</v>
      </c>
      <c r="C211" s="21" t="s">
        <v>674</v>
      </c>
      <c r="D211" s="165">
        <v>1540000</v>
      </c>
      <c r="E211" s="21" t="s">
        <v>302</v>
      </c>
      <c r="F211" s="21" t="s">
        <v>303</v>
      </c>
      <c r="G211" s="8" t="str">
        <f t="shared" si="3"/>
        <v>HELVIE ADAM</v>
      </c>
    </row>
    <row r="212" spans="1:7" x14ac:dyDescent="0.25">
      <c r="A212" s="8">
        <v>42713.845937500002</v>
      </c>
      <c r="B212" s="21" t="s">
        <v>207</v>
      </c>
      <c r="C212" s="21" t="s">
        <v>675</v>
      </c>
      <c r="D212" s="165">
        <v>1540000</v>
      </c>
      <c r="E212" s="21" t="s">
        <v>302</v>
      </c>
      <c r="F212" s="21" t="s">
        <v>303</v>
      </c>
      <c r="G212" s="8" t="str">
        <f t="shared" si="3"/>
        <v>HELVIE ADAM</v>
      </c>
    </row>
    <row r="213" spans="1:7" x14ac:dyDescent="0.25">
      <c r="A213" s="8">
        <v>42713.858310185184</v>
      </c>
      <c r="B213" s="21" t="s">
        <v>209</v>
      </c>
      <c r="C213" s="21" t="s">
        <v>674</v>
      </c>
      <c r="D213" s="165">
        <v>1540000</v>
      </c>
      <c r="E213" s="21" t="s">
        <v>302</v>
      </c>
      <c r="F213" s="21" t="s">
        <v>303</v>
      </c>
      <c r="G213" s="8" t="str">
        <f t="shared" si="3"/>
        <v>HELVIE ADAM</v>
      </c>
    </row>
    <row r="214" spans="1:7" x14ac:dyDescent="0.25">
      <c r="A214" s="8">
        <v>42713.860879629632</v>
      </c>
      <c r="B214" s="21" t="s">
        <v>205</v>
      </c>
      <c r="C214" s="21" t="s">
        <v>676</v>
      </c>
      <c r="D214" s="165">
        <v>2560000</v>
      </c>
      <c r="E214" s="21" t="s">
        <v>411</v>
      </c>
      <c r="F214" s="21" t="s">
        <v>412</v>
      </c>
      <c r="G214" s="8" t="str">
        <f t="shared" si="3"/>
        <v>MACDONALD THOMAS</v>
      </c>
    </row>
    <row r="215" spans="1:7" x14ac:dyDescent="0.25">
      <c r="A215" s="8">
        <v>42713.87091435185</v>
      </c>
      <c r="B215" s="21" t="s">
        <v>394</v>
      </c>
      <c r="C215" s="21" t="s">
        <v>677</v>
      </c>
      <c r="D215" s="165">
        <v>1800000</v>
      </c>
      <c r="E215" s="21" t="s">
        <v>247</v>
      </c>
      <c r="F215" s="21" t="s">
        <v>288</v>
      </c>
      <c r="G215" s="8" t="str">
        <f t="shared" si="3"/>
        <v>CHANDLER KELVIN</v>
      </c>
    </row>
    <row r="216" spans="1:7" x14ac:dyDescent="0.25">
      <c r="A216" s="8">
        <v>42713.878263888888</v>
      </c>
      <c r="B216" s="21" t="s">
        <v>207</v>
      </c>
      <c r="C216" s="21" t="s">
        <v>678</v>
      </c>
      <c r="D216" s="165">
        <v>1810000</v>
      </c>
      <c r="E216" s="21" t="s">
        <v>361</v>
      </c>
      <c r="F216" s="21" t="s">
        <v>279</v>
      </c>
      <c r="G216" s="8" t="str">
        <f t="shared" si="3"/>
        <v>NEWELL JAMES</v>
      </c>
    </row>
    <row r="217" spans="1:7" x14ac:dyDescent="0.25">
      <c r="A217" s="8">
        <v>42713.881747685184</v>
      </c>
      <c r="B217" s="21" t="s">
        <v>154</v>
      </c>
      <c r="C217" s="21" t="s">
        <v>679</v>
      </c>
      <c r="D217" s="165">
        <v>1230000</v>
      </c>
      <c r="E217" s="21" t="s">
        <v>266</v>
      </c>
      <c r="F217" s="21" t="s">
        <v>276</v>
      </c>
      <c r="G217" s="8" t="str">
        <f t="shared" si="3"/>
        <v>YANAI IAN</v>
      </c>
    </row>
    <row r="218" spans="1:7" x14ac:dyDescent="0.25">
      <c r="A218" s="8">
        <v>42713.890138888892</v>
      </c>
      <c r="B218" s="21" t="s">
        <v>398</v>
      </c>
      <c r="C218" s="21" t="s">
        <v>520</v>
      </c>
      <c r="D218" s="165">
        <v>2000000</v>
      </c>
      <c r="E218" s="21" t="s">
        <v>211</v>
      </c>
      <c r="F218" s="21" t="s">
        <v>279</v>
      </c>
      <c r="G218" s="8" t="str">
        <f t="shared" si="3"/>
        <v>STAMBAUGH JAMES</v>
      </c>
    </row>
    <row r="219" spans="1:7" x14ac:dyDescent="0.25">
      <c r="A219" s="8">
        <v>42713.90084490741</v>
      </c>
      <c r="B219" s="21" t="s">
        <v>209</v>
      </c>
      <c r="C219" s="21" t="s">
        <v>680</v>
      </c>
      <c r="D219" s="165">
        <v>2530000</v>
      </c>
      <c r="E219" s="21" t="s">
        <v>248</v>
      </c>
      <c r="F219" s="21" t="s">
        <v>649</v>
      </c>
      <c r="G219" s="8" t="str">
        <f t="shared" si="3"/>
        <v>LALONDE GREGORY</v>
      </c>
    </row>
    <row r="220" spans="1:7" x14ac:dyDescent="0.25">
      <c r="A220" s="8">
        <v>42713.912638888891</v>
      </c>
      <c r="B220" s="21" t="s">
        <v>212</v>
      </c>
      <c r="C220" s="21" t="s">
        <v>681</v>
      </c>
      <c r="D220" s="165">
        <v>2560000</v>
      </c>
      <c r="E220" s="21" t="s">
        <v>411</v>
      </c>
      <c r="F220" s="21" t="s">
        <v>412</v>
      </c>
      <c r="G220" s="8" t="str">
        <f t="shared" si="3"/>
        <v>MACDONALD THOMAS</v>
      </c>
    </row>
    <row r="221" spans="1:7" x14ac:dyDescent="0.25">
      <c r="A221" s="8">
        <v>42713.913599537038</v>
      </c>
      <c r="B221" s="21" t="s">
        <v>216</v>
      </c>
      <c r="C221" s="21" t="s">
        <v>682</v>
      </c>
      <c r="D221" s="165">
        <v>1800000</v>
      </c>
      <c r="E221" s="21" t="s">
        <v>247</v>
      </c>
      <c r="F221" s="21" t="s">
        <v>288</v>
      </c>
      <c r="G221" s="8" t="str">
        <f t="shared" si="3"/>
        <v>CHANDLER KELVIN</v>
      </c>
    </row>
    <row r="222" spans="1:7" x14ac:dyDescent="0.25">
      <c r="A222" s="8">
        <v>42713.921898148146</v>
      </c>
      <c r="B222" s="21" t="s">
        <v>207</v>
      </c>
      <c r="C222" s="21" t="s">
        <v>683</v>
      </c>
      <c r="D222" s="165">
        <v>1810000</v>
      </c>
      <c r="E222" s="21" t="s">
        <v>361</v>
      </c>
      <c r="F222" s="21" t="s">
        <v>279</v>
      </c>
      <c r="G222" s="8" t="str">
        <f t="shared" si="3"/>
        <v>NEWELL JAMES</v>
      </c>
    </row>
    <row r="223" spans="1:7" x14ac:dyDescent="0.25">
      <c r="A223" s="8">
        <v>42713.923715277779</v>
      </c>
      <c r="B223" s="21" t="s">
        <v>155</v>
      </c>
      <c r="C223" s="21" t="s">
        <v>684</v>
      </c>
      <c r="D223" s="165">
        <v>1230000</v>
      </c>
      <c r="E223" s="21" t="s">
        <v>266</v>
      </c>
      <c r="F223" s="21" t="s">
        <v>276</v>
      </c>
      <c r="G223" s="8" t="str">
        <f t="shared" si="3"/>
        <v>YANAI IAN</v>
      </c>
    </row>
    <row r="224" spans="1:7" x14ac:dyDescent="0.25">
      <c r="A224" s="8">
        <v>42713.935324074075</v>
      </c>
      <c r="B224" t="s">
        <v>214</v>
      </c>
      <c r="C224" t="s">
        <v>685</v>
      </c>
      <c r="D224" s="165">
        <v>2000000</v>
      </c>
      <c r="E224" t="s">
        <v>211</v>
      </c>
      <c r="F224" s="21" t="s">
        <v>279</v>
      </c>
      <c r="G224" s="8" t="str">
        <f t="shared" si="3"/>
        <v>STAMBAUGH JAMES</v>
      </c>
    </row>
    <row r="225" spans="1:7" x14ac:dyDescent="0.25">
      <c r="A225" s="8">
        <v>42713.94332175926</v>
      </c>
      <c r="B225" t="s">
        <v>209</v>
      </c>
      <c r="C225" t="s">
        <v>686</v>
      </c>
      <c r="D225" s="165">
        <v>1810000</v>
      </c>
      <c r="E225" t="s">
        <v>361</v>
      </c>
      <c r="F225" s="21" t="s">
        <v>279</v>
      </c>
      <c r="G225" s="8" t="str">
        <f t="shared" si="3"/>
        <v>NEWELL JAMES</v>
      </c>
    </row>
    <row r="226" spans="1:7" x14ac:dyDescent="0.25">
      <c r="A226" s="8">
        <v>42713.954085648147</v>
      </c>
      <c r="B226" t="s">
        <v>394</v>
      </c>
      <c r="C226" t="s">
        <v>687</v>
      </c>
      <c r="D226" s="165">
        <v>1800000</v>
      </c>
      <c r="E226" t="s">
        <v>247</v>
      </c>
      <c r="F226" s="21" t="s">
        <v>288</v>
      </c>
      <c r="G226" s="8" t="str">
        <f t="shared" si="3"/>
        <v>CHANDLER KELVIN</v>
      </c>
    </row>
    <row r="227" spans="1:7" x14ac:dyDescent="0.25">
      <c r="A227" s="8">
        <v>42713.956018518518</v>
      </c>
      <c r="B227" t="s">
        <v>205</v>
      </c>
      <c r="C227" t="s">
        <v>688</v>
      </c>
      <c r="D227" s="165">
        <v>1300000</v>
      </c>
      <c r="E227" t="s">
        <v>113</v>
      </c>
      <c r="F227" s="21" t="s">
        <v>278</v>
      </c>
      <c r="G227" s="8" t="str">
        <f t="shared" si="3"/>
        <v>LEVIN SCOTT</v>
      </c>
    </row>
    <row r="228" spans="1:7" x14ac:dyDescent="0.25">
      <c r="A228" s="8">
        <v>42713.966481481482</v>
      </c>
      <c r="B228" t="s">
        <v>154</v>
      </c>
      <c r="C228" t="s">
        <v>689</v>
      </c>
      <c r="D228" s="165">
        <v>1230000</v>
      </c>
      <c r="E228" t="s">
        <v>266</v>
      </c>
      <c r="F228" s="21" t="s">
        <v>276</v>
      </c>
      <c r="G228" s="8" t="str">
        <f t="shared" si="3"/>
        <v>YANAI IAN</v>
      </c>
    </row>
    <row r="229" spans="1:7" x14ac:dyDescent="0.25">
      <c r="A229" s="8">
        <v>42713.974004629628</v>
      </c>
      <c r="B229" t="s">
        <v>398</v>
      </c>
      <c r="C229" t="s">
        <v>690</v>
      </c>
      <c r="D229" s="165">
        <v>2000000</v>
      </c>
      <c r="E229" t="s">
        <v>211</v>
      </c>
      <c r="F229" s="21" t="s">
        <v>279</v>
      </c>
      <c r="G229" s="8" t="str">
        <f t="shared" si="3"/>
        <v>STAMBAUGH JAMES</v>
      </c>
    </row>
    <row r="230" spans="1:7" x14ac:dyDescent="0.25">
      <c r="A230" s="8">
        <v>42713.994479166664</v>
      </c>
      <c r="B230" t="s">
        <v>212</v>
      </c>
      <c r="C230" t="s">
        <v>691</v>
      </c>
      <c r="D230" s="165">
        <v>1300000</v>
      </c>
      <c r="E230" t="s">
        <v>113</v>
      </c>
      <c r="F230" s="21" t="s">
        <v>278</v>
      </c>
      <c r="G230" s="8" t="str">
        <f t="shared" si="3"/>
        <v>LEVIN SCOTT</v>
      </c>
    </row>
    <row r="231" spans="1:7" x14ac:dyDescent="0.25">
      <c r="A231" s="8">
        <v>42713.995694444442</v>
      </c>
      <c r="B231" t="s">
        <v>216</v>
      </c>
      <c r="C231" t="s">
        <v>692</v>
      </c>
      <c r="D231" s="165">
        <v>1800000</v>
      </c>
      <c r="E231" t="s">
        <v>247</v>
      </c>
      <c r="F231" s="21" t="s">
        <v>288</v>
      </c>
      <c r="G231" s="8" t="str">
        <f t="shared" si="3"/>
        <v>CHANDLER KELVIN</v>
      </c>
    </row>
    <row r="232" spans="1:7" x14ac:dyDescent="0.25">
      <c r="A232" s="8">
        <v>42714.006782407407</v>
      </c>
      <c r="B232" t="s">
        <v>214</v>
      </c>
      <c r="C232" t="s">
        <v>693</v>
      </c>
      <c r="D232" s="165">
        <v>2000000</v>
      </c>
      <c r="E232" t="s">
        <v>211</v>
      </c>
      <c r="F232" s="21" t="s">
        <v>279</v>
      </c>
      <c r="G232" s="8" t="str">
        <f t="shared" si="3"/>
        <v>STAMBAUGH JAMES</v>
      </c>
    </row>
    <row r="233" spans="1:7" x14ac:dyDescent="0.25">
      <c r="A233" s="8">
        <v>42714.006828703707</v>
      </c>
      <c r="B233" t="s">
        <v>155</v>
      </c>
      <c r="C233" t="s">
        <v>694</v>
      </c>
      <c r="D233" s="165">
        <v>1230000</v>
      </c>
      <c r="E233" t="s">
        <v>266</v>
      </c>
      <c r="F233" s="21" t="s">
        <v>276</v>
      </c>
      <c r="G233" s="8" t="str">
        <f t="shared" si="3"/>
        <v>YANAI IAN</v>
      </c>
    </row>
    <row r="234" spans="1:7" x14ac:dyDescent="0.25">
      <c r="A234" s="8">
        <v>42714.010578703703</v>
      </c>
      <c r="B234" t="s">
        <v>212</v>
      </c>
      <c r="C234" t="s">
        <v>691</v>
      </c>
      <c r="D234" s="165">
        <v>1300000</v>
      </c>
      <c r="E234" t="s">
        <v>113</v>
      </c>
      <c r="F234" s="21" t="s">
        <v>278</v>
      </c>
      <c r="G234" s="8" t="str">
        <f t="shared" si="3"/>
        <v>LEVIN SCOTT</v>
      </c>
    </row>
    <row r="235" spans="1:7" x14ac:dyDescent="0.25">
      <c r="A235" s="8">
        <v>42714.034513888888</v>
      </c>
      <c r="B235" t="s">
        <v>394</v>
      </c>
      <c r="C235" t="s">
        <v>395</v>
      </c>
      <c r="D235" s="165">
        <v>1800000</v>
      </c>
      <c r="E235" t="s">
        <v>247</v>
      </c>
      <c r="F235" s="21" t="s">
        <v>288</v>
      </c>
      <c r="G235" s="8" t="str">
        <f t="shared" si="3"/>
        <v>CHANDLER KELVIN</v>
      </c>
    </row>
    <row r="236" spans="1:7" x14ac:dyDescent="0.25">
      <c r="A236" s="8">
        <v>42714.037627314814</v>
      </c>
      <c r="B236" t="s">
        <v>205</v>
      </c>
      <c r="C236" t="s">
        <v>396</v>
      </c>
      <c r="D236" s="165">
        <v>1300000</v>
      </c>
      <c r="E236" t="s">
        <v>113</v>
      </c>
      <c r="F236" s="21" t="s">
        <v>278</v>
      </c>
      <c r="G236" s="8" t="str">
        <f t="shared" si="3"/>
        <v>LEVIN SCOTT</v>
      </c>
    </row>
    <row r="237" spans="1:7" x14ac:dyDescent="0.25">
      <c r="A237" s="8">
        <v>42714.047696759262</v>
      </c>
      <c r="B237" t="s">
        <v>154</v>
      </c>
      <c r="C237" t="s">
        <v>397</v>
      </c>
      <c r="D237" s="165">
        <v>1230000</v>
      </c>
      <c r="E237" t="s">
        <v>266</v>
      </c>
      <c r="F237" s="21" t="s">
        <v>276</v>
      </c>
      <c r="G237" s="8" t="str">
        <f t="shared" si="3"/>
        <v>YANAI IAN</v>
      </c>
    </row>
    <row r="238" spans="1:7" x14ac:dyDescent="0.25">
      <c r="A238" s="8">
        <v>42714.057800925926</v>
      </c>
      <c r="B238" t="s">
        <v>398</v>
      </c>
      <c r="C238" t="s">
        <v>399</v>
      </c>
      <c r="D238" s="165">
        <v>2000000</v>
      </c>
      <c r="E238" t="s">
        <v>211</v>
      </c>
      <c r="F238" s="21" t="s">
        <v>279</v>
      </c>
      <c r="G238" s="8" t="str">
        <f t="shared" si="3"/>
        <v>STAMBAUGH JAMES</v>
      </c>
    </row>
    <row r="239" spans="1:7" x14ac:dyDescent="0.25">
      <c r="A239" s="8">
        <v>42714.070983796293</v>
      </c>
      <c r="B239" t="s">
        <v>216</v>
      </c>
      <c r="C239" t="s">
        <v>400</v>
      </c>
      <c r="D239" s="165">
        <v>1800000</v>
      </c>
      <c r="E239" t="s">
        <v>247</v>
      </c>
      <c r="F239" s="21" t="s">
        <v>288</v>
      </c>
      <c r="G239" s="8" t="str">
        <f t="shared" si="3"/>
        <v>CHANDLER KELVIN</v>
      </c>
    </row>
    <row r="240" spans="1:7" x14ac:dyDescent="0.25">
      <c r="A240" s="8">
        <v>42714.073622685188</v>
      </c>
      <c r="B240" t="s">
        <v>212</v>
      </c>
      <c r="C240" t="s">
        <v>401</v>
      </c>
      <c r="D240" s="165">
        <v>1300000</v>
      </c>
      <c r="E240" t="s">
        <v>113</v>
      </c>
      <c r="F240" s="21" t="s">
        <v>278</v>
      </c>
      <c r="G240" s="8" t="str">
        <f t="shared" si="3"/>
        <v>LEVIN SCOTT</v>
      </c>
    </row>
    <row r="241" spans="1:7" x14ac:dyDescent="0.25">
      <c r="A241" s="8">
        <v>42714.087916666664</v>
      </c>
      <c r="B241" t="s">
        <v>214</v>
      </c>
      <c r="C241" t="s">
        <v>402</v>
      </c>
      <c r="D241" s="165">
        <v>2000000</v>
      </c>
      <c r="E241" t="s">
        <v>211</v>
      </c>
      <c r="F241" s="21" t="s">
        <v>279</v>
      </c>
      <c r="G241" s="8" t="str">
        <f t="shared" si="3"/>
        <v>STAMBAUGH JAMES</v>
      </c>
    </row>
    <row r="242" spans="1:7" x14ac:dyDescent="0.25">
      <c r="A242" s="8">
        <v>42714.098668981482</v>
      </c>
      <c r="B242" t="s">
        <v>212</v>
      </c>
      <c r="C242" t="s">
        <v>401</v>
      </c>
      <c r="D242" s="165">
        <v>1300000</v>
      </c>
      <c r="E242" t="s">
        <v>113</v>
      </c>
      <c r="F242" s="21" t="s">
        <v>278</v>
      </c>
      <c r="G242" s="8" t="str">
        <f t="shared" si="3"/>
        <v>LEVIN SCOTT</v>
      </c>
    </row>
    <row r="243" spans="1:7" x14ac:dyDescent="0.25">
      <c r="A243" s="8">
        <v>42714.111562500002</v>
      </c>
      <c r="B243" t="s">
        <v>205</v>
      </c>
      <c r="C243" t="s">
        <v>403</v>
      </c>
      <c r="D243" s="165">
        <v>1300000</v>
      </c>
      <c r="E243" t="s">
        <v>113</v>
      </c>
      <c r="F243" s="21" t="s">
        <v>278</v>
      </c>
      <c r="G243" s="8" t="str">
        <f t="shared" si="3"/>
        <v>LEVIN SCOTT</v>
      </c>
    </row>
    <row r="244" spans="1:7" x14ac:dyDescent="0.25">
      <c r="A244" s="8">
        <v>42710.993564814817</v>
      </c>
      <c r="B244" t="s">
        <v>269</v>
      </c>
      <c r="C244" t="s">
        <v>312</v>
      </c>
      <c r="D244" s="165">
        <v>1180000</v>
      </c>
      <c r="E244" t="s">
        <v>261</v>
      </c>
      <c r="F244" s="21" t="s">
        <v>277</v>
      </c>
      <c r="G244" s="8" t="str">
        <f t="shared" si="3"/>
        <v>LEVERE CRAIG</v>
      </c>
    </row>
    <row r="245" spans="1:7" x14ac:dyDescent="0.25">
      <c r="A245" s="8">
        <v>42711.01425925926</v>
      </c>
      <c r="B245" t="s">
        <v>282</v>
      </c>
      <c r="C245" t="s">
        <v>308</v>
      </c>
      <c r="D245" s="165">
        <v>1290000</v>
      </c>
      <c r="E245" t="s">
        <v>262</v>
      </c>
      <c r="F245" s="21" t="s">
        <v>275</v>
      </c>
      <c r="G245" s="8" t="str">
        <f t="shared" si="3"/>
        <v>COOLAHAN JOHN</v>
      </c>
    </row>
    <row r="246" spans="1:7" x14ac:dyDescent="0.25">
      <c r="A246" s="8">
        <v>42711.019074074073</v>
      </c>
      <c r="B246" t="s">
        <v>205</v>
      </c>
      <c r="C246" t="s">
        <v>313</v>
      </c>
      <c r="D246" s="165">
        <v>1800000</v>
      </c>
      <c r="E246" t="s">
        <v>247</v>
      </c>
      <c r="F246" s="21" t="s">
        <v>288</v>
      </c>
      <c r="G246" s="8" t="str">
        <f t="shared" si="3"/>
        <v>CHANDLER KELVIN</v>
      </c>
    </row>
    <row r="247" spans="1:7" x14ac:dyDescent="0.25">
      <c r="A247" s="8">
        <v>42711.031099537038</v>
      </c>
      <c r="B247" t="s">
        <v>283</v>
      </c>
      <c r="C247" t="s">
        <v>309</v>
      </c>
      <c r="D247" s="165">
        <v>1230000</v>
      </c>
      <c r="E247" t="s">
        <v>266</v>
      </c>
      <c r="F247" s="21" t="s">
        <v>276</v>
      </c>
      <c r="G247" s="8" t="str">
        <f t="shared" si="3"/>
        <v>YANAI IAN</v>
      </c>
    </row>
    <row r="248" spans="1:7" x14ac:dyDescent="0.25">
      <c r="A248" s="8">
        <v>42711.03497685185</v>
      </c>
      <c r="B248" t="s">
        <v>272</v>
      </c>
      <c r="C248" t="s">
        <v>314</v>
      </c>
      <c r="D248" s="165">
        <v>1180000</v>
      </c>
      <c r="E248" t="s">
        <v>261</v>
      </c>
      <c r="F248" s="21" t="s">
        <v>277</v>
      </c>
      <c r="G248" s="8" t="str">
        <f t="shared" si="3"/>
        <v>LEVERE CRAIG</v>
      </c>
    </row>
    <row r="249" spans="1:7" x14ac:dyDescent="0.25">
      <c r="A249" s="8">
        <v>42711.048715277779</v>
      </c>
      <c r="B249" t="s">
        <v>285</v>
      </c>
      <c r="C249" t="s">
        <v>315</v>
      </c>
      <c r="D249" s="165">
        <v>1290000</v>
      </c>
      <c r="E249" t="s">
        <v>262</v>
      </c>
      <c r="F249" s="21" t="s">
        <v>275</v>
      </c>
      <c r="G249" s="8" t="str">
        <f t="shared" si="3"/>
        <v>COOLAHAN JOHN</v>
      </c>
    </row>
    <row r="250" spans="1:7" x14ac:dyDescent="0.25">
      <c r="A250" s="8">
        <v>42711.05877314815</v>
      </c>
      <c r="B250" t="s">
        <v>212</v>
      </c>
      <c r="C250" t="s">
        <v>316</v>
      </c>
      <c r="D250" s="165">
        <v>1800000</v>
      </c>
      <c r="E250" t="s">
        <v>247</v>
      </c>
      <c r="F250" s="21" t="s">
        <v>288</v>
      </c>
      <c r="G250" s="8" t="str">
        <f t="shared" si="3"/>
        <v>CHANDLER KELVIN</v>
      </c>
    </row>
    <row r="251" spans="1:7" x14ac:dyDescent="0.25">
      <c r="A251" s="8">
        <v>42711.068078703705</v>
      </c>
      <c r="B251" t="s">
        <v>284</v>
      </c>
      <c r="C251" t="s">
        <v>317</v>
      </c>
      <c r="D251" s="165">
        <v>1230000</v>
      </c>
      <c r="E251" t="s">
        <v>266</v>
      </c>
      <c r="F251" s="21" t="s">
        <v>276</v>
      </c>
      <c r="G251" s="8" t="str">
        <f t="shared" si="3"/>
        <v>YANAI IAN</v>
      </c>
    </row>
    <row r="252" spans="1:7" x14ac:dyDescent="0.25">
      <c r="A252" s="8">
        <v>42711.082199074073</v>
      </c>
      <c r="B252" t="s">
        <v>212</v>
      </c>
      <c r="C252" t="s">
        <v>316</v>
      </c>
      <c r="D252" s="165">
        <v>1800000</v>
      </c>
      <c r="E252" t="s">
        <v>247</v>
      </c>
      <c r="F252" s="21" t="s">
        <v>288</v>
      </c>
      <c r="G252" s="8" t="str">
        <f t="shared" si="3"/>
        <v>CHANDLER KELVIN</v>
      </c>
    </row>
    <row r="253" spans="1:7" x14ac:dyDescent="0.25">
      <c r="A253" s="8">
        <v>42711.093726851854</v>
      </c>
      <c r="B253" t="s">
        <v>205</v>
      </c>
      <c r="C253" t="s">
        <v>186</v>
      </c>
      <c r="D253" s="165">
        <v>1800000</v>
      </c>
      <c r="E253" t="s">
        <v>247</v>
      </c>
      <c r="F253" s="21" t="s">
        <v>288</v>
      </c>
      <c r="G253" s="8" t="str">
        <f t="shared" si="3"/>
        <v>CHANDLER KELVIN</v>
      </c>
    </row>
    <row r="254" spans="1:7" x14ac:dyDescent="0.25">
      <c r="A254" s="8">
        <v>42700.045347222222</v>
      </c>
      <c r="B254" t="s">
        <v>237</v>
      </c>
      <c r="C254" t="s">
        <v>251</v>
      </c>
      <c r="D254" s="165">
        <v>2630000</v>
      </c>
      <c r="E254" t="s">
        <v>244</v>
      </c>
      <c r="F254" s="21" t="str">
        <f t="shared" ref="F254:F265" si="4">B254</f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242</v>
      </c>
      <c r="C255" t="s">
        <v>252</v>
      </c>
      <c r="D255" s="165">
        <v>2000000</v>
      </c>
      <c r="E255" t="s">
        <v>211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249</v>
      </c>
      <c r="D256" s="165">
        <v>2530000</v>
      </c>
      <c r="E256" t="s">
        <v>248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229</v>
      </c>
      <c r="C257" t="s">
        <v>253</v>
      </c>
      <c r="D257" s="165">
        <v>1800000</v>
      </c>
      <c r="E257" t="s">
        <v>247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209</v>
      </c>
      <c r="C258" t="s">
        <v>254</v>
      </c>
      <c r="D258" s="165">
        <v>2600000</v>
      </c>
      <c r="E258" t="s">
        <v>243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250</v>
      </c>
      <c r="D259" s="165">
        <v>2530000</v>
      </c>
      <c r="E259" t="s">
        <v>248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241</v>
      </c>
      <c r="C260" t="s">
        <v>255</v>
      </c>
      <c r="D260" s="165">
        <v>2000000</v>
      </c>
      <c r="E260" t="s">
        <v>211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249</v>
      </c>
      <c r="D261" s="165">
        <v>2530000</v>
      </c>
      <c r="E261" t="s">
        <v>248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207</v>
      </c>
      <c r="C262" t="s">
        <v>256</v>
      </c>
      <c r="D262" s="165">
        <v>2600000</v>
      </c>
      <c r="E262" t="s">
        <v>243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205</v>
      </c>
      <c r="C263" t="s">
        <v>220</v>
      </c>
      <c r="D263" s="165">
        <v>2000000</v>
      </c>
      <c r="E263" t="s">
        <v>211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216</v>
      </c>
      <c r="C264" t="s">
        <v>221</v>
      </c>
      <c r="D264" s="165">
        <v>2550000</v>
      </c>
      <c r="E264" t="s">
        <v>215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219</v>
      </c>
      <c r="C265" t="s">
        <v>222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214</v>
      </c>
      <c r="C266" t="s">
        <v>223</v>
      </c>
      <c r="D266" s="165">
        <v>2420000</v>
      </c>
      <c r="E266" t="s">
        <v>217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212</v>
      </c>
      <c r="C267" t="s">
        <v>224</v>
      </c>
      <c r="D267" s="165">
        <v>2000000</v>
      </c>
      <c r="E267" t="s">
        <v>211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218</v>
      </c>
      <c r="C268" t="s">
        <v>225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318</v>
      </c>
      <c r="I1" s="164" t="s">
        <v>171</v>
      </c>
      <c r="J1" s="164" t="s">
        <v>172</v>
      </c>
      <c r="K1" s="164" t="s">
        <v>319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13.11</v>
      </c>
      <c r="B2" s="165">
        <v>0.47</v>
      </c>
      <c r="C2" s="165">
        <v>7.4</v>
      </c>
      <c r="D2" s="8">
        <v>42713</v>
      </c>
      <c r="E2" s="165">
        <v>0.77</v>
      </c>
      <c r="F2" s="165" t="s">
        <v>257</v>
      </c>
      <c r="G2" s="165">
        <v>273.93</v>
      </c>
      <c r="H2" s="165"/>
      <c r="I2" s="165">
        <v>0</v>
      </c>
      <c r="J2" s="165">
        <v>0</v>
      </c>
      <c r="K2" s="165"/>
      <c r="L2" s="165">
        <v>1030.18</v>
      </c>
      <c r="M2" s="165" t="s">
        <v>267</v>
      </c>
      <c r="N2" s="165">
        <v>13.11</v>
      </c>
      <c r="O2" s="165">
        <v>1481266800</v>
      </c>
      <c r="P2" s="165">
        <v>4.0999999999999996</v>
      </c>
      <c r="Q2" s="165">
        <v>311</v>
      </c>
      <c r="R2" s="165">
        <v>0.97</v>
      </c>
    </row>
    <row r="3" spans="1:18" x14ac:dyDescent="0.25">
      <c r="A3" s="165">
        <v>12.69</v>
      </c>
      <c r="B3" s="165">
        <v>0.47</v>
      </c>
      <c r="C3" s="165">
        <v>6.95</v>
      </c>
      <c r="D3" s="8">
        <v>42713.041666666664</v>
      </c>
      <c r="E3" s="165">
        <v>0.77</v>
      </c>
      <c r="F3" s="165" t="s">
        <v>257</v>
      </c>
      <c r="G3" s="165">
        <v>273.62</v>
      </c>
      <c r="H3" s="165"/>
      <c r="I3" s="165">
        <v>0</v>
      </c>
      <c r="J3" s="165">
        <v>0</v>
      </c>
      <c r="K3" s="165"/>
      <c r="L3" s="165">
        <v>1029.3800000000001</v>
      </c>
      <c r="M3" s="165" t="s">
        <v>267</v>
      </c>
      <c r="N3" s="165">
        <v>12.69</v>
      </c>
      <c r="O3" s="165">
        <v>1481270400</v>
      </c>
      <c r="P3" s="165">
        <v>4.42</v>
      </c>
      <c r="Q3" s="165">
        <v>264</v>
      </c>
      <c r="R3" s="165">
        <v>0.5</v>
      </c>
    </row>
    <row r="4" spans="1:18" x14ac:dyDescent="0.25">
      <c r="A4" s="165">
        <v>13.18</v>
      </c>
      <c r="B4" s="165">
        <v>0.48</v>
      </c>
      <c r="C4" s="165">
        <v>7.45</v>
      </c>
      <c r="D4" s="8">
        <v>42713.083333333336</v>
      </c>
      <c r="E4" s="165">
        <v>0.77</v>
      </c>
      <c r="F4" s="165" t="s">
        <v>320</v>
      </c>
      <c r="G4" s="165">
        <v>273.3</v>
      </c>
      <c r="H4" s="165">
        <v>1.4999999999999999E-2</v>
      </c>
      <c r="I4" s="165">
        <v>8.0000000000000004E-4</v>
      </c>
      <c r="J4" s="165">
        <v>0.01</v>
      </c>
      <c r="K4" s="165" t="s">
        <v>320</v>
      </c>
      <c r="L4" s="165">
        <v>1028.58</v>
      </c>
      <c r="M4" s="165" t="s">
        <v>414</v>
      </c>
      <c r="N4" s="165">
        <v>13.18</v>
      </c>
      <c r="O4" s="165">
        <v>1481274000</v>
      </c>
      <c r="P4" s="165">
        <v>5.09</v>
      </c>
      <c r="Q4" s="165">
        <v>192</v>
      </c>
      <c r="R4" s="165">
        <v>0.27</v>
      </c>
    </row>
    <row r="5" spans="1:18" x14ac:dyDescent="0.25">
      <c r="A5" s="165">
        <v>15.7</v>
      </c>
      <c r="B5" s="165">
        <v>0.47</v>
      </c>
      <c r="C5" s="165">
        <v>10.11</v>
      </c>
      <c r="D5" s="8">
        <v>42713.125</v>
      </c>
      <c r="E5" s="165">
        <v>0.78</v>
      </c>
      <c r="F5" s="165" t="s">
        <v>257</v>
      </c>
      <c r="G5" s="165">
        <v>273.60000000000002</v>
      </c>
      <c r="H5" s="165"/>
      <c r="I5" s="165">
        <v>0</v>
      </c>
      <c r="J5" s="165">
        <v>0</v>
      </c>
      <c r="K5" s="165"/>
      <c r="L5" s="165">
        <v>1027.92</v>
      </c>
      <c r="M5" s="165" t="s">
        <v>267</v>
      </c>
      <c r="N5" s="165">
        <v>15.7</v>
      </c>
      <c r="O5" s="165">
        <v>1481277600</v>
      </c>
      <c r="P5" s="165">
        <v>5.37</v>
      </c>
      <c r="Q5" s="165">
        <v>182</v>
      </c>
      <c r="R5" s="165">
        <v>1.35</v>
      </c>
    </row>
    <row r="6" spans="1:18" x14ac:dyDescent="0.25">
      <c r="A6" s="165">
        <v>12.64</v>
      </c>
      <c r="B6" s="165">
        <v>0.43</v>
      </c>
      <c r="C6" s="165">
        <v>6.92</v>
      </c>
      <c r="D6" s="8">
        <v>42713.166666666664</v>
      </c>
      <c r="E6" s="165">
        <v>0.77</v>
      </c>
      <c r="F6" s="165" t="s">
        <v>257</v>
      </c>
      <c r="G6" s="165">
        <v>274.11</v>
      </c>
      <c r="H6" s="165"/>
      <c r="I6" s="165">
        <v>0</v>
      </c>
      <c r="J6" s="165">
        <v>0</v>
      </c>
      <c r="K6" s="165"/>
      <c r="L6" s="165">
        <v>1027.29</v>
      </c>
      <c r="M6" s="165" t="s">
        <v>267</v>
      </c>
      <c r="N6" s="165">
        <v>12.64</v>
      </c>
      <c r="O6" s="165">
        <v>1481281200</v>
      </c>
      <c r="P6" s="165">
        <v>6.45</v>
      </c>
      <c r="Q6" s="165">
        <v>233</v>
      </c>
      <c r="R6" s="165">
        <v>1.18</v>
      </c>
    </row>
    <row r="7" spans="1:18" x14ac:dyDescent="0.25">
      <c r="A7" s="165">
        <v>13.73</v>
      </c>
      <c r="B7" s="165">
        <v>0.4</v>
      </c>
      <c r="C7" s="165">
        <v>7.93</v>
      </c>
      <c r="D7" s="8">
        <v>42713.208333333336</v>
      </c>
      <c r="E7" s="165">
        <v>0.77</v>
      </c>
      <c r="F7" s="165" t="s">
        <v>257</v>
      </c>
      <c r="G7" s="165">
        <v>274.24</v>
      </c>
      <c r="H7" s="165"/>
      <c r="I7" s="165">
        <v>0</v>
      </c>
      <c r="J7" s="165">
        <v>0</v>
      </c>
      <c r="K7" s="165"/>
      <c r="L7" s="165">
        <v>1026.5999999999999</v>
      </c>
      <c r="M7" s="165" t="s">
        <v>267</v>
      </c>
      <c r="N7" s="165">
        <v>13.73</v>
      </c>
      <c r="O7" s="165">
        <v>1481284800</v>
      </c>
      <c r="P7" s="165">
        <v>6.01</v>
      </c>
      <c r="Q7" s="165">
        <v>252</v>
      </c>
      <c r="R7" s="165">
        <v>1.42</v>
      </c>
    </row>
    <row r="8" spans="1:18" x14ac:dyDescent="0.25">
      <c r="A8" s="165">
        <v>12.41</v>
      </c>
      <c r="B8" s="165">
        <v>0.32</v>
      </c>
      <c r="C8" s="165">
        <v>7.46</v>
      </c>
      <c r="D8" s="8">
        <v>42713.25</v>
      </c>
      <c r="E8" s="165">
        <v>0.8</v>
      </c>
      <c r="F8" s="165" t="s">
        <v>257</v>
      </c>
      <c r="G8" s="165">
        <v>273.56</v>
      </c>
      <c r="H8" s="165"/>
      <c r="I8" s="165">
        <v>0</v>
      </c>
      <c r="J8" s="165">
        <v>0</v>
      </c>
      <c r="K8" s="165"/>
      <c r="L8" s="165">
        <v>1026.01</v>
      </c>
      <c r="M8" s="165" t="s">
        <v>267</v>
      </c>
      <c r="N8" s="165">
        <v>12.41</v>
      </c>
      <c r="O8" s="165">
        <v>1481288400</v>
      </c>
      <c r="P8" s="165">
        <v>4.72</v>
      </c>
      <c r="Q8" s="165">
        <v>234</v>
      </c>
      <c r="R8" s="165">
        <v>2.39</v>
      </c>
    </row>
    <row r="9" spans="1:18" x14ac:dyDescent="0.25">
      <c r="A9" s="165">
        <v>14</v>
      </c>
      <c r="B9" s="165">
        <v>0.38</v>
      </c>
      <c r="C9" s="165">
        <v>8.51</v>
      </c>
      <c r="D9" s="8">
        <v>42713.291666666664</v>
      </c>
      <c r="E9" s="165">
        <v>0.78</v>
      </c>
      <c r="F9" s="165" t="s">
        <v>257</v>
      </c>
      <c r="G9" s="165">
        <v>272.5</v>
      </c>
      <c r="H9" s="165"/>
      <c r="I9" s="165">
        <v>0</v>
      </c>
      <c r="J9" s="165">
        <v>0</v>
      </c>
      <c r="K9" s="165"/>
      <c r="L9" s="165">
        <v>1025.4100000000001</v>
      </c>
      <c r="M9" s="165" t="s">
        <v>267</v>
      </c>
      <c r="N9" s="165">
        <v>14</v>
      </c>
      <c r="O9" s="165">
        <v>1481292000</v>
      </c>
      <c r="P9" s="165">
        <v>4.24</v>
      </c>
      <c r="Q9" s="165">
        <v>225</v>
      </c>
      <c r="R9" s="165">
        <v>2.75</v>
      </c>
    </row>
    <row r="10" spans="1:18" x14ac:dyDescent="0.25">
      <c r="A10" s="165">
        <v>16.809999999999999</v>
      </c>
      <c r="B10" s="165">
        <v>0.38</v>
      </c>
      <c r="C10" s="165">
        <v>10.99</v>
      </c>
      <c r="D10" s="8">
        <v>42713.333333333336</v>
      </c>
      <c r="E10" s="165">
        <v>0.77</v>
      </c>
      <c r="F10" s="165" t="s">
        <v>258</v>
      </c>
      <c r="G10" s="165">
        <v>271.79000000000002</v>
      </c>
      <c r="H10" s="165"/>
      <c r="I10" s="165">
        <v>0</v>
      </c>
      <c r="J10" s="165">
        <v>0</v>
      </c>
      <c r="K10" s="165"/>
      <c r="L10" s="165">
        <v>1024.3599999999999</v>
      </c>
      <c r="M10" s="165" t="s">
        <v>267</v>
      </c>
      <c r="N10" s="165">
        <v>16.809999999999999</v>
      </c>
      <c r="O10" s="165">
        <v>1481295600</v>
      </c>
      <c r="P10" s="165">
        <v>4.57</v>
      </c>
      <c r="Q10" s="165">
        <v>246</v>
      </c>
      <c r="R10" s="165">
        <v>1.68</v>
      </c>
    </row>
    <row r="11" spans="1:18" x14ac:dyDescent="0.25">
      <c r="A11" s="165">
        <v>24.88</v>
      </c>
      <c r="B11" s="165">
        <v>0.38</v>
      </c>
      <c r="C11" s="165">
        <v>17.87</v>
      </c>
      <c r="D11" s="8">
        <v>42713.375</v>
      </c>
      <c r="E11" s="165">
        <v>0.74</v>
      </c>
      <c r="F11" s="165" t="s">
        <v>258</v>
      </c>
      <c r="G11" s="165">
        <v>271.95999999999998</v>
      </c>
      <c r="H11" s="165"/>
      <c r="I11" s="165">
        <v>0</v>
      </c>
      <c r="J11" s="165">
        <v>0</v>
      </c>
      <c r="K11" s="165"/>
      <c r="L11" s="165">
        <v>1022.38</v>
      </c>
      <c r="M11" s="165" t="s">
        <v>267</v>
      </c>
      <c r="N11" s="165">
        <v>24.88</v>
      </c>
      <c r="O11" s="165">
        <v>1481299200</v>
      </c>
      <c r="P11" s="165">
        <v>5.6</v>
      </c>
      <c r="Q11" s="165">
        <v>232</v>
      </c>
      <c r="R11" s="165">
        <v>2.15</v>
      </c>
    </row>
    <row r="12" spans="1:18" x14ac:dyDescent="0.25">
      <c r="A12" s="165">
        <v>33.07</v>
      </c>
      <c r="B12" s="165">
        <v>0.38</v>
      </c>
      <c r="C12" s="165">
        <v>23.26</v>
      </c>
      <c r="D12" s="8">
        <v>42713.416666666664</v>
      </c>
      <c r="E12" s="165">
        <v>0.67</v>
      </c>
      <c r="F12" s="165" t="s">
        <v>258</v>
      </c>
      <c r="G12" s="165">
        <v>272.48</v>
      </c>
      <c r="H12" s="165"/>
      <c r="I12" s="165">
        <v>0</v>
      </c>
      <c r="J12" s="165">
        <v>0</v>
      </c>
      <c r="K12" s="165"/>
      <c r="L12" s="165">
        <v>1020.2</v>
      </c>
      <c r="M12" s="165" t="s">
        <v>267</v>
      </c>
      <c r="N12" s="165">
        <v>33.07</v>
      </c>
      <c r="O12" s="165">
        <v>1481302800</v>
      </c>
      <c r="P12" s="165">
        <v>5.92</v>
      </c>
      <c r="Q12" s="165">
        <v>254</v>
      </c>
      <c r="R12" s="165">
        <v>2.73</v>
      </c>
    </row>
    <row r="13" spans="1:18" x14ac:dyDescent="0.25">
      <c r="A13" s="165">
        <v>40.03</v>
      </c>
      <c r="B13" s="165">
        <v>0.39</v>
      </c>
      <c r="C13" s="165">
        <v>25.57</v>
      </c>
      <c r="D13" s="8">
        <v>42713.458333333336</v>
      </c>
      <c r="E13" s="165">
        <v>0.56000000000000005</v>
      </c>
      <c r="F13" s="165" t="s">
        <v>258</v>
      </c>
      <c r="G13" s="165">
        <v>272.43</v>
      </c>
      <c r="H13" s="165"/>
      <c r="I13" s="165">
        <v>0</v>
      </c>
      <c r="J13" s="165">
        <v>0</v>
      </c>
      <c r="K13" s="165"/>
      <c r="L13" s="165">
        <v>1018.65</v>
      </c>
      <c r="M13" s="165" t="s">
        <v>267</v>
      </c>
      <c r="N13" s="165">
        <v>40.03</v>
      </c>
      <c r="O13" s="165">
        <v>1481306400</v>
      </c>
      <c r="P13" s="165">
        <v>5.98</v>
      </c>
      <c r="Q13" s="165">
        <v>292</v>
      </c>
      <c r="R13" s="165">
        <v>2.52</v>
      </c>
    </row>
    <row r="14" spans="1:18" x14ac:dyDescent="0.25">
      <c r="A14" s="165">
        <v>45</v>
      </c>
      <c r="B14" s="165">
        <v>0.4</v>
      </c>
      <c r="C14" s="165">
        <v>28.09</v>
      </c>
      <c r="D14" s="8">
        <v>42713.5</v>
      </c>
      <c r="E14" s="165">
        <v>0.51</v>
      </c>
      <c r="F14" s="165" t="s">
        <v>258</v>
      </c>
      <c r="G14" s="165">
        <v>271.47000000000003</v>
      </c>
      <c r="H14" s="165"/>
      <c r="I14" s="165">
        <v>0</v>
      </c>
      <c r="J14" s="165">
        <v>0</v>
      </c>
      <c r="K14" s="165"/>
      <c r="L14" s="165">
        <v>1018.02</v>
      </c>
      <c r="M14" s="165" t="s">
        <v>267</v>
      </c>
      <c r="N14" s="165">
        <v>45</v>
      </c>
      <c r="O14" s="165">
        <v>1481310000</v>
      </c>
      <c r="P14" s="165">
        <v>6.04</v>
      </c>
      <c r="Q14" s="165">
        <v>317</v>
      </c>
      <c r="R14" s="165">
        <v>2.31</v>
      </c>
    </row>
    <row r="15" spans="1:18" x14ac:dyDescent="0.25">
      <c r="A15" s="165">
        <v>46.81</v>
      </c>
      <c r="B15" s="165">
        <v>0.4</v>
      </c>
      <c r="C15" s="165">
        <v>29.38</v>
      </c>
      <c r="D15" s="8">
        <v>42713.541666666664</v>
      </c>
      <c r="E15" s="165">
        <v>0.5</v>
      </c>
      <c r="F15" s="165" t="s">
        <v>258</v>
      </c>
      <c r="G15" s="165">
        <v>269.94</v>
      </c>
      <c r="H15" s="165"/>
      <c r="I15" s="165">
        <v>0</v>
      </c>
      <c r="J15" s="165">
        <v>0</v>
      </c>
      <c r="K15" s="165"/>
      <c r="L15" s="165">
        <v>1017.97</v>
      </c>
      <c r="M15" s="165" t="s">
        <v>267</v>
      </c>
      <c r="N15" s="165">
        <v>46.81</v>
      </c>
      <c r="O15" s="165">
        <v>1481313600</v>
      </c>
      <c r="P15" s="165">
        <v>6.1</v>
      </c>
      <c r="Q15" s="165">
        <v>315</v>
      </c>
      <c r="R15" s="165">
        <v>2.83</v>
      </c>
    </row>
    <row r="16" spans="1:18" x14ac:dyDescent="0.25">
      <c r="A16" s="165">
        <v>48.2</v>
      </c>
      <c r="B16" s="165">
        <v>0.3</v>
      </c>
      <c r="C16" s="165">
        <v>29.47</v>
      </c>
      <c r="D16" s="8">
        <v>42713.583333333336</v>
      </c>
      <c r="E16" s="165">
        <v>0.48</v>
      </c>
      <c r="F16" s="165" t="s">
        <v>258</v>
      </c>
      <c r="G16" s="165">
        <v>268.02999999999997</v>
      </c>
      <c r="H16" s="165"/>
      <c r="I16" s="165">
        <v>0</v>
      </c>
      <c r="J16" s="165">
        <v>0</v>
      </c>
      <c r="K16" s="165"/>
      <c r="L16" s="165">
        <v>1018.33</v>
      </c>
      <c r="M16" s="165" t="s">
        <v>267</v>
      </c>
      <c r="N16" s="165">
        <v>48.2</v>
      </c>
      <c r="O16" s="165">
        <v>1481317200</v>
      </c>
      <c r="P16" s="165">
        <v>4.78</v>
      </c>
      <c r="Q16" s="165">
        <v>331</v>
      </c>
      <c r="R16" s="165">
        <v>2.06</v>
      </c>
    </row>
    <row r="17" spans="1:18" x14ac:dyDescent="0.25">
      <c r="A17" s="165">
        <v>46.95</v>
      </c>
      <c r="B17" s="165">
        <v>0.38</v>
      </c>
      <c r="C17" s="165">
        <v>27.68</v>
      </c>
      <c r="D17" s="8">
        <v>42713.625</v>
      </c>
      <c r="E17" s="165">
        <v>0.47</v>
      </c>
      <c r="F17" s="165" t="s">
        <v>258</v>
      </c>
      <c r="G17" s="165">
        <v>265.23</v>
      </c>
      <c r="H17" s="165"/>
      <c r="I17" s="165">
        <v>0</v>
      </c>
      <c r="J17" s="165">
        <v>0</v>
      </c>
      <c r="K17" s="165"/>
      <c r="L17" s="165">
        <v>1019.06</v>
      </c>
      <c r="M17" s="165" t="s">
        <v>267</v>
      </c>
      <c r="N17" s="165">
        <v>46.95</v>
      </c>
      <c r="O17" s="165">
        <v>1481320800</v>
      </c>
      <c r="P17" s="165">
        <v>4.87</v>
      </c>
      <c r="Q17" s="165">
        <v>358</v>
      </c>
      <c r="R17" s="165">
        <v>1.57</v>
      </c>
    </row>
    <row r="18" spans="1:18" x14ac:dyDescent="0.25">
      <c r="A18" s="165">
        <v>44.75</v>
      </c>
      <c r="B18" s="165">
        <v>0.48</v>
      </c>
      <c r="C18" s="165">
        <v>26.02</v>
      </c>
      <c r="D18" s="8">
        <v>42713.666666666664</v>
      </c>
      <c r="E18" s="165">
        <v>0.48</v>
      </c>
      <c r="F18" s="165" t="s">
        <v>258</v>
      </c>
      <c r="G18" s="165">
        <v>262.05</v>
      </c>
      <c r="H18" s="165"/>
      <c r="I18" s="165">
        <v>0</v>
      </c>
      <c r="J18" s="165">
        <v>0</v>
      </c>
      <c r="K18" s="165"/>
      <c r="L18" s="165">
        <v>1019.62</v>
      </c>
      <c r="M18" s="165" t="s">
        <v>267</v>
      </c>
      <c r="N18" s="165">
        <v>44.75</v>
      </c>
      <c r="O18" s="165">
        <v>1481324400</v>
      </c>
      <c r="P18" s="165">
        <v>5.09</v>
      </c>
      <c r="Q18" s="165">
        <v>46</v>
      </c>
      <c r="R18" s="165">
        <v>1.82</v>
      </c>
    </row>
    <row r="19" spans="1:18" x14ac:dyDescent="0.25">
      <c r="A19" s="165">
        <v>41.83</v>
      </c>
      <c r="B19" s="165">
        <v>0.6</v>
      </c>
      <c r="C19" s="165">
        <v>24.78</v>
      </c>
      <c r="D19" s="8">
        <v>42713.708333333336</v>
      </c>
      <c r="E19" s="165">
        <v>0.5</v>
      </c>
      <c r="F19" s="165" t="s">
        <v>257</v>
      </c>
      <c r="G19" s="165">
        <v>260.12</v>
      </c>
      <c r="H19" s="165"/>
      <c r="I19" s="165">
        <v>0</v>
      </c>
      <c r="J19" s="165">
        <v>0</v>
      </c>
      <c r="K19" s="165"/>
      <c r="L19" s="165">
        <v>1020.21</v>
      </c>
      <c r="M19" s="165" t="s">
        <v>413</v>
      </c>
      <c r="N19" s="165">
        <v>41.83</v>
      </c>
      <c r="O19" s="165">
        <v>1481328000</v>
      </c>
      <c r="P19" s="165">
        <v>5.46</v>
      </c>
      <c r="Q19" s="165">
        <v>61</v>
      </c>
      <c r="R19" s="165">
        <v>2.25</v>
      </c>
    </row>
    <row r="20" spans="1:18" x14ac:dyDescent="0.25">
      <c r="A20" s="165">
        <v>37.86</v>
      </c>
      <c r="B20" s="165">
        <v>0.59</v>
      </c>
      <c r="C20" s="165">
        <v>24.11</v>
      </c>
      <c r="D20" s="8">
        <v>42713.75</v>
      </c>
      <c r="E20" s="165">
        <v>0.56999999999999995</v>
      </c>
      <c r="F20" s="165" t="s">
        <v>257</v>
      </c>
      <c r="G20" s="165">
        <v>260.55</v>
      </c>
      <c r="H20" s="165"/>
      <c r="I20" s="165">
        <v>0</v>
      </c>
      <c r="J20" s="165">
        <v>0</v>
      </c>
      <c r="K20" s="165"/>
      <c r="L20" s="165">
        <v>1020.83</v>
      </c>
      <c r="M20" s="165" t="s">
        <v>267</v>
      </c>
      <c r="N20" s="165">
        <v>37.86</v>
      </c>
      <c r="O20" s="165">
        <v>1481331600</v>
      </c>
      <c r="P20" s="165">
        <v>9.91</v>
      </c>
      <c r="Q20" s="165">
        <v>118</v>
      </c>
      <c r="R20" s="165">
        <v>2.08</v>
      </c>
    </row>
    <row r="21" spans="1:18" x14ac:dyDescent="0.25">
      <c r="A21" s="165">
        <v>34.19</v>
      </c>
      <c r="B21" s="165">
        <v>0.5</v>
      </c>
      <c r="C21" s="165">
        <v>25.86</v>
      </c>
      <c r="D21" s="8">
        <v>42713.791666666664</v>
      </c>
      <c r="E21" s="165">
        <v>0.71</v>
      </c>
      <c r="F21" s="165" t="s">
        <v>257</v>
      </c>
      <c r="G21" s="165">
        <v>262.22000000000003</v>
      </c>
      <c r="H21" s="165"/>
      <c r="I21" s="165">
        <v>0</v>
      </c>
      <c r="J21" s="165">
        <v>0</v>
      </c>
      <c r="K21" s="165"/>
      <c r="L21" s="165">
        <v>1021.77</v>
      </c>
      <c r="M21" s="165" t="s">
        <v>267</v>
      </c>
      <c r="N21" s="165">
        <v>34.19</v>
      </c>
      <c r="O21" s="165">
        <v>1481335200</v>
      </c>
      <c r="P21" s="165">
        <v>7.27</v>
      </c>
      <c r="Q21" s="165">
        <v>359</v>
      </c>
      <c r="R21" s="165">
        <v>1.08</v>
      </c>
    </row>
    <row r="22" spans="1:18" x14ac:dyDescent="0.25">
      <c r="A22" s="165">
        <v>32.380000000000003</v>
      </c>
      <c r="B22" s="165">
        <v>0.48</v>
      </c>
      <c r="C22" s="165">
        <v>24.45</v>
      </c>
      <c r="D22" s="8">
        <v>42713.833333333336</v>
      </c>
      <c r="E22" s="165">
        <v>0.72</v>
      </c>
      <c r="F22" s="165" t="s">
        <v>257</v>
      </c>
      <c r="G22" s="165">
        <v>263.52</v>
      </c>
      <c r="H22" s="165"/>
      <c r="I22" s="165">
        <v>0</v>
      </c>
      <c r="J22" s="165">
        <v>0</v>
      </c>
      <c r="K22" s="165"/>
      <c r="L22" s="165">
        <v>1022.9</v>
      </c>
      <c r="M22" s="165" t="s">
        <v>267</v>
      </c>
      <c r="N22" s="165">
        <v>32.380000000000003</v>
      </c>
      <c r="O22" s="165">
        <v>1481338800</v>
      </c>
      <c r="P22" s="165">
        <v>6.74</v>
      </c>
      <c r="Q22" s="165">
        <v>333</v>
      </c>
      <c r="R22" s="165">
        <v>2.13</v>
      </c>
    </row>
    <row r="23" spans="1:18" x14ac:dyDescent="0.25">
      <c r="A23" s="165">
        <v>31.78</v>
      </c>
      <c r="B23" s="165">
        <v>0.5</v>
      </c>
      <c r="C23" s="165">
        <v>23.52</v>
      </c>
      <c r="D23" s="8">
        <v>42713.875</v>
      </c>
      <c r="E23" s="165">
        <v>0.71</v>
      </c>
      <c r="F23" s="165" t="s">
        <v>257</v>
      </c>
      <c r="G23" s="165">
        <v>263.89</v>
      </c>
      <c r="H23" s="165"/>
      <c r="I23" s="165">
        <v>0</v>
      </c>
      <c r="J23" s="165">
        <v>0</v>
      </c>
      <c r="K23" s="165"/>
      <c r="L23" s="165">
        <v>1023.5</v>
      </c>
      <c r="M23" s="165" t="s">
        <v>267</v>
      </c>
      <c r="N23" s="165">
        <v>31.78</v>
      </c>
      <c r="O23" s="165">
        <v>1481342400</v>
      </c>
      <c r="P23" s="165">
        <v>6.44</v>
      </c>
      <c r="Q23" s="165">
        <v>317</v>
      </c>
      <c r="R23" s="165">
        <v>1.71</v>
      </c>
    </row>
    <row r="24" spans="1:18" x14ac:dyDescent="0.25">
      <c r="A24" s="165">
        <v>29.63</v>
      </c>
      <c r="B24" s="165">
        <v>0.61</v>
      </c>
      <c r="C24" s="165">
        <v>21.68</v>
      </c>
      <c r="D24" s="8">
        <v>42713.916666666664</v>
      </c>
      <c r="E24" s="165">
        <v>0.72</v>
      </c>
      <c r="F24" s="165" t="s">
        <v>257</v>
      </c>
      <c r="G24" s="165">
        <v>263.89</v>
      </c>
      <c r="H24" s="165"/>
      <c r="I24" s="165">
        <v>0</v>
      </c>
      <c r="J24" s="165">
        <v>0</v>
      </c>
      <c r="K24" s="165"/>
      <c r="L24" s="165">
        <v>1023.74</v>
      </c>
      <c r="M24" s="165" t="s">
        <v>413</v>
      </c>
      <c r="N24" s="165">
        <v>29.63</v>
      </c>
      <c r="O24" s="165">
        <v>1481346000</v>
      </c>
      <c r="P24" s="165">
        <v>6.82</v>
      </c>
      <c r="Q24" s="165">
        <v>327</v>
      </c>
      <c r="R24" s="165">
        <v>1.1200000000000001</v>
      </c>
    </row>
    <row r="25" spans="1:18" x14ac:dyDescent="0.25">
      <c r="A25" s="165">
        <v>27.8</v>
      </c>
      <c r="B25" s="165">
        <v>0.66</v>
      </c>
      <c r="C25" s="165">
        <v>20.350000000000001</v>
      </c>
      <c r="D25" s="8">
        <v>42713.958333333336</v>
      </c>
      <c r="E25" s="165">
        <v>0.73</v>
      </c>
      <c r="F25" s="165" t="s">
        <v>257</v>
      </c>
      <c r="G25" s="165">
        <v>263.47000000000003</v>
      </c>
      <c r="H25" s="165"/>
      <c r="I25" s="165">
        <v>0</v>
      </c>
      <c r="J25" s="165">
        <v>0</v>
      </c>
      <c r="K25" s="165"/>
      <c r="L25" s="165">
        <v>1023.66</v>
      </c>
      <c r="M25" s="165" t="s">
        <v>413</v>
      </c>
      <c r="N25" s="165">
        <v>27.8</v>
      </c>
      <c r="O25" s="165">
        <v>1481349600</v>
      </c>
      <c r="P25" s="165">
        <v>9.41</v>
      </c>
      <c r="Q25" s="165">
        <v>250</v>
      </c>
      <c r="R25" s="165">
        <v>1.27</v>
      </c>
    </row>
    <row r="26" spans="1:18" x14ac:dyDescent="0.25">
      <c r="A26" s="165">
        <v>26.8</v>
      </c>
      <c r="B26" s="165">
        <v>0.55000000000000004</v>
      </c>
      <c r="C26" s="165">
        <v>19.88</v>
      </c>
      <c r="D26" s="8">
        <v>42714</v>
      </c>
      <c r="E26" s="165">
        <v>0.75</v>
      </c>
      <c r="F26" s="165" t="s">
        <v>257</v>
      </c>
      <c r="G26" s="165">
        <v>262.2</v>
      </c>
      <c r="H26" s="165"/>
      <c r="I26" s="165">
        <v>0</v>
      </c>
      <c r="J26" s="165">
        <v>0</v>
      </c>
      <c r="K26" s="165"/>
      <c r="L26" s="165">
        <v>1022.74</v>
      </c>
      <c r="M26" s="165" t="s">
        <v>267</v>
      </c>
      <c r="N26" s="165">
        <v>26.8</v>
      </c>
      <c r="O26" s="165">
        <v>1481353200</v>
      </c>
      <c r="P26" s="165">
        <v>6.66</v>
      </c>
      <c r="Q26" s="165">
        <v>297</v>
      </c>
      <c r="R26" s="165">
        <v>0.93</v>
      </c>
    </row>
    <row r="27" spans="1:18" x14ac:dyDescent="0.25">
      <c r="A27" s="165">
        <v>25.65</v>
      </c>
      <c r="B27" s="165">
        <v>0.47</v>
      </c>
      <c r="C27" s="165">
        <v>19.2</v>
      </c>
      <c r="D27" s="8">
        <v>42714.041666666664</v>
      </c>
      <c r="E27" s="165">
        <v>0.76</v>
      </c>
      <c r="F27" s="165" t="s">
        <v>257</v>
      </c>
      <c r="G27" s="165">
        <v>260.94</v>
      </c>
      <c r="H27" s="165"/>
      <c r="I27" s="165">
        <v>0</v>
      </c>
      <c r="J27" s="165">
        <v>0</v>
      </c>
      <c r="K27" s="165"/>
      <c r="L27" s="165">
        <v>1021.97</v>
      </c>
      <c r="M27" s="165" t="s">
        <v>267</v>
      </c>
      <c r="N27" s="165">
        <v>25.65</v>
      </c>
      <c r="O27" s="165">
        <v>1481356800</v>
      </c>
      <c r="P27" s="165">
        <v>6.78</v>
      </c>
      <c r="Q27" s="165">
        <v>240</v>
      </c>
      <c r="R27" s="165">
        <v>1.35</v>
      </c>
    </row>
    <row r="28" spans="1:18" x14ac:dyDescent="0.25">
      <c r="A28" s="165">
        <v>25.17</v>
      </c>
      <c r="B28" s="165">
        <v>0.37</v>
      </c>
      <c r="C28" s="165">
        <v>19.190000000000001</v>
      </c>
      <c r="D28" s="8">
        <v>42714.083333333336</v>
      </c>
      <c r="E28" s="165">
        <v>0.78</v>
      </c>
      <c r="F28" s="165" t="s">
        <v>257</v>
      </c>
      <c r="G28" s="165">
        <v>259.67</v>
      </c>
      <c r="H28" s="165"/>
      <c r="I28" s="165">
        <v>0</v>
      </c>
      <c r="J28" s="165">
        <v>0</v>
      </c>
      <c r="K28" s="165"/>
      <c r="L28" s="165">
        <v>1021.23</v>
      </c>
      <c r="M28" s="165" t="s">
        <v>267</v>
      </c>
      <c r="N28" s="165">
        <v>25.17</v>
      </c>
      <c r="O28" s="165">
        <v>1481360400</v>
      </c>
      <c r="P28" s="165">
        <v>7.1</v>
      </c>
      <c r="Q28" s="165">
        <v>242</v>
      </c>
      <c r="R28" s="165">
        <v>2.0499999999999998</v>
      </c>
    </row>
    <row r="29" spans="1:18" x14ac:dyDescent="0.25">
      <c r="A29" s="165">
        <v>24.53</v>
      </c>
      <c r="B29" s="165">
        <v>0.32</v>
      </c>
      <c r="C29" s="165">
        <v>19.09</v>
      </c>
      <c r="D29" s="8">
        <v>42714.125</v>
      </c>
      <c r="E29" s="165">
        <v>0.79</v>
      </c>
      <c r="F29" s="165" t="s">
        <v>257</v>
      </c>
      <c r="G29" s="165">
        <v>258.17</v>
      </c>
      <c r="H29" s="165"/>
      <c r="I29" s="165">
        <v>0</v>
      </c>
      <c r="J29" s="165">
        <v>0</v>
      </c>
      <c r="K29" s="165"/>
      <c r="L29" s="165">
        <v>1020.59</v>
      </c>
      <c r="M29" s="165" t="s">
        <v>267</v>
      </c>
      <c r="N29" s="165">
        <v>24.53</v>
      </c>
      <c r="O29" s="165">
        <v>1481364000</v>
      </c>
      <c r="P29" s="165">
        <v>6.22</v>
      </c>
      <c r="Q29" s="165">
        <v>274</v>
      </c>
      <c r="R29" s="165">
        <v>1.47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202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7"/>
  <sheetViews>
    <sheetView topLeftCell="A2" workbookViewId="0">
      <selection activeCell="A2" sqref="A2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42713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808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809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810</v>
      </c>
      <c r="J20" t="s">
        <v>87</v>
      </c>
      <c r="M20" s="165" t="s">
        <v>265</v>
      </c>
    </row>
    <row r="21" spans="3:13" x14ac:dyDescent="0.25">
      <c r="C21" t="s">
        <v>811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812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473</v>
      </c>
      <c r="J23" s="29" t="s">
        <v>95</v>
      </c>
      <c r="K23" s="21"/>
      <c r="M23" s="165">
        <v>-7</v>
      </c>
    </row>
    <row r="24" spans="3:13" x14ac:dyDescent="0.25">
      <c r="C24" t="s">
        <v>813</v>
      </c>
      <c r="J24" s="21" t="s">
        <v>108</v>
      </c>
      <c r="K24" s="21"/>
      <c r="M24" s="165" t="s">
        <v>110</v>
      </c>
    </row>
    <row r="25" spans="3:13" x14ac:dyDescent="0.25">
      <c r="C25" t="s">
        <v>814</v>
      </c>
      <c r="J25" t="s">
        <v>151</v>
      </c>
      <c r="M25" s="165" t="b">
        <v>1</v>
      </c>
    </row>
    <row r="26" spans="3:13" x14ac:dyDescent="0.25">
      <c r="C26" t="s">
        <v>815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C:\Users\stu\Documents\GitHub\eaglep3-reporting\EC\2016-12-09-refined-times.txt</v>
      </c>
    </row>
    <row r="27" spans="3:13" x14ac:dyDescent="0.25">
      <c r="C27" t="s">
        <v>816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C:\Users\stu\Documents\GitHub\eaglep3-reporting\EC\2016-12-09-Enforcements.txt</v>
      </c>
    </row>
    <row r="28" spans="3:13" x14ac:dyDescent="0.25">
      <c r="C28" t="s">
        <v>817</v>
      </c>
      <c r="J28" t="s">
        <v>189</v>
      </c>
      <c r="M28" s="165" t="str">
        <f>"C:\Users\stu\Documents\GitHub\eaglep3-reporting\EC\"&amp;TEXT(A2,"YYYY-MM-DD")&amp;"-Runs-refined.txt"</f>
        <v>C:\Users\stu\Documents\GitHub\eaglep3-reporting\EC\2016-12-09-Runs-refined.txt</v>
      </c>
    </row>
    <row r="29" spans="3:13" x14ac:dyDescent="0.25">
      <c r="C29" t="s">
        <v>818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C:\Users\stu\Documents\GitHub\eaglep3-reporting\EC\2016-12-09-Trips.txt</v>
      </c>
    </row>
    <row r="30" spans="3:13" x14ac:dyDescent="0.25">
      <c r="C30" t="s">
        <v>819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C:\Users\stu\Documents\GitHub\eaglep3-reporting\EC\2016-12-09-Weather.txt</v>
      </c>
    </row>
    <row r="31" spans="3:13" x14ac:dyDescent="0.25">
      <c r="C31" t="s">
        <v>820</v>
      </c>
    </row>
    <row r="32" spans="3:13" x14ac:dyDescent="0.25">
      <c r="C32" t="s">
        <v>821</v>
      </c>
    </row>
    <row r="33" spans="3:3" x14ac:dyDescent="0.25">
      <c r="C33" t="s">
        <v>822</v>
      </c>
    </row>
    <row r="34" spans="3:3" x14ac:dyDescent="0.25">
      <c r="C34" t="s">
        <v>823</v>
      </c>
    </row>
    <row r="35" spans="3:3" x14ac:dyDescent="0.25">
      <c r="C35" t="s">
        <v>824</v>
      </c>
    </row>
    <row r="36" spans="3:3" x14ac:dyDescent="0.25">
      <c r="C36" t="s">
        <v>825</v>
      </c>
    </row>
    <row r="37" spans="3:3" x14ac:dyDescent="0.25">
      <c r="C37" t="s">
        <v>826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210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C5" sqref="C5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846</v>
      </c>
      <c r="B1" t="str">
        <f t="shared" ref="B1:B52" si="0">MID(A1,6,23)</f>
        <v>2016/12/09 11:30:26.865</v>
      </c>
      <c r="C1" t="e">
        <f>ABS(B1-#REF!)</f>
        <v>#REF!</v>
      </c>
    </row>
    <row r="2" spans="1:3" x14ac:dyDescent="0.25">
      <c r="A2" t="s">
        <v>847</v>
      </c>
      <c r="B2" s="21" t="str">
        <f t="shared" si="0"/>
        <v>2016/12/09 11:30:27.035</v>
      </c>
      <c r="C2">
        <f>ABS(B2-B1)</f>
        <v>1.9675935618579388E-6</v>
      </c>
    </row>
    <row r="3" spans="1:3" x14ac:dyDescent="0.25">
      <c r="A3" t="s">
        <v>848</v>
      </c>
      <c r="B3" s="21" t="str">
        <f t="shared" si="0"/>
        <v>2016/12/09 11:30:27.235</v>
      </c>
      <c r="C3" s="21">
        <f t="shared" ref="C3:C52" si="1">ABS(B3-B2)</f>
        <v>2.3148168111220002E-6</v>
      </c>
    </row>
    <row r="4" spans="1:3" x14ac:dyDescent="0.25">
      <c r="A4" t="s">
        <v>849</v>
      </c>
      <c r="B4" s="21" t="str">
        <f t="shared" si="0"/>
        <v>2016/12/09 11:33:20.047</v>
      </c>
      <c r="C4" s="21">
        <f t="shared" si="1"/>
        <v>2.0001388838863932E-3</v>
      </c>
    </row>
    <row r="5" spans="1:3" x14ac:dyDescent="0.25">
      <c r="A5" t="s">
        <v>850</v>
      </c>
      <c r="B5" s="21" t="str">
        <f t="shared" si="0"/>
        <v>2016/12/09 11:33:20.567</v>
      </c>
      <c r="C5" s="21">
        <f t="shared" si="1"/>
        <v>6.0185193433426321E-6</v>
      </c>
    </row>
    <row r="6" spans="1:3" x14ac:dyDescent="0.25">
      <c r="A6" t="s">
        <v>851</v>
      </c>
      <c r="B6" s="21" t="str">
        <f t="shared" si="0"/>
        <v>2016/12/09 11:46:12.474</v>
      </c>
      <c r="C6" s="21">
        <f t="shared" si="1"/>
        <v>8.9341087950742804E-3</v>
      </c>
    </row>
    <row r="7" spans="1:3" x14ac:dyDescent="0.25">
      <c r="A7" t="s">
        <v>852</v>
      </c>
      <c r="B7" s="21" t="str">
        <f t="shared" si="0"/>
        <v>2016/12/09 11:46:12.588</v>
      </c>
      <c r="C7" s="21">
        <f t="shared" si="1"/>
        <v>1.319443981628865E-6</v>
      </c>
    </row>
    <row r="8" spans="1:3" x14ac:dyDescent="0.25">
      <c r="A8" t="s">
        <v>853</v>
      </c>
      <c r="B8" s="21" t="str">
        <f t="shared" si="0"/>
        <v>2016/12/09 11:46:12.685</v>
      </c>
      <c r="C8" s="21">
        <f t="shared" si="1"/>
        <v>1.1226875358261168E-6</v>
      </c>
    </row>
    <row r="9" spans="1:3" x14ac:dyDescent="0.25">
      <c r="A9" t="s">
        <v>854</v>
      </c>
      <c r="B9" s="21" t="str">
        <f t="shared" si="0"/>
        <v>2016/12/09 12:09:16.010</v>
      </c>
      <c r="C9" s="21">
        <f t="shared" si="1"/>
        <v>1.6010706021916121E-2</v>
      </c>
    </row>
    <row r="10" spans="1:3" x14ac:dyDescent="0.25">
      <c r="A10" t="s">
        <v>855</v>
      </c>
      <c r="B10" s="21" t="str">
        <f t="shared" si="0"/>
        <v>2016/12/09 12:09:16.225</v>
      </c>
      <c r="C10" s="21">
        <f t="shared" si="1"/>
        <v>2.4884211597964168E-6</v>
      </c>
    </row>
    <row r="11" spans="1:3" x14ac:dyDescent="0.25">
      <c r="A11" t="s">
        <v>856</v>
      </c>
      <c r="B11" s="21" t="str">
        <f t="shared" si="0"/>
        <v>2016/12/09 12:20:05.642</v>
      </c>
      <c r="C11" s="21">
        <f t="shared" si="1"/>
        <v>7.5164004665566608E-3</v>
      </c>
    </row>
    <row r="12" spans="1:3" x14ac:dyDescent="0.25">
      <c r="A12" t="s">
        <v>857</v>
      </c>
      <c r="B12" s="21" t="str">
        <f t="shared" si="0"/>
        <v>2016/12/09 12:20:06.435</v>
      </c>
      <c r="C12" s="21">
        <f t="shared" si="1"/>
        <v>9.1782349045388401E-6</v>
      </c>
    </row>
    <row r="13" spans="1:3" x14ac:dyDescent="0.25">
      <c r="A13" t="s">
        <v>858</v>
      </c>
      <c r="B13" s="21" t="str">
        <f t="shared" si="0"/>
        <v>2016/12/09 12:20:06.530</v>
      </c>
      <c r="C13" s="21">
        <f t="shared" si="1"/>
        <v>1.0995427146553993E-6</v>
      </c>
    </row>
    <row r="14" spans="1:3" x14ac:dyDescent="0.25">
      <c r="A14" t="s">
        <v>859</v>
      </c>
      <c r="B14" s="21" t="str">
        <f t="shared" si="0"/>
        <v>2016/12/09 13:51:42.362</v>
      </c>
      <c r="C14" s="21">
        <f t="shared" si="1"/>
        <v>6.3609166667447425E-2</v>
      </c>
    </row>
    <row r="15" spans="1:3" x14ac:dyDescent="0.25">
      <c r="A15" t="s">
        <v>860</v>
      </c>
      <c r="B15" s="21" t="str">
        <f t="shared" si="0"/>
        <v>2016/12/09 13:51:42.833</v>
      </c>
      <c r="C15" s="21">
        <f t="shared" si="1"/>
        <v>5.4513875511474907E-6</v>
      </c>
    </row>
    <row r="16" spans="1:3" x14ac:dyDescent="0.25">
      <c r="A16" t="s">
        <v>861</v>
      </c>
      <c r="B16" s="21" t="str">
        <f t="shared" si="0"/>
        <v>2016/12/09 13:51:42.993</v>
      </c>
      <c r="C16" s="21">
        <f t="shared" si="1"/>
        <v>1.8518476281315088E-6</v>
      </c>
    </row>
    <row r="17" spans="1:3" x14ac:dyDescent="0.25">
      <c r="A17" t="s">
        <v>862</v>
      </c>
      <c r="B17" s="21" t="str">
        <f t="shared" si="0"/>
        <v>2016/12/09 14:08:14.060</v>
      </c>
      <c r="C17" s="21">
        <f t="shared" si="1"/>
        <v>1.1470682875369675E-2</v>
      </c>
    </row>
    <row r="18" spans="1:3" x14ac:dyDescent="0.25">
      <c r="A18" t="s">
        <v>863</v>
      </c>
      <c r="B18" s="21" t="str">
        <f t="shared" si="0"/>
        <v>2016/12/09 14:08:14.881</v>
      </c>
      <c r="C18" s="21">
        <f t="shared" si="1"/>
        <v>9.502313332632184E-6</v>
      </c>
    </row>
    <row r="19" spans="1:3" x14ac:dyDescent="0.25">
      <c r="A19" t="s">
        <v>864</v>
      </c>
      <c r="B19" s="21" t="str">
        <f t="shared" si="0"/>
        <v>2016/12/09 14:08:15.704</v>
      </c>
      <c r="C19" s="21">
        <f t="shared" si="1"/>
        <v>9.5254654297605157E-6</v>
      </c>
    </row>
    <row r="20" spans="1:3" x14ac:dyDescent="0.25">
      <c r="A20" t="s">
        <v>865</v>
      </c>
      <c r="B20" s="21" t="str">
        <f t="shared" si="0"/>
        <v>2016/12/09 14:11:24.873</v>
      </c>
      <c r="C20" s="21">
        <f t="shared" si="1"/>
        <v>2.1894560122746043E-3</v>
      </c>
    </row>
    <row r="21" spans="1:3" x14ac:dyDescent="0.25">
      <c r="A21" t="s">
        <v>866</v>
      </c>
      <c r="B21" s="21" t="str">
        <f t="shared" si="0"/>
        <v>2016/12/09 14:11:25.049</v>
      </c>
      <c r="C21" s="21">
        <f t="shared" si="1"/>
        <v>2.0370425772853196E-6</v>
      </c>
    </row>
    <row r="22" spans="1:3" x14ac:dyDescent="0.25">
      <c r="A22" t="s">
        <v>867</v>
      </c>
      <c r="B22" s="21" t="str">
        <f t="shared" si="0"/>
        <v>2016/12/09 14:11:25.695</v>
      </c>
      <c r="C22" s="21">
        <f t="shared" si="1"/>
        <v>7.4768468039110303E-6</v>
      </c>
    </row>
    <row r="23" spans="1:3" x14ac:dyDescent="0.25">
      <c r="A23" t="s">
        <v>868</v>
      </c>
      <c r="B23" s="21" t="str">
        <f t="shared" si="0"/>
        <v>2016/12/09 14:18:34.404</v>
      </c>
      <c r="C23" s="21">
        <f t="shared" si="1"/>
        <v>4.9619097262620926E-3</v>
      </c>
    </row>
    <row r="24" spans="1:3" x14ac:dyDescent="0.25">
      <c r="A24" t="s">
        <v>869</v>
      </c>
      <c r="B24" s="21" t="str">
        <f t="shared" si="0"/>
        <v>2016/12/09 14:18:35.157</v>
      </c>
      <c r="C24" s="21">
        <f t="shared" si="1"/>
        <v>8.7152729975059628E-6</v>
      </c>
    </row>
    <row r="25" spans="1:3" x14ac:dyDescent="0.25">
      <c r="A25" t="s">
        <v>870</v>
      </c>
      <c r="B25" s="21" t="str">
        <f t="shared" si="0"/>
        <v>2016/12/09 14:19:48.341</v>
      </c>
      <c r="C25" s="21">
        <f t="shared" si="1"/>
        <v>8.4703703760169446E-4</v>
      </c>
    </row>
    <row r="26" spans="1:3" x14ac:dyDescent="0.25">
      <c r="A26" t="s">
        <v>871</v>
      </c>
      <c r="B26" s="21" t="str">
        <f t="shared" si="0"/>
        <v>2016/12/09 14:27:31.338</v>
      </c>
      <c r="C26" s="21">
        <f t="shared" si="1"/>
        <v>5.3587615766446106E-3</v>
      </c>
    </row>
    <row r="27" spans="1:3" x14ac:dyDescent="0.25">
      <c r="A27" t="s">
        <v>872</v>
      </c>
      <c r="B27" s="21" t="str">
        <f t="shared" si="0"/>
        <v>2016/12/09 14:27:31.352</v>
      </c>
      <c r="C27" s="21">
        <f t="shared" si="1"/>
        <v>1.6203557606786489E-7</v>
      </c>
    </row>
    <row r="28" spans="1:3" x14ac:dyDescent="0.25">
      <c r="A28" t="s">
        <v>873</v>
      </c>
      <c r="B28" s="21" t="str">
        <f t="shared" si="0"/>
        <v>2016/12/09 14:27:31.454</v>
      </c>
      <c r="C28" s="21">
        <f t="shared" si="1"/>
        <v>1.1805605026893318E-6</v>
      </c>
    </row>
    <row r="29" spans="1:3" x14ac:dyDescent="0.25">
      <c r="A29" t="s">
        <v>874</v>
      </c>
      <c r="B29" s="21" t="str">
        <f t="shared" si="0"/>
        <v>2016/12/09 14:27:31.468</v>
      </c>
      <c r="C29" s="21">
        <f t="shared" si="1"/>
        <v>1.6203557606786489E-7</v>
      </c>
    </row>
    <row r="30" spans="1:3" x14ac:dyDescent="0.25">
      <c r="A30" t="s">
        <v>875</v>
      </c>
      <c r="B30" s="21" t="str">
        <f t="shared" si="0"/>
        <v>2016/12/09 14:30:55.381</v>
      </c>
      <c r="C30" s="21">
        <f t="shared" si="1"/>
        <v>2.3601041611982509E-3</v>
      </c>
    </row>
    <row r="31" spans="1:3" x14ac:dyDescent="0.25">
      <c r="A31" t="s">
        <v>876</v>
      </c>
      <c r="B31" s="21" t="str">
        <f t="shared" si="0"/>
        <v>2016/12/09 14:30:55.774</v>
      </c>
      <c r="C31" s="21">
        <f t="shared" si="1"/>
        <v>4.548615834210068E-6</v>
      </c>
    </row>
    <row r="32" spans="1:3" x14ac:dyDescent="0.25">
      <c r="A32" t="s">
        <v>877</v>
      </c>
      <c r="B32" s="21" t="str">
        <f t="shared" si="0"/>
        <v>2016/12/09 14:30:56.142</v>
      </c>
      <c r="C32" s="21">
        <f t="shared" si="1"/>
        <v>4.2592582758516073E-6</v>
      </c>
    </row>
    <row r="33" spans="1:3" x14ac:dyDescent="0.25">
      <c r="A33" t="s">
        <v>878</v>
      </c>
      <c r="B33" s="21" t="str">
        <f t="shared" si="0"/>
        <v>2016/12/09 14:51:02.103</v>
      </c>
      <c r="C33" s="21">
        <f t="shared" si="1"/>
        <v>1.3957881943497341E-2</v>
      </c>
    </row>
    <row r="34" spans="1:3" x14ac:dyDescent="0.25">
      <c r="A34" t="s">
        <v>879</v>
      </c>
      <c r="B34" s="21" t="str">
        <f t="shared" si="0"/>
        <v>2016/12/09 14:51:02.357</v>
      </c>
      <c r="C34" s="21">
        <f t="shared" si="1"/>
        <v>2.9398142942227423E-6</v>
      </c>
    </row>
    <row r="35" spans="1:3" x14ac:dyDescent="0.25">
      <c r="A35" t="s">
        <v>880</v>
      </c>
      <c r="B35" s="21" t="str">
        <f t="shared" si="0"/>
        <v>2016/12/09 14:51:02.773</v>
      </c>
      <c r="C35" s="21">
        <f t="shared" si="1"/>
        <v>4.8148140194825828E-6</v>
      </c>
    </row>
    <row r="36" spans="1:3" x14ac:dyDescent="0.25">
      <c r="A36" t="s">
        <v>881</v>
      </c>
      <c r="B36" s="21" t="str">
        <f t="shared" si="0"/>
        <v>2016/12/09 14:54:11.959</v>
      </c>
      <c r="C36" s="21">
        <f t="shared" si="1"/>
        <v>2.1896527832723223E-3</v>
      </c>
    </row>
    <row r="37" spans="1:3" x14ac:dyDescent="0.25">
      <c r="A37" t="s">
        <v>882</v>
      </c>
      <c r="B37" s="21" t="str">
        <f t="shared" si="0"/>
        <v>2016/12/09 14:54:12.104</v>
      </c>
      <c r="C37" s="21">
        <f t="shared" si="1"/>
        <v>1.6782360034994781E-6</v>
      </c>
    </row>
    <row r="38" spans="1:3" x14ac:dyDescent="0.25">
      <c r="A38" t="s">
        <v>883</v>
      </c>
      <c r="B38" s="21" t="str">
        <f t="shared" si="0"/>
        <v>2016/12/09 15:08:05.032</v>
      </c>
      <c r="C38" s="21">
        <f t="shared" si="1"/>
        <v>9.6403703719261102E-3</v>
      </c>
    </row>
    <row r="39" spans="1:3" x14ac:dyDescent="0.25">
      <c r="A39" t="s">
        <v>884</v>
      </c>
      <c r="B39" s="21" t="str">
        <f t="shared" si="0"/>
        <v>2016/12/09 15:08:05.235</v>
      </c>
      <c r="C39" s="21">
        <f t="shared" si="1"/>
        <v>2.3495376808568835E-6</v>
      </c>
    </row>
    <row r="40" spans="1:3" x14ac:dyDescent="0.25">
      <c r="A40" t="s">
        <v>885</v>
      </c>
      <c r="B40" s="21" t="str">
        <f t="shared" si="0"/>
        <v>2016/12/09 15:18:36.562</v>
      </c>
      <c r="C40" s="21">
        <f t="shared" si="1"/>
        <v>7.307025465706829E-3</v>
      </c>
    </row>
    <row r="41" spans="1:3" x14ac:dyDescent="0.25">
      <c r="A41" t="s">
        <v>886</v>
      </c>
      <c r="B41" s="21" t="str">
        <f t="shared" si="0"/>
        <v>2016/12/09 16:33:26.286</v>
      </c>
      <c r="C41" s="21">
        <f t="shared" si="1"/>
        <v>5.1964398146083113E-2</v>
      </c>
    </row>
    <row r="42" spans="1:3" x14ac:dyDescent="0.25">
      <c r="A42" t="s">
        <v>887</v>
      </c>
      <c r="B42" s="21" t="str">
        <f t="shared" si="0"/>
        <v>2016/12/09 16:33:26.294</v>
      </c>
      <c r="C42" s="21">
        <f t="shared" si="1"/>
        <v>9.2593836598098278E-8</v>
      </c>
    </row>
    <row r="43" spans="1:3" x14ac:dyDescent="0.25">
      <c r="A43" t="s">
        <v>888</v>
      </c>
      <c r="B43" s="21" t="str">
        <f t="shared" si="0"/>
        <v>2016/12/09 16:58:42.994</v>
      </c>
      <c r="C43" s="21">
        <f t="shared" si="1"/>
        <v>1.7554398145875894E-2</v>
      </c>
    </row>
    <row r="44" spans="1:3" x14ac:dyDescent="0.25">
      <c r="A44" t="s">
        <v>889</v>
      </c>
      <c r="B44" s="21" t="str">
        <f t="shared" si="0"/>
        <v>2016/12/09 16:58:43.832</v>
      </c>
      <c r="C44" s="21">
        <f t="shared" si="1"/>
        <v>9.6990770543925464E-6</v>
      </c>
    </row>
    <row r="45" spans="1:3" x14ac:dyDescent="0.25">
      <c r="A45" t="s">
        <v>890</v>
      </c>
      <c r="B45" s="21" t="str">
        <f t="shared" si="0"/>
        <v>2016/12/09 17:24:17.682</v>
      </c>
      <c r="C45" s="21">
        <f t="shared" si="1"/>
        <v>1.7752893516444601E-2</v>
      </c>
    </row>
    <row r="46" spans="1:3" x14ac:dyDescent="0.25">
      <c r="A46" t="s">
        <v>891</v>
      </c>
      <c r="B46" s="21" t="str">
        <f t="shared" si="0"/>
        <v>2016/12/09 17:24:17.852</v>
      </c>
      <c r="C46" s="21">
        <f t="shared" si="1"/>
        <v>1.9675935618579388E-6</v>
      </c>
    </row>
    <row r="47" spans="1:3" x14ac:dyDescent="0.25">
      <c r="A47" t="s">
        <v>892</v>
      </c>
      <c r="B47" s="21" t="str">
        <f t="shared" si="0"/>
        <v>2016/12/09 17:24:17.993</v>
      </c>
      <c r="C47" s="21">
        <f t="shared" si="1"/>
        <v>1.631939085200429E-6</v>
      </c>
    </row>
    <row r="48" spans="1:3" x14ac:dyDescent="0.25">
      <c r="A48" t="s">
        <v>893</v>
      </c>
      <c r="B48" s="21" t="str">
        <f t="shared" si="0"/>
        <v>2016/12/09 17:52:34.574</v>
      </c>
      <c r="C48" s="21">
        <f t="shared" si="1"/>
        <v>1.9636354169051629E-2</v>
      </c>
    </row>
    <row r="49" spans="1:3" x14ac:dyDescent="0.25">
      <c r="A49" t="s">
        <v>894</v>
      </c>
      <c r="B49" s="21" t="str">
        <f t="shared" si="0"/>
        <v>2016/12/09 17:52:34.678</v>
      </c>
      <c r="C49" s="21">
        <f t="shared" si="1"/>
        <v>1.2037053238600492E-6</v>
      </c>
    </row>
    <row r="50" spans="1:3" x14ac:dyDescent="0.25">
      <c r="A50" t="s">
        <v>895</v>
      </c>
      <c r="B50" s="21" t="str">
        <f t="shared" si="0"/>
        <v>2016/12/09 18:03:08.128</v>
      </c>
      <c r="C50" s="21">
        <f t="shared" si="1"/>
        <v>7.3315972185810097E-3</v>
      </c>
    </row>
    <row r="51" spans="1:3" x14ac:dyDescent="0.25">
      <c r="A51" t="s">
        <v>896</v>
      </c>
      <c r="B51" s="21" t="str">
        <f t="shared" si="0"/>
        <v>2016/12/09 18:03:08.373</v>
      </c>
      <c r="C51" s="21">
        <f t="shared" si="1"/>
        <v>2.8356516850180924E-6</v>
      </c>
    </row>
    <row r="52" spans="1:3" x14ac:dyDescent="0.25">
      <c r="A52" t="s">
        <v>897</v>
      </c>
      <c r="B52" s="21" t="str">
        <f t="shared" si="0"/>
        <v>2016/12/09 18:03:08.806</v>
      </c>
      <c r="C52" s="21">
        <f t="shared" si="1"/>
        <v>5.011570465285331E-6</v>
      </c>
    </row>
    <row r="53" spans="1:3" x14ac:dyDescent="0.25">
      <c r="A53" t="s">
        <v>898</v>
      </c>
      <c r="B53" s="21" t="str">
        <f t="shared" ref="B53:B80" si="2">MID(A53,6,23)</f>
        <v>2016/12/09 18:08:25.269</v>
      </c>
      <c r="C53" s="21">
        <f t="shared" ref="C53:C80" si="3">ABS(B53-B52)</f>
        <v>3.6627662047976628E-3</v>
      </c>
    </row>
    <row r="54" spans="1:3" x14ac:dyDescent="0.25">
      <c r="A54" t="s">
        <v>899</v>
      </c>
      <c r="B54" s="21" t="str">
        <f t="shared" si="2"/>
        <v>2016/12/09 18:08:25.281</v>
      </c>
      <c r="C54" s="21">
        <f t="shared" si="3"/>
        <v>1.3889075489714742E-7</v>
      </c>
    </row>
    <row r="55" spans="1:3" x14ac:dyDescent="0.25">
      <c r="A55" t="s">
        <v>900</v>
      </c>
      <c r="B55" s="21" t="str">
        <f t="shared" si="2"/>
        <v>2016/12/09 18:08:25.285</v>
      </c>
      <c r="C55" s="21">
        <f t="shared" si="3"/>
        <v>4.6296918299049139E-8</v>
      </c>
    </row>
    <row r="56" spans="1:3" x14ac:dyDescent="0.25">
      <c r="A56" t="s">
        <v>901</v>
      </c>
      <c r="B56" s="21" t="str">
        <f t="shared" si="2"/>
        <v>2016/12/09 19:17:20.774</v>
      </c>
      <c r="C56" s="21">
        <f t="shared" si="3"/>
        <v>4.7864456020761281E-2</v>
      </c>
    </row>
    <row r="57" spans="1:3" x14ac:dyDescent="0.25">
      <c r="A57" t="s">
        <v>902</v>
      </c>
      <c r="B57" s="21" t="str">
        <f t="shared" si="2"/>
        <v>2016/12/09 19:17:21.325</v>
      </c>
      <c r="C57" s="21">
        <f t="shared" si="3"/>
        <v>6.3773113652132452E-6</v>
      </c>
    </row>
    <row r="58" spans="1:3" x14ac:dyDescent="0.25">
      <c r="A58" t="s">
        <v>903</v>
      </c>
      <c r="B58" s="21" t="str">
        <f t="shared" si="2"/>
        <v>2016/12/09 19:17:21.815</v>
      </c>
      <c r="C58" s="21">
        <f t="shared" si="3"/>
        <v>5.6712960940785706E-6</v>
      </c>
    </row>
    <row r="59" spans="1:3" x14ac:dyDescent="0.25">
      <c r="A59" t="s">
        <v>904</v>
      </c>
      <c r="B59" s="21" t="str">
        <f t="shared" si="2"/>
        <v>2016/12/09 19:34:44.793</v>
      </c>
      <c r="C59" s="21">
        <f t="shared" si="3"/>
        <v>1.2071504628693219E-2</v>
      </c>
    </row>
    <row r="60" spans="1:3" x14ac:dyDescent="0.25">
      <c r="A60" t="s">
        <v>905</v>
      </c>
      <c r="B60" s="21" t="str">
        <f t="shared" si="2"/>
        <v>2016/12/09 19:51:26.140</v>
      </c>
      <c r="C60" s="21">
        <f t="shared" si="3"/>
        <v>1.1589664354687557E-2</v>
      </c>
    </row>
    <row r="61" spans="1:3" x14ac:dyDescent="0.25">
      <c r="A61" t="s">
        <v>906</v>
      </c>
      <c r="B61" s="21" t="str">
        <f t="shared" si="2"/>
        <v>2016/12/09 19:51:26.385</v>
      </c>
      <c r="C61" s="21">
        <f t="shared" si="3"/>
        <v>2.8356444090604782E-6</v>
      </c>
    </row>
    <row r="62" spans="1:3" x14ac:dyDescent="0.25">
      <c r="A62" t="s">
        <v>907</v>
      </c>
      <c r="B62" s="21" t="str">
        <f t="shared" si="2"/>
        <v>2016/12/09 20:04:19.236</v>
      </c>
      <c r="C62" s="21">
        <f t="shared" si="3"/>
        <v>8.9450347222737037E-3</v>
      </c>
    </row>
    <row r="63" spans="1:3" x14ac:dyDescent="0.25">
      <c r="A63" t="s">
        <v>908</v>
      </c>
      <c r="B63" s="21" t="str">
        <f t="shared" si="2"/>
        <v>2016/12/09 20:30:31.668</v>
      </c>
      <c r="C63" s="21">
        <f t="shared" si="3"/>
        <v>1.8199444450146984E-2</v>
      </c>
    </row>
    <row r="64" spans="1:3" x14ac:dyDescent="0.25">
      <c r="A64" t="s">
        <v>909</v>
      </c>
      <c r="B64" s="21" t="str">
        <f t="shared" si="2"/>
        <v>2016/12/09 20:30:32.840</v>
      </c>
      <c r="C64" s="21">
        <f t="shared" si="3"/>
        <v>1.3564807886723429E-5</v>
      </c>
    </row>
    <row r="65" spans="1:3" x14ac:dyDescent="0.25">
      <c r="A65" t="s">
        <v>910</v>
      </c>
      <c r="B65" s="21" t="str">
        <f t="shared" si="2"/>
        <v>2016/12/09 20:30:32.978</v>
      </c>
      <c r="C65" s="21">
        <f t="shared" si="3"/>
        <v>1.5972254914231598E-6</v>
      </c>
    </row>
    <row r="66" spans="1:3" x14ac:dyDescent="0.25">
      <c r="A66" t="s">
        <v>911</v>
      </c>
      <c r="B66" s="21" t="str">
        <f t="shared" si="2"/>
        <v>2016/12/09 20:33:57.044</v>
      </c>
      <c r="C66" s="21">
        <f t="shared" si="3"/>
        <v>2.3618749983143061E-3</v>
      </c>
    </row>
    <row r="67" spans="1:3" x14ac:dyDescent="0.25">
      <c r="A67" t="s">
        <v>912</v>
      </c>
      <c r="B67" s="21" t="str">
        <f t="shared" si="2"/>
        <v>2016/12/09 20:33:57.562</v>
      </c>
      <c r="C67" s="21">
        <f t="shared" si="3"/>
        <v>5.9953745221719146E-6</v>
      </c>
    </row>
    <row r="68" spans="1:3" x14ac:dyDescent="0.25">
      <c r="A68" t="s">
        <v>913</v>
      </c>
      <c r="B68" s="21" t="str">
        <f t="shared" si="2"/>
        <v>2016/12/09 20:36:31.203</v>
      </c>
      <c r="C68" s="21">
        <f t="shared" si="3"/>
        <v>1.7782523136702366E-3</v>
      </c>
    </row>
    <row r="69" spans="1:3" x14ac:dyDescent="0.25">
      <c r="A69" t="s">
        <v>914</v>
      </c>
      <c r="B69" s="21" t="str">
        <f t="shared" si="2"/>
        <v>2016/12/09 20:36:31.426</v>
      </c>
      <c r="C69" s="21">
        <f t="shared" si="3"/>
        <v>2.581014996394515E-6</v>
      </c>
    </row>
    <row r="70" spans="1:3" x14ac:dyDescent="0.25">
      <c r="A70" t="s">
        <v>915</v>
      </c>
      <c r="B70" s="21" t="str">
        <f t="shared" si="2"/>
        <v>2016/12/09 21:18:56.152</v>
      </c>
      <c r="C70" s="21">
        <f t="shared" si="3"/>
        <v>2.9452847222273704E-2</v>
      </c>
    </row>
    <row r="71" spans="1:3" x14ac:dyDescent="0.25">
      <c r="A71" t="s">
        <v>916</v>
      </c>
      <c r="B71" s="21" t="str">
        <f t="shared" si="2"/>
        <v>2016/12/09 21:18:56.396</v>
      </c>
      <c r="C71" s="21">
        <f t="shared" si="3"/>
        <v>2.8240756364539266E-6</v>
      </c>
    </row>
    <row r="72" spans="1:3" x14ac:dyDescent="0.25">
      <c r="A72" t="s">
        <v>917</v>
      </c>
      <c r="B72" s="21" t="str">
        <f t="shared" si="2"/>
        <v>2016/12/09 21:20:55.423</v>
      </c>
      <c r="C72" s="21">
        <f t="shared" si="3"/>
        <v>1.3776273190160282E-3</v>
      </c>
    </row>
    <row r="73" spans="1:3" x14ac:dyDescent="0.25">
      <c r="A73" t="s">
        <v>918</v>
      </c>
      <c r="B73" s="21" t="str">
        <f t="shared" si="2"/>
        <v>2016/12/09 21:20:55.682</v>
      </c>
      <c r="C73" s="21">
        <f t="shared" si="3"/>
        <v>2.9976799851283431E-6</v>
      </c>
    </row>
    <row r="74" spans="1:3" x14ac:dyDescent="0.25">
      <c r="A74" t="s">
        <v>919</v>
      </c>
      <c r="B74" s="21" t="str">
        <f t="shared" si="2"/>
        <v>2016/12/09 21:20:55.900</v>
      </c>
      <c r="C74" s="21">
        <f t="shared" si="3"/>
        <v>2.5231493054889143E-6</v>
      </c>
    </row>
    <row r="75" spans="1:3" x14ac:dyDescent="0.25">
      <c r="A75" t="s">
        <v>920</v>
      </c>
      <c r="B75" s="21" t="str">
        <f t="shared" si="2"/>
        <v>2016/12/09 21:24:42.678</v>
      </c>
      <c r="C75" s="21">
        <f t="shared" si="3"/>
        <v>2.6247453715768643E-3</v>
      </c>
    </row>
    <row r="76" spans="1:3" x14ac:dyDescent="0.25">
      <c r="A76" t="s">
        <v>921</v>
      </c>
      <c r="B76" s="21" t="str">
        <f t="shared" si="2"/>
        <v>2016/12/09 21:24:42.895</v>
      </c>
      <c r="C76" s="21">
        <f t="shared" si="3"/>
        <v>2.5115732569247484E-6</v>
      </c>
    </row>
    <row r="77" spans="1:3" x14ac:dyDescent="0.25">
      <c r="A77" t="s">
        <v>922</v>
      </c>
      <c r="B77" s="21" t="str">
        <f t="shared" si="2"/>
        <v>2016/12/09 21:48:28.230</v>
      </c>
      <c r="C77" s="21">
        <f t="shared" si="3"/>
        <v>1.6496932868903968E-2</v>
      </c>
    </row>
    <row r="78" spans="1:3" x14ac:dyDescent="0.25">
      <c r="A78" t="s">
        <v>923</v>
      </c>
      <c r="B78" s="21" t="str">
        <f t="shared" si="2"/>
        <v>2016/12/09 21:48:29.125</v>
      </c>
      <c r="C78" s="21">
        <f t="shared" si="3"/>
        <v>1.0358795407228172E-5</v>
      </c>
    </row>
    <row r="79" spans="1:3" x14ac:dyDescent="0.25">
      <c r="A79" t="s">
        <v>924</v>
      </c>
      <c r="B79" s="21" t="str">
        <f t="shared" si="2"/>
        <v>2016/12/09 21:48:30.186</v>
      </c>
      <c r="C79" s="21">
        <f t="shared" si="3"/>
        <v>1.2280092050787061E-5</v>
      </c>
    </row>
    <row r="80" spans="1:3" x14ac:dyDescent="0.25">
      <c r="A80" t="s">
        <v>925</v>
      </c>
      <c r="B80" s="21" t="str">
        <f t="shared" si="2"/>
        <v>2016/12/09 21:48:48.287</v>
      </c>
      <c r="C80" s="21">
        <f t="shared" si="3"/>
        <v>2.0950231555616483E-4</v>
      </c>
    </row>
    <row r="81" spans="1:3" x14ac:dyDescent="0.25">
      <c r="A81" t="s">
        <v>926</v>
      </c>
      <c r="B81" s="21" t="str">
        <f t="shared" ref="B81:B87" si="4">MID(A81,6,23)</f>
        <v>2016/12/09 21:48:48.288</v>
      </c>
      <c r="C81" s="21">
        <f t="shared" ref="C81:C121" si="5">ABS(B81-B80)</f>
        <v>1.1576048564165831E-8</v>
      </c>
    </row>
    <row r="82" spans="1:3" x14ac:dyDescent="0.25">
      <c r="A82" t="s">
        <v>927</v>
      </c>
      <c r="B82" s="21" t="str">
        <f t="shared" si="4"/>
        <v>2016/12/09 21:48:48.303</v>
      </c>
      <c r="C82" s="21">
        <f t="shared" si="5"/>
        <v>1.7361162463203073E-7</v>
      </c>
    </row>
    <row r="83" spans="1:3" x14ac:dyDescent="0.25">
      <c r="A83" t="s">
        <v>928</v>
      </c>
      <c r="B83" s="21" t="str">
        <f t="shared" si="4"/>
        <v>2016/12/09 21:58:09.556</v>
      </c>
      <c r="C83" s="21">
        <f t="shared" si="5"/>
        <v>6.4959837982314639E-3</v>
      </c>
    </row>
    <row r="84" spans="1:3" x14ac:dyDescent="0.25">
      <c r="A84" t="s">
        <v>929</v>
      </c>
      <c r="B84" s="21" t="str">
        <f t="shared" si="4"/>
        <v>2016/12/09 22:03:46.226</v>
      </c>
      <c r="C84" s="21">
        <f t="shared" si="5"/>
        <v>3.8966435167822056E-3</v>
      </c>
    </row>
    <row r="85" spans="1:3" x14ac:dyDescent="0.25">
      <c r="A85" t="s">
        <v>930</v>
      </c>
      <c r="B85" s="21" t="str">
        <f t="shared" si="4"/>
        <v>2016/12/09 22:03:46.456</v>
      </c>
      <c r="C85" s="21">
        <f t="shared" si="5"/>
        <v>2.6620400603860617E-6</v>
      </c>
    </row>
    <row r="86" spans="1:3" x14ac:dyDescent="0.25">
      <c r="A86" t="s">
        <v>931</v>
      </c>
      <c r="B86" s="21" t="str">
        <f t="shared" si="4"/>
        <v>2016/12/09 22:26:22.314</v>
      </c>
      <c r="C86" s="21">
        <f t="shared" si="5"/>
        <v>1.5692800923716277E-2</v>
      </c>
    </row>
    <row r="87" spans="1:3" x14ac:dyDescent="0.25">
      <c r="A87" t="s">
        <v>932</v>
      </c>
      <c r="B87" s="21" t="str">
        <f t="shared" si="4"/>
        <v>2016/12/09 22:26:53.299</v>
      </c>
      <c r="C87" s="21">
        <f t="shared" si="5"/>
        <v>3.5862268123310059E-4</v>
      </c>
    </row>
    <row r="88" spans="1:3" x14ac:dyDescent="0.25">
      <c r="A88" t="s">
        <v>933</v>
      </c>
      <c r="B88" s="21" t="str">
        <f t="shared" ref="B88:B121" si="6">MID(A88,6,23)</f>
        <v>2016/12/09 22:40:39.241</v>
      </c>
      <c r="C88" s="21">
        <f t="shared" si="5"/>
        <v>9.5595138918724842E-3</v>
      </c>
    </row>
    <row r="89" spans="1:3" x14ac:dyDescent="0.25">
      <c r="A89" t="s">
        <v>934</v>
      </c>
      <c r="B89" s="21" t="str">
        <f t="shared" si="6"/>
        <v>2016/12/09 22:40:39.403</v>
      </c>
      <c r="C89" s="21">
        <f t="shared" si="5"/>
        <v>1.8749997252598405E-6</v>
      </c>
    </row>
    <row r="90" spans="1:3" x14ac:dyDescent="0.25">
      <c r="A90" t="s">
        <v>935</v>
      </c>
      <c r="B90" s="21" t="str">
        <f t="shared" si="6"/>
        <v>2016/12/09 22:40:39.905</v>
      </c>
      <c r="C90" s="21">
        <f t="shared" si="5"/>
        <v>5.810186848975718E-6</v>
      </c>
    </row>
    <row r="91" spans="1:3" x14ac:dyDescent="0.25">
      <c r="A91" t="s">
        <v>936</v>
      </c>
      <c r="B91" s="21" t="str">
        <f t="shared" si="6"/>
        <v>2016/12/09 22:43:02.389</v>
      </c>
      <c r="C91" s="21">
        <f t="shared" si="5"/>
        <v>1.6491203714394942E-3</v>
      </c>
    </row>
    <row r="92" spans="1:3" x14ac:dyDescent="0.25">
      <c r="A92" t="s">
        <v>937</v>
      </c>
      <c r="B92" s="21" t="str">
        <f t="shared" si="6"/>
        <v>2016/12/09 22:43:03.156</v>
      </c>
      <c r="C92" s="21">
        <f t="shared" si="5"/>
        <v>8.8773158495314419E-6</v>
      </c>
    </row>
    <row r="93" spans="1:3" x14ac:dyDescent="0.25">
      <c r="A93" t="s">
        <v>938</v>
      </c>
      <c r="B93" s="21" t="str">
        <f t="shared" si="6"/>
        <v>2016/12/09 22:47:23.302</v>
      </c>
      <c r="C93" s="21">
        <f t="shared" si="5"/>
        <v>3.0109490689937957E-3</v>
      </c>
    </row>
    <row r="94" spans="1:3" x14ac:dyDescent="0.25">
      <c r="A94" t="s">
        <v>939</v>
      </c>
      <c r="B94" s="21" t="str">
        <f t="shared" si="6"/>
        <v>2016/12/09 22:47:23.466</v>
      </c>
      <c r="C94" s="21">
        <f t="shared" si="5"/>
        <v>1.8981518223881721E-6</v>
      </c>
    </row>
    <row r="95" spans="1:3" x14ac:dyDescent="0.25">
      <c r="A95" t="s">
        <v>940</v>
      </c>
      <c r="B95" s="21" t="str">
        <f t="shared" si="6"/>
        <v>2016/12/09 22:47:23.867</v>
      </c>
      <c r="C95" s="21">
        <f t="shared" si="5"/>
        <v>4.6412023948505521E-6</v>
      </c>
    </row>
    <row r="96" spans="1:3" x14ac:dyDescent="0.25">
      <c r="A96" t="s">
        <v>941</v>
      </c>
      <c r="B96" s="21" t="str">
        <f t="shared" si="6"/>
        <v>2016/12/09 23:28:17.318</v>
      </c>
      <c r="C96" s="21">
        <f t="shared" si="5"/>
        <v>2.8396423607773613E-2</v>
      </c>
    </row>
    <row r="97" spans="1:3" x14ac:dyDescent="0.25">
      <c r="A97" t="s">
        <v>942</v>
      </c>
      <c r="B97" s="21" t="str">
        <f t="shared" si="6"/>
        <v>2016/12/09 23:28:17.432</v>
      </c>
      <c r="C97" s="21">
        <f t="shared" si="5"/>
        <v>1.319443981628865E-6</v>
      </c>
    </row>
    <row r="98" spans="1:3" x14ac:dyDescent="0.25">
      <c r="A98" t="s">
        <v>943</v>
      </c>
      <c r="B98" s="21" t="str">
        <f t="shared" si="6"/>
        <v>2016/12/09 23:40:09.104</v>
      </c>
      <c r="C98" s="21">
        <f t="shared" si="5"/>
        <v>8.2369444498908706E-3</v>
      </c>
    </row>
    <row r="99" spans="1:3" x14ac:dyDescent="0.25">
      <c r="A99" t="s">
        <v>944</v>
      </c>
      <c r="B99" s="21" t="str">
        <f t="shared" si="6"/>
        <v>2016/12/09 23:40:09.357</v>
      </c>
      <c r="C99" s="21">
        <f t="shared" si="5"/>
        <v>2.9282382456585765E-6</v>
      </c>
    </row>
    <row r="100" spans="1:3" x14ac:dyDescent="0.25">
      <c r="A100" t="s">
        <v>945</v>
      </c>
      <c r="B100" s="21" t="str">
        <f t="shared" si="6"/>
        <v>2016/12/09 23:40:09.705</v>
      </c>
      <c r="C100" s="21">
        <f t="shared" si="5"/>
        <v>4.0277809603139758E-6</v>
      </c>
    </row>
    <row r="101" spans="1:3" x14ac:dyDescent="0.25">
      <c r="A101" t="s">
        <v>946</v>
      </c>
      <c r="B101" s="21" t="str">
        <f t="shared" si="6"/>
        <v>2016/12/09 23:49:25.224</v>
      </c>
      <c r="C101" s="21">
        <f t="shared" si="5"/>
        <v>6.4296180498786271E-3</v>
      </c>
    </row>
    <row r="102" spans="1:3" x14ac:dyDescent="0.25">
      <c r="A102" t="s">
        <v>947</v>
      </c>
      <c r="B102" s="21" t="str">
        <f t="shared" si="6"/>
        <v>2016/12/09 23:49:25.460</v>
      </c>
      <c r="C102" s="21">
        <f t="shared" si="5"/>
        <v>2.7314817998558283E-6</v>
      </c>
    </row>
    <row r="103" spans="1:3" x14ac:dyDescent="0.25">
      <c r="A103" t="s">
        <v>948</v>
      </c>
      <c r="B103" s="21" t="str">
        <f t="shared" si="6"/>
        <v>2016/12/09 23:59:51.053</v>
      </c>
      <c r="C103" s="21">
        <f t="shared" si="5"/>
        <v>7.2406597246299498E-3</v>
      </c>
    </row>
    <row r="104" spans="1:3" x14ac:dyDescent="0.25">
      <c r="A104" t="s">
        <v>949</v>
      </c>
      <c r="B104" s="21" t="str">
        <f t="shared" si="6"/>
        <v>2016/12/09 23:59:51.572</v>
      </c>
      <c r="C104" s="21">
        <f t="shared" si="5"/>
        <v>6.0069432947784662E-6</v>
      </c>
    </row>
    <row r="105" spans="1:3" x14ac:dyDescent="0.25">
      <c r="A105" t="s">
        <v>950</v>
      </c>
      <c r="B105" s="21" t="str">
        <f t="shared" si="6"/>
        <v>2016/12/10 00:40:05.856</v>
      </c>
      <c r="C105" s="21">
        <f t="shared" si="5"/>
        <v>2.7943101849814411E-2</v>
      </c>
    </row>
    <row r="106" spans="1:3" x14ac:dyDescent="0.25">
      <c r="A106" t="s">
        <v>951</v>
      </c>
      <c r="B106" s="21" t="str">
        <f t="shared" si="6"/>
        <v>2016/12/10 00:40:06.331</v>
      </c>
      <c r="C106" s="21">
        <f t="shared" si="5"/>
        <v>5.4976917454041541E-6</v>
      </c>
    </row>
    <row r="107" spans="1:3" x14ac:dyDescent="0.25">
      <c r="A107" t="s">
        <v>952</v>
      </c>
      <c r="B107" s="21" t="str">
        <f t="shared" si="6"/>
        <v>2016/12/10 00:40:07.135</v>
      </c>
      <c r="C107" s="21">
        <f t="shared" si="5"/>
        <v>9.3055496108718216E-6</v>
      </c>
    </row>
    <row r="108" spans="1:3" x14ac:dyDescent="0.25">
      <c r="A108" t="s">
        <v>953</v>
      </c>
      <c r="B108" s="21" t="str">
        <f t="shared" si="6"/>
        <v>2016/12/10 01:15:05.728</v>
      </c>
      <c r="C108" s="21">
        <f t="shared" si="5"/>
        <v>2.4289270833833143E-2</v>
      </c>
    </row>
    <row r="109" spans="1:3" x14ac:dyDescent="0.25">
      <c r="A109" t="s">
        <v>954</v>
      </c>
      <c r="B109" s="21" t="str">
        <f t="shared" si="6"/>
        <v>2016/12/10 01:15:05.890</v>
      </c>
      <c r="C109" s="21">
        <f t="shared" si="5"/>
        <v>1.8749997252598405E-6</v>
      </c>
    </row>
    <row r="110" spans="1:3" x14ac:dyDescent="0.25">
      <c r="A110" t="s">
        <v>955</v>
      </c>
      <c r="B110" s="21" t="str">
        <f t="shared" si="6"/>
        <v>2016/12/10 01:15:06.584</v>
      </c>
      <c r="C110" s="21">
        <f t="shared" si="5"/>
        <v>8.03240982349962E-6</v>
      </c>
    </row>
    <row r="111" spans="1:3" x14ac:dyDescent="0.25">
      <c r="A111" t="s">
        <v>956</v>
      </c>
      <c r="B111" s="21" t="str">
        <f t="shared" si="6"/>
        <v>2016/12/10 01:29:03.123</v>
      </c>
      <c r="C111" s="21">
        <f t="shared" si="5"/>
        <v>9.6821643528528512E-3</v>
      </c>
    </row>
    <row r="112" spans="1:3" x14ac:dyDescent="0.25">
      <c r="A112" t="s">
        <v>957</v>
      </c>
      <c r="B112" s="21" t="str">
        <f t="shared" si="6"/>
        <v>2016/12/10 01:29:03.198</v>
      </c>
      <c r="C112" s="21">
        <f t="shared" si="5"/>
        <v>8.6805084720253944E-7</v>
      </c>
    </row>
    <row r="113" spans="1:3" x14ac:dyDescent="0.25">
      <c r="A113" t="s">
        <v>958</v>
      </c>
      <c r="B113" s="21" t="str">
        <f t="shared" si="6"/>
        <v>2016/12/10 01:29:03.235</v>
      </c>
      <c r="C113" s="21">
        <f t="shared" si="5"/>
        <v>4.282410372979939E-7</v>
      </c>
    </row>
    <row r="114" spans="1:3" x14ac:dyDescent="0.25">
      <c r="A114" t="s">
        <v>959</v>
      </c>
      <c r="B114" s="21" t="str">
        <f t="shared" si="6"/>
        <v>2016/12/10 01:39:48.952</v>
      </c>
      <c r="C114" s="21">
        <f t="shared" si="5"/>
        <v>7.4735763919306919E-3</v>
      </c>
    </row>
    <row r="115" spans="1:3" x14ac:dyDescent="0.25">
      <c r="A115" t="s">
        <v>960</v>
      </c>
      <c r="B115" s="21" t="str">
        <f t="shared" si="6"/>
        <v>2016/12/10 01:39:49.114</v>
      </c>
      <c r="C115" s="21">
        <f t="shared" si="5"/>
        <v>1.8749997252598405E-6</v>
      </c>
    </row>
    <row r="116" spans="1:3" x14ac:dyDescent="0.25">
      <c r="A116" t="s">
        <v>961</v>
      </c>
      <c r="B116" s="21" t="str">
        <f t="shared" si="6"/>
        <v>2016/12/10 01:42:27.981</v>
      </c>
      <c r="C116" s="21">
        <f t="shared" si="5"/>
        <v>1.8387384261586703E-3</v>
      </c>
    </row>
    <row r="117" spans="1:3" x14ac:dyDescent="0.25">
      <c r="A117" t="s">
        <v>962</v>
      </c>
      <c r="B117" s="21" t="str">
        <f t="shared" si="6"/>
        <v>2016/12/10 01:42:28.123</v>
      </c>
      <c r="C117" s="21">
        <f t="shared" si="5"/>
        <v>1.6435151337645948E-6</v>
      </c>
    </row>
    <row r="118" spans="1:3" x14ac:dyDescent="0.25">
      <c r="A118" t="s">
        <v>963</v>
      </c>
      <c r="B118" s="21" t="str">
        <f t="shared" si="6"/>
        <v>2016/12/10 03:47:52.201</v>
      </c>
      <c r="C118" s="21">
        <f t="shared" si="5"/>
        <v>8.708423611096805E-2</v>
      </c>
    </row>
    <row r="119" spans="1:3" x14ac:dyDescent="0.25">
      <c r="A119" t="s">
        <v>964</v>
      </c>
      <c r="B119" s="21" t="str">
        <f t="shared" si="6"/>
        <v>2016/12/10 03:47:52.617</v>
      </c>
      <c r="C119" s="21">
        <f t="shared" si="5"/>
        <v>4.814821295440197E-6</v>
      </c>
    </row>
    <row r="120" spans="1:3" x14ac:dyDescent="0.25">
      <c r="A120" t="s">
        <v>965</v>
      </c>
      <c r="B120" s="21" t="str">
        <f t="shared" si="6"/>
        <v>2016/12/10 05:02:21.392</v>
      </c>
      <c r="C120" s="21">
        <f t="shared" si="5"/>
        <v>5.1721932868531439E-2</v>
      </c>
    </row>
    <row r="121" spans="1:3" x14ac:dyDescent="0.25">
      <c r="A121" t="s">
        <v>966</v>
      </c>
      <c r="B121" s="21" t="str">
        <f t="shared" si="6"/>
        <v>2016/12/10 05:02:22.146</v>
      </c>
      <c r="C121" s="21">
        <f t="shared" si="5"/>
        <v>8.7268490460701287E-6</v>
      </c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2016-12-12T16:55:07Z</dcterms:modified>
</cp:coreProperties>
</file>