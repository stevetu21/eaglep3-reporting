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Runs'!$A$12:$AG$217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6" l="1"/>
  <c r="F4" i="6" s="1"/>
  <c r="B12" i="6"/>
  <c r="F12" i="6" s="1"/>
  <c r="I12" i="6"/>
  <c r="I4" i="6" l="1"/>
  <c r="H4" i="6"/>
  <c r="G4" i="6"/>
  <c r="J4" i="6"/>
  <c r="H12" i="6"/>
  <c r="G12" i="6"/>
  <c r="J12" i="6"/>
  <c r="B6" i="6"/>
  <c r="F6" i="6" s="1"/>
  <c r="B7" i="6"/>
  <c r="F7" i="6" s="1"/>
  <c r="B8" i="6"/>
  <c r="F8" i="6" s="1"/>
  <c r="B9" i="6"/>
  <c r="F9" i="6" s="1"/>
  <c r="B10" i="6"/>
  <c r="F10" i="6" s="1"/>
  <c r="H10" i="6"/>
  <c r="I10" i="6"/>
  <c r="B11" i="6"/>
  <c r="F11" i="6" s="1"/>
  <c r="B5" i="6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K29" i="1"/>
  <c r="L29" i="1"/>
  <c r="M29" i="1"/>
  <c r="V29" i="1"/>
  <c r="Y29" i="1"/>
  <c r="Z29" i="1"/>
  <c r="AA29" i="1"/>
  <c r="AB29" i="1"/>
  <c r="AC29" i="1"/>
  <c r="AD29" i="1"/>
  <c r="T29" i="1" s="1"/>
  <c r="AE29" i="1"/>
  <c r="AF29" i="1"/>
  <c r="AH29" i="1"/>
  <c r="AM29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K17" i="1"/>
  <c r="L17" i="1"/>
  <c r="M17" i="1"/>
  <c r="N17" i="1" s="1"/>
  <c r="V17" i="1"/>
  <c r="S25" i="3" s="1"/>
  <c r="Y17" i="1"/>
  <c r="Z17" i="1"/>
  <c r="AB17" i="1"/>
  <c r="AC17" i="1"/>
  <c r="AD17" i="1"/>
  <c r="AG17" i="1" s="1"/>
  <c r="AE17" i="1"/>
  <c r="R25" i="3" s="1"/>
  <c r="AF17" i="1"/>
  <c r="AH17" i="1"/>
  <c r="AM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AM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K26" i="1"/>
  <c r="L26" i="1"/>
  <c r="M26" i="1"/>
  <c r="N26" i="1" s="1"/>
  <c r="V26" i="1"/>
  <c r="S19" i="3" s="1"/>
  <c r="Y26" i="1"/>
  <c r="Z26" i="1"/>
  <c r="AB26" i="1"/>
  <c r="AC26" i="1"/>
  <c r="AD26" i="1"/>
  <c r="AE26" i="1"/>
  <c r="R19" i="3" s="1"/>
  <c r="AF26" i="1"/>
  <c r="AH26" i="1"/>
  <c r="AM26" i="1"/>
  <c r="K27" i="1"/>
  <c r="L27" i="1"/>
  <c r="M27" i="1"/>
  <c r="N27" i="1" s="1"/>
  <c r="V27" i="1"/>
  <c r="S11" i="3" s="1"/>
  <c r="Y27" i="1"/>
  <c r="Z27" i="1"/>
  <c r="AB27" i="1"/>
  <c r="AC27" i="1"/>
  <c r="AD27" i="1"/>
  <c r="AG27" i="1" s="1"/>
  <c r="AE27" i="1"/>
  <c r="R11" i="3" s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K40" i="1"/>
  <c r="L40" i="1"/>
  <c r="M40" i="1"/>
  <c r="N40" i="1" s="1"/>
  <c r="V40" i="1"/>
  <c r="S8" i="3" s="1"/>
  <c r="Y40" i="1"/>
  <c r="Z40" i="1"/>
  <c r="AB40" i="1"/>
  <c r="AC40" i="1"/>
  <c r="AD40" i="1"/>
  <c r="AE40" i="1"/>
  <c r="R8" i="3" s="1"/>
  <c r="AF40" i="1"/>
  <c r="AH40" i="1"/>
  <c r="AM40" i="1"/>
  <c r="K41" i="1"/>
  <c r="L41" i="1"/>
  <c r="M41" i="1"/>
  <c r="P41" i="1" s="1"/>
  <c r="V41" i="1"/>
  <c r="S14" i="3" s="1"/>
  <c r="Y41" i="1"/>
  <c r="Z41" i="1"/>
  <c r="AB41" i="1"/>
  <c r="AC41" i="1"/>
  <c r="AD41" i="1"/>
  <c r="AG41" i="1" s="1"/>
  <c r="AE41" i="1"/>
  <c r="R14" i="3" s="1"/>
  <c r="AF41" i="1"/>
  <c r="AH41" i="1"/>
  <c r="AM41" i="1"/>
  <c r="K42" i="1"/>
  <c r="L42" i="1"/>
  <c r="M42" i="1"/>
  <c r="V42" i="1"/>
  <c r="Y42" i="1"/>
  <c r="Z42" i="1"/>
  <c r="AB42" i="1"/>
  <c r="AC42" i="1"/>
  <c r="AD42" i="1"/>
  <c r="T42" i="1" s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R15" i="3" s="1"/>
  <c r="AF53" i="1"/>
  <c r="AH53" i="1"/>
  <c r="AM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K61" i="1"/>
  <c r="L61" i="1"/>
  <c r="M61" i="1"/>
  <c r="P61" i="1" s="1"/>
  <c r="V61" i="1"/>
  <c r="Y61" i="1"/>
  <c r="Z61" i="1"/>
  <c r="AB61" i="1"/>
  <c r="AC61" i="1"/>
  <c r="AD61" i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K63" i="1"/>
  <c r="L63" i="1"/>
  <c r="M63" i="1"/>
  <c r="V63" i="1"/>
  <c r="Y63" i="1"/>
  <c r="Z63" i="1"/>
  <c r="AB63" i="1"/>
  <c r="AC63" i="1"/>
  <c r="AD63" i="1"/>
  <c r="AE63" i="1"/>
  <c r="AF63" i="1"/>
  <c r="AH63" i="1"/>
  <c r="AM63" i="1"/>
  <c r="K64" i="1"/>
  <c r="L64" i="1"/>
  <c r="M64" i="1"/>
  <c r="V64" i="1"/>
  <c r="Y64" i="1"/>
  <c r="Z64" i="1"/>
  <c r="AB64" i="1"/>
  <c r="AC64" i="1"/>
  <c r="AD64" i="1"/>
  <c r="AG64" i="1" s="1"/>
  <c r="AE64" i="1"/>
  <c r="AF64" i="1"/>
  <c r="AH64" i="1"/>
  <c r="AM64" i="1"/>
  <c r="K65" i="1"/>
  <c r="L65" i="1"/>
  <c r="M65" i="1"/>
  <c r="P65" i="1" s="1"/>
  <c r="V65" i="1"/>
  <c r="Y65" i="1"/>
  <c r="Z65" i="1"/>
  <c r="AB65" i="1"/>
  <c r="AC65" i="1"/>
  <c r="AD65" i="1"/>
  <c r="T65" i="1" s="1"/>
  <c r="AE65" i="1"/>
  <c r="AF65" i="1"/>
  <c r="AH65" i="1"/>
  <c r="AM65" i="1"/>
  <c r="K66" i="1"/>
  <c r="L66" i="1"/>
  <c r="M66" i="1"/>
  <c r="P66" i="1" s="1"/>
  <c r="V66" i="1"/>
  <c r="Y66" i="1"/>
  <c r="Z66" i="1"/>
  <c r="AB66" i="1"/>
  <c r="AC66" i="1"/>
  <c r="AD66" i="1"/>
  <c r="AG66" i="1" s="1"/>
  <c r="AE66" i="1"/>
  <c r="AF66" i="1"/>
  <c r="AH66" i="1"/>
  <c r="AM66" i="1"/>
  <c r="K67" i="1"/>
  <c r="L67" i="1"/>
  <c r="M67" i="1"/>
  <c r="P67" i="1" s="1"/>
  <c r="V67" i="1"/>
  <c r="Y67" i="1"/>
  <c r="Z67" i="1"/>
  <c r="AB67" i="1"/>
  <c r="AC67" i="1"/>
  <c r="AD67" i="1"/>
  <c r="AG67" i="1" s="1"/>
  <c r="AE67" i="1"/>
  <c r="AF67" i="1"/>
  <c r="AH67" i="1"/>
  <c r="AM67" i="1"/>
  <c r="K68" i="1"/>
  <c r="L68" i="1"/>
  <c r="M68" i="1"/>
  <c r="P68" i="1" s="1"/>
  <c r="V68" i="1"/>
  <c r="Y68" i="1"/>
  <c r="Z68" i="1"/>
  <c r="AB68" i="1"/>
  <c r="AC68" i="1"/>
  <c r="AD68" i="1"/>
  <c r="AG68" i="1" s="1"/>
  <c r="AE68" i="1"/>
  <c r="AF68" i="1"/>
  <c r="AH68" i="1"/>
  <c r="AM68" i="1"/>
  <c r="K69" i="1"/>
  <c r="L69" i="1"/>
  <c r="M69" i="1"/>
  <c r="V69" i="1"/>
  <c r="Y69" i="1"/>
  <c r="Z69" i="1"/>
  <c r="AB69" i="1"/>
  <c r="AC69" i="1"/>
  <c r="AD69" i="1"/>
  <c r="AE69" i="1"/>
  <c r="AF69" i="1"/>
  <c r="AH69" i="1"/>
  <c r="AM69" i="1"/>
  <c r="K70" i="1"/>
  <c r="L70" i="1"/>
  <c r="M70" i="1"/>
  <c r="P70" i="1" s="1"/>
  <c r="V70" i="1"/>
  <c r="Y70" i="1"/>
  <c r="Z70" i="1"/>
  <c r="AB70" i="1"/>
  <c r="AC70" i="1"/>
  <c r="AD70" i="1"/>
  <c r="AE70" i="1"/>
  <c r="AF70" i="1"/>
  <c r="AH70" i="1"/>
  <c r="AM70" i="1"/>
  <c r="K71" i="1"/>
  <c r="L71" i="1"/>
  <c r="M71" i="1"/>
  <c r="P71" i="1" s="1"/>
  <c r="V71" i="1"/>
  <c r="Y71" i="1"/>
  <c r="Z71" i="1"/>
  <c r="AB71" i="1"/>
  <c r="AC71" i="1"/>
  <c r="AD71" i="1"/>
  <c r="AE71" i="1"/>
  <c r="AF71" i="1"/>
  <c r="AH71" i="1"/>
  <c r="AM71" i="1"/>
  <c r="K72" i="1"/>
  <c r="L72" i="1"/>
  <c r="M72" i="1"/>
  <c r="P72" i="1" s="1"/>
  <c r="V72" i="1"/>
  <c r="Y72" i="1"/>
  <c r="Z72" i="1"/>
  <c r="AB72" i="1"/>
  <c r="AC72" i="1"/>
  <c r="AD72" i="1"/>
  <c r="AE72" i="1"/>
  <c r="AF72" i="1"/>
  <c r="AH72" i="1"/>
  <c r="AM72" i="1"/>
  <c r="K73" i="1"/>
  <c r="L73" i="1"/>
  <c r="M73" i="1"/>
  <c r="V73" i="1"/>
  <c r="Y73" i="1"/>
  <c r="Z73" i="1"/>
  <c r="AB73" i="1"/>
  <c r="AC73" i="1"/>
  <c r="AD73" i="1"/>
  <c r="T73" i="1" s="1"/>
  <c r="AE73" i="1"/>
  <c r="AF73" i="1"/>
  <c r="AH73" i="1"/>
  <c r="AM73" i="1"/>
  <c r="K74" i="1"/>
  <c r="L74" i="1"/>
  <c r="M74" i="1"/>
  <c r="V74" i="1"/>
  <c r="Y74" i="1"/>
  <c r="Z74" i="1"/>
  <c r="AB74" i="1"/>
  <c r="AC74" i="1"/>
  <c r="AD74" i="1"/>
  <c r="AG74" i="1" s="1"/>
  <c r="AE74" i="1"/>
  <c r="AF74" i="1"/>
  <c r="AH74" i="1"/>
  <c r="AM74" i="1"/>
  <c r="K75" i="1"/>
  <c r="L75" i="1"/>
  <c r="M75" i="1"/>
  <c r="V75" i="1"/>
  <c r="Y75" i="1"/>
  <c r="Z75" i="1"/>
  <c r="AB75" i="1"/>
  <c r="AC75" i="1"/>
  <c r="AD75" i="1"/>
  <c r="T75" i="1" s="1"/>
  <c r="AE75" i="1"/>
  <c r="AF75" i="1"/>
  <c r="AH75" i="1"/>
  <c r="AM75" i="1"/>
  <c r="K76" i="1"/>
  <c r="L76" i="1"/>
  <c r="M76" i="1"/>
  <c r="N76" i="1" s="1"/>
  <c r="V76" i="1"/>
  <c r="S22" i="3" s="1"/>
  <c r="Y76" i="1"/>
  <c r="Z76" i="1"/>
  <c r="AB76" i="1"/>
  <c r="AC76" i="1"/>
  <c r="AD76" i="1"/>
  <c r="AE76" i="1"/>
  <c r="R22" i="3" s="1"/>
  <c r="AF76" i="1"/>
  <c r="AH76" i="1"/>
  <c r="AM76" i="1"/>
  <c r="K77" i="1"/>
  <c r="L77" i="1"/>
  <c r="M77" i="1"/>
  <c r="P77" i="1" s="1"/>
  <c r="V77" i="1"/>
  <c r="Y77" i="1"/>
  <c r="Z77" i="1"/>
  <c r="AB77" i="1"/>
  <c r="AC77" i="1"/>
  <c r="AD77" i="1"/>
  <c r="T77" i="1" s="1"/>
  <c r="AE77" i="1"/>
  <c r="AF77" i="1"/>
  <c r="AH77" i="1"/>
  <c r="AM77" i="1"/>
  <c r="K78" i="1"/>
  <c r="L78" i="1"/>
  <c r="M78" i="1"/>
  <c r="V78" i="1"/>
  <c r="Y78" i="1"/>
  <c r="Z78" i="1"/>
  <c r="AB78" i="1"/>
  <c r="AC78" i="1"/>
  <c r="AD78" i="1"/>
  <c r="AG78" i="1" s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K89" i="1"/>
  <c r="L89" i="1"/>
  <c r="M89" i="1"/>
  <c r="V89" i="1"/>
  <c r="S13" i="3" s="1"/>
  <c r="Y89" i="1"/>
  <c r="Z89" i="1"/>
  <c r="AB89" i="1"/>
  <c r="AC89" i="1"/>
  <c r="AD89" i="1"/>
  <c r="T89" i="1" s="1"/>
  <c r="AE89" i="1"/>
  <c r="R13" i="3" s="1"/>
  <c r="AF89" i="1"/>
  <c r="AH89" i="1"/>
  <c r="AM89" i="1"/>
  <c r="K90" i="1"/>
  <c r="L90" i="1"/>
  <c r="M90" i="1"/>
  <c r="V90" i="1"/>
  <c r="Y90" i="1"/>
  <c r="Z90" i="1"/>
  <c r="AB90" i="1"/>
  <c r="AC90" i="1"/>
  <c r="AD90" i="1"/>
  <c r="AG90" i="1" s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K98" i="1"/>
  <c r="L98" i="1"/>
  <c r="M98" i="1"/>
  <c r="N98" i="1" s="1"/>
  <c r="V98" i="1"/>
  <c r="S16" i="3" s="1"/>
  <c r="Y98" i="1"/>
  <c r="Z98" i="1"/>
  <c r="AB98" i="1"/>
  <c r="AC98" i="1"/>
  <c r="AD98" i="1"/>
  <c r="AE98" i="1"/>
  <c r="R16" i="3" s="1"/>
  <c r="AF98" i="1"/>
  <c r="AH98" i="1"/>
  <c r="AM98" i="1"/>
  <c r="K99" i="1"/>
  <c r="L99" i="1"/>
  <c r="M99" i="1"/>
  <c r="P99" i="1" s="1"/>
  <c r="V99" i="1"/>
  <c r="Y99" i="1"/>
  <c r="Z99" i="1"/>
  <c r="AB99" i="1"/>
  <c r="AC99" i="1"/>
  <c r="AD99" i="1"/>
  <c r="T99" i="1" s="1"/>
  <c r="AE99" i="1"/>
  <c r="AF99" i="1"/>
  <c r="AH99" i="1"/>
  <c r="AM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K106" i="1"/>
  <c r="L106" i="1"/>
  <c r="M106" i="1"/>
  <c r="P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K109" i="1"/>
  <c r="L109" i="1"/>
  <c r="M109" i="1"/>
  <c r="V109" i="1"/>
  <c r="S12" i="3" s="1"/>
  <c r="Y109" i="1"/>
  <c r="Z109" i="1"/>
  <c r="AB109" i="1"/>
  <c r="AC109" i="1"/>
  <c r="AD109" i="1"/>
  <c r="AG109" i="1" s="1"/>
  <c r="AE109" i="1"/>
  <c r="R12" i="3" s="1"/>
  <c r="AF109" i="1"/>
  <c r="AH109" i="1"/>
  <c r="AM109" i="1"/>
  <c r="K110" i="1"/>
  <c r="L110" i="1"/>
  <c r="M110" i="1"/>
  <c r="V110" i="1"/>
  <c r="Y110" i="1"/>
  <c r="Z110" i="1"/>
  <c r="AB110" i="1"/>
  <c r="AC110" i="1"/>
  <c r="AD110" i="1"/>
  <c r="T110" i="1" s="1"/>
  <c r="AE110" i="1"/>
  <c r="AF110" i="1"/>
  <c r="AH110" i="1"/>
  <c r="AM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K114" i="1"/>
  <c r="L114" i="1"/>
  <c r="M114" i="1"/>
  <c r="P114" i="1" s="1"/>
  <c r="V114" i="1"/>
  <c r="Y114" i="1"/>
  <c r="Z114" i="1"/>
  <c r="AB114" i="1"/>
  <c r="AC114" i="1"/>
  <c r="AD114" i="1"/>
  <c r="AE114" i="1"/>
  <c r="AF114" i="1"/>
  <c r="AH114" i="1"/>
  <c r="AM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K131" i="1"/>
  <c r="L131" i="1"/>
  <c r="M131" i="1"/>
  <c r="N131" i="1" s="1"/>
  <c r="V131" i="1"/>
  <c r="S17" i="3" s="1"/>
  <c r="Y131" i="1"/>
  <c r="Z131" i="1"/>
  <c r="AB131" i="1"/>
  <c r="AC131" i="1"/>
  <c r="AD131" i="1"/>
  <c r="X131" i="1" s="1"/>
  <c r="AE131" i="1"/>
  <c r="R17" i="3" s="1"/>
  <c r="AF131" i="1"/>
  <c r="AH131" i="1"/>
  <c r="AM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K135" i="1"/>
  <c r="L135" i="1"/>
  <c r="M135" i="1"/>
  <c r="N135" i="1" s="1"/>
  <c r="V135" i="1"/>
  <c r="S23" i="3" s="1"/>
  <c r="Y135" i="1"/>
  <c r="Z135" i="1"/>
  <c r="AB135" i="1"/>
  <c r="AC135" i="1"/>
  <c r="AD135" i="1"/>
  <c r="AG135" i="1" s="1"/>
  <c r="AE135" i="1"/>
  <c r="R23" i="3" s="1"/>
  <c r="AF135" i="1"/>
  <c r="AH135" i="1"/>
  <c r="AM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K139" i="1"/>
  <c r="L139" i="1"/>
  <c r="M139" i="1"/>
  <c r="N139" i="1" s="1"/>
  <c r="V139" i="1"/>
  <c r="S24" i="3" s="1"/>
  <c r="Y139" i="1"/>
  <c r="Z139" i="1"/>
  <c r="AB139" i="1"/>
  <c r="AC139" i="1"/>
  <c r="AD139" i="1"/>
  <c r="AG139" i="1" s="1"/>
  <c r="AE139" i="1"/>
  <c r="R24" i="3" s="1"/>
  <c r="AF139" i="1"/>
  <c r="AH139" i="1"/>
  <c r="AM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K146" i="1"/>
  <c r="L146" i="1"/>
  <c r="M146" i="1"/>
  <c r="N146" i="1" s="1"/>
  <c r="V146" i="1"/>
  <c r="S26" i="3" s="1"/>
  <c r="Y146" i="1"/>
  <c r="Z146" i="1"/>
  <c r="AB146" i="1"/>
  <c r="AC146" i="1"/>
  <c r="AD146" i="1"/>
  <c r="T146" i="1" s="1"/>
  <c r="AE146" i="1"/>
  <c r="R26" i="3" s="1"/>
  <c r="AF146" i="1"/>
  <c r="AH146" i="1"/>
  <c r="AM146" i="1"/>
  <c r="K147" i="1"/>
  <c r="L147" i="1"/>
  <c r="M147" i="1"/>
  <c r="N147" i="1" s="1"/>
  <c r="V147" i="1"/>
  <c r="S18" i="3" s="1"/>
  <c r="Y147" i="1"/>
  <c r="Z147" i="1"/>
  <c r="AB147" i="1"/>
  <c r="AC147" i="1"/>
  <c r="AD147" i="1"/>
  <c r="AG147" i="1" s="1"/>
  <c r="AE147" i="1"/>
  <c r="R18" i="3" s="1"/>
  <c r="AF147" i="1"/>
  <c r="AH147" i="1"/>
  <c r="AM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K150" i="1"/>
  <c r="L150" i="1"/>
  <c r="M150" i="1"/>
  <c r="N150" i="1" s="1"/>
  <c r="V150" i="1"/>
  <c r="S10" i="3" s="1"/>
  <c r="Y150" i="1"/>
  <c r="Z150" i="1"/>
  <c r="AB150" i="1"/>
  <c r="AC150" i="1"/>
  <c r="AD150" i="1"/>
  <c r="T150" i="1" s="1"/>
  <c r="AE150" i="1"/>
  <c r="R10" i="3" s="1"/>
  <c r="AF150" i="1"/>
  <c r="AH150" i="1"/>
  <c r="AM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156" i="1"/>
  <c r="AM156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157" i="1"/>
  <c r="AM157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8" i="1"/>
  <c r="AM158" i="1"/>
  <c r="K205" i="1"/>
  <c r="L205" i="1"/>
  <c r="M205" i="1"/>
  <c r="N205" i="1" s="1"/>
  <c r="V205" i="1"/>
  <c r="S36" i="3" s="1"/>
  <c r="Y205" i="1"/>
  <c r="Z205" i="1"/>
  <c r="AB205" i="1"/>
  <c r="AC205" i="1"/>
  <c r="AD205" i="1"/>
  <c r="T205" i="1" s="1"/>
  <c r="AE205" i="1"/>
  <c r="R36" i="3" s="1"/>
  <c r="AF205" i="1"/>
  <c r="AH159" i="1"/>
  <c r="AM15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60" i="1"/>
  <c r="AM16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1" i="1"/>
  <c r="AM161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2" i="1"/>
  <c r="AM16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3" i="1"/>
  <c r="AM16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4" i="1"/>
  <c r="AM164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5" i="1"/>
  <c r="AM165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6" i="1"/>
  <c r="AM166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7" i="1"/>
  <c r="AM167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8" i="1"/>
  <c r="AM16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69" i="1"/>
  <c r="AM169" i="1"/>
  <c r="K220" i="1"/>
  <c r="L220" i="1"/>
  <c r="M220" i="1"/>
  <c r="N220" i="1" s="1"/>
  <c r="V220" i="1"/>
  <c r="S37" i="3" s="1"/>
  <c r="Y220" i="1"/>
  <c r="Z220" i="1"/>
  <c r="AB220" i="1"/>
  <c r="AC220" i="1"/>
  <c r="AD220" i="1"/>
  <c r="T220" i="1" s="1"/>
  <c r="AE220" i="1"/>
  <c r="R37" i="3" s="1"/>
  <c r="AF220" i="1"/>
  <c r="AH170" i="1"/>
  <c r="AM17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71" i="1"/>
  <c r="AM17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72" i="1"/>
  <c r="AM172" i="1"/>
  <c r="K223" i="1"/>
  <c r="L223" i="1"/>
  <c r="M223" i="1"/>
  <c r="N223" i="1" s="1"/>
  <c r="V223" i="1"/>
  <c r="S39" i="3" s="1"/>
  <c r="Y223" i="1"/>
  <c r="Z223" i="1"/>
  <c r="AB223" i="1"/>
  <c r="AC223" i="1"/>
  <c r="AD223" i="1"/>
  <c r="AG223" i="1" s="1"/>
  <c r="AE223" i="1"/>
  <c r="R38" i="3" s="1"/>
  <c r="AF223" i="1"/>
  <c r="AH173" i="1"/>
  <c r="AM173" i="1"/>
  <c r="K224" i="1"/>
  <c r="L224" i="1"/>
  <c r="M224" i="1"/>
  <c r="N224" i="1" s="1"/>
  <c r="T224" i="1"/>
  <c r="V224" i="1"/>
  <c r="Y224" i="1"/>
  <c r="Z224" i="1"/>
  <c r="AB224" i="1"/>
  <c r="AC224" i="1"/>
  <c r="AD224" i="1"/>
  <c r="AG224" i="1" s="1"/>
  <c r="AE224" i="1"/>
  <c r="AF224" i="1"/>
  <c r="AH174" i="1"/>
  <c r="AM17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5" i="1"/>
  <c r="AM17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6" i="1"/>
  <c r="AM17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7" i="1"/>
  <c r="AM177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78" i="1"/>
  <c r="AM178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9" i="1"/>
  <c r="AM179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80" i="1"/>
  <c r="AM180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1" i="1"/>
  <c r="AM181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2" i="1"/>
  <c r="AM182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83" i="1"/>
  <c r="AM18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4" i="1"/>
  <c r="AM18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5" i="1"/>
  <c r="AM185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6" i="1"/>
  <c r="AM186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87" i="1"/>
  <c r="AM187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8" i="1"/>
  <c r="AM188" i="1"/>
  <c r="K166" i="1"/>
  <c r="L166" i="1"/>
  <c r="M166" i="1"/>
  <c r="N166" i="1" s="1"/>
  <c r="V166" i="1"/>
  <c r="S31" i="3" s="1"/>
  <c r="Y166" i="1"/>
  <c r="Z166" i="1"/>
  <c r="AB166" i="1"/>
  <c r="AC166" i="1"/>
  <c r="AD166" i="1"/>
  <c r="AE166" i="1"/>
  <c r="R31" i="3" s="1"/>
  <c r="AF166" i="1"/>
  <c r="AH189" i="1"/>
  <c r="AM189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0" i="1"/>
  <c r="AM19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1" i="1"/>
  <c r="AM19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2" i="1"/>
  <c r="AM192" i="1"/>
  <c r="K170" i="1"/>
  <c r="L170" i="1"/>
  <c r="M170" i="1"/>
  <c r="N170" i="1" s="1"/>
  <c r="V170" i="1"/>
  <c r="S32" i="3" s="1"/>
  <c r="Y170" i="1"/>
  <c r="Z170" i="1"/>
  <c r="AB170" i="1"/>
  <c r="AC170" i="1"/>
  <c r="AD170" i="1"/>
  <c r="T170" i="1" s="1"/>
  <c r="AE170" i="1"/>
  <c r="R32" i="3" s="1"/>
  <c r="AF170" i="1"/>
  <c r="AH193" i="1"/>
  <c r="AM193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4" i="1"/>
  <c r="AM19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5" i="1"/>
  <c r="AM195" i="1"/>
  <c r="K173" i="1"/>
  <c r="L173" i="1"/>
  <c r="M173" i="1"/>
  <c r="N173" i="1" s="1"/>
  <c r="V173" i="1"/>
  <c r="S27" i="3" s="1"/>
  <c r="Y173" i="1"/>
  <c r="Z173" i="1"/>
  <c r="AB173" i="1"/>
  <c r="AC173" i="1"/>
  <c r="AD173" i="1"/>
  <c r="AG173" i="1" s="1"/>
  <c r="AE173" i="1"/>
  <c r="R27" i="3" s="1"/>
  <c r="AF173" i="1"/>
  <c r="AH196" i="1"/>
  <c r="AM196" i="1"/>
  <c r="K174" i="1"/>
  <c r="L174" i="1"/>
  <c r="M174" i="1"/>
  <c r="N174" i="1" s="1"/>
  <c r="V174" i="1"/>
  <c r="S29" i="3" s="1"/>
  <c r="Y174" i="1"/>
  <c r="Z174" i="1"/>
  <c r="AB174" i="1"/>
  <c r="AC174" i="1"/>
  <c r="AD174" i="1"/>
  <c r="AG174" i="1" s="1"/>
  <c r="AE174" i="1"/>
  <c r="R29" i="3" s="1"/>
  <c r="AF174" i="1"/>
  <c r="AH197" i="1"/>
  <c r="AM197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8" i="1"/>
  <c r="AM198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9" i="1"/>
  <c r="AM199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0" i="1"/>
  <c r="AM200" i="1"/>
  <c r="K178" i="1"/>
  <c r="L178" i="1"/>
  <c r="M178" i="1"/>
  <c r="N178" i="1" s="1"/>
  <c r="V178" i="1"/>
  <c r="S34" i="3" s="1"/>
  <c r="Y178" i="1"/>
  <c r="Z178" i="1"/>
  <c r="AB178" i="1"/>
  <c r="AC178" i="1"/>
  <c r="AD178" i="1"/>
  <c r="AG178" i="1" s="1"/>
  <c r="AE178" i="1"/>
  <c r="R34" i="3" s="1"/>
  <c r="AF178" i="1"/>
  <c r="AH201" i="1"/>
  <c r="AM201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2" i="1"/>
  <c r="AM202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3" i="1"/>
  <c r="AM203" i="1"/>
  <c r="K181" i="1"/>
  <c r="L181" i="1"/>
  <c r="M181" i="1"/>
  <c r="N181" i="1" s="1"/>
  <c r="V181" i="1"/>
  <c r="S28" i="3" s="1"/>
  <c r="Y181" i="1"/>
  <c r="Z181" i="1"/>
  <c r="AB181" i="1"/>
  <c r="AC181" i="1"/>
  <c r="AD181" i="1"/>
  <c r="AG181" i="1" s="1"/>
  <c r="AE181" i="1"/>
  <c r="R28" i="3" s="1"/>
  <c r="AF181" i="1"/>
  <c r="AH204" i="1"/>
  <c r="AM204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5" i="1"/>
  <c r="AM205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6" i="1"/>
  <c r="AM206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7" i="1"/>
  <c r="AM207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208" i="1"/>
  <c r="AM20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9" i="1"/>
  <c r="AM209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0" i="1"/>
  <c r="AM210" i="1"/>
  <c r="K187" i="1"/>
  <c r="L187" i="1"/>
  <c r="M187" i="1"/>
  <c r="N187" i="1" s="1"/>
  <c r="V187" i="1"/>
  <c r="S30" i="3" s="1"/>
  <c r="Y187" i="1"/>
  <c r="Z187" i="1"/>
  <c r="AB187" i="1"/>
  <c r="AC187" i="1"/>
  <c r="AD187" i="1"/>
  <c r="AG187" i="1" s="1"/>
  <c r="AE187" i="1"/>
  <c r="R30" i="3" s="1"/>
  <c r="AF187" i="1"/>
  <c r="AH211" i="1"/>
  <c r="AM211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2" i="1"/>
  <c r="AM212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3" i="1"/>
  <c r="AM213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4" i="1"/>
  <c r="AM214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5" i="1"/>
  <c r="AM215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6" i="1"/>
  <c r="AM216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7" i="1"/>
  <c r="AM217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8" i="1"/>
  <c r="AM218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9" i="1"/>
  <c r="AM219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0" i="1"/>
  <c r="AM220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1" i="1"/>
  <c r="AM221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2" i="1"/>
  <c r="AM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4" i="1"/>
  <c r="AM224" i="1"/>
  <c r="K201" i="1"/>
  <c r="L201" i="1"/>
  <c r="M201" i="1"/>
  <c r="N201" i="1" s="1"/>
  <c r="V201" i="1"/>
  <c r="S33" i="3" s="1"/>
  <c r="Y201" i="1"/>
  <c r="Z201" i="1"/>
  <c r="AB201" i="1"/>
  <c r="AC201" i="1"/>
  <c r="AD201" i="1"/>
  <c r="AG201" i="1" s="1"/>
  <c r="AE201" i="1"/>
  <c r="R33" i="3" s="1"/>
  <c r="AF201" i="1"/>
  <c r="AH225" i="1"/>
  <c r="AM22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26" i="1"/>
  <c r="AM22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27" i="1"/>
  <c r="AM227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28" i="1"/>
  <c r="AM22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9" i="1"/>
  <c r="AM229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30" i="1"/>
  <c r="AM230" i="1"/>
  <c r="M36" i="3"/>
  <c r="U36" i="3"/>
  <c r="T36" i="3" s="1"/>
  <c r="V36" i="3"/>
  <c r="W36" i="3"/>
  <c r="X36" i="3"/>
  <c r="AC36" i="3"/>
  <c r="M38" i="3"/>
  <c r="S38" i="3"/>
  <c r="U38" i="3"/>
  <c r="V38" i="3"/>
  <c r="W38" i="3"/>
  <c r="X38" i="3"/>
  <c r="M39" i="3"/>
  <c r="U39" i="3"/>
  <c r="AC39" i="3" s="1"/>
  <c r="V39" i="3"/>
  <c r="W39" i="3"/>
  <c r="X39" i="3"/>
  <c r="M25" i="3"/>
  <c r="U25" i="3"/>
  <c r="AC25" i="3" s="1"/>
  <c r="V25" i="3"/>
  <c r="W25" i="3"/>
  <c r="X25" i="3"/>
  <c r="M11" i="3"/>
  <c r="U11" i="3"/>
  <c r="T11" i="3" s="1"/>
  <c r="V11" i="3"/>
  <c r="W11" i="3"/>
  <c r="X11" i="3"/>
  <c r="AC11" i="3"/>
  <c r="M19" i="3"/>
  <c r="U19" i="3"/>
  <c r="V19" i="3"/>
  <c r="W19" i="3"/>
  <c r="X19" i="3"/>
  <c r="M20" i="3"/>
  <c r="U20" i="3"/>
  <c r="AC20" i="3" s="1"/>
  <c r="V20" i="3"/>
  <c r="W20" i="3"/>
  <c r="X20" i="3"/>
  <c r="M21" i="3"/>
  <c r="U21" i="3"/>
  <c r="AC21" i="3" s="1"/>
  <c r="V21" i="3"/>
  <c r="W21" i="3"/>
  <c r="X21" i="3"/>
  <c r="M14" i="3"/>
  <c r="U14" i="3"/>
  <c r="V14" i="3"/>
  <c r="W14" i="3"/>
  <c r="X14" i="3"/>
  <c r="M31" i="3"/>
  <c r="U31" i="3"/>
  <c r="V31" i="3"/>
  <c r="W31" i="3"/>
  <c r="X31" i="3"/>
  <c r="M8" i="3"/>
  <c r="U8" i="3"/>
  <c r="AC8" i="3" s="1"/>
  <c r="V8" i="3"/>
  <c r="W8" i="3"/>
  <c r="X8" i="3"/>
  <c r="M15" i="3"/>
  <c r="S15" i="3"/>
  <c r="U15" i="3"/>
  <c r="AC15" i="3" s="1"/>
  <c r="V15" i="3"/>
  <c r="W15" i="3"/>
  <c r="X15" i="3"/>
  <c r="M32" i="3"/>
  <c r="U32" i="3"/>
  <c r="T32" i="3" s="1"/>
  <c r="V32" i="3"/>
  <c r="W32" i="3"/>
  <c r="X32" i="3"/>
  <c r="M37" i="3"/>
  <c r="U37" i="3"/>
  <c r="V37" i="3"/>
  <c r="W37" i="3"/>
  <c r="X37" i="3"/>
  <c r="M27" i="3"/>
  <c r="U27" i="3"/>
  <c r="AC27" i="3" s="1"/>
  <c r="V27" i="3"/>
  <c r="W27" i="3"/>
  <c r="X27" i="3"/>
  <c r="M29" i="3"/>
  <c r="U29" i="3"/>
  <c r="AC29" i="3" s="1"/>
  <c r="V29" i="3"/>
  <c r="W29" i="3"/>
  <c r="X29" i="3"/>
  <c r="M9" i="3"/>
  <c r="U9" i="3"/>
  <c r="T9" i="3" s="1"/>
  <c r="V9" i="3"/>
  <c r="W9" i="3"/>
  <c r="X9" i="3"/>
  <c r="AC9" i="3"/>
  <c r="M22" i="3"/>
  <c r="U22" i="3"/>
  <c r="AC22" i="3" s="1"/>
  <c r="V22" i="3"/>
  <c r="W22" i="3"/>
  <c r="X22" i="3"/>
  <c r="M34" i="3"/>
  <c r="U34" i="3"/>
  <c r="AC34" i="3" s="1"/>
  <c r="V34" i="3"/>
  <c r="W34" i="3"/>
  <c r="X34" i="3"/>
  <c r="M13" i="3"/>
  <c r="U13" i="3"/>
  <c r="AC13" i="3" s="1"/>
  <c r="V13" i="3"/>
  <c r="W13" i="3"/>
  <c r="X13" i="3"/>
  <c r="M7" i="3"/>
  <c r="U7" i="3"/>
  <c r="V7" i="3"/>
  <c r="W7" i="3"/>
  <c r="X7" i="3"/>
  <c r="M28" i="3"/>
  <c r="U28" i="3"/>
  <c r="AC28" i="3" s="1"/>
  <c r="V28" i="3"/>
  <c r="W28" i="3"/>
  <c r="X28" i="3"/>
  <c r="M16" i="3"/>
  <c r="U16" i="3"/>
  <c r="AC16" i="3" s="1"/>
  <c r="V16" i="3"/>
  <c r="W16" i="3"/>
  <c r="X16" i="3"/>
  <c r="M12" i="3"/>
  <c r="U12" i="3"/>
  <c r="T12" i="3" s="1"/>
  <c r="V12" i="3"/>
  <c r="W12" i="3"/>
  <c r="X12" i="3"/>
  <c r="M30" i="3"/>
  <c r="U30" i="3"/>
  <c r="V30" i="3"/>
  <c r="W30" i="3"/>
  <c r="X30" i="3"/>
  <c r="M17" i="3"/>
  <c r="U17" i="3"/>
  <c r="AC17" i="3" s="1"/>
  <c r="V17" i="3"/>
  <c r="W17" i="3"/>
  <c r="X17" i="3"/>
  <c r="M23" i="3"/>
  <c r="U23" i="3"/>
  <c r="AC23" i="3" s="1"/>
  <c r="V23" i="3"/>
  <c r="W23" i="3"/>
  <c r="X23" i="3"/>
  <c r="M24" i="3"/>
  <c r="U24" i="3"/>
  <c r="T24" i="3" s="1"/>
  <c r="V24" i="3"/>
  <c r="W24" i="3"/>
  <c r="X24" i="3"/>
  <c r="AC24" i="3"/>
  <c r="M33" i="3"/>
  <c r="U33" i="3"/>
  <c r="V33" i="3"/>
  <c r="W33" i="3"/>
  <c r="X33" i="3"/>
  <c r="M26" i="3"/>
  <c r="U26" i="3"/>
  <c r="AC26" i="3" s="1"/>
  <c r="V26" i="3"/>
  <c r="W26" i="3"/>
  <c r="X26" i="3"/>
  <c r="M10" i="3"/>
  <c r="U10" i="3"/>
  <c r="AC10" i="3" s="1"/>
  <c r="V10" i="3"/>
  <c r="W10" i="3"/>
  <c r="X10" i="3"/>
  <c r="M18" i="3"/>
  <c r="U18" i="3"/>
  <c r="AD8" i="3" s="1"/>
  <c r="V18" i="3"/>
  <c r="W18" i="3"/>
  <c r="X18" i="3"/>
  <c r="AA160" i="1" l="1"/>
  <c r="X31" i="1"/>
  <c r="X22" i="1"/>
  <c r="AG160" i="1"/>
  <c r="X160" i="1"/>
  <c r="P109" i="1"/>
  <c r="P89" i="1"/>
  <c r="AG162" i="1"/>
  <c r="X162" i="1"/>
  <c r="X24" i="1"/>
  <c r="X159" i="1"/>
  <c r="AI223" i="1"/>
  <c r="X40" i="1"/>
  <c r="X59" i="1"/>
  <c r="X21" i="1"/>
  <c r="X30" i="1"/>
  <c r="X39" i="1"/>
  <c r="T162" i="1"/>
  <c r="P63" i="1"/>
  <c r="X23" i="1"/>
  <c r="X38" i="1"/>
  <c r="AI151" i="1"/>
  <c r="AI147" i="1"/>
  <c r="X144" i="1"/>
  <c r="AI143" i="1"/>
  <c r="P74" i="1"/>
  <c r="AI51" i="1"/>
  <c r="AI47" i="1"/>
  <c r="AA43" i="1"/>
  <c r="W43" i="1" s="1"/>
  <c r="T33" i="1"/>
  <c r="AA31" i="1"/>
  <c r="X19" i="1"/>
  <c r="AD20" i="3"/>
  <c r="AD12" i="3"/>
  <c r="AD10" i="3"/>
  <c r="I6" i="6"/>
  <c r="I7" i="6"/>
  <c r="H6" i="6"/>
  <c r="H9" i="6"/>
  <c r="H7" i="6"/>
  <c r="H11" i="6"/>
  <c r="I9" i="6"/>
  <c r="H8" i="6"/>
  <c r="I11" i="6"/>
  <c r="I8" i="6"/>
  <c r="G11" i="6"/>
  <c r="G10" i="6"/>
  <c r="G9" i="6"/>
  <c r="G8" i="6"/>
  <c r="G7" i="6"/>
  <c r="G6" i="6"/>
  <c r="J11" i="6"/>
  <c r="J10" i="6"/>
  <c r="J9" i="6"/>
  <c r="J8" i="6"/>
  <c r="J7" i="6"/>
  <c r="J6" i="6"/>
  <c r="AG38" i="1"/>
  <c r="W38" i="1" s="1"/>
  <c r="S20" i="3"/>
  <c r="AG29" i="1"/>
  <c r="W29" i="1" s="1"/>
  <c r="X29" i="1"/>
  <c r="AC18" i="3"/>
  <c r="R9" i="3"/>
  <c r="S21" i="3"/>
  <c r="Y18" i="3"/>
  <c r="Y39" i="3"/>
  <c r="AA176" i="1"/>
  <c r="AA172" i="1"/>
  <c r="AA100" i="1"/>
  <c r="X97" i="1"/>
  <c r="AA96" i="1"/>
  <c r="X69" i="1"/>
  <c r="AI68" i="1"/>
  <c r="X60" i="1"/>
  <c r="X58" i="1"/>
  <c r="AD18" i="3"/>
  <c r="AE18" i="3"/>
  <c r="AA165" i="1"/>
  <c r="AA162" i="1"/>
  <c r="AA224" i="1"/>
  <c r="AA222" i="1"/>
  <c r="AI153" i="1"/>
  <c r="Y28" i="3"/>
  <c r="AD30" i="3"/>
  <c r="R39" i="3"/>
  <c r="AI222" i="1"/>
  <c r="AA183" i="1"/>
  <c r="X168" i="1"/>
  <c r="AA167" i="1"/>
  <c r="W167" i="1" s="1"/>
  <c r="AI141" i="1"/>
  <c r="AI129" i="1"/>
  <c r="AA121" i="1"/>
  <c r="W121" i="1" s="1"/>
  <c r="AI117" i="1"/>
  <c r="AI113" i="1"/>
  <c r="AA109" i="1"/>
  <c r="W109" i="1" s="1"/>
  <c r="AA67" i="1"/>
  <c r="AI60" i="1"/>
  <c r="AI49" i="1"/>
  <c r="AI41" i="1"/>
  <c r="Y37" i="3"/>
  <c r="T167" i="1"/>
  <c r="U167" i="1" s="1"/>
  <c r="S167" i="1" s="1"/>
  <c r="T109" i="1"/>
  <c r="U109" i="1" s="1"/>
  <c r="T67" i="1"/>
  <c r="R7" i="3"/>
  <c r="S9" i="3"/>
  <c r="AC32" i="3"/>
  <c r="R20" i="3"/>
  <c r="Y22" i="3"/>
  <c r="Y8" i="3"/>
  <c r="AA229" i="1"/>
  <c r="AA178" i="1"/>
  <c r="W178" i="1" s="1"/>
  <c r="T160" i="1"/>
  <c r="U160" i="1" s="1"/>
  <c r="S160" i="1" s="1"/>
  <c r="AA158" i="1"/>
  <c r="W158" i="1" s="1"/>
  <c r="AI139" i="1"/>
  <c r="AI127" i="1"/>
  <c r="AA123" i="1"/>
  <c r="AI115" i="1"/>
  <c r="X109" i="1"/>
  <c r="AG108" i="1"/>
  <c r="U108" i="1" s="1"/>
  <c r="S108" i="1" s="1"/>
  <c r="AA102" i="1"/>
  <c r="AA99" i="1"/>
  <c r="AA98" i="1"/>
  <c r="AA95" i="1"/>
  <c r="AA90" i="1"/>
  <c r="W90" i="1" s="1"/>
  <c r="AA82" i="1"/>
  <c r="W82" i="1" s="1"/>
  <c r="AG59" i="1"/>
  <c r="AI55" i="1"/>
  <c r="X82" i="1"/>
  <c r="X35" i="1"/>
  <c r="X20" i="1"/>
  <c r="AC30" i="3"/>
  <c r="AC12" i="3"/>
  <c r="R21" i="3"/>
  <c r="X74" i="1"/>
  <c r="AG73" i="1"/>
  <c r="AI73" i="1" s="1"/>
  <c r="AA47" i="1"/>
  <c r="AE23" i="3"/>
  <c r="AD34" i="3"/>
  <c r="AD33" i="3"/>
  <c r="AD23" i="3"/>
  <c r="AD32" i="3"/>
  <c r="Y19" i="3"/>
  <c r="Y11" i="3"/>
  <c r="AA192" i="1"/>
  <c r="AA190" i="1"/>
  <c r="W190" i="1" s="1"/>
  <c r="T176" i="1"/>
  <c r="U176" i="1" s="1"/>
  <c r="S176" i="1" s="1"/>
  <c r="AA174" i="1"/>
  <c r="X172" i="1"/>
  <c r="AA171" i="1"/>
  <c r="T171" i="1"/>
  <c r="U171" i="1" s="1"/>
  <c r="S171" i="1" s="1"/>
  <c r="T165" i="1"/>
  <c r="U165" i="1" s="1"/>
  <c r="S165" i="1" s="1"/>
  <c r="AA164" i="1"/>
  <c r="W164" i="1" s="1"/>
  <c r="T158" i="1"/>
  <c r="AA156" i="1"/>
  <c r="AA226" i="1"/>
  <c r="AA207" i="1"/>
  <c r="AI133" i="1"/>
  <c r="T121" i="1"/>
  <c r="X121" i="1"/>
  <c r="AI119" i="1"/>
  <c r="X90" i="1"/>
  <c r="AI74" i="1"/>
  <c r="AA73" i="1"/>
  <c r="W73" i="1" s="1"/>
  <c r="AA68" i="1"/>
  <c r="W68" i="1" s="1"/>
  <c r="AA62" i="1"/>
  <c r="W62" i="1" s="1"/>
  <c r="AI53" i="1"/>
  <c r="AC14" i="3"/>
  <c r="X192" i="1"/>
  <c r="X171" i="1"/>
  <c r="AA129" i="1"/>
  <c r="AG42" i="1"/>
  <c r="AI42" i="1" s="1"/>
  <c r="X17" i="1"/>
  <c r="Y36" i="3"/>
  <c r="T174" i="1"/>
  <c r="T164" i="1"/>
  <c r="U164" i="1" s="1"/>
  <c r="S164" i="1" s="1"/>
  <c r="T156" i="1"/>
  <c r="U156" i="1" s="1"/>
  <c r="S156" i="1" s="1"/>
  <c r="AI225" i="1"/>
  <c r="T221" i="1"/>
  <c r="X143" i="1"/>
  <c r="AA97" i="1"/>
  <c r="AA57" i="1"/>
  <c r="W57" i="1" s="1"/>
  <c r="AA55" i="1"/>
  <c r="W55" i="1" s="1"/>
  <c r="AI45" i="1"/>
  <c r="AI43" i="1"/>
  <c r="AA41" i="1"/>
  <c r="W41" i="1" s="1"/>
  <c r="X18" i="1"/>
  <c r="S7" i="3"/>
  <c r="AD36" i="3"/>
  <c r="Y24" i="3"/>
  <c r="Y17" i="3"/>
  <c r="X176" i="1"/>
  <c r="X67" i="1"/>
  <c r="X61" i="1"/>
  <c r="T18" i="3"/>
  <c r="Y33" i="3"/>
  <c r="Y27" i="3"/>
  <c r="AE20" i="3"/>
  <c r="AD25" i="3"/>
  <c r="Y38" i="3"/>
  <c r="T216" i="1"/>
  <c r="U216" i="1" s="1"/>
  <c r="S216" i="1" s="1"/>
  <c r="AA198" i="1"/>
  <c r="W198" i="1" s="1"/>
  <c r="X229" i="1"/>
  <c r="AI169" i="1"/>
  <c r="X167" i="1"/>
  <c r="X165" i="1"/>
  <c r="X164" i="1"/>
  <c r="X158" i="1"/>
  <c r="AA205" i="1"/>
  <c r="AA155" i="1"/>
  <c r="W155" i="1" s="1"/>
  <c r="AA147" i="1"/>
  <c r="W147" i="1" s="1"/>
  <c r="AA135" i="1"/>
  <c r="W135" i="1" s="1"/>
  <c r="AG130" i="1"/>
  <c r="U130" i="1" s="1"/>
  <c r="S130" i="1" s="1"/>
  <c r="AA127" i="1"/>
  <c r="W127" i="1" s="1"/>
  <c r="AA124" i="1"/>
  <c r="AG118" i="1"/>
  <c r="U118" i="1" s="1"/>
  <c r="S118" i="1" s="1"/>
  <c r="AA107" i="1"/>
  <c r="AA93" i="1"/>
  <c r="X86" i="1"/>
  <c r="AA78" i="1"/>
  <c r="W78" i="1" s="1"/>
  <c r="AI66" i="1"/>
  <c r="X63" i="1"/>
  <c r="AA60" i="1"/>
  <c r="W60" i="1" s="1"/>
  <c r="AA53" i="1"/>
  <c r="W53" i="1" s="1"/>
  <c r="AA45" i="1"/>
  <c r="W45" i="1" s="1"/>
  <c r="AG44" i="1"/>
  <c r="AI44" i="1" s="1"/>
  <c r="T37" i="1"/>
  <c r="AA35" i="1"/>
  <c r="W35" i="1" s="1"/>
  <c r="T35" i="1"/>
  <c r="U35" i="1" s="1"/>
  <c r="S35" i="1" s="1"/>
  <c r="AA33" i="1"/>
  <c r="W33" i="1" s="1"/>
  <c r="AA30" i="1"/>
  <c r="W30" i="1" s="1"/>
  <c r="AA49" i="1"/>
  <c r="W49" i="1" s="1"/>
  <c r="AA37" i="1"/>
  <c r="W37" i="1" s="1"/>
  <c r="W129" i="1"/>
  <c r="T15" i="3"/>
  <c r="X199" i="1"/>
  <c r="AI157" i="1"/>
  <c r="AG214" i="1"/>
  <c r="AI214" i="1" s="1"/>
  <c r="X214" i="1"/>
  <c r="AA206" i="1"/>
  <c r="AA151" i="1"/>
  <c r="W151" i="1" s="1"/>
  <c r="AG150" i="1"/>
  <c r="U150" i="1" s="1"/>
  <c r="S150" i="1" s="1"/>
  <c r="X147" i="1"/>
  <c r="AI137" i="1"/>
  <c r="X132" i="1"/>
  <c r="AA130" i="1"/>
  <c r="W130" i="1" s="1"/>
  <c r="AG124" i="1"/>
  <c r="U124" i="1" s="1"/>
  <c r="S124" i="1" s="1"/>
  <c r="AA115" i="1"/>
  <c r="W115" i="1" s="1"/>
  <c r="AA113" i="1"/>
  <c r="W113" i="1" s="1"/>
  <c r="AG112" i="1"/>
  <c r="U112" i="1" s="1"/>
  <c r="S112" i="1" s="1"/>
  <c r="AA105" i="1"/>
  <c r="AG93" i="1"/>
  <c r="AI93" i="1" s="1"/>
  <c r="AA86" i="1"/>
  <c r="W86" i="1" s="1"/>
  <c r="X78" i="1"/>
  <c r="AA64" i="1"/>
  <c r="W64" i="1" s="1"/>
  <c r="AI62" i="1"/>
  <c r="AI57" i="1"/>
  <c r="AA51" i="1"/>
  <c r="W51" i="1" s="1"/>
  <c r="AA22" i="1"/>
  <c r="AD29" i="3"/>
  <c r="Y15" i="3"/>
  <c r="AE25" i="3"/>
  <c r="X174" i="1"/>
  <c r="T225" i="1"/>
  <c r="U225" i="1" s="1"/>
  <c r="S225" i="1" s="1"/>
  <c r="AA215" i="1"/>
  <c r="AG200" i="1"/>
  <c r="U200" i="1" s="1"/>
  <c r="S200" i="1" s="1"/>
  <c r="X200" i="1"/>
  <c r="AA196" i="1"/>
  <c r="AA194" i="1"/>
  <c r="W194" i="1" s="1"/>
  <c r="X188" i="1"/>
  <c r="AA181" i="1"/>
  <c r="W181" i="1" s="1"/>
  <c r="AA179" i="1"/>
  <c r="X177" i="1"/>
  <c r="AA175" i="1"/>
  <c r="W175" i="1" s="1"/>
  <c r="T175" i="1"/>
  <c r="X173" i="1"/>
  <c r="AA169" i="1"/>
  <c r="W169" i="1" s="1"/>
  <c r="T169" i="1"/>
  <c r="U169" i="1" s="1"/>
  <c r="S169" i="1" s="1"/>
  <c r="AG168" i="1"/>
  <c r="AI168" i="1" s="1"/>
  <c r="T168" i="1"/>
  <c r="AG166" i="1"/>
  <c r="T166" i="1"/>
  <c r="X166" i="1"/>
  <c r="AG228" i="1"/>
  <c r="X228" i="1"/>
  <c r="T228" i="1"/>
  <c r="AG163" i="1"/>
  <c r="T163" i="1"/>
  <c r="X163" i="1"/>
  <c r="AG161" i="1"/>
  <c r="T161" i="1"/>
  <c r="AG159" i="1"/>
  <c r="T159" i="1"/>
  <c r="AG227" i="1"/>
  <c r="T227" i="1"/>
  <c r="AA230" i="1"/>
  <c r="X196" i="1"/>
  <c r="AA188" i="1"/>
  <c r="AA186" i="1"/>
  <c r="W186" i="1" s="1"/>
  <c r="X181" i="1"/>
  <c r="AA177" i="1"/>
  <c r="W177" i="1" s="1"/>
  <c r="T177" i="1"/>
  <c r="X175" i="1"/>
  <c r="AA173" i="1"/>
  <c r="W173" i="1" s="1"/>
  <c r="T173" i="1"/>
  <c r="AG172" i="1"/>
  <c r="T172" i="1"/>
  <c r="AA170" i="1"/>
  <c r="X169" i="1"/>
  <c r="AG170" i="1"/>
  <c r="X170" i="1"/>
  <c r="T95" i="1"/>
  <c r="U95" i="1" s="1"/>
  <c r="S95" i="1" s="1"/>
  <c r="X95" i="1"/>
  <c r="W47" i="1"/>
  <c r="AA15" i="1"/>
  <c r="AI171" i="1"/>
  <c r="AA168" i="1"/>
  <c r="AI167" i="1"/>
  <c r="AA228" i="1"/>
  <c r="AA161" i="1"/>
  <c r="AA157" i="1"/>
  <c r="W157" i="1" s="1"/>
  <c r="T157" i="1"/>
  <c r="U157" i="1" s="1"/>
  <c r="S157" i="1" s="1"/>
  <c r="T226" i="1"/>
  <c r="U226" i="1" s="1"/>
  <c r="S226" i="1" s="1"/>
  <c r="AA225" i="1"/>
  <c r="T222" i="1"/>
  <c r="U222" i="1" s="1"/>
  <c r="S222" i="1" s="1"/>
  <c r="AA221" i="1"/>
  <c r="W221" i="1" s="1"/>
  <c r="AG212" i="1"/>
  <c r="U212" i="1" s="1"/>
  <c r="S212" i="1" s="1"/>
  <c r="X212" i="1"/>
  <c r="AA211" i="1"/>
  <c r="W211" i="1" s="1"/>
  <c r="AG208" i="1"/>
  <c r="AI208" i="1" s="1"/>
  <c r="X206" i="1"/>
  <c r="AI155" i="1"/>
  <c r="AG154" i="1"/>
  <c r="U154" i="1" s="1"/>
  <c r="S154" i="1" s="1"/>
  <c r="AA149" i="1"/>
  <c r="W149" i="1" s="1"/>
  <c r="AA145" i="1"/>
  <c r="W145" i="1" s="1"/>
  <c r="AA142" i="1"/>
  <c r="X136" i="1"/>
  <c r="AA131" i="1"/>
  <c r="AA125" i="1"/>
  <c r="W125" i="1" s="1"/>
  <c r="T125" i="1"/>
  <c r="AI123" i="1"/>
  <c r="AG122" i="1"/>
  <c r="U122" i="1" s="1"/>
  <c r="S122" i="1" s="1"/>
  <c r="AA119" i="1"/>
  <c r="W119" i="1" s="1"/>
  <c r="AA111" i="1"/>
  <c r="AG110" i="1"/>
  <c r="AG107" i="1"/>
  <c r="AI107" i="1" s="1"/>
  <c r="AG106" i="1"/>
  <c r="AI106" i="1" s="1"/>
  <c r="AA104" i="1"/>
  <c r="AG101" i="1"/>
  <c r="U101" i="1" s="1"/>
  <c r="S101" i="1" s="1"/>
  <c r="AI90" i="1"/>
  <c r="AA84" i="1"/>
  <c r="AI82" i="1"/>
  <c r="AA76" i="1"/>
  <c r="T69" i="1"/>
  <c r="AA66" i="1"/>
  <c r="W66" i="1" s="1"/>
  <c r="AG65" i="1"/>
  <c r="X65" i="1"/>
  <c r="T63" i="1"/>
  <c r="T61" i="1"/>
  <c r="X53" i="1"/>
  <c r="AG52" i="1"/>
  <c r="AI52" i="1" s="1"/>
  <c r="AA39" i="1"/>
  <c r="W39" i="1" s="1"/>
  <c r="T39" i="1"/>
  <c r="X36" i="1"/>
  <c r="AA34" i="1"/>
  <c r="W34" i="1" s="1"/>
  <c r="T34" i="1"/>
  <c r="U34" i="1" s="1"/>
  <c r="S34" i="1" s="1"/>
  <c r="X32" i="1"/>
  <c r="AA24" i="1"/>
  <c r="T223" i="1"/>
  <c r="U223" i="1" s="1"/>
  <c r="S223" i="1" s="1"/>
  <c r="X213" i="1"/>
  <c r="X140" i="1"/>
  <c r="X107" i="1"/>
  <c r="X37" i="1"/>
  <c r="X33" i="1"/>
  <c r="AA23" i="1"/>
  <c r="W23" i="1" s="1"/>
  <c r="T23" i="1"/>
  <c r="U23" i="1" s="1"/>
  <c r="S23" i="1" s="1"/>
  <c r="AG15" i="1"/>
  <c r="U15" i="1" s="1"/>
  <c r="S15" i="1" s="1"/>
  <c r="AA166" i="1"/>
  <c r="AI165" i="1"/>
  <c r="AA163" i="1"/>
  <c r="AA159" i="1"/>
  <c r="X157" i="1"/>
  <c r="AA227" i="1"/>
  <c r="AA223" i="1"/>
  <c r="W223" i="1" s="1"/>
  <c r="AA210" i="1"/>
  <c r="AA208" i="1"/>
  <c r="AA154" i="1"/>
  <c r="X148" i="1"/>
  <c r="AA143" i="1"/>
  <c r="W143" i="1" s="1"/>
  <c r="AA139" i="1"/>
  <c r="W139" i="1" s="1"/>
  <c r="AI135" i="1"/>
  <c r="X125" i="1"/>
  <c r="AA122" i="1"/>
  <c r="AA117" i="1"/>
  <c r="W117" i="1" s="1"/>
  <c r="AA110" i="1"/>
  <c r="AA103" i="1"/>
  <c r="AA88" i="1"/>
  <c r="AI86" i="1"/>
  <c r="AA80" i="1"/>
  <c r="AI78" i="1"/>
  <c r="AA74" i="1"/>
  <c r="W74" i="1" s="1"/>
  <c r="AA70" i="1"/>
  <c r="AG69" i="1"/>
  <c r="AI69" i="1" s="1"/>
  <c r="AA65" i="1"/>
  <c r="W65" i="1" s="1"/>
  <c r="AI64" i="1"/>
  <c r="AG63" i="1"/>
  <c r="AI63" i="1" s="1"/>
  <c r="AG61" i="1"/>
  <c r="AI61" i="1" s="1"/>
  <c r="AG58" i="1"/>
  <c r="U58" i="1" s="1"/>
  <c r="S58" i="1" s="1"/>
  <c r="AG50" i="1"/>
  <c r="U50" i="1" s="1"/>
  <c r="S50" i="1" s="1"/>
  <c r="AA36" i="1"/>
  <c r="W36" i="1" s="1"/>
  <c r="T36" i="1"/>
  <c r="U36" i="1" s="1"/>
  <c r="S36" i="1" s="1"/>
  <c r="X34" i="1"/>
  <c r="AA32" i="1"/>
  <c r="W32" i="1" s="1"/>
  <c r="T32" i="1"/>
  <c r="U32" i="1" s="1"/>
  <c r="S32" i="1" s="1"/>
  <c r="T18" i="1"/>
  <c r="U18" i="1" s="1"/>
  <c r="S18" i="1" s="1"/>
  <c r="X198" i="1"/>
  <c r="X194" i="1"/>
  <c r="X190" i="1"/>
  <c r="X186" i="1"/>
  <c r="X183" i="1"/>
  <c r="X156" i="1"/>
  <c r="X227" i="1"/>
  <c r="X226" i="1"/>
  <c r="X225" i="1"/>
  <c r="X224" i="1"/>
  <c r="X223" i="1"/>
  <c r="X222" i="1"/>
  <c r="AA214" i="1"/>
  <c r="AA213" i="1"/>
  <c r="W213" i="1" s="1"/>
  <c r="AA212" i="1"/>
  <c r="W212" i="1" s="1"/>
  <c r="AG210" i="1"/>
  <c r="AI210" i="1" s="1"/>
  <c r="X210" i="1"/>
  <c r="AA209" i="1"/>
  <c r="AG206" i="1"/>
  <c r="U206" i="1" s="1"/>
  <c r="S206" i="1" s="1"/>
  <c r="T204" i="1"/>
  <c r="U204" i="1" s="1"/>
  <c r="S204" i="1" s="1"/>
  <c r="AA203" i="1"/>
  <c r="W203" i="1" s="1"/>
  <c r="X155" i="1"/>
  <c r="X152" i="1"/>
  <c r="AA150" i="1"/>
  <c r="T147" i="1"/>
  <c r="U147" i="1" s="1"/>
  <c r="S147" i="1" s="1"/>
  <c r="AI145" i="1"/>
  <c r="AG142" i="1"/>
  <c r="U142" i="1" s="1"/>
  <c r="S142" i="1" s="1"/>
  <c r="AA141" i="1"/>
  <c r="W141" i="1" s="1"/>
  <c r="X139" i="1"/>
  <c r="AG138" i="1"/>
  <c r="U138" i="1" s="1"/>
  <c r="S138" i="1" s="1"/>
  <c r="AA137" i="1"/>
  <c r="W137" i="1" s="1"/>
  <c r="X135" i="1"/>
  <c r="AG134" i="1"/>
  <c r="U134" i="1" s="1"/>
  <c r="AA133" i="1"/>
  <c r="W133" i="1" s="1"/>
  <c r="AI125" i="1"/>
  <c r="U125" i="1"/>
  <c r="S125" i="1" s="1"/>
  <c r="X123" i="1"/>
  <c r="X119" i="1"/>
  <c r="X111" i="1"/>
  <c r="AI109" i="1"/>
  <c r="X218" i="1"/>
  <c r="X217" i="1"/>
  <c r="AG230" i="1"/>
  <c r="X230" i="1"/>
  <c r="AA201" i="1"/>
  <c r="W201" i="1" s="1"/>
  <c r="AG199" i="1"/>
  <c r="U199" i="1" s="1"/>
  <c r="S199" i="1" s="1"/>
  <c r="AA197" i="1"/>
  <c r="W197" i="1" s="1"/>
  <c r="X195" i="1"/>
  <c r="AA193" i="1"/>
  <c r="W193" i="1" s="1"/>
  <c r="X191" i="1"/>
  <c r="AA189" i="1"/>
  <c r="W189" i="1" s="1"/>
  <c r="X187" i="1"/>
  <c r="AA185" i="1"/>
  <c r="W185" i="1" s="1"/>
  <c r="X184" i="1"/>
  <c r="AA182" i="1"/>
  <c r="X180" i="1"/>
  <c r="U221" i="1"/>
  <c r="S221" i="1" s="1"/>
  <c r="X221" i="1"/>
  <c r="AA220" i="1"/>
  <c r="AA219" i="1"/>
  <c r="W219" i="1" s="1"/>
  <c r="X208" i="1"/>
  <c r="AA204" i="1"/>
  <c r="W204" i="1" s="1"/>
  <c r="AA153" i="1"/>
  <c r="W153" i="1" s="1"/>
  <c r="X151" i="1"/>
  <c r="AA146" i="1"/>
  <c r="T143" i="1"/>
  <c r="AG131" i="1"/>
  <c r="T131" i="1"/>
  <c r="T120" i="1"/>
  <c r="AG120" i="1"/>
  <c r="AI120" i="1" s="1"/>
  <c r="T116" i="1"/>
  <c r="AG116" i="1"/>
  <c r="AI116" i="1" s="1"/>
  <c r="AG105" i="1"/>
  <c r="T105" i="1"/>
  <c r="U65" i="1"/>
  <c r="S65" i="1" s="1"/>
  <c r="T155" i="1"/>
  <c r="U155" i="1" s="1"/>
  <c r="S155" i="1" s="1"/>
  <c r="AA138" i="1"/>
  <c r="AA134" i="1"/>
  <c r="X129" i="1"/>
  <c r="AG128" i="1"/>
  <c r="U128" i="1" s="1"/>
  <c r="S128" i="1" s="1"/>
  <c r="T126" i="1"/>
  <c r="X127" i="1"/>
  <c r="AG126" i="1"/>
  <c r="AI126" i="1" s="1"/>
  <c r="W123" i="1"/>
  <c r="T123" i="1"/>
  <c r="U123" i="1" s="1"/>
  <c r="S123" i="1" s="1"/>
  <c r="AI121" i="1"/>
  <c r="U121" i="1"/>
  <c r="S121" i="1" s="1"/>
  <c r="T119" i="1"/>
  <c r="U119" i="1" s="1"/>
  <c r="S119" i="1" s="1"/>
  <c r="W111" i="1"/>
  <c r="T111" i="1"/>
  <c r="U111" i="1" s="1"/>
  <c r="S111" i="1" s="1"/>
  <c r="AA218" i="1"/>
  <c r="W218" i="1" s="1"/>
  <c r="T218" i="1"/>
  <c r="U218" i="1" s="1"/>
  <c r="S218" i="1" s="1"/>
  <c r="AA217" i="1"/>
  <c r="AA216" i="1"/>
  <c r="W216" i="1" s="1"/>
  <c r="AA200" i="1"/>
  <c r="AA199" i="1"/>
  <c r="X197" i="1"/>
  <c r="AA195" i="1"/>
  <c r="W195" i="1" s="1"/>
  <c r="X193" i="1"/>
  <c r="AA191" i="1"/>
  <c r="W191" i="1" s="1"/>
  <c r="X189" i="1"/>
  <c r="AA187" i="1"/>
  <c r="X185" i="1"/>
  <c r="AA184" i="1"/>
  <c r="W184" i="1" s="1"/>
  <c r="X182" i="1"/>
  <c r="AA180" i="1"/>
  <c r="W180" i="1" s="1"/>
  <c r="AG220" i="1"/>
  <c r="AI220" i="1" s="1"/>
  <c r="X220" i="1"/>
  <c r="X202" i="1"/>
  <c r="T151" i="1"/>
  <c r="U151" i="1" s="1"/>
  <c r="S151" i="1" s="1"/>
  <c r="AI149" i="1"/>
  <c r="AG146" i="1"/>
  <c r="U146" i="1" s="1"/>
  <c r="S146" i="1" s="1"/>
  <c r="T114" i="1"/>
  <c r="X115" i="1"/>
  <c r="AG114" i="1"/>
  <c r="AI114" i="1" s="1"/>
  <c r="AI111" i="1"/>
  <c r="T103" i="1"/>
  <c r="X103" i="1"/>
  <c r="AG103" i="1"/>
  <c r="AI103" i="1" s="1"/>
  <c r="T129" i="1"/>
  <c r="U129" i="1" s="1"/>
  <c r="S129" i="1" s="1"/>
  <c r="T127" i="1"/>
  <c r="U127" i="1" s="1"/>
  <c r="S127" i="1" s="1"/>
  <c r="X117" i="1"/>
  <c r="AA116" i="1"/>
  <c r="T115" i="1"/>
  <c r="U115" i="1" s="1"/>
  <c r="S115" i="1" s="1"/>
  <c r="X113" i="1"/>
  <c r="AA108" i="1"/>
  <c r="X101" i="1"/>
  <c r="AG99" i="1"/>
  <c r="U99" i="1" s="1"/>
  <c r="S99" i="1" s="1"/>
  <c r="X99" i="1"/>
  <c r="T97" i="1"/>
  <c r="AA94" i="1"/>
  <c r="AA92" i="1"/>
  <c r="AA89" i="1"/>
  <c r="AA85" i="1"/>
  <c r="AA81" i="1"/>
  <c r="AA77" i="1"/>
  <c r="T74" i="1"/>
  <c r="U74" i="1" s="1"/>
  <c r="T60" i="1"/>
  <c r="U60" i="1" s="1"/>
  <c r="S60" i="1" s="1"/>
  <c r="T57" i="1"/>
  <c r="U57" i="1" s="1"/>
  <c r="S57" i="1" s="1"/>
  <c r="AG56" i="1"/>
  <c r="U56" i="1" s="1"/>
  <c r="S56" i="1" s="1"/>
  <c r="X55" i="1"/>
  <c r="AA54" i="1"/>
  <c r="T53" i="1"/>
  <c r="T51" i="1"/>
  <c r="U51" i="1" s="1"/>
  <c r="S51" i="1" s="1"/>
  <c r="T49" i="1"/>
  <c r="U49" i="1" s="1"/>
  <c r="S49" i="1" s="1"/>
  <c r="AG48" i="1"/>
  <c r="U48" i="1" s="1"/>
  <c r="S48" i="1" s="1"/>
  <c r="X47" i="1"/>
  <c r="AA46" i="1"/>
  <c r="T45" i="1"/>
  <c r="U45" i="1" s="1"/>
  <c r="S45" i="1" s="1"/>
  <c r="T43" i="1"/>
  <c r="U43" i="1" s="1"/>
  <c r="S43" i="1" s="1"/>
  <c r="T41" i="1"/>
  <c r="U41" i="1" s="1"/>
  <c r="S41" i="1" s="1"/>
  <c r="AG40" i="1"/>
  <c r="AA27" i="1"/>
  <c r="W27" i="1" s="1"/>
  <c r="T27" i="1"/>
  <c r="U27" i="1" s="1"/>
  <c r="S27" i="1" s="1"/>
  <c r="AA26" i="1"/>
  <c r="AA18" i="1"/>
  <c r="W18" i="1" s="1"/>
  <c r="AA16" i="1"/>
  <c r="T40" i="1"/>
  <c r="T25" i="1"/>
  <c r="U25" i="1" s="1"/>
  <c r="S25" i="1" s="1"/>
  <c r="T21" i="1"/>
  <c r="U21" i="1" s="1"/>
  <c r="S21" i="1" s="1"/>
  <c r="AA17" i="1"/>
  <c r="W17" i="1" s="1"/>
  <c r="T17" i="1"/>
  <c r="AA14" i="1"/>
  <c r="T117" i="1"/>
  <c r="U117" i="1" s="1"/>
  <c r="S117" i="1" s="1"/>
  <c r="AA114" i="1"/>
  <c r="T113" i="1"/>
  <c r="U113" i="1" s="1"/>
  <c r="S113" i="1" s="1"/>
  <c r="AA106" i="1"/>
  <c r="AA101" i="1"/>
  <c r="AG97" i="1"/>
  <c r="AG89" i="1"/>
  <c r="AI89" i="1" s="1"/>
  <c r="AG85" i="1"/>
  <c r="U85" i="1" s="1"/>
  <c r="S85" i="1" s="1"/>
  <c r="AG81" i="1"/>
  <c r="AI81" i="1" s="1"/>
  <c r="AG77" i="1"/>
  <c r="AI77" i="1" s="1"/>
  <c r="AA72" i="1"/>
  <c r="X57" i="1"/>
  <c r="AA56" i="1"/>
  <c r="T55" i="1"/>
  <c r="U55" i="1" s="1"/>
  <c r="S55" i="1" s="1"/>
  <c r="AG54" i="1"/>
  <c r="U54" i="1" s="1"/>
  <c r="S54" i="1" s="1"/>
  <c r="X51" i="1"/>
  <c r="X49" i="1"/>
  <c r="AA48" i="1"/>
  <c r="T47" i="1"/>
  <c r="U47" i="1" s="1"/>
  <c r="S47" i="1" s="1"/>
  <c r="AG46" i="1"/>
  <c r="U46" i="1" s="1"/>
  <c r="S46" i="1" s="1"/>
  <c r="X45" i="1"/>
  <c r="X43" i="1"/>
  <c r="X41" i="1"/>
  <c r="AA40" i="1"/>
  <c r="T30" i="1"/>
  <c r="U30" i="1" s="1"/>
  <c r="S30" i="1" s="1"/>
  <c r="AA28" i="1"/>
  <c r="X27" i="1"/>
  <c r="AA25" i="1"/>
  <c r="AA21" i="1"/>
  <c r="W21" i="1" s="1"/>
  <c r="T20" i="1"/>
  <c r="U20" i="1" s="1"/>
  <c r="S20" i="1" s="1"/>
  <c r="AA19" i="1"/>
  <c r="X15" i="1"/>
  <c r="W95" i="1"/>
  <c r="T90" i="1"/>
  <c r="U90" i="1" s="1"/>
  <c r="T86" i="1"/>
  <c r="U86" i="1" s="1"/>
  <c r="S86" i="1" s="1"/>
  <c r="T82" i="1"/>
  <c r="U82" i="1" s="1"/>
  <c r="S82" i="1" s="1"/>
  <c r="T78" i="1"/>
  <c r="U78" i="1" s="1"/>
  <c r="AA20" i="1"/>
  <c r="W20" i="1" s="1"/>
  <c r="T215" i="1"/>
  <c r="X215" i="1"/>
  <c r="AI224" i="1"/>
  <c r="X216" i="1"/>
  <c r="AG215" i="1"/>
  <c r="AI215" i="1" s="1"/>
  <c r="T201" i="1"/>
  <c r="U201" i="1" s="1"/>
  <c r="S201" i="1" s="1"/>
  <c r="X201" i="1"/>
  <c r="AI228" i="1"/>
  <c r="AG217" i="1"/>
  <c r="AI217" i="1" s="1"/>
  <c r="AI226" i="1"/>
  <c r="T198" i="1"/>
  <c r="U198" i="1" s="1"/>
  <c r="S198" i="1" s="1"/>
  <c r="T197" i="1"/>
  <c r="U197" i="1" s="1"/>
  <c r="S197" i="1" s="1"/>
  <c r="W196" i="1"/>
  <c r="T196" i="1"/>
  <c r="U196" i="1" s="1"/>
  <c r="S196" i="1" s="1"/>
  <c r="T195" i="1"/>
  <c r="U195" i="1" s="1"/>
  <c r="S195" i="1" s="1"/>
  <c r="T194" i="1"/>
  <c r="U194" i="1" s="1"/>
  <c r="S194" i="1" s="1"/>
  <c r="T193" i="1"/>
  <c r="U193" i="1" s="1"/>
  <c r="S193" i="1" s="1"/>
  <c r="W192" i="1"/>
  <c r="T192" i="1"/>
  <c r="U192" i="1" s="1"/>
  <c r="S192" i="1" s="1"/>
  <c r="T191" i="1"/>
  <c r="U191" i="1" s="1"/>
  <c r="S191" i="1" s="1"/>
  <c r="T190" i="1"/>
  <c r="U190" i="1" s="1"/>
  <c r="S190" i="1" s="1"/>
  <c r="T189" i="1"/>
  <c r="U189" i="1" s="1"/>
  <c r="S189" i="1" s="1"/>
  <c r="W188" i="1"/>
  <c r="T188" i="1"/>
  <c r="U188" i="1" s="1"/>
  <c r="S188" i="1" s="1"/>
  <c r="W187" i="1"/>
  <c r="T187" i="1"/>
  <c r="U187" i="1" s="1"/>
  <c r="S187" i="1" s="1"/>
  <c r="T186" i="1"/>
  <c r="U186" i="1" s="1"/>
  <c r="S186" i="1" s="1"/>
  <c r="T185" i="1"/>
  <c r="U185" i="1" s="1"/>
  <c r="S185" i="1" s="1"/>
  <c r="W229" i="1"/>
  <c r="T229" i="1"/>
  <c r="U229" i="1" s="1"/>
  <c r="S229" i="1" s="1"/>
  <c r="T184" i="1"/>
  <c r="U184" i="1" s="1"/>
  <c r="S184" i="1" s="1"/>
  <c r="W183" i="1"/>
  <c r="T183" i="1"/>
  <c r="U183" i="1" s="1"/>
  <c r="S183" i="1" s="1"/>
  <c r="W182" i="1"/>
  <c r="T182" i="1"/>
  <c r="U182" i="1" s="1"/>
  <c r="S182" i="1" s="1"/>
  <c r="T181" i="1"/>
  <c r="T180" i="1"/>
  <c r="U180" i="1" s="1"/>
  <c r="S180" i="1" s="1"/>
  <c r="W179" i="1"/>
  <c r="T179" i="1"/>
  <c r="U179" i="1" s="1"/>
  <c r="S179" i="1" s="1"/>
  <c r="T178" i="1"/>
  <c r="U178" i="1" s="1"/>
  <c r="S178" i="1" s="1"/>
  <c r="W176" i="1"/>
  <c r="W174" i="1"/>
  <c r="W172" i="1"/>
  <c r="W171" i="1"/>
  <c r="W165" i="1"/>
  <c r="W162" i="1"/>
  <c r="W160" i="1"/>
  <c r="W156" i="1"/>
  <c r="W226" i="1"/>
  <c r="W225" i="1"/>
  <c r="W224" i="1"/>
  <c r="W222" i="1"/>
  <c r="AI221" i="1"/>
  <c r="AI219" i="1"/>
  <c r="AI218" i="1"/>
  <c r="AI216" i="1"/>
  <c r="AI213" i="1"/>
  <c r="AI211" i="1"/>
  <c r="AI206" i="1"/>
  <c r="AI204" i="1"/>
  <c r="U181" i="1"/>
  <c r="S181" i="1" s="1"/>
  <c r="AI203" i="1"/>
  <c r="AI201" i="1"/>
  <c r="U177" i="1"/>
  <c r="S177" i="1" s="1"/>
  <c r="AI198" i="1"/>
  <c r="U175" i="1"/>
  <c r="S175" i="1" s="1"/>
  <c r="U174" i="1"/>
  <c r="S174" i="1" s="1"/>
  <c r="AI197" i="1"/>
  <c r="AI196" i="1"/>
  <c r="U173" i="1"/>
  <c r="S173" i="1" s="1"/>
  <c r="AI195" i="1"/>
  <c r="AI194" i="1"/>
  <c r="U170" i="1"/>
  <c r="S170" i="1" s="1"/>
  <c r="AI193" i="1"/>
  <c r="AI192" i="1"/>
  <c r="U168" i="1"/>
  <c r="S168" i="1" s="1"/>
  <c r="AI191" i="1"/>
  <c r="AI190" i="1"/>
  <c r="AI189" i="1"/>
  <c r="AI188" i="1"/>
  <c r="AI187" i="1"/>
  <c r="AI186" i="1"/>
  <c r="AI185" i="1"/>
  <c r="AI184" i="1"/>
  <c r="U162" i="1"/>
  <c r="S162" i="1" s="1"/>
  <c r="AI183" i="1"/>
  <c r="AI182" i="1"/>
  <c r="AI181" i="1"/>
  <c r="AI180" i="1"/>
  <c r="U158" i="1"/>
  <c r="S158" i="1" s="1"/>
  <c r="AI179" i="1"/>
  <c r="AI178" i="1"/>
  <c r="AI177" i="1"/>
  <c r="AI176" i="1"/>
  <c r="AI175" i="1"/>
  <c r="AI174" i="1"/>
  <c r="U224" i="1"/>
  <c r="S224" i="1" s="1"/>
  <c r="AI173" i="1"/>
  <c r="AI172" i="1"/>
  <c r="X179" i="1"/>
  <c r="X178" i="1"/>
  <c r="T219" i="1"/>
  <c r="U219" i="1" s="1"/>
  <c r="S219" i="1" s="1"/>
  <c r="T211" i="1"/>
  <c r="U211" i="1" s="1"/>
  <c r="S211" i="1" s="1"/>
  <c r="AI164" i="1"/>
  <c r="X219" i="1"/>
  <c r="X211" i="1"/>
  <c r="AI170" i="1"/>
  <c r="T213" i="1"/>
  <c r="U213" i="1" s="1"/>
  <c r="S213" i="1" s="1"/>
  <c r="U210" i="1"/>
  <c r="S210" i="1" s="1"/>
  <c r="AG209" i="1"/>
  <c r="AI209" i="1" s="1"/>
  <c r="AI162" i="1"/>
  <c r="AG207" i="1"/>
  <c r="AI160" i="1"/>
  <c r="AG205" i="1"/>
  <c r="AI205" i="1" s="1"/>
  <c r="AI158" i="1"/>
  <c r="X203" i="1"/>
  <c r="X153" i="1"/>
  <c r="X149" i="1"/>
  <c r="X145" i="1"/>
  <c r="U143" i="1"/>
  <c r="S143" i="1" s="1"/>
  <c r="X141" i="1"/>
  <c r="X137" i="1"/>
  <c r="X133" i="1"/>
  <c r="AI130" i="1"/>
  <c r="AA126" i="1"/>
  <c r="AA118" i="1"/>
  <c r="X209" i="1"/>
  <c r="X207" i="1"/>
  <c r="X205" i="1"/>
  <c r="AA202" i="1"/>
  <c r="X154" i="1"/>
  <c r="AA152" i="1"/>
  <c r="X150" i="1"/>
  <c r="AA148" i="1"/>
  <c r="X146" i="1"/>
  <c r="AA144" i="1"/>
  <c r="X142" i="1"/>
  <c r="AA140" i="1"/>
  <c r="T139" i="1"/>
  <c r="U139" i="1" s="1"/>
  <c r="S139" i="1" s="1"/>
  <c r="AI138" i="1"/>
  <c r="X138" i="1"/>
  <c r="AA136" i="1"/>
  <c r="T135" i="1"/>
  <c r="U135" i="1" s="1"/>
  <c r="S135" i="1" s="1"/>
  <c r="X134" i="1"/>
  <c r="AA132" i="1"/>
  <c r="AA128" i="1"/>
  <c r="AA120" i="1"/>
  <c r="AA112" i="1"/>
  <c r="X83" i="1"/>
  <c r="AG83" i="1"/>
  <c r="T83" i="1"/>
  <c r="AG76" i="1"/>
  <c r="W76" i="1" s="1"/>
  <c r="X76" i="1"/>
  <c r="T76" i="1"/>
  <c r="X77" i="1"/>
  <c r="T202" i="1"/>
  <c r="T152" i="1"/>
  <c r="T148" i="1"/>
  <c r="T144" i="1"/>
  <c r="T140" i="1"/>
  <c r="T136" i="1"/>
  <c r="T132" i="1"/>
  <c r="AG92" i="1"/>
  <c r="X92" i="1"/>
  <c r="T92" i="1"/>
  <c r="X93" i="1"/>
  <c r="X204" i="1"/>
  <c r="T203" i="1"/>
  <c r="U203" i="1" s="1"/>
  <c r="S203" i="1" s="1"/>
  <c r="AG202" i="1"/>
  <c r="AI202" i="1" s="1"/>
  <c r="T153" i="1"/>
  <c r="U153" i="1" s="1"/>
  <c r="S153" i="1" s="1"/>
  <c r="AG152" i="1"/>
  <c r="T149" i="1"/>
  <c r="U149" i="1" s="1"/>
  <c r="S149" i="1" s="1"/>
  <c r="AG148" i="1"/>
  <c r="T145" i="1"/>
  <c r="U145" i="1" s="1"/>
  <c r="S145" i="1" s="1"/>
  <c r="AG144" i="1"/>
  <c r="T141" i="1"/>
  <c r="U141" i="1" s="1"/>
  <c r="S141" i="1" s="1"/>
  <c r="AG140" i="1"/>
  <c r="T137" i="1"/>
  <c r="U137" i="1" s="1"/>
  <c r="S137" i="1" s="1"/>
  <c r="AG136" i="1"/>
  <c r="T133" i="1"/>
  <c r="U133" i="1" s="1"/>
  <c r="S133" i="1" s="1"/>
  <c r="AG132" i="1"/>
  <c r="AI112" i="1"/>
  <c r="T100" i="1"/>
  <c r="X100" i="1"/>
  <c r="AG100" i="1"/>
  <c r="W100" i="1" s="1"/>
  <c r="X130" i="1"/>
  <c r="X128" i="1"/>
  <c r="X126" i="1"/>
  <c r="X124" i="1"/>
  <c r="X122" i="1"/>
  <c r="X120" i="1"/>
  <c r="X118" i="1"/>
  <c r="X116" i="1"/>
  <c r="X114" i="1"/>
  <c r="X112" i="1"/>
  <c r="X110" i="1"/>
  <c r="X108" i="1"/>
  <c r="X106" i="1"/>
  <c r="T102" i="1"/>
  <c r="X102" i="1"/>
  <c r="AG102" i="1"/>
  <c r="T96" i="1"/>
  <c r="X96" i="1"/>
  <c r="AG96" i="1"/>
  <c r="W96" i="1" s="1"/>
  <c r="X87" i="1"/>
  <c r="AG87" i="1"/>
  <c r="AG80" i="1"/>
  <c r="X80" i="1"/>
  <c r="T80" i="1"/>
  <c r="X81" i="1"/>
  <c r="X71" i="1"/>
  <c r="AG71" i="1"/>
  <c r="T22" i="1"/>
  <c r="AG22" i="1"/>
  <c r="T104" i="1"/>
  <c r="X104" i="1"/>
  <c r="X91" i="1"/>
  <c r="AG91" i="1"/>
  <c r="AG84" i="1"/>
  <c r="X84" i="1"/>
  <c r="T84" i="1"/>
  <c r="X85" i="1"/>
  <c r="X75" i="1"/>
  <c r="AG75" i="1"/>
  <c r="AI50" i="1"/>
  <c r="X105" i="1"/>
  <c r="AG104" i="1"/>
  <c r="W104" i="1" s="1"/>
  <c r="AI99" i="1"/>
  <c r="T98" i="1"/>
  <c r="X98" i="1"/>
  <c r="AG98" i="1"/>
  <c r="W98" i="1" s="1"/>
  <c r="T94" i="1"/>
  <c r="X94" i="1"/>
  <c r="AG94" i="1"/>
  <c r="AG88" i="1"/>
  <c r="X88" i="1"/>
  <c r="T88" i="1"/>
  <c r="X89" i="1"/>
  <c r="T87" i="1"/>
  <c r="X79" i="1"/>
  <c r="AG79" i="1"/>
  <c r="AG72" i="1"/>
  <c r="X72" i="1"/>
  <c r="T72" i="1"/>
  <c r="X73" i="1"/>
  <c r="T71" i="1"/>
  <c r="U53" i="1"/>
  <c r="S53" i="1" s="1"/>
  <c r="AA91" i="1"/>
  <c r="AA87" i="1"/>
  <c r="AI85" i="1"/>
  <c r="AA83" i="1"/>
  <c r="AA79" i="1"/>
  <c r="AA75" i="1"/>
  <c r="AA71" i="1"/>
  <c r="AI67" i="1"/>
  <c r="AA63" i="1"/>
  <c r="AA59" i="1"/>
  <c r="W59" i="1" s="1"/>
  <c r="AA52" i="1"/>
  <c r="AA44" i="1"/>
  <c r="AI30" i="1"/>
  <c r="AI20" i="1"/>
  <c r="AI95" i="1"/>
  <c r="U93" i="1"/>
  <c r="S93" i="1" s="1"/>
  <c r="AG70" i="1"/>
  <c r="T70" i="1"/>
  <c r="X70" i="1"/>
  <c r="W67" i="1"/>
  <c r="U67" i="1"/>
  <c r="S67" i="1" s="1"/>
  <c r="AI59" i="1"/>
  <c r="T24" i="1"/>
  <c r="AG24" i="1"/>
  <c r="X25" i="1"/>
  <c r="U17" i="1"/>
  <c r="S17" i="1" s="1"/>
  <c r="AI17" i="1"/>
  <c r="AA69" i="1"/>
  <c r="W69" i="1" s="1"/>
  <c r="AI65" i="1"/>
  <c r="AA61" i="1"/>
  <c r="U59" i="1"/>
  <c r="S59" i="1" s="1"/>
  <c r="AA58" i="1"/>
  <c r="AA50" i="1"/>
  <c r="AI46" i="1"/>
  <c r="AA42" i="1"/>
  <c r="T28" i="1"/>
  <c r="X28" i="1"/>
  <c r="AG28" i="1"/>
  <c r="AI25" i="1"/>
  <c r="T19" i="1"/>
  <c r="AG19" i="1"/>
  <c r="X68" i="1"/>
  <c r="T68" i="1"/>
  <c r="U68" i="1" s="1"/>
  <c r="S68" i="1" s="1"/>
  <c r="X66" i="1"/>
  <c r="T66" i="1"/>
  <c r="U66" i="1" s="1"/>
  <c r="S66" i="1" s="1"/>
  <c r="X64" i="1"/>
  <c r="T64" i="1"/>
  <c r="U64" i="1" s="1"/>
  <c r="X62" i="1"/>
  <c r="T62" i="1"/>
  <c r="U62" i="1" s="1"/>
  <c r="S62" i="1" s="1"/>
  <c r="W25" i="1"/>
  <c r="T16" i="1"/>
  <c r="X16" i="1"/>
  <c r="AG16" i="1"/>
  <c r="X56" i="1"/>
  <c r="X54" i="1"/>
  <c r="X52" i="1"/>
  <c r="X50" i="1"/>
  <c r="X48" i="1"/>
  <c r="X46" i="1"/>
  <c r="X44" i="1"/>
  <c r="X42" i="1"/>
  <c r="T14" i="1"/>
  <c r="AG14" i="1"/>
  <c r="AI39" i="1"/>
  <c r="U39" i="1"/>
  <c r="S39" i="1" s="1"/>
  <c r="AI37" i="1"/>
  <c r="U37" i="1"/>
  <c r="S37" i="1" s="1"/>
  <c r="AI36" i="1"/>
  <c r="AI35" i="1"/>
  <c r="AI34" i="1"/>
  <c r="AI33" i="1"/>
  <c r="U33" i="1"/>
  <c r="S33" i="1" s="1"/>
  <c r="AI32" i="1"/>
  <c r="T31" i="1"/>
  <c r="AG31" i="1"/>
  <c r="W31" i="1" s="1"/>
  <c r="AI27" i="1"/>
  <c r="T26" i="1"/>
  <c r="X26" i="1"/>
  <c r="AG26" i="1"/>
  <c r="AI23" i="1"/>
  <c r="AI21" i="1"/>
  <c r="AI18" i="1"/>
  <c r="AI15" i="1"/>
  <c r="AD7" i="3"/>
  <c r="T13" i="3"/>
  <c r="T23" i="3"/>
  <c r="Y30" i="3"/>
  <c r="Y16" i="3"/>
  <c r="AD13" i="3"/>
  <c r="Y13" i="3"/>
  <c r="AE8" i="3"/>
  <c r="AD21" i="3"/>
  <c r="Y21" i="3"/>
  <c r="AD19" i="3"/>
  <c r="T25" i="3"/>
  <c r="AE29" i="3"/>
  <c r="Y26" i="3"/>
  <c r="Y23" i="3"/>
  <c r="Y7" i="3"/>
  <c r="AE34" i="3"/>
  <c r="Y34" i="3"/>
  <c r="AD9" i="3"/>
  <c r="Y9" i="3"/>
  <c r="AD27" i="3"/>
  <c r="Y32" i="3"/>
  <c r="Y31" i="3"/>
  <c r="Y20" i="3"/>
  <c r="Y25" i="3"/>
  <c r="AD38" i="3"/>
  <c r="AD16" i="3"/>
  <c r="AE12" i="3"/>
  <c r="AD14" i="3"/>
  <c r="T21" i="3"/>
  <c r="T10" i="3"/>
  <c r="Y12" i="3"/>
  <c r="AE16" i="3"/>
  <c r="AC7" i="3"/>
  <c r="T29" i="3"/>
  <c r="AD15" i="3"/>
  <c r="AE15" i="3"/>
  <c r="T8" i="3"/>
  <c r="T14" i="3"/>
  <c r="AD11" i="3"/>
  <c r="AE11" i="3"/>
  <c r="T39" i="3"/>
  <c r="Y29" i="3"/>
  <c r="Y14" i="3"/>
  <c r="Y10" i="3"/>
  <c r="AE10" i="3"/>
  <c r="AC33" i="3"/>
  <c r="T16" i="3"/>
  <c r="AE13" i="3"/>
  <c r="AE27" i="3"/>
  <c r="AC37" i="3"/>
  <c r="AE31" i="3"/>
  <c r="AE21" i="3"/>
  <c r="T20" i="3"/>
  <c r="AE39" i="3"/>
  <c r="AC31" i="3"/>
  <c r="AC19" i="3"/>
  <c r="AC38" i="3"/>
  <c r="AE28" i="3"/>
  <c r="T28" i="3"/>
  <c r="AE37" i="3"/>
  <c r="T27" i="3"/>
  <c r="AE26" i="3"/>
  <c r="T26" i="3"/>
  <c r="AE17" i="3"/>
  <c r="AE22" i="3"/>
  <c r="T34" i="3"/>
  <c r="AD26" i="3"/>
  <c r="AE33" i="3"/>
  <c r="T33" i="3"/>
  <c r="AD17" i="3"/>
  <c r="AE30" i="3"/>
  <c r="T30" i="3"/>
  <c r="AD28" i="3"/>
  <c r="AE7" i="3"/>
  <c r="T7" i="3"/>
  <c r="AD22" i="3"/>
  <c r="AE9" i="3"/>
  <c r="T22" i="3"/>
  <c r="AD37" i="3"/>
  <c r="AE32" i="3"/>
  <c r="T37" i="3"/>
  <c r="AD31" i="3"/>
  <c r="AE14" i="3"/>
  <c r="T31" i="3"/>
  <c r="AE19" i="3"/>
  <c r="T19" i="3"/>
  <c r="AD39" i="3"/>
  <c r="AE38" i="3"/>
  <c r="T38" i="3"/>
  <c r="T17" i="3"/>
  <c r="AE36" i="3"/>
  <c r="B56" i="9"/>
  <c r="B57" i="9"/>
  <c r="Z13" i="1"/>
  <c r="Y13" i="1"/>
  <c r="U228" i="1" l="1"/>
  <c r="S228" i="1" s="1"/>
  <c r="W170" i="1"/>
  <c r="W92" i="1"/>
  <c r="W227" i="1"/>
  <c r="U172" i="1"/>
  <c r="S172" i="1" s="1"/>
  <c r="U227" i="1"/>
  <c r="S227" i="1" s="1"/>
  <c r="U38" i="1"/>
  <c r="S38" i="1" s="1"/>
  <c r="AI38" i="1"/>
  <c r="U29" i="1"/>
  <c r="S29" i="1" s="1"/>
  <c r="AI29" i="1"/>
  <c r="U81" i="1"/>
  <c r="S81" i="1" s="1"/>
  <c r="AI58" i="1"/>
  <c r="W106" i="1"/>
  <c r="U214" i="1"/>
  <c r="S214" i="1" s="1"/>
  <c r="W26" i="1"/>
  <c r="W108" i="1"/>
  <c r="W166" i="1"/>
  <c r="AI128" i="1"/>
  <c r="AI146" i="1"/>
  <c r="AI212" i="1"/>
  <c r="W80" i="1"/>
  <c r="W112" i="1"/>
  <c r="U220" i="1"/>
  <c r="S220" i="1" s="1"/>
  <c r="W22" i="1"/>
  <c r="U159" i="1"/>
  <c r="S159" i="1" s="1"/>
  <c r="W19" i="1"/>
  <c r="U44" i="1"/>
  <c r="S44" i="1" s="1"/>
  <c r="AI48" i="1"/>
  <c r="W63" i="1"/>
  <c r="U61" i="1"/>
  <c r="S61" i="1" s="1"/>
  <c r="AI154" i="1"/>
  <c r="W207" i="1"/>
  <c r="W230" i="1"/>
  <c r="W214" i="1"/>
  <c r="W61" i="1"/>
  <c r="AI142" i="1"/>
  <c r="W48" i="1"/>
  <c r="W97" i="1"/>
  <c r="W142" i="1"/>
  <c r="W110" i="1"/>
  <c r="U89" i="1"/>
  <c r="S89" i="1" s="1"/>
  <c r="W128" i="1"/>
  <c r="AI150" i="1"/>
  <c r="W81" i="1"/>
  <c r="W150" i="1"/>
  <c r="W228" i="1"/>
  <c r="W15" i="1"/>
  <c r="W70" i="1"/>
  <c r="W101" i="1"/>
  <c r="U110" i="1"/>
  <c r="S109" i="1" s="1"/>
  <c r="AI101" i="1"/>
  <c r="W159" i="1"/>
  <c r="W99" i="1"/>
  <c r="W40" i="1"/>
  <c r="W138" i="1"/>
  <c r="U52" i="1"/>
  <c r="S52" i="1" s="1"/>
  <c r="W77" i="1"/>
  <c r="AI108" i="1"/>
  <c r="W118" i="1"/>
  <c r="W105" i="1"/>
  <c r="W163" i="1"/>
  <c r="AI97" i="1"/>
  <c r="U97" i="1"/>
  <c r="S97" i="1" s="1"/>
  <c r="AI110" i="1"/>
  <c r="AI124" i="1"/>
  <c r="U69" i="1"/>
  <c r="W161" i="1"/>
  <c r="U73" i="1"/>
  <c r="U42" i="1"/>
  <c r="S42" i="1" s="1"/>
  <c r="AI134" i="1"/>
  <c r="W210" i="1"/>
  <c r="U63" i="1"/>
  <c r="S63" i="1" s="1"/>
  <c r="W206" i="1"/>
  <c r="W44" i="1"/>
  <c r="U106" i="1"/>
  <c r="S106" i="1" s="1"/>
  <c r="W126" i="1"/>
  <c r="U163" i="1"/>
  <c r="S163" i="1" s="1"/>
  <c r="AI199" i="1"/>
  <c r="U40" i="1"/>
  <c r="S40" i="1" s="1"/>
  <c r="W24" i="1"/>
  <c r="W168" i="1"/>
  <c r="U166" i="1"/>
  <c r="S166" i="1" s="1"/>
  <c r="W42" i="1"/>
  <c r="W50" i="1"/>
  <c r="W84" i="1"/>
  <c r="U126" i="1"/>
  <c r="S126" i="1" s="1"/>
  <c r="W146" i="1"/>
  <c r="W220" i="1"/>
  <c r="U107" i="1"/>
  <c r="S107" i="1" s="1"/>
  <c r="W58" i="1"/>
  <c r="W93" i="1"/>
  <c r="AI40" i="1"/>
  <c r="W52" i="1"/>
  <c r="AI118" i="1"/>
  <c r="AI122" i="1"/>
  <c r="U161" i="1"/>
  <c r="S161" i="1" s="1"/>
  <c r="AI200" i="1"/>
  <c r="U230" i="1"/>
  <c r="S230" i="1" s="1"/>
  <c r="W89" i="1"/>
  <c r="W200" i="1"/>
  <c r="W131" i="1"/>
  <c r="U208" i="1"/>
  <c r="S208" i="1" s="1"/>
  <c r="W154" i="1"/>
  <c r="W56" i="1"/>
  <c r="U77" i="1"/>
  <c r="S77" i="1" s="1"/>
  <c r="AI56" i="1"/>
  <c r="W88" i="1"/>
  <c r="W120" i="1"/>
  <c r="AI166" i="1"/>
  <c r="AI230" i="1"/>
  <c r="W85" i="1"/>
  <c r="W124" i="1"/>
  <c r="W208" i="1"/>
  <c r="W79" i="1"/>
  <c r="W87" i="1"/>
  <c r="W114" i="1"/>
  <c r="W116" i="1"/>
  <c r="U103" i="1"/>
  <c r="S103" i="1" s="1"/>
  <c r="W122" i="1"/>
  <c r="W107" i="1"/>
  <c r="U114" i="1"/>
  <c r="S114" i="1" s="1"/>
  <c r="W209" i="1"/>
  <c r="AI54" i="1"/>
  <c r="W136" i="1"/>
  <c r="W205" i="1"/>
  <c r="W46" i="1"/>
  <c r="W54" i="1"/>
  <c r="U116" i="1"/>
  <c r="S116" i="1" s="1"/>
  <c r="W71" i="1"/>
  <c r="S134" i="1"/>
  <c r="W103" i="1"/>
  <c r="W199" i="1"/>
  <c r="W134" i="1"/>
  <c r="U105" i="1"/>
  <c r="S105" i="1" s="1"/>
  <c r="AI105" i="1"/>
  <c r="U120" i="1"/>
  <c r="S120" i="1" s="1"/>
  <c r="W28" i="1"/>
  <c r="AI207" i="1"/>
  <c r="W217" i="1"/>
  <c r="U131" i="1"/>
  <c r="S131" i="1" s="1"/>
  <c r="AI131" i="1"/>
  <c r="AI16" i="1"/>
  <c r="U16" i="1"/>
  <c r="S16" i="1" s="1"/>
  <c r="W16" i="1"/>
  <c r="U76" i="1"/>
  <c r="S76" i="1" s="1"/>
  <c r="AI76" i="1"/>
  <c r="AI227" i="1"/>
  <c r="U215" i="1"/>
  <c r="S215" i="1" s="1"/>
  <c r="AI75" i="1"/>
  <c r="U75" i="1"/>
  <c r="S74" i="1" s="1"/>
  <c r="AI87" i="1"/>
  <c r="U87" i="1"/>
  <c r="S87" i="1" s="1"/>
  <c r="AI31" i="1"/>
  <c r="U31" i="1"/>
  <c r="S31" i="1" s="1"/>
  <c r="AI14" i="1"/>
  <c r="U14" i="1"/>
  <c r="S14" i="1" s="1"/>
  <c r="AI24" i="1"/>
  <c r="U24" i="1"/>
  <c r="S24" i="1" s="1"/>
  <c r="U70" i="1"/>
  <c r="S70" i="1" s="1"/>
  <c r="AI70" i="1"/>
  <c r="W75" i="1"/>
  <c r="W91" i="1"/>
  <c r="AI79" i="1"/>
  <c r="U79" i="1"/>
  <c r="S79" i="1" s="1"/>
  <c r="U94" i="1"/>
  <c r="S94" i="1" s="1"/>
  <c r="AI94" i="1"/>
  <c r="U98" i="1"/>
  <c r="S98" i="1" s="1"/>
  <c r="AI98" i="1"/>
  <c r="U104" i="1"/>
  <c r="S104" i="1" s="1"/>
  <c r="AI104" i="1"/>
  <c r="U84" i="1"/>
  <c r="S84" i="1" s="1"/>
  <c r="AI84" i="1"/>
  <c r="W94" i="1"/>
  <c r="W14" i="1"/>
  <c r="AI71" i="1"/>
  <c r="U71" i="1"/>
  <c r="S71" i="1" s="1"/>
  <c r="AI136" i="1"/>
  <c r="U136" i="1"/>
  <c r="S136" i="1" s="1"/>
  <c r="AI144" i="1"/>
  <c r="U144" i="1"/>
  <c r="S144" i="1" s="1"/>
  <c r="AI152" i="1"/>
  <c r="U152" i="1"/>
  <c r="S152" i="1" s="1"/>
  <c r="U92" i="1"/>
  <c r="S92" i="1" s="1"/>
  <c r="AI92" i="1"/>
  <c r="W140" i="1"/>
  <c r="W144" i="1"/>
  <c r="W148" i="1"/>
  <c r="W152" i="1"/>
  <c r="W202" i="1"/>
  <c r="U209" i="1"/>
  <c r="S209" i="1" s="1"/>
  <c r="AI163" i="1"/>
  <c r="AI161" i="1"/>
  <c r="U207" i="1"/>
  <c r="S207" i="1" s="1"/>
  <c r="U217" i="1"/>
  <c r="S217" i="1" s="1"/>
  <c r="AI229" i="1"/>
  <c r="AI28" i="1"/>
  <c r="U28" i="1"/>
  <c r="S28" i="1" s="1"/>
  <c r="U80" i="1"/>
  <c r="S80" i="1" s="1"/>
  <c r="AI80" i="1"/>
  <c r="U102" i="1"/>
  <c r="S102" i="1" s="1"/>
  <c r="AI102" i="1"/>
  <c r="AI83" i="1"/>
  <c r="U83" i="1"/>
  <c r="S83" i="1" s="1"/>
  <c r="AI26" i="1"/>
  <c r="U26" i="1"/>
  <c r="S26" i="1" s="1"/>
  <c r="AI19" i="1"/>
  <c r="U19" i="1"/>
  <c r="S19" i="1" s="1"/>
  <c r="W83" i="1"/>
  <c r="U72" i="1"/>
  <c r="S72" i="1" s="1"/>
  <c r="AI72" i="1"/>
  <c r="U88" i="1"/>
  <c r="S88" i="1" s="1"/>
  <c r="AI88" i="1"/>
  <c r="W72" i="1"/>
  <c r="AI91" i="1"/>
  <c r="U91" i="1"/>
  <c r="S91" i="1" s="1"/>
  <c r="AI22" i="1"/>
  <c r="U22" i="1"/>
  <c r="S22" i="1" s="1"/>
  <c r="U96" i="1"/>
  <c r="S96" i="1" s="1"/>
  <c r="AI96" i="1"/>
  <c r="U100" i="1"/>
  <c r="S100" i="1" s="1"/>
  <c r="AI100" i="1"/>
  <c r="AI132" i="1"/>
  <c r="U132" i="1"/>
  <c r="S132" i="1" s="1"/>
  <c r="AI140" i="1"/>
  <c r="U140" i="1"/>
  <c r="S140" i="1" s="1"/>
  <c r="AI148" i="1"/>
  <c r="U148" i="1"/>
  <c r="S148" i="1" s="1"/>
  <c r="AI156" i="1"/>
  <c r="U202" i="1"/>
  <c r="S202" i="1" s="1"/>
  <c r="W102" i="1"/>
  <c r="W132" i="1"/>
  <c r="AI159" i="1"/>
  <c r="U205" i="1"/>
  <c r="S205" i="1" s="1"/>
  <c r="W215" i="1"/>
  <c r="C57" i="9"/>
  <c r="M35" i="3"/>
  <c r="R35" i="3"/>
  <c r="S35" i="3"/>
  <c r="U35" i="3"/>
  <c r="AC35" i="3" s="1"/>
  <c r="V35" i="3"/>
  <c r="W35" i="3"/>
  <c r="X35" i="3"/>
  <c r="AD35" i="3"/>
  <c r="T35" i="3" l="1"/>
  <c r="AE24" i="3"/>
  <c r="AD24" i="3"/>
  <c r="AE35" i="3"/>
  <c r="Y35" i="3"/>
  <c r="AM13" i="1" l="1"/>
  <c r="M28" i="5" l="1"/>
  <c r="F5" i="6" l="1"/>
  <c r="I5" i="6"/>
  <c r="H5" i="6"/>
  <c r="G5" i="6"/>
  <c r="J5" i="6"/>
  <c r="B3" i="6" l="1"/>
  <c r="J3" i="6" l="1"/>
  <c r="F3" i="6"/>
  <c r="I3" i="6"/>
  <c r="G3" i="6"/>
  <c r="B53" i="9" l="1"/>
  <c r="B54" i="9"/>
  <c r="B55" i="9"/>
  <c r="C56" i="9" s="1"/>
  <c r="C55" i="9" l="1"/>
  <c r="C54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36" i="3" s="1"/>
  <c r="G17" i="4"/>
  <c r="N25" i="3" s="1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11" i="3" s="1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N14" i="3" s="1"/>
  <c r="G58" i="4"/>
  <c r="G59" i="4"/>
  <c r="G60" i="4"/>
  <c r="G61" i="4"/>
  <c r="G62" i="4"/>
  <c r="G63" i="4"/>
  <c r="G64" i="4"/>
  <c r="G65" i="4"/>
  <c r="N8" i="3" s="1"/>
  <c r="G66" i="4"/>
  <c r="G67" i="4"/>
  <c r="G68" i="4"/>
  <c r="N31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N15" i="3" s="1"/>
  <c r="G85" i="4"/>
  <c r="G86" i="4"/>
  <c r="G87" i="4"/>
  <c r="G88" i="4"/>
  <c r="G89" i="4"/>
  <c r="G90" i="4"/>
  <c r="G91" i="4"/>
  <c r="N32" i="3" s="1"/>
  <c r="G92" i="4"/>
  <c r="G93" i="4"/>
  <c r="G94" i="4"/>
  <c r="G95" i="4"/>
  <c r="G96" i="4"/>
  <c r="G97" i="4"/>
  <c r="G98" i="4"/>
  <c r="G99" i="4"/>
  <c r="N37" i="3" s="1"/>
  <c r="G100" i="4"/>
  <c r="G101" i="4"/>
  <c r="G102" i="4"/>
  <c r="G103" i="4"/>
  <c r="G104" i="4"/>
  <c r="G105" i="4"/>
  <c r="G106" i="4"/>
  <c r="N27" i="3" s="1"/>
  <c r="G107" i="4"/>
  <c r="G108" i="4"/>
  <c r="G109" i="4"/>
  <c r="G110" i="4"/>
  <c r="N29" i="3" s="1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34" i="3" s="1"/>
  <c r="G134" i="4"/>
  <c r="G135" i="4"/>
  <c r="G136" i="4"/>
  <c r="G137" i="4"/>
  <c r="G138" i="4"/>
  <c r="G139" i="4"/>
  <c r="G140" i="4"/>
  <c r="G141" i="4"/>
  <c r="G142" i="4"/>
  <c r="G143" i="4"/>
  <c r="G144" i="4"/>
  <c r="N16" i="3" s="1"/>
  <c r="G145" i="4"/>
  <c r="G146" i="4"/>
  <c r="G147" i="4"/>
  <c r="G148" i="4"/>
  <c r="N28" i="3" s="1"/>
  <c r="G149" i="4"/>
  <c r="G150" i="4"/>
  <c r="G151" i="4"/>
  <c r="G152" i="4"/>
  <c r="N12" i="3" s="1"/>
  <c r="G153" i="4"/>
  <c r="G154" i="4"/>
  <c r="G155" i="4"/>
  <c r="G156" i="4"/>
  <c r="G157" i="4"/>
  <c r="G158" i="4"/>
  <c r="N35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30" i="3" s="1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N17" i="3" s="1"/>
  <c r="G202" i="4"/>
  <c r="G203" i="4"/>
  <c r="G204" i="4"/>
  <c r="G205" i="4"/>
  <c r="G206" i="4"/>
  <c r="G207" i="4"/>
  <c r="N23" i="3" s="1"/>
  <c r="G208" i="4"/>
  <c r="G209" i="4"/>
  <c r="G210" i="4"/>
  <c r="G211" i="4"/>
  <c r="G212" i="4"/>
  <c r="G213" i="4"/>
  <c r="G214" i="4"/>
  <c r="N24" i="3" s="1"/>
  <c r="G215" i="4"/>
  <c r="G216" i="4"/>
  <c r="G217" i="4"/>
  <c r="G218" i="4"/>
  <c r="G219" i="4"/>
  <c r="G220" i="4"/>
  <c r="N33" i="3" s="1"/>
  <c r="G221" i="4"/>
  <c r="N26" i="3" s="1"/>
  <c r="G222" i="4"/>
  <c r="G223" i="4"/>
  <c r="G224" i="4"/>
  <c r="G225" i="4"/>
  <c r="G226" i="4"/>
  <c r="G227" i="4"/>
  <c r="G228" i="4"/>
  <c r="G229" i="4"/>
  <c r="N18" i="3" s="1"/>
  <c r="G230" i="4"/>
  <c r="N10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7" i="3" l="1"/>
  <c r="N13" i="3"/>
  <c r="N19" i="3"/>
  <c r="N20" i="3"/>
  <c r="N21" i="3"/>
  <c r="N38" i="3"/>
  <c r="N39" i="3"/>
  <c r="N9" i="3"/>
  <c r="N22" i="3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<sst xmlns="http://schemas.openxmlformats.org/spreadsheetml/2006/main" count="2612" uniqueCount="966">
  <si>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</si>
  <si>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</si>
  <si>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</si>
  <si>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</si>
  <si>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</si>
  <si>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</si>
  <si>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</si>
  <si>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</si>
  <si>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</si>
  <si>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</si>
  <si>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</si>
  <si>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</si>
  <si>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</si>
  <si>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</si>
  <si>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</si>
  <si>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</si>
  <si>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</si>
  <si>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</si>
  <si>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</si>
  <si>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</si>
  <si>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</si>
  <si>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</si>
  <si>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</si>
  <si>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</si>
  <si>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</si>
  <si>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</si>
  <si>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</si>
  <si>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</si>
  <si>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</si>
  <si>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</si>
  <si>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</si>
  <si>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</si>
  <si>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</si>
  <si>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</si>
  <si>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</si>
  <si>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</si>
  <si>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</si>
  <si>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</si>
  <si>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</si>
  <si>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</si>
  <si>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</si>
  <si>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</si>
  <si>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</si>
  <si>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</si>
  <si>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</si>
  <si>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</si>
  <si>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</si>
  <si>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</si>
  <si>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</si>
  <si>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</si>
  <si>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</si>
  <si>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</si>
  <si>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</si>
  <si>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</si>
  <si>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</si>
  <si>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</si>
  <si>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</si>
  <si>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</si>
  <si>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</si>
  <si>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</si>
  <si>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</si>
  <si>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</si>
  <si>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</si>
  <si>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</si>
  <si>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</si>
  <si>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</si>
  <si>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</si>
  <si>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</si>
  <si>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</si>
  <si>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</si>
  <si>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</si>
  <si>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</si>
  <si>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</si>
  <si>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</si>
  <si>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</si>
  <si>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</si>
  <si>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</si>
  <si>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</si>
  <si>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</si>
  <si>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</si>
  <si>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</si>
  <si>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</si>
  <si>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</si>
  <si>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</si>
  <si>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</si>
  <si>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</si>
  <si>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</si>
  <si>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</si>
  <si>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</si>
  <si>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</si>
  <si>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</si>
  <si>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</si>
  <si>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</si>
  <si>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</si>
  <si>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</si>
  <si>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</si>
  <si>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</si>
  <si>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</si>
  <si>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</si>
  <si>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</si>
  <si>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</si>
  <si>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</si>
  <si>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</si>
  <si>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</si>
  <si>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</si>
  <si>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</si>
  <si>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</si>
  <si>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</si>
  <si>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</si>
  <si>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</si>
  <si>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</si>
  <si>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</si>
  <si>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</si>
  <si>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</si>
  <si>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</si>
  <si>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</si>
  <si>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</si>
  <si>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</si>
  <si>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</si>
  <si>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</si>
  <si>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</si>
  <si>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</si>
  <si>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</si>
  <si>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</si>
  <si>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</si>
  <si>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</si>
  <si>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</si>
  <si>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</si>
  <si>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</si>
  <si>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</si>
  <si>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</si>
  <si>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</si>
  <si>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</si>
  <si>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</si>
  <si>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</si>
  <si>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</si>
  <si>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</si>
  <si>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</si>
  <si>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</si>
  <si>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</si>
  <si>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</si>
  <si>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</si>
  <si>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</si>
  <si>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</si>
  <si>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</si>
  <si>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</si>
  <si>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</si>
  <si>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</si>
  <si>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</si>
  <si>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</si>
  <si>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</si>
  <si>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</si>
  <si>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</si>
  <si>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</si>
  <si>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</si>
  <si>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</si>
  <si>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</si>
  <si>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</si>
  <si>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</si>
  <si>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</si>
  <si>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</si>
  <si>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</si>
  <si>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</si>
  <si>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</si>
  <si>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</si>
  <si>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</si>
  <si>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</si>
  <si>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</si>
  <si>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</si>
  <si>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</si>
  <si>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</si>
  <si>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</si>
  <si>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</si>
  <si>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</si>
  <si>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</si>
  <si>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</si>
  <si>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</si>
  <si>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</si>
  <si>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</si>
  <si>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</si>
  <si>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</si>
  <si>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</si>
  <si>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</si>
  <si>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</si>
  <si>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</si>
  <si>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</si>
  <si>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</si>
  <si>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</si>
  <si>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</si>
  <si>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</si>
  <si>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</si>
  <si>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</si>
  <si>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</si>
  <si>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</si>
  <si>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</si>
  <si>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</si>
  <si>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</si>
  <si>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</si>
  <si>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</si>
  <si>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</si>
  <si>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</si>
  <si>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</si>
  <si>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</si>
  <si>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</si>
  <si>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</si>
  <si>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</si>
  <si>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</si>
  <si>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</si>
  <si>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</si>
  <si>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</si>
  <si>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</si>
  <si>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</si>
  <si>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</si>
  <si>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</si>
  <si>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</si>
  <si>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</si>
  <si>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</si>
  <si>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</si>
  <si>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</si>
  <si>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</si>
  <si>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</si>
  <si>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</si>
  <si>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</si>
  <si>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</si>
  <si>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</si>
  <si>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</si>
  <si>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</si>
  <si>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</si>
  <si>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</si>
  <si>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</si>
  <si>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</si>
  <si>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</si>
  <si>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</si>
  <si>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</si>
  <si>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</si>
  <si>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</si>
  <si>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rtdc.l.rtdc.4016:itc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</si>
  <si>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</si>
  <si>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</si>
  <si>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</si>
  <si>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</si>
  <si>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</si>
  <si>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</si>
  <si>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</si>
  <si>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</si>
  <si>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rtdc.l.rtdc.4045:itc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</si>
  <si>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</si>
  <si>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</si>
  <si>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</si>
  <si>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</si>
  <si>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</si>
  <si>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</si>
  <si>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</si>
  <si>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</si>
  <si>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</si>
  <si>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</si>
  <si>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</si>
  <si>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</si>
  <si>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</si>
  <si>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</si>
  <si>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</si>
  <si>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</si>
  <si>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</si>
  <si>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</si>
  <si>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</si>
  <si>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</si>
  <si>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</si>
  <si>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</si>
  <si>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</si>
  <si>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</si>
  <si>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</si>
  <si>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</si>
  <si>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</si>
  <si>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</si>
  <si>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</si>
  <si>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</si>
  <si>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</si>
  <si>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</si>
  <si>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204:233312</t>
  </si>
  <si>
    <t>204:233300</t>
  </si>
  <si>
    <t>204:152</t>
  </si>
  <si>
    <t>204:232982</t>
  </si>
  <si>
    <t>HILLS</t>
  </si>
  <si>
    <t>DUSTIN</t>
  </si>
  <si>
    <t>BROWN</t>
  </si>
  <si>
    <t>JACOB</t>
  </si>
  <si>
    <t>204:158</t>
  </si>
  <si>
    <t>204:232998</t>
  </si>
  <si>
    <t>204:141</t>
  </si>
  <si>
    <t>rtdc.l.rtdc.4025:itc</t>
  </si>
  <si>
    <t>315-23</t>
  </si>
  <si>
    <t>204:232971</t>
  </si>
  <si>
    <t>204:457</t>
  </si>
  <si>
    <t>204:156</t>
  </si>
  <si>
    <t>300:23304</t>
  </si>
  <si>
    <t>300:58931</t>
  </si>
  <si>
    <t>rtdc.l.rtdc.4018:itc</t>
  </si>
  <si>
    <t>204:444</t>
  </si>
  <si>
    <t>204:232989</t>
  </si>
  <si>
    <t>rtdc.l.rtdc.4041:itc</t>
  </si>
  <si>
    <t>204:437</t>
  </si>
  <si>
    <t>204:478</t>
  </si>
  <si>
    <t>rtdc.l.rtdc.4030:itc</t>
  </si>
  <si>
    <t>rtdc.l.rtdc.4029:itc</t>
  </si>
  <si>
    <t>YORK</t>
  </si>
  <si>
    <t>EDGAR</t>
  </si>
  <si>
    <t>SPECTOR</t>
  </si>
  <si>
    <t>204:467</t>
  </si>
  <si>
    <t>204:233000</t>
  </si>
  <si>
    <t>204:232967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</si>
  <si>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</si>
  <si>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</si>
  <si>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</si>
  <si>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</si>
  <si>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rtdc.l.rtdc.4008:itc</t>
  </si>
  <si>
    <t>rtdc.l.rtdc.4021:itc</t>
  </si>
  <si>
    <t>rtdc.l.rtdc.4007:itc</t>
  </si>
  <si>
    <t>rtdc.l.rtdc.4031:itc</t>
  </si>
  <si>
    <t>204:233303</t>
  </si>
  <si>
    <t>204:232990</t>
  </si>
  <si>
    <t>204:475</t>
  </si>
  <si>
    <t>204:232983</t>
  </si>
  <si>
    <t>204:233298</t>
  </si>
  <si>
    <t>204:446</t>
  </si>
  <si>
    <t>204:232981</t>
  </si>
  <si>
    <t>rtdc.l.rtdc.4032:itc</t>
  </si>
  <si>
    <t>COMELLA</t>
  </si>
  <si>
    <t>JUSTIN</t>
  </si>
  <si>
    <t>rtdc.l.rtdc.4015:itc</t>
  </si>
  <si>
    <t>CLARK</t>
  </si>
  <si>
    <t>KATHLEEN</t>
  </si>
  <si>
    <t>CRAYTON</t>
  </si>
  <si>
    <t>QUNTRELL</t>
  </si>
  <si>
    <t>LEVERE</t>
  </si>
  <si>
    <t>CRAIG</t>
  </si>
  <si>
    <t>STORY</t>
  </si>
  <si>
    <t>SAMANTHA</t>
  </si>
  <si>
    <t>204:233295</t>
  </si>
  <si>
    <t>204:233278</t>
  </si>
  <si>
    <t>204:232992</t>
  </si>
  <si>
    <t>204:233320</t>
  </si>
  <si>
    <t>204:458</t>
  </si>
  <si>
    <t>204:670</t>
  </si>
  <si>
    <t>300:58928</t>
  </si>
  <si>
    <t>300:58613</t>
  </si>
  <si>
    <t>204:972</t>
  </si>
  <si>
    <t>300:58604</t>
  </si>
  <si>
    <t>Early arrival</t>
  </si>
  <si>
    <t>rtdc.l.rtdc.4010:itc</t>
  </si>
  <si>
    <t>PERMANENT SPEED RESTRICTION</t>
  </si>
  <si>
    <t>Speed (6)</t>
  </si>
  <si>
    <t>Y</t>
  </si>
  <si>
    <t>LOZA</t>
  </si>
  <si>
    <t>FIDEL</t>
  </si>
  <si>
    <t>STRICKLAND</t>
  </si>
  <si>
    <t>EVAN</t>
  </si>
  <si>
    <t>SANTIZO</t>
  </si>
  <si>
    <t>D. EDY</t>
  </si>
  <si>
    <t>BRANNON</t>
  </si>
  <si>
    <t>JEFFREY</t>
  </si>
  <si>
    <t>DUNCAN</t>
  </si>
  <si>
    <t>SHEILA</t>
  </si>
  <si>
    <t>precipAccumulation</t>
  </si>
  <si>
    <t>precipType</t>
  </si>
  <si>
    <t>snow</t>
  </si>
  <si>
    <t>Flurries</t>
  </si>
  <si>
    <t>Light Snow</t>
  </si>
  <si>
    <t>204:134</t>
  </si>
  <si>
    <t>204:233311</t>
  </si>
  <si>
    <t>204:469</t>
  </si>
  <si>
    <t>204:233288</t>
  </si>
  <si>
    <t>204:233314</t>
  </si>
  <si>
    <t>204:169</t>
  </si>
  <si>
    <t>204:165</t>
  </si>
  <si>
    <t>204:466</t>
  </si>
  <si>
    <t>300:23314</t>
  </si>
  <si>
    <t>300:58619</t>
  </si>
  <si>
    <t>300:58617</t>
  </si>
  <si>
    <t>204:986</t>
  </si>
  <si>
    <t>204:678</t>
  </si>
  <si>
    <t>Wi-MAX data drop</t>
  </si>
  <si>
    <t>Banner without braking</t>
  </si>
  <si>
    <t>rtdc.l.rtdc.4001:itc</t>
  </si>
  <si>
    <t>ISHMAEL</t>
  </si>
  <si>
    <t>JOSEPH</t>
  </si>
  <si>
    <t>BEAM</t>
  </si>
  <si>
    <t>ROSS</t>
  </si>
  <si>
    <t>YANG</t>
  </si>
  <si>
    <t>JAN</t>
  </si>
  <si>
    <t>DE LA ROSA</t>
  </si>
  <si>
    <t>ALEX</t>
  </si>
  <si>
    <t>HELVIE</t>
  </si>
  <si>
    <t>ADAM</t>
  </si>
  <si>
    <t>BRUDER</t>
  </si>
  <si>
    <t>RICHARD</t>
  </si>
  <si>
    <t>rtdc.l.rtdc.4054:itc</t>
  </si>
  <si>
    <t>MCREYNOLDS</t>
  </si>
  <si>
    <t>KYLE</t>
  </si>
  <si>
    <t>rtdc.l.rtdc.4053:itc</t>
  </si>
  <si>
    <t>NELSON</t>
  </si>
  <si>
    <t>ARIANE</t>
  </si>
  <si>
    <t>240-04</t>
  </si>
  <si>
    <t>242-04</t>
  </si>
  <si>
    <t>65-04</t>
  </si>
  <si>
    <t>311-04</t>
  </si>
  <si>
    <t>244-04</t>
  </si>
  <si>
    <t>313-04</t>
  </si>
  <si>
    <t>315-04</t>
  </si>
  <si>
    <t>Snow</t>
  </si>
  <si>
    <t>Heavy Snow</t>
  </si>
  <si>
    <t>204:232666</t>
  </si>
  <si>
    <t>204:232673</t>
  </si>
  <si>
    <t>204:708</t>
  </si>
  <si>
    <t>204:233284</t>
  </si>
  <si>
    <t>204:232987</t>
  </si>
  <si>
    <t>204:136</t>
  </si>
  <si>
    <t>204:233364</t>
  </si>
  <si>
    <t>204:233291</t>
  </si>
  <si>
    <t>204:233301</t>
  </si>
  <si>
    <t>204:488</t>
  </si>
  <si>
    <t>204:429</t>
  </si>
  <si>
    <t>204:232706</t>
  </si>
  <si>
    <t>204:232972</t>
  </si>
  <si>
    <t>204:232988</t>
  </si>
  <si>
    <t>204:232993</t>
  </si>
  <si>
    <t>204:233299</t>
  </si>
  <si>
    <t>204:484</t>
  </si>
  <si>
    <t>204:232968</t>
  </si>
  <si>
    <t>204:232957</t>
  </si>
  <si>
    <t>204:233006</t>
  </si>
  <si>
    <t>204:233094</t>
  </si>
  <si>
    <t>204:431</t>
  </si>
  <si>
    <t>300:23308</t>
  </si>
  <si>
    <t>204:1391</t>
  </si>
  <si>
    <t>204:752</t>
  </si>
  <si>
    <t>204:974</t>
  </si>
  <si>
    <t>300:58918</t>
  </si>
  <si>
    <t>300:58939</t>
  </si>
  <si>
    <t>204:698</t>
  </si>
  <si>
    <t>204:969</t>
  </si>
  <si>
    <t>300:58969</t>
  </si>
  <si>
    <t>300:58656</t>
  </si>
  <si>
    <t>204:671</t>
  </si>
  <si>
    <t>204:960</t>
  </si>
  <si>
    <t>204:673</t>
  </si>
  <si>
    <t>300:58946</t>
  </si>
  <si>
    <t>300:58632</t>
  </si>
  <si>
    <t>204:976</t>
  </si>
  <si>
    <t>300:58688</t>
  </si>
  <si>
    <t>204:663</t>
  </si>
  <si>
    <t>300:58926</t>
  </si>
  <si>
    <t>300:58933</t>
  </si>
  <si>
    <t>204:967</t>
  </si>
  <si>
    <t>204:922</t>
  </si>
  <si>
    <t>204:971</t>
  </si>
  <si>
    <t>start /low /b %USERPROFILE%\Documents\GitHub\eaglep3\Utilities\DownloadLogsFromS3.py --loco 4030 --day 2017-01-05</t>
  </si>
  <si>
    <t>start /low /b %USERPROFILE%\Documents\GitHub\eaglep3\Utilities\DownloadLogsFromS3.py --loco 4001 --day 2017-01-05</t>
  </si>
  <si>
    <t>start /low /b %USERPROFILE%\Documents\GitHub\eaglep3\Utilities\DownloadLogsFromS3.py --loco 4044 --day 2017-01-05</t>
  </si>
  <si>
    <t>start /low /b %USERPROFILE%\Documents\GitHub\eaglep3\Utilities\DownloadLogsFromS3.py --loco 4008 --day 2017-01-05</t>
  </si>
  <si>
    <t>start /low /b %USERPROFILE%\Documents\GitHub\eaglep3\Utilities\DownloadLogsFromS3.py --loco 4012 --day 2017-01-05</t>
  </si>
  <si>
    <t>start /low /b %USERPROFILE%\Documents\GitHub\eaglep3\Utilities\DownloadLogsFromS3.py --loco 4007 --day 2017-01-05</t>
  </si>
  <si>
    <t>DUS 2N/20N STOP</t>
  </si>
  <si>
    <t>66-04</t>
  </si>
  <si>
    <t>306-05</t>
  </si>
  <si>
    <t>105-05</t>
  </si>
  <si>
    <t>117-05</t>
  </si>
  <si>
    <t>116-05</t>
  </si>
  <si>
    <t>131-05</t>
  </si>
  <si>
    <t>SWITCH UNKNOWN</t>
  </si>
  <si>
    <t>Track device (7)</t>
  </si>
  <si>
    <t>811-05</t>
  </si>
  <si>
    <t>130-05</t>
  </si>
  <si>
    <t>142-05</t>
  </si>
  <si>
    <t>815-05</t>
  </si>
  <si>
    <t>52-05</t>
  </si>
  <si>
    <t>818-05</t>
  </si>
  <si>
    <t>819-05</t>
  </si>
  <si>
    <t>166-05</t>
  </si>
  <si>
    <t>823-05</t>
  </si>
  <si>
    <t>180-05</t>
  </si>
  <si>
    <t>826-05</t>
  </si>
  <si>
    <t>188-05</t>
  </si>
  <si>
    <t>199-05</t>
  </si>
  <si>
    <t>rtdc.l.rtdc.4019:itc</t>
  </si>
  <si>
    <t>832-05</t>
  </si>
  <si>
    <t>220-05</t>
  </si>
  <si>
    <t>224-05</t>
  </si>
  <si>
    <t>228-05</t>
  </si>
  <si>
    <t>847-05</t>
  </si>
  <si>
    <t>235-05</t>
  </si>
  <si>
    <t>239-05</t>
  </si>
  <si>
    <t>236-05</t>
  </si>
  <si>
    <t>302-05</t>
  </si>
  <si>
    <t>101-05</t>
  </si>
  <si>
    <t>103-05</t>
  </si>
  <si>
    <t>COOLAHAN</t>
  </si>
  <si>
    <t>JOHN</t>
  </si>
  <si>
    <t>ROBINSON</t>
  </si>
  <si>
    <t>KADDIBA</t>
  </si>
  <si>
    <t>102-05</t>
  </si>
  <si>
    <t>308-05</t>
  </si>
  <si>
    <t>310-05</t>
  </si>
  <si>
    <t>107-05</t>
  </si>
  <si>
    <t>104-05</t>
  </si>
  <si>
    <t>109-05</t>
  </si>
  <si>
    <t>rtdc.l.rtdc.4020:itc</t>
  </si>
  <si>
    <t>901-05</t>
  </si>
  <si>
    <t>SHOOK</t>
  </si>
  <si>
    <t>800-05</t>
  </si>
  <si>
    <t>111-05</t>
  </si>
  <si>
    <t>106-05</t>
  </si>
  <si>
    <t>113-05</t>
  </si>
  <si>
    <t>108-05</t>
  </si>
  <si>
    <t>115-05</t>
  </si>
  <si>
    <t>801-05</t>
  </si>
  <si>
    <t>110-05</t>
  </si>
  <si>
    <t>65-05</t>
  </si>
  <si>
    <t>rtdc.l.rtdc.4028:itc</t>
  </si>
  <si>
    <t>902-05</t>
  </si>
  <si>
    <t>SIMMONS</t>
  </si>
  <si>
    <t>SHYHESHA</t>
  </si>
  <si>
    <t>114-05</t>
  </si>
  <si>
    <t>802-05</t>
  </si>
  <si>
    <t>121-05</t>
  </si>
  <si>
    <t>123-05</t>
  </si>
  <si>
    <t>805-05</t>
  </si>
  <si>
    <t>125-05</t>
  </si>
  <si>
    <t>118-05</t>
  </si>
  <si>
    <t>804-05</t>
  </si>
  <si>
    <t>50-05</t>
  </si>
  <si>
    <t>120-05</t>
  </si>
  <si>
    <t>127-05</t>
  </si>
  <si>
    <t>129-05</t>
  </si>
  <si>
    <t>122-05</t>
  </si>
  <si>
    <t>806-05</t>
  </si>
  <si>
    <t>807-05</t>
  </si>
  <si>
    <t>124-05</t>
  </si>
  <si>
    <t>809-05</t>
  </si>
  <si>
    <t>126-05</t>
  </si>
  <si>
    <t>808-05</t>
  </si>
  <si>
    <t>128-05</t>
  </si>
  <si>
    <t>133-05</t>
  </si>
  <si>
    <t>135-05</t>
  </si>
  <si>
    <t>810-05</t>
  </si>
  <si>
    <t>137-05</t>
  </si>
  <si>
    <t>139-05</t>
  </si>
  <si>
    <t>903-05</t>
  </si>
  <si>
    <t>132-05</t>
  </si>
  <si>
    <t>812-05</t>
  </si>
  <si>
    <t>141-05</t>
  </si>
  <si>
    <t>134-05</t>
  </si>
  <si>
    <t>136-05</t>
  </si>
  <si>
    <t>143-05</t>
  </si>
  <si>
    <t>138-05</t>
  </si>
  <si>
    <t>144-05</t>
  </si>
  <si>
    <t>145-05</t>
  </si>
  <si>
    <t>140-05</t>
  </si>
  <si>
    <t>813-05</t>
  </si>
  <si>
    <t>147-05</t>
  </si>
  <si>
    <t>YANAI</t>
  </si>
  <si>
    <t>IAN</t>
  </si>
  <si>
    <t>814-05</t>
  </si>
  <si>
    <t>149-05</t>
  </si>
  <si>
    <t>151-05</t>
  </si>
  <si>
    <t>146-05</t>
  </si>
  <si>
    <t>153-05</t>
  </si>
  <si>
    <t>148-05</t>
  </si>
  <si>
    <t>155-05</t>
  </si>
  <si>
    <t>150-05</t>
  </si>
  <si>
    <t>816-05</t>
  </si>
  <si>
    <t>157-05</t>
  </si>
  <si>
    <t>152-05</t>
  </si>
  <si>
    <t>159-05</t>
  </si>
  <si>
    <t>817-05</t>
  </si>
  <si>
    <t>161-05</t>
  </si>
  <si>
    <t>KILLION</t>
  </si>
  <si>
    <t>DAVID</t>
  </si>
  <si>
    <t>163-05</t>
  </si>
  <si>
    <t>53-05</t>
  </si>
  <si>
    <t>158-05</t>
  </si>
  <si>
    <t>167-05</t>
  </si>
  <si>
    <t>162-05</t>
  </si>
  <si>
    <t>820-05</t>
  </si>
  <si>
    <t>173-05</t>
  </si>
  <si>
    <t>175-05</t>
  </si>
  <si>
    <t>168-05</t>
  </si>
  <si>
    <t>821-05</t>
  </si>
  <si>
    <t>170-05</t>
  </si>
  <si>
    <t>177-05</t>
  </si>
  <si>
    <t>172-05</t>
  </si>
  <si>
    <t>179-05</t>
  </si>
  <si>
    <t>BRANDNER</t>
  </si>
  <si>
    <t>MELINDA</t>
  </si>
  <si>
    <t>822-05</t>
  </si>
  <si>
    <t>174-05</t>
  </si>
  <si>
    <t>181-05</t>
  </si>
  <si>
    <t>176-05</t>
  </si>
  <si>
    <t>183-05</t>
  </si>
  <si>
    <t>185-05</t>
  </si>
  <si>
    <t>178-05</t>
  </si>
  <si>
    <t>187-05</t>
  </si>
  <si>
    <t>824-05</t>
  </si>
  <si>
    <t>182-05</t>
  </si>
  <si>
    <t>189-05</t>
  </si>
  <si>
    <t>184-05</t>
  </si>
  <si>
    <t>191-05</t>
  </si>
  <si>
    <t>186-05</t>
  </si>
  <si>
    <t>825-05</t>
  </si>
  <si>
    <t>193-05</t>
  </si>
  <si>
    <t>904-05</t>
  </si>
  <si>
    <t>195-05</t>
  </si>
  <si>
    <t>197-05</t>
  </si>
  <si>
    <t>190-05</t>
  </si>
  <si>
    <t>827-05</t>
  </si>
  <si>
    <t>DELGADO</t>
  </si>
  <si>
    <t>DIANAH</t>
  </si>
  <si>
    <t>192-05</t>
  </si>
  <si>
    <t>829-05</t>
  </si>
  <si>
    <t>828-05</t>
  </si>
  <si>
    <t>201-05</t>
  </si>
  <si>
    <t>194-05</t>
  </si>
  <si>
    <t>203-05</t>
  </si>
  <si>
    <t>196-05</t>
  </si>
  <si>
    <t>198-05</t>
  </si>
  <si>
    <t>830-05</t>
  </si>
  <si>
    <t>88-05</t>
  </si>
  <si>
    <t>205-05</t>
  </si>
  <si>
    <t>200-05</t>
  </si>
  <si>
    <t>831-05</t>
  </si>
  <si>
    <t>207-05</t>
  </si>
  <si>
    <t>833-05</t>
  </si>
  <si>
    <t>202-05</t>
  </si>
  <si>
    <t>835-05</t>
  </si>
  <si>
    <t>209-05</t>
  </si>
  <si>
    <t>204-05</t>
  </si>
  <si>
    <t>81-05</t>
  </si>
  <si>
    <t>211-05</t>
  </si>
  <si>
    <t>206-05</t>
  </si>
  <si>
    <t>73-05</t>
  </si>
  <si>
    <t>834-05</t>
  </si>
  <si>
    <t>213-05</t>
  </si>
  <si>
    <t>80-05</t>
  </si>
  <si>
    <t>208-05</t>
  </si>
  <si>
    <t>215-05</t>
  </si>
  <si>
    <t>836-05</t>
  </si>
  <si>
    <t>210-05</t>
  </si>
  <si>
    <t>837-05</t>
  </si>
  <si>
    <t>217-05</t>
  </si>
  <si>
    <t>212-05</t>
  </si>
  <si>
    <t>rtdc.l.rtdc.4027:itc</t>
  </si>
  <si>
    <t>75-05</t>
  </si>
  <si>
    <t>219-05</t>
  </si>
  <si>
    <t>214-05</t>
  </si>
  <si>
    <t>839-05</t>
  </si>
  <si>
    <t>838-05</t>
  </si>
  <si>
    <t>216-05</t>
  </si>
  <si>
    <t>303-05</t>
  </si>
  <si>
    <t>221-05</t>
  </si>
  <si>
    <t>841-05</t>
  </si>
  <si>
    <t>218-05</t>
  </si>
  <si>
    <t>906-05</t>
  </si>
  <si>
    <t>305-05</t>
  </si>
  <si>
    <t>223-05</t>
  </si>
  <si>
    <t>840-05</t>
  </si>
  <si>
    <t>222-05</t>
  </si>
  <si>
    <t>225-05</t>
  </si>
  <si>
    <t>843-05</t>
  </si>
  <si>
    <t>307-05</t>
  </si>
  <si>
    <t>227-05</t>
  </si>
  <si>
    <t>842-05</t>
  </si>
  <si>
    <t>226-05</t>
  </si>
  <si>
    <t>229-05</t>
  </si>
  <si>
    <t>845-05</t>
  </si>
  <si>
    <t>DIANE</t>
  </si>
  <si>
    <t>231-05</t>
  </si>
  <si>
    <t>844-05</t>
  </si>
  <si>
    <t>233-05</t>
  </si>
  <si>
    <t>230-05</t>
  </si>
  <si>
    <t>232-05</t>
  </si>
  <si>
    <t>908-05</t>
  </si>
  <si>
    <t>234-05</t>
  </si>
  <si>
    <t>237-05</t>
  </si>
  <si>
    <t>238-05</t>
  </si>
  <si>
    <t>241-05</t>
  </si>
  <si>
    <t>243-05</t>
  </si>
  <si>
    <t>240-05</t>
  </si>
  <si>
    <t>309-05</t>
  </si>
  <si>
    <t>83-05</t>
  </si>
  <si>
    <t>MACDONALD</t>
  </si>
  <si>
    <t>THOMAS</t>
  </si>
  <si>
    <t>242-05</t>
  </si>
  <si>
    <t>311-05</t>
  </si>
  <si>
    <t>244-05</t>
  </si>
  <si>
    <t>313-05</t>
  </si>
  <si>
    <t>60-06</t>
  </si>
  <si>
    <t>315-05</t>
  </si>
  <si>
    <t>Mostly Cloudy</t>
  </si>
  <si>
    <t>204:652</t>
  </si>
  <si>
    <t>204:233293</t>
  </si>
  <si>
    <t>204:232664</t>
  </si>
  <si>
    <t>204:744</t>
  </si>
  <si>
    <t>204:233327</t>
  </si>
  <si>
    <t>204:232681</t>
  </si>
  <si>
    <t>204:119</t>
  </si>
  <si>
    <t>204:693</t>
  </si>
  <si>
    <t>204:232704</t>
  </si>
  <si>
    <t>204:233309</t>
  </si>
  <si>
    <t>204:232687</t>
  </si>
  <si>
    <t>204:232969</t>
  </si>
  <si>
    <t>204:746</t>
  </si>
  <si>
    <t>204:877</t>
  </si>
  <si>
    <t>204:741</t>
  </si>
  <si>
    <t>204:232670</t>
  </si>
  <si>
    <t>204:232952</t>
  </si>
  <si>
    <t>204:232672</t>
  </si>
  <si>
    <t>204:233276</t>
  </si>
  <si>
    <t>204:232994</t>
  </si>
  <si>
    <t>204:232979</t>
  </si>
  <si>
    <t>204:19134</t>
  </si>
  <si>
    <t>204:233322</t>
  </si>
  <si>
    <t>204:992</t>
  </si>
  <si>
    <t>204:928</t>
  </si>
  <si>
    <t>204:440</t>
  </si>
  <si>
    <t>204:232645</t>
  </si>
  <si>
    <t>204:1160</t>
  </si>
  <si>
    <t>204:232970</t>
  </si>
  <si>
    <t>204:433</t>
  </si>
  <si>
    <t>204:232668</t>
  </si>
  <si>
    <t>204:233316</t>
  </si>
  <si>
    <t>204:70520</t>
  </si>
  <si>
    <t>204:127867</t>
  </si>
  <si>
    <t>204:232975</t>
  </si>
  <si>
    <t>204:194037</t>
  </si>
  <si>
    <t>204:155244</t>
  </si>
  <si>
    <t>204:126297</t>
  </si>
  <si>
    <t>204:124832</t>
  </si>
  <si>
    <t>204:127857</t>
  </si>
  <si>
    <t>204:193613</t>
  </si>
  <si>
    <t>204:124501</t>
  </si>
  <si>
    <t>204:125760</t>
  </si>
  <si>
    <t>204:127674</t>
  </si>
  <si>
    <t>204:193002</t>
  </si>
  <si>
    <t>204:154419</t>
  </si>
  <si>
    <t>204:128264</t>
  </si>
  <si>
    <t>204:125866</t>
  </si>
  <si>
    <t>204:232984</t>
  </si>
  <si>
    <t>204:232653</t>
  </si>
  <si>
    <t>204:233383</t>
  </si>
  <si>
    <t>204:233059</t>
  </si>
  <si>
    <t>204:102477</t>
  </si>
  <si>
    <t>204:86352</t>
  </si>
  <si>
    <t>204:232960</t>
  </si>
  <si>
    <t>204:232641</t>
  </si>
  <si>
    <t>204:233324</t>
  </si>
  <si>
    <t>204:224731</t>
  </si>
  <si>
    <t>204:191</t>
  </si>
  <si>
    <t>204:233330</t>
  </si>
  <si>
    <t>204:2064</t>
  </si>
  <si>
    <t>204:1264</t>
  </si>
  <si>
    <t>204:232974</t>
  </si>
  <si>
    <t>204:154013</t>
  </si>
  <si>
    <t>204:57409</t>
  </si>
  <si>
    <t>204:64712</t>
  </si>
  <si>
    <t>204:218097</t>
  </si>
  <si>
    <t>204:232660</t>
  </si>
  <si>
    <t>204:232966</t>
  </si>
  <si>
    <t>204:232677</t>
  </si>
  <si>
    <t>204:233264</t>
  </si>
  <si>
    <t>204:232976</t>
  </si>
  <si>
    <t>204:233357</t>
  </si>
  <si>
    <t>204:233015</t>
  </si>
  <si>
    <t>204:140</t>
  </si>
  <si>
    <t>204:233008</t>
  </si>
  <si>
    <t>204:873</t>
  </si>
  <si>
    <t>204:233331</t>
  </si>
  <si>
    <t>204:233376</t>
  </si>
  <si>
    <t>204:1018</t>
  </si>
  <si>
    <t>204:438</t>
  </si>
  <si>
    <t>204:3229</t>
  </si>
  <si>
    <t>204:114</t>
  </si>
  <si>
    <t>204:233381</t>
  </si>
  <si>
    <t>204:233079</t>
  </si>
  <si>
    <t>204:76</t>
  </si>
  <si>
    <t>204:123</t>
  </si>
  <si>
    <t>204:404</t>
  </si>
  <si>
    <t>204:233065</t>
  </si>
  <si>
    <t>204:65</t>
  </si>
  <si>
    <t>300:23052</t>
  </si>
  <si>
    <t>300:23083</t>
  </si>
  <si>
    <t>300:23291</t>
  </si>
  <si>
    <t>300:21909</t>
  </si>
  <si>
    <t>204:85</t>
  </si>
  <si>
    <t>300:23427</t>
  </si>
  <si>
    <t>300:23302</t>
  </si>
  <si>
    <t>300:23260</t>
  </si>
  <si>
    <t>300:23248</t>
  </si>
  <si>
    <t>204:380</t>
  </si>
  <si>
    <t>300:23297</t>
  </si>
  <si>
    <t>204:384</t>
  </si>
  <si>
    <t>300:18990</t>
  </si>
  <si>
    <t>204:77</t>
  </si>
  <si>
    <t>300:23288</t>
  </si>
  <si>
    <t>204:921</t>
  </si>
  <si>
    <t>204:128001</t>
  </si>
  <si>
    <t>204:1607</t>
  </si>
  <si>
    <t>204:233280</t>
  </si>
  <si>
    <t>204:216050</t>
  </si>
  <si>
    <t>204:898</t>
  </si>
  <si>
    <t>204:224300</t>
  </si>
  <si>
    <t>204:224070</t>
  </si>
  <si>
    <t>204:354</t>
  </si>
  <si>
    <t>300:25073</t>
  </si>
  <si>
    <t>300:23094</t>
  </si>
  <si>
    <t>300:23186</t>
  </si>
  <si>
    <t>204:90</t>
  </si>
  <si>
    <t>300:58664</t>
  </si>
  <si>
    <t>204:720</t>
  </si>
  <si>
    <t>204:1009</t>
  </si>
  <si>
    <t>300:58992</t>
  </si>
  <si>
    <t>300:58677</t>
  </si>
  <si>
    <t>204:710</t>
  </si>
  <si>
    <t>300:58704</t>
  </si>
  <si>
    <t>204:995</t>
  </si>
  <si>
    <t>300:58995</t>
  </si>
  <si>
    <t>300:58963</t>
  </si>
  <si>
    <t>300:58649</t>
  </si>
  <si>
    <t>300:58990</t>
  </si>
  <si>
    <t>204:1556</t>
  </si>
  <si>
    <t>300:23346</t>
  </si>
  <si>
    <t>204:196</t>
  </si>
  <si>
    <t>300:58896</t>
  </si>
  <si>
    <t>300:58581</t>
  </si>
  <si>
    <t>300:58935</t>
  </si>
  <si>
    <t>300:58630</t>
  </si>
  <si>
    <t>204:675</t>
  </si>
  <si>
    <t>300:58103</t>
  </si>
  <si>
    <t>204:691</t>
  </si>
  <si>
    <t>204:717</t>
  </si>
  <si>
    <t>204:1326</t>
  </si>
  <si>
    <t>300:58973</t>
  </si>
  <si>
    <t>204:677</t>
  </si>
  <si>
    <t>204:951</t>
  </si>
  <si>
    <t>300:58965</t>
  </si>
  <si>
    <t>300:58653</t>
  </si>
  <si>
    <t>300:58937</t>
  </si>
  <si>
    <t>300:58967</t>
  </si>
  <si>
    <t>300:58661</t>
  </si>
  <si>
    <t>204:699</t>
  </si>
  <si>
    <t>204:1007</t>
  </si>
  <si>
    <t>204:715</t>
  </si>
  <si>
    <t>204:988</t>
  </si>
  <si>
    <t>204:1181</t>
  </si>
  <si>
    <t>204:128261</t>
  </si>
  <si>
    <t>204:999</t>
  </si>
  <si>
    <t>300:58596</t>
  </si>
  <si>
    <t>300:58651</t>
  </si>
  <si>
    <t>300:58623</t>
  </si>
  <si>
    <t>300:58978</t>
  </si>
  <si>
    <t>300:58658</t>
  </si>
  <si>
    <t>300:58655</t>
  </si>
  <si>
    <t>204:685</t>
  </si>
  <si>
    <t>204:979</t>
  </si>
  <si>
    <t>300:58956</t>
  </si>
  <si>
    <t>300:58643</t>
  </si>
  <si>
    <t>300:58961</t>
  </si>
  <si>
    <t>204:978</t>
  </si>
  <si>
    <t>300:23309</t>
  </si>
  <si>
    <t>300:30053</t>
  </si>
  <si>
    <t>204:498</t>
  </si>
  <si>
    <t>300:24222</t>
  </si>
  <si>
    <t>300:23177</t>
  </si>
  <si>
    <t>300:21702</t>
  </si>
  <si>
    <t>start /low /b %USERPROFILE%\Documents\GitHub\eaglep3\Utilities\DownloadLogsFromS3.py --loco 4021 --day 2017-01-05</t>
  </si>
  <si>
    <t>start /low /b %USERPROFILE%\Documents\GitHub\eaglep3\Utilities\DownloadLogsFromS3.py --loco 4009 --day 2017-01-05</t>
  </si>
  <si>
    <t>start /low /b %USERPROFILE%\Documents\GitHub\eaglep3\Utilities\DownloadLogsFromS3.py --loco 4002 --day 2017-01-05</t>
  </si>
  <si>
    <t>start /low /b %USERPROFILE%\Documents\GitHub\eaglep3\Utilities\DownloadLogsFromS3.py --loco 4041 --day 2017-01-05</t>
  </si>
  <si>
    <t>start /low /b %USERPROFILE%\Documents\GitHub\eaglep3\Utilities\DownloadLogsFromS3.py --loco 4011 --day 2017-01-05</t>
  </si>
  <si>
    <t>start /low /b %USERPROFILE%\Documents\GitHub\eaglep3\Utilities\DownloadLogsFromS3.py --loco 4003 --day 2017-01-05</t>
  </si>
  <si>
    <t>start /low /b %USERPROFILE%\Documents\GitHub\eaglep3\Utilities\DownloadLogsFromS3.py --loco 4031 --day 2017-01-05</t>
  </si>
  <si>
    <t>start /low /b %USERPROFILE%\Documents\GitHub\eaglep3\Utilities\DownloadLogsFromS3.py --loco 4042 --day 2017-01-05</t>
  </si>
  <si>
    <t>start /low /b %USERPROFILE%\Documents\GitHub\eaglep3\Utilities\DownloadLogsFromS3.py --loco 4010 --day 2017-01-05</t>
  </si>
  <si>
    <t>start /low /b %USERPROFILE%\Documents\GitHub\eaglep3\Utilities\DownloadLogsFromS3.py --loco 4046 --day 2017-01-05</t>
  </si>
  <si>
    <t>start /low /b %USERPROFILE%\Documents\GitHub\eaglep3\Utilities\DownloadLogsFromS3.py --loco 4022 --day 2017-01-05</t>
  </si>
  <si>
    <t>start /low /b %USERPROFILE%\Documents\GitHub\eaglep3\Utilities\DownloadLogsFromS3.py --loco 4032 --day 2017-01-05</t>
  </si>
  <si>
    <t>start /low /b %USERPROFILE%\Documents\GitHub\eaglep3\Utilities\DownloadLogsFromS3.py --loco 4011 --day 2017-01-06</t>
  </si>
  <si>
    <t>start /low /b %USERPROFILE%\Documents\GitHub\eaglep3\Utilities\DownloadLogsFromS3.py --loco 4008 --day 2017-01-06</t>
  </si>
  <si>
    <t>start /low /b %USERPROFILE%\Documents\GitHub\eaglep3\Utilities\DownloadLogsFromS3.py --loco 4021 --day 2017-01-06</t>
  </si>
  <si>
    <t>start /low /b %USERPROFILE%\Documents\GitHub\eaglep3\Utilities\DownloadLogsFromS3.py --loco 4013 --day 2017-01-05</t>
  </si>
  <si>
    <t>start /low /b %USERPROFILE%\Documents\GitHub\eaglep3\Utilities\DownloadLogsFromS3.py --loco 4012 --day 2017-01-06</t>
  </si>
  <si>
    <t>start /low /b %USERPROFILE%\Documents\GitHub\eaglep3\Utilities\DownloadLogsFromS3.py --loco 4018 --day 2017-01-05</t>
  </si>
  <si>
    <t>start /low /b %USERPROFILE%\Documents\GitHub\eaglep3\Utilities\DownloadLogsFromS3.py --loco 4022 --day 2017-01-06</t>
  </si>
  <si>
    <t>start /low /b %USERPROFILE%\Documents\GitHub\eaglep3\Utilities\DownloadLogsFromS3.py --loco 4043 --day 2017-01-05</t>
  </si>
  <si>
    <t>start /low /b %USERPROFILE%\Documents\GitHub\eaglep3\Utilities\DownloadLogsFromS3.py --loco 4019 --day 2017-01-06</t>
  </si>
  <si>
    <t>start /low /b %USERPROFILE%\Documents\GitHub\eaglep3\Utilities\DownloadLogsFromS3.py --loco 4044 --day 2017-01-06</t>
  </si>
  <si>
    <t>Cancelled</t>
  </si>
  <si>
    <t>Delayed at Peoria Station</t>
  </si>
  <si>
    <t>False occupancy at Central Park / Sand Creek</t>
  </si>
  <si>
    <t>At 10:55:57, 40th 2N received a clear control, and cleared shortly after, but went back to STOP 20 sec later. Subsequent attempts to clear were unsuccesful. Was this a case of dispatcher error, or was there something else going on in the signal system?</t>
  </si>
  <si>
    <t>CP 61st generator outage</t>
  </si>
  <si>
    <t>http://stevetu21.github.io/eaglep3/load_kml.html?kml=http://rtdc.gmaps-snips.s3.amazonaws.com/7a6443e9-e2a3-4843-af50-40e88859b70b.kml</t>
  </si>
  <si>
    <t>DIA 4N RESTRICTING, no need to cut out</t>
  </si>
  <si>
    <t>Poor GPS at DIA</t>
  </si>
  <si>
    <t>ATC Traction issue</t>
  </si>
  <si>
    <t>DUS 4N cycled between PROCEED CAB and RESTRICTING</t>
  </si>
  <si>
    <t>Around 23:01-23:02, DUS 4S cycled between PROCEED CAB and RESTRICTING rapidly. Do logs tell us why?</t>
  </si>
  <si>
    <t>119-05</t>
  </si>
  <si>
    <t>Mechanical - dynamic brake issues</t>
  </si>
  <si>
    <t>DUS 22N STOP, cleared afterward</t>
  </si>
  <si>
    <t>Early arrival (41st)</t>
  </si>
  <si>
    <t>SYS :2017/01/05 13:20:54.918:ENFORCEMENT:Predictive Enforcement Action:  Target Number: 00006089  Target Speed:   0.0  Current Speed:  64.5</t>
  </si>
  <si>
    <t>SYS :2017/01/05 13:20:55.031:ENFORCEMENT:Predictive Enforcement Action:  Target Number: 00006081  Target Speed:   0.0  Current Speed:  64.4</t>
  </si>
  <si>
    <t>SYS :2017/01/05 14:11:03.004:ENFORCEMENT:Predictive Enforcement Action:  Target Number: 00001006  Target Speed:   0.0  Current Speed:   3.4</t>
  </si>
  <si>
    <t>SYS :2017/01/05 14:11:03.118:ENFORCEMENT:Predictive Enforcement Action:  Target Number: 00001006  Target Speed:   0.0  Current Speed:   3.4</t>
  </si>
  <si>
    <t>SYS :2017/01/05 14:11:03.856:ENFORCEMENT:Predictive Enforcement Action:  Target Number: 00001006  Target Speed:   0.0  Current Speed:   3.4</t>
  </si>
  <si>
    <t>SYS :2017/01/05 14:12:31.116:ENFORCEMENT:Predictive Enforcement Action:  Target Number: 00001006  Target Speed:   0.0  Current Speed:   0.9</t>
  </si>
  <si>
    <t>SYS :2017/01/05 14:12:31.857:ENFORCEMENT:Predictive Enforcement Action:  Target Number: 00001006  Target Speed:   0.0  Current Speed:   0.9</t>
  </si>
  <si>
    <t>SYS :2017/01/05 14:13:05.119:ENFORCEMENT:Predictive Enforcement Action:  Target Number: 00001006  Target Speed:   0.0  Current Speed:   0.9</t>
  </si>
  <si>
    <t>SYS :2017/01/05 14:13:05.865:ENFORCEMENT:Predictive Enforcement Action:  Target Number: 00001006  Target Speed:   0.0  Current Speed:   0.9</t>
  </si>
  <si>
    <t>SYS :2017/01/05 15:25:38.927:ENFORCEMENT:Predictive Enforcement Action:  Target Number: 00004057  Target Speed:   0.0  Current Speed:  69.2</t>
  </si>
  <si>
    <t>SYS :2017/01/05 15:25:39.036:ENFORCEMENT:Predictive Enforcement Action:  Target Number: 00004056  Target Speed:   0.0  Current Speed:  69.2</t>
  </si>
  <si>
    <t>SYS :2017/01/05 15:25:39.300:ENFORCEMENT:Predictive Enforcement Action:  Target Number: 00004050  Target Speed:   0.0  Current Speed:  68.7</t>
  </si>
  <si>
    <t>SYS :2017/01/05 15:35:02.170:ENFORCEMENT:Predictive Enforcement Action:  Target Number: 00001004  Target Speed:   0.0  Current Speed:   5.6</t>
  </si>
  <si>
    <t>SYS :2017/01/05 15:35:02.858:ENFORCEMENT:Predictive Enforcement Action:  Target Number: 00001004  Target Speed:   0.0  Current Speed:   5.9</t>
  </si>
  <si>
    <t>SYS :2017/01/05 15:35:02.925:ENFORCEMENT:Predictive Enforcement Action:  Target Number: 00001004  Target Speed:   0.0  Current Speed:   5.6</t>
  </si>
  <si>
    <t>SYS :2017/01/05 17:25:28.858:ENFORCEMENT:Predictive Enforcement Action:  Target Number: 00001008  Target Speed:   0.0  Current Speed:   4.9</t>
  </si>
  <si>
    <t>SYS :2017/01/05 17:25:29.371:ENFORCEMENT:Predictive Enforcement Action:  Target Number: 00001008  Target Speed:   0.0  Current Speed:   4.9</t>
  </si>
  <si>
    <t>SYS :2017/01/05 17:25:29.430:ENFORCEMENT:Predictive Enforcement Action:  Target Number: 00001008  Target Speed:   0.0  Current Speed:   4.9</t>
  </si>
  <si>
    <t>SYS :2017/01/05 17:35:48.160:ENFORCEMENT:Reactive Enforcement Action:  Target Number: 0000100A  Target Speed:   0.0  Current Speed:   0.6</t>
  </si>
  <si>
    <t>SYS :2017/01/05 17:35:48.855:ENFORCEMENT:Reactive Enforcement Action:  Target Number: 0000100A  Target Speed:   0.0  Current Speed:   0.6</t>
  </si>
  <si>
    <t>SYS :2017/01/05 17:35:48.925:ENFORCEMENT:Reactive Enforcement Action:  Target Number: 0000100A  Target Speed:   0.0  Current Speed:   0.6</t>
  </si>
  <si>
    <t>SYS :2017/01/05 18:56:53.974:ENFORCEMENT:Reactive Enforcement Action:  Target Number: 0001700C  Target Speed:   0.0  Current Speed:  26.5</t>
  </si>
  <si>
    <t>SYS :2017/01/05 18:56:54.238:ENFORCEMENT:Reactive Enforcement Action:  Target Number: 0001700C  Target Speed:   0.0  Current Speed:  25.1</t>
  </si>
  <si>
    <t>SYS :2017/01/05 18:56:54.379:ENFORCEMENT:Reactive Enforcement Action:  Target Number: 0001700C  Target Speed:   0.0  Current Speed:  25.1</t>
  </si>
  <si>
    <t>SYS :2017/01/05 19:26:02.941:ENFORCEMENT:Predictive Enforcement Action:  Target Number: 000060B5  Target Speed:   0.0  Current Speed:  42.4</t>
  </si>
  <si>
    <t>SYS :2017/01/05 19:26:03.870:ENFORCEMENT:Predictive Enforcement Action:  Target Number: 000060AB  Target Speed:   0.0  Current Speed:  41.6</t>
  </si>
  <si>
    <t>SYS :2017/01/05 19:26:04.184:ENFORCEMENT:Predictive Enforcement Action:  Target Number: 000060B5  Target Speed:   0.0  Current Speed:  41.0</t>
  </si>
  <si>
    <t>SYS :2017/01/05 21:35:49.173:ENFORCEMENT:Predictive Enforcement Action:  Target Number: 00001017  Target Speed:   0.0  Current Speed:   7.5</t>
  </si>
  <si>
    <t>SYS :2017/01/05 21:35:49.859:ENFORCEMENT:Predictive Enforcement Action:  Target Number: 00001016  Target Speed:   0.0  Current Speed:   7.1</t>
  </si>
  <si>
    <t>SYS :2017/01/05 21:35:49.922:ENFORCEMENT:Predictive Enforcement Action:  Target Number: 00001018  Target Speed:   0.0  Current Speed:   7.5</t>
  </si>
  <si>
    <t>SYS :2017/01/05 21:36:50.858:ENFORCEMENT:Predictive Enforcement Action:  Target Number: 00001016  Target Speed:   0.0  Current Speed:   3.0</t>
  </si>
  <si>
    <t>SYS :2017/01/05 21:46:15.352:ENFORCEMENT:Predictive Enforcement Action:  Target Number: 0000403E  Target Speed:   0.0  Current Speed:  59.5</t>
  </si>
  <si>
    <t>SYS :2017/01/05 21:46:15.585:ENFORCEMENT:Predictive Enforcement Action:  Target Number: 0000403E  Target Speed:   0.0  Current Speed:  60.1</t>
  </si>
  <si>
    <t>SYS :2017/01/05 21:46:15.714:ENFORCEMENT:Predictive Enforcement Action:  Target Number: 00004040  Target Speed:   0.0  Current Speed:  59.5</t>
  </si>
  <si>
    <t>SYS :2017/01/05 22:06:11.327:ENFORCEMENT:Reactive Enforcement Action:  Target Number: 00017054  Target Speed:  19.0  Current Speed:  24.0</t>
  </si>
  <si>
    <t>SYS :2017/01/05 22:06:11.573:ENFORCEMENT:Reactive Enforcement Action:  Target Number: 00017055  Target Speed:  19.0  Current Speed:  24.0</t>
  </si>
  <si>
    <t>SYS :2017/01/05 22:06:12.633:ENFORCEMENT:Reactive Enforcement Action:  Target Number: 00017054  Target Speed:  19.0  Current Speed:  24.0</t>
  </si>
  <si>
    <t>SYS :2017/01/05 22:46:41.263:ENFORCEMENT:Reactive Enforcement Action:  Target Number: 0001011E  Target Speed:  40.0  Current Speed:  45.5</t>
  </si>
  <si>
    <t>SYS :2017/01/05 22:46:41.375:ENFORCEMENT:Reactive Enforcement Action:  Target Number: 0001011E  Target Speed:  40.0  Current Speed:  45.5</t>
  </si>
  <si>
    <t>SYS :2017/01/05 22:46:41.994:ENFORCEMENT:Reactive Enforcement Action:  Target Number: 00010122  Target Speed:  40.0  Current Speed:  45.5</t>
  </si>
  <si>
    <t>SYS :2017/01/05 23:12:37.580:ENFORCEMENT:Predictive Enforcement Action:  Target Number: 0000405C  Target Speed:   0.0  Current Speed:  50.8</t>
  </si>
  <si>
    <t>SYS :2017/01/05 23:12:37.880:ENFORCEMENT:Predictive Enforcement Action:  Target Number: 00004069  Target Speed:   0.0  Current Speed:  50.7</t>
  </si>
  <si>
    <t>SYS :2017/01/05 23:12:38.348:ENFORCEMENT:Predictive Enforcement Action:  Target Number: 0000405C  Target Speed:   0.0  Current Speed:  50.7</t>
  </si>
  <si>
    <t>SYS :2017/01/06 00:29:11.501:ENFORCEMENT:Predictive Enforcement Action:  Target Number: 00001012  Target Speed:   0.0  Current Speed:   4.8</t>
  </si>
  <si>
    <t>SYS :2017/01/06 00:29:11.674:ENFORCEMENT:Predictive Enforcement Action:  Target Number: 00001012  Target Speed:   0.0  Current Speed:   4.7</t>
  </si>
  <si>
    <t>SYS :2017/01/06 00:29:11.912:ENFORCEMENT:Predictive Enforcement Action:  Target Number: 00001012  Target Speed:   0.0  Current Speed:   4.8</t>
  </si>
  <si>
    <t>SYS :2017/01/06 03:05:07.856:ENFORCEMENT:Predictive Enforcement Action:  Target Number: 00001017  Target Speed:   0.0  Current Speed:  10.0</t>
  </si>
  <si>
    <t>SYS :2017/01/06 03:05:47.857:ENFORCEMENT:Predictive Enforcement Action:  Target Number: 00001017  Target Speed:   0.0  Current Speed:   2.9</t>
  </si>
  <si>
    <t>SYS :2017/01/06 05:11:17.091:ENFORCEMENT:Predictive Enforcement Action:  Target Number: 00001019  Target Speed:   0.0  Current Speed:   5.4</t>
  </si>
  <si>
    <t>SYS :2017/01/06 05:11:17.650:ENFORCEMENT:Predictive Enforcement Action:  Target Number: 00001019  Target Speed:   0.0  Current Speed:   5.4</t>
  </si>
  <si>
    <t>SYS :2017/01/06 05:11:17.774:ENFORCEMENT:Predictive Enforcement Action:  Target Number: 00001019  Target Speed:   0.0  Current Speed:   5.4</t>
  </si>
  <si>
    <t>SYS :2017/01/06 05:36:41.859:ENFORCEMENT:Predictive Enforcement Action:  Target Number: 0000102D  Target Speed:   0.0  Current Speed:   4.8</t>
  </si>
  <si>
    <t>SYS :2017/01/06 05:36:41.922:ENFORCEMENT:Predictive Enforcement Action:  Target Number: 0000102F  Target Speed:   0.0  Current Speed:   4.8</t>
  </si>
  <si>
    <t>SYS :2017/01/06 05:36:42.172:ENFORCEMENT:Predictive Enforcement Action:  Target Number: 0000102F  Target Speed:   0.0  Current Speed:   4.6</t>
  </si>
  <si>
    <t>SYS :2017/01/06 06:31:01.167:ENFORCEMENT:Predictive Enforcement Action:  Target Number: 0000629E  Target Speed:   0.0  Current Speed:  13.5</t>
  </si>
  <si>
    <t>SYS :2017/01/06 06:31:01.426:ENFORCEMENT:Predictive Enforcement Action:  Target Number: 00006122  Target Speed:   0.0  Current Speed:  13.5</t>
  </si>
  <si>
    <t>SYS :2017/01/06 06:31:01.575:ENFORCEMENT:Predictive Enforcement Action:  Target Number: 000062A1  Target Speed:   0.0  Current Speed:  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</si>
</sst>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0" fontId="0" fillId="0" borderId="18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3"/>
  <sheetViews>
    <sheetView tabSelected="1" topLeftCell="A166" workbookViewId="0">
      <selection activeCell="V181" sqref="V181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42740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42740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135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46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COUNTIFS($N$13:$N$9350,"&gt;0",$AG$13:$AG$9350,I1)</f>
        <v>117</v>
      </c>
      <c r="K5" s="41"/>
      <c r="L5" s="41"/>
      <c r="M5" s="42">
        <f>AVERAGEIFS($N$13:$N$9350,$AG$13:$AG$9350,I1)</f>
        <v>41.0740740746797</v>
      </c>
      <c r="N5" s="40">
        <f t="array" ref="N5">MIN(IF($AG$13:$AG$9350=I1,IF(ISNUMBER($N$13:$N$9350),IF($N$13:$N$9350&gt;0,$N$13:$N$9350))))</f>
        <v>34.783333333907649</v>
      </c>
      <c r="O5" s="3">
        <f t="array" ref="O5">MAX(IF($AG$13:$AG$9350=I1,IF(ISNUMBER($N$13:$N$9350),IF($N$13:$N$9350&gt;0,$N$13:$N$9350))))</f>
        <v>55.799999999580905</v>
      </c>
      <c r="P5" s="2"/>
      <c r="R5" s="76" t="s">
        <v>17</v>
      </c>
      <c r="S5" s="52">
        <f>COUNTIFS($N$13:$N$9350,"&gt;0",$AG$13:$AG$9350,R1)</f>
        <v>46</v>
      </c>
      <c r="T5" s="41"/>
      <c r="U5" s="164"/>
      <c r="V5" s="42">
        <f>AVERAGEIFS($N$13:$N$9350,$AG$13:$AG$9350,R1)</f>
        <v>16.530434783603795</v>
      </c>
      <c r="W5" s="40">
        <f t="array" ref="W5">MIN(IF($AG$13:$AG$9350=R1,IF(ISNUMBER($N$13:$N$9350),IF($N$13:$N$9350&gt;0,$N$13:$N$9350))))</f>
        <v>13.516666672658175</v>
      </c>
      <c r="X5" s="169">
        <f t="array" ref="X5">MAX(IF($AG$13:$AG$9350=R1,IF(ISNUMBER($N$13:$N$9350),IF($N$13:$N$9350&gt;0,$N$13:$N$9350))))</f>
        <v>25.066666669445112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COUNT($O$13:$O$129)</f>
        <v>0</v>
      </c>
      <c r="K6" s="41"/>
      <c r="L6" s="41"/>
      <c r="M6" s="42">
        <f>IFERROR(AVERAGE($O$13:$O$129),0)</f>
        <v>0</v>
      </c>
      <c r="N6" s="40">
        <f>MIN($O$13:$O$129)</f>
        <v>0</v>
      </c>
      <c r="O6" s="3">
        <f>MAX($O$13:$O$129)</f>
        <v>0</v>
      </c>
      <c r="P6" s="2"/>
      <c r="R6" s="77" t="s">
        <v>43</v>
      </c>
      <c r="S6" s="52">
        <f>COUNT($O$13:$O$129)</f>
        <v>0</v>
      </c>
      <c r="T6" s="41"/>
      <c r="U6" s="164"/>
      <c r="V6" s="42">
        <f>IFERROR(AVERAGE($O$13:$O$129),0)</f>
        <v>0</v>
      </c>
      <c r="W6" s="40">
        <f>MIN($O$13:$O$129)</f>
        <v>0</v>
      </c>
      <c r="X6" s="169">
        <f>MAX($O$13:$O$129)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COUNTIFS($P$13:$P$9350,"&gt;0",$AG$13:$AG$9350,I1)</f>
        <v>18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COUNTIFS($P$13:$P$9350,"&gt;0",$AG$13:$AG$9350,R1)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117</v>
      </c>
      <c r="K8" s="41"/>
      <c r="L8" s="41"/>
      <c r="M8" s="42">
        <f>M5</f>
        <v>41.0740740746797</v>
      </c>
      <c r="N8" s="40">
        <f>N5</f>
        <v>34.783333333907649</v>
      </c>
      <c r="O8" s="3">
        <f>O5</f>
        <v>55.799999999580905</v>
      </c>
      <c r="P8" s="2"/>
      <c r="R8" s="76" t="s">
        <v>16</v>
      </c>
      <c r="S8" s="52">
        <f>S5</f>
        <v>46</v>
      </c>
      <c r="T8" s="41"/>
      <c r="U8" s="164"/>
      <c r="V8" s="42">
        <f>V5</f>
        <v>16.530434783603795</v>
      </c>
      <c r="W8" s="40">
        <f>W5</f>
        <v>13.516666672658175</v>
      </c>
      <c r="X8" s="169">
        <f>X5</f>
        <v>25.066666669445112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0.8666666666666667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90" t="str">
        <f>"Eagle P3 System Performance - "&amp;TEXT(Variables!A2,"yyyy-mm-dd")</f>
        <v>Eagle P3 System Performance - 2017-01-05</v>
      </c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S11" s="66">
        <f>AVERAGE(S13:S93)</f>
        <v>0.95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310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493</v>
      </c>
      <c r="B13" s="7">
        <v>4007</v>
      </c>
      <c r="C13" s="22" t="s">
        <v>203</v>
      </c>
      <c r="D13" s="22" t="s">
        <v>697</v>
      </c>
      <c r="E13" s="13">
        <v>42740.125439814816</v>
      </c>
      <c r="F13" s="13">
        <v>42740.135833333334</v>
      </c>
      <c r="G13" s="7">
        <v>1</v>
      </c>
      <c r="H13" s="22" t="s">
        <v>698</v>
      </c>
      <c r="I13" s="13">
        <v>42740.165324074071</v>
      </c>
      <c r="J13" s="7">
        <v>0</v>
      </c>
      <c r="K13" s="105" t="str">
        <f t="shared" ref="K13:K75" si="0">IF(ISEVEN(B13),(B13-1)&amp;"/"&amp;B13,B13&amp;"/"&amp;(B13+1))</f>
        <v>4007/4008</v>
      </c>
      <c r="L13" s="22" t="str">
        <f>VLOOKUP(A13,'Trips&amp;Operators'!$C$1:$G$99999,5,FALSE)</f>
        <v>ISHMAEL JOSEPH</v>
      </c>
      <c r="M13" s="6">
        <f t="shared" ref="M13:M75" si="1">I13-F13</f>
        <v>2.9490740736946464E-2</v>
      </c>
      <c r="N13" s="7">
        <f t="shared" ref="N13:N22" si="2">24*60*SUM($M13:$M13)</f>
        <v>42.466666661202908</v>
      </c>
      <c r="O13" s="7"/>
      <c r="P13" s="7"/>
      <c r="Q13" s="23"/>
      <c r="R13" s="23"/>
      <c r="S13" s="32">
        <f t="shared" ref="S13:S43" si="3">SUM(U13:U13)/IF(AG13="EC",12,1)</f>
        <v>1</v>
      </c>
      <c r="T13" s="47" t="str">
        <f t="shared" ref="T13:T75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https://search-rtdc-monitor-bjffxe2xuh6vdkpspy63sjmuny.us-east-1.es.amazonaws.com/_plugin/kibana/#/discover/Steve-Slow-Train-Analysis-(2080s-and-2083s)?_g=(refreshInterval:(display:Off,section:0,value:0),time:(from:'2017-01-05 02:00:38-700',mode:absolute,to:'2017-01-05 04:58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" s="49" t="str">
        <f t="shared" ref="W13:W75" si="6">IF(AA13&lt;IF(AG13="EC",23,5.65),"Y","N")</f>
        <v>N</v>
      </c>
      <c r="X13" s="173" t="e">
        <f>VALUE(LEFT(AD13,4))-VALUE(LEFT(AD12,4))</f>
        <v>#VALUE!</v>
      </c>
      <c r="Y13" s="64">
        <f t="shared" ref="Y13:Y75" si="7">RIGHT(D13,LEN(D13)-4)/10000</f>
        <v>6.5199999999999994E-2</v>
      </c>
      <c r="Z13" s="64">
        <f t="shared" ref="Z13:Z75" si="8">RIGHT(H13,LEN(H13)-4)/10000</f>
        <v>23.3293</v>
      </c>
      <c r="AA13" s="64">
        <f t="shared" ref="AA13:AA75" si="9">ABS(Z13-Y13)</f>
        <v>23.264099999999999</v>
      </c>
      <c r="AB13" s="61" t="e">
        <f>VLOOKUP(A13,Enforcements!$C$7:$K$18,8,0)</f>
        <v>#N/A</v>
      </c>
      <c r="AC13" s="57" t="e">
        <f>VLOOKUP(A13,Enforcements!$C$7:$E$18,3,0)</f>
        <v>#N/A</v>
      </c>
      <c r="AD13" s="58" t="str">
        <f t="shared" ref="AD13:AD75" si="10">IF(LEN(A13)=6,"0"&amp;A13,A13)</f>
        <v>0101-05</v>
      </c>
      <c r="AE13" s="87" t="str">
        <f t="shared" ref="AE13:AE75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13" s="84" t="str">
        <f t="shared" ref="AF13:AF75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/stypes="app*4007*20170105*" /stext=" 10:.+((SYSTEM_STATE.+slice.+state.+changed )|(ment ac)|(multiple cpu faults)|(system.+state.+changed )|(\[timeout)|(PRM\|1\|D)|(kpr)|(kdp)|(\|lc)|(penalty))" /e /r /s</v>
      </c>
      <c r="AG13" s="1" t="str">
        <f t="shared" ref="AG13:AG75" si="13">IFERROR(IF(VALUE(LEFT(AD13,2))&lt;=2,"EC",IF(OR(VALUE(LEFT(AD13,2))=8,VALUE(LEFT(AD13,2))=18),"NW","Other")),"Other")</f>
        <v>EC</v>
      </c>
      <c r="AH13" s="8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4007 --swversion DE.1.0.8.0 --startMP 204:652 --initTime 2017-01-05T03:00:38 --startdatetime 2017-01-05T03:15:36 --delay 1 --endMP 204:233293 --enddatetime 2017-01-05T03:58:04 --enforcementcount 0 &gt;&gt;C:\Users\stu\Documents\GitHub\eaglep3-reporting\EC\2017-01-05-refined-times.txt</v>
      </c>
      <c r="AI13" s="11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{"issue":{"subject":"","project_id":79,"tracker_id":40,"status_id":1,"priority_id":2,"assigned_to_id":23,"start_date":"2017-01-05","description":"","custom_fields":[{"id":1,"name":"Subdivision","value":"EC"},{"id":4,"name":"Milepost","value":"23.3293"},{"id":17,"name":"Train ID","value":"101-05"},{"id":16,"name":"Locomotive ID","value":"4007"},{"id":130,"name":"Impact","value":""},{"id":150,"name":"Time of Event (Mountain Time)","value":"03:58:04"},{"id":151,"name":"Denver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6">"start /low /b "&amp;dls3logs&amp;" --loco "&amp;B13&amp;" --day "&amp;TEXT(F13,"YYYY-MM-DD")</f>
        <v>start /low /b %USERPROFILE%\Documents\GitHub\eaglep3\Utilities\DownloadLogsFromS3.py --loco 4007 --day 2017-01-05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499</v>
      </c>
      <c r="B14" s="7">
        <v>4013</v>
      </c>
      <c r="C14" s="22" t="s">
        <v>203</v>
      </c>
      <c r="D14" s="22" t="s">
        <v>699</v>
      </c>
      <c r="E14" s="13">
        <v>42740.170520833337</v>
      </c>
      <c r="F14" s="13">
        <v>42740.174502314818</v>
      </c>
      <c r="G14" s="7">
        <v>1</v>
      </c>
      <c r="H14" s="22" t="s">
        <v>191</v>
      </c>
      <c r="I14" s="13">
        <v>42740.205717592595</v>
      </c>
      <c r="J14" s="7">
        <v>0</v>
      </c>
      <c r="K14" s="105" t="str">
        <f t="shared" si="0"/>
        <v>4013/4014</v>
      </c>
      <c r="L14" s="22" t="str">
        <f>VLOOKUP(A14,'Trips&amp;Operators'!$C$1:$G$99999,5,FALSE)</f>
        <v>ISHMAEL JOSEPH</v>
      </c>
      <c r="M14" s="6">
        <f t="shared" si="1"/>
        <v>3.1215277776937E-2</v>
      </c>
      <c r="N14" s="7">
        <f t="shared" si="2"/>
        <v>44.949999998789281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03:05:33-700',mode:absolute,to:'2017-01-05 05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" s="49" t="str">
        <f t="shared" si="6"/>
        <v>N</v>
      </c>
      <c r="X14" s="173">
        <f>VALUE(LEFT(AD14,4))-VALUE(LEFT(AD13,4))</f>
        <v>1</v>
      </c>
      <c r="Y14" s="64">
        <f t="shared" si="7"/>
        <v>23.266400000000001</v>
      </c>
      <c r="Z14" s="64">
        <f t="shared" si="8"/>
        <v>1.49E-2</v>
      </c>
      <c r="AA14" s="64">
        <f t="shared" si="9"/>
        <v>23.2515</v>
      </c>
      <c r="AB14" s="61" t="e">
        <f>VLOOKUP(A14,Enforcements!$C$7:$K$18,8,0)</f>
        <v>#N/A</v>
      </c>
      <c r="AC14" s="57" t="e">
        <f>VLOOKUP(A14,Enforcements!$C$7:$E$18,3,0)</f>
        <v>#N/A</v>
      </c>
      <c r="AD14" s="58" t="str">
        <f t="shared" si="10"/>
        <v>0102-05</v>
      </c>
      <c r="AE14" s="87" t="str">
        <f t="shared" si="11"/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AF14" s="84" t="str">
        <f t="shared" si="12"/>
        <v>"C:\Program Files (x86)\AstroGrep\AstroGrep.exe" /spath="%USERPROFILE%\AppData\Local\Temp\OnboardLogs" /stypes="app*4013*20170105*"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88" t="str">
        <f t="shared" ref="AH14:AH7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4013 --swversion DE.1.0.8.0 --startMP 204:232664 --initTime 2017-01-05T04:05:33 --startdatetime 2017-01-05T04:11:17 --delay 1 --endMP 204:149 --enddatetime 2017-01-05T04:56:14 --enforcementcount 0 &gt;&gt;C:\Users\stu\Documents\GitHub\eaglep3-reporting\EC\2017-01-05-refined-times.txt</v>
      </c>
      <c r="AI14" s="115" t="str">
        <f t="shared" ref="AI14:AI7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{"issue":{"subject":"","project_id":79,"tracker_id":40,"status_id":1,"priority_id":2,"assigned_to_id":23,"start_date":"2017-01-05","description":"","custom_fields":[{"id":1,"name":"Subdivision","value":"EC"},{"id":4,"name":"Milepost","value":"0.0149"},{"id":17,"name":"Train ID","value":"102-05"},{"id":16,"name":"Locomotive ID","value":"4013"},{"id":130,"name":"Impact","value":""},{"id":150,"name":"Time of Event (Mountain Time)","value":"04:56:14"},{"id":151,"name":"Denver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4" si="19">"start /low /b "&amp;dls3logs&amp;" --loco "&amp;B14&amp;" --day "&amp;TEXT(F14,"YYYY-MM-DD")</f>
        <v>start /low /b %USERPROFILE%\Documents\GitHub\eaglep3\Utilities\DownloadLogsFromS3.py --loco 4013 --day 2017-01-05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494</v>
      </c>
      <c r="B15" s="7">
        <v>4009</v>
      </c>
      <c r="C15" s="22" t="s">
        <v>203</v>
      </c>
      <c r="D15" s="22" t="s">
        <v>700</v>
      </c>
      <c r="E15" s="13">
        <v>42740.155023148145</v>
      </c>
      <c r="F15" s="13">
        <v>42740.158171296294</v>
      </c>
      <c r="G15" s="7">
        <v>3</v>
      </c>
      <c r="H15" s="22" t="s">
        <v>701</v>
      </c>
      <c r="I15" s="13">
        <v>42740.18482638889</v>
      </c>
      <c r="J15" s="7">
        <v>0</v>
      </c>
      <c r="K15" s="105" t="str">
        <f t="shared" si="0"/>
        <v>4009/4010</v>
      </c>
      <c r="L15" s="22" t="str">
        <f>VLOOKUP(A15,'Trips&amp;Operators'!$C$1:$G$99999,5,FALSE)</f>
        <v>COOLAHAN JOHN</v>
      </c>
      <c r="M15" s="6">
        <f t="shared" si="1"/>
        <v>2.6655092595319729E-2</v>
      </c>
      <c r="N15" s="7">
        <f t="shared" si="2"/>
        <v>38.38333333726041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02:43:14-700',mode:absolute,to:'2017-01-05 05:26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49" t="str">
        <f t="shared" si="6"/>
        <v>N</v>
      </c>
      <c r="X15" s="173">
        <f>VALUE(LEFT(AD15,4))-VALUE(LEFT(AD14,4))</f>
        <v>1</v>
      </c>
      <c r="Y15" s="64">
        <f t="shared" si="7"/>
        <v>7.4399999999999994E-2</v>
      </c>
      <c r="Z15" s="64">
        <f t="shared" si="8"/>
        <v>23.332699999999999</v>
      </c>
      <c r="AA15" s="64">
        <f t="shared" si="9"/>
        <v>23.258299999999998</v>
      </c>
      <c r="AB15" s="61" t="e">
        <f>VLOOKUP(A15,Enforcements!$C$7:$K$18,8,0)</f>
        <v>#N/A</v>
      </c>
      <c r="AC15" s="57" t="e">
        <f>VLOOKUP(A15,Enforcements!$C$7:$E$18,3,0)</f>
        <v>#N/A</v>
      </c>
      <c r="AD15" s="58" t="str">
        <f t="shared" si="10"/>
        <v>0103-05</v>
      </c>
      <c r="AE15" s="87" t="str">
        <f t="shared" si="11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15" s="84" t="str">
        <f t="shared" si="12"/>
        <v>"C:\Program Files (x86)\AstroGrep\AstroGrep.exe" /spath="%USERPROFILE%\AppData\Local\Temp\OnboardLogs" /stypes="app*4009*20170105*" /stext=" 11:.+((SYSTEM_STATE.+slice.+state.+changed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88" t="str">
        <f t="shared" si="17"/>
        <v>"%USERPROFILE%\Documents\GitHub\eaglep3\Utilities\RefineRTDCRunTimes.py" --tripid 103-05 --locoid 4009 --swversion DE.1.0.8.0 --startMP 204:744 --initTime 2017-01-05T03:43:14 --startdatetime 2017-01-05T03:47:46 --delay 3 --endMP 204:233327 --enddatetime 2017-01-05T04:26:09 --enforcementcount 0 &gt;&gt;C:\Users\stu\Documents\GitHub\eaglep3-reporting\EC\2017-01-05-refined-times.txt</v>
      </c>
      <c r="AI15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{"issue":{"subject":"","project_id":79,"tracker_id":40,"status_id":1,"priority_id":2,"assigned_to_id":23,"start_date":"2017-01-05","description":"","custom_fields":[{"id":1,"name":"Subdivision","value":"EC"},{"id":4,"name":"Milepost","value":"23.3327"},{"id":17,"name":"Train ID","value":"103-05"},{"id":16,"name":"Locomotive ID","value":"4009"},{"id":130,"name":"Impact","value":""},{"id":150,"name":"Time of Event (Mountain Time)","value":"04:26:09"},{"id":151,"name":"Denver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19"/>
        <v>start /low /b %USERPROFILE%\Documents\GitHub\eaglep3\Utilities\DownloadLogsFromS3.py --loco 4009 --day 2017-01-05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503</v>
      </c>
      <c r="B16" s="7">
        <v>4045</v>
      </c>
      <c r="C16" s="22" t="s">
        <v>203</v>
      </c>
      <c r="D16" s="22" t="s">
        <v>702</v>
      </c>
      <c r="E16" s="13">
        <v>42740.191168981481</v>
      </c>
      <c r="F16" s="13">
        <v>42740.195462962962</v>
      </c>
      <c r="G16" s="7">
        <v>1</v>
      </c>
      <c r="H16" s="22" t="s">
        <v>703</v>
      </c>
      <c r="I16" s="13">
        <v>42740.229479166665</v>
      </c>
      <c r="J16" s="7">
        <v>0</v>
      </c>
      <c r="K16" s="105" t="str">
        <f t="shared" si="0"/>
        <v>4045/4046</v>
      </c>
      <c r="L16" s="22" t="str">
        <f>VLOOKUP(A16,'Trips&amp;Operators'!$C$1:$G$99999,5,FALSE)</f>
        <v>COOLAHAN JOHN</v>
      </c>
      <c r="M16" s="6">
        <f t="shared" si="1"/>
        <v>3.4016203702776693E-2</v>
      </c>
      <c r="N16" s="7">
        <f t="shared" si="2"/>
        <v>48.983333331998438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03:35:17-700',mode:absolute,to:'2017-01-05 06:30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" s="49" t="str">
        <f t="shared" si="6"/>
        <v>N</v>
      </c>
      <c r="X16" s="173">
        <f>VALUE(LEFT(AD16,4))-VALUE(LEFT(AD15,4))</f>
        <v>1</v>
      </c>
      <c r="Y16" s="64">
        <f t="shared" si="7"/>
        <v>23.2681</v>
      </c>
      <c r="Z16" s="64">
        <f t="shared" si="8"/>
        <v>1.1900000000000001E-2</v>
      </c>
      <c r="AA16" s="64">
        <f t="shared" si="9"/>
        <v>23.2562</v>
      </c>
      <c r="AB16" s="61" t="e">
        <f>VLOOKUP(A16,Enforcements!$C$7:$K$18,8,0)</f>
        <v>#N/A</v>
      </c>
      <c r="AC16" s="57" t="e">
        <f>VLOOKUP(A16,Enforcements!$C$7:$E$18,3,0)</f>
        <v>#N/A</v>
      </c>
      <c r="AD16" s="58" t="str">
        <f t="shared" si="10"/>
        <v>0104-05</v>
      </c>
      <c r="AE16" s="87" t="str">
        <f t="shared" si="11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6" s="84" t="str">
        <f t="shared" si="12"/>
        <v>"C:\Program Files (x86)\AstroGrep\AstroGrep.exe" /spath="%USERPROFILE%\AppData\Local\Temp\OnboardLogs" /stypes="app*4045*20170105*"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8" t="str">
        <f t="shared" si="17"/>
        <v>"%USERPROFILE%\Documents\GitHub\eaglep3\Utilities\RefineRTDCRunTimes.py" --tripid 104-05 --locoid 4045 --swversion DE.1.0.8.0 --startMP 204:232681 --initTime 2017-01-05T04:35:17 --startdatetime 2017-01-05T04:41:28 --delay 1 --endMP 204:119 --enddatetime 2017-01-05T05:30:27 --enforcementcount 0 &gt;&gt;C:\Users\stu\Documents\GitHub\eaglep3-reporting\EC\2017-01-05-refined-times.txt</v>
      </c>
      <c r="AI16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{"issue":{"subject":"","project_id":79,"tracker_id":40,"status_id":1,"priority_id":2,"assigned_to_id":23,"start_date":"2017-01-05","description":"","custom_fields":[{"id":1,"name":"Subdivision","value":"EC"},{"id":4,"name":"Milepost","value":"0.0119"},{"id":17,"name":"Train ID","value":"104-05"},{"id":16,"name":"Locomotive ID","value":"4045"},{"id":130,"name":"Impact","value":""},{"id":150,"name":"Time of Event (Mountain Time)","value":"05:30:27"},{"id":151,"name":"Denver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19"/>
        <v>start /low /b %USERPROFILE%\Documents\GitHub\eaglep3\Utilities\DownloadLogsFromS3.py --loco 4045 --day 2017-01-05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464</v>
      </c>
      <c r="B17" s="7">
        <v>4018</v>
      </c>
      <c r="C17" s="22" t="s">
        <v>203</v>
      </c>
      <c r="D17" s="22" t="s">
        <v>704</v>
      </c>
      <c r="E17" s="13">
        <v>42740.16878472222</v>
      </c>
      <c r="F17" s="13">
        <v>42740.177256944444</v>
      </c>
      <c r="G17" s="7">
        <v>1</v>
      </c>
      <c r="H17" s="22" t="s">
        <v>705</v>
      </c>
      <c r="I17" s="13">
        <v>42740.203055555554</v>
      </c>
      <c r="J17" s="7">
        <v>0</v>
      </c>
      <c r="K17" s="105" t="str">
        <f t="shared" si="0"/>
        <v>4017/4018</v>
      </c>
      <c r="L17" s="22" t="str">
        <f>VLOOKUP(A17,'Trips&amp;Operators'!$C$1:$G$99999,5,FALSE)</f>
        <v>ROBINSON KADDIBA</v>
      </c>
      <c r="M17" s="6">
        <f t="shared" si="1"/>
        <v>2.5798611110076308E-2</v>
      </c>
      <c r="N17" s="7">
        <f t="shared" si="2"/>
        <v>37.149999998509884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03:03:03-700',mode:absolute,to:'2017-01-05 05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" s="49" t="str">
        <f t="shared" si="6"/>
        <v>N</v>
      </c>
      <c r="X17" s="173">
        <f>VALUE(LEFT(AD17,4))-VALUE(LEFT(AD16,4))</f>
        <v>1</v>
      </c>
      <c r="Y17" s="64">
        <f t="shared" si="7"/>
        <v>6.93E-2</v>
      </c>
      <c r="Z17" s="64">
        <f t="shared" si="8"/>
        <v>23.270399999999999</v>
      </c>
      <c r="AA17" s="64">
        <f t="shared" si="9"/>
        <v>23.2011</v>
      </c>
      <c r="AB17" s="61" t="e">
        <f>VLOOKUP(A17,Enforcements!$C$7:$K$18,8,0)</f>
        <v>#N/A</v>
      </c>
      <c r="AC17" s="57" t="e">
        <f>VLOOKUP(A17,Enforcements!$C$7:$E$18,3,0)</f>
        <v>#N/A</v>
      </c>
      <c r="AD17" s="58" t="str">
        <f t="shared" si="10"/>
        <v>0105-05</v>
      </c>
      <c r="AE17" s="87" t="str">
        <f t="shared" si="11"/>
        <v>aws s3 cp s3://rtdc.mdm.uploadarchive.raw/RTDC4018/ "%USERPROFILE%\AppData\Local\Temp\OnboardLogs"\RTDC4018\2017-01-05 --exclude "*" --recursive --include "*20170105*" &amp; "%USERPROFILE%\Documents\GitHub\mrs-test-scripts\Headless Mode &amp; Sideloading\WalkAndUnGZ.bat" "%USERPROFILE%\AppData\Local\Temp\OnboardLogs"\RTDC4018\2017-01-05 &amp; 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</v>
      </c>
      <c r="AF17" s="84" t="str">
        <f t="shared" si="12"/>
        <v>"C:\Program Files (x86)\AstroGrep\AstroGrep.exe" /spath="%USERPROFILE%\AppData\Local\Temp\OnboardLogs" /stypes="app*4018*20170105*"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8" t="str">
        <f t="shared" si="17"/>
        <v>"%USERPROFILE%\Documents\GitHub\eaglep3\Utilities\RefineRTDCRunTimes.py" --tripid 105-05 --locoid 4018 --swversion DE.1.0.8.0 --startMP 204:693 --initTime 2017-01-05T04:03:03 --startdatetime 2017-01-05T04:15:15 --delay 1 --endMP 204:232704 --enddatetime 2017-01-05T04:52:24 --enforcementcount 0 &gt;&gt;C:\Users\stu\Documents\GitHub\eaglep3-reporting\EC\2017-01-05-refined-times.txt</v>
      </c>
      <c r="AI17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{"issue":{"subject":"","project_id":79,"tracker_id":40,"status_id":1,"priority_id":2,"assigned_to_id":23,"start_date":"2017-01-05","description":"","custom_fields":[{"id":1,"name":"Subdivision","value":"EC"},{"id":4,"name":"Milepost","value":"23.2704"},{"id":17,"name":"Train ID","value":"105-05"},{"id":16,"name":"Locomotive ID","value":"4018"},{"id":130,"name":"Impact","value":""},{"id":150,"name":"Time of Event (Mountain Time)","value":"04:52:24"},{"id":151,"name":"Denver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19"/>
        <v>start /low /b %USERPROFILE%\Documents\GitHub\eaglep3\Utilities\DownloadLogsFromS3.py --loco 4018 --day 2017-01-05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510</v>
      </c>
      <c r="B18" s="7">
        <v>4041</v>
      </c>
      <c r="C18" s="22" t="s">
        <v>203</v>
      </c>
      <c r="D18" s="22" t="s">
        <v>291</v>
      </c>
      <c r="E18" s="13">
        <v>42740.220717592594</v>
      </c>
      <c r="F18" s="13">
        <v>42740.223055555558</v>
      </c>
      <c r="G18" s="7">
        <v>1</v>
      </c>
      <c r="H18" s="22" t="s">
        <v>286</v>
      </c>
      <c r="I18" s="13">
        <v>42740.251030092593</v>
      </c>
      <c r="J18" s="7">
        <v>0</v>
      </c>
      <c r="K18" s="105" t="str">
        <f t="shared" si="0"/>
        <v>4041/4042</v>
      </c>
      <c r="L18" s="22" t="str">
        <f>VLOOKUP(A18,'Trips&amp;Operators'!$C$1:$G$99999,5,FALSE)</f>
        <v>ROBINSON KADDIBA</v>
      </c>
      <c r="M18" s="6">
        <f t="shared" si="1"/>
        <v>2.7974537035333924E-2</v>
      </c>
      <c r="N18" s="7">
        <f t="shared" si="2"/>
        <v>40.283333330880851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04:17:50-700',mode:absolute,to:'2017-01-05 07:01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" s="49" t="str">
        <f t="shared" si="6"/>
        <v>N</v>
      </c>
      <c r="X18" s="173">
        <f t="shared" ref="X18:X24" si="20">VALUE(LEFT(AD18,4))-VALUE(LEFT(AD17,4))</f>
        <v>1</v>
      </c>
      <c r="Y18" s="64">
        <f t="shared" si="7"/>
        <v>23.2971</v>
      </c>
      <c r="Z18" s="64">
        <f t="shared" si="8"/>
        <v>1.5800000000000002E-2</v>
      </c>
      <c r="AA18" s="64">
        <f t="shared" si="9"/>
        <v>23.281300000000002</v>
      </c>
      <c r="AB18" s="61" t="e">
        <f>VLOOKUP(A18,Enforcements!$C$7:$K$18,8,0)</f>
        <v>#N/A</v>
      </c>
      <c r="AC18" s="57" t="e">
        <f>VLOOKUP(A18,Enforcements!$C$7:$E$18,3,0)</f>
        <v>#N/A</v>
      </c>
      <c r="AD18" s="58" t="str">
        <f t="shared" si="10"/>
        <v>0106-05</v>
      </c>
      <c r="AE18" s="87" t="str">
        <f t="shared" si="11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18" s="84" t="str">
        <f t="shared" si="12"/>
        <v>"C:\Program Files (x86)\AstroGrep\AstroGrep.exe" /spath="%USERPROFILE%\AppData\Local\Temp\OnboardLogs" /stypes="app*4041*20170105*" /stext=" 13:.+((SYSTEM_STATE.+slice.+state.+changed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8" t="str">
        <f t="shared" si="17"/>
        <v>"%USERPROFILE%\Documents\GitHub\eaglep3\Utilities\RefineRTDCRunTimes.py" --tripid 106-05 --locoid 4041 --swversion DE.1.0.8.0 --startMP 204:232971 --initTime 2017-01-05T05:17:50 --startdatetime 2017-01-05T05:21:12 --delay 1 --endMP 204:158 --enddatetime 2017-01-05T06:01:29 --enforcementcount 0 &gt;&gt;C:\Users\stu\Documents\GitHub\eaglep3-reporting\EC\2017-01-05-refined-times.txt</v>
      </c>
      <c r="AI18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{"issue":{"subject":"","project_id":79,"tracker_id":40,"status_id":1,"priority_id":2,"assigned_to_id":23,"start_date":"2017-01-05","description":"","custom_fields":[{"id":1,"name":"Subdivision","value":"EC"},{"id":4,"name":"Milepost","value":"0.0158"},{"id":17,"name":"Train ID","value":"106-05"},{"id":16,"name":"Locomotive ID","value":"4041"},{"id":130,"name":"Impact","value":""},{"id":150,"name":"Time of Event (Mountain Time)","value":"06:01:29"},{"id":151,"name":"Denver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19"/>
        <v>start /low /b %USERPROFILE%\Documents\GitHub\eaglep3\Utilities\DownloadLogsFromS3.py --loco 4041 --day 2017-01-05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502</v>
      </c>
      <c r="B19" s="7">
        <v>4042</v>
      </c>
      <c r="C19" s="22" t="s">
        <v>203</v>
      </c>
      <c r="D19" s="22" t="s">
        <v>301</v>
      </c>
      <c r="E19" s="13">
        <v>42740.183067129627</v>
      </c>
      <c r="F19" s="13">
        <v>42740.188796296294</v>
      </c>
      <c r="G19" s="7">
        <v>3</v>
      </c>
      <c r="H19" s="22" t="s">
        <v>706</v>
      </c>
      <c r="I19" s="13">
        <v>42740.214201388888</v>
      </c>
      <c r="J19" s="7">
        <v>0</v>
      </c>
      <c r="K19" s="105" t="str">
        <f t="shared" si="0"/>
        <v>4041/4042</v>
      </c>
      <c r="L19" s="22" t="str">
        <f>VLOOKUP(A19,'Trips&amp;Operators'!$C$1:$G$99999,5,FALSE)</f>
        <v>COMELLA JUSTIN</v>
      </c>
      <c r="M19" s="6">
        <f t="shared" si="1"/>
        <v>2.5405092594155576E-2</v>
      </c>
      <c r="N19" s="7">
        <f t="shared" si="2"/>
        <v>36.58333333558403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03:23:37-700',mode:absolute,to:'2017-01-05 06:08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" s="49" t="str">
        <f t="shared" si="6"/>
        <v>N</v>
      </c>
      <c r="X19" s="173">
        <f t="shared" si="20"/>
        <v>1</v>
      </c>
      <c r="Y19" s="64">
        <f t="shared" si="7"/>
        <v>4.7800000000000002E-2</v>
      </c>
      <c r="Z19" s="64">
        <f t="shared" si="8"/>
        <v>23.3309</v>
      </c>
      <c r="AA19" s="64">
        <f t="shared" si="9"/>
        <v>23.283100000000001</v>
      </c>
      <c r="AB19" s="61" t="e">
        <f>VLOOKUP(A19,Enforcements!$C$7:$K$18,8,0)</f>
        <v>#N/A</v>
      </c>
      <c r="AC19" s="57" t="e">
        <f>VLOOKUP(A19,Enforcements!$C$7:$E$18,3,0)</f>
        <v>#N/A</v>
      </c>
      <c r="AD19" s="58" t="str">
        <f t="shared" si="10"/>
        <v>0107-05</v>
      </c>
      <c r="AE19" s="87" t="str">
        <f t="shared" si="11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19" s="84" t="str">
        <f t="shared" si="12"/>
        <v>"C:\Program Files (x86)\AstroGrep\AstroGrep.exe" /spath="%USERPROFILE%\AppData\Local\Temp\OnboardLogs" /stypes="app*4042*20170105*"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8" t="str">
        <f t="shared" si="17"/>
        <v>"%USERPROFILE%\Documents\GitHub\eaglep3\Utilities\RefineRTDCRunTimes.py" --tripid 107-05 --locoid 4042 --swversion DE.1.0.8.0 --startMP 204:478 --initTime 2017-01-05T04:23:37 --startdatetime 2017-01-05T04:31:52 --delay 3 --endMP 204:233309 --enddatetime 2017-01-05T05:08:27 --enforcementcount 0 &gt;&gt;C:\Users\stu\Documents\GitHub\eaglep3-reporting\EC\2017-01-05-refined-times.txt</v>
      </c>
      <c r="AI19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{"issue":{"subject":"","project_id":79,"tracker_id":40,"status_id":1,"priority_id":2,"assigned_to_id":23,"start_date":"2017-01-05","description":"","custom_fields":[{"id":1,"name":"Subdivision","value":"EC"},{"id":4,"name":"Milepost","value":"23.3309"},{"id":17,"name":"Train ID","value":"107-05"},{"id":16,"name":"Locomotive ID","value":"4042"},{"id":130,"name":"Impact","value":""},{"id":150,"name":"Time of Event (Mountain Time)","value":"05:08:27"},{"id":151,"name":"Denver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19"/>
        <v>start /low /b %USERPROFILE%\Documents\GitHub\eaglep3\Utilities\DownloadLogsFromS3.py --loco 4042 --day 2017-01-05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512</v>
      </c>
      <c r="B20" s="7">
        <v>4021</v>
      </c>
      <c r="C20" s="22" t="s">
        <v>203</v>
      </c>
      <c r="D20" s="22" t="s">
        <v>707</v>
      </c>
      <c r="E20" s="13">
        <v>42740.229375000003</v>
      </c>
      <c r="F20" s="13">
        <v>42740.231388888889</v>
      </c>
      <c r="G20" s="7">
        <v>1</v>
      </c>
      <c r="H20" s="22" t="s">
        <v>280</v>
      </c>
      <c r="I20" s="13">
        <v>42740.261504629627</v>
      </c>
      <c r="J20" s="7">
        <v>0</v>
      </c>
      <c r="K20" s="105" t="str">
        <f t="shared" si="0"/>
        <v>4021/4022</v>
      </c>
      <c r="L20" s="22" t="str">
        <f>VLOOKUP(A20,'Trips&amp;Operators'!$C$1:$G$99999,5,FALSE)</f>
        <v>COMELLA JUSTIN</v>
      </c>
      <c r="M20" s="6">
        <f t="shared" si="1"/>
        <v>3.011574073752854E-2</v>
      </c>
      <c r="N20" s="7">
        <f t="shared" si="2"/>
        <v>43.366666662041098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04:30:18-700',mode:absolute,to:'2017-01-05 07:16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" s="49" t="str">
        <f t="shared" si="6"/>
        <v>N</v>
      </c>
      <c r="X20" s="173">
        <f t="shared" si="20"/>
        <v>1</v>
      </c>
      <c r="Y20" s="64">
        <f t="shared" si="7"/>
        <v>23.268699999999999</v>
      </c>
      <c r="Z20" s="64">
        <f t="shared" si="8"/>
        <v>1.52E-2</v>
      </c>
      <c r="AA20" s="64">
        <f t="shared" si="9"/>
        <v>23.253499999999999</v>
      </c>
      <c r="AB20" s="61" t="e">
        <f>VLOOKUP(A20,Enforcements!$C$7:$K$18,8,0)</f>
        <v>#N/A</v>
      </c>
      <c r="AC20" s="57" t="e">
        <f>VLOOKUP(A20,Enforcements!$C$7:$E$18,3,0)</f>
        <v>#N/A</v>
      </c>
      <c r="AD20" s="58" t="str">
        <f t="shared" si="10"/>
        <v>0108-05</v>
      </c>
      <c r="AE20" s="87" t="str">
        <f t="shared" si="1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20" s="84" t="str">
        <f t="shared" si="12"/>
        <v>"C:\Program Files (x86)\AstroGrep\AstroGrep.exe" /spath="%USERPROFILE%\AppData\Local\Temp\OnboardLogs" /stypes="app*4021*20170105*"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8" t="str">
        <f t="shared" si="17"/>
        <v>"%USERPROFILE%\Documents\GitHub\eaglep3\Utilities\RefineRTDCRunTimes.py" --tripid 108-05 --locoid 4021 --swversion DE.1.0.8.0 --startMP 204:232687 --initTime 2017-01-05T05:30:18 --startdatetime 2017-01-05T05:33:12 --delay 1 --endMP 204:152 --enddatetime 2017-01-05T06:16:34 --enforcementcount 0 &gt;&gt;C:\Users\stu\Documents\GitHub\eaglep3-reporting\EC\2017-01-05-refined-times.txt</v>
      </c>
      <c r="AI20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{"issue":{"subject":"","project_id":79,"tracker_id":40,"status_id":1,"priority_id":2,"assigned_to_id":23,"start_date":"2017-01-05","description":"","custom_fields":[{"id":1,"name":"Subdivision","value":"EC"},{"id":4,"name":"Milepost","value":"0.0152"},{"id":17,"name":"Train ID","value":"108-05"},{"id":16,"name":"Locomotive ID","value":"4021"},{"id":130,"name":"Impact","value":""},{"id":150,"name":"Time of Event (Mountain Time)","value":"06:16:34"},{"id":151,"name":"Denver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19"/>
        <v>start /low /b %USERPROFILE%\Documents\GitHub\eaglep3\Utilities\DownloadLogsFromS3.py --loco 4021 --day 2017-01-05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504</v>
      </c>
      <c r="B21" s="7">
        <v>4011</v>
      </c>
      <c r="C21" s="22" t="s">
        <v>203</v>
      </c>
      <c r="D21" s="22" t="s">
        <v>374</v>
      </c>
      <c r="E21" s="13">
        <v>42740.193888888891</v>
      </c>
      <c r="F21" s="13">
        <v>42740.198182870372</v>
      </c>
      <c r="G21" s="7">
        <v>2</v>
      </c>
      <c r="H21" s="22" t="s">
        <v>368</v>
      </c>
      <c r="I21" s="13">
        <v>42740.227037037039</v>
      </c>
      <c r="J21" s="7">
        <v>0</v>
      </c>
      <c r="K21" s="105" t="str">
        <f t="shared" si="0"/>
        <v>4011/4012</v>
      </c>
      <c r="L21" s="22" t="str">
        <f>VLOOKUP(A21,'Trips&amp;Operators'!$C$1:$G$99999,5,FALSE)</f>
        <v>YANG JAN</v>
      </c>
      <c r="M21" s="6">
        <f t="shared" si="1"/>
        <v>2.8854166666860692E-2</v>
      </c>
      <c r="N21" s="7">
        <f t="shared" si="2"/>
        <v>41.550000000279397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03:39:12-700',mode:absolute,to:'2017-01-05 06:26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" s="49" t="str">
        <f t="shared" si="6"/>
        <v>N</v>
      </c>
      <c r="X21" s="173">
        <f t="shared" si="20"/>
        <v>1</v>
      </c>
      <c r="Y21" s="64">
        <f t="shared" si="7"/>
        <v>4.6600000000000003E-2</v>
      </c>
      <c r="Z21" s="64">
        <f t="shared" si="8"/>
        <v>23.331099999999999</v>
      </c>
      <c r="AA21" s="64">
        <f t="shared" si="9"/>
        <v>23.284499999999998</v>
      </c>
      <c r="AB21" s="61" t="e">
        <f>VLOOKUP(A21,Enforcements!$C$7:$K$18,8,0)</f>
        <v>#N/A</v>
      </c>
      <c r="AC21" s="57" t="e">
        <f>VLOOKUP(A21,Enforcements!$C$7:$E$18,3,0)</f>
        <v>#N/A</v>
      </c>
      <c r="AD21" s="58" t="str">
        <f t="shared" si="10"/>
        <v>0109-05</v>
      </c>
      <c r="AE21" s="87" t="str">
        <f t="shared" si="11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21" s="84" t="str">
        <f t="shared" si="12"/>
        <v>"C:\Program Files (x86)\AstroGrep\AstroGrep.exe" /spath="%USERPROFILE%\AppData\Local\Temp\OnboardLogs" /stypes="app*4011*20170105*"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8" t="str">
        <f t="shared" si="17"/>
        <v>"%USERPROFILE%\Documents\GitHub\eaglep3\Utilities\RefineRTDCRunTimes.py" --tripid 109-05 --locoid 4011 --swversion DE.1.0.8.0 --startMP 204:466 --initTime 2017-01-05T04:39:12 --startdatetime 2017-01-05T04:45:23 --delay 2 --endMP 204:233311 --enddatetime 2017-01-05T05:26:56 --enforcementcount 0 &gt;&gt;C:\Users\stu\Documents\GitHub\eaglep3-reporting\EC\2017-01-05-refined-times.txt</v>
      </c>
      <c r="AI21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{"issue":{"subject":"","project_id":79,"tracker_id":40,"status_id":1,"priority_id":2,"assigned_to_id":23,"start_date":"2017-01-05","description":"","custom_fields":[{"id":1,"name":"Subdivision","value":"EC"},{"id":4,"name":"Milepost","value":"23.3311"},{"id":17,"name":"Train ID","value":"109-05"},{"id":16,"name":"Locomotive ID","value":"4011"},{"id":130,"name":"Impact","value":""},{"id":150,"name":"Time of Event (Mountain Time)","value":"05:26:56"},{"id":151,"name":"Denver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19"/>
        <v>start /low /b %USERPROFILE%\Documents\GitHub\eaglep3\Utilities\DownloadLogsFromS3.py --loco 4011 --day 2017-01-05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515</v>
      </c>
      <c r="B22" s="7">
        <v>4012</v>
      </c>
      <c r="C22" s="22" t="s">
        <v>203</v>
      </c>
      <c r="D22" s="22" t="s">
        <v>423</v>
      </c>
      <c r="E22" s="13">
        <v>42740.235162037039</v>
      </c>
      <c r="F22" s="13">
        <v>42740.237361111111</v>
      </c>
      <c r="G22" s="7">
        <v>1</v>
      </c>
      <c r="H22" s="22" t="s">
        <v>293</v>
      </c>
      <c r="I22" s="13">
        <v>42740.269583333335</v>
      </c>
      <c r="J22" s="7">
        <v>0</v>
      </c>
      <c r="K22" s="105" t="str">
        <f t="shared" si="0"/>
        <v>4011/4012</v>
      </c>
      <c r="L22" s="22" t="str">
        <f>VLOOKUP(A22,'Trips&amp;Operators'!$C$1:$G$99999,5,FALSE)</f>
        <v>YANG JAN</v>
      </c>
      <c r="M22" s="6">
        <f t="shared" si="1"/>
        <v>3.2222222223936114E-2</v>
      </c>
      <c r="N22" s="7">
        <f t="shared" si="2"/>
        <v>46.400000002468005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04:38:38-700',mode:absolute,to:'2017-01-05 07:28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" s="49" t="str">
        <f t="shared" si="6"/>
        <v>N</v>
      </c>
      <c r="X22" s="173">
        <f t="shared" si="20"/>
        <v>1</v>
      </c>
      <c r="Y22" s="64">
        <f t="shared" si="7"/>
        <v>23.2988</v>
      </c>
      <c r="Z22" s="64">
        <f t="shared" si="8"/>
        <v>1.5599999999999999E-2</v>
      </c>
      <c r="AA22" s="64">
        <f t="shared" si="9"/>
        <v>23.283200000000001</v>
      </c>
      <c r="AB22" s="61" t="e">
        <f>VLOOKUP(A22,Enforcements!$C$7:$K$18,8,0)</f>
        <v>#N/A</v>
      </c>
      <c r="AC22" s="57" t="e">
        <f>VLOOKUP(A22,Enforcements!$C$7:$E$18,3,0)</f>
        <v>#N/A</v>
      </c>
      <c r="AD22" s="58" t="str">
        <f t="shared" si="10"/>
        <v>0110-05</v>
      </c>
      <c r="AE22" s="87" t="str">
        <f t="shared" si="1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22" s="84" t="str">
        <f t="shared" si="12"/>
        <v>"C:\Program Files (x86)\AstroGrep\AstroGrep.exe" /spath="%USERPROFILE%\AppData\Local\Temp\OnboardLogs" /stypes="app*4012*20170105*"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8" t="str">
        <f t="shared" si="17"/>
        <v>"%USERPROFILE%\Documents\GitHub\eaglep3\Utilities\RefineRTDCRunTimes.py" --tripid 110-05 --locoid 4012 --swversion DE.1.0.8.0 --startMP 204:232988 --initTime 2017-01-05T05:38:38 --startdatetime 2017-01-05T05:41:48 --delay 1 --endMP 204:156 --enddatetime 2017-01-05T06:28:12 --enforcementcount 0 &gt;&gt;C:\Users\stu\Documents\GitHub\eaglep3-reporting\EC\2017-01-05-refined-times.txt</v>
      </c>
      <c r="AI22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{"issue":{"subject":"","project_id":79,"tracker_id":40,"status_id":1,"priority_id":2,"assigned_to_id":23,"start_date":"2017-01-05","description":"","custom_fields":[{"id":1,"name":"Subdivision","value":"EC"},{"id":4,"name":"Milepost","value":"0.0156"},{"id":17,"name":"Train ID","value":"110-05"},{"id":16,"name":"Locomotive ID","value":"4012"},{"id":130,"name":"Impact","value":""},{"id":150,"name":"Time of Event (Mountain Time)","value":"06:28:12"},{"id":151,"name":"Denver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19"/>
        <v>start /low /b %USERPROFILE%\Documents\GitHub\eaglep3\Utilities\DownloadLogsFromS3.py --loco 4012 --day 2017-01-05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511</v>
      </c>
      <c r="B23" s="7">
        <v>4007</v>
      </c>
      <c r="C23" s="22" t="s">
        <v>203</v>
      </c>
      <c r="D23" s="22" t="s">
        <v>709</v>
      </c>
      <c r="E23" s="13">
        <v>42740.216574074075</v>
      </c>
      <c r="F23" s="13">
        <v>42740.220104166663</v>
      </c>
      <c r="G23" s="7">
        <v>4</v>
      </c>
      <c r="H23" s="22" t="s">
        <v>417</v>
      </c>
      <c r="I23" s="13">
        <v>42740.249212962961</v>
      </c>
      <c r="J23" s="7">
        <v>0</v>
      </c>
      <c r="K23" s="105" t="str">
        <f t="shared" si="0"/>
        <v>4007/4008</v>
      </c>
      <c r="L23" s="22" t="str">
        <f>VLOOKUP(A23,'Trips&amp;Operators'!$C$1:$G$99999,5,FALSE)</f>
        <v>YORK EDGAR</v>
      </c>
      <c r="M23" s="6">
        <f t="shared" si="1"/>
        <v>2.9108796297805384E-2</v>
      </c>
      <c r="N23" s="7">
        <f t="shared" ref="N23:N28" si="21">24*60*SUM($M23:$M23)</f>
        <v>41.916666668839753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04:11:52-700',mode:absolute,to:'2017-01-05 06:58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" s="49" t="str">
        <f t="shared" si="6"/>
        <v>N</v>
      </c>
      <c r="X23" s="173" t="e">
        <f>VALUE(LEFT(AD23,4))-VALUE(LEFT(#REF!,4))</f>
        <v>#REF!</v>
      </c>
      <c r="Y23" s="64">
        <f t="shared" si="7"/>
        <v>7.46E-2</v>
      </c>
      <c r="Z23" s="64">
        <f t="shared" si="8"/>
        <v>23.3291</v>
      </c>
      <c r="AA23" s="64">
        <f t="shared" si="9"/>
        <v>23.2545</v>
      </c>
      <c r="AB23" s="61" t="e">
        <f>VLOOKUP(A23,Enforcements!$C$7:$K$18,8,0)</f>
        <v>#N/A</v>
      </c>
      <c r="AC23" s="57" t="e">
        <f>VLOOKUP(A23,Enforcements!$C$7:$E$18,3,0)</f>
        <v>#N/A</v>
      </c>
      <c r="AD23" s="58" t="str">
        <f t="shared" si="10"/>
        <v>0113-05</v>
      </c>
      <c r="AE23" s="87" t="str">
        <f t="shared" si="11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23" s="84" t="str">
        <f t="shared" si="12"/>
        <v>"C:\Program Files (x86)\AstroGrep\AstroGrep.exe" /spath="%USERPROFILE%\AppData\Local\Temp\OnboardLogs" /stypes="app*4007*20170105*"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88" t="str">
        <f t="shared" si="17"/>
        <v>"%USERPROFILE%\Documents\GitHub\eaglep3\Utilities\RefineRTDCRunTimes.py" --tripid 113-05 --locoid 4007 --swversion DE.1.0.8.0 --startMP 204:746 --initTime 2017-01-05T05:11:52 --startdatetime 2017-01-05T05:16:57 --delay 4 --endMP 204:233291 --enddatetime 2017-01-05T05:58:52 --enforcementcount 0 &gt;&gt;C:\Users\stu\Documents\GitHub\eaglep3-reporting\EC\2017-01-05-refined-times.txt</v>
      </c>
      <c r="AI23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{"issue":{"subject":"","project_id":79,"tracker_id":40,"status_id":1,"priority_id":2,"assigned_to_id":23,"start_date":"2017-01-05","description":"","custom_fields":[{"id":1,"name":"Subdivision","value":"EC"},{"id":4,"name":"Milepost","value":"23.3291"},{"id":17,"name":"Train ID","value":"113-05"},{"id":16,"name":"Locomotive ID","value":"4007"},{"id":130,"name":"Impact","value":""},{"id":150,"name":"Time of Event (Mountain Time)","value":"05:58:52"},{"id":151,"name":"Denver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19"/>
        <v>start /low /b %USERPROFILE%\Documents\GitHub\eaglep3\Utilities\DownloadLogsFromS3.py --loco 4007 --day 2017-01-05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521</v>
      </c>
      <c r="B24" s="7">
        <v>4008</v>
      </c>
      <c r="C24" s="22" t="s">
        <v>203</v>
      </c>
      <c r="D24" s="22" t="s">
        <v>291</v>
      </c>
      <c r="E24" s="13">
        <v>42740.251770833333</v>
      </c>
      <c r="F24" s="13">
        <v>42740.258101851854</v>
      </c>
      <c r="G24" s="7">
        <v>3</v>
      </c>
      <c r="H24" s="22" t="s">
        <v>191</v>
      </c>
      <c r="I24" s="13">
        <v>42740.286724537036</v>
      </c>
      <c r="J24" s="7">
        <v>0</v>
      </c>
      <c r="K24" s="105" t="str">
        <f t="shared" si="0"/>
        <v>4007/4008</v>
      </c>
      <c r="L24" s="22" t="str">
        <f>VLOOKUP(A24,'Trips&amp;Operators'!$C$1:$G$99999,5,FALSE)</f>
        <v>YORK EDGAR</v>
      </c>
      <c r="M24" s="6">
        <f t="shared" si="1"/>
        <v>2.8622685182199348E-2</v>
      </c>
      <c r="N24" s="7">
        <f t="shared" si="21"/>
        <v>41.216666662367061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05:02:33-700',mode:absolute,to:'2017-01-05 07:52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4" s="49" t="str">
        <f t="shared" si="6"/>
        <v>N</v>
      </c>
      <c r="X24" s="173">
        <f t="shared" si="20"/>
        <v>1</v>
      </c>
      <c r="Y24" s="64">
        <f t="shared" si="7"/>
        <v>23.2971</v>
      </c>
      <c r="Z24" s="64">
        <f t="shared" si="8"/>
        <v>1.49E-2</v>
      </c>
      <c r="AA24" s="64">
        <f t="shared" si="9"/>
        <v>23.2822</v>
      </c>
      <c r="AB24" s="61" t="e">
        <f>VLOOKUP(A24,Enforcements!$C$7:$K$18,8,0)</f>
        <v>#N/A</v>
      </c>
      <c r="AC24" s="57" t="e">
        <f>VLOOKUP(A24,Enforcements!$C$7:$E$18,3,0)</f>
        <v>#N/A</v>
      </c>
      <c r="AD24" s="58" t="str">
        <f t="shared" si="10"/>
        <v>0114-05</v>
      </c>
      <c r="AE24" s="87" t="str">
        <f t="shared" si="11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24" s="84" t="str">
        <f t="shared" si="12"/>
        <v>"C:\Program Files (x86)\AstroGrep\AstroGrep.exe" /spath="%USERPROFILE%\AppData\Local\Temp\OnboardLogs" /stypes="app*4008*20170105*"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88" t="str">
        <f t="shared" si="17"/>
        <v>"%USERPROFILE%\Documents\GitHub\eaglep3\Utilities\RefineRTDCRunTimes.py" --tripid 114-05 --locoid 4008 --swversion DE.1.0.8.0 --startMP 204:232971 --initTime 2017-01-05T06:02:33 --startdatetime 2017-01-05T06:11:40 --delay 3 --endMP 204:149 --enddatetime 2017-01-05T06:52:53 --enforcementcount 0 &gt;&gt;C:\Users\stu\Documents\GitHub\eaglep3-reporting\EC\2017-01-05-refined-times.txt</v>
      </c>
      <c r="AI24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{"issue":{"subject":"","project_id":79,"tracker_id":40,"status_id":1,"priority_id":2,"assigned_to_id":23,"start_date":"2017-01-05","description":"","custom_fields":[{"id":1,"name":"Subdivision","value":"EC"},{"id":4,"name":"Milepost","value":"0.0149"},{"id":17,"name":"Train ID","value":"114-05"},{"id":16,"name":"Locomotive ID","value":"4008"},{"id":130,"name":"Impact","value":""},{"id":150,"name":"Time of Event (Mountain Time)","value":"06:52:53"},{"id":151,"name":"Denver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19"/>
        <v>start /low /b %USERPROFILE%\Documents\GitHub\eaglep3\Utilities\DownloadLogsFromS3.py --loco 4008 --day 2017-01-05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513</v>
      </c>
      <c r="B25" s="7">
        <v>4014</v>
      </c>
      <c r="C25" s="22" t="s">
        <v>203</v>
      </c>
      <c r="D25" s="22" t="s">
        <v>194</v>
      </c>
      <c r="E25" s="13">
        <v>42740.223032407404</v>
      </c>
      <c r="F25" s="13">
        <v>42740.22934027778</v>
      </c>
      <c r="G25" s="7">
        <v>1</v>
      </c>
      <c r="H25" s="22" t="s">
        <v>278</v>
      </c>
      <c r="I25" s="13">
        <v>42740.262337962966</v>
      </c>
      <c r="J25" s="7">
        <v>0</v>
      </c>
      <c r="K25" s="105" t="str">
        <f t="shared" si="0"/>
        <v>4013/4014</v>
      </c>
      <c r="L25" s="22" t="str">
        <f>VLOOKUP(A25,'Trips&amp;Operators'!$C$1:$G$99999,5,FALSE)</f>
        <v>ISHMAEL JOSEPH</v>
      </c>
      <c r="M25" s="6">
        <f t="shared" si="1"/>
        <v>3.2997685186273884E-2</v>
      </c>
      <c r="N25" s="7">
        <f t="shared" si="21"/>
        <v>47.516666668234393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04:21:10-700',mode:absolute,to:'2017-01-05 07:17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5" s="49" t="str">
        <f t="shared" si="6"/>
        <v>N</v>
      </c>
      <c r="X25" s="173">
        <f>VALUE(LEFT(AD25,4))-VALUE(LEFT(AD24,4))</f>
        <v>1</v>
      </c>
      <c r="Y25" s="64">
        <f t="shared" si="7"/>
        <v>4.5100000000000001E-2</v>
      </c>
      <c r="Z25" s="64">
        <f t="shared" si="8"/>
        <v>23.331199999999999</v>
      </c>
      <c r="AA25" s="64">
        <f t="shared" si="9"/>
        <v>23.286099999999998</v>
      </c>
      <c r="AB25" s="61" t="e">
        <f>VLOOKUP(A25,Enforcements!$C$7:$K$18,8,0)</f>
        <v>#N/A</v>
      </c>
      <c r="AC25" s="57" t="e">
        <f>VLOOKUP(A25,Enforcements!$C$7:$E$18,3,0)</f>
        <v>#N/A</v>
      </c>
      <c r="AD25" s="58" t="str">
        <f t="shared" si="10"/>
        <v>0115-05</v>
      </c>
      <c r="AE25" s="87" t="str">
        <f t="shared" si="11"/>
        <v>aws s3 cp s3://rtdc.mdm.uploadarchive.raw/RTDC4014/ "%USERPROFILE%\AppData\Local\Temp\OnboardLogs"\RTDC4014\2017-01-05 --exclude "*" --recursive --include "*20170105*" &amp; "%USERPROFILE%\Documents\GitHub\mrs-test-scripts\Headless Mode &amp; Sideloading\WalkAndUnGZ.bat" "%USERPROFILE%\AppData\Local\Temp\OnboardLogs"\RTDC4014\2017-01-05 &amp; 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</v>
      </c>
      <c r="AF25" s="84" t="str">
        <f t="shared" si="12"/>
        <v>"C:\Program Files (x86)\AstroGrep\AstroGrep.exe" /spath="%USERPROFILE%\AppData\Local\Temp\OnboardLogs" /stypes="app*4014*20170105*" /stext=" 13:.+((SYSTEM_STATE.+slice.+state.+changed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88" t="str">
        <f t="shared" si="17"/>
        <v>"%USERPROFILE%\Documents\GitHub\eaglep3\Utilities\RefineRTDCRunTimes.py" --tripid 115-05 --locoid 4014 --swversion DE.1.0.8.0 --startMP 204:451 --initTime 2017-01-05T05:21:10 --startdatetime 2017-01-05T05:30:15 --delay 1 --endMP 204:233312 --enddatetime 2017-01-05T06:17:46 --enforcementcount 0 &gt;&gt;C:\Users\stu\Documents\GitHub\eaglep3-reporting\EC\2017-01-05-refined-times.txt</v>
      </c>
      <c r="AI25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{"issue":{"subject":"","project_id":79,"tracker_id":40,"status_id":1,"priority_id":2,"assigned_to_id":23,"start_date":"2017-01-05","description":"","custom_fields":[{"id":1,"name":"Subdivision","value":"EC"},{"id":4,"name":"Milepost","value":"23.3312"},{"id":17,"name":"Train ID","value":"115-05"},{"id":16,"name":"Locomotive ID","value":"4014"},{"id":130,"name":"Impact","value":""},{"id":150,"name":"Time of Event (Mountain Time)","value":"06:17:46"},{"id":151,"name":"Denver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19"/>
        <v>start /low /b %USERPROFILE%\Documents\GitHub\eaglep3\Utilities\DownloadLogsFromS3.py --loco 4014 --day 2017-01-05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466</v>
      </c>
      <c r="B26" s="7">
        <v>4013</v>
      </c>
      <c r="C26" s="22" t="s">
        <v>203</v>
      </c>
      <c r="D26" s="22" t="s">
        <v>339</v>
      </c>
      <c r="E26" s="13">
        <v>42740.263680555552</v>
      </c>
      <c r="F26" s="13">
        <v>42740.269421296296</v>
      </c>
      <c r="G26" s="7">
        <v>1</v>
      </c>
      <c r="H26" s="22" t="s">
        <v>710</v>
      </c>
      <c r="I26" s="13">
        <v>42740.301134259258</v>
      </c>
      <c r="J26" s="7">
        <v>0</v>
      </c>
      <c r="K26" s="105" t="str">
        <f t="shared" si="0"/>
        <v>4013/4014</v>
      </c>
      <c r="L26" s="22" t="str">
        <f>VLOOKUP(A26,'Trips&amp;Operators'!$C$1:$G$99999,5,FALSE)</f>
        <v>ISHMAEL JOSEPH</v>
      </c>
      <c r="M26" s="6">
        <f t="shared" si="1"/>
        <v>3.1712962962046731E-2</v>
      </c>
      <c r="N26" s="7">
        <f t="shared" si="21"/>
        <v>45.666666665347293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05:19:42-700',mode:absolute,to:'2017-01-05 08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6" s="49" t="str">
        <f t="shared" si="6"/>
        <v>N</v>
      </c>
      <c r="X26" s="173">
        <f>VALUE(LEFT(AD26,4))-VALUE(LEFT(AD25,4))</f>
        <v>1</v>
      </c>
      <c r="Y26" s="64">
        <f t="shared" si="7"/>
        <v>23.299199999999999</v>
      </c>
      <c r="Z26" s="64">
        <f t="shared" si="8"/>
        <v>8.77E-2</v>
      </c>
      <c r="AA26" s="64">
        <f t="shared" si="9"/>
        <v>23.211499999999997</v>
      </c>
      <c r="AB26" s="61" t="e">
        <f>VLOOKUP(A26,Enforcements!$C$7:$K$18,8,0)</f>
        <v>#N/A</v>
      </c>
      <c r="AC26" s="57" t="e">
        <f>VLOOKUP(A26,Enforcements!$C$7:$E$18,3,0)</f>
        <v>#N/A</v>
      </c>
      <c r="AD26" s="58" t="str">
        <f t="shared" si="10"/>
        <v>0116-05</v>
      </c>
      <c r="AE26" s="87" t="str">
        <f t="shared" si="11"/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AF26" s="84" t="str">
        <f t="shared" si="12"/>
        <v>"C:\Program Files (x86)\AstroGrep\AstroGrep.exe" /spath="%USERPROFILE%\AppData\Local\Temp\OnboardLogs" /stypes="app*4013*20170105*" /stext=" 14:.+((SYSTEM_STATE.+slice.+state.+changed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88" t="str">
        <f t="shared" si="17"/>
        <v>"%USERPROFILE%\Documents\GitHub\eaglep3\Utilities\RefineRTDCRunTimes.py" --tripid 116-05 --locoid 4013 --swversion DE.1.0.8.0 --startMP 204:232992 --initTime 2017-01-05T06:19:42 --startdatetime 2017-01-05T06:27:58 --delay 1 --endMP 204:877 --enddatetime 2017-01-05T07:13:38 --enforcementcount 0 &gt;&gt;C:\Users\stu\Documents\GitHub\eaglep3-reporting\EC\2017-01-05-refined-times.txt</v>
      </c>
      <c r="AI26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{"issue":{"subject":"","project_id":79,"tracker_id":40,"status_id":1,"priority_id":2,"assigned_to_id":23,"start_date":"2017-01-05","description":"","custom_fields":[{"id":1,"name":"Subdivision","value":"EC"},{"id":4,"name":"Milepost","value":"0.0877"},{"id":17,"name":"Train ID","value":"116-05"},{"id":16,"name":"Locomotive ID","value":"4013"},{"id":130,"name":"Impact","value":""},{"id":150,"name":"Time of Event (Mountain Time)","value":"07:13:38"},{"id":151,"name":"Denver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19"/>
        <v>start /low /b %USERPROFILE%\Documents\GitHub\eaglep3\Utilities\DownloadLogsFromS3.py --loco 4013 --day 2017-01-05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465</v>
      </c>
      <c r="B27" s="7">
        <v>4009</v>
      </c>
      <c r="C27" s="22" t="s">
        <v>203</v>
      </c>
      <c r="D27" s="22" t="s">
        <v>711</v>
      </c>
      <c r="E27" s="13">
        <v>42740.232731481483</v>
      </c>
      <c r="F27" s="13">
        <v>42740.239861111113</v>
      </c>
      <c r="G27" s="7">
        <v>2</v>
      </c>
      <c r="H27" s="22" t="s">
        <v>321</v>
      </c>
      <c r="I27" s="13">
        <v>42740.269456018519</v>
      </c>
      <c r="J27" s="7">
        <v>0</v>
      </c>
      <c r="K27" s="105" t="str">
        <f t="shared" si="0"/>
        <v>4009/4010</v>
      </c>
      <c r="L27" s="22" t="str">
        <f>VLOOKUP(A27,'Trips&amp;Operators'!$C$1:$G$99999,5,FALSE)</f>
        <v>SANTIZO D. EDY</v>
      </c>
      <c r="M27" s="6">
        <f t="shared" si="1"/>
        <v>2.9594907406135462E-2</v>
      </c>
      <c r="N27" s="7">
        <f t="shared" si="21"/>
        <v>42.616666664835066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04:35:08-700',mode:absolute,to:'2017-01-05 07:28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7" s="49" t="str">
        <f t="shared" si="6"/>
        <v>N</v>
      </c>
      <c r="X27" s="173">
        <f>VALUE(LEFT(AD27,4))-VALUE(LEFT(AD26,4))</f>
        <v>1</v>
      </c>
      <c r="Y27" s="64">
        <f t="shared" si="7"/>
        <v>7.4099999999999999E-2</v>
      </c>
      <c r="Z27" s="64">
        <f t="shared" si="8"/>
        <v>23.298300000000001</v>
      </c>
      <c r="AA27" s="64">
        <f t="shared" si="9"/>
        <v>23.2242</v>
      </c>
      <c r="AB27" s="61" t="str">
        <f>VLOOKUP(A27,Enforcements!$C$7:$K$18,8,0)</f>
        <v>Signal based authority (5)</v>
      </c>
      <c r="AC27" s="57" t="str">
        <f>VLOOKUP(A27,Enforcements!$C$7:$E$18,3,0)</f>
        <v>SIGNAL</v>
      </c>
      <c r="AD27" s="58" t="str">
        <f t="shared" si="10"/>
        <v>0117-05</v>
      </c>
      <c r="AE27" s="87" t="str">
        <f t="shared" si="11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27" s="84" t="str">
        <f t="shared" si="12"/>
        <v>"C:\Program Files (x86)\AstroGrep\AstroGrep.exe" /spath="%USERPROFILE%\AppData\Local\Temp\OnboardLogs" /stypes="app*4009*20170105*"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88" t="str">
        <f t="shared" si="17"/>
        <v>"%USERPROFILE%\Documents\GitHub\eaglep3\Utilities\RefineRTDCRunTimes.py" --tripid 117-05 --locoid 4009 --swversion DE.1.0.8.0 --startMP 204:741 --initTime 2017-01-05T05:35:08 --startdatetime 2017-01-05T05:45:24 --delay 2 --endMP 204:232983 --enddatetime 2017-01-05T06:28:01 --enforcementcount 0 &gt;&gt;C:\Users\stu\Documents\GitHub\eaglep3-reporting\EC\2017-01-05-refined-times.txt</v>
      </c>
      <c r="AI27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{"issue":{"subject":"","project_id":79,"tracker_id":40,"status_id":1,"priority_id":2,"assigned_to_id":23,"start_date":"2017-01-05","description":"","custom_fields":[{"id":1,"name":"Subdivision","value":"EC"},{"id":4,"name":"Milepost","value":"23.2983"},{"id":17,"name":"Train ID","value":"117-05"},{"id":16,"name":"Locomotive ID","value":"4009"},{"id":130,"name":"Impact","value":""},{"id":150,"name":"Time of Event (Mountain Time)","value":"06:28:01"},{"id":151,"name":"Denver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19"/>
        <v>start /low /b %USERPROFILE%\Documents\GitHub\eaglep3\Utilities\DownloadLogsFromS3.py --loco 4009 --day 2017-01-05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527</v>
      </c>
      <c r="B28" s="7">
        <v>4010</v>
      </c>
      <c r="C28" s="22" t="s">
        <v>203</v>
      </c>
      <c r="D28" s="22" t="s">
        <v>712</v>
      </c>
      <c r="E28" s="13">
        <v>42740.275717592594</v>
      </c>
      <c r="F28" s="13">
        <v>42740.279027777775</v>
      </c>
      <c r="G28" s="7">
        <v>1</v>
      </c>
      <c r="H28" s="22" t="s">
        <v>288</v>
      </c>
      <c r="I28" s="13">
        <v>42740.30804398148</v>
      </c>
      <c r="J28" s="7">
        <v>0</v>
      </c>
      <c r="K28" s="105" t="str">
        <f t="shared" si="0"/>
        <v>4009/4010</v>
      </c>
      <c r="L28" s="22" t="str">
        <f>VLOOKUP(A28,'Trips&amp;Operators'!$C$1:$G$99999,5,FALSE)</f>
        <v>SANTIZO D. EDY</v>
      </c>
      <c r="M28" s="6">
        <f t="shared" si="1"/>
        <v>2.9016203705396038E-2</v>
      </c>
      <c r="N28" s="7">
        <f t="shared" si="21"/>
        <v>41.783333335770294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05:37:02-700',mode:absolute,to:'2017-01-05 08:23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8" s="49" t="str">
        <f t="shared" si="6"/>
        <v>N</v>
      </c>
      <c r="X28" s="173">
        <f>VALUE(LEFT(AD28,4))-VALUE(LEFT(AD27,4))</f>
        <v>1</v>
      </c>
      <c r="Y28" s="64">
        <f t="shared" si="7"/>
        <v>23.266999999999999</v>
      </c>
      <c r="Z28" s="64">
        <f t="shared" si="8"/>
        <v>1.41E-2</v>
      </c>
      <c r="AA28" s="64">
        <f t="shared" si="9"/>
        <v>23.2529</v>
      </c>
      <c r="AB28" s="61" t="e">
        <f>VLOOKUP(A28,Enforcements!$C$7:$K$18,8,0)</f>
        <v>#N/A</v>
      </c>
      <c r="AC28" s="57" t="e">
        <f>VLOOKUP(A28,Enforcements!$C$7:$E$18,3,0)</f>
        <v>#N/A</v>
      </c>
      <c r="AD28" s="58" t="str">
        <f t="shared" si="10"/>
        <v>0118-05</v>
      </c>
      <c r="AE28" s="87" t="str">
        <f t="shared" si="11"/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AF28" s="84" t="str">
        <f t="shared" si="12"/>
        <v>"C:\Program Files (x86)\AstroGrep\AstroGrep.exe" /spath="%USERPROFILE%\AppData\Local\Temp\OnboardLogs" /stypes="app*4010*20170105*" /stext=" 14:.+((SYSTEM_STATE.+slice.+state.+changed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88" t="str">
        <f t="shared" si="17"/>
        <v>"%USERPROFILE%\Documents\GitHub\eaglep3\Utilities\RefineRTDCRunTimes.py" --tripid 118-05 --locoid 4010 --swversion DE.1.0.8.0 --startMP 204:232670 --initTime 2017-01-05T06:37:02 --startdatetime 2017-01-05T06:41:48 --delay 1 --endMP 204:141 --enddatetime 2017-01-05T07:23:35 --enforcementcount 0 &gt;&gt;C:\Users\stu\Documents\GitHub\eaglep3-reporting\EC\2017-01-05-refined-times.txt</v>
      </c>
      <c r="AI28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{"issue":{"subject":"","project_id":79,"tracker_id":40,"status_id":1,"priority_id":2,"assigned_to_id":23,"start_date":"2017-01-05","description":"","custom_fields":[{"id":1,"name":"Subdivision","value":"EC"},{"id":4,"name":"Milepost","value":"0.0141"},{"id":17,"name":"Train ID","value":"118-05"},{"id":16,"name":"Locomotive ID","value":"4010"},{"id":130,"name":"Impact","value":""},{"id":150,"name":"Time of Event (Mountain Time)","value":"07:23:35"},{"id":151,"name":"Denver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19"/>
        <v>start /low /b %USERPROFILE%\Documents\GitHub\eaglep3\Utilities\DownloadLogsFromS3.py --loco 4010 --day 2017-01-05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905</v>
      </c>
      <c r="B29" s="7">
        <v>4046</v>
      </c>
      <c r="C29" s="22" t="s">
        <v>203</v>
      </c>
      <c r="D29" s="22" t="s">
        <v>712</v>
      </c>
      <c r="E29" s="13">
        <v>42740.275717592594</v>
      </c>
      <c r="F29" s="13"/>
      <c r="G29" s="7">
        <v>1</v>
      </c>
      <c r="H29" s="22" t="s">
        <v>288</v>
      </c>
      <c r="I29" s="13"/>
      <c r="J29" s="7">
        <v>0</v>
      </c>
      <c r="K29" s="105" t="str">
        <f t="shared" si="0"/>
        <v>4045/4046</v>
      </c>
      <c r="L29" s="22" t="e">
        <f>VLOOKUP(A29,'Trips&amp;Operators'!$C$1:$G$99999,5,FALSE)</f>
        <v>#N/A</v>
      </c>
      <c r="M29" s="6">
        <f t="shared" si="1"/>
        <v>0</v>
      </c>
      <c r="N29" s="7"/>
      <c r="O29" s="7"/>
      <c r="P29" s="7">
        <v>1</v>
      </c>
      <c r="Q29" s="23"/>
      <c r="R29" s="23" t="s">
        <v>906</v>
      </c>
      <c r="S29" s="32">
        <f t="shared" si="3"/>
        <v>0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05:37:02-700',mode:absolute,to:'1900-01-00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9" s="49" t="str">
        <f t="shared" si="6"/>
        <v>N</v>
      </c>
      <c r="X29" s="173">
        <f>VALUE(LEFT(AD29,4))-VALUE(LEFT(AD28,4))</f>
        <v>1</v>
      </c>
      <c r="Y29" s="64">
        <f t="shared" si="7"/>
        <v>23.266999999999999</v>
      </c>
      <c r="Z29" s="64">
        <f t="shared" si="8"/>
        <v>1.41E-2</v>
      </c>
      <c r="AA29" s="64">
        <f t="shared" si="9"/>
        <v>23.2529</v>
      </c>
      <c r="AB29" s="61" t="e">
        <f>VLOOKUP(A29,Enforcements!$C$7:$K$18,8,0)</f>
        <v>#N/A</v>
      </c>
      <c r="AC29" s="57" t="e">
        <f>VLOOKUP(A29,Enforcements!$C$7:$E$18,3,0)</f>
        <v>#N/A</v>
      </c>
      <c r="AD29" s="58" t="str">
        <f t="shared" si="10"/>
        <v>0119-05</v>
      </c>
      <c r="AE29" s="87" t="str">
        <f t="shared" si="11"/>
        <v>aws s3 cp s3://rtdc.mdm.uploadarchive.raw/RTDC4046/ "%USERPROFILE%\AppData\Local\Temp\OnboardLogs"\RTDC4046\1900-01-00 --exclude "*" --recursive --include "*19000100*" &amp; "%USERPROFILE%\Documents\GitHub\mrs-test-scripts\Headless Mode &amp; Sideloading\WalkAndUnGZ.bat" "%USERPROFILE%\AppData\Local\Temp\OnboardLogs"\RTDC4046\1900-01-00 &amp; aws s3 cp s3://rtdc.mdm.uploadarchive.raw/RTDC4046/ "%USERPROFILE%\AppData\Local\Temp\OnboardLogs"\RTDC4046\1900-01-01 --exclude "*" --recursive --include "*19000101*" &amp; "%USERPROFILE%\Documents\GitHub\mrs-test-scripts\Headless Mode &amp; Sideloading\WalkAndUnGZ.bat" "%USERPROFILE%\AppData\Local\Temp\OnboardLogs"\RTDC4046\1900-01-01</v>
      </c>
      <c r="AF29" s="84" t="str">
        <f t="shared" si="12"/>
        <v>"C:\Program Files (x86)\AstroGrep\AstroGrep.exe" /spath="%USERPROFILE%\AppData\Local\Temp\OnboardLogs" /stypes="app*4046*19000100*" /stext=" 07:.+((SYSTEM_STATE.+slice.+state.+changed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88" t="str">
        <f t="shared" ref="AH29" si="22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119-05 --locoid 4046 --swversion DE.1.0.8.0 --startMP 204:232670 --initTime 2017-01-05T06:37:02 --startdatetime 1900-01-00T00:00:00 --delay 1 --endMP 204:141 --enddatetime 1900-01-00T00:00:00 --enforcementcount 0 &gt;&gt;C:\Users\stu\Documents\GitHub\eaglep3-reporting\EC\2017-01-05-refined-times.txt</v>
      </c>
      <c r="AI29" s="115" t="str">
        <f t="shared" ref="AI29" si="23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{"issue":{"subject":"Mechanical - dynamic brake issues","project_id":79,"tracker_id":40,"status_id":1,"priority_id":2,"assigned_to_id":23,"start_date":"1900-01-00","description":"","custom_fields":[{"id":1,"name":"Subdivision","value":"EC"},{"id":4,"name":"Milepost","value":"0.0141"},{"id":17,"name":"Train ID","value":"119-05"},{"id":16,"name":"Locomotive ID","value":"4046"},{"id":130,"name":"Impact","value":""},{"id":150,"name":"Time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ref="AM29" si="24">"start /low /b "&amp;dls3logs&amp;" --loco "&amp;B29&amp;" --day "&amp;TEXT(F29,"YYYY-MM-DD")</f>
        <v>start /low /b %USERPROFILE%\Documents\GitHub\eaglep3\Utilities\DownloadLogsFromS3.py --loco 4046 --day 1900-01-00</v>
      </c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</row>
    <row r="30" spans="1:91" s="1" customFormat="1" x14ac:dyDescent="0.25">
      <c r="A30" s="34" t="s">
        <v>530</v>
      </c>
      <c r="B30" s="7">
        <v>4045</v>
      </c>
      <c r="C30" s="22" t="s">
        <v>203</v>
      </c>
      <c r="D30" s="22" t="s">
        <v>713</v>
      </c>
      <c r="E30" s="13">
        <v>42740.282743055555</v>
      </c>
      <c r="F30" s="13">
        <v>42740.289537037039</v>
      </c>
      <c r="G30" s="7">
        <v>4</v>
      </c>
      <c r="H30" s="22" t="s">
        <v>229</v>
      </c>
      <c r="I30" s="13">
        <v>42740.317337962966</v>
      </c>
      <c r="J30" s="7">
        <v>0</v>
      </c>
      <c r="K30" s="105" t="str">
        <f t="shared" si="0"/>
        <v>4045/4046</v>
      </c>
      <c r="L30" s="22" t="str">
        <f>VLOOKUP(A30,'Trips&amp;Operators'!$C$1:$G$99999,5,FALSE)</f>
        <v>COOLAHAN JOHN</v>
      </c>
      <c r="M30" s="6">
        <f t="shared" si="1"/>
        <v>2.7800925927294884E-2</v>
      </c>
      <c r="N30" s="7">
        <f t="shared" ref="N30:N40" si="25">24*60*SUM($M30:$M30)</f>
        <v>40.033333335304633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05:47:09-700',mode:absolute,to:'2017-01-05 08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0" s="49" t="str">
        <f t="shared" si="6"/>
        <v>N</v>
      </c>
      <c r="X30" s="173">
        <f t="shared" ref="X30:X31" si="26">VALUE(LEFT(AD30,4))-VALUE(LEFT(AD29,4))</f>
        <v>1</v>
      </c>
      <c r="Y30" s="64">
        <f t="shared" si="7"/>
        <v>23.295200000000001</v>
      </c>
      <c r="Z30" s="64">
        <f t="shared" si="8"/>
        <v>1.4500000000000001E-2</v>
      </c>
      <c r="AA30" s="64">
        <f t="shared" si="9"/>
        <v>23.2807</v>
      </c>
      <c r="AB30" s="61" t="e">
        <f>VLOOKUP(A30,Enforcements!$C$7:$K$18,8,0)</f>
        <v>#N/A</v>
      </c>
      <c r="AC30" s="57" t="e">
        <f>VLOOKUP(A30,Enforcements!$C$7:$E$18,3,0)</f>
        <v>#N/A</v>
      </c>
      <c r="AD30" s="58" t="str">
        <f t="shared" si="10"/>
        <v>0120-05</v>
      </c>
      <c r="AE30" s="87" t="str">
        <f t="shared" si="11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30" s="84" t="str">
        <f t="shared" si="12"/>
        <v>"C:\Program Files (x86)\AstroGrep\AstroGrep.exe" /spath="%USERPROFILE%\AppData\Local\Temp\OnboardLogs" /stypes="app*4045*20170105*" /stext=" 14:.+((SYSTEM_STATE.+slice.+state.+changed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88" t="str">
        <f t="shared" si="17"/>
        <v>"%USERPROFILE%\Documents\GitHub\eaglep3\Utilities\RefineRTDCRunTimes.py" --tripid 120-05 --locoid 4045 --swversion DE.1.0.8.0 --startMP 204:232952 --initTime 2017-01-05T06:47:09 --startdatetime 2017-01-05T06:56:56 --delay 4 --endMP 204:145 --enddatetime 2017-01-05T07:36:58 --enforcementcount 0 &gt;&gt;C:\Users\stu\Documents\GitHub\eaglep3-reporting\EC\2017-01-05-refined-times.txt</v>
      </c>
      <c r="AI30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{"issue":{"subject":"","project_id":79,"tracker_id":40,"status_id":1,"priority_id":2,"assigned_to_id":23,"start_date":"2017-01-05","description":"","custom_fields":[{"id":1,"name":"Subdivision","value":"EC"},{"id":4,"name":"Milepost","value":"0.0145"},{"id":17,"name":"Train ID","value":"120-05"},{"id":16,"name":"Locomotive ID","value":"4045"},{"id":130,"name":"Impact","value":""},{"id":150,"name":"Time of Event (Mountain Time)","value":"07:36:58"},{"id":151,"name":"Denver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19"/>
        <v>start /low /b %USERPROFILE%\Documents\GitHub\eaglep3\Utilities\DownloadLogsFromS3.py --loco 4045 --day 2017-01-05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523</v>
      </c>
      <c r="B31" s="7">
        <v>4042</v>
      </c>
      <c r="C31" s="22" t="s">
        <v>203</v>
      </c>
      <c r="D31" s="22" t="s">
        <v>426</v>
      </c>
      <c r="E31" s="13">
        <v>42740.25681712963</v>
      </c>
      <c r="F31" s="13">
        <v>42740.260821759257</v>
      </c>
      <c r="G31" s="7">
        <v>1</v>
      </c>
      <c r="H31" s="22" t="s">
        <v>414</v>
      </c>
      <c r="I31" s="13">
        <v>42740.287766203706</v>
      </c>
      <c r="J31" s="7">
        <v>0</v>
      </c>
      <c r="K31" s="105" t="str">
        <f t="shared" si="0"/>
        <v>4041/4042</v>
      </c>
      <c r="L31" s="22" t="str">
        <f>VLOOKUP(A31,'Trips&amp;Operators'!$C$1:$G$99999,5,FALSE)</f>
        <v>COMELLA JUSTIN</v>
      </c>
      <c r="M31" s="6">
        <f t="shared" si="1"/>
        <v>2.694444444932742E-2</v>
      </c>
      <c r="N31" s="7">
        <f t="shared" si="25"/>
        <v>38.800000007031485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05:09:49-700',mode:absolute,to:'2017-01-05 07:54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49" t="str">
        <f t="shared" si="6"/>
        <v>N</v>
      </c>
      <c r="X31" s="173">
        <f t="shared" si="26"/>
        <v>1</v>
      </c>
      <c r="Y31" s="64">
        <f t="shared" si="7"/>
        <v>4.8399999999999999E-2</v>
      </c>
      <c r="Z31" s="64">
        <f t="shared" si="8"/>
        <v>23.2987</v>
      </c>
      <c r="AA31" s="64">
        <f t="shared" si="9"/>
        <v>23.250299999999999</v>
      </c>
      <c r="AB31" s="61" t="e">
        <f>VLOOKUP(A31,Enforcements!$C$7:$K$18,8,0)</f>
        <v>#N/A</v>
      </c>
      <c r="AC31" s="57" t="e">
        <f>VLOOKUP(A31,Enforcements!$C$7:$E$18,3,0)</f>
        <v>#N/A</v>
      </c>
      <c r="AD31" s="58" t="str">
        <f t="shared" si="10"/>
        <v>0121-05</v>
      </c>
      <c r="AE31" s="87" t="str">
        <f t="shared" si="11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31" s="84" t="str">
        <f t="shared" si="12"/>
        <v>"C:\Program Files (x86)\AstroGrep\AstroGrep.exe" /spath="%USERPROFILE%\AppData\Local\Temp\OnboardLogs" /stypes="app*4042*20170105*" /stext=" 13:.+((SYSTEM_STATE.+slice.+state.+changed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88" t="str">
        <f t="shared" si="17"/>
        <v>"%USERPROFILE%\Documents\GitHub\eaglep3\Utilities\RefineRTDCRunTimes.py" --tripid 121-05 --locoid 4042 --swversion DE.1.0.8.0 --startMP 204:484 --initTime 2017-01-05T06:09:49 --startdatetime 2017-01-05T06:15:35 --delay 1 --endMP 204:232987 --enddatetime 2017-01-05T06:54:23 --enforcementcount 0 &gt;&gt;C:\Users\stu\Documents\GitHub\eaglep3-reporting\EC\2017-01-05-refined-times.txt</v>
      </c>
      <c r="AI31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{"issue":{"subject":"","project_id":79,"tracker_id":40,"status_id":1,"priority_id":2,"assigned_to_id":23,"start_date":"2017-01-05","description":"","custom_fields":[{"id":1,"name":"Subdivision","value":"EC"},{"id":4,"name":"Milepost","value":"23.2987"},{"id":17,"name":"Train ID","value":"121-05"},{"id":16,"name":"Locomotive ID","value":"4042"},{"id":130,"name":"Impact","value":""},{"id":150,"name":"Time of Event (Mountain Time)","value":"06:54:23"},{"id":151,"name":"Denver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19"/>
        <v>start /low /b %USERPROFILE%\Documents\GitHub\eaglep3\Utilities\DownloadLogsFromS3.py --loco 4042 --day 2017-01-05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533</v>
      </c>
      <c r="B32" s="7">
        <v>4041</v>
      </c>
      <c r="C32" s="22" t="s">
        <v>203</v>
      </c>
      <c r="D32" s="22" t="s">
        <v>714</v>
      </c>
      <c r="E32" s="13">
        <v>42740.293020833335</v>
      </c>
      <c r="F32" s="13">
        <v>42740.299502314818</v>
      </c>
      <c r="G32" s="7">
        <v>3</v>
      </c>
      <c r="H32" s="22" t="s">
        <v>209</v>
      </c>
      <c r="I32" s="13">
        <v>42740.327245370368</v>
      </c>
      <c r="J32" s="7">
        <v>0</v>
      </c>
      <c r="K32" s="105" t="str">
        <f t="shared" si="0"/>
        <v>4041/4042</v>
      </c>
      <c r="L32" s="22" t="str">
        <f>VLOOKUP(A32,'Trips&amp;Operators'!$C$1:$G$99999,5,FALSE)</f>
        <v>ROBINSON KADDIBA</v>
      </c>
      <c r="M32" s="6">
        <f t="shared" si="1"/>
        <v>2.774305555067258E-2</v>
      </c>
      <c r="N32" s="7">
        <f t="shared" si="25"/>
        <v>39.949999992968515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06:01:57-700',mode:absolute,to:'2017-01-05 08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49" t="str">
        <f t="shared" si="6"/>
        <v>N</v>
      </c>
      <c r="X32" s="173">
        <f t="shared" ref="X32:X37" si="27">VALUE(LEFT(AD32,4))-VALUE(LEFT(AD31,4))</f>
        <v>1</v>
      </c>
      <c r="Y32" s="64">
        <f t="shared" si="7"/>
        <v>23.267199999999999</v>
      </c>
      <c r="Z32" s="64">
        <f t="shared" si="8"/>
        <v>1.4999999999999999E-2</v>
      </c>
      <c r="AA32" s="64">
        <f t="shared" si="9"/>
        <v>23.252199999999998</v>
      </c>
      <c r="AB32" s="61" t="e">
        <f>VLOOKUP(A32,Enforcements!$C$7:$K$18,8,0)</f>
        <v>#N/A</v>
      </c>
      <c r="AC32" s="57" t="e">
        <f>VLOOKUP(A32,Enforcements!$C$7:$E$18,3,0)</f>
        <v>#N/A</v>
      </c>
      <c r="AD32" s="58" t="str">
        <f t="shared" si="10"/>
        <v>0122-05</v>
      </c>
      <c r="AE32" s="87" t="str">
        <f t="shared" si="11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32" s="84" t="str">
        <f t="shared" si="12"/>
        <v>"C:\Program Files (x86)\AstroGrep\AstroGrep.exe" /spath="%USERPROFILE%\AppData\Local\Temp\OnboardLogs" /stypes="app*4041*20170105*" /stext=" 14:.+((SYSTEM_STATE.+slice.+state.+changed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88" t="str">
        <f t="shared" si="17"/>
        <v>"%USERPROFILE%\Documents\GitHub\eaglep3\Utilities\RefineRTDCRunTimes.py" --tripid 122-05 --locoid 4041 --swversion DE.1.0.8.0 --startMP 204:232672 --initTime 2017-01-05T07:01:57 --startdatetime 2017-01-05T07:11:17 --delay 3 --endMP 204:150 --enddatetime 2017-01-05T07:51:14 --enforcementcount 0 &gt;&gt;C:\Users\stu\Documents\GitHub\eaglep3-reporting\EC\2017-01-05-refined-times.txt</v>
      </c>
      <c r="AI32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ID","value":"122-05"},{"id":16,"name":"Locomotive ID","value":"4041"},{"id":130,"name":"Impact","value":""},{"id":150,"name":"Time of Event (Mountain Time)","value":"07:51:14"},{"id":151,"name":"Denver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19"/>
        <v>start /low /b %USERPROFILE%\Documents\GitHub\eaglep3\Utilities\DownloadLogsFromS3.py --loco 4041 --day 2017-01-05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524</v>
      </c>
      <c r="B33" s="7">
        <v>4022</v>
      </c>
      <c r="C33" s="22" t="s">
        <v>203</v>
      </c>
      <c r="D33" s="22" t="s">
        <v>244</v>
      </c>
      <c r="E33" s="13">
        <v>42740.264513888891</v>
      </c>
      <c r="F33" s="13">
        <v>42740.270995370367</v>
      </c>
      <c r="G33" s="7">
        <v>1</v>
      </c>
      <c r="H33" s="22" t="s">
        <v>715</v>
      </c>
      <c r="I33" s="13">
        <v>42740.297893518517</v>
      </c>
      <c r="J33" s="7">
        <v>0</v>
      </c>
      <c r="K33" s="105" t="str">
        <f t="shared" si="0"/>
        <v>4021/4022</v>
      </c>
      <c r="L33" s="22" t="str">
        <f>VLOOKUP(A33,'Trips&amp;Operators'!$C$1:$G$99999,5,FALSE)</f>
        <v>COMELLA JUSTIN</v>
      </c>
      <c r="M33" s="6">
        <f t="shared" si="1"/>
        <v>2.6898148149484769E-2</v>
      </c>
      <c r="N33" s="7">
        <f t="shared" si="25"/>
        <v>38.733333335258067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05:20:54-700',mode:absolute,to:'2017-01-05 08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3" s="49" t="str">
        <f t="shared" si="6"/>
        <v>N</v>
      </c>
      <c r="X33" s="173">
        <f t="shared" si="27"/>
        <v>1</v>
      </c>
      <c r="Y33" s="64">
        <f t="shared" si="7"/>
        <v>4.6399999999999997E-2</v>
      </c>
      <c r="Z33" s="64">
        <f t="shared" si="8"/>
        <v>23.3276</v>
      </c>
      <c r="AA33" s="64">
        <f t="shared" si="9"/>
        <v>23.281200000000002</v>
      </c>
      <c r="AB33" s="61" t="e">
        <f>VLOOKUP(A33,Enforcements!$C$7:$K$18,8,0)</f>
        <v>#N/A</v>
      </c>
      <c r="AC33" s="57" t="e">
        <f>VLOOKUP(A33,Enforcements!$C$7:$E$18,3,0)</f>
        <v>#N/A</v>
      </c>
      <c r="AD33" s="58" t="str">
        <f t="shared" si="10"/>
        <v>0123-05</v>
      </c>
      <c r="AE33" s="87" t="str">
        <f t="shared" si="11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33" s="84" t="str">
        <f t="shared" si="12"/>
        <v>"C:\Program Files (x86)\AstroGrep\AstroGrep.exe" /spath="%USERPROFILE%\AppData\Local\Temp\OnboardLogs" /stypes="app*4022*20170105*" /stext=" 14:.+((SYSTEM_STATE.+slice.+state.+changed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88" t="str">
        <f t="shared" si="17"/>
        <v>"%USERPROFILE%\Documents\GitHub\eaglep3\Utilities\RefineRTDCRunTimes.py" --tripid 123-05 --locoid 4022 --swversion DE.1.0.8.0 --startMP 204:464 --initTime 2017-01-05T06:20:54 --startdatetime 2017-01-05T06:30:14 --delay 1 --endMP 204:233276 --enddatetime 2017-01-05T07:08:58 --enforcementcount 0 &gt;&gt;C:\Users\stu\Documents\GitHub\eaglep3-reporting\EC\2017-01-05-refined-times.txt</v>
      </c>
      <c r="AI33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{"issue":{"subject":"","project_id":79,"tracker_id":40,"status_id":1,"priority_id":2,"assigned_to_id":23,"start_date":"2017-01-05","description":"","custom_fields":[{"id":1,"name":"Subdivision","value":"EC"},{"id":4,"name":"Milepost","value":"23.3276"},{"id":17,"name":"Train ID","value":"123-05"},{"id":16,"name":"Locomotive ID","value":"4022"},{"id":130,"name":"Impact","value":""},{"id":150,"name":"Time of Event (Mountain Time)","value":"07:08:58"},{"id":151,"name":"Denver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19"/>
        <v>start /low /b %USERPROFILE%\Documents\GitHub\eaglep3\Utilities\DownloadLogsFromS3.py --loco 4022 --day 2017-01-05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536</v>
      </c>
      <c r="B34" s="7">
        <v>4021</v>
      </c>
      <c r="C34" s="22" t="s">
        <v>203</v>
      </c>
      <c r="D34" s="22" t="s">
        <v>713</v>
      </c>
      <c r="E34" s="13">
        <v>42740.304131944446</v>
      </c>
      <c r="F34" s="13">
        <v>42740.31013888889</v>
      </c>
      <c r="G34" s="7">
        <v>1</v>
      </c>
      <c r="H34" s="22" t="s">
        <v>280</v>
      </c>
      <c r="I34" s="13">
        <v>42740.33934027778</v>
      </c>
      <c r="J34" s="7">
        <v>0</v>
      </c>
      <c r="K34" s="105" t="str">
        <f t="shared" si="0"/>
        <v>4021/4022</v>
      </c>
      <c r="L34" s="22" t="str">
        <f>VLOOKUP(A34,'Trips&amp;Operators'!$C$1:$G$99999,5,FALSE)</f>
        <v>COMELLA JUSTIN</v>
      </c>
      <c r="M34" s="6">
        <f t="shared" si="1"/>
        <v>2.920138889021473E-2</v>
      </c>
      <c r="N34" s="7">
        <f t="shared" si="25"/>
        <v>42.050000001909211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06:17:57-700',mode:absolute,to:'2017-01-05 09:08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4" s="49" t="str">
        <f t="shared" si="6"/>
        <v>N</v>
      </c>
      <c r="X34" s="173">
        <f t="shared" si="27"/>
        <v>1</v>
      </c>
      <c r="Y34" s="64">
        <f t="shared" si="7"/>
        <v>23.295200000000001</v>
      </c>
      <c r="Z34" s="64">
        <f t="shared" si="8"/>
        <v>1.52E-2</v>
      </c>
      <c r="AA34" s="64">
        <f t="shared" si="9"/>
        <v>23.28</v>
      </c>
      <c r="AB34" s="61" t="e">
        <f>VLOOKUP(A34,Enforcements!$C$7:$K$18,8,0)</f>
        <v>#N/A</v>
      </c>
      <c r="AC34" s="57" t="e">
        <f>VLOOKUP(A34,Enforcements!$C$7:$E$18,3,0)</f>
        <v>#N/A</v>
      </c>
      <c r="AD34" s="58" t="str">
        <f t="shared" si="10"/>
        <v>0124-05</v>
      </c>
      <c r="AE34" s="87" t="str">
        <f t="shared" si="1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34" s="84" t="str">
        <f t="shared" si="12"/>
        <v>"C:\Program Files (x86)\AstroGrep\AstroGrep.exe" /spath="%USERPROFILE%\AppData\Local\Temp\OnboardLogs" /stypes="app*4021*20170105*" /stext=" 15:.+((SYSTEM_STATE.+slice.+state.+changed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88" t="str">
        <f t="shared" si="17"/>
        <v>"%USERPROFILE%\Documents\GitHub\eaglep3\Utilities\RefineRTDCRunTimes.py" --tripid 124-05 --locoid 4021 --swversion DE.1.0.8.0 --startMP 204:232952 --initTime 2017-01-05T07:17:57 --startdatetime 2017-01-05T07:26:36 --delay 1 --endMP 204:152 --enddatetime 2017-01-05T08:08:39 --enforcementcount 0 &gt;&gt;C:\Users\stu\Documents\GitHub\eaglep3-reporting\EC\2017-01-05-refined-times.txt</v>
      </c>
      <c r="AI34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{"issue":{"subject":"","project_id":79,"tracker_id":40,"status_id":1,"priority_id":2,"assigned_to_id":23,"start_date":"2017-01-05","description":"","custom_fields":[{"id":1,"name":"Subdivision","value":"EC"},{"id":4,"name":"Milepost","value":"0.0152"},{"id":17,"name":"Train ID","value":"124-05"},{"id":16,"name":"Locomotive ID","value":"4021"},{"id":130,"name":"Impact","value":""},{"id":150,"name":"Time of Event (Mountain Time)","value":"08:08:39"},{"id":151,"name":"Denver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19"/>
        <v>start /low /b %USERPROFILE%\Documents\GitHub\eaglep3\Utilities\DownloadLogsFromS3.py --loco 4021 --day 2017-01-05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526</v>
      </c>
      <c r="B35" s="7">
        <v>4011</v>
      </c>
      <c r="C35" s="22" t="s">
        <v>203</v>
      </c>
      <c r="D35" s="22" t="s">
        <v>292</v>
      </c>
      <c r="E35" s="13">
        <v>42740.274155092593</v>
      </c>
      <c r="F35" s="13">
        <v>42740.281458333331</v>
      </c>
      <c r="G35" s="7">
        <v>1</v>
      </c>
      <c r="H35" s="22" t="s">
        <v>716</v>
      </c>
      <c r="I35" s="13">
        <v>42740.30777777778</v>
      </c>
      <c r="J35" s="7">
        <v>0</v>
      </c>
      <c r="K35" s="105" t="str">
        <f t="shared" si="0"/>
        <v>4011/4012</v>
      </c>
      <c r="L35" s="22" t="str">
        <f>VLOOKUP(A35,'Trips&amp;Operators'!$C$1:$G$99999,5,FALSE)</f>
        <v>YANG JAN</v>
      </c>
      <c r="M35" s="6">
        <f t="shared" si="1"/>
        <v>2.6319444448745344E-2</v>
      </c>
      <c r="N35" s="7">
        <f t="shared" si="25"/>
        <v>37.900000006193295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05:34:47-700',mode:absolute,to:'2017-01-05 08:23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5" s="49" t="str">
        <f t="shared" si="6"/>
        <v>N</v>
      </c>
      <c r="X35" s="173">
        <f t="shared" si="27"/>
        <v>1</v>
      </c>
      <c r="Y35" s="64">
        <f t="shared" si="7"/>
        <v>4.5699999999999998E-2</v>
      </c>
      <c r="Z35" s="64">
        <f t="shared" si="8"/>
        <v>23.299399999999999</v>
      </c>
      <c r="AA35" s="64">
        <f t="shared" si="9"/>
        <v>23.253699999999998</v>
      </c>
      <c r="AB35" s="61" t="e">
        <f>VLOOKUP(A35,Enforcements!$C$7:$K$18,8,0)</f>
        <v>#N/A</v>
      </c>
      <c r="AC35" s="57" t="e">
        <f>VLOOKUP(A35,Enforcements!$C$7:$E$18,3,0)</f>
        <v>#N/A</v>
      </c>
      <c r="AD35" s="58" t="str">
        <f t="shared" si="10"/>
        <v>0125-05</v>
      </c>
      <c r="AE35" s="87" t="str">
        <f t="shared" si="11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35" s="84" t="str">
        <f t="shared" si="12"/>
        <v>"C:\Program Files (x86)\AstroGrep\AstroGrep.exe" /spath="%USERPROFILE%\AppData\Local\Temp\OnboardLogs" /stypes="app*4011*20170105*"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88" t="str">
        <f t="shared" si="17"/>
        <v>"%USERPROFILE%\Documents\GitHub\eaglep3\Utilities\RefineRTDCRunTimes.py" --tripid 125-05 --locoid 4011 --swversion DE.1.0.8.0 --startMP 204:457 --initTime 2017-01-05T06:34:47 --startdatetime 2017-01-05T06:45:18 --delay 1 --endMP 204:232994 --enddatetime 2017-01-05T07:23:12 --enforcementcount 0 &gt;&gt;C:\Users\stu\Documents\GitHub\eaglep3-reporting\EC\2017-01-05-refined-times.txt</v>
      </c>
      <c r="AI35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{"issue":{"subject":"","project_id":79,"tracker_id":40,"status_id":1,"priority_id":2,"assigned_to_id":23,"start_date":"2017-01-05","description":"","custom_fields":[{"id":1,"name":"Subdivision","value":"EC"},{"id":4,"name":"Milepost","value":"23.2994"},{"id":17,"name":"Train ID","value":"125-05"},{"id":16,"name":"Locomotive ID","value":"4011"},{"id":130,"name":"Impact","value":""},{"id":150,"name":"Time of Event (Mountain Time)","value":"07:23:12"},{"id":151,"name":"Denver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19"/>
        <v>start /low /b %USERPROFILE%\Documents\GitHub\eaglep3\Utilities\DownloadLogsFromS3.py --loco 4011 --day 2017-01-05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538</v>
      </c>
      <c r="B36" s="7">
        <v>4012</v>
      </c>
      <c r="C36" s="22" t="s">
        <v>203</v>
      </c>
      <c r="D36" s="22" t="s">
        <v>702</v>
      </c>
      <c r="E36" s="13">
        <v>42740.31722222222</v>
      </c>
      <c r="F36" s="13">
        <v>42740.320416666669</v>
      </c>
      <c r="G36" s="7">
        <v>1</v>
      </c>
      <c r="H36" s="22" t="s">
        <v>229</v>
      </c>
      <c r="I36" s="13">
        <v>42740.348969907405</v>
      </c>
      <c r="J36" s="7">
        <v>0</v>
      </c>
      <c r="K36" s="105" t="str">
        <f t="shared" si="0"/>
        <v>4011/4012</v>
      </c>
      <c r="L36" s="22" t="str">
        <f>VLOOKUP(A36,'Trips&amp;Operators'!$C$1:$G$99999,5,FALSE)</f>
        <v>YANG JAN</v>
      </c>
      <c r="M36" s="6">
        <f t="shared" si="1"/>
        <v>2.8553240736073349E-2</v>
      </c>
      <c r="N36" s="7">
        <f t="shared" si="25"/>
        <v>41.116666659945622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06:36:48-700',mode:absolute,to:'2017-01-05 09:22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6" s="49" t="str">
        <f t="shared" si="6"/>
        <v>N</v>
      </c>
      <c r="X36" s="173">
        <f t="shared" si="27"/>
        <v>1</v>
      </c>
      <c r="Y36" s="64">
        <f t="shared" si="7"/>
        <v>23.2681</v>
      </c>
      <c r="Z36" s="64">
        <f t="shared" si="8"/>
        <v>1.4500000000000001E-2</v>
      </c>
      <c r="AA36" s="64">
        <f t="shared" si="9"/>
        <v>23.253599999999999</v>
      </c>
      <c r="AB36" s="61" t="e">
        <f>VLOOKUP(A36,Enforcements!$C$7:$K$18,8,0)</f>
        <v>#N/A</v>
      </c>
      <c r="AC36" s="57" t="e">
        <f>VLOOKUP(A36,Enforcements!$C$7:$E$18,3,0)</f>
        <v>#N/A</v>
      </c>
      <c r="AD36" s="58" t="str">
        <f t="shared" si="10"/>
        <v>0126-05</v>
      </c>
      <c r="AE36" s="87" t="str">
        <f t="shared" si="1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36" s="84" t="str">
        <f t="shared" si="12"/>
        <v>"C:\Program Files (x86)\AstroGrep\AstroGrep.exe" /spath="%USERPROFILE%\AppData\Local\Temp\OnboardLogs" /stypes="app*4012*20170105*" /stext=" 15:.+((SYSTEM_STATE.+slice.+state.+changed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88" t="str">
        <f t="shared" si="17"/>
        <v>"%USERPROFILE%\Documents\GitHub\eaglep3\Utilities\RefineRTDCRunTimes.py" --tripid 126-05 --locoid 4012 --swversion DE.1.0.8.0 --startMP 204:232681 --initTime 2017-01-05T07:36:48 --startdatetime 2017-01-05T07:41:24 --delay 1 --endMP 204:145 --enddatetime 2017-01-05T08:22:31 --enforcementcount 0 &gt;&gt;C:\Users\stu\Documents\GitHub\eaglep3-reporting\EC\2017-01-05-refined-times.txt</v>
      </c>
      <c r="AI36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{"issue":{"subject":"","project_id":79,"tracker_id":40,"status_id":1,"priority_id":2,"assigned_to_id":23,"start_date":"2017-01-05","description":"","custom_fields":[{"id":1,"name":"Subdivision","value":"EC"},{"id":4,"name":"Milepost","value":"0.0145"},{"id":17,"name":"Train ID","value":"126-05"},{"id":16,"name":"Locomotive ID","value":"4012"},{"id":130,"name":"Impact","value":""},{"id":150,"name":"Time of Event (Mountain Time)","value":"08:22:31"},{"id":151,"name":"Denver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19"/>
        <v>start /low /b %USERPROFILE%\Documents\GitHub\eaglep3\Utilities\DownloadLogsFromS3.py --loco 4012 --day 2017-01-05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531</v>
      </c>
      <c r="B37" s="7">
        <v>4007</v>
      </c>
      <c r="C37" s="22" t="s">
        <v>203</v>
      </c>
      <c r="D37" s="22" t="s">
        <v>369</v>
      </c>
      <c r="E37" s="13">
        <v>42740.289293981485</v>
      </c>
      <c r="F37" s="13">
        <v>42740.292303240742</v>
      </c>
      <c r="G37" s="7">
        <v>1</v>
      </c>
      <c r="H37" s="22" t="s">
        <v>318</v>
      </c>
      <c r="I37" s="13">
        <v>42740.317870370367</v>
      </c>
      <c r="J37" s="7">
        <v>0</v>
      </c>
      <c r="K37" s="105" t="str">
        <f t="shared" si="0"/>
        <v>4007/4008</v>
      </c>
      <c r="L37" s="22" t="str">
        <f>VLOOKUP(A37,'Trips&amp;Operators'!$C$1:$G$99999,5,FALSE)</f>
        <v>YORK EDGAR</v>
      </c>
      <c r="M37" s="6">
        <f t="shared" si="1"/>
        <v>2.5567129625414964E-2</v>
      </c>
      <c r="N37" s="7">
        <f t="shared" si="25"/>
        <v>36.816666660597548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05:56:35-700',mode:absolute,to:'2017-01-05 08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7" s="49" t="str">
        <f t="shared" si="6"/>
        <v>N</v>
      </c>
      <c r="X37" s="173">
        <f t="shared" si="27"/>
        <v>1</v>
      </c>
      <c r="Y37" s="64">
        <f t="shared" si="7"/>
        <v>4.6899999999999997E-2</v>
      </c>
      <c r="Z37" s="64">
        <f t="shared" si="8"/>
        <v>23.330300000000001</v>
      </c>
      <c r="AA37" s="64">
        <f t="shared" si="9"/>
        <v>23.2834</v>
      </c>
      <c r="AB37" s="61" t="e">
        <f>VLOOKUP(A37,Enforcements!$C$7:$K$18,8,0)</f>
        <v>#N/A</v>
      </c>
      <c r="AC37" s="57" t="e">
        <f>VLOOKUP(A37,Enforcements!$C$7:$E$18,3,0)</f>
        <v>#N/A</v>
      </c>
      <c r="AD37" s="58" t="str">
        <f t="shared" si="10"/>
        <v>0127-05</v>
      </c>
      <c r="AE37" s="87" t="str">
        <f t="shared" si="11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37" s="84" t="str">
        <f t="shared" si="12"/>
        <v>"C:\Program Files (x86)\AstroGrep\AstroGrep.exe" /spath="%USERPROFILE%\AppData\Local\Temp\OnboardLogs" /stypes="app*4007*20170105*" /stext=" 14:.+((SYSTEM_STATE.+slice.+state.+changed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88" t="str">
        <f t="shared" si="17"/>
        <v>"%USERPROFILE%\Documents\GitHub\eaglep3\Utilities\RefineRTDCRunTimes.py" --tripid 127-05 --locoid 4007 --swversion DE.1.0.8.0 --startMP 204:469 --initTime 2017-01-05T06:56:35 --startdatetime 2017-01-05T07:00:55 --delay 1 --endMP 204:233303 --enddatetime 2017-01-05T07:37:44 --enforcementcount 0 &gt;&gt;C:\Users\stu\Documents\GitHub\eaglep3-reporting\EC\2017-01-05-refined-times.txt</v>
      </c>
      <c r="AI37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{"issue":{"subject":"","project_id":79,"tracker_id":40,"status_id":1,"priority_id":2,"assigned_to_id":23,"start_date":"2017-01-05","description":"","custom_fields":[{"id":1,"name":"Subdivision","value":"EC"},{"id":4,"name":"Milepost","value":"23.3303"},{"id":17,"name":"Train ID","value":"127-05"},{"id":16,"name":"Locomotive ID","value":"4007"},{"id":130,"name":"Impact","value":""},{"id":150,"name":"Time of Event (Mountain Time)","value":"07:37:44"},{"id":151,"name":"Denver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19"/>
        <v>start /low /b %USERPROFILE%\Documents\GitHub\eaglep3\Utilities\DownloadLogsFromS3.py --loco 4007 --day 2017-01-05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540</v>
      </c>
      <c r="B38" s="7">
        <v>4008</v>
      </c>
      <c r="C38" s="22" t="s">
        <v>203</v>
      </c>
      <c r="D38" s="22" t="s">
        <v>369</v>
      </c>
      <c r="E38" s="13">
        <v>42740.289293981485</v>
      </c>
      <c r="F38" s="13">
        <v>42740.330787037034</v>
      </c>
      <c r="G38" s="7">
        <v>1</v>
      </c>
      <c r="H38" s="22" t="s">
        <v>318</v>
      </c>
      <c r="I38" s="13">
        <v>42740.360567129632</v>
      </c>
      <c r="J38" s="7">
        <v>0</v>
      </c>
      <c r="K38" s="105" t="str">
        <f t="shared" si="0"/>
        <v>4007/4008</v>
      </c>
      <c r="L38" s="22" t="str">
        <f>VLOOKUP(A38,'Trips&amp;Operators'!$C$1:$G$99999,5,FALSE)</f>
        <v>YORK EDGAR</v>
      </c>
      <c r="M38" s="6">
        <f t="shared" si="1"/>
        <v>2.9780092598230112E-2</v>
      </c>
      <c r="N38" s="7">
        <f t="shared" si="25"/>
        <v>42.883333341451362</v>
      </c>
      <c r="O38" s="7"/>
      <c r="P38" s="7"/>
      <c r="Q38" s="23"/>
      <c r="R38" s="23"/>
      <c r="S38" s="32">
        <f t="shared" si="3"/>
        <v>0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05:56:35-700',mode:absolute,to:'2017-01-05 09:39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8" s="49" t="str">
        <f t="shared" si="6"/>
        <v>N</v>
      </c>
      <c r="X38" s="173">
        <f t="shared" ref="X38:X40" si="28">VALUE(LEFT(AD38,4))-VALUE(LEFT(AD37,4))</f>
        <v>1</v>
      </c>
      <c r="Y38" s="64">
        <f t="shared" si="7"/>
        <v>4.6899999999999997E-2</v>
      </c>
      <c r="Z38" s="64">
        <f t="shared" si="8"/>
        <v>23.330300000000001</v>
      </c>
      <c r="AA38" s="64">
        <f t="shared" si="9"/>
        <v>23.2834</v>
      </c>
      <c r="AB38" s="61" t="e">
        <f>VLOOKUP(A38,Enforcements!$C$7:$K$18,8,0)</f>
        <v>#N/A</v>
      </c>
      <c r="AC38" s="57" t="e">
        <f>VLOOKUP(A38,Enforcements!$C$7:$E$18,3,0)</f>
        <v>#N/A</v>
      </c>
      <c r="AD38" s="58" t="str">
        <f t="shared" si="10"/>
        <v>0128-05</v>
      </c>
      <c r="AE38" s="87" t="str">
        <f t="shared" si="11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38" s="84" t="str">
        <f t="shared" si="12"/>
        <v>"C:\Program Files (x86)\AstroGrep\AstroGrep.exe" /spath="%USERPROFILE%\AppData\Local\Temp\OnboardLogs" /stypes="app*4008*20170105*" /stext=" 15:.+((SYSTEM_STATE.+slice.+state.+changed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88" t="str">
        <f t="shared" ref="AH38" si="29"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"&amp;J38&amp;IF(outputrefinedruntimes," &gt;&gt;"&amp;RefinedRTDCRunTimesOutputFile,"")</f>
        <v>"%USERPROFILE%\Documents\GitHub\eaglep3\Utilities\RefineRTDCRunTimes.py" --tripid 128-05 --locoid 4008 --swversion DE.1.0.8.0 --startMP 204:469 --initTime 2017-01-05T06:56:35 --startdatetime 2017-01-05T07:56:20 --delay 1 --endMP 204:233303 --enddatetime 2017-01-05T08:39:13 --enforcementcount 0 &gt;&gt;C:\Users\stu\Documents\GitHub\eaglep3-reporting\EC\2017-01-05-refined-times.txt</v>
      </c>
      <c r="AI38" s="115" t="str">
        <f t="shared" ref="AI38" si="30"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Z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{"issue":{"subject":"","project_id":79,"tracker_id":40,"status_id":1,"priority_id":2,"assigned_to_id":23,"start_date":"2017-01-05","description":"","custom_fields":[{"id":1,"name":"Subdivision","value":"EC"},{"id":4,"name":"Milepost","value":"23.3303"},{"id":17,"name":"Train ID","value":"128-05"},{"id":16,"name":"Locomotive ID","value":"4008"},{"id":130,"name":"Impact","value":""},{"id":150,"name":"Time of Event (Mountain Time)","value":"08:39:13"},{"id":151,"name":"Denver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ref="AM38" si="31">"start /low /b "&amp;dls3logs&amp;" --loco "&amp;B38&amp;" --day "&amp;TEXT(F38,"YYYY-MM-DD")</f>
        <v>start /low /b %USERPROFILE%\Documents\GitHub\eaglep3\Utilities\DownloadLogsFromS3.py --loco 4008 --day 2017-01-05</v>
      </c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</row>
    <row r="39" spans="1:91" s="1" customFormat="1" x14ac:dyDescent="0.25">
      <c r="A39" s="34" t="s">
        <v>532</v>
      </c>
      <c r="B39" s="7">
        <v>4031</v>
      </c>
      <c r="C39" s="22" t="s">
        <v>203</v>
      </c>
      <c r="D39" s="22" t="s">
        <v>292</v>
      </c>
      <c r="E39" s="13">
        <v>42740.292916666665</v>
      </c>
      <c r="F39" s="13">
        <v>42740.302337962959</v>
      </c>
      <c r="G39" s="7">
        <v>1</v>
      </c>
      <c r="H39" s="22" t="s">
        <v>717</v>
      </c>
      <c r="I39" s="13">
        <v>42740.329097222224</v>
      </c>
      <c r="J39" s="7">
        <v>0</v>
      </c>
      <c r="K39" s="105" t="str">
        <f t="shared" si="0"/>
        <v>4031/4032</v>
      </c>
      <c r="L39" s="22" t="str">
        <f>VLOOKUP(A39,'Trips&amp;Operators'!$C$1:$G$99999,5,FALSE)</f>
        <v>SPECTOR MICHAEL</v>
      </c>
      <c r="M39" s="6">
        <f t="shared" si="1"/>
        <v>2.6759259264508728E-2</v>
      </c>
      <c r="N39" s="7">
        <f t="shared" si="25"/>
        <v>38.533333340892568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06:01:48-700',mode:absolute,to:'2017-01-05 08:53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9" s="49" t="str">
        <f t="shared" si="6"/>
        <v>N</v>
      </c>
      <c r="X39" s="173">
        <f t="shared" si="28"/>
        <v>1</v>
      </c>
      <c r="Y39" s="64">
        <f t="shared" si="7"/>
        <v>4.5699999999999998E-2</v>
      </c>
      <c r="Z39" s="64">
        <f t="shared" si="8"/>
        <v>23.297899999999998</v>
      </c>
      <c r="AA39" s="64">
        <f t="shared" si="9"/>
        <v>23.252199999999998</v>
      </c>
      <c r="AB39" s="61" t="e">
        <f>VLOOKUP(A39,Enforcements!$C$7:$K$18,8,0)</f>
        <v>#N/A</v>
      </c>
      <c r="AC39" s="57" t="e">
        <f>VLOOKUP(A39,Enforcements!$C$7:$E$18,3,0)</f>
        <v>#N/A</v>
      </c>
      <c r="AD39" s="58" t="str">
        <f t="shared" si="10"/>
        <v>0129-05</v>
      </c>
      <c r="AE39" s="87" t="str">
        <f t="shared" si="11"/>
        <v>aws s3 cp s3://rtdc.mdm.uploadarchive.raw/RTDC4031/ "%USERPROFILE%\AppData\Local\Temp\OnboardLogs"\RTDC4031\2017-01-05 --exclude "*" --recursive --include "*20170105*" &amp; "%USERPROFILE%\Documents\GitHub\mrs-test-scripts\Headless Mode &amp; Sideloading\WalkAndUnGZ.bat" "%USERPROFILE%\AppData\Local\Temp\OnboardLogs"\RTDC4031\2017-01-05 &amp; 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</v>
      </c>
      <c r="AF39" s="84" t="str">
        <f t="shared" si="12"/>
        <v>"C:\Program Files (x86)\AstroGrep\AstroGrep.exe" /spath="%USERPROFILE%\AppData\Local\Temp\OnboardLogs" /stypes="app*4031*20170105*" /stext=" 14:.+((SYSTEM_STATE.+slice.+state.+changed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88" t="str">
        <f t="shared" si="17"/>
        <v>"%USERPROFILE%\Documents\GitHub\eaglep3\Utilities\RefineRTDCRunTimes.py" --tripid 129-05 --locoid 4031 --swversion DE.1.0.8.0 --startMP 204:457 --initTime 2017-01-05T07:01:48 --startdatetime 2017-01-05T07:15:22 --delay 1 --endMP 204:232979 --enddatetime 2017-01-05T07:53:54 --enforcementcount 0 &gt;&gt;C:\Users\stu\Documents\GitHub\eaglep3-reporting\EC\2017-01-05-refined-times.txt</v>
      </c>
      <c r="AI39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{"issue":{"subject":"","project_id":79,"tracker_id":40,"status_id":1,"priority_id":2,"assigned_to_id":23,"start_date":"2017-01-05","description":"","custom_fields":[{"id":1,"name":"Subdivision","value":"EC"},{"id":4,"name":"Milepost","value":"23.2979"},{"id":17,"name":"Train ID","value":"129-05"},{"id":16,"name":"Locomotive ID","value":"4031"},{"id":130,"name":"Impact","value":""},{"id":150,"name":"Time of Event (Mountain Time)","value":"07:53:54"},{"id":151,"name":"Denver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19"/>
        <v>start /low /b %USERPROFILE%\Documents\GitHub\eaglep3\Utilities\DownloadLogsFromS3.py --loco 4031 --day 2017-01-05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471</v>
      </c>
      <c r="B40" s="7">
        <v>4032</v>
      </c>
      <c r="C40" s="22" t="s">
        <v>203</v>
      </c>
      <c r="D40" s="22" t="s">
        <v>712</v>
      </c>
      <c r="E40" s="13">
        <v>42740.337141203701</v>
      </c>
      <c r="F40" s="13">
        <v>42740.341238425928</v>
      </c>
      <c r="G40" s="7">
        <v>1</v>
      </c>
      <c r="H40" s="22" t="s">
        <v>246</v>
      </c>
      <c r="I40" s="13">
        <v>42740.376006944447</v>
      </c>
      <c r="J40" s="7">
        <v>0</v>
      </c>
      <c r="K40" s="105" t="str">
        <f t="shared" si="0"/>
        <v>4031/4032</v>
      </c>
      <c r="L40" s="22" t="str">
        <f>VLOOKUP(A40,'Trips&amp;Operators'!$C$1:$G$99999,5,FALSE)</f>
        <v>SPECTOR MICHAEL</v>
      </c>
      <c r="M40" s="6">
        <f t="shared" si="1"/>
        <v>3.4768518518831115E-2</v>
      </c>
      <c r="N40" s="7">
        <f t="shared" si="25"/>
        <v>50.066666667116806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07:05:29-700',mode:absolute,to:'2017-01-05 10:01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0" s="49" t="str">
        <f t="shared" si="6"/>
        <v>N</v>
      </c>
      <c r="X40" s="173">
        <f t="shared" si="28"/>
        <v>1</v>
      </c>
      <c r="Y40" s="64">
        <f t="shared" si="7"/>
        <v>23.266999999999999</v>
      </c>
      <c r="Z40" s="64">
        <f t="shared" si="8"/>
        <v>1.47E-2</v>
      </c>
      <c r="AA40" s="64">
        <f t="shared" si="9"/>
        <v>23.252299999999998</v>
      </c>
      <c r="AB40" s="61" t="str">
        <f>VLOOKUP(A40,Enforcements!$C$7:$K$18,8,0)</f>
        <v>Speed (6)</v>
      </c>
      <c r="AC40" s="57" t="str">
        <f>VLOOKUP(A40,Enforcements!$C$7:$E$18,3,0)</f>
        <v>PERMANENT SPEED RESTRICTION</v>
      </c>
      <c r="AD40" s="58" t="str">
        <f t="shared" si="10"/>
        <v>0130-05</v>
      </c>
      <c r="AE40" s="87" t="str">
        <f t="shared" si="11"/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40" s="84" t="str">
        <f t="shared" si="12"/>
        <v>"C:\Program Files (x86)\AstroGrep\AstroGrep.exe" /spath="%USERPROFILE%\AppData\Local\Temp\OnboardLogs" /stypes="app*4032*20170105*" /stext=" 16:.+((SYSTEM_STATE.+slice.+state.+changed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88" t="str">
        <f t="shared" si="17"/>
        <v>"%USERPROFILE%\Documents\GitHub\eaglep3\Utilities\RefineRTDCRunTimes.py" --tripid 130-05 --locoid 4032 --swversion DE.1.0.8.0 --startMP 204:232670 --initTime 2017-01-05T08:05:29 --startdatetime 2017-01-05T08:11:23 --delay 1 --endMP 204:147 --enddatetime 2017-01-05T09:01:27 --enforcementcount 0 &gt;&gt;C:\Users\stu\Documents\GitHub\eaglep3-reporting\EC\2017-01-05-refined-times.txt</v>
      </c>
      <c r="AI40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{"issue":{"subject":"","project_id":79,"tracker_id":40,"status_id":1,"priority_id":2,"assigned_to_id":23,"start_date":"2017-01-05","description":"","custom_fields":[{"id":1,"name":"Subdivision","value":"EC"},{"id":4,"name":"Milepost","value":"0.0147"},{"id":17,"name":"Train ID","value":"130-05"},{"id":16,"name":"Locomotive ID","value":"4032"},{"id":130,"name":"Impact","value":""},{"id":150,"name":"Time of Event (Mountain Time)","value":"09:01:27"},{"id":151,"name":"Denver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19"/>
        <v>start /low /b %USERPROFILE%\Documents\GitHub\eaglep3\Utilities\DownloadLogsFromS3.py --loco 4032 --day 2017-01-05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467</v>
      </c>
      <c r="B41" s="7">
        <v>4009</v>
      </c>
      <c r="C41" s="22" t="s">
        <v>203</v>
      </c>
      <c r="D41" s="22" t="s">
        <v>718</v>
      </c>
      <c r="E41" s="13">
        <v>42740.318379629629</v>
      </c>
      <c r="F41" s="13">
        <v>42740.319722222222</v>
      </c>
      <c r="G41" s="7">
        <v>0</v>
      </c>
      <c r="H41" s="22" t="s">
        <v>719</v>
      </c>
      <c r="I41" s="13">
        <v>42740.354872685188</v>
      </c>
      <c r="J41" s="7">
        <v>0</v>
      </c>
      <c r="K41" s="105" t="str">
        <f t="shared" si="0"/>
        <v>4009/4010</v>
      </c>
      <c r="L41" s="22" t="str">
        <f>VLOOKUP(A41,'Trips&amp;Operators'!$C$1:$G$99999,5,FALSE)</f>
        <v>SANTIZO D. EDY</v>
      </c>
      <c r="M41" s="6">
        <f t="shared" si="1"/>
        <v>3.5150462965248153E-2</v>
      </c>
      <c r="N41" s="7"/>
      <c r="O41" s="7"/>
      <c r="P41" s="7">
        <f>24*60*SUM($M41:$M41)</f>
        <v>50.61666666995734</v>
      </c>
      <c r="Q41" s="23"/>
      <c r="R41" s="23" t="s">
        <v>461</v>
      </c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06:38:28-700',mode:absolute,to:'2017-01-05 09:31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1" s="49" t="str">
        <f t="shared" si="6"/>
        <v>Y</v>
      </c>
      <c r="X41" s="173">
        <f t="shared" ref="X41:X57" si="32">VALUE(LEFT(AD41,4))-VALUE(LEFT(AD40,4))</f>
        <v>1</v>
      </c>
      <c r="Y41" s="64">
        <f t="shared" si="7"/>
        <v>1.9134</v>
      </c>
      <c r="Z41" s="64">
        <f t="shared" si="8"/>
        <v>23.3322</v>
      </c>
      <c r="AA41" s="64">
        <f t="shared" si="9"/>
        <v>21.418800000000001</v>
      </c>
      <c r="AB41" s="61" t="str">
        <f>VLOOKUP(A41,Enforcements!$C$7:$K$18,8,0)</f>
        <v>Track device (7)</v>
      </c>
      <c r="AC41" s="57" t="str">
        <f>VLOOKUP(A41,Enforcements!$C$7:$E$18,3,0)</f>
        <v>SWITCH UNKNOWN</v>
      </c>
      <c r="AD41" s="58" t="str">
        <f t="shared" si="10"/>
        <v>0131-05</v>
      </c>
      <c r="AE41" s="87" t="str">
        <f t="shared" si="11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41" s="84" t="str">
        <f t="shared" si="12"/>
        <v>"C:\Program Files (x86)\AstroGrep\AstroGrep.exe" /spath="%USERPROFILE%\AppData\Local\Temp\OnboardLogs" /stypes="app*4009*20170105*" /stext=" 15:.+((SYSTEM_STATE.+slice.+state.+changed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88" t="str">
        <f t="shared" si="17"/>
        <v>"%USERPROFILE%\Documents\GitHub\eaglep3\Utilities\RefineRTDCRunTimes.py" --tripid 131-05 --locoid 4009 --swversion DE.1.0.8.0 --startMP 204:19134 --initTime 2017-01-05T07:38:28 --startdatetime 2017-01-05T07:40:24 --delay 0 --endMP 204:233322 --enddatetime 2017-01-05T08:31:01 --enforcementcount 0 &gt;&gt;C:\Users\stu\Documents\GitHub\eaglep3-reporting\EC\2017-01-05-refined-times.txt</v>
      </c>
      <c r="AI41" s="115" t="str">
        <f t="shared" si="18"/>
        <v>echo {"issue":{"subject":"DUS 2N/20N STOP","project_id":79,"tracker_id":40,"status_id":1,"priority_id":2,"assigned_to_id":23,"start_date":"2017-01-05","description":"","custom_fields":[{"id":1,"name":"Subdivision","value":"EC"},{"id":4,"name":"Milepost","value":"23.3322"},{"id":17,"name":"Train ID","value":"131-05"},{"id":16,"name":"Locomotive ID","value":"4009"},{"id":130,"name":"Impact","value":""},{"id":150,"name":"Time of Event (Mountain Time)","value":"08:31:01"},{"id":151,"name":"Denver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19"/>
        <v>start /low /b %USERPROFILE%\Documents\GitHub\eaglep3\Utilities\DownloadLogsFromS3.py --loco 4009 --day 2017-01-05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467</v>
      </c>
      <c r="B42" s="7">
        <v>4009</v>
      </c>
      <c r="C42" s="22" t="s">
        <v>203</v>
      </c>
      <c r="D42" s="22" t="s">
        <v>420</v>
      </c>
      <c r="E42" s="13">
        <v>42740.309652777774</v>
      </c>
      <c r="F42" s="13">
        <v>42740.319722222222</v>
      </c>
      <c r="G42" s="7">
        <v>1</v>
      </c>
      <c r="H42" s="22" t="s">
        <v>720</v>
      </c>
      <c r="I42" s="13">
        <v>42740.354872685188</v>
      </c>
      <c r="J42" s="7">
        <v>0</v>
      </c>
      <c r="K42" s="105" t="str">
        <f t="shared" si="0"/>
        <v>4009/4010</v>
      </c>
      <c r="L42" s="22" t="str">
        <f>VLOOKUP(A42,'Trips&amp;Operators'!$C$1:$G$99999,5,FALSE)</f>
        <v>SANTIZO D. EDY</v>
      </c>
      <c r="M42" s="6">
        <f t="shared" si="1"/>
        <v>3.5150462965248153E-2</v>
      </c>
      <c r="N42" s="7"/>
      <c r="O42" s="7"/>
      <c r="P42" s="7"/>
      <c r="Q42" s="23"/>
      <c r="R42" s="23"/>
      <c r="S42" s="32">
        <f t="shared" si="3"/>
        <v>0</v>
      </c>
      <c r="T42" s="47" t="str">
        <f t="shared" si="4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06:25:54-700',mode:absolute,to:'2017-01-05 09:31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2" s="49" t="str">
        <f t="shared" si="6"/>
        <v>Y</v>
      </c>
      <c r="X42" s="173">
        <f t="shared" si="32"/>
        <v>0</v>
      </c>
      <c r="Y42" s="64">
        <f t="shared" si="7"/>
        <v>4.2900000000000001E-2</v>
      </c>
      <c r="Z42" s="64">
        <f t="shared" si="8"/>
        <v>9.9199999999999997E-2</v>
      </c>
      <c r="AA42" s="64">
        <f t="shared" si="9"/>
        <v>5.6299999999999996E-2</v>
      </c>
      <c r="AB42" s="61" t="str">
        <f>VLOOKUP(A42,Enforcements!$C$7:$K$18,8,0)</f>
        <v>Track device (7)</v>
      </c>
      <c r="AC42" s="57" t="str">
        <f>VLOOKUP(A42,Enforcements!$C$7:$E$18,3,0)</f>
        <v>SWITCH UNKNOWN</v>
      </c>
      <c r="AD42" s="58" t="str">
        <f t="shared" si="10"/>
        <v>0131-05</v>
      </c>
      <c r="AE42" s="87" t="str">
        <f t="shared" si="11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42" s="84" t="str">
        <f t="shared" si="12"/>
        <v>"C:\Program Files (x86)\AstroGrep\AstroGrep.exe" /spath="%USERPROFILE%\AppData\Local\Temp\OnboardLogs" /stypes="app*4009*20170105*" /stext=" 15:.+((SYSTEM_STATE.+slice.+state.+changed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88" t="str">
        <f t="shared" si="17"/>
        <v>"%USERPROFILE%\Documents\GitHub\eaglep3\Utilities\RefineRTDCRunTimes.py" --tripid 131-05 --locoid 4009 --swversion DE.1.0.8.0 --startMP 204:429 --initTime 2017-01-05T07:25:54 --startdatetime 2017-01-05T07:40:24 --delay 1 --endMP 204:992 --enddatetime 2017-01-05T08:31:01 --enforcementcount 0 &gt;&gt;C:\Users\stu\Documents\GitHub\eaglep3-reporting\EC\2017-01-05-refined-times.txt</v>
      </c>
      <c r="AI42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{"issue":{"subject":"","project_id":79,"tracker_id":40,"status_id":1,"priority_id":2,"assigned_to_id":23,"start_date":"2017-01-05","description":"","custom_fields":[{"id":1,"name":"Subdivision","value":"EC"},{"id":4,"name":"Milepost","value":"0.0992"},{"id":17,"name":"Train ID","value":"131-05"},{"id":16,"name":"Locomotive ID","value":"4009"},{"id":130,"name":"Impact","value":""},{"id":150,"name":"Time of Event (Mountain Time)","value":"08:31:01"},{"id":151,"name":"Denver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19"/>
        <v>start /low /b %USERPROFILE%\Documents\GitHub\eaglep3\Utilities\DownloadLogsFromS3.py --loco 4009 --day 2017-01-05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547</v>
      </c>
      <c r="B43" s="7">
        <v>4010</v>
      </c>
      <c r="C43" s="22" t="s">
        <v>203</v>
      </c>
      <c r="D43" s="22" t="s">
        <v>287</v>
      </c>
      <c r="E43" s="13">
        <v>42740.357141203705</v>
      </c>
      <c r="F43" s="13">
        <v>42740.36215277778</v>
      </c>
      <c r="G43" s="7">
        <v>0</v>
      </c>
      <c r="H43" s="22" t="s">
        <v>721</v>
      </c>
      <c r="I43" s="13">
        <v>42740.39335648148</v>
      </c>
      <c r="J43" s="7">
        <v>0</v>
      </c>
      <c r="K43" s="105" t="str">
        <f t="shared" si="0"/>
        <v>4009/4010</v>
      </c>
      <c r="L43" s="22" t="str">
        <f>VLOOKUP(A43,'Trips&amp;Operators'!$C$1:$G$99999,5,FALSE)</f>
        <v>SANTIZO D. EDY</v>
      </c>
      <c r="M43" s="6">
        <f t="shared" si="1"/>
        <v>3.1203703700157348E-2</v>
      </c>
      <c r="N43" s="7">
        <f t="shared" ref="N43:N60" si="33">24*60*SUM($M43:$M43)</f>
        <v>44.933333328226581</v>
      </c>
      <c r="O43" s="7"/>
      <c r="P43" s="7"/>
      <c r="Q43" s="23"/>
      <c r="R43" s="23"/>
      <c r="S43" s="32">
        <f t="shared" si="3"/>
        <v>1</v>
      </c>
      <c r="T43" s="47" t="str">
        <f t="shared" si="4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07:34:17-700',mode:absolute,to:'2017-01-05 10:26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3" s="49" t="str">
        <f t="shared" si="6"/>
        <v>N</v>
      </c>
      <c r="X43" s="173">
        <f t="shared" si="32"/>
        <v>1</v>
      </c>
      <c r="Y43" s="64">
        <f t="shared" si="7"/>
        <v>23.299800000000001</v>
      </c>
      <c r="Z43" s="64">
        <f t="shared" si="8"/>
        <v>9.2799999999999994E-2</v>
      </c>
      <c r="AA43" s="64">
        <f t="shared" si="9"/>
        <v>23.207000000000001</v>
      </c>
      <c r="AB43" s="61" t="e">
        <f>VLOOKUP(A43,Enforcements!$C$7:$K$18,8,0)</f>
        <v>#N/A</v>
      </c>
      <c r="AC43" s="57" t="e">
        <f>VLOOKUP(A43,Enforcements!$C$7:$E$18,3,0)</f>
        <v>#N/A</v>
      </c>
      <c r="AD43" s="58" t="str">
        <f t="shared" si="10"/>
        <v>0132-05</v>
      </c>
      <c r="AE43" s="87" t="str">
        <f t="shared" si="11"/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AF43" s="84" t="str">
        <f t="shared" si="12"/>
        <v>"C:\Program Files (x86)\AstroGrep\AstroGrep.exe" /spath="%USERPROFILE%\AppData\Local\Temp\OnboardLogs" /stypes="app*4010*20170105*" /stext=" 16:.+((SYSTEM_STATE.+slice.+state.+changed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88" t="str">
        <f t="shared" si="17"/>
        <v>"%USERPROFILE%\Documents\GitHub\eaglep3\Utilities\RefineRTDCRunTimes.py" --tripid 132-05 --locoid 4010 --swversion DE.1.0.8.0 --startMP 204:232998 --initTime 2017-01-05T08:34:17 --startdatetime 2017-01-05T08:41:30 --delay 0 --endMP 204:928 --enddatetime 2017-01-05T09:26:26 --enforcementcount 0 &gt;&gt;C:\Users\stu\Documents\GitHub\eaglep3-reporting\EC\2017-01-05-refined-times.txt</v>
      </c>
      <c r="AI43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{"issue":{"subject":"","project_id":79,"tracker_id":40,"status_id":1,"priority_id":2,"assigned_to_id":23,"start_date":"2017-01-05","description":"","custom_fields":[{"id":1,"name":"Subdivision","value":"EC"},{"id":4,"name":"Milepost","value":"0.0928"},{"id":17,"name":"Train ID","value":"132-05"},{"id":16,"name":"Locomotive ID","value":"4010"},{"id":130,"name":"Impact","value":""},{"id":150,"name":"Time of Event (Mountain Time)","value":"09:26:26"},{"id":151,"name":"Denver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19"/>
        <v>start /low /b %USERPROFILE%\Documents\GitHub\eaglep3\Utilities\DownloadLogsFromS3.py --loco 4010 --day 2017-01-05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541</v>
      </c>
      <c r="B44" s="7">
        <v>4046</v>
      </c>
      <c r="C44" s="22" t="s">
        <v>203</v>
      </c>
      <c r="D44" s="22" t="s">
        <v>722</v>
      </c>
      <c r="E44" s="13">
        <v>42740.320162037038</v>
      </c>
      <c r="F44" s="13">
        <v>42740.323240740741</v>
      </c>
      <c r="G44" s="7">
        <v>2</v>
      </c>
      <c r="H44" s="22" t="s">
        <v>422</v>
      </c>
      <c r="I44" s="13">
        <v>42740.361990740741</v>
      </c>
      <c r="J44" s="7">
        <v>0</v>
      </c>
      <c r="K44" s="105" t="str">
        <f t="shared" si="0"/>
        <v>4045/4046</v>
      </c>
      <c r="L44" s="22" t="str">
        <f>VLOOKUP(A44,'Trips&amp;Operators'!$C$1:$G$99999,5,FALSE)</f>
        <v>COOLAHAN JOHN</v>
      </c>
      <c r="M44" s="6">
        <f t="shared" si="1"/>
        <v>3.8749999999708962E-2</v>
      </c>
      <c r="N44" s="7">
        <f t="shared" si="33"/>
        <v>55.799999999580905</v>
      </c>
      <c r="O44" s="7"/>
      <c r="P44" s="7"/>
      <c r="Q44" s="23"/>
      <c r="R44" s="23" t="s">
        <v>895</v>
      </c>
      <c r="S44" s="32">
        <f t="shared" ref="S44:S63" si="34">SUM(U44:U44)/IF(AG44="EC",12,1)</f>
        <v>1</v>
      </c>
      <c r="T44" s="47" t="str">
        <f t="shared" si="4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06:41:02-700',mode:absolute,to:'2017-01-05 09:41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4" s="49" t="str">
        <f t="shared" si="6"/>
        <v>N</v>
      </c>
      <c r="X44" s="173">
        <f t="shared" si="32"/>
        <v>1</v>
      </c>
      <c r="Y44" s="64">
        <f t="shared" si="7"/>
        <v>4.3999999999999997E-2</v>
      </c>
      <c r="Z44" s="64">
        <f t="shared" si="8"/>
        <v>23.2972</v>
      </c>
      <c r="AA44" s="64">
        <f t="shared" si="9"/>
        <v>23.2532</v>
      </c>
      <c r="AB44" s="61" t="e">
        <f>VLOOKUP(A44,Enforcements!$C$7:$K$18,8,0)</f>
        <v>#N/A</v>
      </c>
      <c r="AC44" s="57" t="e">
        <f>VLOOKUP(A44,Enforcements!$C$7:$E$18,3,0)</f>
        <v>#N/A</v>
      </c>
      <c r="AD44" s="58" t="str">
        <f t="shared" si="10"/>
        <v>0133-05</v>
      </c>
      <c r="AE44" s="87" t="str">
        <f t="shared" si="11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44" s="84" t="str">
        <f t="shared" si="12"/>
        <v>"C:\Program Files (x86)\AstroGrep\AstroGrep.exe" /spath="%USERPROFILE%\AppData\Local\Temp\OnboardLogs" /stypes="app*4046*20170105*" /stext=" 15:.+((SYSTEM_STATE.+slice.+state.+changed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88" t="str">
        <f t="shared" si="17"/>
        <v>"%USERPROFILE%\Documents\GitHub\eaglep3\Utilities\RefineRTDCRunTimes.py" --tripid 133-05 --locoid 4046 --swversion DE.1.0.8.0 --startMP 204:440 --initTime 2017-01-05T07:41:02 --startdatetime 2017-01-05T07:45:28 --delay 2 --endMP 204:232972 --enddatetime 2017-01-05T08:41:16 --enforcementcount 0 &gt;&gt;C:\Users\stu\Documents\GitHub\eaglep3-reporting\EC\2017-01-05-refined-times.txt</v>
      </c>
      <c r="AI44" s="115" t="str">
        <f t="shared" si="18"/>
        <v>echo {"issue":{"subject":"Delayed at Peoria Station","project_id":79,"tracker_id":40,"status_id":1,"priority_id":2,"assigned_to_id":23,"start_date":"2017-01-05","description":"","custom_fields":[{"id":1,"name":"Subdivision","value":"EC"},{"id":4,"name":"Milepost","value":"23.2972"},{"id":17,"name":"Train ID","value":"133-05"},{"id":16,"name":"Locomotive ID","value":"4046"},{"id":130,"name":"Impact","value":""},{"id":150,"name":"Time of Event (Mountain Time)","value":"08:41:16"},{"id":151,"name":"Denver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19"/>
        <v>start /low /b %USERPROFILE%\Documents\GitHub\eaglep3\Utilities\DownloadLogsFromS3.py --loco 4046 --day 2017-01-05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550</v>
      </c>
      <c r="B45" s="7">
        <v>4045</v>
      </c>
      <c r="C45" s="22" t="s">
        <v>203</v>
      </c>
      <c r="D45" s="22" t="s">
        <v>723</v>
      </c>
      <c r="E45" s="13">
        <v>42740.363738425927</v>
      </c>
      <c r="F45" s="13">
        <v>42740.366226851853</v>
      </c>
      <c r="G45" s="7">
        <v>1</v>
      </c>
      <c r="H45" s="22" t="s">
        <v>724</v>
      </c>
      <c r="I45" s="13">
        <v>42740.396435185183</v>
      </c>
      <c r="J45" s="7">
        <v>0</v>
      </c>
      <c r="K45" s="105" t="str">
        <f t="shared" si="0"/>
        <v>4045/4046</v>
      </c>
      <c r="L45" s="22" t="str">
        <f>VLOOKUP(A45,'Trips&amp;Operators'!$C$1:$G$99999,5,FALSE)</f>
        <v>COOLAHAN JOHN</v>
      </c>
      <c r="M45" s="6">
        <f t="shared" si="1"/>
        <v>3.0208333329937886E-2</v>
      </c>
      <c r="N45" s="7">
        <f t="shared" si="33"/>
        <v>43.499999995110556</v>
      </c>
      <c r="O45" s="7"/>
      <c r="P45" s="7"/>
      <c r="Q45" s="23"/>
      <c r="R45" s="23"/>
      <c r="S45" s="32">
        <f t="shared" si="34"/>
        <v>1</v>
      </c>
      <c r="T45" s="47" t="str">
        <f t="shared" si="4"/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07:43:47-700',mode:absolute,to:'2017-01-05 10:30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5" s="49" t="str">
        <f t="shared" si="6"/>
        <v>N</v>
      </c>
      <c r="X45" s="173">
        <f t="shared" si="32"/>
        <v>1</v>
      </c>
      <c r="Y45" s="64">
        <f t="shared" si="7"/>
        <v>23.264500000000002</v>
      </c>
      <c r="Z45" s="64">
        <f t="shared" si="8"/>
        <v>0.11600000000000001</v>
      </c>
      <c r="AA45" s="64">
        <f t="shared" si="9"/>
        <v>23.148500000000002</v>
      </c>
      <c r="AB45" s="61" t="e">
        <f>VLOOKUP(A45,Enforcements!$C$7:$K$18,8,0)</f>
        <v>#N/A</v>
      </c>
      <c r="AC45" s="57" t="e">
        <f>VLOOKUP(A45,Enforcements!$C$7:$E$18,3,0)</f>
        <v>#N/A</v>
      </c>
      <c r="AD45" s="58" t="str">
        <f t="shared" si="10"/>
        <v>0134-05</v>
      </c>
      <c r="AE45" s="87" t="str">
        <f t="shared" si="11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45" s="84" t="str">
        <f t="shared" si="12"/>
        <v>"C:\Program Files (x86)\AstroGrep\AstroGrep.exe" /spath="%USERPROFILE%\AppData\Local\Temp\OnboardLogs" /stypes="app*4045*20170105*" /stext=" 16:.+((SYSTEM_STATE.+slice.+state.+changed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88" t="str">
        <f t="shared" si="17"/>
        <v>"%USERPROFILE%\Documents\GitHub\eaglep3\Utilities\RefineRTDCRunTimes.py" --tripid 134-05 --locoid 4045 --swversion DE.1.0.8.0 --startMP 204:232645 --initTime 2017-01-05T08:43:47 --startdatetime 2017-01-05T08:47:22 --delay 1 --endMP 204:1160 --enddatetime 2017-01-05T09:30:52 --enforcementcount 0 &gt;&gt;C:\Users\stu\Documents\GitHub\eaglep3-reporting\EC\2017-01-05-refined-times.txt</v>
      </c>
      <c r="AI45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{"issue":{"subject":"","project_id":79,"tracker_id":40,"status_id":1,"priority_id":2,"assigned_to_id":23,"start_date":"2017-01-05","description":"","custom_fields":[{"id":1,"name":"Subdivision","value":"EC"},{"id":4,"name":"Milepost","value":"0.116"},{"id":17,"name":"Train ID","value":"134-05"},{"id":16,"name":"Locomotive ID","value":"4045"},{"id":130,"name":"Impact","value":""},{"id":150,"name":"Time of Event (Mountain Time)","value":"09:30:52"},{"id":151,"name":"Denver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19"/>
        <v>start /low /b %USERPROFILE%\Documents\GitHub\eaglep3\Utilities\DownloadLogsFromS3.py --loco 4045 --day 2017-01-05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542</v>
      </c>
      <c r="B46" s="7">
        <v>4042</v>
      </c>
      <c r="C46" s="22" t="s">
        <v>203</v>
      </c>
      <c r="D46" s="22" t="s">
        <v>259</v>
      </c>
      <c r="E46" s="13">
        <v>42740.32949074074</v>
      </c>
      <c r="F46" s="13">
        <v>42740.333506944444</v>
      </c>
      <c r="G46" s="7">
        <v>2</v>
      </c>
      <c r="H46" s="22" t="s">
        <v>413</v>
      </c>
      <c r="I46" s="13">
        <v>42740.36582175926</v>
      </c>
      <c r="J46" s="7">
        <v>0</v>
      </c>
      <c r="K46" s="105" t="str">
        <f t="shared" si="0"/>
        <v>4041/4042</v>
      </c>
      <c r="L46" s="22" t="str">
        <f>VLOOKUP(A46,'Trips&amp;Operators'!$C$1:$G$99999,5,FALSE)</f>
        <v>COMELLA JUSTIN</v>
      </c>
      <c r="M46" s="6">
        <f t="shared" si="1"/>
        <v>3.2314814816345461E-2</v>
      </c>
      <c r="N46" s="7">
        <f t="shared" si="33"/>
        <v>46.533333335537463</v>
      </c>
      <c r="O46" s="7"/>
      <c r="P46" s="7"/>
      <c r="Q46" s="23"/>
      <c r="R46" s="23"/>
      <c r="S46" s="32">
        <f t="shared" si="34"/>
        <v>1</v>
      </c>
      <c r="T46" s="47" t="str">
        <f t="shared" si="4"/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06:54:28-700',mode:absolute,to:'2017-01-05 09:46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6" s="49" t="str">
        <f t="shared" si="6"/>
        <v>N</v>
      </c>
      <c r="X46" s="173">
        <f t="shared" si="32"/>
        <v>1</v>
      </c>
      <c r="Y46" s="64">
        <f t="shared" si="7"/>
        <v>4.4900000000000002E-2</v>
      </c>
      <c r="Z46" s="64">
        <f t="shared" si="8"/>
        <v>23.328399999999998</v>
      </c>
      <c r="AA46" s="64">
        <f t="shared" si="9"/>
        <v>23.2835</v>
      </c>
      <c r="AB46" s="61" t="e">
        <f>VLOOKUP(A46,Enforcements!$C$7:$K$18,8,0)</f>
        <v>#N/A</v>
      </c>
      <c r="AC46" s="57" t="e">
        <f>VLOOKUP(A46,Enforcements!$C$7:$E$18,3,0)</f>
        <v>#N/A</v>
      </c>
      <c r="AD46" s="58" t="str">
        <f t="shared" si="10"/>
        <v>0135-05</v>
      </c>
      <c r="AE46" s="87" t="str">
        <f t="shared" si="11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46" s="84" t="str">
        <f t="shared" si="12"/>
        <v>"C:\Program Files (x86)\AstroGrep\AstroGrep.exe" /spath="%USERPROFILE%\AppData\Local\Temp\OnboardLogs" /stypes="app*4042*20170105*" /stext=" 15:.+((SYSTEM_STATE.+slice.+state.+changed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88" t="str">
        <f t="shared" si="17"/>
        <v>"%USERPROFILE%\Documents\GitHub\eaglep3\Utilities\RefineRTDCRunTimes.py" --tripid 135-05 --locoid 4042 --swversion DE.1.0.8.0 --startMP 204:449 --initTime 2017-01-05T07:54:28 --startdatetime 2017-01-05T08:00:15 --delay 2 --endMP 204:233284 --enddatetime 2017-01-05T08:46:47 --enforcementcount 0 &gt;&gt;C:\Users\stu\Documents\GitHub\eaglep3-reporting\EC\2017-01-05-refined-times.txt</v>
      </c>
      <c r="AI46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{"issue":{"subject":"","project_id":79,"tracker_id":40,"status_id":1,"priority_id":2,"assigned_to_id":23,"start_date":"2017-01-05","description":"","custom_fields":[{"id":1,"name":"Subdivision","value":"EC"},{"id":4,"name":"Milepost","value":"23.3284"},{"id":17,"name":"Train ID","value":"135-05"},{"id":16,"name":"Locomotive ID","value":"4042"},{"id":130,"name":"Impact","value":""},{"id":150,"name":"Time of Event (Mountain Time)","value":"08:46:47"},{"id":151,"name":"Denver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19"/>
        <v>start /low /b %USERPROFILE%\Documents\GitHub\eaglep3\Utilities\DownloadLogsFromS3.py --loco 4042 --day 2017-01-05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551</v>
      </c>
      <c r="B47" s="7">
        <v>4041</v>
      </c>
      <c r="C47" s="22" t="s">
        <v>203</v>
      </c>
      <c r="D47" s="22" t="s">
        <v>309</v>
      </c>
      <c r="E47" s="13">
        <v>42740.369513888887</v>
      </c>
      <c r="F47" s="13">
        <v>42740.372384259259</v>
      </c>
      <c r="G47" s="7">
        <v>1</v>
      </c>
      <c r="H47" s="22" t="s">
        <v>192</v>
      </c>
      <c r="I47" s="13">
        <v>42740.40221064815</v>
      </c>
      <c r="J47" s="7">
        <v>0</v>
      </c>
      <c r="K47" s="105" t="str">
        <f t="shared" si="0"/>
        <v>4041/4042</v>
      </c>
      <c r="L47" s="22" t="str">
        <f>VLOOKUP(A47,'Trips&amp;Operators'!$C$1:$G$99999,5,FALSE)</f>
        <v>ROBINSON KADDIBA</v>
      </c>
      <c r="M47" s="6">
        <f t="shared" si="1"/>
        <v>2.9826388890796807E-2</v>
      </c>
      <c r="N47" s="7">
        <f t="shared" si="33"/>
        <v>42.950000002747402</v>
      </c>
      <c r="O47" s="7"/>
      <c r="P47" s="7"/>
      <c r="Q47" s="23"/>
      <c r="R47" s="23"/>
      <c r="S47" s="32">
        <f t="shared" si="34"/>
        <v>1</v>
      </c>
      <c r="T47" s="47" t="str">
        <f t="shared" si="4"/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07:52:06-700',mode:absolute,to:'2017-01-05 10:39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7" s="49" t="str">
        <f t="shared" si="6"/>
        <v>N</v>
      </c>
      <c r="X47" s="173">
        <f t="shared" si="32"/>
        <v>1</v>
      </c>
      <c r="Y47" s="64">
        <f t="shared" si="7"/>
        <v>23.296700000000001</v>
      </c>
      <c r="Z47" s="64">
        <f t="shared" si="8"/>
        <v>1.43E-2</v>
      </c>
      <c r="AA47" s="64">
        <f t="shared" si="9"/>
        <v>23.282400000000003</v>
      </c>
      <c r="AB47" s="61" t="e">
        <f>VLOOKUP(A47,Enforcements!$C$7:$K$18,8,0)</f>
        <v>#N/A</v>
      </c>
      <c r="AC47" s="57" t="e">
        <f>VLOOKUP(A47,Enforcements!$C$7:$E$18,3,0)</f>
        <v>#N/A</v>
      </c>
      <c r="AD47" s="58" t="str">
        <f t="shared" si="10"/>
        <v>0136-05</v>
      </c>
      <c r="AE47" s="87" t="str">
        <f t="shared" si="11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47" s="84" t="str">
        <f t="shared" si="12"/>
        <v>"C:\Program Files (x86)\AstroGrep\AstroGrep.exe" /spath="%USERPROFILE%\AppData\Local\Temp\OnboardLogs" /stypes="app*4041*20170105*" /stext=" 16:.+((SYSTEM_STATE.+slice.+state.+changed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88" t="str">
        <f t="shared" si="17"/>
        <v>"%USERPROFILE%\Documents\GitHub\eaglep3\Utilities\RefineRTDCRunTimes.py" --tripid 136-05 --locoid 4041 --swversion DE.1.0.8.0 --startMP 204:232967 --initTime 2017-01-05T08:52:06 --startdatetime 2017-01-05T08:56:14 --delay 1 --endMP 204:143 --enddatetime 2017-01-05T09:39:11 --enforcementcount 0 &gt;&gt;C:\Users\stu\Documents\GitHub\eaglep3-reporting\EC\2017-01-05-refined-times.txt</v>
      </c>
      <c r="AI47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ID","value":"136-05"},{"id":16,"name":"Locomotive ID","value":"4041"},{"id":130,"name":"Impact","value":""},{"id":150,"name":"Time of Event (Mountain Time)","value":"09:39:11"},{"id":151,"name":"Denver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19"/>
        <v>start /low /b %USERPROFILE%\Documents\GitHub\eaglep3\Utilities\DownloadLogsFromS3.py --loco 4041 --day 2017-01-05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544</v>
      </c>
      <c r="B48" s="7">
        <v>4022</v>
      </c>
      <c r="C48" s="22" t="s">
        <v>203</v>
      </c>
      <c r="D48" s="22" t="s">
        <v>374</v>
      </c>
      <c r="E48" s="13">
        <v>42740.340798611112</v>
      </c>
      <c r="F48" s="13">
        <v>42740.344143518516</v>
      </c>
      <c r="G48" s="7">
        <v>1</v>
      </c>
      <c r="H48" s="22" t="s">
        <v>725</v>
      </c>
      <c r="I48" s="13">
        <v>42740.373148148145</v>
      </c>
      <c r="J48" s="7">
        <v>0</v>
      </c>
      <c r="K48" s="105" t="str">
        <f t="shared" si="0"/>
        <v>4021/4022</v>
      </c>
      <c r="L48" s="22" t="str">
        <f>VLOOKUP(A48,'Trips&amp;Operators'!$C$1:$G$99999,5,FALSE)</f>
        <v>COMELLA JUSTIN</v>
      </c>
      <c r="M48" s="6">
        <f t="shared" si="1"/>
        <v>2.9004629628616385E-2</v>
      </c>
      <c r="N48" s="7">
        <f t="shared" si="33"/>
        <v>41.766666665207595</v>
      </c>
      <c r="O48" s="7"/>
      <c r="P48" s="7"/>
      <c r="Q48" s="23"/>
      <c r="R48" s="23"/>
      <c r="S48" s="32">
        <f t="shared" si="34"/>
        <v>1</v>
      </c>
      <c r="T48" s="47" t="str">
        <f t="shared" si="4"/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07:10:45-700',mode:absolute,to:'2017-01-05 09:57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8" s="49" t="str">
        <f t="shared" si="6"/>
        <v>N</v>
      </c>
      <c r="X48" s="173">
        <f t="shared" si="32"/>
        <v>1</v>
      </c>
      <c r="Y48" s="64">
        <f t="shared" si="7"/>
        <v>4.6600000000000003E-2</v>
      </c>
      <c r="Z48" s="64">
        <f t="shared" si="8"/>
        <v>23.297000000000001</v>
      </c>
      <c r="AA48" s="64">
        <f t="shared" si="9"/>
        <v>23.250399999999999</v>
      </c>
      <c r="AB48" s="61" t="e">
        <f>VLOOKUP(A48,Enforcements!$C$7:$K$18,8,0)</f>
        <v>#N/A</v>
      </c>
      <c r="AC48" s="57" t="e">
        <f>VLOOKUP(A48,Enforcements!$C$7:$E$18,3,0)</f>
        <v>#N/A</v>
      </c>
      <c r="AD48" s="58" t="str">
        <f t="shared" si="10"/>
        <v>0137-05</v>
      </c>
      <c r="AE48" s="87" t="str">
        <f t="shared" si="11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48" s="84" t="str">
        <f t="shared" si="12"/>
        <v>"C:\Program Files (x86)\AstroGrep\AstroGrep.exe" /spath="%USERPROFILE%\AppData\Local\Temp\OnboardLogs" /stypes="app*4022*20170105*" /stext=" 15:.+((SYSTEM_STATE.+slice.+state.+changed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88" t="str">
        <f t="shared" si="17"/>
        <v>"%USERPROFILE%\Documents\GitHub\eaglep3\Utilities\RefineRTDCRunTimes.py" --tripid 137-05 --locoid 4022 --swversion DE.1.0.8.0 --startMP 204:466 --initTime 2017-01-05T08:10:45 --startdatetime 2017-01-05T08:15:34 --delay 1 --endMP 204:232970 --enddatetime 2017-01-05T08:57:20 --enforcementcount 0 &gt;&gt;C:\Users\stu\Documents\GitHub\eaglep3-reporting\EC\2017-01-05-refined-times.txt</v>
      </c>
      <c r="AI48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{"issue":{"subject":"","project_id":79,"tracker_id":40,"status_id":1,"priority_id":2,"assigned_to_id":23,"start_date":"2017-01-05","description":"","custom_fields":[{"id":1,"name":"Subdivision","value":"EC"},{"id":4,"name":"Milepost","value":"23.297"},{"id":17,"name":"Train ID","value":"137-05"},{"id":16,"name":"Locomotive ID","value":"4022"},{"id":130,"name":"Impact","value":""},{"id":150,"name":"Time of Event (Mountain Time)","value":"08:57:20"},{"id":151,"name":"Denver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19"/>
        <v>start /low /b %USERPROFILE%\Documents\GitHub\eaglep3\Utilities\DownloadLogsFromS3.py --loco 4022 --day 2017-01-05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553</v>
      </c>
      <c r="B49" s="7">
        <v>4021</v>
      </c>
      <c r="C49" s="22" t="s">
        <v>203</v>
      </c>
      <c r="D49" s="22" t="s">
        <v>410</v>
      </c>
      <c r="E49" s="13">
        <v>42740.375243055554</v>
      </c>
      <c r="F49" s="13">
        <v>42740.383229166669</v>
      </c>
      <c r="G49" s="7">
        <v>1</v>
      </c>
      <c r="H49" s="22" t="s">
        <v>209</v>
      </c>
      <c r="I49" s="13">
        <v>42740.412256944444</v>
      </c>
      <c r="J49" s="7">
        <v>0</v>
      </c>
      <c r="K49" s="105" t="str">
        <f t="shared" si="0"/>
        <v>4021/4022</v>
      </c>
      <c r="L49" s="22" t="str">
        <f>VLOOKUP(A49,'Trips&amp;Operators'!$C$1:$G$99999,5,FALSE)</f>
        <v>COMELLA JUSTIN</v>
      </c>
      <c r="M49" s="6">
        <f t="shared" si="1"/>
        <v>2.9027777774899732E-2</v>
      </c>
      <c r="N49" s="7">
        <f t="shared" si="33"/>
        <v>41.799999995855615</v>
      </c>
      <c r="O49" s="7"/>
      <c r="P49" s="7"/>
      <c r="Q49" s="23"/>
      <c r="R49" s="23"/>
      <c r="S49" s="32">
        <f t="shared" si="34"/>
        <v>1</v>
      </c>
      <c r="T49" s="47" t="str">
        <f t="shared" si="4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08:00:21-700',mode:absolute,to:'2017-01-05 10:53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9" s="49" t="str">
        <f t="shared" si="6"/>
        <v>N</v>
      </c>
      <c r="X49" s="173">
        <f t="shared" si="32"/>
        <v>1</v>
      </c>
      <c r="Y49" s="64">
        <f t="shared" si="7"/>
        <v>23.2666</v>
      </c>
      <c r="Z49" s="64">
        <f t="shared" si="8"/>
        <v>1.4999999999999999E-2</v>
      </c>
      <c r="AA49" s="64">
        <f t="shared" si="9"/>
        <v>23.2516</v>
      </c>
      <c r="AB49" s="61" t="e">
        <f>VLOOKUP(A49,Enforcements!$C$7:$K$18,8,0)</f>
        <v>#N/A</v>
      </c>
      <c r="AC49" s="57" t="e">
        <f>VLOOKUP(A49,Enforcements!$C$7:$E$18,3,0)</f>
        <v>#N/A</v>
      </c>
      <c r="AD49" s="58" t="str">
        <f t="shared" si="10"/>
        <v>0138-05</v>
      </c>
      <c r="AE49" s="87" t="str">
        <f t="shared" si="1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49" s="84" t="str">
        <f t="shared" si="12"/>
        <v>"C:\Program Files (x86)\AstroGrep\AstroGrep.exe" /spath="%USERPROFILE%\AppData\Local\Temp\OnboardLogs" /stypes="app*4021*20170105*" /stext=" 16:.+((SYSTEM_STATE.+slice.+state.+changed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88" t="str">
        <f t="shared" si="17"/>
        <v>"%USERPROFILE%\Documents\GitHub\eaglep3\Utilities\RefineRTDCRunTimes.py" --tripid 138-05 --locoid 4021 --swversion DE.1.0.8.0 --startMP 204:232666 --initTime 2017-01-05T09:00:21 --startdatetime 2017-01-05T09:11:51 --delay 1 --endMP 204:150 --enddatetime 2017-01-05T09:53:39 --enforcementcount 0 &gt;&gt;C:\Users\stu\Documents\GitHub\eaglep3-reporting\EC\2017-01-05-refined-times.txt</v>
      </c>
      <c r="AI49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ID","value":"138-05"},{"id":16,"name":"Locomotive ID","value":"4021"},{"id":130,"name":"Impact","value":""},{"id":150,"name":"Time of Event (Mountain Time)","value":"09:53:39"},{"id":151,"name":"Denver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19"/>
        <v>start /low /b %USERPROFILE%\Documents\GitHub\eaglep3\Utilities\DownloadLogsFromS3.py --loco 4021 --day 2017-01-05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545</v>
      </c>
      <c r="B50" s="7">
        <v>4011</v>
      </c>
      <c r="C50" s="22" t="s">
        <v>203</v>
      </c>
      <c r="D50" s="22" t="s">
        <v>292</v>
      </c>
      <c r="E50" s="13">
        <v>42740.350995370369</v>
      </c>
      <c r="F50" s="13">
        <v>42740.354513888888</v>
      </c>
      <c r="G50" s="7">
        <v>1</v>
      </c>
      <c r="H50" s="22" t="s">
        <v>370</v>
      </c>
      <c r="I50" s="13">
        <v>42740.381215277775</v>
      </c>
      <c r="J50" s="7">
        <v>0</v>
      </c>
      <c r="K50" s="105" t="str">
        <f t="shared" si="0"/>
        <v>4011/4012</v>
      </c>
      <c r="L50" s="22" t="str">
        <f>VLOOKUP(A50,'Trips&amp;Operators'!$C$1:$G$99999,5,FALSE)</f>
        <v>YANG JAN</v>
      </c>
      <c r="M50" s="6">
        <f t="shared" si="1"/>
        <v>2.6701388887886424E-2</v>
      </c>
      <c r="N50" s="7">
        <f t="shared" si="33"/>
        <v>38.44999999855645</v>
      </c>
      <c r="O50" s="7"/>
      <c r="P50" s="7"/>
      <c r="Q50" s="23"/>
      <c r="R50" s="23"/>
      <c r="S50" s="32">
        <f t="shared" si="34"/>
        <v>1</v>
      </c>
      <c r="T50" s="47" t="str">
        <f t="shared" si="4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07:25:26-700',mode:absolute,to:'2017-01-05 10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0" s="49" t="str">
        <f t="shared" si="6"/>
        <v>N</v>
      </c>
      <c r="X50" s="173">
        <f t="shared" si="32"/>
        <v>1</v>
      </c>
      <c r="Y50" s="64">
        <f t="shared" si="7"/>
        <v>4.5699999999999998E-2</v>
      </c>
      <c r="Z50" s="64">
        <f t="shared" si="8"/>
        <v>23.328800000000001</v>
      </c>
      <c r="AA50" s="64">
        <f t="shared" si="9"/>
        <v>23.283100000000001</v>
      </c>
      <c r="AB50" s="61" t="e">
        <f>VLOOKUP(A50,Enforcements!$C$7:$K$18,8,0)</f>
        <v>#N/A</v>
      </c>
      <c r="AC50" s="57" t="e">
        <f>VLOOKUP(A50,Enforcements!$C$7:$E$18,3,0)</f>
        <v>#N/A</v>
      </c>
      <c r="AD50" s="58" t="str">
        <f t="shared" si="10"/>
        <v>0139-05</v>
      </c>
      <c r="AE50" s="87" t="str">
        <f t="shared" si="11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50" s="84" t="str">
        <f t="shared" si="12"/>
        <v>"C:\Program Files (x86)\AstroGrep\AstroGrep.exe" /spath="%USERPROFILE%\AppData\Local\Temp\OnboardLogs" /stypes="app*4011*20170105*" /stext=" 16:.+((SYSTEM_STATE.+slice.+state.+changed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88" t="str">
        <f t="shared" si="17"/>
        <v>"%USERPROFILE%\Documents\GitHub\eaglep3\Utilities\RefineRTDCRunTimes.py" --tripid 139-05 --locoid 4011 --swversion DE.1.0.8.0 --startMP 204:457 --initTime 2017-01-05T08:25:26 --startdatetime 2017-01-05T08:30:30 --delay 1 --endMP 204:233288 --enddatetime 2017-01-05T09:08:57 --enforcementcount 0 &gt;&gt;C:\Users\stu\Documents\GitHub\eaglep3-reporting\EC\2017-01-05-refined-times.txt</v>
      </c>
      <c r="AI50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{"issue":{"subject":"","project_id":79,"tracker_id":40,"status_id":1,"priority_id":2,"assigned_to_id":23,"start_date":"2017-01-05","description":"","custom_fields":[{"id":1,"name":"Subdivision","value":"EC"},{"id":4,"name":"Milepost","value":"23.3288"},{"id":17,"name":"Train ID","value":"139-05"},{"id":16,"name":"Locomotive ID","value":"4011"},{"id":130,"name":"Impact","value":""},{"id":150,"name":"Time of Event (Mountain Time)","value":"09:08:57"},{"id":151,"name":"Denver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19"/>
        <v>start /low /b %USERPROFILE%\Documents\GitHub\eaglep3\Utilities\DownloadLogsFromS3.py --loco 4011 --day 2017-01-05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556</v>
      </c>
      <c r="B51" s="7">
        <v>4012</v>
      </c>
      <c r="C51" s="22" t="s">
        <v>203</v>
      </c>
      <c r="D51" s="22" t="s">
        <v>423</v>
      </c>
      <c r="E51" s="13">
        <v>42740.38386574074</v>
      </c>
      <c r="F51" s="13">
        <v>42740.393645833334</v>
      </c>
      <c r="G51" s="7">
        <v>1</v>
      </c>
      <c r="H51" s="22" t="s">
        <v>246</v>
      </c>
      <c r="I51" s="13">
        <v>42740.422893518517</v>
      </c>
      <c r="J51" s="7">
        <v>0</v>
      </c>
      <c r="K51" s="105" t="str">
        <f t="shared" si="0"/>
        <v>4011/4012</v>
      </c>
      <c r="L51" s="22" t="str">
        <f>VLOOKUP(A51,'Trips&amp;Operators'!$C$1:$G$99999,5,FALSE)</f>
        <v>YANG JAN</v>
      </c>
      <c r="M51" s="6">
        <f t="shared" si="1"/>
        <v>2.9247685182781424E-2</v>
      </c>
      <c r="N51" s="7">
        <f t="shared" si="33"/>
        <v>42.116666663205251</v>
      </c>
      <c r="O51" s="7"/>
      <c r="P51" s="7"/>
      <c r="Q51" s="23"/>
      <c r="R51" s="23"/>
      <c r="S51" s="32">
        <f t="shared" si="34"/>
        <v>1</v>
      </c>
      <c r="T51" s="47" t="str">
        <f t="shared" si="4"/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08:12:46-700',mode:absolute,to:'2017-01-05 11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1" s="49" t="str">
        <f t="shared" si="6"/>
        <v>N</v>
      </c>
      <c r="X51" s="173">
        <f t="shared" si="32"/>
        <v>1</v>
      </c>
      <c r="Y51" s="64">
        <f t="shared" si="7"/>
        <v>23.2988</v>
      </c>
      <c r="Z51" s="64">
        <f t="shared" si="8"/>
        <v>1.47E-2</v>
      </c>
      <c r="AA51" s="64">
        <f t="shared" si="9"/>
        <v>23.284099999999999</v>
      </c>
      <c r="AB51" s="61" t="e">
        <f>VLOOKUP(A51,Enforcements!$C$7:$K$18,8,0)</f>
        <v>#N/A</v>
      </c>
      <c r="AC51" s="57" t="e">
        <f>VLOOKUP(A51,Enforcements!$C$7:$E$18,3,0)</f>
        <v>#N/A</v>
      </c>
      <c r="AD51" s="58" t="str">
        <f t="shared" si="10"/>
        <v>0140-05</v>
      </c>
      <c r="AE51" s="87" t="str">
        <f t="shared" si="1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51" s="84" t="str">
        <f t="shared" si="12"/>
        <v>"C:\Program Files (x86)\AstroGrep\AstroGrep.exe" /spath="%USERPROFILE%\AppData\Local\Temp\OnboardLogs" /stypes="app*4012*20170105*" /stext=" 17:.+((SYSTEM_STATE.+slice.+state.+changed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88" t="str">
        <f t="shared" si="17"/>
        <v>"%USERPROFILE%\Documents\GitHub\eaglep3\Utilities\RefineRTDCRunTimes.py" --tripid 140-05 --locoid 4012 --swversion DE.1.0.8.0 --startMP 204:232988 --initTime 2017-01-05T09:12:46 --startdatetime 2017-01-05T09:26:51 --delay 1 --endMP 204:147 --enddatetime 2017-01-05T10:08:58 --enforcementcount 0 &gt;&gt;C:\Users\stu\Documents\GitHub\eaglep3-reporting\EC\2017-01-05-refined-times.txt</v>
      </c>
      <c r="AI51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{"issue":{"subject":"","project_id":79,"tracker_id":40,"status_id":1,"priority_id":2,"assigned_to_id":23,"start_date":"2017-01-05","description":"","custom_fields":[{"id":1,"name":"Subdivision","value":"EC"},{"id":4,"name":"Milepost","value":"0.0147"},{"id":17,"name":"Train ID","value":"140-05"},{"id":16,"name":"Locomotive ID","value":"4012"},{"id":130,"name":"Impact","value":""},{"id":150,"name":"Time of Event (Mountain Time)","value":"10:08:58"},{"id":151,"name":"Denver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19"/>
        <v>start /low /b %USERPROFILE%\Documents\GitHub\eaglep3\Utilities\DownloadLogsFromS3.py --loco 4012 --day 2017-01-05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549</v>
      </c>
      <c r="B52" s="7">
        <v>4007</v>
      </c>
      <c r="C52" s="22" t="s">
        <v>203</v>
      </c>
      <c r="D52" s="22" t="s">
        <v>292</v>
      </c>
      <c r="E52" s="13">
        <v>42740.361828703702</v>
      </c>
      <c r="F52" s="13">
        <v>42740.364942129629</v>
      </c>
      <c r="G52" s="7">
        <v>2</v>
      </c>
      <c r="H52" s="22" t="s">
        <v>414</v>
      </c>
      <c r="I52" s="13">
        <v>42740.393020833333</v>
      </c>
      <c r="J52" s="7">
        <v>0</v>
      </c>
      <c r="K52" s="105" t="str">
        <f t="shared" si="0"/>
        <v>4007/4008</v>
      </c>
      <c r="L52" s="22" t="str">
        <f>VLOOKUP(A52,'Trips&amp;Operators'!$C$1:$G$99999,5,FALSE)</f>
        <v>YORK EDGAR</v>
      </c>
      <c r="M52" s="6">
        <f t="shared" si="1"/>
        <v>2.8078703704522923E-2</v>
      </c>
      <c r="N52" s="7">
        <f t="shared" si="33"/>
        <v>40.433333334513009</v>
      </c>
      <c r="O52" s="7"/>
      <c r="P52" s="7"/>
      <c r="Q52" s="23"/>
      <c r="R52" s="23"/>
      <c r="S52" s="32">
        <f t="shared" si="34"/>
        <v>1</v>
      </c>
      <c r="T52" s="47" t="str">
        <f t="shared" si="4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07:41:02-700',mode:absolute,to:'2017-01-05 10:25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2" s="49" t="str">
        <f t="shared" si="6"/>
        <v>N</v>
      </c>
      <c r="X52" s="173">
        <f t="shared" si="32"/>
        <v>1</v>
      </c>
      <c r="Y52" s="64">
        <f t="shared" si="7"/>
        <v>4.5699999999999998E-2</v>
      </c>
      <c r="Z52" s="64">
        <f t="shared" si="8"/>
        <v>23.2987</v>
      </c>
      <c r="AA52" s="64">
        <f t="shared" si="9"/>
        <v>23.253</v>
      </c>
      <c r="AB52" s="61" t="e">
        <f>VLOOKUP(A52,Enforcements!$C$7:$K$18,8,0)</f>
        <v>#N/A</v>
      </c>
      <c r="AC52" s="57" t="e">
        <f>VLOOKUP(A52,Enforcements!$C$7:$E$18,3,0)</f>
        <v>#N/A</v>
      </c>
      <c r="AD52" s="58" t="str">
        <f t="shared" si="10"/>
        <v>0141-05</v>
      </c>
      <c r="AE52" s="87" t="str">
        <f t="shared" si="11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52" s="84" t="str">
        <f t="shared" si="12"/>
        <v>"C:\Program Files (x86)\AstroGrep\AstroGrep.exe" /spath="%USERPROFILE%\AppData\Local\Temp\OnboardLogs" /stypes="app*4007*20170105*" /stext=" 16:.+((SYSTEM_STATE.+slice.+state.+changed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88" t="str">
        <f t="shared" si="17"/>
        <v>"%USERPROFILE%\Documents\GitHub\eaglep3\Utilities\RefineRTDCRunTimes.py" --tripid 141-05 --locoid 4007 --swversion DE.1.0.8.0 --startMP 204:457 --initTime 2017-01-05T08:41:02 --startdatetime 2017-01-05T08:45:31 --delay 2 --endMP 204:232987 --enddatetime 2017-01-05T09:25:57 --enforcementcount 0 &gt;&gt;C:\Users\stu\Documents\GitHub\eaglep3-reporting\EC\2017-01-05-refined-times.txt</v>
      </c>
      <c r="AI52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{"issue":{"subject":"","project_id":79,"tracker_id":40,"status_id":1,"priority_id":2,"assigned_to_id":23,"start_date":"2017-01-05","description":"","custom_fields":[{"id":1,"name":"Subdivision","value":"EC"},{"id":4,"name":"Milepost","value":"23.2987"},{"id":17,"name":"Train ID","value":"141-05"},{"id":16,"name":"Locomotive ID","value":"4007"},{"id":130,"name":"Impact","value":""},{"id":150,"name":"Time of Event (Mountain Time)","value":"09:25:57"},{"id":151,"name":"Denver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19"/>
        <v>start /low /b %USERPROFILE%\Documents\GitHub\eaglep3\Utilities\DownloadLogsFromS3.py --loco 4007 --day 2017-01-05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472</v>
      </c>
      <c r="B53" s="7">
        <v>4008</v>
      </c>
      <c r="C53" s="22" t="s">
        <v>203</v>
      </c>
      <c r="D53" s="22" t="s">
        <v>410</v>
      </c>
      <c r="E53" s="13">
        <v>42740.395462962966</v>
      </c>
      <c r="F53" s="13">
        <v>42740.408761574072</v>
      </c>
      <c r="G53" s="7">
        <v>1</v>
      </c>
      <c r="H53" s="22" t="s">
        <v>192</v>
      </c>
      <c r="I53" s="13">
        <v>42740.434421296297</v>
      </c>
      <c r="J53" s="7">
        <v>0</v>
      </c>
      <c r="K53" s="105" t="str">
        <f t="shared" si="0"/>
        <v>4007/4008</v>
      </c>
      <c r="L53" s="22" t="str">
        <f>VLOOKUP(A53,'Trips&amp;Operators'!$C$1:$G$99999,5,FALSE)</f>
        <v>YORK EDGAR</v>
      </c>
      <c r="M53" s="6">
        <f t="shared" si="1"/>
        <v>2.5659722225100268E-2</v>
      </c>
      <c r="N53" s="7">
        <f t="shared" si="33"/>
        <v>36.950000004144385</v>
      </c>
      <c r="O53" s="7"/>
      <c r="P53" s="7"/>
      <c r="Q53" s="23"/>
      <c r="R53" s="23"/>
      <c r="S53" s="32">
        <f t="shared" si="34"/>
        <v>1</v>
      </c>
      <c r="T53" s="47" t="str">
        <f t="shared" si="4"/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08:29:28-700',mode:absolute,to:'2017-01-05 11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3" s="49" t="str">
        <f t="shared" si="6"/>
        <v>N</v>
      </c>
      <c r="X53" s="173">
        <f t="shared" si="32"/>
        <v>1</v>
      </c>
      <c r="Y53" s="64">
        <f t="shared" si="7"/>
        <v>23.2666</v>
      </c>
      <c r="Z53" s="64">
        <f t="shared" si="8"/>
        <v>1.43E-2</v>
      </c>
      <c r="AA53" s="64">
        <f t="shared" si="9"/>
        <v>23.252300000000002</v>
      </c>
      <c r="AB53" s="61" t="str">
        <f>VLOOKUP(A53,Enforcements!$C$7:$K$18,8,0)</f>
        <v>Form based authority (4)</v>
      </c>
      <c r="AC53" s="57" t="str">
        <f>VLOOKUP(A53,Enforcements!$C$7:$E$18,3,0)</f>
        <v>TRACK WARRANT AUTHORITY</v>
      </c>
      <c r="AD53" s="58" t="str">
        <f t="shared" si="10"/>
        <v>0142-05</v>
      </c>
      <c r="AE53" s="87" t="str">
        <f t="shared" si="11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53" s="84" t="str">
        <f t="shared" si="12"/>
        <v>"C:\Program Files (x86)\AstroGrep\AstroGrep.exe" /spath="%USERPROFILE%\AppData\Local\Temp\OnboardLogs" /stypes="app*4008*20170105*" /stext=" 17:.+((SYSTEM_STATE.+slice.+state.+changed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88" t="str">
        <f t="shared" si="17"/>
        <v>"%USERPROFILE%\Documents\GitHub\eaglep3\Utilities\RefineRTDCRunTimes.py" --tripid 142-05 --locoid 4008 --swversion DE.1.0.8.0 --startMP 204:232666 --initTime 2017-01-05T09:29:28 --startdatetime 2017-01-05T09:48:37 --delay 1 --endMP 204:143 --enddatetime 2017-01-05T10:25:34 --enforcementcount 0 &gt;&gt;C:\Users\stu\Documents\GitHub\eaglep3-reporting\EC\2017-01-05-refined-times.txt</v>
      </c>
      <c r="AI53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ID","value":"142-05"},{"id":16,"name":"Locomotive ID","value":"4008"},{"id":130,"name":"Impact","value":""},{"id":150,"name":"Time of Event (Mountain Time)","value":"10:25:34"},{"id":151,"name":"Denver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19"/>
        <v>start /low /b %USERPROFILE%\Documents\GitHub\eaglep3\Utilities\DownloadLogsFromS3.py --loco 4008 --day 2017-01-05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552</v>
      </c>
      <c r="B54" s="7">
        <v>4003</v>
      </c>
      <c r="C54" s="22" t="s">
        <v>203</v>
      </c>
      <c r="D54" s="22" t="s">
        <v>726</v>
      </c>
      <c r="E54" s="13">
        <v>42740.373078703706</v>
      </c>
      <c r="F54" s="13">
        <v>42740.376828703702</v>
      </c>
      <c r="G54" s="7">
        <v>4</v>
      </c>
      <c r="H54" s="22" t="s">
        <v>340</v>
      </c>
      <c r="I54" s="13">
        <v>42740.402731481481</v>
      </c>
      <c r="J54" s="7">
        <v>0</v>
      </c>
      <c r="K54" s="105" t="str">
        <f t="shared" si="0"/>
        <v>4003/4004</v>
      </c>
      <c r="L54" s="22" t="str">
        <f>VLOOKUP(A54,'Trips&amp;Operators'!$C$1:$G$99999,5,FALSE)</f>
        <v>STRICKLAND EVAN</v>
      </c>
      <c r="M54" s="6">
        <f t="shared" si="1"/>
        <v>2.5902777779265307E-2</v>
      </c>
      <c r="N54" s="7">
        <f t="shared" si="33"/>
        <v>37.300000002142042</v>
      </c>
      <c r="O54" s="7"/>
      <c r="P54" s="7"/>
      <c r="Q54" s="23"/>
      <c r="R54" s="23"/>
      <c r="S54" s="32">
        <f t="shared" si="34"/>
        <v>1</v>
      </c>
      <c r="T54" s="47" t="str">
        <f t="shared" si="4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07:57:14-700',mode:absolute,to:'2017-01-05 10:39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4" s="49" t="str">
        <f t="shared" si="6"/>
        <v>N</v>
      </c>
      <c r="X54" s="173">
        <f t="shared" si="32"/>
        <v>1</v>
      </c>
      <c r="Y54" s="64">
        <f t="shared" si="7"/>
        <v>4.3299999999999998E-2</v>
      </c>
      <c r="Z54" s="64">
        <f t="shared" si="8"/>
        <v>23.332000000000001</v>
      </c>
      <c r="AA54" s="64">
        <f t="shared" si="9"/>
        <v>23.288700000000002</v>
      </c>
      <c r="AB54" s="61" t="e">
        <f>VLOOKUP(A54,Enforcements!$C$7:$K$18,8,0)</f>
        <v>#N/A</v>
      </c>
      <c r="AC54" s="57" t="e">
        <f>VLOOKUP(A54,Enforcements!$C$7:$E$18,3,0)</f>
        <v>#N/A</v>
      </c>
      <c r="AD54" s="58" t="str">
        <f t="shared" si="10"/>
        <v>0143-05</v>
      </c>
      <c r="AE54" s="87" t="str">
        <f t="shared" si="11"/>
        <v>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 &amp; 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</v>
      </c>
      <c r="AF54" s="84" t="str">
        <f t="shared" si="12"/>
        <v>"C:\Program Files (x86)\AstroGrep\AstroGrep.exe" /spath="%USERPROFILE%\AppData\Local\Temp\OnboardLogs" /stypes="app*4003*20170105*" /stext=" 16:.+((SYSTEM_STATE.+slice.+state.+changed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88" t="str">
        <f t="shared" si="17"/>
        <v>"%USERPROFILE%\Documents\GitHub\eaglep3\Utilities\RefineRTDCRunTimes.py" --tripid 143-05 --locoid 4003 --swversion DE.1.0.8.0 --startMP 204:433 --initTime 2017-01-05T08:57:14 --startdatetime 2017-01-05T09:02:38 --delay 4 --endMP 204:233320 --enddatetime 2017-01-05T09:39:56 --enforcementcount 0 &gt;&gt;C:\Users\stu\Documents\GitHub\eaglep3-reporting\EC\2017-01-05-refined-times.txt</v>
      </c>
      <c r="AI54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{"issue":{"subject":"","project_id":79,"tracker_id":40,"status_id":1,"priority_id":2,"assigned_to_id":23,"start_date":"2017-01-05","description":"","custom_fields":[{"id":1,"name":"Subdivision","value":"EC"},{"id":4,"name":"Milepost","value":"23.332"},{"id":17,"name":"Train ID","value":"143-05"},{"id":16,"name":"Locomotive ID","value":"4003"},{"id":130,"name":"Impact","value":""},{"id":150,"name":"Time of Event (Mountain Time)","value":"09:39:56"},{"id":151,"name":"Denver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19"/>
        <v>start /low /b %USERPROFILE%\Documents\GitHub\eaglep3\Utilities\DownloadLogsFromS3.py --loco 4003 --day 2017-01-05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554</v>
      </c>
      <c r="B55" s="7">
        <v>4004</v>
      </c>
      <c r="C55" s="22" t="s">
        <v>203</v>
      </c>
      <c r="D55" s="22" t="s">
        <v>716</v>
      </c>
      <c r="E55" s="13">
        <v>42740.404085648152</v>
      </c>
      <c r="F55" s="13">
        <v>42740.416284722225</v>
      </c>
      <c r="G55" s="7">
        <v>8</v>
      </c>
      <c r="H55" s="22" t="s">
        <v>209</v>
      </c>
      <c r="I55" s="13">
        <v>42740.444641203707</v>
      </c>
      <c r="J55" s="7">
        <v>0</v>
      </c>
      <c r="K55" s="105" t="str">
        <f t="shared" si="0"/>
        <v>4003/4004</v>
      </c>
      <c r="L55" s="22" t="str">
        <f>VLOOKUP(A55,'Trips&amp;Operators'!$C$1:$G$99999,5,FALSE)</f>
        <v>ISHMAEL JOSEPH</v>
      </c>
      <c r="M55" s="6">
        <f t="shared" si="1"/>
        <v>2.8356481481750961E-2</v>
      </c>
      <c r="N55" s="7">
        <f t="shared" si="33"/>
        <v>40.833333333721384</v>
      </c>
      <c r="O55" s="7"/>
      <c r="P55" s="7"/>
      <c r="Q55" s="23"/>
      <c r="R55" s="23"/>
      <c r="S55" s="32">
        <f t="shared" si="34"/>
        <v>1</v>
      </c>
      <c r="T55" s="47" t="str">
        <f t="shared" si="4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08:41:53-700',mode:absolute,to:'2017-01-05 11:40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5" s="49" t="str">
        <f t="shared" si="6"/>
        <v>N</v>
      </c>
      <c r="X55" s="173">
        <f t="shared" si="32"/>
        <v>1</v>
      </c>
      <c r="Y55" s="64">
        <f t="shared" si="7"/>
        <v>23.299399999999999</v>
      </c>
      <c r="Z55" s="64">
        <f t="shared" si="8"/>
        <v>1.4999999999999999E-2</v>
      </c>
      <c r="AA55" s="64">
        <f t="shared" si="9"/>
        <v>23.284399999999998</v>
      </c>
      <c r="AB55" s="61" t="e">
        <f>VLOOKUP(A55,Enforcements!$C$7:$K$18,8,0)</f>
        <v>#N/A</v>
      </c>
      <c r="AC55" s="57" t="e">
        <f>VLOOKUP(A55,Enforcements!$C$7:$E$18,3,0)</f>
        <v>#N/A</v>
      </c>
      <c r="AD55" s="58" t="str">
        <f t="shared" si="10"/>
        <v>0144-05</v>
      </c>
      <c r="AE55" s="87" t="str">
        <f t="shared" si="11"/>
        <v>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 &amp; 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</v>
      </c>
      <c r="AF55" s="84" t="str">
        <f t="shared" si="12"/>
        <v>"C:\Program Files (x86)\AstroGrep\AstroGrep.exe" /spath="%USERPROFILE%\AppData\Local\Temp\OnboardLogs" /stypes="app*4004*20170105*" /stext=" 17:.+((SYSTEM_STATE.+slice.+state.+changed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88" t="str">
        <f t="shared" si="17"/>
        <v>"%USERPROFILE%\Documents\GitHub\eaglep3\Utilities\RefineRTDCRunTimes.py" --tripid 144-05 --locoid 4004 --swversion DE.1.0.8.0 --startMP 204:232994 --initTime 2017-01-05T09:41:53 --startdatetime 2017-01-05T09:59:27 --delay 8 --endMP 204:150 --enddatetime 2017-01-05T10:40:17 --enforcementcount 0 &gt;&gt;C:\Users\stu\Documents\GitHub\eaglep3-reporting\EC\2017-01-05-refined-times.txt</v>
      </c>
      <c r="AI55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ID","value":"144-05"},{"id":16,"name":"Locomotive ID","value":"4004"},{"id":130,"name":"Impact","value":""},{"id":150,"name":"Time of Event (Mountain Time)","value":"10:40:17"},{"id":151,"name":"Denver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19"/>
        <v>start /low /b %USERPROFILE%\Documents\GitHub\eaglep3\Utilities\DownloadLogsFromS3.py --loco 4004 --day 2017-01-05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555</v>
      </c>
      <c r="B56" s="7">
        <v>4031</v>
      </c>
      <c r="C56" s="22" t="s">
        <v>203</v>
      </c>
      <c r="D56" s="22" t="s">
        <v>226</v>
      </c>
      <c r="E56" s="13">
        <v>42740.379282407404</v>
      </c>
      <c r="F56" s="13">
        <v>42740.385648148149</v>
      </c>
      <c r="G56" s="7">
        <v>1</v>
      </c>
      <c r="H56" s="22" t="s">
        <v>424</v>
      </c>
      <c r="I56" s="13">
        <v>42740.41611111111</v>
      </c>
      <c r="J56" s="7">
        <v>0</v>
      </c>
      <c r="K56" s="105" t="str">
        <f t="shared" si="0"/>
        <v>4031/4032</v>
      </c>
      <c r="L56" s="22" t="str">
        <f>VLOOKUP(A56,'Trips&amp;Operators'!$C$1:$G$99999,5,FALSE)</f>
        <v>ISHMAEL JOSEPH</v>
      </c>
      <c r="M56" s="6">
        <f t="shared" si="1"/>
        <v>3.0462962960882578E-2</v>
      </c>
      <c r="N56" s="7">
        <f t="shared" si="33"/>
        <v>43.866666663670912</v>
      </c>
      <c r="O56" s="7"/>
      <c r="P56" s="7"/>
      <c r="Q56" s="23"/>
      <c r="R56" s="23"/>
      <c r="S56" s="32">
        <f t="shared" si="34"/>
        <v>1</v>
      </c>
      <c r="T56" s="47" t="str">
        <f t="shared" si="4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08:06:10-700',mode:absolute,to:'2017-01-05 10:59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6" s="49" t="str">
        <f t="shared" si="6"/>
        <v>N</v>
      </c>
      <c r="X56" s="173">
        <f t="shared" si="32"/>
        <v>1</v>
      </c>
      <c r="Y56" s="64">
        <f t="shared" si="7"/>
        <v>4.5999999999999999E-2</v>
      </c>
      <c r="Z56" s="64">
        <f t="shared" si="8"/>
        <v>23.299299999999999</v>
      </c>
      <c r="AA56" s="64">
        <f t="shared" si="9"/>
        <v>23.253299999999999</v>
      </c>
      <c r="AB56" s="61" t="e">
        <f>VLOOKUP(A56,Enforcements!$C$7:$K$18,8,0)</f>
        <v>#N/A</v>
      </c>
      <c r="AC56" s="57" t="e">
        <f>VLOOKUP(A56,Enforcements!$C$7:$E$18,3,0)</f>
        <v>#N/A</v>
      </c>
      <c r="AD56" s="58" t="str">
        <f t="shared" si="10"/>
        <v>0145-05</v>
      </c>
      <c r="AE56" s="87" t="str">
        <f t="shared" si="11"/>
        <v>aws s3 cp s3://rtdc.mdm.uploadarchive.raw/RTDC4031/ "%USERPROFILE%\AppData\Local\Temp\OnboardLogs"\RTDC4031\2017-01-05 --exclude "*" --recursive --include "*20170105*" &amp; "%USERPROFILE%\Documents\GitHub\mrs-test-scripts\Headless Mode &amp; Sideloading\WalkAndUnGZ.bat" "%USERPROFILE%\AppData\Local\Temp\OnboardLogs"\RTDC4031\2017-01-05 &amp; 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</v>
      </c>
      <c r="AF56" s="84" t="str">
        <f t="shared" si="12"/>
        <v>"C:\Program Files (x86)\AstroGrep\AstroGrep.exe" /spath="%USERPROFILE%\AppData\Local\Temp\OnboardLogs" /stypes="app*4031*20170105*" /stext=" 16:.+((SYSTEM_STATE.+slice.+state.+changed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88" t="str">
        <f t="shared" si="17"/>
        <v>"%USERPROFILE%\Documents\GitHub\eaglep3\Utilities\RefineRTDCRunTimes.py" --tripid 145-05 --locoid 4031 --swversion DE.1.0.8.0 --startMP 204:460 --initTime 2017-01-05T09:06:10 --startdatetime 2017-01-05T09:15:20 --delay 1 --endMP 204:232993 --enddatetime 2017-01-05T09:59:12 --enforcementcount 0 &gt;&gt;C:\Users\stu\Documents\GitHub\eaglep3-reporting\EC\2017-01-05-refined-times.txt</v>
      </c>
      <c r="AI56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{"issue":{"subject":"","project_id":79,"tracker_id":40,"status_id":1,"priority_id":2,"assigned_to_id":23,"start_date":"2017-01-05","description":"","custom_fields":[{"id":1,"name":"Subdivision","value":"EC"},{"id":4,"name":"Milepost","value":"23.2993"},{"id":17,"name":"Train ID","value":"145-05"},{"id":16,"name":"Locomotive ID","value":"4031"},{"id":130,"name":"Impact","value":""},{"id":150,"name":"Time of Event (Mountain Time)","value":"09:59:12"},{"id":151,"name":"Denver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19"/>
        <v>start /low /b %USERPROFILE%\Documents\GitHub\eaglep3\Utilities\DownloadLogsFromS3.py --loco 4031 --day 2017-01-05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564</v>
      </c>
      <c r="B57" s="7">
        <v>4032</v>
      </c>
      <c r="C57" s="22" t="s">
        <v>203</v>
      </c>
      <c r="D57" s="22" t="s">
        <v>727</v>
      </c>
      <c r="E57" s="13">
        <v>42740.417546296296</v>
      </c>
      <c r="F57" s="13">
        <v>42740.424710648149</v>
      </c>
      <c r="G57" s="7">
        <v>2</v>
      </c>
      <c r="H57" s="22" t="s">
        <v>192</v>
      </c>
      <c r="I57" s="13">
        <v>42740.452037037037</v>
      </c>
      <c r="J57" s="7">
        <v>0</v>
      </c>
      <c r="K57" s="105" t="str">
        <f t="shared" si="0"/>
        <v>4031/4032</v>
      </c>
      <c r="L57" s="22" t="str">
        <f>VLOOKUP(A57,'Trips&amp;Operators'!$C$1:$G$99999,5,FALSE)</f>
        <v>ISHMAEL JOSEPH</v>
      </c>
      <c r="M57" s="6">
        <f t="shared" si="1"/>
        <v>2.73263888884685E-2</v>
      </c>
      <c r="N57" s="7">
        <f t="shared" si="33"/>
        <v>39.34999999939464</v>
      </c>
      <c r="O57" s="7"/>
      <c r="P57" s="7"/>
      <c r="Q57" s="23"/>
      <c r="R57" s="23"/>
      <c r="S57" s="32">
        <f t="shared" si="34"/>
        <v>1</v>
      </c>
      <c r="T57" s="47" t="str">
        <f t="shared" si="4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09:01:16-700',mode:absolute,to:'2017-01-05 11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7" s="49" t="str">
        <f t="shared" si="6"/>
        <v>N</v>
      </c>
      <c r="X57" s="173">
        <f t="shared" si="32"/>
        <v>1</v>
      </c>
      <c r="Y57" s="64">
        <f t="shared" si="7"/>
        <v>23.2668</v>
      </c>
      <c r="Z57" s="64">
        <f t="shared" si="8"/>
        <v>1.43E-2</v>
      </c>
      <c r="AA57" s="64">
        <f t="shared" si="9"/>
        <v>23.252500000000001</v>
      </c>
      <c r="AB57" s="61" t="e">
        <f>VLOOKUP(A57,Enforcements!$C$7:$K$18,8,0)</f>
        <v>#N/A</v>
      </c>
      <c r="AC57" s="57" t="e">
        <f>VLOOKUP(A57,Enforcements!$C$7:$E$18,3,0)</f>
        <v>#N/A</v>
      </c>
      <c r="AD57" s="58" t="str">
        <f t="shared" si="10"/>
        <v>0146-05</v>
      </c>
      <c r="AE57" s="87" t="str">
        <f t="shared" si="11"/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57" s="84" t="str">
        <f t="shared" si="12"/>
        <v>"C:\Program Files (x86)\AstroGrep\AstroGrep.exe" /spath="%USERPROFILE%\AppData\Local\Temp\OnboardLogs" /stypes="app*4032*20170105*" /stext=" 17:.+((SYSTEM_STATE.+slice.+state.+changed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88" t="str">
        <f t="shared" si="17"/>
        <v>"%USERPROFILE%\Documents\GitHub\eaglep3\Utilities\RefineRTDCRunTimes.py" --tripid 146-05 --locoid 4032 --swversion DE.1.0.8.0 --startMP 204:232668 --initTime 2017-01-05T10:01:16 --startdatetime 2017-01-05T10:11:35 --delay 2 --endMP 204:143 --enddatetime 2017-01-05T10:50:56 --enforcementcount 0 &gt;&gt;C:\Users\stu\Documents\GitHub\eaglep3-reporting\EC\2017-01-05-refined-times.txt</v>
      </c>
      <c r="AI57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ID","value":"146-05"},{"id":16,"name":"Locomotive ID","value":"4032"},{"id":130,"name":"Impact","value":""},{"id":150,"name":"Time of Event (Mountain Time)","value":"10:50:56"},{"id":151,"name":"Denver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19"/>
        <v>start /low /b %USERPROFILE%\Documents\GitHub\eaglep3\Utilities\DownloadLogsFromS3.py --loco 4032 --day 2017-01-05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558</v>
      </c>
      <c r="B58" s="7">
        <v>4002</v>
      </c>
      <c r="C58" s="22" t="s">
        <v>203</v>
      </c>
      <c r="D58" s="22" t="s">
        <v>292</v>
      </c>
      <c r="E58" s="13">
        <v>42740.396018518521</v>
      </c>
      <c r="F58" s="13">
        <v>42740.397164351853</v>
      </c>
      <c r="G58" s="7">
        <v>1</v>
      </c>
      <c r="H58" s="22" t="s">
        <v>728</v>
      </c>
      <c r="I58" s="13">
        <v>42740.423078703701</v>
      </c>
      <c r="J58" s="7">
        <v>0</v>
      </c>
      <c r="K58" s="105" t="str">
        <f t="shared" si="0"/>
        <v>4001/4002</v>
      </c>
      <c r="L58" s="22" t="str">
        <f>VLOOKUP(A58,'Trips&amp;Operators'!$C$1:$G$99999,5,FALSE)</f>
        <v>SANTIZO D. EDY</v>
      </c>
      <c r="M58" s="6">
        <f t="shared" si="1"/>
        <v>2.5914351848769002E-2</v>
      </c>
      <c r="N58" s="7">
        <f t="shared" si="33"/>
        <v>37.316666662227362</v>
      </c>
      <c r="O58" s="7"/>
      <c r="P58" s="7"/>
      <c r="Q58" s="23"/>
      <c r="R58" s="23"/>
      <c r="S58" s="32">
        <f t="shared" si="34"/>
        <v>1</v>
      </c>
      <c r="T58" s="47" t="str">
        <f t="shared" si="4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08:30:16-700',mode:absolute,to:'2017-01-05 11:09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8" s="49" t="str">
        <f t="shared" si="6"/>
        <v>N</v>
      </c>
      <c r="X58" s="173">
        <f t="shared" ref="X58:X60" si="35">VALUE(LEFT(AD58,4))-VALUE(LEFT(AD57,4))</f>
        <v>1</v>
      </c>
      <c r="Y58" s="64">
        <f t="shared" si="7"/>
        <v>4.5699999999999998E-2</v>
      </c>
      <c r="Z58" s="64">
        <f t="shared" si="8"/>
        <v>23.331600000000002</v>
      </c>
      <c r="AA58" s="64">
        <f t="shared" si="9"/>
        <v>23.285900000000002</v>
      </c>
      <c r="AB58" s="61" t="e">
        <f>VLOOKUP(A58,Enforcements!$C$7:$K$18,8,0)</f>
        <v>#N/A</v>
      </c>
      <c r="AC58" s="57" t="e">
        <f>VLOOKUP(A58,Enforcements!$C$7:$E$18,3,0)</f>
        <v>#N/A</v>
      </c>
      <c r="AD58" s="58" t="str">
        <f t="shared" si="10"/>
        <v>0147-05</v>
      </c>
      <c r="AE58" s="87" t="str">
        <f t="shared" si="11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58" s="84" t="str">
        <f t="shared" si="12"/>
        <v>"C:\Program Files (x86)\AstroGrep\AstroGrep.exe" /spath="%USERPROFILE%\AppData\Local\Temp\OnboardLogs" /stypes="app*4002*20170105*" /stext=" 17:.+((SYSTEM_STATE.+slice.+state.+changed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88" t="str">
        <f t="shared" si="17"/>
        <v>"%USERPROFILE%\Documents\GitHub\eaglep3\Utilities\RefineRTDCRunTimes.py" --tripid 147-05 --locoid 4002 --swversion DE.1.0.8.0 --startMP 204:457 --initTime 2017-01-05T09:30:16 --startdatetime 2017-01-05T09:31:55 --delay 1 --endMP 204:233316 --enddatetime 2017-01-05T10:09:14 --enforcementcount 0 &gt;&gt;C:\Users\stu\Documents\GitHub\eaglep3-reporting\EC\2017-01-05-refined-times.txt</v>
      </c>
      <c r="AI58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{"issue":{"subject":"","project_id":79,"tracker_id":40,"status_id":1,"priority_id":2,"assigned_to_id":23,"start_date":"2017-01-05","description":"","custom_fields":[{"id":1,"name":"Subdivision","value":"EC"},{"id":4,"name":"Milepost","value":"23.3316"},{"id":17,"name":"Train ID","value":"147-05"},{"id":16,"name":"Locomotive ID","value":"4002"},{"id":130,"name":"Impact","value":""},{"id":150,"name":"Time of Event (Mountain Time)","value":"10:09:14"},{"id":151,"name":"Denver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19"/>
        <v>start /low /b %USERPROFILE%\Documents\GitHub\eaglep3\Utilities\DownloadLogsFromS3.py --loco 4002 --day 2017-01-05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566</v>
      </c>
      <c r="B59" s="7">
        <v>4001</v>
      </c>
      <c r="C59" s="22" t="s">
        <v>203</v>
      </c>
      <c r="D59" s="22" t="s">
        <v>716</v>
      </c>
      <c r="E59" s="13">
        <v>42740.42597222222</v>
      </c>
      <c r="F59" s="13">
        <v>42740.434988425928</v>
      </c>
      <c r="G59" s="7">
        <v>1</v>
      </c>
      <c r="H59" s="22" t="s">
        <v>229</v>
      </c>
      <c r="I59" s="13">
        <v>42740.464201388888</v>
      </c>
      <c r="J59" s="7">
        <v>0</v>
      </c>
      <c r="K59" s="105" t="str">
        <f t="shared" si="0"/>
        <v>4001/4002</v>
      </c>
      <c r="L59" s="22" t="str">
        <f>VLOOKUP(A59,'Trips&amp;Operators'!$C$1:$G$99999,5,FALSE)</f>
        <v>YANAI IAN</v>
      </c>
      <c r="M59" s="6">
        <f t="shared" si="1"/>
        <v>2.9212962959718425E-2</v>
      </c>
      <c r="N59" s="7">
        <f t="shared" si="33"/>
        <v>42.066666661994532</v>
      </c>
      <c r="O59" s="7"/>
      <c r="P59" s="7"/>
      <c r="Q59" s="23"/>
      <c r="R59" s="23"/>
      <c r="S59" s="32">
        <f t="shared" si="34"/>
        <v>1</v>
      </c>
      <c r="T59" s="47" t="str">
        <f t="shared" si="4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09:13:24-700',mode:absolute,to:'2017-01-05 12:08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9" s="49" t="str">
        <f t="shared" si="6"/>
        <v>N</v>
      </c>
      <c r="X59" s="173">
        <f t="shared" si="35"/>
        <v>1</v>
      </c>
      <c r="Y59" s="64">
        <f t="shared" si="7"/>
        <v>23.299399999999999</v>
      </c>
      <c r="Z59" s="64">
        <f t="shared" si="8"/>
        <v>1.4500000000000001E-2</v>
      </c>
      <c r="AA59" s="64">
        <f t="shared" si="9"/>
        <v>23.284899999999997</v>
      </c>
      <c r="AB59" s="61" t="e">
        <f>VLOOKUP(A59,Enforcements!$C$7:$K$18,8,0)</f>
        <v>#N/A</v>
      </c>
      <c r="AC59" s="57" t="e">
        <f>VLOOKUP(A59,Enforcements!$C$7:$E$18,3,0)</f>
        <v>#N/A</v>
      </c>
      <c r="AD59" s="58" t="str">
        <f t="shared" si="10"/>
        <v>0148-05</v>
      </c>
      <c r="AE59" s="87" t="str">
        <f t="shared" si="11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59" s="84" t="str">
        <f t="shared" si="12"/>
        <v>"C:\Program Files (x86)\AstroGrep\AstroGrep.exe" /spath="%USERPROFILE%\AppData\Local\Temp\OnboardLogs" /stypes="app*4001*20170105*" /stext=" 18:.+((SYSTEM_STATE.+slice.+state.+changed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88" t="str">
        <f t="shared" si="17"/>
        <v>"%USERPROFILE%\Documents\GitHub\eaglep3\Utilities\RefineRTDCRunTimes.py" --tripid 148-05 --locoid 4001 --swversion DE.1.0.8.0 --startMP 204:232994 --initTime 2017-01-05T10:13:24 --startdatetime 2017-01-05T10:26:23 --delay 1 --endMP 204:145 --enddatetime 2017-01-05T11:08:27 --enforcementcount 0 &gt;&gt;C:\Users\stu\Documents\GitHub\eaglep3-reporting\EC\2017-01-05-refined-times.txt</v>
      </c>
      <c r="AI59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{"issue":{"subject":"","project_id":79,"tracker_id":40,"status_id":1,"priority_id":2,"assigned_to_id":23,"start_date":"2017-01-05","description":"","custom_fields":[{"id":1,"name":"Subdivision","value":"EC"},{"id":4,"name":"Milepost","value":"0.0145"},{"id":17,"name":"Train ID","value":"148-05"},{"id":16,"name":"Locomotive ID","value":"4001"},{"id":130,"name":"Impact","value":""},{"id":150,"name":"Time of Event (Mountain Time)","value":"11:08:27"},{"id":151,"name":"Denver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19"/>
        <v>start /low /b %USERPROFILE%\Documents\GitHub\eaglep3\Utilities\DownloadLogsFromS3.py --loco 4001 --day 2017-01-05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562</v>
      </c>
      <c r="B60" s="7">
        <v>4042</v>
      </c>
      <c r="C60" s="22" t="s">
        <v>203</v>
      </c>
      <c r="D60" s="22" t="s">
        <v>307</v>
      </c>
      <c r="E60" s="13">
        <v>42740.404004629629</v>
      </c>
      <c r="F60" s="13">
        <v>42740.406585648147</v>
      </c>
      <c r="G60" s="7">
        <v>1</v>
      </c>
      <c r="H60" s="22" t="s">
        <v>414</v>
      </c>
      <c r="I60" s="13">
        <v>42740.440740740742</v>
      </c>
      <c r="J60" s="7">
        <v>0</v>
      </c>
      <c r="K60" s="105" t="str">
        <f t="shared" si="0"/>
        <v>4041/4042</v>
      </c>
      <c r="L60" s="22" t="str">
        <f>VLOOKUP(A60,'Trips&amp;Operators'!$C$1:$G$99999,5,FALSE)</f>
        <v>COMELLA JUSTIN</v>
      </c>
      <c r="M60" s="6">
        <f t="shared" si="1"/>
        <v>3.4155092595028691E-2</v>
      </c>
      <c r="N60" s="7">
        <f t="shared" si="33"/>
        <v>49.183333336841315</v>
      </c>
      <c r="O60" s="7"/>
      <c r="P60" s="7"/>
      <c r="Q60" s="23"/>
      <c r="R60" s="23"/>
      <c r="S60" s="32">
        <f t="shared" si="34"/>
        <v>1</v>
      </c>
      <c r="T60" s="47" t="str">
        <f t="shared" si="4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08:41:46-700',mode:absolute,to:'2017-01-05 11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0" s="49" t="str">
        <f t="shared" si="6"/>
        <v>N</v>
      </c>
      <c r="X60" s="173">
        <f t="shared" si="35"/>
        <v>1</v>
      </c>
      <c r="Y60" s="64">
        <f t="shared" si="7"/>
        <v>4.6699999999999998E-2</v>
      </c>
      <c r="Z60" s="64">
        <f t="shared" si="8"/>
        <v>23.2987</v>
      </c>
      <c r="AA60" s="64">
        <f t="shared" si="9"/>
        <v>23.251999999999999</v>
      </c>
      <c r="AB60" s="61" t="e">
        <f>VLOOKUP(A60,Enforcements!$C$7:$K$18,8,0)</f>
        <v>#N/A</v>
      </c>
      <c r="AC60" s="57" t="e">
        <f>VLOOKUP(A60,Enforcements!$C$7:$E$18,3,0)</f>
        <v>#N/A</v>
      </c>
      <c r="AD60" s="58" t="str">
        <f t="shared" si="10"/>
        <v>0149-05</v>
      </c>
      <c r="AE60" s="87" t="str">
        <f t="shared" si="11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60" s="84" t="str">
        <f t="shared" si="12"/>
        <v>"C:\Program Files (x86)\AstroGrep\AstroGrep.exe" /spath="%USERPROFILE%\AppData\Local\Temp\OnboardLogs" /stypes="app*4042*20170105*" /stext=" 17:.+((SYSTEM_STATE.+slice.+state.+changed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88" t="str">
        <f t="shared" si="17"/>
        <v>"%USERPROFILE%\Documents\GitHub\eaglep3\Utilities\RefineRTDCRunTimes.py" --tripid 149-05 --locoid 4042 --swversion DE.1.0.8.0 --startMP 204:467 --initTime 2017-01-05T09:41:46 --startdatetime 2017-01-05T09:45:29 --delay 1 --endMP 204:232987 --enddatetime 2017-01-05T10:34:40 --enforcementcount 0 &gt;&gt;C:\Users\stu\Documents\GitHub\eaglep3-reporting\EC\2017-01-05-refined-times.txt</v>
      </c>
      <c r="AI60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{"issue":{"subject":"","project_id":79,"tracker_id":40,"status_id":1,"priority_id":2,"assigned_to_id":23,"start_date":"2017-01-05","description":"","custom_fields":[{"id":1,"name":"Subdivision","value":"EC"},{"id":4,"name":"Milepost","value":"23.2987"},{"id":17,"name":"Train ID","value":"149-05"},{"id":16,"name":"Locomotive ID","value":"4042"},{"id":130,"name":"Impact","value":""},{"id":150,"name":"Time of Event (Mountain Time)","value":"10:34:40"},{"id":151,"name":"Denver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19"/>
        <v>start /low /b %USERPROFILE%\Documents\GitHub\eaglep3\Utilities\DownloadLogsFromS3.py --loco 4042 --day 2017-01-05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568</v>
      </c>
      <c r="B61" s="7">
        <v>4041</v>
      </c>
      <c r="C61" s="22" t="s">
        <v>203</v>
      </c>
      <c r="D61" s="22" t="s">
        <v>699</v>
      </c>
      <c r="E61" s="13">
        <v>42740.443391203706</v>
      </c>
      <c r="F61" s="13">
        <v>42740.4453125</v>
      </c>
      <c r="G61" s="7">
        <v>1</v>
      </c>
      <c r="H61" s="22" t="s">
        <v>729</v>
      </c>
      <c r="I61" s="13">
        <v>42740.460787037038</v>
      </c>
      <c r="J61" s="7">
        <v>0</v>
      </c>
      <c r="K61" s="105" t="str">
        <f t="shared" si="0"/>
        <v>4041/4042</v>
      </c>
      <c r="L61" s="22" t="str">
        <f>VLOOKUP(A61,'Trips&amp;Operators'!$C$1:$G$99999,5,FALSE)</f>
        <v>ROBINSON KADDIBA</v>
      </c>
      <c r="M61" s="6">
        <f t="shared" si="1"/>
        <v>1.5474537038244307E-2</v>
      </c>
      <c r="N61" s="7"/>
      <c r="O61" s="7"/>
      <c r="P61" s="7">
        <f>24*60*SUM($M61:$M61)</f>
        <v>22.283333335071802</v>
      </c>
      <c r="Q61" s="23"/>
      <c r="R61" s="23" t="s">
        <v>896</v>
      </c>
      <c r="S61" s="32">
        <f t="shared" si="34"/>
        <v>0.25</v>
      </c>
      <c r="T61" s="47" t="str">
        <f t="shared" si="4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3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09:38:29-700',mode:absolute,to:'2017-01-05 12:03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1" s="49" t="str">
        <f t="shared" si="6"/>
        <v>Y</v>
      </c>
      <c r="X61" s="173">
        <f t="shared" ref="X61:X92" si="36">VALUE(LEFT(AD61,4))-VALUE(LEFT(AD60,4))</f>
        <v>1</v>
      </c>
      <c r="Y61" s="64">
        <f t="shared" si="7"/>
        <v>23.266400000000001</v>
      </c>
      <c r="Z61" s="64">
        <f t="shared" si="8"/>
        <v>7.0519999999999996</v>
      </c>
      <c r="AA61" s="64">
        <f t="shared" si="9"/>
        <v>16.214400000000001</v>
      </c>
      <c r="AB61" s="61" t="e">
        <f>VLOOKUP(A61,Enforcements!$C$7:$K$18,8,0)</f>
        <v>#N/A</v>
      </c>
      <c r="AC61" s="57" t="e">
        <f>VLOOKUP(A61,Enforcements!$C$7:$E$18,3,0)</f>
        <v>#N/A</v>
      </c>
      <c r="AD61" s="58" t="str">
        <f t="shared" si="10"/>
        <v>0150-05</v>
      </c>
      <c r="AE61" s="87" t="str">
        <f t="shared" si="11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61" s="84" t="str">
        <f t="shared" si="12"/>
        <v>"C:\Program Files (x86)\AstroGrep\AstroGrep.exe" /spath="%USERPROFILE%\AppData\Local\Temp\OnboardLogs" /stypes="app*4041*20170105*" /stext=" 18:.+((SYSTEM_STATE.+slice.+state.+changed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88" t="str">
        <f t="shared" si="17"/>
        <v>"%USERPROFILE%\Documents\GitHub\eaglep3\Utilities\RefineRTDCRunTimes.py" --tripid 150-05 --locoid 4041 --swversion DE.1.0.8.0 --startMP 204:232664 --initTime 2017-01-05T10:38:29 --startdatetime 2017-01-05T10:41:15 --delay 1 --endMP 204:70520 --enddatetime 2017-01-05T11:03:32 --enforcementcount 0 &gt;&gt;C:\Users\stu\Documents\GitHub\eaglep3-reporting\EC\2017-01-05-refined-times.txt</v>
      </c>
      <c r="AI61" s="115" t="str">
        <f t="shared" si="18"/>
        <v>echo {"issue":{"subject":"False occupancy at Central Park / Sand Creek","project_id":79,"tracker_id":40,"status_id":1,"priority_id":2,"assigned_to_id":23,"start_date":"2017-01-05","description":"","custom_fields":[{"id":1,"name":"Subdivision","value":"EC"},{"id":4,"name":"Milepost","value":"7.052"},{"id":17,"name":"Train ID","value":"150-05"},{"id":16,"name":"Locomotive ID","value":"4041"},{"id":130,"name":"Impact","value":""},{"id":150,"name":"Time of Event (Mountain Time)","value":"11:03:32"},{"id":151,"name":"Denver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19"/>
        <v>start /low /b %USERPROFILE%\Documents\GitHub\eaglep3\Utilities\DownloadLogsFromS3.py --loco 4041 --day 2017-01-05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563</v>
      </c>
      <c r="B62" s="7">
        <v>4022</v>
      </c>
      <c r="C62" s="22" t="s">
        <v>203</v>
      </c>
      <c r="D62" s="22" t="s">
        <v>431</v>
      </c>
      <c r="E62" s="13">
        <v>42740.41333333333</v>
      </c>
      <c r="F62" s="13">
        <v>42740.416817129626</v>
      </c>
      <c r="G62" s="7">
        <v>1</v>
      </c>
      <c r="H62" s="22" t="s">
        <v>417</v>
      </c>
      <c r="I62" s="13">
        <v>42740.445902777778</v>
      </c>
      <c r="J62" s="7">
        <v>0</v>
      </c>
      <c r="K62" s="105" t="str">
        <f t="shared" si="0"/>
        <v>4021/4022</v>
      </c>
      <c r="L62" s="22" t="str">
        <f>VLOOKUP(A62,'Trips&amp;Operators'!$C$1:$G$99999,5,FALSE)</f>
        <v>COMELLA JUSTIN</v>
      </c>
      <c r="M62" s="6">
        <f t="shared" si="1"/>
        <v>2.9085648151522037E-2</v>
      </c>
      <c r="N62" s="7">
        <f>24*60*SUM($M62:$M62)</f>
        <v>41.883333338191733</v>
      </c>
      <c r="O62" s="7"/>
      <c r="P62" s="7"/>
      <c r="Q62" s="23"/>
      <c r="R62" s="23"/>
      <c r="S62" s="32">
        <f t="shared" si="34"/>
        <v>1</v>
      </c>
      <c r="T62" s="47" t="str">
        <f t="shared" si="4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08:55:12-700',mode:absolute,to:'2017-01-05 11:42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2" s="49" t="str">
        <f t="shared" si="6"/>
        <v>N</v>
      </c>
      <c r="X62" s="173">
        <f t="shared" si="36"/>
        <v>1</v>
      </c>
      <c r="Y62" s="64">
        <f t="shared" si="7"/>
        <v>4.3099999999999999E-2</v>
      </c>
      <c r="Z62" s="64">
        <f t="shared" si="8"/>
        <v>23.3291</v>
      </c>
      <c r="AA62" s="64">
        <f t="shared" si="9"/>
        <v>23.286000000000001</v>
      </c>
      <c r="AB62" s="61" t="e">
        <f>VLOOKUP(A62,Enforcements!$C$7:$K$18,8,0)</f>
        <v>#N/A</v>
      </c>
      <c r="AC62" s="57" t="e">
        <f>VLOOKUP(A62,Enforcements!$C$7:$E$18,3,0)</f>
        <v>#N/A</v>
      </c>
      <c r="AD62" s="58" t="str">
        <f t="shared" si="10"/>
        <v>0151-05</v>
      </c>
      <c r="AE62" s="87" t="str">
        <f t="shared" si="11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62" s="84" t="str">
        <f t="shared" si="12"/>
        <v>"C:\Program Files (x86)\AstroGrep\AstroGrep.exe" /spath="%USERPROFILE%\AppData\Local\Temp\OnboardLogs" /stypes="app*4022*20170105*" /stext=" 17:.+((SYSTEM_STATE.+slice.+state.+changed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88" t="str">
        <f t="shared" si="17"/>
        <v>"%USERPROFILE%\Documents\GitHub\eaglep3\Utilities\RefineRTDCRunTimes.py" --tripid 151-05 --locoid 4022 --swversion DE.1.0.8.0 --startMP 204:431 --initTime 2017-01-05T09:55:12 --startdatetime 2017-01-05T10:00:13 --delay 1 --endMP 204:233291 --enddatetime 2017-01-05T10:42:06 --enforcementcount 0 &gt;&gt;C:\Users\stu\Documents\GitHub\eaglep3-reporting\EC\2017-01-05-refined-times.txt</v>
      </c>
      <c r="AI62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{"issue":{"subject":"","project_id":79,"tracker_id":40,"status_id":1,"priority_id":2,"assigned_to_id":23,"start_date":"2017-01-05","description":"","custom_fields":[{"id":1,"name":"Subdivision","value":"EC"},{"id":4,"name":"Milepost","value":"23.3291"},{"id":17,"name":"Train ID","value":"151-05"},{"id":16,"name":"Locomotive ID","value":"4022"},{"id":130,"name":"Impact","value":""},{"id":150,"name":"Time of Event (Mountain Time)","value":"10:42:06"},{"id":151,"name":"Denver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19"/>
        <v>start /low /b %USERPROFILE%\Documents\GitHub\eaglep3\Utilities\DownloadLogsFromS3.py --loco 4022 --day 2017-01-05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571</v>
      </c>
      <c r="B63" s="7">
        <v>4021</v>
      </c>
      <c r="C63" s="22" t="s">
        <v>203</v>
      </c>
      <c r="D63" s="22" t="s">
        <v>730</v>
      </c>
      <c r="E63" s="13">
        <v>42740.488680555558</v>
      </c>
      <c r="F63" s="13">
        <v>42740.489224537036</v>
      </c>
      <c r="G63" s="7">
        <v>0</v>
      </c>
      <c r="H63" s="22" t="s">
        <v>229</v>
      </c>
      <c r="I63" s="13">
        <v>42740.507650462961</v>
      </c>
      <c r="J63" s="7">
        <v>0</v>
      </c>
      <c r="K63" s="105" t="str">
        <f t="shared" si="0"/>
        <v>4021/4022</v>
      </c>
      <c r="L63" s="22" t="str">
        <f>VLOOKUP(A63,'Trips&amp;Operators'!$C$1:$G$99999,5,FALSE)</f>
        <v>COMELLA JUSTIN</v>
      </c>
      <c r="M63" s="6">
        <f t="shared" si="1"/>
        <v>1.8425925925839692E-2</v>
      </c>
      <c r="N63" s="7"/>
      <c r="O63" s="7"/>
      <c r="P63" s="7">
        <f>24*60*SUM($M63:$M64)</f>
        <v>50.233333330834284</v>
      </c>
      <c r="Q63" s="23"/>
      <c r="R63" s="23" t="s">
        <v>898</v>
      </c>
      <c r="S63" s="32">
        <f t="shared" si="34"/>
        <v>1</v>
      </c>
      <c r="T63" s="47" t="str">
        <f t="shared" si="4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10:43:42-700',mode:absolute,to:'2017-01-05 13:11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3" s="49" t="str">
        <f t="shared" si="6"/>
        <v>Y</v>
      </c>
      <c r="X63" s="173">
        <f t="shared" si="36"/>
        <v>1</v>
      </c>
      <c r="Y63" s="64">
        <f t="shared" si="7"/>
        <v>12.7867</v>
      </c>
      <c r="Z63" s="64">
        <f t="shared" si="8"/>
        <v>1.4500000000000001E-2</v>
      </c>
      <c r="AA63" s="64">
        <f t="shared" si="9"/>
        <v>12.7722</v>
      </c>
      <c r="AB63" s="61" t="e">
        <f>VLOOKUP(A63,Enforcements!$C$7:$K$18,8,0)</f>
        <v>#N/A</v>
      </c>
      <c r="AC63" s="57" t="e">
        <f>VLOOKUP(A63,Enforcements!$C$7:$E$18,3,0)</f>
        <v>#N/A</v>
      </c>
      <c r="AD63" s="58" t="str">
        <f t="shared" si="10"/>
        <v>0152-05</v>
      </c>
      <c r="AE63" s="87" t="str">
        <f t="shared" si="1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63" s="84" t="str">
        <f t="shared" si="12"/>
        <v>"C:\Program Files (x86)\AstroGrep\AstroGrep.exe" /spath="%USERPROFILE%\AppData\Local\Temp\OnboardLogs" /stypes="app*4021*20170105*" /stext=" 19:.+((SYSTEM_STATE.+slice.+state.+changed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88" t="str">
        <f t="shared" si="17"/>
        <v>"%USERPROFILE%\Documents\GitHub\eaglep3\Utilities\RefineRTDCRunTimes.py" --tripid 152-05 --locoid 4021 --swversion DE.1.0.8.0 --startMP 204:127867 --initTime 2017-01-05T11:43:42 --startdatetime 2017-01-05T11:44:29 --delay 0 --endMP 204:145 --enddatetime 2017-01-05T12:11:01 --enforcementcount 0 &gt;&gt;C:\Users\stu\Documents\GitHub\eaglep3-reporting\EC\2017-01-05-refined-times.txt</v>
      </c>
      <c r="AI63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outage","project_id":79,"tracker_id":40,"status_id":1,"priority_id":2,"assigned_to_id":23,"start_date":"2017-01-05","description":"","custom_fields":[{"id":1,"name":"Subdivision","value":"EC"},{"id":4,"name":"Milepost","value":"0.0145"},{"id":17,"name":"Train ID","value":"152-05"},{"id":16,"name":"Locomotive ID","value":"4021"},{"id":130,"name":"Impact","value":""},{"id":150,"name":"Time of Event (Mountain Time)","value":"12:11:01"},{"id":151,"name":"Denver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19"/>
        <v>start /low /b %USERPROFILE%\Documents\GitHub\eaglep3\Utilities\DownloadLogsFromS3.py --loco 4021 --day 2017-01-05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571</v>
      </c>
      <c r="B64" s="7">
        <v>4021</v>
      </c>
      <c r="C64" s="22" t="s">
        <v>203</v>
      </c>
      <c r="D64" s="22" t="s">
        <v>731</v>
      </c>
      <c r="E64" s="13">
        <v>42740.45071759259</v>
      </c>
      <c r="F64" s="13">
        <v>42740.451516203706</v>
      </c>
      <c r="G64" s="7">
        <v>1</v>
      </c>
      <c r="H64" s="22" t="s">
        <v>732</v>
      </c>
      <c r="I64" s="13">
        <v>42740.467974537038</v>
      </c>
      <c r="J64" s="7">
        <v>0</v>
      </c>
      <c r="K64" s="105" t="str">
        <f t="shared" si="0"/>
        <v>4021/4022</v>
      </c>
      <c r="L64" s="22" t="str">
        <f>VLOOKUP(A64,'Trips&amp;Operators'!$C$1:$G$99999,5,FALSE)</f>
        <v>COMELLA JUSTIN</v>
      </c>
      <c r="M64" s="6">
        <f t="shared" si="1"/>
        <v>1.6458333331684116E-2</v>
      </c>
      <c r="N64" s="7"/>
      <c r="O64" s="7"/>
      <c r="P64" s="7"/>
      <c r="Q64" s="23"/>
      <c r="R64" s="23"/>
      <c r="S64" s="32"/>
      <c r="T64" s="47" t="str">
        <f t="shared" si="4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0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09:49:02-700',mode:absolute,to:'2017-01-05 12:13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4" s="49" t="str">
        <f t="shared" si="6"/>
        <v>Y</v>
      </c>
      <c r="X64" s="173">
        <f t="shared" si="36"/>
        <v>0</v>
      </c>
      <c r="Y64" s="64">
        <f t="shared" si="7"/>
        <v>23.297499999999999</v>
      </c>
      <c r="Z64" s="64">
        <f t="shared" si="8"/>
        <v>19.403700000000001</v>
      </c>
      <c r="AA64" s="64">
        <f t="shared" si="9"/>
        <v>3.8937999999999988</v>
      </c>
      <c r="AB64" s="61" t="e">
        <f>VLOOKUP(A64,Enforcements!$C$7:$K$18,8,0)</f>
        <v>#N/A</v>
      </c>
      <c r="AC64" s="57" t="e">
        <f>VLOOKUP(A64,Enforcements!$C$7:$E$18,3,0)</f>
        <v>#N/A</v>
      </c>
      <c r="AD64" s="58" t="str">
        <f t="shared" si="10"/>
        <v>0152-05</v>
      </c>
      <c r="AE64" s="87" t="str">
        <f t="shared" si="1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64" s="84" t="str">
        <f t="shared" si="12"/>
        <v>"C:\Program Files (x86)\AstroGrep\AstroGrep.exe" /spath="%USERPROFILE%\AppData\Local\Temp\OnboardLogs" /stypes="app*4021*20170105*" /stext=" 18:.+((SYSTEM_STATE.+slice.+state.+changed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88" t="str">
        <f t="shared" si="17"/>
        <v>"%USERPROFILE%\Documents\GitHub\eaglep3\Utilities\RefineRTDCRunTimes.py" --tripid 152-05 --locoid 4021 --swversion DE.1.0.8.0 --startMP 204:232975 --initTime 2017-01-05T10:49:02 --startdatetime 2017-01-05T10:50:11 --delay 1 --endMP 204:194037 --enddatetime 2017-01-05T11:13:53 --enforcementcount 0 &gt;&gt;C:\Users\stu\Documents\GitHub\eaglep3-reporting\EC\2017-01-05-refined-times.txt</v>
      </c>
      <c r="AI64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{"issue":{"subject":"","project_id":79,"tracker_id":40,"status_id":1,"priority_id":2,"assigned_to_id":23,"start_date":"2017-01-05","description":"","custom_fields":[{"id":1,"name":"Subdivision","value":"EC"},{"id":4,"name":"Milepost","value":"19.4037"},{"id":17,"name":"Train ID","value":"152-05"},{"id":16,"name":"Locomotive ID","value":"4021"},{"id":130,"name":"Impact","value":""},{"id":150,"name":"Time of Event (Mountain Time)","value":"11:13:53"},{"id":151,"name":"Denver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19"/>
        <v>start /low /b %USERPROFILE%\Documents\GitHub\eaglep3\Utilities\DownloadLogsFromS3.py --loco 4021 --day 2017-01-05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565</v>
      </c>
      <c r="B65" s="7">
        <v>4011</v>
      </c>
      <c r="C65" s="22" t="s">
        <v>203</v>
      </c>
      <c r="D65" s="22" t="s">
        <v>193</v>
      </c>
      <c r="E65" s="13">
        <v>42740.425520833334</v>
      </c>
      <c r="F65" s="13">
        <v>42740.427303240744</v>
      </c>
      <c r="G65" s="7">
        <v>1</v>
      </c>
      <c r="H65" s="22" t="s">
        <v>733</v>
      </c>
      <c r="I65" s="13">
        <v>42740.453217592592</v>
      </c>
      <c r="J65" s="7">
        <v>0</v>
      </c>
      <c r="K65" s="105" t="str">
        <f t="shared" si="0"/>
        <v>4011/4012</v>
      </c>
      <c r="L65" s="22" t="str">
        <f>VLOOKUP(A65,'Trips&amp;Operators'!$C$1:$G$99999,5,FALSE)</f>
        <v>YANG JAN</v>
      </c>
      <c r="M65" s="6">
        <f t="shared" si="1"/>
        <v>2.5914351848769002E-2</v>
      </c>
      <c r="N65" s="7"/>
      <c r="O65" s="7"/>
      <c r="P65" s="7">
        <f>24*60*SUM($M65:$M65)</f>
        <v>37.316666662227362</v>
      </c>
      <c r="Q65" s="23"/>
      <c r="R65" s="23" t="s">
        <v>898</v>
      </c>
      <c r="S65" s="32">
        <f>SUM(U65:U65)/IF(AG65="EC",12,1)</f>
        <v>1</v>
      </c>
      <c r="T65" s="47" t="str">
        <f t="shared" si="4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09:12:45-700',mode:absolute,to:'2017-01-05 11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5" s="49" t="str">
        <f t="shared" si="6"/>
        <v>Y</v>
      </c>
      <c r="X65" s="173">
        <f t="shared" si="36"/>
        <v>1</v>
      </c>
      <c r="Y65" s="64">
        <f t="shared" si="7"/>
        <v>4.4699999999999997E-2</v>
      </c>
      <c r="Z65" s="64">
        <f t="shared" si="8"/>
        <v>15.5244</v>
      </c>
      <c r="AA65" s="64">
        <f t="shared" si="9"/>
        <v>15.479699999999999</v>
      </c>
      <c r="AB65" s="61" t="e">
        <f>VLOOKUP(A65,Enforcements!$C$7:$K$18,8,0)</f>
        <v>#N/A</v>
      </c>
      <c r="AC65" s="57" t="e">
        <f>VLOOKUP(A65,Enforcements!$C$7:$E$18,3,0)</f>
        <v>#N/A</v>
      </c>
      <c r="AD65" s="58" t="str">
        <f t="shared" si="10"/>
        <v>0153-05</v>
      </c>
      <c r="AE65" s="87" t="str">
        <f t="shared" si="11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65" s="84" t="str">
        <f t="shared" si="12"/>
        <v>"C:\Program Files (x86)\AstroGrep\AstroGrep.exe" /spath="%USERPROFILE%\AppData\Local\Temp\OnboardLogs" /stypes="app*4011*20170105*" /stext=" 17:.+((SYSTEM_STATE.+slice.+state.+changed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88" t="str">
        <f t="shared" si="17"/>
        <v>"%USERPROFILE%\Documents\GitHub\eaglep3\Utilities\RefineRTDCRunTimes.py" --tripid 153-05 --locoid 4011 --swversion DE.1.0.8.0 --startMP 204:447 --initTime 2017-01-05T10:12:45 --startdatetime 2017-01-05T10:15:19 --delay 1 --endMP 204:155244 --enddatetime 2017-01-05T10:52:38 --enforcementcount 0 &gt;&gt;C:\Users\stu\Documents\GitHub\eaglep3-reporting\EC\2017-01-05-refined-times.txt</v>
      </c>
      <c r="AI65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outage","project_id":79,"tracker_id":40,"status_id":1,"priority_id":2,"assigned_to_id":23,"start_date":"2017-01-05","description":"","custom_fields":[{"id":1,"name":"Subdivision","value":"EC"},{"id":4,"name":"Milepost","value":"15.5244"},{"id":17,"name":"Train ID","value":"153-05"},{"id":16,"name":"Locomotive ID","value":"4011"},{"id":130,"name":"Impact","value":""},{"id":150,"name":"Time of Event (Mountain Time)","value":"10:52:38"},{"id":151,"name":"Denver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19"/>
        <v>start /low /b %USERPROFILE%\Documents\GitHub\eaglep3\Utilities\DownloadLogsFromS3.py --loco 4011 --day 2017-01-05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567</v>
      </c>
      <c r="B66" s="7">
        <v>4007</v>
      </c>
      <c r="C66" s="22" t="s">
        <v>203</v>
      </c>
      <c r="D66" s="22" t="s">
        <v>323</v>
      </c>
      <c r="E66" s="13">
        <v>42740.4375</v>
      </c>
      <c r="F66" s="13">
        <v>42740.439641203702</v>
      </c>
      <c r="G66" s="7">
        <v>1</v>
      </c>
      <c r="H66" s="22" t="s">
        <v>734</v>
      </c>
      <c r="I66" s="13">
        <v>42740.460011574076</v>
      </c>
      <c r="J66" s="7">
        <v>0</v>
      </c>
      <c r="K66" s="105" t="str">
        <f t="shared" si="0"/>
        <v>4007/4008</v>
      </c>
      <c r="L66" s="22" t="str">
        <f>VLOOKUP(A66,'Trips&amp;Operators'!$C$1:$G$99999,5,FALSE)</f>
        <v>SHOOK JOHN</v>
      </c>
      <c r="M66" s="6">
        <f t="shared" si="1"/>
        <v>2.0370370373711921E-2</v>
      </c>
      <c r="N66" s="7"/>
      <c r="O66" s="7"/>
      <c r="P66" s="7">
        <f>24*60*SUM($M66:$M66)</f>
        <v>29.333333338145167</v>
      </c>
      <c r="Q66" s="23"/>
      <c r="R66" s="23" t="s">
        <v>898</v>
      </c>
      <c r="S66" s="32">
        <f>SUM(U66:U66)/IF(AG66="EC",12,1)</f>
        <v>1</v>
      </c>
      <c r="T66" s="47" t="str">
        <f t="shared" si="4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09:30:00-700',mode:absolute,to:'2017-01-05 12:02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6" s="49" t="str">
        <f t="shared" si="6"/>
        <v>Y</v>
      </c>
      <c r="X66" s="173">
        <f t="shared" si="36"/>
        <v>2</v>
      </c>
      <c r="Y66" s="64">
        <f t="shared" si="7"/>
        <v>4.4600000000000001E-2</v>
      </c>
      <c r="Z66" s="64">
        <f t="shared" si="8"/>
        <v>12.6297</v>
      </c>
      <c r="AA66" s="64">
        <f t="shared" si="9"/>
        <v>12.585099999999999</v>
      </c>
      <c r="AB66" s="61" t="e">
        <f>VLOOKUP(A66,Enforcements!$C$7:$K$18,8,0)</f>
        <v>#N/A</v>
      </c>
      <c r="AC66" s="57" t="e">
        <f>VLOOKUP(A66,Enforcements!$C$7:$E$18,3,0)</f>
        <v>#N/A</v>
      </c>
      <c r="AD66" s="58" t="str">
        <f t="shared" si="10"/>
        <v>0155-05</v>
      </c>
      <c r="AE66" s="87" t="str">
        <f t="shared" si="11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66" s="84" t="str">
        <f t="shared" si="12"/>
        <v>"C:\Program Files (x86)\AstroGrep\AstroGrep.exe" /spath="%USERPROFILE%\AppData\Local\Temp\OnboardLogs" /stypes="app*4007*20170105*" /stext=" 18:.+((SYSTEM_STATE.+slice.+state.+changed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88" t="str">
        <f t="shared" si="17"/>
        <v>"%USERPROFILE%\Documents\GitHub\eaglep3\Utilities\RefineRTDCRunTimes.py" --tripid 155-05 --locoid 4007 --swversion DE.1.0.8.0 --startMP 204:446 --initTime 2017-01-05T10:30:00 --startdatetime 2017-01-05T10:33:05 --delay 1 --endMP 204:126297 --enddatetime 2017-01-05T11:02:25 --enforcementcount 0 &gt;&gt;C:\Users\stu\Documents\GitHub\eaglep3-reporting\EC\2017-01-05-refined-times.txt</v>
      </c>
      <c r="AI66" s="115" t="str">
        <f t="shared" si="18"/>
        <v>echo {"issue":{"subject":"CP 61st generator outage","project_id":79,"tracker_id":40,"status_id":1,"priority_id":2,"assigned_to_id":23,"start_date":"2017-01-05","description":"At 10:55:57, 40th 2N received a clear control, and cleared shortly after, but went back to STOP 20 sec later. Subsequent attempts to clear were unsuccesful. Was this a case of dispatcher error, or was there something else going on in the signal system?","custom_fields":[{"id":1,"name":"Subdivision","value":"EC"},{"id":4,"name":"Milepost","value":"12.6297"},{"id":17,"name":"Train ID","value":"155-05"},{"id":16,"name":"Locomotive ID","value":"4007"},{"id":130,"name":"Impact","value":"Others"},{"id":150,"name":"Time of Event (Mountain Time)","value":"11:02:25"},{"id":151,"name":"Denver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6" s="50" t="s">
        <v>897</v>
      </c>
      <c r="AK66" s="50" t="s">
        <v>137</v>
      </c>
      <c r="AL66" s="50" t="s">
        <v>130</v>
      </c>
      <c r="AM66" s="180" t="str">
        <f t="shared" si="19"/>
        <v>start /low /b %USERPROFILE%\Documents\GitHub\eaglep3\Utilities\DownloadLogsFromS3.py --loco 4007 --day 2017-01-05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570</v>
      </c>
      <c r="B67" s="7">
        <v>4003</v>
      </c>
      <c r="C67" s="22" t="s">
        <v>203</v>
      </c>
      <c r="D67" s="22" t="s">
        <v>226</v>
      </c>
      <c r="E67" s="13">
        <v>42740.447511574072</v>
      </c>
      <c r="F67" s="13">
        <v>42740.448900462965</v>
      </c>
      <c r="G67" s="7">
        <v>1</v>
      </c>
      <c r="H67" s="22" t="s">
        <v>735</v>
      </c>
      <c r="I67" s="13">
        <v>42740.467106481483</v>
      </c>
      <c r="J67" s="7">
        <v>0</v>
      </c>
      <c r="K67" s="105" t="str">
        <f t="shared" si="0"/>
        <v>4003/4004</v>
      </c>
      <c r="L67" s="22" t="str">
        <f>VLOOKUP(A67,'Trips&amp;Operators'!$C$1:$G$99999,5,FALSE)</f>
        <v>STRICKLAND EVAN</v>
      </c>
      <c r="M67" s="6">
        <f t="shared" si="1"/>
        <v>1.8206018517958E-2</v>
      </c>
      <c r="N67" s="7"/>
      <c r="O67" s="7"/>
      <c r="P67" s="7">
        <f>24*60*SUM($M67:$M67)</f>
        <v>26.21666666585952</v>
      </c>
      <c r="Q67" s="23"/>
      <c r="R67" s="23" t="s">
        <v>898</v>
      </c>
      <c r="S67" s="32">
        <f>SUM(U67:U67)/IF(AG67="EC",12,1)</f>
        <v>1</v>
      </c>
      <c r="T67" s="47" t="str">
        <f t="shared" si="4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09:44:25-700',mode:absolute,to:'2017-01-05 12:12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7" s="49" t="str">
        <f t="shared" si="6"/>
        <v>Y</v>
      </c>
      <c r="X67" s="173">
        <f t="shared" si="36"/>
        <v>2</v>
      </c>
      <c r="Y67" s="64">
        <f t="shared" si="7"/>
        <v>4.5999999999999999E-2</v>
      </c>
      <c r="Z67" s="64">
        <f t="shared" si="8"/>
        <v>12.4832</v>
      </c>
      <c r="AA67" s="64">
        <f t="shared" si="9"/>
        <v>12.437200000000001</v>
      </c>
      <c r="AB67" s="61" t="e">
        <f>VLOOKUP(A67,Enforcements!$C$7:$K$18,8,0)</f>
        <v>#N/A</v>
      </c>
      <c r="AC67" s="57" t="e">
        <f>VLOOKUP(A67,Enforcements!$C$7:$E$18,3,0)</f>
        <v>#N/A</v>
      </c>
      <c r="AD67" s="58" t="str">
        <f t="shared" si="10"/>
        <v>0157-05</v>
      </c>
      <c r="AE67" s="87" t="str">
        <f t="shared" si="11"/>
        <v>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 &amp; 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</v>
      </c>
      <c r="AF67" s="84" t="str">
        <f t="shared" si="12"/>
        <v>"C:\Program Files (x86)\AstroGrep\AstroGrep.exe" /spath="%USERPROFILE%\AppData\Local\Temp\OnboardLogs" /stypes="app*4003*20170105*" /stext=" 18:.+((SYSTEM_STATE.+slice.+state.+changed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88" t="str">
        <f t="shared" si="17"/>
        <v>"%USERPROFILE%\Documents\GitHub\eaglep3\Utilities\RefineRTDCRunTimes.py" --tripid 157-05 --locoid 4003 --swversion DE.1.0.8.0 --startMP 204:460 --initTime 2017-01-05T10:44:25 --startdatetime 2017-01-05T10:46:25 --delay 1 --endMP 204:124832 --enddatetime 2017-01-05T11:12:38 --enforcementcount 0 &gt;&gt;C:\Users\stu\Documents\GitHub\eaglep3-reporting\EC\2017-01-05-refined-times.txt</v>
      </c>
      <c r="AI67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outage","project_id":79,"tracker_id":40,"status_id":1,"priority_id":2,"assigned_to_id":23,"start_date":"2017-01-05","description":"","custom_fields":[{"id":1,"name":"Subdivision","value":"EC"},{"id":4,"name":"Milepost","value":"12.4832"},{"id":17,"name":"Train ID","value":"157-05"},{"id":16,"name":"Locomotive ID","value":"4003"},{"id":130,"name":"Impact","value":""},{"id":150,"name":"Time of Event (Mountain Time)","value":"11:12:38"},{"id":151,"name":"Denver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19"/>
        <v>start /low /b %USERPROFILE%\Documents\GitHub\eaglep3\Utilities\DownloadLogsFromS3.py --loco 4003 --day 2017-01-05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579</v>
      </c>
      <c r="B68" s="7">
        <v>4012</v>
      </c>
      <c r="C68" s="22" t="s">
        <v>203</v>
      </c>
      <c r="D68" s="22" t="s">
        <v>736</v>
      </c>
      <c r="E68" s="13">
        <v>42740.513969907406</v>
      </c>
      <c r="F68" s="13">
        <v>42740.514884259261</v>
      </c>
      <c r="G68" s="7">
        <v>0</v>
      </c>
      <c r="H68" s="22" t="s">
        <v>372</v>
      </c>
      <c r="I68" s="13">
        <v>42740.532812500001</v>
      </c>
      <c r="J68" s="7">
        <v>0</v>
      </c>
      <c r="K68" s="105" t="str">
        <f t="shared" si="0"/>
        <v>4011/4012</v>
      </c>
      <c r="L68" s="22" t="str">
        <f>VLOOKUP(A68,'Trips&amp;Operators'!$C$1:$G$99999,5,FALSE)</f>
        <v>YANG JAN</v>
      </c>
      <c r="M68" s="6">
        <f t="shared" si="1"/>
        <v>1.7928240740729962E-2</v>
      </c>
      <c r="N68" s="7"/>
      <c r="O68" s="7"/>
      <c r="P68" s="7">
        <f>24*60*SUM($M68:$M68)</f>
        <v>25.816666666651145</v>
      </c>
      <c r="Q68" s="23"/>
      <c r="R68" s="23" t="s">
        <v>898</v>
      </c>
      <c r="S68" s="32">
        <f>SUM(U68:U68)/IF(AG68="EC",12,1)</f>
        <v>1</v>
      </c>
      <c r="T68" s="47" t="str">
        <f t="shared" si="4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11:20:07-700',mode:absolute,to:'2017-01-05 13:47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8" s="49" t="str">
        <f t="shared" si="6"/>
        <v>Y</v>
      </c>
      <c r="X68" s="173">
        <f t="shared" si="36"/>
        <v>1</v>
      </c>
      <c r="Y68" s="64">
        <f t="shared" si="7"/>
        <v>12.7857</v>
      </c>
      <c r="Z68" s="64">
        <f t="shared" si="8"/>
        <v>1.6899999999999998E-2</v>
      </c>
      <c r="AA68" s="64">
        <f t="shared" si="9"/>
        <v>12.768800000000001</v>
      </c>
      <c r="AB68" s="61" t="e">
        <f>VLOOKUP(A68,Enforcements!$C$7:$K$18,8,0)</f>
        <v>#N/A</v>
      </c>
      <c r="AC68" s="57" t="e">
        <f>VLOOKUP(A68,Enforcements!$C$7:$E$18,3,0)</f>
        <v>#N/A</v>
      </c>
      <c r="AD68" s="58" t="str">
        <f t="shared" si="10"/>
        <v>0158-05</v>
      </c>
      <c r="AE68" s="87" t="str">
        <f t="shared" si="1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68" s="84" t="str">
        <f t="shared" si="12"/>
        <v>"C:\Program Files (x86)\AstroGrep\AstroGrep.exe" /spath="%USERPROFILE%\AppData\Local\Temp\OnboardLogs" /stypes="app*4012*20170105*" /stext=" 19:.+((SYSTEM_STATE.+slice.+state.+changed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88" t="str">
        <f t="shared" si="17"/>
        <v>"%USERPROFILE%\Documents\GitHub\eaglep3\Utilities\RefineRTDCRunTimes.py" --tripid 158-05 --locoid 4012 --swversion DE.1.0.8.0 --startMP 204:127857 --initTime 2017-01-05T12:20:07 --startdatetime 2017-01-05T12:21:26 --delay 0 --endMP 204:169 --enddatetime 2017-01-05T12:47:15 --enforcementcount 0 &gt;&gt;C:\Users\stu\Documents\GitHub\eaglep3-reporting\EC\2017-01-05-refined-times.txt</v>
      </c>
      <c r="AI68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outage","project_id":79,"tracker_id":40,"status_id":1,"priority_id":2,"assigned_to_id":23,"start_date":"2017-01-05","description":"","custom_fields":[{"id":1,"name":"Subdivision","value":"EC"},{"id":4,"name":"Milepost","value":"0.0169"},{"id":17,"name":"Train ID","value":"158-05"},{"id":16,"name":"Locomotive ID","value":"4012"},{"id":130,"name":"Impact","value":""},{"id":150,"name":"Time of Event (Mountain Time)","value":"12:47:15"},{"id":151,"name":"Denver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19"/>
        <v>start /low /b %USERPROFILE%\Documents\GitHub\eaglep3\Utilities\DownloadLogsFromS3.py --loco 4012 --day 2017-01-05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579</v>
      </c>
      <c r="B69" s="7">
        <v>4012</v>
      </c>
      <c r="C69" s="22" t="s">
        <v>203</v>
      </c>
      <c r="D69" s="22" t="s">
        <v>410</v>
      </c>
      <c r="E69" s="13">
        <v>42740.482071759259</v>
      </c>
      <c r="F69" s="13">
        <v>42740.514884259261</v>
      </c>
      <c r="G69" s="7">
        <v>1</v>
      </c>
      <c r="H69" s="22" t="s">
        <v>737</v>
      </c>
      <c r="I69" s="13">
        <v>42740.532812500001</v>
      </c>
      <c r="J69" s="7">
        <v>0</v>
      </c>
      <c r="K69" s="105" t="str">
        <f t="shared" si="0"/>
        <v>4011/4012</v>
      </c>
      <c r="L69" s="22" t="str">
        <f>VLOOKUP(A69,'Trips&amp;Operators'!$C$1:$G$99999,5,FALSE)</f>
        <v>YANG JAN</v>
      </c>
      <c r="M69" s="6">
        <f t="shared" si="1"/>
        <v>1.7928240740729962E-2</v>
      </c>
      <c r="N69" s="7"/>
      <c r="O69" s="7"/>
      <c r="P69" s="7"/>
      <c r="Q69" s="23"/>
      <c r="R69" s="23"/>
      <c r="S69" s="32"/>
      <c r="T69" s="47" t="str">
        <f t="shared" si="4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10:34:11-700',mode:absolute,to:'2017-01-05 13:47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9" s="49" t="str">
        <f t="shared" si="6"/>
        <v>Y</v>
      </c>
      <c r="X69" s="173">
        <f t="shared" si="36"/>
        <v>0</v>
      </c>
      <c r="Y69" s="64">
        <f t="shared" si="7"/>
        <v>23.2666</v>
      </c>
      <c r="Z69" s="64">
        <f t="shared" si="8"/>
        <v>19.3613</v>
      </c>
      <c r="AA69" s="64">
        <f t="shared" si="9"/>
        <v>3.9053000000000004</v>
      </c>
      <c r="AB69" s="61" t="e">
        <f>VLOOKUP(A69,Enforcements!$C$7:$K$18,8,0)</f>
        <v>#N/A</v>
      </c>
      <c r="AC69" s="57" t="e">
        <f>VLOOKUP(A69,Enforcements!$C$7:$E$18,3,0)</f>
        <v>#N/A</v>
      </c>
      <c r="AD69" s="58" t="str">
        <f t="shared" si="10"/>
        <v>0158-05</v>
      </c>
      <c r="AE69" s="87" t="str">
        <f t="shared" si="1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69" s="84" t="str">
        <f t="shared" si="12"/>
        <v>"C:\Program Files (x86)\AstroGrep\AstroGrep.exe" /spath="%USERPROFILE%\AppData\Local\Temp\OnboardLogs" /stypes="app*4012*20170105*" /stext=" 19:.+((SYSTEM_STATE.+slice.+state.+changed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88" t="str">
        <f t="shared" si="17"/>
        <v>"%USERPROFILE%\Documents\GitHub\eaglep3\Utilities\RefineRTDCRunTimes.py" --tripid 158-05 --locoid 4012 --swversion DE.1.0.8.0 --startMP 204:232666 --initTime 2017-01-05T11:34:11 --startdatetime 2017-01-05T12:21:26 --delay 1 --endMP 204:193613 --enddatetime 2017-01-05T12:47:15 --enforcementcount 0 &gt;&gt;C:\Users\stu\Documents\GitHub\eaglep3-reporting\EC\2017-01-05-refined-times.txt</v>
      </c>
      <c r="AI69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{"issue":{"subject":"","project_id":79,"tracker_id":40,"status_id":1,"priority_id":2,"assigned_to_id":23,"start_date":"2017-01-05","description":"","custom_fields":[{"id":1,"name":"Subdivision","value":"EC"},{"id":4,"name":"Milepost","value":"19.3613"},{"id":17,"name":"Train ID","value":"158-05"},{"id":16,"name":"Locomotive ID","value":"4012"},{"id":130,"name":"Impact","value":""},{"id":150,"name":"Time of Event (Mountain Time)","value":"12:47:15"},{"id":151,"name":"Denver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19"/>
        <v>start /low /b %USERPROFILE%\Documents\GitHub\eaglep3\Utilities\DownloadLogsFromS3.py --loco 4012 --day 2017-01-05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572</v>
      </c>
      <c r="B70" s="7">
        <v>4031</v>
      </c>
      <c r="C70" s="22" t="s">
        <v>203</v>
      </c>
      <c r="D70" s="22" t="s">
        <v>251</v>
      </c>
      <c r="E70" s="13">
        <v>42740.454953703702</v>
      </c>
      <c r="F70" s="13">
        <v>42740.458506944444</v>
      </c>
      <c r="G70" s="7">
        <v>1</v>
      </c>
      <c r="H70" s="22" t="s">
        <v>738</v>
      </c>
      <c r="I70" s="13">
        <v>42740.494884259257</v>
      </c>
      <c r="J70" s="7">
        <v>0</v>
      </c>
      <c r="K70" s="105" t="str">
        <f t="shared" si="0"/>
        <v>4031/4032</v>
      </c>
      <c r="L70" s="22" t="str">
        <f>VLOOKUP(A70,'Trips&amp;Operators'!$C$1:$G$99999,5,FALSE)</f>
        <v>CLARK KATHLEEN</v>
      </c>
      <c r="M70" s="6">
        <f t="shared" si="1"/>
        <v>3.6377314812853001E-2</v>
      </c>
      <c r="N70" s="7"/>
      <c r="O70" s="7"/>
      <c r="P70" s="7">
        <f>24*60*SUM($M70:$M70)</f>
        <v>52.383333330508322</v>
      </c>
      <c r="Q70" s="23"/>
      <c r="R70" s="23" t="s">
        <v>898</v>
      </c>
      <c r="S70" s="32">
        <f>SUM(U70:U70)/IF(AG70="EC",12,1)</f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09:55:08-700',mode:absolute,to:'2017-01-05 12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0" s="49" t="str">
        <f t="shared" si="6"/>
        <v>Y</v>
      </c>
      <c r="X70" s="173">
        <f t="shared" si="36"/>
        <v>1</v>
      </c>
      <c r="Y70" s="64">
        <f t="shared" si="7"/>
        <v>4.6199999999999998E-2</v>
      </c>
      <c r="Z70" s="64">
        <f t="shared" si="8"/>
        <v>12.450100000000001</v>
      </c>
      <c r="AA70" s="64">
        <f t="shared" si="9"/>
        <v>12.4039</v>
      </c>
      <c r="AB70" s="61" t="e">
        <f>VLOOKUP(A70,Enforcements!$C$7:$K$18,8,0)</f>
        <v>#N/A</v>
      </c>
      <c r="AC70" s="57" t="e">
        <f>VLOOKUP(A70,Enforcements!$C$7:$E$18,3,0)</f>
        <v>#N/A</v>
      </c>
      <c r="AD70" s="58" t="str">
        <f t="shared" si="10"/>
        <v>0159-05</v>
      </c>
      <c r="AE70" s="87" t="str">
        <f t="shared" si="11"/>
        <v>aws s3 cp s3://rtdc.mdm.uploadarchive.raw/RTDC4031/ "%USERPROFILE%\AppData\Local\Temp\OnboardLogs"\RTDC4031\2017-01-05 --exclude "*" --recursive --include "*20170105*" &amp; "%USERPROFILE%\Documents\GitHub\mrs-test-scripts\Headless Mode &amp; Sideloading\WalkAndUnGZ.bat" "%USERPROFILE%\AppData\Local\Temp\OnboardLogs"\RTDC4031\2017-01-05 &amp; 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</v>
      </c>
      <c r="AF70" s="84" t="str">
        <f t="shared" si="12"/>
        <v>"C:\Program Files (x86)\AstroGrep\AstroGrep.exe" /spath="%USERPROFILE%\AppData\Local\Temp\OnboardLogs" /stypes="app*4031*20170105*" /stext=" 18:.+((SYSTEM_STATE.+slice.+state.+changed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88" t="str">
        <f t="shared" si="17"/>
        <v>"%USERPROFILE%\Documents\GitHub\eaglep3\Utilities\RefineRTDCRunTimes.py" --tripid 159-05 --locoid 4031 --swversion DE.1.0.8.0 --startMP 204:462 --initTime 2017-01-05T10:55:08 --startdatetime 2017-01-05T11:00:15 --delay 1 --endMP 204:124501 --enddatetime 2017-01-05T11:52:38 --enforcementcount 0 &gt;&gt;C:\Users\stu\Documents\GitHub\eaglep3-reporting\EC\2017-01-05-refined-times.txt</v>
      </c>
      <c r="AI70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outage","project_id":79,"tracker_id":40,"status_id":1,"priority_id":2,"assigned_to_id":23,"start_date":"2017-01-05","description":"","custom_fields":[{"id":1,"name":"Subdivision","value":"EC"},{"id":4,"name":"Milepost","value":"12.4501"},{"id":17,"name":"Train ID","value":"159-05"},{"id":16,"name":"Locomotive ID","value":"4031"},{"id":130,"name":"Impact","value":""},{"id":150,"name":"Time of Event (Mountain Time)","value":"11:52:38"},{"id":151,"name":"Denver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19"/>
        <v>start /low /b %USERPROFILE%\Documents\GitHub\eaglep3\Utilities\DownloadLogsFromS3.py --loco 4031 --day 2017-01-05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574</v>
      </c>
      <c r="B71" s="7">
        <v>4002</v>
      </c>
      <c r="C71" s="22" t="s">
        <v>203</v>
      </c>
      <c r="D71" s="22" t="s">
        <v>374</v>
      </c>
      <c r="E71" s="13">
        <v>42740.466249999998</v>
      </c>
      <c r="F71" s="13">
        <v>42740.479351851849</v>
      </c>
      <c r="G71" s="7">
        <v>1</v>
      </c>
      <c r="H71" s="22" t="s">
        <v>739</v>
      </c>
      <c r="I71" s="13">
        <v>42740.505162037036</v>
      </c>
      <c r="J71" s="7">
        <v>0</v>
      </c>
      <c r="K71" s="105" t="str">
        <f t="shared" si="0"/>
        <v>4001/4002</v>
      </c>
      <c r="L71" s="22" t="str">
        <f>VLOOKUP(A71,'Trips&amp;Operators'!$C$1:$G$99999,5,FALSE)</f>
        <v>KILLION DAVID</v>
      </c>
      <c r="M71" s="6">
        <f t="shared" si="1"/>
        <v>2.5810185186855961E-2</v>
      </c>
      <c r="N71" s="7"/>
      <c r="O71" s="7"/>
      <c r="P71" s="7">
        <f>24*60*SUM($M71:$M71)</f>
        <v>37.166666669072583</v>
      </c>
      <c r="Q71" s="23"/>
      <c r="R71" s="23" t="s">
        <v>898</v>
      </c>
      <c r="S71" s="32">
        <f>SUM(U71:U71)/IF(AG71="EC",12,1)</f>
        <v>1</v>
      </c>
      <c r="T71" s="47" t="str">
        <f t="shared" si="4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10:11:24-700',mode:absolute,to:'2017-01-05 13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1" s="49" t="str">
        <f t="shared" si="6"/>
        <v>Y</v>
      </c>
      <c r="X71" s="173">
        <f t="shared" si="36"/>
        <v>2</v>
      </c>
      <c r="Y71" s="64">
        <f t="shared" si="7"/>
        <v>4.6600000000000003E-2</v>
      </c>
      <c r="Z71" s="64">
        <f t="shared" si="8"/>
        <v>12.576000000000001</v>
      </c>
      <c r="AA71" s="64">
        <f t="shared" si="9"/>
        <v>12.529400000000001</v>
      </c>
      <c r="AB71" s="61" t="e">
        <f>VLOOKUP(A71,Enforcements!$C$7:$K$18,8,0)</f>
        <v>#N/A</v>
      </c>
      <c r="AC71" s="57" t="e">
        <f>VLOOKUP(A71,Enforcements!$C$7:$E$18,3,0)</f>
        <v>#N/A</v>
      </c>
      <c r="AD71" s="58" t="str">
        <f t="shared" si="10"/>
        <v>0161-05</v>
      </c>
      <c r="AE71" s="87" t="str">
        <f t="shared" si="11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71" s="84" t="str">
        <f t="shared" si="12"/>
        <v>"C:\Program Files (x86)\AstroGrep\AstroGrep.exe" /spath="%USERPROFILE%\AppData\Local\Temp\OnboardLogs" /stypes="app*4002*20170105*" /stext=" 19:.+((SYSTEM_STATE.+slice.+state.+changed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88" t="str">
        <f t="shared" si="17"/>
        <v>"%USERPROFILE%\Documents\GitHub\eaglep3\Utilities\RefineRTDCRunTimes.py" --tripid 161-05 --locoid 4002 --swversion DE.1.0.8.0 --startMP 204:466 --initTime 2017-01-05T11:11:24 --startdatetime 2017-01-05T11:30:16 --delay 1 --endMP 204:125760 --enddatetime 2017-01-05T12:07:26 --enforcementcount 0 &gt;&gt;C:\Users\stu\Documents\GitHub\eaglep3-reporting\EC\2017-01-05-refined-times.txt</v>
      </c>
      <c r="AI71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outage","project_id":79,"tracker_id":40,"status_id":1,"priority_id":2,"assigned_to_id":23,"start_date":"2017-01-05","description":"","custom_fields":[{"id":1,"name":"Subdivision","value":"EC"},{"id":4,"name":"Milepost","value":"12.576"},{"id":17,"name":"Train ID","value":"161-05"},{"id":16,"name":"Locomotive ID","value":"4002"},{"id":130,"name":"Impact","value":""},{"id":150,"name":"Time of Event (Mountain Time)","value":"12:07:26"},{"id":151,"name":"Denver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19"/>
        <v>start /low /b %USERPROFILE%\Documents\GitHub\eaglep3\Utilities\DownloadLogsFromS3.py --loco 4002 --day 2017-01-05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581</v>
      </c>
      <c r="B72" s="7">
        <v>4008</v>
      </c>
      <c r="C72" s="22" t="s">
        <v>203</v>
      </c>
      <c r="D72" s="22" t="s">
        <v>740</v>
      </c>
      <c r="E72" s="13">
        <v>42740.534351851849</v>
      </c>
      <c r="F72" s="13">
        <v>42740.535243055558</v>
      </c>
      <c r="G72" s="7">
        <v>1</v>
      </c>
      <c r="H72" s="22" t="s">
        <v>209</v>
      </c>
      <c r="I72" s="13">
        <v>42740.553935185184</v>
      </c>
      <c r="J72" s="7">
        <v>0</v>
      </c>
      <c r="K72" s="105" t="str">
        <f t="shared" si="0"/>
        <v>4007/4008</v>
      </c>
      <c r="L72" s="22" t="str">
        <f>VLOOKUP(A72,'Trips&amp;Operators'!$C$1:$G$99999,5,FALSE)</f>
        <v>SHOOK JOHN</v>
      </c>
      <c r="M72" s="6">
        <f t="shared" si="1"/>
        <v>1.8692129626288079E-2</v>
      </c>
      <c r="N72" s="7"/>
      <c r="O72" s="7"/>
      <c r="P72" s="7">
        <f>24*60*SUM($M72:$M72)</f>
        <v>26.916666661854833</v>
      </c>
      <c r="Q72" s="23"/>
      <c r="R72" s="23" t="s">
        <v>898</v>
      </c>
      <c r="S72" s="32">
        <f>SUM(U72:U72)/IF(AG72="EC",12,1)</f>
        <v>1</v>
      </c>
      <c r="T72" s="47" t="str">
        <f t="shared" si="4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11:49:28-700',mode:absolute,to:'2017-01-05 14:17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2" s="49" t="str">
        <f t="shared" si="6"/>
        <v>Y</v>
      </c>
      <c r="X72" s="173">
        <f t="shared" si="36"/>
        <v>1</v>
      </c>
      <c r="Y72" s="64">
        <f t="shared" si="7"/>
        <v>12.7674</v>
      </c>
      <c r="Z72" s="64">
        <f t="shared" si="8"/>
        <v>1.4999999999999999E-2</v>
      </c>
      <c r="AA72" s="64">
        <f t="shared" si="9"/>
        <v>12.7524</v>
      </c>
      <c r="AB72" s="61" t="e">
        <f>VLOOKUP(A72,Enforcements!$C$7:$K$18,8,0)</f>
        <v>#N/A</v>
      </c>
      <c r="AC72" s="57" t="e">
        <f>VLOOKUP(A72,Enforcements!$C$7:$E$18,3,0)</f>
        <v>#N/A</v>
      </c>
      <c r="AD72" s="58" t="str">
        <f t="shared" si="10"/>
        <v>0162-05</v>
      </c>
      <c r="AE72" s="87" t="str">
        <f t="shared" si="11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72" s="84" t="str">
        <f t="shared" si="12"/>
        <v>"C:\Program Files (x86)\AstroGrep\AstroGrep.exe" /spath="%USERPROFILE%\AppData\Local\Temp\OnboardLogs" /stypes="app*4008*20170105*" /stext=" 20:.+((SYSTEM_STATE.+slice.+state.+changed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88" t="str">
        <f t="shared" si="17"/>
        <v>"%USERPROFILE%\Documents\GitHub\eaglep3\Utilities\RefineRTDCRunTimes.py" --tripid 162-05 --locoid 4008 --swversion DE.1.0.8.0 --startMP 204:127674 --initTime 2017-01-05T12:49:28 --startdatetime 2017-01-05T12:50:45 --delay 1 --endMP 204:150 --enddatetime 2017-01-05T13:17:40 --enforcementcount 0 &gt;&gt;C:\Users\stu\Documents\GitHub\eaglep3-reporting\EC\2017-01-05-refined-times.txt</v>
      </c>
      <c r="AI72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outage","project_id":79,"tracker_id":40,"status_id":1,"priority_id":2,"assigned_to_id":23,"start_date":"2017-01-05","description":"","custom_fields":[{"id":1,"name":"Subdivision","value":"EC"},{"id":4,"name":"Milepost","value":"0.015"},{"id":17,"name":"Train ID","value":"162-05"},{"id":16,"name":"Locomotive ID","value":"4008"},{"id":130,"name":"Impact","value":""},{"id":150,"name":"Time of Event (Mountain Time)","value":"13:17:40"},{"id":151,"name":"Denver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19"/>
        <v>start /low /b %USERPROFILE%\Documents\GitHub\eaglep3\Utilities\DownloadLogsFromS3.py --loco 4008 --day 2017-01-05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581</v>
      </c>
      <c r="B73" s="7">
        <v>4008</v>
      </c>
      <c r="C73" s="22" t="s">
        <v>203</v>
      </c>
      <c r="D73" s="22" t="s">
        <v>308</v>
      </c>
      <c r="E73" s="13">
        <v>42740.507025462961</v>
      </c>
      <c r="F73" s="13">
        <v>42740.535243055558</v>
      </c>
      <c r="G73" s="7">
        <v>1</v>
      </c>
      <c r="H73" s="22" t="s">
        <v>741</v>
      </c>
      <c r="I73" s="13">
        <v>42740.553935185184</v>
      </c>
      <c r="J73" s="7">
        <v>0</v>
      </c>
      <c r="K73" s="105" t="str">
        <f t="shared" si="0"/>
        <v>4007/4008</v>
      </c>
      <c r="L73" s="22" t="str">
        <f>VLOOKUP(A73,'Trips&amp;Operators'!$C$1:$G$99999,5,FALSE)</f>
        <v>SHOOK JOHN</v>
      </c>
      <c r="M73" s="6">
        <f t="shared" si="1"/>
        <v>1.8692129626288079E-2</v>
      </c>
      <c r="N73" s="7"/>
      <c r="O73" s="7"/>
      <c r="P73" s="7"/>
      <c r="Q73" s="23"/>
      <c r="R73" s="23"/>
      <c r="S73" s="32"/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11:10:07-700',mode:absolute,to:'2017-01-05 14:17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3" s="49" t="str">
        <f t="shared" si="6"/>
        <v>Y</v>
      </c>
      <c r="X73" s="173">
        <f t="shared" si="36"/>
        <v>0</v>
      </c>
      <c r="Y73" s="64">
        <f t="shared" si="7"/>
        <v>23.3</v>
      </c>
      <c r="Z73" s="64">
        <f t="shared" si="8"/>
        <v>19.3002</v>
      </c>
      <c r="AA73" s="64">
        <f t="shared" si="9"/>
        <v>3.9998000000000005</v>
      </c>
      <c r="AB73" s="61" t="e">
        <f>VLOOKUP(A73,Enforcements!$C$7:$K$18,8,0)</f>
        <v>#N/A</v>
      </c>
      <c r="AC73" s="57" t="e">
        <f>VLOOKUP(A73,Enforcements!$C$7:$E$18,3,0)</f>
        <v>#N/A</v>
      </c>
      <c r="AD73" s="58" t="str">
        <f t="shared" si="10"/>
        <v>0162-05</v>
      </c>
      <c r="AE73" s="87" t="str">
        <f t="shared" si="11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73" s="84" t="str">
        <f t="shared" si="12"/>
        <v>"C:\Program Files (x86)\AstroGrep\AstroGrep.exe" /spath="%USERPROFILE%\AppData\Local\Temp\OnboardLogs" /stypes="app*4008*20170105*" /stext=" 20:.+((SYSTEM_STATE.+slice.+state.+changed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88" t="str">
        <f t="shared" si="17"/>
        <v>"%USERPROFILE%\Documents\GitHub\eaglep3\Utilities\RefineRTDCRunTimes.py" --tripid 162-05 --locoid 4008 --swversion DE.1.0.8.0 --startMP 204:233000 --initTime 2017-01-05T12:10:07 --startdatetime 2017-01-05T12:50:45 --delay 1 --endMP 204:193002 --enddatetime 2017-01-05T13:17:40 --enforcementcount 0 &gt;&gt;C:\Users\stu\Documents\GitHub\eaglep3-reporting\EC\2017-01-05-refined-times.txt</v>
      </c>
      <c r="AI73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{"issue":{"subject":"","project_id":79,"tracker_id":40,"status_id":1,"priority_id":2,"assigned_to_id":23,"start_date":"2017-01-05","description":"","custom_fields":[{"id":1,"name":"Subdivision","value":"EC"},{"id":4,"name":"Milepost","value":"19.3002"},{"id":17,"name":"Train ID","value":"162-05"},{"id":16,"name":"Locomotive ID","value":"4008"},{"id":130,"name":"Impact","value":""},{"id":150,"name":"Time of Event (Mountain Time)","value":"13:17:40"},{"id":151,"name":"Denver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19"/>
        <v>start /low /b %USERPROFILE%\Documents\GitHub\eaglep3\Utilities\DownloadLogsFromS3.py --loco 4008 --day 2017-01-05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577</v>
      </c>
      <c r="B74" s="7">
        <v>4002</v>
      </c>
      <c r="C74" s="22" t="s">
        <v>203</v>
      </c>
      <c r="D74" s="22" t="s">
        <v>742</v>
      </c>
      <c r="E74" s="13">
        <v>42740.526099537034</v>
      </c>
      <c r="F74" s="13">
        <v>42740.52915509259</v>
      </c>
      <c r="G74" s="7">
        <v>1</v>
      </c>
      <c r="H74" s="22" t="s">
        <v>414</v>
      </c>
      <c r="I74" s="13">
        <v>42740.53806712963</v>
      </c>
      <c r="J74" s="7">
        <v>0</v>
      </c>
      <c r="K74" s="105" t="str">
        <f t="shared" si="0"/>
        <v>4001/4002</v>
      </c>
      <c r="L74" s="22" t="str">
        <f>VLOOKUP(A74,'Trips&amp;Operators'!$C$1:$G$99999,5,FALSE)</f>
        <v>KILLION DAVID</v>
      </c>
      <c r="M74" s="6">
        <f t="shared" si="1"/>
        <v>8.9120370394084603E-3</v>
      </c>
      <c r="N74" s="7"/>
      <c r="O74" s="7"/>
      <c r="P74" s="7">
        <f>24*60*SUM($M74:$M75)</f>
        <v>50.000000005820766</v>
      </c>
      <c r="Q74" s="23"/>
      <c r="R74" s="23" t="s">
        <v>898</v>
      </c>
      <c r="S74" s="32">
        <f>SUM(U74:U75)/IF(AG74="EC",12,1)</f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11:37:35-700',mode:absolute,to:'2017-01-05 13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4" s="49" t="str">
        <f t="shared" si="6"/>
        <v>Y</v>
      </c>
      <c r="X74" s="173">
        <f t="shared" si="36"/>
        <v>1</v>
      </c>
      <c r="Y74" s="64">
        <f t="shared" si="7"/>
        <v>15.4419</v>
      </c>
      <c r="Z74" s="64">
        <f t="shared" si="8"/>
        <v>23.2987</v>
      </c>
      <c r="AA74" s="64">
        <f t="shared" si="9"/>
        <v>7.8567999999999998</v>
      </c>
      <c r="AB74" s="61" t="e">
        <f>VLOOKUP(A74,Enforcements!$C$7:$K$18,8,0)</f>
        <v>#N/A</v>
      </c>
      <c r="AC74" s="57" t="e">
        <f>VLOOKUP(A74,Enforcements!$C$7:$E$18,3,0)</f>
        <v>#N/A</v>
      </c>
      <c r="AD74" s="58" t="str">
        <f t="shared" si="10"/>
        <v>0163-05</v>
      </c>
      <c r="AE74" s="87" t="str">
        <f t="shared" si="11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74" s="84" t="str">
        <f t="shared" si="12"/>
        <v>"C:\Program Files (x86)\AstroGrep\AstroGrep.exe" /spath="%USERPROFILE%\AppData\Local\Temp\OnboardLogs" /stypes="app*4002*20170105*" /stext=" 19:.+((SYSTEM_STATE.+slice.+state.+changed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88" t="str">
        <f t="shared" si="17"/>
        <v>"%USERPROFILE%\Documents\GitHub\eaglep3\Utilities\RefineRTDCRunTimes.py" --tripid 163-05 --locoid 4002 --swversion DE.1.0.8.0 --startMP 204:154419 --initTime 2017-01-05T12:37:35 --startdatetime 2017-01-05T12:41:59 --delay 1 --endMP 204:232987 --enddatetime 2017-01-05T12:54:49 --enforcementcount 0 &gt;&gt;C:\Users\stu\Documents\GitHub\eaglep3-reporting\EC\2017-01-05-refined-times.txt</v>
      </c>
      <c r="AI74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outage","project_id":79,"tracker_id":40,"status_id":1,"priority_id":2,"assigned_to_id":23,"start_date":"2017-01-05","description":"","custom_fields":[{"id":1,"name":"Subdivision","value":"EC"},{"id":4,"name":"Milepost","value":"23.2987"},{"id":17,"name":"Train ID","value":"163-05"},{"id":16,"name":"Locomotive ID","value":"4002"},{"id":130,"name":"Impact","value":""},{"id":150,"name":"Time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19"/>
        <v>start /low /b %USERPROFILE%\Documents\GitHub\eaglep3\Utilities\DownloadLogsFromS3.py --loco 4002 --day 2017-01-05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577</v>
      </c>
      <c r="B75" s="7">
        <v>4002</v>
      </c>
      <c r="C75" s="22" t="s">
        <v>203</v>
      </c>
      <c r="D75" s="22" t="s">
        <v>226</v>
      </c>
      <c r="E75" s="13">
        <v>42740.46875</v>
      </c>
      <c r="F75" s="13">
        <v>42740.479351851849</v>
      </c>
      <c r="G75" s="7">
        <v>1</v>
      </c>
      <c r="H75" s="22" t="s">
        <v>739</v>
      </c>
      <c r="I75" s="13">
        <v>42740.505162037036</v>
      </c>
      <c r="J75" s="7">
        <v>0</v>
      </c>
      <c r="K75" s="105" t="str">
        <f t="shared" si="0"/>
        <v>4001/4002</v>
      </c>
      <c r="L75" s="22" t="str">
        <f>VLOOKUP(A75,'Trips&amp;Operators'!$C$1:$G$99999,5,FALSE)</f>
        <v>KILLION DAVID</v>
      </c>
      <c r="M75" s="6">
        <f t="shared" si="1"/>
        <v>2.5810185186855961E-2</v>
      </c>
      <c r="N75" s="7"/>
      <c r="O75" s="7"/>
      <c r="P75" s="7"/>
      <c r="Q75" s="23"/>
      <c r="R75" s="23"/>
      <c r="S75" s="32"/>
      <c r="T75" s="47" t="str">
        <f t="shared" si="4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10:15:00-700',mode:absolute,to:'2017-01-05 13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5" s="49" t="str">
        <f t="shared" si="6"/>
        <v>Y</v>
      </c>
      <c r="X75" s="173">
        <f t="shared" si="36"/>
        <v>0</v>
      </c>
      <c r="Y75" s="64">
        <f t="shared" si="7"/>
        <v>4.5999999999999999E-2</v>
      </c>
      <c r="Z75" s="64">
        <f t="shared" si="8"/>
        <v>12.576000000000001</v>
      </c>
      <c r="AA75" s="64">
        <f t="shared" si="9"/>
        <v>12.530000000000001</v>
      </c>
      <c r="AB75" s="61" t="e">
        <f>VLOOKUP(A75,Enforcements!$C$7:$K$18,8,0)</f>
        <v>#N/A</v>
      </c>
      <c r="AC75" s="57" t="e">
        <f>VLOOKUP(A75,Enforcements!$C$7:$E$18,3,0)</f>
        <v>#N/A</v>
      </c>
      <c r="AD75" s="58" t="str">
        <f t="shared" si="10"/>
        <v>0163-05</v>
      </c>
      <c r="AE75" s="87" t="str">
        <f t="shared" si="11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75" s="84" t="str">
        <f t="shared" si="12"/>
        <v>"C:\Program Files (x86)\AstroGrep\AstroGrep.exe" /spath="%USERPROFILE%\AppData\Local\Temp\OnboardLogs" /stypes="app*4002*20170105*" /stext=" 19:.+((SYSTEM_STATE.+slice.+state.+changed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88" t="str">
        <f t="shared" ref="AH75:AH138" si="37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163-05 --locoid 4002 --swversion DE.1.0.8.0 --startMP 204:460 --initTime 2017-01-05T11:15:00 --startdatetime 2017-01-05T11:30:16 --delay 1 --endMP 204:125760 --enddatetime 2017-01-05T12:07:26 --enforcementcount 0 &gt;&gt;C:\Users\stu\Documents\GitHub\eaglep3-reporting\EC\2017-01-05-refined-times.txt</v>
      </c>
      <c r="AI75" s="115" t="str">
        <f t="shared" ref="AI75:AI138" si="38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{"issue":{"subject":"","project_id":79,"tracker_id":40,"status_id":1,"priority_id":2,"assigned_to_id":23,"start_date":"2017-01-05","description":"","custom_fields":[{"id":1,"name":"Subdivision","value":"EC"},{"id":4,"name":"Milepost","value":"12.576"},{"id":17,"name":"Train ID","value":"163-05"},{"id":16,"name":"Locomotive ID","value":"4002"},{"id":130,"name":"Impact","value":""},{"id":150,"name":"Time of Event (Mountain Time)","value":"12:07:26"},{"id":151,"name":"Denver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ref="AM75:AM138" si="39">"start /low /b "&amp;dls3logs&amp;" --loco "&amp;B75&amp;" --day "&amp;TEXT(F75,"YYYY-MM-DD")</f>
        <v>start /low /b %USERPROFILE%\Documents\GitHub\eaglep3\Utilities\DownloadLogsFromS3.py --loco 4002 --day 2017-01-05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477</v>
      </c>
      <c r="B76" s="7">
        <v>4032</v>
      </c>
      <c r="C76" s="22" t="s">
        <v>203</v>
      </c>
      <c r="D76" s="22" t="s">
        <v>421</v>
      </c>
      <c r="E76" s="13">
        <v>42740.531956018516</v>
      </c>
      <c r="F76" s="13">
        <v>42740.533831018518</v>
      </c>
      <c r="G76" s="7">
        <v>1</v>
      </c>
      <c r="H76" s="22" t="s">
        <v>453</v>
      </c>
      <c r="I76" s="13">
        <v>42740.566493055558</v>
      </c>
      <c r="J76" s="7">
        <v>0</v>
      </c>
      <c r="K76" s="105" t="str">
        <f t="shared" ref="K76:K139" si="40">IF(ISEVEN(B76),(B76-1)&amp;"/"&amp;B76,B76&amp;"/"&amp;(B76+1))</f>
        <v>4031/4032</v>
      </c>
      <c r="L76" s="22" t="str">
        <f>VLOOKUP(A76,'Trips&amp;Operators'!$C$1:$G$99999,5,FALSE)</f>
        <v>STRICKLAND EVAN</v>
      </c>
      <c r="M76" s="6">
        <f t="shared" ref="M76:M139" si="41">I76-F76</f>
        <v>3.2662037039699499E-2</v>
      </c>
      <c r="N76" s="7">
        <f>24*60*SUM($M76:$M76)</f>
        <v>47.033333337167278</v>
      </c>
      <c r="O76" s="7"/>
      <c r="P76" s="7"/>
      <c r="Q76" s="23"/>
      <c r="R76" s="23"/>
      <c r="S76" s="32">
        <f>SUM(U76:U76)/IF(AG76="EC",12,1)</f>
        <v>1</v>
      </c>
      <c r="T76" s="47" t="str">
        <f t="shared" ref="T76:T139" si="42">IF(ISEVEN(LEFT(AD76,4)),"Southbound","NorthBound")</f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ref="V76:V139" si="43"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https://search-rtdc-monitor-bjffxe2xuh6vdkpspy63sjmuny.us-east-1.es.amazonaws.com/_plugin/kibana/#/discover/Steve-Slow-Train-Analysis-(2080s-and-2083s)?_g=(refreshInterval:(display:Off,section:0,value:0),time:(from:'2017-01-05 11:46:01-700',mode:absolute,to:'2017-01-05 14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6" s="49" t="str">
        <f t="shared" ref="W76:W139" si="44">IF(AA76&lt;IF(AG76="EC",23,5.65),"Y","N")</f>
        <v>N</v>
      </c>
      <c r="X76" s="173">
        <f t="shared" si="36"/>
        <v>3</v>
      </c>
      <c r="Y76" s="64">
        <f t="shared" ref="Y76:Y139" si="45">RIGHT(D76,LEN(D76)-4)/10000</f>
        <v>23.270600000000002</v>
      </c>
      <c r="Z76" s="64">
        <f t="shared" ref="Z76:Z139" si="46">RIGHT(H76,LEN(H76)-4)/10000</f>
        <v>9.2200000000000004E-2</v>
      </c>
      <c r="AA76" s="64">
        <f t="shared" ref="AA76:AA139" si="47">ABS(Z76-Y76)</f>
        <v>23.178400000000003</v>
      </c>
      <c r="AB76" s="61" t="str">
        <f>VLOOKUP(A76,Enforcements!$C$7:$K$18,8,0)</f>
        <v>Speed (6)</v>
      </c>
      <c r="AC76" s="57" t="str">
        <f>VLOOKUP(A76,Enforcements!$C$7:$E$18,3,0)</f>
        <v>PERMANENT SPEED RESTRICTION</v>
      </c>
      <c r="AD76" s="58" t="str">
        <f t="shared" ref="AD76:AD139" si="48">IF(LEN(A76)=6,"0"&amp;A76,A76)</f>
        <v>0166-05</v>
      </c>
      <c r="AE76" s="87" t="str">
        <f t="shared" ref="AE76:AE139" si="49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76" s="84" t="str">
        <f t="shared" ref="AF76:AF139" si="50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/stypes="app*4032*20170105*" /stext=" 20:.+((SYSTEM_STATE.+slice.+state.+changed )|(ment ac)|(multiple cpu faults)|(system.+state.+changed )|(\[timeout)|(PRM\|1\|D)|(kpr)|(kdp)|(\|lc)|(penalty))" /e /r /s</v>
      </c>
      <c r="AG76" s="1" t="str">
        <f t="shared" ref="AG76:AG139" si="51">IFERROR(IF(VALUE(LEFT(AD76,2))&lt;=2,"EC",IF(OR(VALUE(LEFT(AD76,2))=8,VALUE(LEFT(AD76,2))=18),"NW","Other")),"Other")</f>
        <v>EC</v>
      </c>
      <c r="AH76" s="88" t="str">
        <f t="shared" si="37"/>
        <v>"%USERPROFILE%\Documents\GitHub\eaglep3\Utilities\RefineRTDCRunTimes.py" --tripid 166-05 --locoid 4032 --swversion DE.1.0.8.0 --startMP 204:232706 --initTime 2017-01-05T12:46:01 --startdatetime 2017-01-05T12:48:43 --delay 1 --endMP 204:922 --enddatetime 2017-01-05T13:35:45 --enforcementcount 0 &gt;&gt;C:\Users\stu\Documents\GitHub\eaglep3-reporting\EC\2017-01-05-refined-times.txt</v>
      </c>
      <c r="AI7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{"issue":{"subject":"","project_id":79,"tracker_id":40,"status_id":1,"priority_id":2,"assigned_to_id":23,"start_date":"2017-01-05","description":"","custom_fields":[{"id":1,"name":"Subdivision","value":"EC"},{"id":4,"name":"Milepost","value":"0.0922"},{"id":17,"name":"Train ID","value":"166-05"},{"id":16,"name":"Locomotive ID","value":"4032"},{"id":130,"name":"Impact","value":""},{"id":150,"name":"Time of Event (Mountain Time)","value":"13:35:45"},{"id":151,"name":"Denver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39"/>
        <v>start /low /b %USERPROFILE%\Documents\GitHub\eaglep3\Utilities\DownloadLogsFromS3.py --loco 4032 --day 2017-01-05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580</v>
      </c>
      <c r="B77" s="7">
        <v>4042</v>
      </c>
      <c r="C77" s="22" t="s">
        <v>203</v>
      </c>
      <c r="D77" s="22" t="s">
        <v>743</v>
      </c>
      <c r="E77" s="13">
        <v>42740.525590277779</v>
      </c>
      <c r="F77" s="13">
        <v>42740.530810185184</v>
      </c>
      <c r="G77" s="7">
        <v>1</v>
      </c>
      <c r="H77" s="22" t="s">
        <v>698</v>
      </c>
      <c r="I77" s="13">
        <v>42740.548518518517</v>
      </c>
      <c r="J77" s="7">
        <v>0</v>
      </c>
      <c r="K77" s="105" t="str">
        <f t="shared" si="40"/>
        <v>4041/4042</v>
      </c>
      <c r="L77" s="22" t="str">
        <f>VLOOKUP(A77,'Trips&amp;Operators'!$C$1:$G$99999,5,FALSE)</f>
        <v>BRUDER RICHARD</v>
      </c>
      <c r="M77" s="6">
        <f t="shared" si="41"/>
        <v>1.7708333332848269E-2</v>
      </c>
      <c r="N77" s="7"/>
      <c r="O77" s="7"/>
      <c r="P77" s="7">
        <f>24*60*SUM($M77:$M78)</f>
        <v>50.999999998603016</v>
      </c>
      <c r="Q77" s="23"/>
      <c r="R77" s="23" t="s">
        <v>898</v>
      </c>
      <c r="S77" s="32">
        <f>SUM(U77:U78)/IF(AG77="EC",12,1)</f>
        <v>1</v>
      </c>
      <c r="T77" s="47" t="str">
        <f t="shared" si="42"/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11:36:51-700',mode:absolute,to:'2017-01-05 14:09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7" s="49" t="str">
        <f t="shared" si="44"/>
        <v>Y</v>
      </c>
      <c r="X77" s="173">
        <f t="shared" si="36"/>
        <v>1</v>
      </c>
      <c r="Y77" s="64">
        <f t="shared" si="45"/>
        <v>12.8264</v>
      </c>
      <c r="Z77" s="64">
        <f t="shared" si="46"/>
        <v>23.3293</v>
      </c>
      <c r="AA77" s="64">
        <f t="shared" si="47"/>
        <v>10.5029</v>
      </c>
      <c r="AB77" s="61" t="e">
        <f>VLOOKUP(A77,Enforcements!$C$7:$K$18,8,0)</f>
        <v>#N/A</v>
      </c>
      <c r="AC77" s="57" t="e">
        <f>VLOOKUP(A77,Enforcements!$C$7:$E$18,3,0)</f>
        <v>#N/A</v>
      </c>
      <c r="AD77" s="58" t="str">
        <f t="shared" si="48"/>
        <v>0167-05</v>
      </c>
      <c r="AE77" s="87" t="str">
        <f t="shared" si="49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77" s="84" t="str">
        <f t="shared" si="50"/>
        <v>"C:\Program Files (x86)\AstroGrep\AstroGrep.exe" /spath="%USERPROFILE%\AppData\Local\Temp\OnboardLogs" /stypes="app*4042*20170105*" /stext=" 20:.+((SYSTEM_STATE.+slice.+state.+changed )|(ment ac)|(multiple cpu faults)|(system.+state.+changed )|(\[timeout)|(PRM\|1\|D)|(kpr)|(kdp)|(\|lc)|(penalty))" /e /r /s</v>
      </c>
      <c r="AG77" s="1" t="str">
        <f t="shared" si="51"/>
        <v>EC</v>
      </c>
      <c r="AH77" s="88" t="str">
        <f t="shared" si="37"/>
        <v>"%USERPROFILE%\Documents\GitHub\eaglep3\Utilities\RefineRTDCRunTimes.py" --tripid 167-05 --locoid 4042 --swversion DE.1.0.8.0 --startMP 204:128264 --initTime 2017-01-05T12:36:51 --startdatetime 2017-01-05T12:44:22 --delay 1 --endMP 204:233293 --enddatetime 2017-01-05T13:09:52 --enforcementcount 0 &gt;&gt;C:\Users\stu\Documents\GitHub\eaglep3-reporting\EC\2017-01-05-refined-times.txt</v>
      </c>
      <c r="AI77" s="115" t="str">
        <f t="shared" si="3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outage","project_id":79,"tracker_id":40,"status_id":1,"priority_id":2,"assigned_to_id":23,"start_date":"2017-01-05","description":"","custom_fields":[{"id":1,"name":"Subdivision","value":"EC"},{"id":4,"name":"Milepost","value":"23.3293"},{"id":17,"name":"Train ID","value":"167-05"},{"id":16,"name":"Locomotive ID","value":"4042"},{"id":130,"name":"Impact","value":""},{"id":150,"name":"Time of Event (Mountain Time)","value":"13:09:52"},{"id":151,"name":"Denver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39"/>
        <v>start /low /b %USERPROFILE%\Documents\GitHub\eaglep3\Utilities\DownloadLogsFromS3.py --loco 4042 --day 2017-01-05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580</v>
      </c>
      <c r="B78" s="7">
        <v>4042</v>
      </c>
      <c r="C78" s="22" t="s">
        <v>203</v>
      </c>
      <c r="D78" s="22" t="s">
        <v>323</v>
      </c>
      <c r="E78" s="13">
        <v>42740.486875000002</v>
      </c>
      <c r="F78" s="13">
        <v>42740.530810185184</v>
      </c>
      <c r="G78" s="7">
        <v>1</v>
      </c>
      <c r="H78" s="22" t="s">
        <v>744</v>
      </c>
      <c r="I78" s="13">
        <v>42740.548518518517</v>
      </c>
      <c r="J78" s="7">
        <v>0</v>
      </c>
      <c r="K78" s="105" t="str">
        <f t="shared" si="40"/>
        <v>4041/4042</v>
      </c>
      <c r="L78" s="22" t="str">
        <f>VLOOKUP(A78,'Trips&amp;Operators'!$C$1:$G$99999,5,FALSE)</f>
        <v>BRUDER RICHARD</v>
      </c>
      <c r="M78" s="6">
        <f t="shared" si="41"/>
        <v>1.7708333332848269E-2</v>
      </c>
      <c r="N78" s="7"/>
      <c r="O78" s="7"/>
      <c r="P78" s="7"/>
      <c r="Q78" s="23"/>
      <c r="R78" s="23"/>
      <c r="S78" s="32"/>
      <c r="T78" s="47" t="str">
        <f t="shared" si="42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10:41:06-700',mode:absolute,to:'2017-01-05 14:09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8" s="49" t="str">
        <f t="shared" si="44"/>
        <v>Y</v>
      </c>
      <c r="X78" s="173">
        <f t="shared" si="36"/>
        <v>0</v>
      </c>
      <c r="Y78" s="64">
        <f t="shared" si="45"/>
        <v>4.4600000000000001E-2</v>
      </c>
      <c r="Z78" s="64">
        <f t="shared" si="46"/>
        <v>12.586600000000001</v>
      </c>
      <c r="AA78" s="64">
        <f t="shared" si="47"/>
        <v>12.542</v>
      </c>
      <c r="AB78" s="61" t="e">
        <f>VLOOKUP(A78,Enforcements!$C$7:$K$18,8,0)</f>
        <v>#N/A</v>
      </c>
      <c r="AC78" s="57" t="e">
        <f>VLOOKUP(A78,Enforcements!$C$7:$E$18,3,0)</f>
        <v>#N/A</v>
      </c>
      <c r="AD78" s="58" t="str">
        <f t="shared" si="48"/>
        <v>0167-05</v>
      </c>
      <c r="AE78" s="87" t="str">
        <f t="shared" si="49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78" s="84" t="str">
        <f t="shared" si="50"/>
        <v>"C:\Program Files (x86)\AstroGrep\AstroGrep.exe" /spath="%USERPROFILE%\AppData\Local\Temp\OnboardLogs" /stypes="app*4042*20170105*" /stext=" 20:.+((SYSTEM_STATE.+slice.+state.+changed )|(ment ac)|(multiple cpu faults)|(system.+state.+changed )|(\[timeout)|(PRM\|1\|D)|(kpr)|(kdp)|(\|lc)|(penalty))" /e /r /s</v>
      </c>
      <c r="AG78" s="1" t="str">
        <f t="shared" si="51"/>
        <v>EC</v>
      </c>
      <c r="AH78" s="88" t="str">
        <f t="shared" si="37"/>
        <v>"%USERPROFILE%\Documents\GitHub\eaglep3\Utilities\RefineRTDCRunTimes.py" --tripid 167-05 --locoid 4042 --swversion DE.1.0.8.0 --startMP 204:446 --initTime 2017-01-05T11:41:06 --startdatetime 2017-01-05T12:44:22 --delay 1 --endMP 204:125866 --enddatetime 2017-01-05T13:09:52 --enforcementcount 0 &gt;&gt;C:\Users\stu\Documents\GitHub\eaglep3-reporting\EC\2017-01-05-refined-times.txt</v>
      </c>
      <c r="AI7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{"issue":{"subject":"","project_id":79,"tracker_id":40,"status_id":1,"priority_id":2,"assigned_to_id":23,"start_date":"2017-01-05","description":"","custom_fields":[{"id":1,"name":"Subdivision","value":"EC"},{"id":4,"name":"Milepost","value":"12.5866"},{"id":17,"name":"Train ID","value":"167-05"},{"id":16,"name":"Locomotive ID","value":"4042"},{"id":130,"name":"Impact","value":""},{"id":150,"name":"Time of Event (Mountain Time)","value":"13:09:52"},{"id":151,"name":"Denver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39"/>
        <v>start /low /b %USERPROFILE%\Documents\GitHub\eaglep3\Utilities\DownloadLogsFromS3.py --loco 4042 --day 2017-01-05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585</v>
      </c>
      <c r="B79" s="7">
        <v>4001</v>
      </c>
      <c r="C79" s="22" t="s">
        <v>203</v>
      </c>
      <c r="D79" s="22" t="s">
        <v>712</v>
      </c>
      <c r="E79" s="13">
        <v>42740.544456018521</v>
      </c>
      <c r="F79" s="13">
        <v>42740.546377314815</v>
      </c>
      <c r="G79" s="7">
        <v>1</v>
      </c>
      <c r="H79" s="22" t="s">
        <v>367</v>
      </c>
      <c r="I79" s="13">
        <v>42740.574618055558</v>
      </c>
      <c r="J79" s="7">
        <v>0</v>
      </c>
      <c r="K79" s="105" t="str">
        <f t="shared" si="40"/>
        <v>4001/4002</v>
      </c>
      <c r="L79" s="22" t="str">
        <f>VLOOKUP(A79,'Trips&amp;Operators'!$C$1:$G$99999,5,FALSE)</f>
        <v>KILLION DAVID</v>
      </c>
      <c r="M79" s="6">
        <f t="shared" si="41"/>
        <v>2.8240740743058268E-2</v>
      </c>
      <c r="N79" s="7">
        <f t="shared" ref="N79:N88" si="52">24*60*SUM($M79:$M79)</f>
        <v>40.666666670003906</v>
      </c>
      <c r="O79" s="7"/>
      <c r="P79" s="7"/>
      <c r="Q79" s="23"/>
      <c r="R79" s="23"/>
      <c r="S79" s="32">
        <f t="shared" ref="S79:S88" si="53">SUM(U79:U79)/IF(AG79="EC",12,1)</f>
        <v>1</v>
      </c>
      <c r="T79" s="47" t="str">
        <f t="shared" si="42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12:04:01-700',mode:absolute,to:'2017-01-05 14:47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9" s="49" t="str">
        <f t="shared" si="44"/>
        <v>N</v>
      </c>
      <c r="X79" s="173">
        <f t="shared" si="36"/>
        <v>1</v>
      </c>
      <c r="Y79" s="64">
        <f t="shared" si="45"/>
        <v>23.266999999999999</v>
      </c>
      <c r="Z79" s="64">
        <f t="shared" si="46"/>
        <v>1.34E-2</v>
      </c>
      <c r="AA79" s="64">
        <f t="shared" si="47"/>
        <v>23.253599999999999</v>
      </c>
      <c r="AB79" s="61" t="e">
        <f>VLOOKUP(A79,Enforcements!$C$7:$K$18,8,0)</f>
        <v>#N/A</v>
      </c>
      <c r="AC79" s="57" t="e">
        <f>VLOOKUP(A79,Enforcements!$C$7:$E$18,3,0)</f>
        <v>#N/A</v>
      </c>
      <c r="AD79" s="58" t="str">
        <f t="shared" si="48"/>
        <v>0168-05</v>
      </c>
      <c r="AE79" s="87" t="str">
        <f t="shared" si="49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79" s="84" t="str">
        <f t="shared" si="50"/>
        <v>"C:\Program Files (x86)\AstroGrep\AstroGrep.exe" /spath="%USERPROFILE%\AppData\Local\Temp\OnboardLogs" /stypes="app*4001*20170105*" /stext=" 20:.+((SYSTEM_STATE.+slice.+state.+changed )|(ment ac)|(multiple cpu faults)|(system.+state.+changed )|(\[timeout)|(PRM\|1\|D)|(kpr)|(kdp)|(\|lc)|(penalty))" /e /r /s</v>
      </c>
      <c r="AG79" s="1" t="str">
        <f t="shared" si="51"/>
        <v>EC</v>
      </c>
      <c r="AH79" s="88" t="str">
        <f t="shared" si="37"/>
        <v>"%USERPROFILE%\Documents\GitHub\eaglep3\Utilities\RefineRTDCRunTimes.py" --tripid 168-05 --locoid 4001 --swversion DE.1.0.8.0 --startMP 204:232670 --initTime 2017-01-05T13:04:01 --startdatetime 2017-01-05T13:06:47 --delay 1 --endMP 204:134 --enddatetime 2017-01-05T13:47:27 --enforcementcount 0 &gt;&gt;C:\Users\stu\Documents\GitHub\eaglep3-reporting\EC\2017-01-05-refined-times.txt</v>
      </c>
      <c r="AI79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{"issue":{"subject":"","project_id":79,"tracker_id":40,"status_id":1,"priority_id":2,"assigned_to_id":23,"start_date":"2017-01-05","description":"","custom_fields":[{"id":1,"name":"Subdivision","value":"EC"},{"id":4,"name":"Milepost","value":"0.0134"},{"id":17,"name":"Train ID","value":"168-05"},{"id":16,"name":"Locomotive ID","value":"4001"},{"id":130,"name":"Impact","value":""},{"id":150,"name":"Time of Event (Mountain Time)","value":"13:47:27"},{"id":151,"name":"Denver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39"/>
        <v>start /low /b %USERPROFILE%\Documents\GitHub\eaglep3\Utilities\DownloadLogsFromS3.py --loco 4001 --day 2017-01-05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587</v>
      </c>
      <c r="B80" s="7">
        <v>4041</v>
      </c>
      <c r="C80" s="22" t="s">
        <v>203</v>
      </c>
      <c r="D80" s="22" t="s">
        <v>745</v>
      </c>
      <c r="E80" s="13">
        <v>42740.550671296296</v>
      </c>
      <c r="F80" s="13">
        <v>42740.552916666667</v>
      </c>
      <c r="G80" s="7">
        <v>1</v>
      </c>
      <c r="H80" s="22" t="s">
        <v>192</v>
      </c>
      <c r="I80" s="13">
        <v>42740.581099537034</v>
      </c>
      <c r="J80" s="7">
        <v>0</v>
      </c>
      <c r="K80" s="105" t="str">
        <f t="shared" si="40"/>
        <v>4041/4042</v>
      </c>
      <c r="L80" s="22" t="str">
        <f>VLOOKUP(A80,'Trips&amp;Operators'!$C$1:$G$99999,5,FALSE)</f>
        <v>BRUDER RICHARD</v>
      </c>
      <c r="M80" s="6">
        <f t="shared" si="41"/>
        <v>2.8182870366435964E-2</v>
      </c>
      <c r="N80" s="7">
        <f t="shared" si="52"/>
        <v>40.583333327667788</v>
      </c>
      <c r="O80" s="7"/>
      <c r="P80" s="7"/>
      <c r="Q80" s="23"/>
      <c r="R80" s="23"/>
      <c r="S80" s="32">
        <f t="shared" si="53"/>
        <v>1</v>
      </c>
      <c r="T80" s="47" t="str">
        <f t="shared" si="42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12:12:58-700',mode:absolute,to:'2017-01-05 14:56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0" s="49" t="str">
        <f t="shared" si="44"/>
        <v>N</v>
      </c>
      <c r="X80" s="173">
        <f t="shared" si="36"/>
        <v>2</v>
      </c>
      <c r="Y80" s="64">
        <f t="shared" si="45"/>
        <v>23.298400000000001</v>
      </c>
      <c r="Z80" s="64">
        <f t="shared" si="46"/>
        <v>1.43E-2</v>
      </c>
      <c r="AA80" s="64">
        <f t="shared" si="47"/>
        <v>23.284100000000002</v>
      </c>
      <c r="AB80" s="61" t="e">
        <f>VLOOKUP(A80,Enforcements!$C$7:$K$18,8,0)</f>
        <v>#N/A</v>
      </c>
      <c r="AC80" s="57" t="e">
        <f>VLOOKUP(A80,Enforcements!$C$7:$E$18,3,0)</f>
        <v>#N/A</v>
      </c>
      <c r="AD80" s="58" t="str">
        <f t="shared" si="48"/>
        <v>0170-05</v>
      </c>
      <c r="AE80" s="87" t="str">
        <f t="shared" si="49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80" s="84" t="str">
        <f t="shared" si="50"/>
        <v>"C:\Program Files (x86)\AstroGrep\AstroGrep.exe" /spath="%USERPROFILE%\AppData\Local\Temp\OnboardLogs" /stypes="app*4041*20170105*" /stext=" 20:.+((SYSTEM_STATE.+slice.+state.+changed )|(ment ac)|(multiple cpu faults)|(system.+state.+changed )|(\[timeout)|(PRM\|1\|D)|(kpr)|(kdp)|(\|lc)|(penalty))" /e /r /s</v>
      </c>
      <c r="AG80" s="1" t="str">
        <f t="shared" si="51"/>
        <v>EC</v>
      </c>
      <c r="AH80" s="88" t="str">
        <f t="shared" si="37"/>
        <v>"%USERPROFILE%\Documents\GitHub\eaglep3\Utilities\RefineRTDCRunTimes.py" --tripid 170-05 --locoid 4041 --swversion DE.1.0.8.0 --startMP 204:232984 --initTime 2017-01-05T13:12:58 --startdatetime 2017-01-05T13:16:12 --delay 1 --endMP 204:143 --enddatetime 2017-01-05T13:56:47 --enforcementcount 0 &gt;&gt;C:\Users\stu\Documents\GitHub\eaglep3-reporting\EC\2017-01-05-refined-times.txt</v>
      </c>
      <c r="AI8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ID","value":"170-05"},{"id":16,"name":"Locomotive ID","value":"4041"},{"id":130,"name":"Impact","value":""},{"id":150,"name":"Time of Event (Mountain Time)","value":"13:56:47"},{"id":151,"name":"Denver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39"/>
        <v>start /low /b %USERPROFILE%\Documents\GitHub\eaglep3\Utilities\DownloadLogsFromS3.py --loco 4041 --day 2017-01-05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589</v>
      </c>
      <c r="B81" s="7">
        <v>4021</v>
      </c>
      <c r="C81" s="22" t="s">
        <v>203</v>
      </c>
      <c r="D81" s="22" t="s">
        <v>714</v>
      </c>
      <c r="E81" s="13">
        <v>42740.558287037034</v>
      </c>
      <c r="F81" s="13">
        <v>42740.560532407406</v>
      </c>
      <c r="G81" s="7">
        <v>1</v>
      </c>
      <c r="H81" s="22" t="s">
        <v>246</v>
      </c>
      <c r="I81" s="13">
        <v>42740.587476851855</v>
      </c>
      <c r="J81" s="7">
        <v>0</v>
      </c>
      <c r="K81" s="105" t="str">
        <f t="shared" si="40"/>
        <v>4021/4022</v>
      </c>
      <c r="L81" s="22" t="str">
        <f>VLOOKUP(A81,'Trips&amp;Operators'!$C$1:$G$99999,5,FALSE)</f>
        <v>SMITH MICHAEL</v>
      </c>
      <c r="M81" s="6">
        <f t="shared" si="41"/>
        <v>2.694444444932742E-2</v>
      </c>
      <c r="N81" s="7">
        <f t="shared" si="52"/>
        <v>38.800000007031485</v>
      </c>
      <c r="O81" s="7"/>
      <c r="P81" s="7"/>
      <c r="Q81" s="23"/>
      <c r="R81" s="23"/>
      <c r="S81" s="32">
        <f t="shared" si="53"/>
        <v>1</v>
      </c>
      <c r="T81" s="47" t="str">
        <f t="shared" si="42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12:23:56-700',mode:absolute,to:'2017-01-05 15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1" s="49" t="str">
        <f t="shared" si="44"/>
        <v>N</v>
      </c>
      <c r="X81" s="173">
        <f t="shared" si="36"/>
        <v>2</v>
      </c>
      <c r="Y81" s="64">
        <f t="shared" si="45"/>
        <v>23.267199999999999</v>
      </c>
      <c r="Z81" s="64">
        <f t="shared" si="46"/>
        <v>1.47E-2</v>
      </c>
      <c r="AA81" s="64">
        <f t="shared" si="47"/>
        <v>23.252499999999998</v>
      </c>
      <c r="AB81" s="61" t="e">
        <f>VLOOKUP(A81,Enforcements!$C$7:$K$18,8,0)</f>
        <v>#N/A</v>
      </c>
      <c r="AC81" s="57" t="e">
        <f>VLOOKUP(A81,Enforcements!$C$7:$E$18,3,0)</f>
        <v>#N/A</v>
      </c>
      <c r="AD81" s="58" t="str">
        <f t="shared" si="48"/>
        <v>0172-05</v>
      </c>
      <c r="AE81" s="87" t="str">
        <f t="shared" si="49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81" s="84" t="str">
        <f t="shared" si="50"/>
        <v>"C:\Program Files (x86)\AstroGrep\AstroGrep.exe" /spath="%USERPROFILE%\AppData\Local\Temp\OnboardLogs" /stypes="app*4021*20170105*" /stext=" 21:.+((SYSTEM_STATE.+slice.+state.+changed )|(ment ac)|(multiple cpu faults)|(system.+state.+changed )|(\[timeout)|(PRM\|1\|D)|(kpr)|(kdp)|(\|lc)|(penalty))" /e /r /s</v>
      </c>
      <c r="AG81" s="1" t="str">
        <f t="shared" si="51"/>
        <v>EC</v>
      </c>
      <c r="AH81" s="88" t="str">
        <f t="shared" si="37"/>
        <v>"%USERPROFILE%\Documents\GitHub\eaglep3\Utilities\RefineRTDCRunTimes.py" --tripid 172-05 --locoid 4021 --swversion DE.1.0.8.0 --startMP 204:232672 --initTime 2017-01-05T13:23:56 --startdatetime 2017-01-05T13:27:10 --delay 1 --endMP 204:147 --enddatetime 2017-01-05T14:05:58 --enforcementcount 0 &gt;&gt;C:\Users\stu\Documents\GitHub\eaglep3-reporting\EC\2017-01-05-refined-times.txt</v>
      </c>
      <c r="AI8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{"issue":{"subject":"","project_id":79,"tracker_id":40,"status_id":1,"priority_id":2,"assigned_to_id":23,"start_date":"2017-01-05","description":"","custom_fields":[{"id":1,"name":"Subdivision","value":"EC"},{"id":4,"name":"Milepost","value":"0.0147"},{"id":17,"name":"Train ID","value":"172-05"},{"id":16,"name":"Locomotive ID","value":"4021"},{"id":130,"name":"Impact","value":""},{"id":150,"name":"Time of Event (Mountain Time)","value":"14:05:58"},{"id":151,"name":"Denver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39"/>
        <v>start /low /b %USERPROFILE%\Documents\GitHub\eaglep3\Utilities\DownloadLogsFromS3.py --loco 4021 --day 2017-01-05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583</v>
      </c>
      <c r="B82" s="7">
        <v>4011</v>
      </c>
      <c r="C82" s="22" t="s">
        <v>203</v>
      </c>
      <c r="D82" s="22" t="s">
        <v>226</v>
      </c>
      <c r="E82" s="13">
        <v>42740.536770833336</v>
      </c>
      <c r="F82" s="13">
        <v>42740.539907407408</v>
      </c>
      <c r="G82" s="7">
        <v>2</v>
      </c>
      <c r="H82" s="22" t="s">
        <v>249</v>
      </c>
      <c r="I82" s="13">
        <v>42740.567696759259</v>
      </c>
      <c r="J82" s="7">
        <v>0</v>
      </c>
      <c r="K82" s="105" t="str">
        <f t="shared" si="40"/>
        <v>4011/4012</v>
      </c>
      <c r="L82" s="22" t="str">
        <f>VLOOKUP(A82,'Trips&amp;Operators'!$C$1:$G$99999,5,FALSE)</f>
        <v>HELVIE ADAM</v>
      </c>
      <c r="M82" s="6">
        <f t="shared" si="41"/>
        <v>2.7789351850515231E-2</v>
      </c>
      <c r="N82" s="7">
        <f t="shared" si="52"/>
        <v>40.016666664741933</v>
      </c>
      <c r="O82" s="7"/>
      <c r="P82" s="7"/>
      <c r="Q82" s="23"/>
      <c r="R82" s="23"/>
      <c r="S82" s="32">
        <f t="shared" si="53"/>
        <v>1</v>
      </c>
      <c r="T82" s="47" t="str">
        <f t="shared" si="42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11:52:57-700',mode:absolute,to:'2017-01-05 14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2" s="49" t="str">
        <f t="shared" si="44"/>
        <v>N</v>
      </c>
      <c r="X82" s="173">
        <f t="shared" si="36"/>
        <v>1</v>
      </c>
      <c r="Y82" s="64">
        <f t="shared" si="45"/>
        <v>4.5999999999999999E-2</v>
      </c>
      <c r="Z82" s="64">
        <f t="shared" si="46"/>
        <v>23.297699999999999</v>
      </c>
      <c r="AA82" s="64">
        <f t="shared" si="47"/>
        <v>23.2517</v>
      </c>
      <c r="AB82" s="61" t="e">
        <f>VLOOKUP(A82,Enforcements!$C$7:$K$18,8,0)</f>
        <v>#N/A</v>
      </c>
      <c r="AC82" s="57" t="e">
        <f>VLOOKUP(A82,Enforcements!$C$7:$E$18,3,0)</f>
        <v>#N/A</v>
      </c>
      <c r="AD82" s="58" t="str">
        <f t="shared" si="48"/>
        <v>0173-05</v>
      </c>
      <c r="AE82" s="87" t="str">
        <f t="shared" si="49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82" s="84" t="str">
        <f t="shared" si="50"/>
        <v>"C:\Program Files (x86)\AstroGrep\AstroGrep.exe" /spath="%USERPROFILE%\AppData\Local\Temp\OnboardLogs" /stypes="app*4011*20170105*" /stext=" 20:.+((SYSTEM_STATE.+slice.+state.+changed )|(ment ac)|(multiple cpu faults)|(system.+state.+changed )|(\[timeout)|(PRM\|1\|D)|(kpr)|(kdp)|(\|lc)|(penalty))" /e /r /s</v>
      </c>
      <c r="AG82" s="1" t="str">
        <f t="shared" si="51"/>
        <v>EC</v>
      </c>
      <c r="AH82" s="88" t="str">
        <f t="shared" si="37"/>
        <v>"%USERPROFILE%\Documents\GitHub\eaglep3\Utilities\RefineRTDCRunTimes.py" --tripid 173-05 --locoid 4011 --swversion DE.1.0.8.0 --startMP 204:460 --initTime 2017-01-05T12:52:57 --startdatetime 2017-01-05T12:57:28 --delay 2 --endMP 204:232977 --enddatetime 2017-01-05T13:37:29 --enforcementcount 0 &gt;&gt;C:\Users\stu\Documents\GitHub\eaglep3-reporting\EC\2017-01-05-refined-times.txt</v>
      </c>
      <c r="AI8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{"issue":{"subject":"","project_id":79,"tracker_id":40,"status_id":1,"priority_id":2,"assigned_to_id":23,"start_date":"2017-01-05","description":"","custom_fields":[{"id":1,"name":"Subdivision","value":"EC"},{"id":4,"name":"Milepost","value":"23.2977"},{"id":17,"name":"Train ID","value":"173-05"},{"id":16,"name":"Locomotive ID","value":"4011"},{"id":130,"name":"Impact","value":""},{"id":150,"name":"Time of Event (Mountain Time)","value":"13:37:29"},{"id":151,"name":"Denver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39"/>
        <v>start /low /b %USERPROFILE%\Documents\GitHub\eaglep3\Utilities\DownloadLogsFromS3.py --loco 4011 --day 2017-01-05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594</v>
      </c>
      <c r="B83" s="7">
        <v>4012</v>
      </c>
      <c r="C83" s="22" t="s">
        <v>203</v>
      </c>
      <c r="D83" s="22" t="s">
        <v>746</v>
      </c>
      <c r="E83" s="13">
        <v>42740.572268518517</v>
      </c>
      <c r="F83" s="13">
        <v>42740.574108796296</v>
      </c>
      <c r="G83" s="7">
        <v>1</v>
      </c>
      <c r="H83" s="22" t="s">
        <v>286</v>
      </c>
      <c r="I83" s="13">
        <v>42740.600937499999</v>
      </c>
      <c r="J83" s="7">
        <v>0</v>
      </c>
      <c r="K83" s="105" t="str">
        <f t="shared" si="40"/>
        <v>4011/4012</v>
      </c>
      <c r="L83" s="22" t="str">
        <f>VLOOKUP(A83,'Trips&amp;Operators'!$C$1:$G$99999,5,FALSE)</f>
        <v>HELVIE ADAM</v>
      </c>
      <c r="M83" s="6">
        <f t="shared" si="41"/>
        <v>2.6828703703358769E-2</v>
      </c>
      <c r="N83" s="7">
        <f t="shared" si="52"/>
        <v>38.633333332836628</v>
      </c>
      <c r="O83" s="7"/>
      <c r="P83" s="7"/>
      <c r="Q83" s="23"/>
      <c r="R83" s="23"/>
      <c r="S83" s="32">
        <f t="shared" si="53"/>
        <v>1</v>
      </c>
      <c r="T83" s="47" t="str">
        <f t="shared" si="42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12:44:04-700',mode:absolute,to:'2017-01-05 15:25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3" s="49" t="str">
        <f t="shared" si="44"/>
        <v>N</v>
      </c>
      <c r="X83" s="173">
        <f t="shared" si="36"/>
        <v>1</v>
      </c>
      <c r="Y83" s="64">
        <f t="shared" si="45"/>
        <v>23.2653</v>
      </c>
      <c r="Z83" s="64">
        <f t="shared" si="46"/>
        <v>1.5800000000000002E-2</v>
      </c>
      <c r="AA83" s="64">
        <f t="shared" si="47"/>
        <v>23.249500000000001</v>
      </c>
      <c r="AB83" s="61" t="e">
        <f>VLOOKUP(A83,Enforcements!$C$7:$K$18,8,0)</f>
        <v>#N/A</v>
      </c>
      <c r="AC83" s="57" t="e">
        <f>VLOOKUP(A83,Enforcements!$C$7:$E$18,3,0)</f>
        <v>#N/A</v>
      </c>
      <c r="AD83" s="58" t="str">
        <f t="shared" si="48"/>
        <v>0174-05</v>
      </c>
      <c r="AE83" s="87" t="str">
        <f t="shared" si="49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83" s="84" t="str">
        <f t="shared" si="50"/>
        <v>"C:\Program Files (x86)\AstroGrep\AstroGrep.exe" /spath="%USERPROFILE%\AppData\Local\Temp\OnboardLogs" /stypes="app*4012*20170105*" /stext=" 21:.+((SYSTEM_STATE.+slice.+state.+changed )|(ment ac)|(multiple cpu faults)|(system.+state.+changed )|(\[timeout)|(PRM\|1\|D)|(kpr)|(kdp)|(\|lc)|(penalty))" /e /r /s</v>
      </c>
      <c r="AG83" s="1" t="str">
        <f t="shared" si="51"/>
        <v>EC</v>
      </c>
      <c r="AH83" s="88" t="str">
        <f t="shared" si="37"/>
        <v>"%USERPROFILE%\Documents\GitHub\eaglep3\Utilities\RefineRTDCRunTimes.py" --tripid 174-05 --locoid 4012 --swversion DE.1.0.8.0 --startMP 204:232653 --initTime 2017-01-05T13:44:04 --startdatetime 2017-01-05T13:46:43 --delay 1 --endMP 204:158 --enddatetime 2017-01-05T14:25:21 --enforcementcount 0 &gt;&gt;C:\Users\stu\Documents\GitHub\eaglep3-reporting\EC\2017-01-05-refined-times.txt</v>
      </c>
      <c r="AI8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{"issue":{"subject":"","project_id":79,"tracker_id":40,"status_id":1,"priority_id":2,"assigned_to_id":23,"start_date":"2017-01-05","description":"","custom_fields":[{"id":1,"name":"Subdivision","value":"EC"},{"id":4,"name":"Milepost","value":"0.0158"},{"id":17,"name":"Train ID","value":"174-05"},{"id":16,"name":"Locomotive ID","value":"4012"},{"id":130,"name":"Impact","value":""},{"id":150,"name":"Time of Event (Mountain Time)","value":"14:25:21"},{"id":151,"name":"Denver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39"/>
        <v>start /low /b %USERPROFILE%\Documents\GitHub\eaglep3\Utilities\DownloadLogsFromS3.py --loco 4012 --day 2017-01-05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584</v>
      </c>
      <c r="B84" s="7">
        <v>4046</v>
      </c>
      <c r="C84" s="22" t="s">
        <v>203</v>
      </c>
      <c r="D84" s="22" t="s">
        <v>301</v>
      </c>
      <c r="E84" s="13">
        <v>42740.542094907411</v>
      </c>
      <c r="F84" s="13">
        <v>42740.580763888887</v>
      </c>
      <c r="G84" s="7">
        <v>1</v>
      </c>
      <c r="H84" s="22" t="s">
        <v>747</v>
      </c>
      <c r="I84" s="13">
        <v>42740.609085648146</v>
      </c>
      <c r="J84" s="7">
        <v>0</v>
      </c>
      <c r="K84" s="105" t="str">
        <f t="shared" si="40"/>
        <v>4045/4046</v>
      </c>
      <c r="L84" s="22" t="str">
        <f>VLOOKUP(A84,'Trips&amp;Operators'!$C$1:$G$99999,5,FALSE)</f>
        <v>CRAYTON QUNTRELL</v>
      </c>
      <c r="M84" s="6">
        <f t="shared" si="41"/>
        <v>2.8321759258687962E-2</v>
      </c>
      <c r="N84" s="7">
        <f t="shared" si="52"/>
        <v>40.783333332510665</v>
      </c>
      <c r="O84" s="7"/>
      <c r="P84" s="7"/>
      <c r="Q84" s="23"/>
      <c r="R84" s="23"/>
      <c r="S84" s="32">
        <f t="shared" si="53"/>
        <v>1</v>
      </c>
      <c r="T84" s="47" t="str">
        <f t="shared" si="42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12:00:37-700',mode:absolute,to:'2017-01-05 15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4" s="49" t="str">
        <f t="shared" si="44"/>
        <v>N</v>
      </c>
      <c r="X84" s="173">
        <f t="shared" si="36"/>
        <v>1</v>
      </c>
      <c r="Y84" s="64">
        <f t="shared" si="45"/>
        <v>4.7800000000000002E-2</v>
      </c>
      <c r="Z84" s="64">
        <f t="shared" si="46"/>
        <v>23.3383</v>
      </c>
      <c r="AA84" s="64">
        <f t="shared" si="47"/>
        <v>23.290500000000002</v>
      </c>
      <c r="AB84" s="61" t="e">
        <f>VLOOKUP(A84,Enforcements!$C$7:$K$18,8,0)</f>
        <v>#N/A</v>
      </c>
      <c r="AC84" s="57" t="e">
        <f>VLOOKUP(A84,Enforcements!$C$7:$E$18,3,0)</f>
        <v>#N/A</v>
      </c>
      <c r="AD84" s="58" t="str">
        <f t="shared" si="48"/>
        <v>0175-05</v>
      </c>
      <c r="AE84" s="87" t="str">
        <f t="shared" si="49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84" s="84" t="str">
        <f t="shared" si="50"/>
        <v>"C:\Program Files (x86)\AstroGrep\AstroGrep.exe" /spath="%USERPROFILE%\AppData\Local\Temp\OnboardLogs" /stypes="app*4046*20170105*" /stext=" 21:.+((SYSTEM_STATE.+slice.+state.+changed )|(ment ac)|(multiple cpu faults)|(system.+state.+changed )|(\[timeout)|(PRM\|1\|D)|(kpr)|(kdp)|(\|lc)|(penalty))" /e /r /s</v>
      </c>
      <c r="AG84" s="1" t="str">
        <f t="shared" si="51"/>
        <v>EC</v>
      </c>
      <c r="AH84" s="88" t="str">
        <f t="shared" si="37"/>
        <v>"%USERPROFILE%\Documents\GitHub\eaglep3\Utilities\RefineRTDCRunTimes.py" --tripid 175-05 --locoid 4046 --swversion DE.1.0.8.0 --startMP 204:478 --initTime 2017-01-05T13:00:37 --startdatetime 2017-01-05T13:56:18 --delay 1 --endMP 204:233383 --enddatetime 2017-01-05T14:37:05 --enforcementcount 0 &gt;&gt;C:\Users\stu\Documents\GitHub\eaglep3-reporting\EC\2017-01-05-refined-times.txt</v>
      </c>
      <c r="AI84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{"issue":{"subject":"","project_id":79,"tracker_id":40,"status_id":1,"priority_id":2,"assigned_to_id":23,"start_date":"2017-01-05","description":"","custom_fields":[{"id":1,"name":"Subdivision","value":"EC"},{"id":4,"name":"Milepost","value":"23.3383"},{"id":17,"name":"Train ID","value":"175-05"},{"id":16,"name":"Locomotive ID","value":"4046"},{"id":130,"name":"Impact","value":""},{"id":150,"name":"Time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39"/>
        <v>start /low /b %USERPROFILE%\Documents\GitHub\eaglep3\Utilities\DownloadLogsFromS3.py --loco 4046 --day 2017-01-05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596</v>
      </c>
      <c r="B85" s="7">
        <v>4045</v>
      </c>
      <c r="C85" s="22" t="s">
        <v>203</v>
      </c>
      <c r="D85" s="22" t="s">
        <v>748</v>
      </c>
      <c r="E85" s="13">
        <v>42740.578182870369</v>
      </c>
      <c r="F85" s="13">
        <v>42740.580763888887</v>
      </c>
      <c r="G85" s="7">
        <v>1</v>
      </c>
      <c r="H85" s="22" t="s">
        <v>280</v>
      </c>
      <c r="I85" s="13">
        <v>42740.609085648146</v>
      </c>
      <c r="J85" s="7">
        <v>0</v>
      </c>
      <c r="K85" s="105" t="str">
        <f t="shared" si="40"/>
        <v>4045/4046</v>
      </c>
      <c r="L85" s="22" t="str">
        <f>VLOOKUP(A85,'Trips&amp;Operators'!$C$1:$G$99999,5,FALSE)</f>
        <v>CRAYTON QUNTRELL</v>
      </c>
      <c r="M85" s="6">
        <f t="shared" si="41"/>
        <v>2.8321759258687962E-2</v>
      </c>
      <c r="N85" s="7">
        <f t="shared" si="52"/>
        <v>40.783333332510665</v>
      </c>
      <c r="O85" s="7"/>
      <c r="P85" s="7"/>
      <c r="Q85" s="23"/>
      <c r="R85" s="23"/>
      <c r="S85" s="32">
        <f t="shared" si="53"/>
        <v>1</v>
      </c>
      <c r="T85" s="47" t="str">
        <f t="shared" si="42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12:52:35-700',mode:absolute,to:'2017-01-05 15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5" s="49" t="str">
        <f t="shared" si="44"/>
        <v>N</v>
      </c>
      <c r="X85" s="173">
        <f t="shared" si="36"/>
        <v>1</v>
      </c>
      <c r="Y85" s="64">
        <f t="shared" si="45"/>
        <v>23.305900000000001</v>
      </c>
      <c r="Z85" s="64">
        <f t="shared" si="46"/>
        <v>1.52E-2</v>
      </c>
      <c r="AA85" s="64">
        <f t="shared" si="47"/>
        <v>23.290700000000001</v>
      </c>
      <c r="AB85" s="61" t="e">
        <f>VLOOKUP(A85,Enforcements!$C$7:$K$18,8,0)</f>
        <v>#N/A</v>
      </c>
      <c r="AC85" s="57" t="e">
        <f>VLOOKUP(A85,Enforcements!$C$7:$E$18,3,0)</f>
        <v>#N/A</v>
      </c>
      <c r="AD85" s="58" t="str">
        <f t="shared" si="48"/>
        <v>0176-05</v>
      </c>
      <c r="AE85" s="87" t="str">
        <f t="shared" si="49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85" s="84" t="str">
        <f t="shared" si="50"/>
        <v>"C:\Program Files (x86)\AstroGrep\AstroGrep.exe" /spath="%USERPROFILE%\AppData\Local\Temp\OnboardLogs" /stypes="app*4045*20170105*" /stext=" 21:.+((SYSTEM_STATE.+slice.+state.+changed )|(ment ac)|(multiple cpu faults)|(system.+state.+changed )|(\[timeout)|(PRM\|1\|D)|(kpr)|(kdp)|(\|lc)|(penalty))" /e /r /s</v>
      </c>
      <c r="AG85" s="1" t="str">
        <f t="shared" si="51"/>
        <v>EC</v>
      </c>
      <c r="AH85" s="88" t="str">
        <f t="shared" si="37"/>
        <v>"%USERPROFILE%\Documents\GitHub\eaglep3\Utilities\RefineRTDCRunTimes.py" --tripid 176-05 --locoid 4045 --swversion DE.1.0.8.0 --startMP 204:233059 --initTime 2017-01-05T13:52:35 --startdatetime 2017-01-05T13:56:18 --delay 1 --endMP 204:152 --enddatetime 2017-01-05T14:37:05 --enforcementcount 0 &gt;&gt;C:\Users\stu\Documents\GitHub\eaglep3-reporting\EC\2017-01-05-refined-times.txt</v>
      </c>
      <c r="AI8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{"issue":{"subject":"","project_id":79,"tracker_id":40,"status_id":1,"priority_id":2,"assigned_to_id":23,"start_date":"2017-01-05","description":"","custom_fields":[{"id":1,"name":"Subdivision","value":"EC"},{"id":4,"name":"Milepost","value":"0.0152"},{"id":17,"name":"Train ID","value":"176-05"},{"id":16,"name":"Locomotive ID","value":"4045"},{"id":130,"name":"Impact","value":""},{"id":150,"name":"Time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39"/>
        <v>start /low /b %USERPROFILE%\Documents\GitHub\eaglep3\Utilities\DownloadLogsFromS3.py --loco 4045 --day 2017-01-05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588</v>
      </c>
      <c r="B86" s="7">
        <v>4007</v>
      </c>
      <c r="C86" s="22" t="s">
        <v>203</v>
      </c>
      <c r="D86" s="22" t="s">
        <v>307</v>
      </c>
      <c r="E86" s="13">
        <v>42740.556840277779</v>
      </c>
      <c r="F86" s="13">
        <v>42740.559363425928</v>
      </c>
      <c r="G86" s="7">
        <v>3</v>
      </c>
      <c r="H86" s="22" t="s">
        <v>418</v>
      </c>
      <c r="I86" s="13">
        <v>42740.587476851855</v>
      </c>
      <c r="J86" s="7">
        <v>0</v>
      </c>
      <c r="K86" s="105" t="str">
        <f t="shared" si="40"/>
        <v>4007/4008</v>
      </c>
      <c r="L86" s="22" t="str">
        <f>VLOOKUP(A86,'Trips&amp;Operators'!$C$1:$G$99999,5,FALSE)</f>
        <v>BRANNON JEFFREY</v>
      </c>
      <c r="M86" s="6">
        <f t="shared" si="41"/>
        <v>2.8113425927585922E-2</v>
      </c>
      <c r="N86" s="7">
        <f t="shared" si="52"/>
        <v>40.483333335723728</v>
      </c>
      <c r="O86" s="7"/>
      <c r="P86" s="7"/>
      <c r="Q86" s="23"/>
      <c r="R86" s="23"/>
      <c r="S86" s="32">
        <f t="shared" si="53"/>
        <v>1</v>
      </c>
      <c r="T86" s="47" t="str">
        <f t="shared" si="42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12:21:51-700',mode:absolute,to:'2017-01-05 15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6" s="49" t="str">
        <f t="shared" si="44"/>
        <v>N</v>
      </c>
      <c r="X86" s="173">
        <f t="shared" si="36"/>
        <v>1</v>
      </c>
      <c r="Y86" s="64">
        <f t="shared" si="45"/>
        <v>4.6699999999999998E-2</v>
      </c>
      <c r="Z86" s="64">
        <f t="shared" si="46"/>
        <v>23.330100000000002</v>
      </c>
      <c r="AA86" s="64">
        <f t="shared" si="47"/>
        <v>23.2834</v>
      </c>
      <c r="AB86" s="61" t="e">
        <f>VLOOKUP(A86,Enforcements!$C$7:$K$18,8,0)</f>
        <v>#N/A</v>
      </c>
      <c r="AC86" s="57" t="e">
        <f>VLOOKUP(A86,Enforcements!$C$7:$E$18,3,0)</f>
        <v>#N/A</v>
      </c>
      <c r="AD86" s="58" t="str">
        <f t="shared" si="48"/>
        <v>0177-05</v>
      </c>
      <c r="AE86" s="87" t="str">
        <f t="shared" si="49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86" s="84" t="str">
        <f t="shared" si="50"/>
        <v>"C:\Program Files (x86)\AstroGrep\AstroGrep.exe" /spath="%USERPROFILE%\AppData\Local\Temp\OnboardLogs" /stypes="app*4007*20170105*" /stext=" 21:.+((SYSTEM_STATE.+slice.+state.+changed )|(ment ac)|(multiple cpu faults)|(system.+state.+changed )|(\[timeout)|(PRM\|1\|D)|(kpr)|(kdp)|(\|lc)|(penalty))" /e /r /s</v>
      </c>
      <c r="AG86" s="1" t="str">
        <f t="shared" si="51"/>
        <v>EC</v>
      </c>
      <c r="AH86" s="88" t="str">
        <f t="shared" si="37"/>
        <v>"%USERPROFILE%\Documents\GitHub\eaglep3\Utilities\RefineRTDCRunTimes.py" --tripid 177-05 --locoid 4007 --swversion DE.1.0.8.0 --startMP 204:467 --initTime 2017-01-05T13:21:51 --startdatetime 2017-01-05T13:25:29 --delay 3 --endMP 204:233301 --enddatetime 2017-01-05T14:05:58 --enforcementcount 0 &gt;&gt;C:\Users\stu\Documents\GitHub\eaglep3-reporting\EC\2017-01-05-refined-times.txt</v>
      </c>
      <c r="AI8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{"issue":{"subject":"","project_id":79,"tracker_id":40,"status_id":1,"priority_id":2,"assigned_to_id":23,"start_date":"2017-01-05","description":"","custom_fields":[{"id":1,"name":"Subdivision","value":"EC"},{"id":4,"name":"Milepost","value":"23.3301"},{"id":17,"name":"Train ID","value":"177-05"},{"id":16,"name":"Locomotive ID","value":"4007"},{"id":130,"name":"Impact","value":""},{"id":150,"name":"Time of Event (Mountain Time)","value":"14:05:58"},{"id":151,"name":"Denver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39"/>
        <v>start /low /b %USERPROFILE%\Documents\GitHub\eaglep3\Utilities\DownloadLogsFromS3.py --loco 4007 --day 2017-01-05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599</v>
      </c>
      <c r="B87" s="7">
        <v>4008</v>
      </c>
      <c r="C87" s="22" t="s">
        <v>203</v>
      </c>
      <c r="D87" s="22" t="s">
        <v>731</v>
      </c>
      <c r="E87" s="13">
        <v>42740.589432870373</v>
      </c>
      <c r="F87" s="13">
        <v>42740.591608796298</v>
      </c>
      <c r="G87" s="7">
        <v>1</v>
      </c>
      <c r="H87" s="22" t="s">
        <v>288</v>
      </c>
      <c r="I87" s="13">
        <v>42740.620150462964</v>
      </c>
      <c r="J87" s="7">
        <v>0</v>
      </c>
      <c r="K87" s="105" t="str">
        <f t="shared" si="40"/>
        <v>4007/4008</v>
      </c>
      <c r="L87" s="22" t="str">
        <f>VLOOKUP(A87,'Trips&amp;Operators'!$C$1:$G$99999,5,FALSE)</f>
        <v>BRANNON JEFFREY</v>
      </c>
      <c r="M87" s="6">
        <f t="shared" si="41"/>
        <v>2.8541666666569654E-2</v>
      </c>
      <c r="N87" s="7">
        <f t="shared" si="52"/>
        <v>41.099999999860302</v>
      </c>
      <c r="O87" s="7"/>
      <c r="P87" s="7"/>
      <c r="Q87" s="23"/>
      <c r="R87" s="23"/>
      <c r="S87" s="32">
        <f t="shared" si="53"/>
        <v>1</v>
      </c>
      <c r="T87" s="47" t="str">
        <f t="shared" si="42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13:08:47-700',mode:absolute,to:'2017-01-05 15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7" s="49" t="str">
        <f t="shared" si="44"/>
        <v>N</v>
      </c>
      <c r="X87" s="173">
        <f t="shared" si="36"/>
        <v>1</v>
      </c>
      <c r="Y87" s="64">
        <f t="shared" si="45"/>
        <v>23.297499999999999</v>
      </c>
      <c r="Z87" s="64">
        <f t="shared" si="46"/>
        <v>1.41E-2</v>
      </c>
      <c r="AA87" s="64">
        <f t="shared" si="47"/>
        <v>23.2834</v>
      </c>
      <c r="AB87" s="61" t="e">
        <f>VLOOKUP(A87,Enforcements!$C$7:$K$18,8,0)</f>
        <v>#N/A</v>
      </c>
      <c r="AC87" s="57" t="e">
        <f>VLOOKUP(A87,Enforcements!$C$7:$E$18,3,0)</f>
        <v>#N/A</v>
      </c>
      <c r="AD87" s="58" t="str">
        <f t="shared" si="48"/>
        <v>0178-05</v>
      </c>
      <c r="AE87" s="87" t="str">
        <f t="shared" si="49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87" s="84" t="str">
        <f t="shared" si="50"/>
        <v>"C:\Program Files (x86)\AstroGrep\AstroGrep.exe" /spath="%USERPROFILE%\AppData\Local\Temp\OnboardLogs" /stypes="app*4008*20170105*" /stext=" 21:.+((SYSTEM_STATE.+slice.+state.+changed )|(ment ac)|(multiple cpu faults)|(system.+state.+changed )|(\[timeout)|(PRM\|1\|D)|(kpr)|(kdp)|(\|lc)|(penalty))" /e /r /s</v>
      </c>
      <c r="AG87" s="1" t="str">
        <f t="shared" si="51"/>
        <v>EC</v>
      </c>
      <c r="AH87" s="88" t="str">
        <f t="shared" si="37"/>
        <v>"%USERPROFILE%\Documents\GitHub\eaglep3\Utilities\RefineRTDCRunTimes.py" --tripid 178-05 --locoid 4008 --swversion DE.1.0.8.0 --startMP 204:232975 --initTime 2017-01-05T14:08:47 --startdatetime 2017-01-05T14:11:55 --delay 1 --endMP 204:141 --enddatetime 2017-01-05T14:53:01 --enforcementcount 0 &gt;&gt;C:\Users\stu\Documents\GitHub\eaglep3-reporting\EC\2017-01-05-refined-times.txt</v>
      </c>
      <c r="AI8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{"issue":{"subject":"","project_id":79,"tracker_id":40,"status_id":1,"priority_id":2,"assigned_to_id":23,"start_date":"2017-01-05","description":"","custom_fields":[{"id":1,"name":"Subdivision","value":"EC"},{"id":4,"name":"Milepost","value":"0.0141"},{"id":17,"name":"Train ID","value":"178-05"},{"id":16,"name":"Locomotive ID","value":"4008"},{"id":130,"name":"Impact","value":""},{"id":150,"name":"Time of Event (Mountain Time)","value":"14:53:01"},{"id":151,"name":"Denver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39"/>
        <v>start /low /b %USERPROFILE%\Documents\GitHub\eaglep3\Utilities\DownloadLogsFromS3.py --loco 4008 --day 2017-01-05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590</v>
      </c>
      <c r="B88" s="7">
        <v>4009</v>
      </c>
      <c r="C88" s="22" t="s">
        <v>203</v>
      </c>
      <c r="D88" s="22" t="s">
        <v>259</v>
      </c>
      <c r="E88" s="13">
        <v>42740.564976851849</v>
      </c>
      <c r="F88" s="13">
        <v>42740.568495370368</v>
      </c>
      <c r="G88" s="7">
        <v>2</v>
      </c>
      <c r="H88" s="22" t="s">
        <v>698</v>
      </c>
      <c r="I88" s="13">
        <v>42740.600115740737</v>
      </c>
      <c r="J88" s="7">
        <v>0</v>
      </c>
      <c r="K88" s="105" t="str">
        <f t="shared" si="40"/>
        <v>4009/4010</v>
      </c>
      <c r="L88" s="22" t="str">
        <f>VLOOKUP(A88,'Trips&amp;Operators'!$C$1:$G$99999,5,FALSE)</f>
        <v>BRANDNER MELINDA</v>
      </c>
      <c r="M88" s="6">
        <f t="shared" si="41"/>
        <v>3.1620370369637385E-2</v>
      </c>
      <c r="N88" s="7">
        <f t="shared" si="52"/>
        <v>45.533333332277834</v>
      </c>
      <c r="O88" s="7"/>
      <c r="P88" s="7"/>
      <c r="Q88" s="23"/>
      <c r="R88" s="23"/>
      <c r="S88" s="32">
        <f t="shared" si="53"/>
        <v>1</v>
      </c>
      <c r="T88" s="47" t="str">
        <f t="shared" si="42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12:33:34-700',mode:absolute,to:'2017-01-05 15:24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8" s="49" t="str">
        <f t="shared" si="44"/>
        <v>N</v>
      </c>
      <c r="X88" s="173">
        <f t="shared" si="36"/>
        <v>1</v>
      </c>
      <c r="Y88" s="64">
        <f t="shared" si="45"/>
        <v>4.4900000000000002E-2</v>
      </c>
      <c r="Z88" s="64">
        <f t="shared" si="46"/>
        <v>23.3293</v>
      </c>
      <c r="AA88" s="64">
        <f t="shared" si="47"/>
        <v>23.284400000000002</v>
      </c>
      <c r="AB88" s="61" t="e">
        <f>VLOOKUP(A88,Enforcements!$C$7:$K$18,8,0)</f>
        <v>#N/A</v>
      </c>
      <c r="AC88" s="57" t="e">
        <f>VLOOKUP(A88,Enforcements!$C$7:$E$18,3,0)</f>
        <v>#N/A</v>
      </c>
      <c r="AD88" s="58" t="str">
        <f t="shared" si="48"/>
        <v>0179-05</v>
      </c>
      <c r="AE88" s="87" t="str">
        <f t="shared" si="49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88" s="84" t="str">
        <f t="shared" si="50"/>
        <v>"C:\Program Files (x86)\AstroGrep\AstroGrep.exe" /spath="%USERPROFILE%\AppData\Local\Temp\OnboardLogs" /stypes="app*4009*20170105*" /stext=" 21:.+((SYSTEM_STATE.+slice.+state.+changed )|(ment ac)|(multiple cpu faults)|(system.+state.+changed )|(\[timeout)|(PRM\|1\|D)|(kpr)|(kdp)|(\|lc)|(penalty))" /e /r /s</v>
      </c>
      <c r="AG88" s="1" t="str">
        <f t="shared" si="51"/>
        <v>EC</v>
      </c>
      <c r="AH88" s="88" t="str">
        <f t="shared" si="37"/>
        <v>"%USERPROFILE%\Documents\GitHub\eaglep3\Utilities\RefineRTDCRunTimes.py" --tripid 179-05 --locoid 4009 --swversion DE.1.0.8.0 --startMP 204:449 --initTime 2017-01-05T13:33:34 --startdatetime 2017-01-05T13:38:38 --delay 2 --endMP 204:233293 --enddatetime 2017-01-05T14:24:10 --enforcementcount 0 &gt;&gt;C:\Users\stu\Documents\GitHub\eaglep3-reporting\EC\2017-01-05-refined-times.txt</v>
      </c>
      <c r="AI8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{"issue":{"subject":"","project_id":79,"tracker_id":40,"status_id":1,"priority_id":2,"assigned_to_id":23,"start_date":"2017-01-05","description":"","custom_fields":[{"id":1,"name":"Subdivision","value":"EC"},{"id":4,"name":"Milepost","value":"23.3293"},{"id":17,"name":"Train ID","value":"179-05"},{"id":16,"name":"Locomotive ID","value":"4009"},{"id":130,"name":"Impact","value":""},{"id":150,"name":"Time of Event (Mountain Time)","value":"14:24:10"},{"id":151,"name":"Denver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39"/>
        <v>start /low /b %USERPROFILE%\Documents\GitHub\eaglep3\Utilities\DownloadLogsFromS3.py --loco 4009 --day 2017-01-05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4" t="s">
        <v>479</v>
      </c>
      <c r="B89" s="7">
        <v>4010</v>
      </c>
      <c r="C89" s="22" t="s">
        <v>203</v>
      </c>
      <c r="D89" s="22" t="s">
        <v>291</v>
      </c>
      <c r="E89" s="13">
        <v>42740.600405092591</v>
      </c>
      <c r="F89" s="13">
        <v>42740.601493055554</v>
      </c>
      <c r="G89" s="7">
        <v>1</v>
      </c>
      <c r="H89" s="22" t="s">
        <v>749</v>
      </c>
      <c r="I89" s="13">
        <v>42740.617349537039</v>
      </c>
      <c r="J89" s="7">
        <v>2</v>
      </c>
      <c r="K89" s="105" t="str">
        <f t="shared" si="40"/>
        <v>4009/4010</v>
      </c>
      <c r="L89" s="22" t="str">
        <f>VLOOKUP(A89,'Trips&amp;Operators'!$C$1:$G$99999,5,FALSE)</f>
        <v>BRANDNER MELINDA</v>
      </c>
      <c r="M89" s="6">
        <f t="shared" si="41"/>
        <v>1.5856481484661344E-2</v>
      </c>
      <c r="N89" s="7"/>
      <c r="O89" s="7"/>
      <c r="P89" s="7">
        <f>24*60*SUM($M89:$M90)</f>
        <v>45.566666673403233</v>
      </c>
      <c r="Q89" s="23"/>
      <c r="R89" s="23" t="s">
        <v>380</v>
      </c>
      <c r="S89" s="32">
        <f>SUM(U89:U90)/IF(AG89="EC",12,1)</f>
        <v>1</v>
      </c>
      <c r="T89" s="47" t="str">
        <f t="shared" si="42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2</v>
      </c>
      <c r="V8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13:24:35-700',mode:absolute,to:'2017-01-05 15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9" s="49" t="str">
        <f t="shared" si="44"/>
        <v>Y</v>
      </c>
      <c r="X89" s="173">
        <f t="shared" si="36"/>
        <v>1</v>
      </c>
      <c r="Y89" s="64">
        <f t="shared" si="45"/>
        <v>23.2971</v>
      </c>
      <c r="Z89" s="64">
        <f t="shared" si="46"/>
        <v>10.2477</v>
      </c>
      <c r="AA89" s="64">
        <f t="shared" si="47"/>
        <v>13.0494</v>
      </c>
      <c r="AB89" s="61" t="str">
        <f>VLOOKUP(A89,Enforcements!$C$7:$K$18,8,0)</f>
        <v>Bulletin (2)</v>
      </c>
      <c r="AC89" s="57" t="str">
        <f>VLOOKUP(A89,Enforcements!$C$7:$E$18,3,0)</f>
        <v>GRADE CROSSING</v>
      </c>
      <c r="AD89" s="58" t="str">
        <f t="shared" si="48"/>
        <v>0180-05</v>
      </c>
      <c r="AE89" s="87" t="str">
        <f t="shared" si="49"/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AF89" s="84" t="str">
        <f t="shared" si="50"/>
        <v>"C:\Program Files (x86)\AstroGrep\AstroGrep.exe" /spath="%USERPROFILE%\AppData\Local\Temp\OnboardLogs" /stypes="app*4010*20170105*" /stext=" 21:.+((SYSTEM_STATE.+slice.+state.+changed )|(ment ac)|(multiple cpu faults)|(system.+state.+changed )|(\[timeout)|(PRM\|1\|D)|(kpr)|(kdp)|(\|lc)|(penalty))" /e /r /s</v>
      </c>
      <c r="AG89" s="1" t="str">
        <f t="shared" si="51"/>
        <v>EC</v>
      </c>
      <c r="AH89" s="88" t="str">
        <f t="shared" si="37"/>
        <v>"%USERPROFILE%\Documents\GitHub\eaglep3\Utilities\RefineRTDCRunTimes.py" --tripid 180-05 --locoid 4010 --swversion DE.1.0.8.0 --startMP 204:232971 --initTime 2017-01-05T14:24:35 --startdatetime 2017-01-05T14:26:09 --delay 1 --endMP 204:102477 --enddatetime 2017-01-05T14:48:59 --enforcementcount 2 &gt;&gt;C:\Users\stu\Documents\GitHub\eaglep3-reporting\EC\2017-01-05-refined-times.txt</v>
      </c>
      <c r="AI89" s="115" t="str">
        <f t="shared" si="38"/>
        <v>echo {"issue":{"subject":"Wi-MAX data drop","project_id":79,"tracker_id":40,"status_id":1,"priority_id":2,"assigned_to_id":23,"start_date":"2017-01-05","description":"","custom_fields":[{"id":1,"name":"Subdivision","value":"EC"},{"id":4,"name":"Milepost","value":"10.2477"},{"id":17,"name":"Train ID","value":"180-05"},{"id":16,"name":"Locomotive ID","value":"4010"},{"id":130,"name":"Impact","value":""},{"id":150,"name":"Time of Event (Mountain Time)","value":"14:48:59"},{"id":151,"name":"Denver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39"/>
        <v>start /low /b %USERPROFILE%\Documents\GitHub\eaglep3\Utilities\DownloadLogsFromS3.py --loco 4010 --day 2017-01-05</v>
      </c>
    </row>
    <row r="90" spans="1:91" x14ac:dyDescent="0.25">
      <c r="A90" s="34" t="s">
        <v>479</v>
      </c>
      <c r="B90" s="7">
        <v>4010</v>
      </c>
      <c r="C90" s="22" t="s">
        <v>203</v>
      </c>
      <c r="D90" s="22" t="s">
        <v>750</v>
      </c>
      <c r="E90" s="13">
        <v>42740.619189814817</v>
      </c>
      <c r="F90" s="13">
        <v>42740.620011574072</v>
      </c>
      <c r="G90" s="7">
        <v>1</v>
      </c>
      <c r="H90" s="22" t="s">
        <v>229</v>
      </c>
      <c r="I90" s="13">
        <v>42740.635798611111</v>
      </c>
      <c r="J90" s="7">
        <v>1</v>
      </c>
      <c r="K90" s="105" t="str">
        <f t="shared" si="40"/>
        <v>4009/4010</v>
      </c>
      <c r="L90" s="22" t="str">
        <f>VLOOKUP(A90,'Trips&amp;Operators'!$C$1:$G$99999,5,FALSE)</f>
        <v>BRANDNER MELINDA</v>
      </c>
      <c r="M90" s="6">
        <f t="shared" si="41"/>
        <v>1.5787037038535345E-2</v>
      </c>
      <c r="N90" s="7"/>
      <c r="O90" s="7"/>
      <c r="P90" s="7"/>
      <c r="Q90" s="23"/>
      <c r="R90" s="23"/>
      <c r="S90" s="32"/>
      <c r="T90" s="47" t="str">
        <f t="shared" si="42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10</v>
      </c>
      <c r="V9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13:51:38-700',mode:absolute,to:'2017-01-05 16:15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0" s="49" t="str">
        <f t="shared" si="44"/>
        <v>Y</v>
      </c>
      <c r="X90" s="173">
        <f t="shared" si="36"/>
        <v>0</v>
      </c>
      <c r="Y90" s="64">
        <f t="shared" si="45"/>
        <v>8.6351999999999993</v>
      </c>
      <c r="Z90" s="64">
        <f t="shared" si="46"/>
        <v>1.4500000000000001E-2</v>
      </c>
      <c r="AA90" s="64">
        <f t="shared" si="47"/>
        <v>8.6206999999999994</v>
      </c>
      <c r="AB90" s="61" t="str">
        <f>VLOOKUP(A90,Enforcements!$C$7:$K$18,8,0)</f>
        <v>Bulletin (2)</v>
      </c>
      <c r="AC90" s="57" t="str">
        <f>VLOOKUP(A90,Enforcements!$C$7:$E$18,3,0)</f>
        <v>GRADE CROSSING</v>
      </c>
      <c r="AD90" s="58" t="str">
        <f t="shared" si="48"/>
        <v>0180-05</v>
      </c>
      <c r="AE90" s="87" t="str">
        <f t="shared" si="49"/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AF90" s="84" t="str">
        <f t="shared" si="50"/>
        <v>"C:\Program Files (x86)\AstroGrep\AstroGrep.exe" /spath="%USERPROFILE%\AppData\Local\Temp\OnboardLogs" /stypes="app*4010*20170105*" /stext=" 22:.+((SYSTEM_STATE.+slice.+state.+changed )|(ment ac)|(multiple cpu faults)|(system.+state.+changed )|(\[timeout)|(PRM\|1\|D)|(kpr)|(kdp)|(\|lc)|(penalty))" /e /r /s</v>
      </c>
      <c r="AG90" s="1" t="str">
        <f t="shared" si="51"/>
        <v>EC</v>
      </c>
      <c r="AH90" s="88" t="str">
        <f t="shared" si="37"/>
        <v>"%USERPROFILE%\Documents\GitHub\eaglep3\Utilities\RefineRTDCRunTimes.py" --tripid 180-05 --locoid 4010 --swversion DE.1.0.8.0 --startMP 204:86352 --initTime 2017-01-05T14:51:38 --startdatetime 2017-01-05T14:52:49 --delay 1 --endMP 204:145 --enddatetime 2017-01-05T15:15:33 --enforcementcount 1 &gt;&gt;C:\Users\stu\Documents\GitHub\eaglep3-reporting\EC\2017-01-05-refined-times.txt</v>
      </c>
      <c r="AI9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{"issue":{"subject":"","project_id":79,"tracker_id":40,"status_id":1,"priority_id":2,"assigned_to_id":23,"start_date":"2017-01-05","description":"","custom_fields":[{"id":1,"name":"Subdivision","value":"EC"},{"id":4,"name":"Milepost","value":"0.0145"},{"id":17,"name":"Train ID","value":"180-05"},{"id":16,"name":"Locomotive ID","value":"4010"},{"id":130,"name":"Impact","value":""},{"id":150,"name":"Time of Event (Mountain Time)","value":"15:15:33"},{"id":151,"name":"Denver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39"/>
        <v>start /low /b %USERPROFILE%\Documents\GitHub\eaglep3\Utilities\DownloadLogsFromS3.py --loco 4010 --day 2017-01-05</v>
      </c>
    </row>
    <row r="91" spans="1:91" x14ac:dyDescent="0.25">
      <c r="A91" s="34" t="s">
        <v>595</v>
      </c>
      <c r="B91" s="7">
        <v>4002</v>
      </c>
      <c r="C91" s="22" t="s">
        <v>203</v>
      </c>
      <c r="D91" s="22" t="s">
        <v>243</v>
      </c>
      <c r="E91" s="13">
        <v>42740.576203703706</v>
      </c>
      <c r="F91" s="13">
        <v>42740.578298611108</v>
      </c>
      <c r="G91" s="7">
        <v>1</v>
      </c>
      <c r="H91" s="22" t="s">
        <v>751</v>
      </c>
      <c r="I91" s="13">
        <v>42740.608634259261</v>
      </c>
      <c r="J91" s="7">
        <v>0</v>
      </c>
      <c r="K91" s="105" t="str">
        <f t="shared" si="40"/>
        <v>4001/4002</v>
      </c>
      <c r="L91" s="22" t="str">
        <f>VLOOKUP(A91,'Trips&amp;Operators'!$C$1:$G$99999,5,FALSE)</f>
        <v>KILLION DAVID</v>
      </c>
      <c r="M91" s="6">
        <f t="shared" si="41"/>
        <v>3.033564815268619E-2</v>
      </c>
      <c r="N91" s="7">
        <f t="shared" ref="N91:N98" si="54">24*60*SUM($M91:$M91)</f>
        <v>43.683333339868113</v>
      </c>
      <c r="O91" s="7"/>
      <c r="P91" s="7"/>
      <c r="Q91" s="23"/>
      <c r="R91" s="23"/>
      <c r="S91" s="32">
        <f t="shared" ref="S91:S108" si="55">SUM(U91:U91)/IF(AG91="EC",12,1)</f>
        <v>1</v>
      </c>
      <c r="T91" s="47" t="str">
        <f t="shared" si="42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12:49:44-700',mode:absolute,to:'2017-01-05 15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1" s="49" t="str">
        <f t="shared" si="44"/>
        <v>N</v>
      </c>
      <c r="X91" s="173">
        <f t="shared" si="36"/>
        <v>1</v>
      </c>
      <c r="Y91" s="64">
        <f t="shared" si="45"/>
        <v>4.53E-2</v>
      </c>
      <c r="Z91" s="64">
        <f t="shared" si="46"/>
        <v>23.295999999999999</v>
      </c>
      <c r="AA91" s="64">
        <f t="shared" si="47"/>
        <v>23.250699999999998</v>
      </c>
      <c r="AB91" s="61" t="e">
        <f>VLOOKUP(A91,Enforcements!$C$7:$K$18,8,0)</f>
        <v>#N/A</v>
      </c>
      <c r="AC91" s="57" t="e">
        <f>VLOOKUP(A91,Enforcements!$C$7:$E$18,3,0)</f>
        <v>#N/A</v>
      </c>
      <c r="AD91" s="58" t="str">
        <f t="shared" si="48"/>
        <v>0181-05</v>
      </c>
      <c r="AE91" s="87" t="str">
        <f t="shared" si="49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91" s="84" t="str">
        <f t="shared" si="50"/>
        <v>"C:\Program Files (x86)\AstroGrep\AstroGrep.exe" /spath="%USERPROFILE%\AppData\Local\Temp\OnboardLogs" /stypes="app*4002*20170105*" /stext=" 21:.+((SYSTEM_STATE.+slice.+state.+changed )|(ment ac)|(multiple cpu faults)|(system.+state.+changed )|(\[timeout)|(PRM\|1\|D)|(kpr)|(kdp)|(\|lc)|(penalty))" /e /r /s</v>
      </c>
      <c r="AG91" s="1" t="str">
        <f t="shared" si="51"/>
        <v>EC</v>
      </c>
      <c r="AH91" s="88" t="str">
        <f t="shared" si="37"/>
        <v>"%USERPROFILE%\Documents\GitHub\eaglep3\Utilities\RefineRTDCRunTimes.py" --tripid 181-05 --locoid 4002 --swversion DE.1.0.8.0 --startMP 204:453 --initTime 2017-01-05T13:49:44 --startdatetime 2017-01-05T13:52:45 --delay 1 --endMP 204:232960 --enddatetime 2017-01-05T14:36:26 --enforcementcount 0 &gt;&gt;C:\Users\stu\Documents\GitHub\eaglep3-reporting\EC\2017-01-05-refined-times.txt</v>
      </c>
      <c r="AI9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{"issue":{"subject":"","project_id":79,"tracker_id":40,"status_id":1,"priority_id":2,"assigned_to_id":23,"start_date":"2017-01-05","description":"","custom_fields":[{"id":1,"name":"Subdivision","value":"EC"},{"id":4,"name":"Milepost","value":"23.296"},{"id":17,"name":"Train ID","value":"181-05"},{"id":16,"name":"Locomotive ID","value":"4002"},{"id":130,"name":"Impact","value":""},{"id":150,"name":"Time of Event (Mountain Time)","value":"14:36:26"},{"id":151,"name":"Denver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39"/>
        <v>start /low /b %USERPROFILE%\Documents\GitHub\eaglep3\Utilities\DownloadLogsFromS3.py --loco 4002 --day 2017-01-05</v>
      </c>
    </row>
    <row r="92" spans="1:91" s="21" customFormat="1" x14ac:dyDescent="0.25">
      <c r="A92" s="34" t="s">
        <v>602</v>
      </c>
      <c r="B92" s="7">
        <v>4001</v>
      </c>
      <c r="C92" s="22" t="s">
        <v>203</v>
      </c>
      <c r="D92" s="22" t="s">
        <v>752</v>
      </c>
      <c r="E92" s="13">
        <v>42740.61005787037</v>
      </c>
      <c r="F92" s="13">
        <v>42740.612002314818</v>
      </c>
      <c r="G92" s="7">
        <v>1</v>
      </c>
      <c r="H92" s="22" t="s">
        <v>288</v>
      </c>
      <c r="I92" s="13">
        <v>42740.63957175926</v>
      </c>
      <c r="J92" s="7">
        <v>0</v>
      </c>
      <c r="K92" s="105" t="str">
        <f t="shared" si="40"/>
        <v>4001/4002</v>
      </c>
      <c r="L92" s="22" t="str">
        <f>VLOOKUP(A92,'Trips&amp;Operators'!$C$1:$G$99999,5,FALSE)</f>
        <v>KILLION DAVID</v>
      </c>
      <c r="M92" s="6">
        <f t="shared" si="41"/>
        <v>2.7569444442633539E-2</v>
      </c>
      <c r="N92" s="7">
        <f t="shared" si="54"/>
        <v>39.699999997392297</v>
      </c>
      <c r="O92" s="7"/>
      <c r="P92" s="7"/>
      <c r="Q92" s="23"/>
      <c r="R92" s="23"/>
      <c r="S92" s="32">
        <f t="shared" si="55"/>
        <v>1</v>
      </c>
      <c r="T92" s="47" t="str">
        <f t="shared" si="42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13:38:29-700',mode:absolute,to:'2017-01-05 16:20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2" s="49" t="str">
        <f t="shared" si="44"/>
        <v>N</v>
      </c>
      <c r="X92" s="173">
        <f t="shared" si="36"/>
        <v>1</v>
      </c>
      <c r="Y92" s="64">
        <f t="shared" si="45"/>
        <v>23.264099999999999</v>
      </c>
      <c r="Z92" s="64">
        <f t="shared" si="46"/>
        <v>1.41E-2</v>
      </c>
      <c r="AA92" s="64">
        <f t="shared" si="47"/>
        <v>23.25</v>
      </c>
      <c r="AB92" s="61" t="e">
        <f>VLOOKUP(A92,Enforcements!$C$7:$K$18,8,0)</f>
        <v>#N/A</v>
      </c>
      <c r="AC92" s="57" t="e">
        <f>VLOOKUP(A92,Enforcements!$C$7:$E$18,3,0)</f>
        <v>#N/A</v>
      </c>
      <c r="AD92" s="58" t="str">
        <f t="shared" si="48"/>
        <v>0182-05</v>
      </c>
      <c r="AE92" s="87" t="str">
        <f t="shared" si="49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92" s="84" t="str">
        <f t="shared" si="50"/>
        <v>"C:\Program Files (x86)\AstroGrep\AstroGrep.exe" /spath="%USERPROFILE%\AppData\Local\Temp\OnboardLogs" /stypes="app*4001*20170105*" /stext=" 22:.+((SYSTEM_STATE.+slice.+state.+changed )|(ment ac)|(multiple cpu faults)|(system.+state.+changed )|(\[timeout)|(PRM\|1\|D)|(kpr)|(kdp)|(\|lc)|(penalty))" /e /r /s</v>
      </c>
      <c r="AG92" s="1" t="str">
        <f t="shared" si="51"/>
        <v>EC</v>
      </c>
      <c r="AH92" s="88" t="str">
        <f t="shared" si="37"/>
        <v>"%USERPROFILE%\Documents\GitHub\eaglep3\Utilities\RefineRTDCRunTimes.py" --tripid 182-05 --locoid 4001 --swversion DE.1.0.8.0 --startMP 204:232641 --initTime 2017-01-05T14:38:29 --startdatetime 2017-01-05T14:41:17 --delay 1 --endMP 204:141 --enddatetime 2017-01-05T15:20:59 --enforcementcount 0 &gt;&gt;C:\Users\stu\Documents\GitHub\eaglep3-reporting\EC\2017-01-05-refined-times.txt</v>
      </c>
      <c r="AI9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{"issue":{"subject":"","project_id":79,"tracker_id":40,"status_id":1,"priority_id":2,"assigned_to_id":23,"start_date":"2017-01-05","description":"","custom_fields":[{"id":1,"name":"Subdivision","value":"EC"},{"id":4,"name":"Milepost","value":"0.0141"},{"id":17,"name":"Train ID","value":"182-05"},{"id":16,"name":"Locomotive ID","value":"4001"},{"id":130,"name":"Impact","value":""},{"id":150,"name":"Time of Event (Mountain Time)","value":"15:20:59"},{"id":151,"name":"Denver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39"/>
        <v>start /low /b %USERPROFILE%\Documents\GitHub\eaglep3\Utilities\DownloadLogsFromS3.py --loco 4001 --day 2017-01-05</v>
      </c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597</v>
      </c>
      <c r="B93" s="7">
        <v>4042</v>
      </c>
      <c r="C93" s="22" t="s">
        <v>203</v>
      </c>
      <c r="D93" s="22" t="s">
        <v>297</v>
      </c>
      <c r="E93" s="13">
        <v>42740.581944444442</v>
      </c>
      <c r="F93" s="13">
        <v>42740.583495370367</v>
      </c>
      <c r="G93" s="7">
        <v>1</v>
      </c>
      <c r="H93" s="22" t="s">
        <v>706</v>
      </c>
      <c r="I93" s="13">
        <v>42740.611192129632</v>
      </c>
      <c r="J93" s="7">
        <v>0</v>
      </c>
      <c r="K93" s="105" t="str">
        <f t="shared" si="40"/>
        <v>4041/4042</v>
      </c>
      <c r="L93" s="22" t="str">
        <f>VLOOKUP(A93,'Trips&amp;Operators'!$C$1:$G$99999,5,FALSE)</f>
        <v>BRUDER RICHARD</v>
      </c>
      <c r="M93" s="6">
        <f t="shared" si="41"/>
        <v>2.7696759265381843E-2</v>
      </c>
      <c r="N93" s="7">
        <f t="shared" si="54"/>
        <v>39.883333342149854</v>
      </c>
      <c r="O93" s="7"/>
      <c r="P93" s="7"/>
      <c r="Q93" s="23"/>
      <c r="R93" s="23"/>
      <c r="S93" s="32">
        <f t="shared" si="55"/>
        <v>1</v>
      </c>
      <c r="T93" s="47" t="str">
        <f t="shared" si="42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12:58:00-700',mode:absolute,to:'2017-01-05 15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3" s="49" t="str">
        <f t="shared" si="44"/>
        <v>N</v>
      </c>
      <c r="X93" s="173">
        <f t="shared" ref="X93:X124" si="56">VALUE(LEFT(AD93,4))-VALUE(LEFT(AD92,4))</f>
        <v>1</v>
      </c>
      <c r="Y93" s="64">
        <f t="shared" si="45"/>
        <v>4.4400000000000002E-2</v>
      </c>
      <c r="Z93" s="64">
        <f t="shared" si="46"/>
        <v>23.3309</v>
      </c>
      <c r="AA93" s="64">
        <f t="shared" si="47"/>
        <v>23.2865</v>
      </c>
      <c r="AB93" s="61" t="e">
        <f>VLOOKUP(A93,Enforcements!$C$7:$K$18,8,0)</f>
        <v>#N/A</v>
      </c>
      <c r="AC93" s="57" t="e">
        <f>VLOOKUP(A93,Enforcements!$C$7:$E$18,3,0)</f>
        <v>#N/A</v>
      </c>
      <c r="AD93" s="58" t="str">
        <f t="shared" si="48"/>
        <v>0183-05</v>
      </c>
      <c r="AE93" s="87" t="str">
        <f t="shared" si="49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93" s="84" t="str">
        <f t="shared" si="50"/>
        <v>"C:\Program Files (x86)\AstroGrep\AstroGrep.exe" /spath="%USERPROFILE%\AppData\Local\Temp\OnboardLogs" /stypes="app*4042*20170105*" /stext=" 21:.+((SYSTEM_STATE.+slice.+state.+changed )|(ment ac)|(multiple cpu faults)|(system.+state.+changed )|(\[timeout)|(PRM\|1\|D)|(kpr)|(kdp)|(\|lc)|(penalty))" /e /r /s</v>
      </c>
      <c r="AG93" s="1" t="str">
        <f t="shared" si="51"/>
        <v>EC</v>
      </c>
      <c r="AH93" s="88" t="str">
        <f t="shared" si="37"/>
        <v>"%USERPROFILE%\Documents\GitHub\eaglep3\Utilities\RefineRTDCRunTimes.py" --tripid 183-05 --locoid 4042 --swversion DE.1.0.8.0 --startMP 204:444 --initTime 2017-01-05T13:58:00 --startdatetime 2017-01-05T14:00:14 --delay 1 --endMP 204:233309 --enddatetime 2017-01-05T14:40:07 --enforcementcount 0 &gt;&gt;C:\Users\stu\Documents\GitHub\eaglep3-reporting\EC\2017-01-05-refined-times.txt</v>
      </c>
      <c r="AI9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{"issue":{"subject":"","project_id":79,"tracker_id":40,"status_id":1,"priority_id":2,"assigned_to_id":23,"start_date":"2017-01-05","description":"","custom_fields":[{"id":1,"name":"Subdivision","value":"EC"},{"id":4,"name":"Milepost","value":"23.3309"},{"id":17,"name":"Train ID","value":"183-05"},{"id":16,"name":"Locomotive ID","value":"4042"},{"id":130,"name":"Impact","value":""},{"id":150,"name":"Time of Event (Mountain Time)","value":"14:40:07"},{"id":151,"name":"Denver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39"/>
        <v>start /low /b %USERPROFILE%\Documents\GitHub\eaglep3\Utilities\DownloadLogsFromS3.py --loco 4042 --day 2017-01-05</v>
      </c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604</v>
      </c>
      <c r="B94" s="7">
        <v>4041</v>
      </c>
      <c r="C94" s="22" t="s">
        <v>203</v>
      </c>
      <c r="D94" s="22" t="s">
        <v>260</v>
      </c>
      <c r="E94" s="13">
        <v>42740.618333333332</v>
      </c>
      <c r="F94" s="13">
        <v>42740.622557870367</v>
      </c>
      <c r="G94" s="7">
        <v>5</v>
      </c>
      <c r="H94" s="22" t="s">
        <v>286</v>
      </c>
      <c r="I94" s="13">
        <v>42740.650405092594</v>
      </c>
      <c r="J94" s="7">
        <v>0</v>
      </c>
      <c r="K94" s="105" t="str">
        <f t="shared" si="40"/>
        <v>4041/4042</v>
      </c>
      <c r="L94" s="22" t="str">
        <f>VLOOKUP(A94,'Trips&amp;Operators'!$C$1:$G$99999,5,FALSE)</f>
        <v>BRUDER RICHARD</v>
      </c>
      <c r="M94" s="6">
        <f t="shared" si="41"/>
        <v>2.7847222227137536E-2</v>
      </c>
      <c r="N94" s="7">
        <f t="shared" si="54"/>
        <v>40.100000007078052</v>
      </c>
      <c r="O94" s="7"/>
      <c r="P94" s="7"/>
      <c r="Q94" s="23"/>
      <c r="R94" s="23"/>
      <c r="S94" s="32">
        <f t="shared" si="55"/>
        <v>1</v>
      </c>
      <c r="T94" s="47" t="str">
        <f t="shared" si="42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13:50:24-700',mode:absolute,to:'2017-01-05 16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4" s="49" t="str">
        <f t="shared" si="44"/>
        <v>N</v>
      </c>
      <c r="X94" s="173">
        <f t="shared" si="56"/>
        <v>1</v>
      </c>
      <c r="Y94" s="64">
        <f t="shared" si="45"/>
        <v>23.2973</v>
      </c>
      <c r="Z94" s="64">
        <f t="shared" si="46"/>
        <v>1.5800000000000002E-2</v>
      </c>
      <c r="AA94" s="64">
        <f t="shared" si="47"/>
        <v>23.281500000000001</v>
      </c>
      <c r="AB94" s="61" t="e">
        <f>VLOOKUP(A94,Enforcements!$C$7:$K$18,8,0)</f>
        <v>#N/A</v>
      </c>
      <c r="AC94" s="57" t="e">
        <f>VLOOKUP(A94,Enforcements!$C$7:$E$18,3,0)</f>
        <v>#N/A</v>
      </c>
      <c r="AD94" s="58" t="str">
        <f t="shared" si="48"/>
        <v>0184-05</v>
      </c>
      <c r="AE94" s="87" t="str">
        <f t="shared" si="49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94" s="84" t="str">
        <f t="shared" si="50"/>
        <v>"C:\Program Files (x86)\AstroGrep\AstroGrep.exe" /spath="%USERPROFILE%\AppData\Local\Temp\OnboardLogs" /stypes="app*4041*20170105*" /stext=" 22:.+((SYSTEM_STATE.+slice.+state.+changed )|(ment ac)|(multiple cpu faults)|(system.+state.+changed )|(\[timeout)|(PRM\|1\|D)|(kpr)|(kdp)|(\|lc)|(penalty))" /e /r /s</v>
      </c>
      <c r="AG94" s="1" t="str">
        <f t="shared" si="51"/>
        <v>EC</v>
      </c>
      <c r="AH94" s="88" t="str">
        <f t="shared" si="37"/>
        <v>"%USERPROFILE%\Documents\GitHub\eaglep3\Utilities\RefineRTDCRunTimes.py" --tripid 184-05 --locoid 4041 --swversion DE.1.0.8.0 --startMP 204:232973 --initTime 2017-01-05T14:50:24 --startdatetime 2017-01-05T14:56:29 --delay 5 --endMP 204:158 --enddatetime 2017-01-05T15:36:35 --enforcementcount 0 &gt;&gt;C:\Users\stu\Documents\GitHub\eaglep3-reporting\EC\2017-01-05-refined-times.txt</v>
      </c>
      <c r="AI94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{"issue":{"subject":"","project_id":79,"tracker_id":40,"status_id":1,"priority_id":2,"assigned_to_id":23,"start_date":"2017-01-05","description":"","custom_fields":[{"id":1,"name":"Subdivision","value":"EC"},{"id":4,"name":"Milepost","value":"0.0158"},{"id":17,"name":"Train ID","value":"184-05"},{"id":16,"name":"Locomotive ID","value":"4041"},{"id":130,"name":"Impact","value":""},{"id":150,"name":"Time of Event (Mountain Time)","value":"15:36:35"},{"id":151,"name":"Denver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39"/>
        <v>start /low /b %USERPROFILE%\Documents\GitHub\eaglep3\Utilities\DownloadLogsFromS3.py --loco 4041 --day 2017-01-05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598</v>
      </c>
      <c r="B95" s="7">
        <v>4022</v>
      </c>
      <c r="C95" s="22" t="s">
        <v>203</v>
      </c>
      <c r="D95" s="22" t="s">
        <v>259</v>
      </c>
      <c r="E95" s="13">
        <v>42740.589201388888</v>
      </c>
      <c r="F95" s="13">
        <v>42740.594004629631</v>
      </c>
      <c r="G95" s="7">
        <v>1</v>
      </c>
      <c r="H95" s="22" t="s">
        <v>298</v>
      </c>
      <c r="I95" s="13">
        <v>42740.620856481481</v>
      </c>
      <c r="J95" s="7">
        <v>0</v>
      </c>
      <c r="K95" s="105" t="str">
        <f t="shared" si="40"/>
        <v>4021/4022</v>
      </c>
      <c r="L95" s="22" t="str">
        <f>VLOOKUP(A95,'Trips&amp;Operators'!$C$1:$G$99999,5,FALSE)</f>
        <v>SMITH MICHAEL</v>
      </c>
      <c r="M95" s="6">
        <f t="shared" si="41"/>
        <v>2.6851851849642117E-2</v>
      </c>
      <c r="N95" s="7">
        <f t="shared" si="54"/>
        <v>38.666666663484648</v>
      </c>
      <c r="O95" s="7"/>
      <c r="P95" s="7"/>
      <c r="Q95" s="23"/>
      <c r="R95" s="23"/>
      <c r="S95" s="32">
        <f t="shared" si="55"/>
        <v>1</v>
      </c>
      <c r="T95" s="47" t="str">
        <f t="shared" si="42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13:08:27-700',mode:absolute,to:'2017-01-05 15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5" s="49" t="str">
        <f t="shared" si="44"/>
        <v>N</v>
      </c>
      <c r="X95" s="173">
        <f t="shared" si="56"/>
        <v>1</v>
      </c>
      <c r="Y95" s="64">
        <f t="shared" si="45"/>
        <v>4.4900000000000002E-2</v>
      </c>
      <c r="Z95" s="64">
        <f t="shared" si="46"/>
        <v>23.2989</v>
      </c>
      <c r="AA95" s="64">
        <f t="shared" si="47"/>
        <v>23.254000000000001</v>
      </c>
      <c r="AB95" s="61" t="e">
        <f>VLOOKUP(A95,Enforcements!$C$7:$K$18,8,0)</f>
        <v>#N/A</v>
      </c>
      <c r="AC95" s="57" t="e">
        <f>VLOOKUP(A95,Enforcements!$C$7:$E$18,3,0)</f>
        <v>#N/A</v>
      </c>
      <c r="AD95" s="58" t="str">
        <f t="shared" si="48"/>
        <v>0185-05</v>
      </c>
      <c r="AE95" s="87" t="str">
        <f t="shared" si="49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95" s="84" t="str">
        <f t="shared" si="50"/>
        <v>"C:\Program Files (x86)\AstroGrep\AstroGrep.exe" /spath="%USERPROFILE%\AppData\Local\Temp\OnboardLogs" /stypes="app*4022*20170105*" /stext=" 21:.+((SYSTEM_STATE.+slice.+state.+changed )|(ment ac)|(multiple cpu faults)|(system.+state.+changed )|(\[timeout)|(PRM\|1\|D)|(kpr)|(kdp)|(\|lc)|(penalty))" /e /r /s</v>
      </c>
      <c r="AG95" s="1" t="str">
        <f t="shared" si="51"/>
        <v>EC</v>
      </c>
      <c r="AH95" s="88" t="str">
        <f t="shared" si="37"/>
        <v>"%USERPROFILE%\Documents\GitHub\eaglep3\Utilities\RefineRTDCRunTimes.py" --tripid 185-05 --locoid 4022 --swversion DE.1.0.8.0 --startMP 204:449 --initTime 2017-01-05T14:08:27 --startdatetime 2017-01-05T14:15:22 --delay 1 --endMP 204:232989 --enddatetime 2017-01-05T14:54:02 --enforcementcount 0 &gt;&gt;C:\Users\stu\Documents\GitHub\eaglep3-reporting\EC\2017-01-05-refined-times.txt</v>
      </c>
      <c r="AI9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{"issue":{"subject":"","project_id":79,"tracker_id":40,"status_id":1,"priority_id":2,"assigned_to_id":23,"start_date":"2017-01-05","description":"","custom_fields":[{"id":1,"name":"Subdivision","value":"EC"},{"id":4,"name":"Milepost","value":"23.2989"},{"id":17,"name":"Train ID","value":"185-05"},{"id":16,"name":"Locomotive ID","value":"4022"},{"id":130,"name":"Impact","value":""},{"id":150,"name":"Time of Event (Mountain Time)","value":"14:54:02"},{"id":151,"name":"Denver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39"/>
        <v>start /low /b %USERPROFILE%\Documents\GitHub\eaglep3\Utilities\DownloadLogsFromS3.py --loco 4022 --day 2017-01-05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606</v>
      </c>
      <c r="B96" s="7">
        <v>4021</v>
      </c>
      <c r="C96" s="22" t="s">
        <v>203</v>
      </c>
      <c r="D96" s="22" t="s">
        <v>411</v>
      </c>
      <c r="E96" s="13">
        <v>42740.626493055555</v>
      </c>
      <c r="F96" s="13">
        <v>42740.633009259262</v>
      </c>
      <c r="G96" s="7">
        <v>1</v>
      </c>
      <c r="H96" s="22" t="s">
        <v>209</v>
      </c>
      <c r="I96" s="13">
        <v>42740.661377314813</v>
      </c>
      <c r="J96" s="7">
        <v>0</v>
      </c>
      <c r="K96" s="105" t="str">
        <f t="shared" si="40"/>
        <v>4021/4022</v>
      </c>
      <c r="L96" s="22" t="str">
        <f>VLOOKUP(A96,'Trips&amp;Operators'!$C$1:$G$99999,5,FALSE)</f>
        <v>SMITH MICHAEL</v>
      </c>
      <c r="M96" s="6">
        <f t="shared" si="41"/>
        <v>2.8368055551254656E-2</v>
      </c>
      <c r="N96" s="7">
        <f t="shared" si="54"/>
        <v>40.849999993806705</v>
      </c>
      <c r="O96" s="7"/>
      <c r="P96" s="7"/>
      <c r="Q96" s="23"/>
      <c r="R96" s="23"/>
      <c r="S96" s="32">
        <f t="shared" si="55"/>
        <v>1</v>
      </c>
      <c r="T96" s="47" t="str">
        <f t="shared" si="42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14:02:09-700',mode:absolute,to:'2017-01-05 16:52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6" s="49" t="str">
        <f t="shared" si="44"/>
        <v>N</v>
      </c>
      <c r="X96" s="173">
        <f t="shared" si="56"/>
        <v>1</v>
      </c>
      <c r="Y96" s="64">
        <f t="shared" si="45"/>
        <v>23.267299999999999</v>
      </c>
      <c r="Z96" s="64">
        <f t="shared" si="46"/>
        <v>1.4999999999999999E-2</v>
      </c>
      <c r="AA96" s="64">
        <f t="shared" si="47"/>
        <v>23.252299999999998</v>
      </c>
      <c r="AB96" s="61" t="e">
        <f>VLOOKUP(A96,Enforcements!$C$7:$K$18,8,0)</f>
        <v>#N/A</v>
      </c>
      <c r="AC96" s="57" t="e">
        <f>VLOOKUP(A96,Enforcements!$C$7:$E$18,3,0)</f>
        <v>#N/A</v>
      </c>
      <c r="AD96" s="58" t="str">
        <f t="shared" si="48"/>
        <v>0186-05</v>
      </c>
      <c r="AE96" s="87" t="str">
        <f t="shared" si="49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96" s="84" t="str">
        <f t="shared" si="50"/>
        <v>"C:\Program Files (x86)\AstroGrep\AstroGrep.exe" /spath="%USERPROFILE%\AppData\Local\Temp\OnboardLogs" /stypes="app*4021*20170105*" /stext=" 22:.+((SYSTEM_STATE.+slice.+state.+changed )|(ment ac)|(multiple cpu faults)|(system.+state.+changed )|(\[timeout)|(PRM\|1\|D)|(kpr)|(kdp)|(\|lc)|(penalty))" /e /r /s</v>
      </c>
      <c r="AG96" s="1" t="str">
        <f t="shared" si="51"/>
        <v>EC</v>
      </c>
      <c r="AH96" s="88" t="str">
        <f t="shared" si="37"/>
        <v>"%USERPROFILE%\Documents\GitHub\eaglep3\Utilities\RefineRTDCRunTimes.py" --tripid 186-05 --locoid 4021 --swversion DE.1.0.8.0 --startMP 204:232673 --initTime 2017-01-05T15:02:09 --startdatetime 2017-01-05T15:11:32 --delay 1 --endMP 204:150 --enddatetime 2017-01-05T15:52:23 --enforcementcount 0 &gt;&gt;C:\Users\stu\Documents\GitHub\eaglep3-reporting\EC\2017-01-05-refined-times.txt</v>
      </c>
      <c r="AI9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ID","value":"186-05"},{"id":16,"name":"Locomotive ID","value":"4021"},{"id":130,"name":"Impact","value":""},{"id":150,"name":"Time of Event (Mountain Time)","value":"15:52:23"},{"id":151,"name":"Denver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39"/>
        <v>start /low /b %USERPROFILE%\Documents\GitHub\eaglep3\Utilities\DownloadLogsFromS3.py --loco 4021 --day 2017-01-05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4" t="s">
        <v>600</v>
      </c>
      <c r="B97" s="7">
        <v>4011</v>
      </c>
      <c r="C97" s="22" t="s">
        <v>203</v>
      </c>
      <c r="D97" s="22" t="s">
        <v>224</v>
      </c>
      <c r="E97" s="13">
        <v>42740.603750000002</v>
      </c>
      <c r="F97" s="13">
        <v>42740.605011574073</v>
      </c>
      <c r="G97" s="7">
        <v>1</v>
      </c>
      <c r="H97" s="22" t="s">
        <v>753</v>
      </c>
      <c r="I97" s="13">
        <v>42740.629837962966</v>
      </c>
      <c r="J97" s="7">
        <v>0</v>
      </c>
      <c r="K97" s="105" t="str">
        <f t="shared" si="40"/>
        <v>4011/4012</v>
      </c>
      <c r="L97" s="22" t="str">
        <f>VLOOKUP(A97,'Trips&amp;Operators'!$C$1:$G$99999,5,FALSE)</f>
        <v>HELVIE ADAM</v>
      </c>
      <c r="M97" s="6">
        <f t="shared" si="41"/>
        <v>2.4826388893416151E-2</v>
      </c>
      <c r="N97" s="7">
        <f t="shared" si="54"/>
        <v>35.750000006519258</v>
      </c>
      <c r="O97" s="7"/>
      <c r="P97" s="7"/>
      <c r="Q97" s="23"/>
      <c r="R97" s="23"/>
      <c r="S97" s="32">
        <f t="shared" si="55"/>
        <v>1</v>
      </c>
      <c r="T97" s="47" t="str">
        <f t="shared" si="42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13:29:24-700',mode:absolute,to:'2017-01-05 16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7" s="49" t="str">
        <f t="shared" si="44"/>
        <v>N</v>
      </c>
      <c r="X97" s="173">
        <f t="shared" si="56"/>
        <v>1</v>
      </c>
      <c r="Y97" s="64">
        <f t="shared" si="45"/>
        <v>4.5499999999999999E-2</v>
      </c>
      <c r="Z97" s="64">
        <f t="shared" si="46"/>
        <v>23.3324</v>
      </c>
      <c r="AA97" s="64">
        <f t="shared" si="47"/>
        <v>23.286899999999999</v>
      </c>
      <c r="AB97" s="61" t="e">
        <f>VLOOKUP(A97,Enforcements!$C$7:$K$18,8,0)</f>
        <v>#N/A</v>
      </c>
      <c r="AC97" s="57" t="e">
        <f>VLOOKUP(A97,Enforcements!$C$7:$E$18,3,0)</f>
        <v>#N/A</v>
      </c>
      <c r="AD97" s="58" t="str">
        <f t="shared" si="48"/>
        <v>0187-05</v>
      </c>
      <c r="AE97" s="87" t="str">
        <f t="shared" si="49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97" s="84" t="str">
        <f t="shared" si="50"/>
        <v>"C:\Program Files (x86)\AstroGrep\AstroGrep.exe" /spath="%USERPROFILE%\AppData\Local\Temp\OnboardLogs" /stypes="app*4011*20170105*" /stext=" 22:.+((SYSTEM_STATE.+slice.+state.+changed )|(ment ac)|(multiple cpu faults)|(system.+state.+changed )|(\[timeout)|(PRM\|1\|D)|(kpr)|(kdp)|(\|lc)|(penalty))" /e /r /s</v>
      </c>
      <c r="AG97" s="1" t="str">
        <f t="shared" si="51"/>
        <v>EC</v>
      </c>
      <c r="AH97" s="88" t="str">
        <f t="shared" si="37"/>
        <v>"%USERPROFILE%\Documents\GitHub\eaglep3\Utilities\RefineRTDCRunTimes.py" --tripid 187-05 --locoid 4011 --swversion DE.1.0.8.0 --startMP 204:455 --initTime 2017-01-05T14:29:24 --startdatetime 2017-01-05T14:31:13 --delay 1 --endMP 204:233324 --enddatetime 2017-01-05T15:06:58 --enforcementcount 0 &gt;&gt;C:\Users\stu\Documents\GitHub\eaglep3-reporting\EC\2017-01-05-refined-times.txt</v>
      </c>
      <c r="AI9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{"issue":{"subject":"","project_id":79,"tracker_id":40,"status_id":1,"priority_id":2,"assigned_to_id":23,"start_date":"2017-01-05","description":"","custom_fields":[{"id":1,"name":"Subdivision","value":"EC"},{"id":4,"name":"Milepost","value":"23.3324"},{"id":17,"name":"Train ID","value":"187-05"},{"id":16,"name":"Locomotive ID","value":"4011"},{"id":130,"name":"Impact","value":""},{"id":150,"name":"Time of Event (Mountain Time)","value":"15:06:58"},{"id":151,"name":"Denver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39"/>
        <v>start /low /b %USERPROFILE%\Documents\GitHub\eaglep3\Utilities\DownloadLogsFromS3.py --loco 4011 --day 2017-01-05</v>
      </c>
    </row>
    <row r="98" spans="1:91" s="21" customFormat="1" x14ac:dyDescent="0.25">
      <c r="A98" s="34" t="s">
        <v>481</v>
      </c>
      <c r="B98" s="7">
        <v>4012</v>
      </c>
      <c r="C98" s="22" t="s">
        <v>203</v>
      </c>
      <c r="D98" s="22" t="s">
        <v>256</v>
      </c>
      <c r="E98" s="13">
        <v>42740.636828703704</v>
      </c>
      <c r="F98" s="13">
        <v>42740.64334490741</v>
      </c>
      <c r="G98" s="7">
        <v>1</v>
      </c>
      <c r="H98" s="22" t="s">
        <v>209</v>
      </c>
      <c r="I98" s="13">
        <v>42740.673935185187</v>
      </c>
      <c r="J98" s="7">
        <v>0</v>
      </c>
      <c r="K98" s="105" t="str">
        <f t="shared" si="40"/>
        <v>4011/4012</v>
      </c>
      <c r="L98" s="22" t="str">
        <f>VLOOKUP(A98,'Trips&amp;Operators'!$C$1:$G$99999,5,FALSE)</f>
        <v>HELVIE ADAM</v>
      </c>
      <c r="M98" s="6">
        <f t="shared" si="41"/>
        <v>3.0590277776354924E-2</v>
      </c>
      <c r="N98" s="7">
        <f t="shared" si="54"/>
        <v>44.04999999795109</v>
      </c>
      <c r="O98" s="7"/>
      <c r="P98" s="7"/>
      <c r="Q98" s="23"/>
      <c r="R98" s="23"/>
      <c r="S98" s="32">
        <f t="shared" si="55"/>
        <v>1</v>
      </c>
      <c r="T98" s="47" t="str">
        <f t="shared" si="42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14:17:02-700',mode:absolute,to:'2017-01-05 17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8" s="49" t="str">
        <f t="shared" si="44"/>
        <v>N</v>
      </c>
      <c r="X98" s="173">
        <f t="shared" si="56"/>
        <v>1</v>
      </c>
      <c r="Y98" s="64">
        <f t="shared" si="45"/>
        <v>23.2986</v>
      </c>
      <c r="Z98" s="64">
        <f t="shared" si="46"/>
        <v>1.4999999999999999E-2</v>
      </c>
      <c r="AA98" s="64">
        <f t="shared" si="47"/>
        <v>23.2836</v>
      </c>
      <c r="AB98" s="61" t="str">
        <f>VLOOKUP(A98,Enforcements!$C$7:$K$18,8,0)</f>
        <v>Form based authority (4)</v>
      </c>
      <c r="AC98" s="57" t="str">
        <f>VLOOKUP(A98,Enforcements!$C$7:$E$18,3,0)</f>
        <v>TRACK WARRANT AUTHORITY</v>
      </c>
      <c r="AD98" s="58" t="str">
        <f t="shared" si="48"/>
        <v>0188-05</v>
      </c>
      <c r="AE98" s="87" t="str">
        <f t="shared" si="49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98" s="84" t="str">
        <f t="shared" si="50"/>
        <v>"C:\Program Files (x86)\AstroGrep\AstroGrep.exe" /spath="%USERPROFILE%\AppData\Local\Temp\OnboardLogs" /stypes="app*4012*20170105*" /stext=" 23:.+((SYSTEM_STATE.+slice.+state.+changed )|(ment ac)|(multiple cpu faults)|(system.+state.+changed )|(\[timeout)|(PRM\|1\|D)|(kpr)|(kdp)|(\|lc)|(penalty))" /e /r /s</v>
      </c>
      <c r="AG98" s="1" t="str">
        <f t="shared" si="51"/>
        <v>EC</v>
      </c>
      <c r="AH98" s="88" t="str">
        <f t="shared" si="37"/>
        <v>"%USERPROFILE%\Documents\GitHub\eaglep3\Utilities\RefineRTDCRunTimes.py" --tripid 188-05 --locoid 4012 --swversion DE.1.0.8.0 --startMP 204:232986 --initTime 2017-01-05T15:17:02 --startdatetime 2017-01-05T15:26:25 --delay 1 --endMP 204:150 --enddatetime 2017-01-05T16:10:28 --enforcementcount 0 &gt;&gt;C:\Users\stu\Documents\GitHub\eaglep3-reporting\EC\2017-01-05-refined-times.txt</v>
      </c>
      <c r="AI9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ID","value":"188-05"},{"id":16,"name":"Locomotive ID","value":"4012"},{"id":130,"name":"Impact","value":""},{"id":150,"name":"Time of Event (Mountain Time)","value":"16:10:28"},{"id":151,"name":"Denver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39"/>
        <v>start /low /b %USERPROFILE%\Documents\GitHub\eaglep3\Utilities\DownloadLogsFromS3.py --loco 4012 --day 2017-01-05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603</v>
      </c>
      <c r="B99" s="7">
        <v>4046</v>
      </c>
      <c r="C99" s="22" t="s">
        <v>203</v>
      </c>
      <c r="D99" s="22" t="s">
        <v>374</v>
      </c>
      <c r="E99" s="13">
        <v>42740.610914351855</v>
      </c>
      <c r="F99" s="13">
        <v>42740.614803240744</v>
      </c>
      <c r="G99" s="7">
        <v>1</v>
      </c>
      <c r="H99" s="22" t="s">
        <v>754</v>
      </c>
      <c r="I99" s="13">
        <v>42740.639155092591</v>
      </c>
      <c r="J99" s="7">
        <v>0</v>
      </c>
      <c r="K99" s="105" t="str">
        <f t="shared" si="40"/>
        <v>4045/4046</v>
      </c>
      <c r="L99" s="22" t="str">
        <f>VLOOKUP(A99,'Trips&amp;Operators'!$C$1:$G$99999,5,FALSE)</f>
        <v>CRAYTON QUNTRELL</v>
      </c>
      <c r="M99" s="6">
        <f t="shared" si="41"/>
        <v>2.435185184731381E-2</v>
      </c>
      <c r="N99" s="7"/>
      <c r="O99" s="7"/>
      <c r="P99" s="7">
        <f>24*60*SUM($M99:$M99)</f>
        <v>35.066666660131887</v>
      </c>
      <c r="Q99" s="23"/>
      <c r="R99" s="23" t="s">
        <v>900</v>
      </c>
      <c r="S99" s="32">
        <f t="shared" si="55"/>
        <v>1</v>
      </c>
      <c r="T99" s="47" t="str">
        <f t="shared" si="42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13:39:43-700',mode:absolute,to:'2017-01-05 16:20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9" s="49" t="str">
        <f t="shared" si="44"/>
        <v>Y</v>
      </c>
      <c r="X99" s="173">
        <f t="shared" si="56"/>
        <v>1</v>
      </c>
      <c r="Y99" s="64">
        <f t="shared" si="45"/>
        <v>4.6600000000000003E-2</v>
      </c>
      <c r="Z99" s="64">
        <f t="shared" si="46"/>
        <v>22.473099999999999</v>
      </c>
      <c r="AA99" s="64">
        <f t="shared" si="47"/>
        <v>22.426499999999997</v>
      </c>
      <c r="AB99" s="61" t="e">
        <f>VLOOKUP(A99,Enforcements!$C$7:$K$18,8,0)</f>
        <v>#N/A</v>
      </c>
      <c r="AC99" s="57" t="e">
        <f>VLOOKUP(A99,Enforcements!$C$7:$E$18,3,0)</f>
        <v>#N/A</v>
      </c>
      <c r="AD99" s="58" t="str">
        <f t="shared" si="48"/>
        <v>0189-05</v>
      </c>
      <c r="AE99" s="87" t="str">
        <f t="shared" si="49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99" s="84" t="str">
        <f t="shared" si="50"/>
        <v>"C:\Program Files (x86)\AstroGrep\AstroGrep.exe" /spath="%USERPROFILE%\AppData\Local\Temp\OnboardLogs" /stypes="app*4046*20170105*" /stext=" 22:.+((SYSTEM_STATE.+slice.+state.+changed )|(ment ac)|(multiple cpu faults)|(system.+state.+changed )|(\[timeout)|(PRM\|1\|D)|(kpr)|(kdp)|(\|lc)|(penalty))" /e /r /s</v>
      </c>
      <c r="AG99" s="1" t="str">
        <f t="shared" si="51"/>
        <v>EC</v>
      </c>
      <c r="AH99" s="88" t="str">
        <f t="shared" si="37"/>
        <v>"%USERPROFILE%\Documents\GitHub\eaglep3\Utilities\RefineRTDCRunTimes.py" --tripid 189-05 --locoid 4046 --swversion DE.1.0.8.0 --startMP 204:466 --initTime 2017-01-05T14:39:43 --startdatetime 2017-01-05T14:45:19 --delay 1 --endMP 204:224731 --enddatetime 2017-01-05T15:20:23 --enforcementcount 0 &gt;&gt;C:\Users\stu\Documents\GitHub\eaglep3-reporting\EC\2017-01-05-refined-times.txt</v>
      </c>
      <c r="AI99" s="115" t="str">
        <f t="shared" si="38"/>
        <v>echo {"issue":{"subject":"DIA 4N RESTRICTING, no need to cut out","project_id":79,"tracker_id":40,"status_id":1,"priority_id":2,"assigned_to_id":23,"start_date":"2017-01-05","description":"","custom_fields":[{"id":1,"name":"Subdivision","value":"EC"},{"id":4,"name":"Milepost","value":"22.4731"},{"id":17,"name":"Train ID","value":"189-05"},{"id":16,"name":"Locomotive ID","value":"4046"},{"id":130,"name":"Impact","value":""},{"id":150,"name":"Time of Event (Mountain Time)","value":"15:20:23"},{"id":151,"name":"Denver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39"/>
        <v>start /low /b %USERPROFILE%\Documents\GitHub\eaglep3\Utilities\DownloadLogsFromS3.py --loco 4046 --day 2017-01-05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612</v>
      </c>
      <c r="B100" s="7">
        <v>4045</v>
      </c>
      <c r="C100" s="22" t="s">
        <v>203</v>
      </c>
      <c r="D100" s="22" t="s">
        <v>260</v>
      </c>
      <c r="E100" s="13">
        <v>42740.654085648152</v>
      </c>
      <c r="F100" s="13">
        <v>42740.655624999999</v>
      </c>
      <c r="G100" s="7">
        <v>1</v>
      </c>
      <c r="H100" s="22" t="s">
        <v>755</v>
      </c>
      <c r="I100" s="13">
        <v>42740.683738425927</v>
      </c>
      <c r="J100" s="7">
        <v>0</v>
      </c>
      <c r="K100" s="105" t="str">
        <f t="shared" si="40"/>
        <v>4045/4046</v>
      </c>
      <c r="L100" s="22" t="str">
        <f>VLOOKUP(A100,'Trips&amp;Operators'!$C$1:$G$99999,5,FALSE)</f>
        <v>CRAYTON QUNTRELL</v>
      </c>
      <c r="M100" s="6">
        <f t="shared" si="41"/>
        <v>2.8113425927585922E-2</v>
      </c>
      <c r="N100" s="7">
        <f t="shared" ref="N100:N105" si="57">24*60*SUM($M100:$M100)</f>
        <v>40.483333335723728</v>
      </c>
      <c r="O100" s="7"/>
      <c r="P100" s="7"/>
      <c r="Q100" s="23"/>
      <c r="R100" s="23"/>
      <c r="S100" s="32">
        <f t="shared" si="55"/>
        <v>1</v>
      </c>
      <c r="T100" s="47" t="str">
        <f t="shared" si="42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14:41:53-700',mode:absolute,to:'2017-01-05 17:24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0" s="49" t="str">
        <f t="shared" si="44"/>
        <v>N</v>
      </c>
      <c r="X100" s="173">
        <f t="shared" si="56"/>
        <v>1</v>
      </c>
      <c r="Y100" s="64">
        <f t="shared" si="45"/>
        <v>23.2973</v>
      </c>
      <c r="Z100" s="64">
        <f t="shared" si="46"/>
        <v>1.9099999999999999E-2</v>
      </c>
      <c r="AA100" s="64">
        <f t="shared" si="47"/>
        <v>23.278199999999998</v>
      </c>
      <c r="AB100" s="61" t="e">
        <f>VLOOKUP(A100,Enforcements!$C$7:$K$18,8,0)</f>
        <v>#N/A</v>
      </c>
      <c r="AC100" s="57" t="e">
        <f>VLOOKUP(A100,Enforcements!$C$7:$E$18,3,0)</f>
        <v>#N/A</v>
      </c>
      <c r="AD100" s="58" t="str">
        <f t="shared" si="48"/>
        <v>0190-05</v>
      </c>
      <c r="AE100" s="87" t="str">
        <f t="shared" si="49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00" s="84" t="str">
        <f t="shared" si="50"/>
        <v>"C:\Program Files (x86)\AstroGrep\AstroGrep.exe" /spath="%USERPROFILE%\AppData\Local\Temp\OnboardLogs" /stypes="app*4045*20170105*" /stext=" 23:.+((SYSTEM_STATE.+slice.+state.+changed )|(ment ac)|(multiple cpu faults)|(system.+state.+changed )|(\[timeout)|(PRM\|1\|D)|(kpr)|(kdp)|(\|lc)|(penalty))" /e /r /s</v>
      </c>
      <c r="AG100" s="1" t="str">
        <f t="shared" si="51"/>
        <v>EC</v>
      </c>
      <c r="AH100" s="88" t="str">
        <f t="shared" si="37"/>
        <v>"%USERPROFILE%\Documents\GitHub\eaglep3\Utilities\RefineRTDCRunTimes.py" --tripid 190-05 --locoid 4045 --swversion DE.1.0.8.0 --startMP 204:232973 --initTime 2017-01-05T15:41:53 --startdatetime 2017-01-05T15:44:06 --delay 1 --endMP 204:191 --enddatetime 2017-01-05T16:24:35 --enforcementcount 0 &gt;&gt;C:\Users\stu\Documents\GitHub\eaglep3-reporting\EC\2017-01-05-refined-times.txt</v>
      </c>
      <c r="AI10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{"issue":{"subject":"","project_id":79,"tracker_id":40,"status_id":1,"priority_id":2,"assigned_to_id":23,"start_date":"2017-01-05","description":"","custom_fields":[{"id":1,"name":"Subdivision","value":"EC"},{"id":4,"name":"Milepost","value":"0.0191"},{"id":17,"name":"Train ID","value":"190-05"},{"id":16,"name":"Locomotive ID","value":"4045"},{"id":130,"name":"Impact","value":""},{"id":150,"name":"Time of Event (Mountain Time)","value":"16:24:35"},{"id":151,"name":"Denver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39"/>
        <v>start /low /b %USERPROFILE%\Documents\GitHub\eaglep3\Utilities\DownloadLogsFromS3.py --loco 4045 --day 2017-01-05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605</v>
      </c>
      <c r="B101" s="7">
        <v>4007</v>
      </c>
      <c r="C101" s="22" t="s">
        <v>203</v>
      </c>
      <c r="D101" s="22" t="s">
        <v>341</v>
      </c>
      <c r="E101" s="13">
        <v>42740.62226851852</v>
      </c>
      <c r="F101" s="13">
        <v>42740.625162037039</v>
      </c>
      <c r="G101" s="7">
        <v>1</v>
      </c>
      <c r="H101" s="22" t="s">
        <v>756</v>
      </c>
      <c r="I101" s="13">
        <v>42740.662060185183</v>
      </c>
      <c r="J101" s="7">
        <v>0</v>
      </c>
      <c r="K101" s="105" t="str">
        <f t="shared" si="40"/>
        <v>4007/4008</v>
      </c>
      <c r="L101" s="22" t="str">
        <f>VLOOKUP(A101,'Trips&amp;Operators'!$C$1:$G$99999,5,FALSE)</f>
        <v>BRANNON JEFFREY</v>
      </c>
      <c r="M101" s="6">
        <f t="shared" si="41"/>
        <v>3.6898148144246079E-2</v>
      </c>
      <c r="N101" s="7">
        <f t="shared" si="57"/>
        <v>53.133333327714354</v>
      </c>
      <c r="O101" s="7"/>
      <c r="P101" s="7"/>
      <c r="Q101" s="23"/>
      <c r="R101" s="23"/>
      <c r="S101" s="32">
        <f t="shared" si="55"/>
        <v>1</v>
      </c>
      <c r="T101" s="47" t="str">
        <f t="shared" si="42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13:56:04-700',mode:absolute,to:'2017-01-05 16:53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1" s="49" t="str">
        <f t="shared" si="44"/>
        <v>N</v>
      </c>
      <c r="X101" s="173">
        <f t="shared" si="56"/>
        <v>1</v>
      </c>
      <c r="Y101" s="64">
        <f t="shared" si="45"/>
        <v>4.58E-2</v>
      </c>
      <c r="Z101" s="64">
        <f t="shared" si="46"/>
        <v>23.332999999999998</v>
      </c>
      <c r="AA101" s="64">
        <f t="shared" si="47"/>
        <v>23.287199999999999</v>
      </c>
      <c r="AB101" s="61" t="e">
        <f>VLOOKUP(A101,Enforcements!$C$7:$K$18,8,0)</f>
        <v>#N/A</v>
      </c>
      <c r="AC101" s="57" t="e">
        <f>VLOOKUP(A101,Enforcements!$C$7:$E$18,3,0)</f>
        <v>#N/A</v>
      </c>
      <c r="AD101" s="58" t="str">
        <f t="shared" si="48"/>
        <v>0191-05</v>
      </c>
      <c r="AE101" s="87" t="str">
        <f t="shared" si="49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101" s="84" t="str">
        <f t="shared" si="50"/>
        <v>"C:\Program Files (x86)\AstroGrep\AstroGrep.exe" /spath="%USERPROFILE%\AppData\Local\Temp\OnboardLogs" /stypes="app*4007*20170105*" /stext=" 22:.+((SYSTEM_STATE.+slice.+state.+changed )|(ment ac)|(multiple cpu faults)|(system.+state.+changed )|(\[timeout)|(PRM\|1\|D)|(kpr)|(kdp)|(\|lc)|(penalty))" /e /r /s</v>
      </c>
      <c r="AG101" s="1" t="str">
        <f t="shared" si="51"/>
        <v>EC</v>
      </c>
      <c r="AH101" s="88" t="str">
        <f t="shared" si="37"/>
        <v>"%USERPROFILE%\Documents\GitHub\eaglep3\Utilities\RefineRTDCRunTimes.py" --tripid 191-05 --locoid 4007 --swversion DE.1.0.8.0 --startMP 204:458 --initTime 2017-01-05T14:56:04 --startdatetime 2017-01-05T15:00:14 --delay 1 --endMP 204:233330 --enddatetime 2017-01-05T15:53:22 --enforcementcount 0 &gt;&gt;C:\Users\stu\Documents\GitHub\eaglep3-reporting\EC\2017-01-05-refined-times.txt</v>
      </c>
      <c r="AI10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{"issue":{"subject":"","project_id":79,"tracker_id":40,"status_id":1,"priority_id":2,"assigned_to_id":23,"start_date":"2017-01-05","description":"","custom_fields":[{"id":1,"name":"Subdivision","value":"EC"},{"id":4,"name":"Milepost","value":"23.333"},{"id":17,"name":"Train ID","value":"191-05"},{"id":16,"name":"Locomotive ID","value":"4007"},{"id":130,"name":"Impact","value":""},{"id":150,"name":"Time of Event (Mountain Time)","value":"15:53:22"},{"id":151,"name":"Denver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39"/>
        <v>start /low /b %USERPROFILE%\Documents\GitHub\eaglep3\Utilities\DownloadLogsFromS3.py --loco 4007 --day 2017-01-05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616</v>
      </c>
      <c r="B102" s="7">
        <v>4008</v>
      </c>
      <c r="C102" s="22" t="s">
        <v>203</v>
      </c>
      <c r="D102" s="22" t="s">
        <v>731</v>
      </c>
      <c r="E102" s="13">
        <v>42740.664722222224</v>
      </c>
      <c r="F102" s="13">
        <v>42740.665995370371</v>
      </c>
      <c r="G102" s="7">
        <v>1</v>
      </c>
      <c r="H102" s="22" t="s">
        <v>757</v>
      </c>
      <c r="I102" s="13">
        <v>42740.694699074076</v>
      </c>
      <c r="J102" s="7">
        <v>0</v>
      </c>
      <c r="K102" s="105" t="str">
        <f t="shared" si="40"/>
        <v>4007/4008</v>
      </c>
      <c r="L102" s="22" t="str">
        <f>VLOOKUP(A102,'Trips&amp;Operators'!$C$1:$G$99999,5,FALSE)</f>
        <v>BRANNON JEFFREY</v>
      </c>
      <c r="M102" s="6">
        <f t="shared" si="41"/>
        <v>2.8703703705104999E-2</v>
      </c>
      <c r="N102" s="7">
        <f t="shared" si="57"/>
        <v>41.333333335351199</v>
      </c>
      <c r="O102" s="7"/>
      <c r="P102" s="7"/>
      <c r="Q102" s="23"/>
      <c r="R102" s="23"/>
      <c r="S102" s="32">
        <f t="shared" si="55"/>
        <v>1</v>
      </c>
      <c r="T102" s="47" t="str">
        <f t="shared" si="42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14:57:12-700',mode:absolute,to:'2017-01-05 17:40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2" s="49" t="str">
        <f t="shared" si="44"/>
        <v>N</v>
      </c>
      <c r="X102" s="173">
        <f t="shared" si="56"/>
        <v>1</v>
      </c>
      <c r="Y102" s="64">
        <f t="shared" si="45"/>
        <v>23.297499999999999</v>
      </c>
      <c r="Z102" s="64">
        <f t="shared" si="46"/>
        <v>0.2064</v>
      </c>
      <c r="AA102" s="64">
        <f t="shared" si="47"/>
        <v>23.091100000000001</v>
      </c>
      <c r="AB102" s="61" t="e">
        <f>VLOOKUP(A102,Enforcements!$C$7:$K$18,8,0)</f>
        <v>#N/A</v>
      </c>
      <c r="AC102" s="57" t="e">
        <f>VLOOKUP(A102,Enforcements!$C$7:$E$18,3,0)</f>
        <v>#N/A</v>
      </c>
      <c r="AD102" s="58" t="str">
        <f t="shared" si="48"/>
        <v>0192-05</v>
      </c>
      <c r="AE102" s="87" t="str">
        <f t="shared" si="49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102" s="84" t="str">
        <f t="shared" si="50"/>
        <v>"C:\Program Files (x86)\AstroGrep\AstroGrep.exe" /spath="%USERPROFILE%\AppData\Local\Temp\OnboardLogs" /stypes="app*4008*20170105*" /stext=" 23:.+((SYSTEM_STATE.+slice.+state.+changed )|(ment ac)|(multiple cpu faults)|(system.+state.+changed )|(\[timeout)|(PRM\|1\|D)|(kpr)|(kdp)|(\|lc)|(penalty))" /e /r /s</v>
      </c>
      <c r="AG102" s="1" t="str">
        <f t="shared" si="51"/>
        <v>EC</v>
      </c>
      <c r="AH102" s="88" t="str">
        <f t="shared" si="37"/>
        <v>"%USERPROFILE%\Documents\GitHub\eaglep3\Utilities\RefineRTDCRunTimes.py" --tripid 192-05 --locoid 4008 --swversion DE.1.0.8.0 --startMP 204:232975 --initTime 2017-01-05T15:57:12 --startdatetime 2017-01-05T15:59:02 --delay 1 --endMP 204:2064 --enddatetime 2017-01-05T16:40:22 --enforcementcount 0 &gt;&gt;C:\Users\stu\Documents\GitHub\eaglep3-reporting\EC\2017-01-05-refined-times.txt</v>
      </c>
      <c r="AI10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{"issue":{"subject":"","project_id":79,"tracker_id":40,"status_id":1,"priority_id":2,"assigned_to_id":23,"start_date":"2017-01-05","description":"","custom_fields":[{"id":1,"name":"Subdivision","value":"EC"},{"id":4,"name":"Milepost","value":"0.2064"},{"id":17,"name":"Train ID","value":"192-05"},{"id":16,"name":"Locomotive ID","value":"4008"},{"id":130,"name":"Impact","value":""},{"id":150,"name":"Time of Event (Mountain Time)","value":"16:40:22"},{"id":151,"name":"Denver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39"/>
        <v>start /low /b %USERPROFILE%\Documents\GitHub\eaglep3\Utilities\DownloadLogsFromS3.py --loco 4008 --day 2017-01-05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608</v>
      </c>
      <c r="B103" s="7">
        <v>4009</v>
      </c>
      <c r="C103" s="22" t="s">
        <v>203</v>
      </c>
      <c r="D103" s="22" t="s">
        <v>243</v>
      </c>
      <c r="E103" s="13">
        <v>42740.639351851853</v>
      </c>
      <c r="F103" s="13">
        <v>42740.641979166663</v>
      </c>
      <c r="G103" s="7">
        <v>1</v>
      </c>
      <c r="H103" s="22" t="s">
        <v>425</v>
      </c>
      <c r="I103" s="13">
        <v>42740.67428240741</v>
      </c>
      <c r="J103" s="7">
        <v>0</v>
      </c>
      <c r="K103" s="105" t="str">
        <f t="shared" si="40"/>
        <v>4009/4010</v>
      </c>
      <c r="L103" s="22" t="str">
        <f>VLOOKUP(A103,'Trips&amp;Operators'!$C$1:$G$99999,5,FALSE)</f>
        <v>CLARK KATHLEEN</v>
      </c>
      <c r="M103" s="6">
        <f t="shared" si="41"/>
        <v>3.2303240746841766E-2</v>
      </c>
      <c r="N103" s="7">
        <f t="shared" si="57"/>
        <v>46.516666675452143</v>
      </c>
      <c r="O103" s="7"/>
      <c r="P103" s="7"/>
      <c r="Q103" s="23"/>
      <c r="R103" s="23"/>
      <c r="S103" s="32">
        <f t="shared" si="55"/>
        <v>1</v>
      </c>
      <c r="T103" s="47" t="str">
        <f t="shared" si="42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14:20:40-700',mode:absolute,to:'2017-01-05 17:10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3" s="49" t="str">
        <f t="shared" si="44"/>
        <v>N</v>
      </c>
      <c r="X103" s="173">
        <f t="shared" si="56"/>
        <v>1</v>
      </c>
      <c r="Y103" s="64">
        <f t="shared" si="45"/>
        <v>4.53E-2</v>
      </c>
      <c r="Z103" s="64">
        <f t="shared" si="46"/>
        <v>23.329899999999999</v>
      </c>
      <c r="AA103" s="64">
        <f t="shared" si="47"/>
        <v>23.284599999999998</v>
      </c>
      <c r="AB103" s="61" t="e">
        <f>VLOOKUP(A103,Enforcements!$C$7:$K$18,8,0)</f>
        <v>#N/A</v>
      </c>
      <c r="AC103" s="57" t="e">
        <f>VLOOKUP(A103,Enforcements!$C$7:$E$18,3,0)</f>
        <v>#N/A</v>
      </c>
      <c r="AD103" s="58" t="str">
        <f t="shared" si="48"/>
        <v>0193-05</v>
      </c>
      <c r="AE103" s="87" t="str">
        <f t="shared" si="49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103" s="84" t="str">
        <f t="shared" si="50"/>
        <v>"C:\Program Files (x86)\AstroGrep\AstroGrep.exe" /spath="%USERPROFILE%\AppData\Local\Temp\OnboardLogs" /stypes="app*4009*20170105*" /stext=" 23:.+((SYSTEM_STATE.+slice.+state.+changed )|(ment ac)|(multiple cpu faults)|(system.+state.+changed )|(\[timeout)|(PRM\|1\|D)|(kpr)|(kdp)|(\|lc)|(penalty))" /e /r /s</v>
      </c>
      <c r="AG103" s="1" t="str">
        <f t="shared" si="51"/>
        <v>EC</v>
      </c>
      <c r="AH103" s="88" t="str">
        <f t="shared" si="37"/>
        <v>"%USERPROFILE%\Documents\GitHub\eaglep3\Utilities\RefineRTDCRunTimes.py" --tripid 193-05 --locoid 4009 --swversion DE.1.0.8.0 --startMP 204:453 --initTime 2017-01-05T15:20:40 --startdatetime 2017-01-05T15:24:27 --delay 1 --endMP 204:233299 --enddatetime 2017-01-05T16:10:58 --enforcementcount 0 &gt;&gt;C:\Users\stu\Documents\GitHub\eaglep3-reporting\EC\2017-01-05-refined-times.txt</v>
      </c>
      <c r="AI10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{"issue":{"subject":"","project_id":79,"tracker_id":40,"status_id":1,"priority_id":2,"assigned_to_id":23,"start_date":"2017-01-05","description":"","custom_fields":[{"id":1,"name":"Subdivision","value":"EC"},{"id":4,"name":"Milepost","value":"23.3299"},{"id":17,"name":"Train ID","value":"193-05"},{"id":16,"name":"Locomotive ID","value":"4009"},{"id":130,"name":"Impact","value":""},{"id":150,"name":"Time of Event (Mountain Time)","value":"16:10:58"},{"id":151,"name":"Denver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39"/>
        <v>start /low /b %USERPROFILE%\Documents\GitHub\eaglep3\Utilities\DownloadLogsFromS3.py --loco 4009 --day 2017-01-05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620</v>
      </c>
      <c r="B104" s="7">
        <v>4010</v>
      </c>
      <c r="C104" s="22" t="s">
        <v>203</v>
      </c>
      <c r="D104" s="22" t="s">
        <v>249</v>
      </c>
      <c r="E104" s="13">
        <v>42740.677708333336</v>
      </c>
      <c r="F104" s="13">
        <v>42740.679780092592</v>
      </c>
      <c r="G104" s="7">
        <v>1</v>
      </c>
      <c r="H104" s="22" t="s">
        <v>758</v>
      </c>
      <c r="I104" s="13">
        <v>42740.713321759256</v>
      </c>
      <c r="J104" s="7">
        <v>0</v>
      </c>
      <c r="K104" s="105" t="str">
        <f t="shared" si="40"/>
        <v>4009/4010</v>
      </c>
      <c r="L104" s="22" t="str">
        <f>VLOOKUP(A104,'Trips&amp;Operators'!$C$1:$G$99999,5,FALSE)</f>
        <v>CLARK KATHLEEN</v>
      </c>
      <c r="M104" s="6">
        <f t="shared" si="41"/>
        <v>3.3541666663950309E-2</v>
      </c>
      <c r="N104" s="7">
        <f t="shared" si="57"/>
        <v>48.299999996088445</v>
      </c>
      <c r="O104" s="7"/>
      <c r="P104" s="7"/>
      <c r="Q104" s="23"/>
      <c r="R104" s="23"/>
      <c r="S104" s="32">
        <f t="shared" si="55"/>
        <v>1</v>
      </c>
      <c r="T104" s="47" t="str">
        <f t="shared" si="42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15:15:54-700',mode:absolute,to:'2017-01-05 18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4" s="49" t="str">
        <f t="shared" si="44"/>
        <v>N</v>
      </c>
      <c r="X104" s="173">
        <f t="shared" si="56"/>
        <v>1</v>
      </c>
      <c r="Y104" s="64">
        <f t="shared" si="45"/>
        <v>23.297699999999999</v>
      </c>
      <c r="Z104" s="64">
        <f t="shared" si="46"/>
        <v>0.12640000000000001</v>
      </c>
      <c r="AA104" s="64">
        <f t="shared" si="47"/>
        <v>23.171299999999999</v>
      </c>
      <c r="AB104" s="61" t="e">
        <f>VLOOKUP(A104,Enforcements!$C$7:$K$18,8,0)</f>
        <v>#N/A</v>
      </c>
      <c r="AC104" s="57" t="e">
        <f>VLOOKUP(A104,Enforcements!$C$7:$E$18,3,0)</f>
        <v>#N/A</v>
      </c>
      <c r="AD104" s="58" t="str">
        <f t="shared" si="48"/>
        <v>0194-05</v>
      </c>
      <c r="AE104" s="87" t="str">
        <f t="shared" si="49"/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AF104" s="84" t="str">
        <f t="shared" si="50"/>
        <v>"C:\Program Files (x86)\AstroGrep\AstroGrep.exe" /spath="%USERPROFILE%\AppData\Local\Temp\OnboardLogs" /stypes="app*4010*20170106*" /stext=" 00:.+((SYSTEM_STATE.+slice.+state.+changed )|(ment ac)|(multiple cpu faults)|(system.+state.+changed )|(\[timeout)|(PRM\|1\|D)|(kpr)|(kdp)|(\|lc)|(penalty))" /e /r /s</v>
      </c>
      <c r="AG104" s="1" t="str">
        <f t="shared" si="51"/>
        <v>EC</v>
      </c>
      <c r="AH104" s="88" t="str">
        <f t="shared" si="37"/>
        <v>"%USERPROFILE%\Documents\GitHub\eaglep3\Utilities\RefineRTDCRunTimes.py" --tripid 194-05 --locoid 4010 --swversion DE.1.0.8.0 --startMP 204:232977 --initTime 2017-01-05T16:15:54 --startdatetime 2017-01-05T16:18:53 --delay 1 --endMP 204:1264 --enddatetime 2017-01-05T17:07:11 --enforcementcount 0 &gt;&gt;C:\Users\stu\Documents\GitHub\eaglep3-reporting\EC\2017-01-05-refined-times.txt</v>
      </c>
      <c r="AI104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{"issue":{"subject":"","project_id":79,"tracker_id":40,"status_id":1,"priority_id":2,"assigned_to_id":23,"start_date":"2017-01-05","description":"","custom_fields":[{"id":1,"name":"Subdivision","value":"EC"},{"id":4,"name":"Milepost","value":"0.1264"},{"id":17,"name":"Train ID","value":"194-05"},{"id":16,"name":"Locomotive ID","value":"4010"},{"id":130,"name":"Impact","value":""},{"id":150,"name":"Time of Event (Mountain Time)","value":"17:07:11"},{"id":151,"name":"Denver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39"/>
        <v>start /low /b %USERPROFILE%\Documents\GitHub\eaglep3\Utilities\DownloadLogsFromS3.py --loco 4010 --day 2017-01-05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610</v>
      </c>
      <c r="B105" s="7">
        <v>4002</v>
      </c>
      <c r="C105" s="22" t="s">
        <v>203</v>
      </c>
      <c r="D105" s="22" t="s">
        <v>726</v>
      </c>
      <c r="E105" s="13">
        <v>42740.644270833334</v>
      </c>
      <c r="F105" s="13">
        <v>42740.646215277775</v>
      </c>
      <c r="G105" s="7">
        <v>1</v>
      </c>
      <c r="H105" s="22" t="s">
        <v>759</v>
      </c>
      <c r="I105" s="13">
        <v>42740.676793981482</v>
      </c>
      <c r="J105" s="7">
        <v>0</v>
      </c>
      <c r="K105" s="105" t="str">
        <f t="shared" si="40"/>
        <v>4001/4002</v>
      </c>
      <c r="L105" s="22" t="str">
        <f>VLOOKUP(A105,'Trips&amp;Operators'!$C$1:$G$99999,5,FALSE)</f>
        <v>KILLION DAVID</v>
      </c>
      <c r="M105" s="6">
        <f t="shared" si="41"/>
        <v>3.0578703706851229E-2</v>
      </c>
      <c r="N105" s="7">
        <f t="shared" si="57"/>
        <v>44.03333333786577</v>
      </c>
      <c r="O105" s="7"/>
      <c r="P105" s="7"/>
      <c r="Q105" s="23"/>
      <c r="R105" s="23"/>
      <c r="S105" s="32">
        <f t="shared" si="55"/>
        <v>1</v>
      </c>
      <c r="T105" s="47" t="str">
        <f t="shared" si="42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14:27:45-700',mode:absolute,to:'2017-01-05 17:14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5" s="49" t="str">
        <f t="shared" si="44"/>
        <v>N</v>
      </c>
      <c r="X105" s="173">
        <f t="shared" si="56"/>
        <v>1</v>
      </c>
      <c r="Y105" s="64">
        <f t="shared" si="45"/>
        <v>4.3299999999999998E-2</v>
      </c>
      <c r="Z105" s="64">
        <f t="shared" si="46"/>
        <v>23.2974</v>
      </c>
      <c r="AA105" s="64">
        <f t="shared" si="47"/>
        <v>23.254100000000001</v>
      </c>
      <c r="AB105" s="61" t="e">
        <f>VLOOKUP(A105,Enforcements!$C$7:$K$18,8,0)</f>
        <v>#N/A</v>
      </c>
      <c r="AC105" s="57" t="e">
        <f>VLOOKUP(A105,Enforcements!$C$7:$E$18,3,0)</f>
        <v>#N/A</v>
      </c>
      <c r="AD105" s="58" t="str">
        <f t="shared" si="48"/>
        <v>0195-05</v>
      </c>
      <c r="AE105" s="87" t="str">
        <f t="shared" si="49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105" s="84" t="str">
        <f t="shared" si="50"/>
        <v>"C:\Program Files (x86)\AstroGrep\AstroGrep.exe" /spath="%USERPROFILE%\AppData\Local\Temp\OnboardLogs" /stypes="app*4002*20170105*" /stext=" 23:.+((SYSTEM_STATE.+slice.+state.+changed )|(ment ac)|(multiple cpu faults)|(system.+state.+changed )|(\[timeout)|(PRM\|1\|D)|(kpr)|(kdp)|(\|lc)|(penalty))" /e /r /s</v>
      </c>
      <c r="AG105" s="1" t="str">
        <f t="shared" si="51"/>
        <v>EC</v>
      </c>
      <c r="AH105" s="88" t="str">
        <f t="shared" si="37"/>
        <v>"%USERPROFILE%\Documents\GitHub\eaglep3\Utilities\RefineRTDCRunTimes.py" --tripid 195-05 --locoid 4002 --swversion DE.1.0.8.0 --startMP 204:433 --initTime 2017-01-05T15:27:45 --startdatetime 2017-01-05T15:30:33 --delay 1 --endMP 204:232974 --enddatetime 2017-01-05T16:14:35 --enforcementcount 0 &gt;&gt;C:\Users\stu\Documents\GitHub\eaglep3-reporting\EC\2017-01-05-refined-times.txt</v>
      </c>
      <c r="AI10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{"issue":{"subject":"","project_id":79,"tracker_id":40,"status_id":1,"priority_id":2,"assigned_to_id":23,"start_date":"2017-01-05","description":"","custom_fields":[{"id":1,"name":"Subdivision","value":"EC"},{"id":4,"name":"Milepost","value":"23.2974"},{"id":17,"name":"Train ID","value":"195-05"},{"id":16,"name":"Locomotive ID","value":"4002"},{"id":130,"name":"Impact","value":""},{"id":150,"name":"Time of Event (Mountain Time)","value":"16:14:35"},{"id":151,"name":"Denver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39"/>
        <v>start /low /b %USERPROFILE%\Documents\GitHub\eaglep3\Utilities\DownloadLogsFromS3.py --loco 4002 --day 2017-01-05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622</v>
      </c>
      <c r="B106" s="7">
        <v>4001</v>
      </c>
      <c r="C106" s="22" t="s">
        <v>203</v>
      </c>
      <c r="D106" s="22" t="s">
        <v>760</v>
      </c>
      <c r="E106" s="13">
        <v>42740.685486111113</v>
      </c>
      <c r="F106" s="13">
        <v>42740.695208333331</v>
      </c>
      <c r="G106" s="7">
        <v>13</v>
      </c>
      <c r="H106" s="22" t="s">
        <v>246</v>
      </c>
      <c r="I106" s="13">
        <v>42740.716145833336</v>
      </c>
      <c r="J106" s="7">
        <v>0</v>
      </c>
      <c r="K106" s="105" t="str">
        <f t="shared" si="40"/>
        <v>4001/4002</v>
      </c>
      <c r="L106" s="22" t="str">
        <f>VLOOKUP(A106,'Trips&amp;Operators'!$C$1:$G$99999,5,FALSE)</f>
        <v>KILLION DAVID</v>
      </c>
      <c r="M106" s="6">
        <f t="shared" si="41"/>
        <v>2.0937500004947651E-2</v>
      </c>
      <c r="N106" s="7"/>
      <c r="O106" s="7"/>
      <c r="P106" s="7">
        <f>24*60*SUM($M106:$M106)</f>
        <v>30.150000007124618</v>
      </c>
      <c r="Q106" s="23"/>
      <c r="R106" s="23" t="s">
        <v>901</v>
      </c>
      <c r="S106" s="32">
        <f t="shared" si="55"/>
        <v>1</v>
      </c>
      <c r="T106" s="47" t="str">
        <f t="shared" si="42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15:27:06-700',mode:absolute,to:'2017-01-05 18:11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6" s="49" t="str">
        <f t="shared" si="44"/>
        <v>Y</v>
      </c>
      <c r="X106" s="173">
        <f t="shared" si="56"/>
        <v>1</v>
      </c>
      <c r="Y106" s="64">
        <f t="shared" si="45"/>
        <v>15.401300000000001</v>
      </c>
      <c r="Z106" s="64">
        <f t="shared" si="46"/>
        <v>1.47E-2</v>
      </c>
      <c r="AA106" s="64">
        <f t="shared" si="47"/>
        <v>15.386600000000001</v>
      </c>
      <c r="AB106" s="61" t="e">
        <f>VLOOKUP(A106,Enforcements!$C$7:$K$18,8,0)</f>
        <v>#N/A</v>
      </c>
      <c r="AC106" s="57" t="e">
        <f>VLOOKUP(A106,Enforcements!$C$7:$E$18,3,0)</f>
        <v>#N/A</v>
      </c>
      <c r="AD106" s="58" t="str">
        <f t="shared" si="48"/>
        <v>0196-05</v>
      </c>
      <c r="AE106" s="87" t="str">
        <f t="shared" si="49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106" s="84" t="str">
        <f t="shared" si="50"/>
        <v>"C:\Program Files (x86)\AstroGrep\AstroGrep.exe" /spath="%USERPROFILE%\AppData\Local\Temp\OnboardLogs" /stypes="app*4001*20170106*" /stext=" 00:.+((SYSTEM_STATE.+slice.+state.+changed )|(ment ac)|(multiple cpu faults)|(system.+state.+changed )|(\[timeout)|(PRM\|1\|D)|(kpr)|(kdp)|(\|lc)|(penalty))" /e /r /s</v>
      </c>
      <c r="AG106" s="1" t="str">
        <f t="shared" si="51"/>
        <v>EC</v>
      </c>
      <c r="AH106" s="88" t="str">
        <f t="shared" si="37"/>
        <v>"%USERPROFILE%\Documents\GitHub\eaglep3\Utilities\RefineRTDCRunTimes.py" --tripid 196-05 --locoid 4001 --swversion DE.1.0.8.0 --startMP 204:154013 --initTime 2017-01-05T16:27:06 --startdatetime 2017-01-05T16:41:06 --delay 13 --endMP 204:147 --enddatetime 2017-01-05T17:11:15 --enforcementcount 0 &gt;&gt;C:\Users\stu\Documents\GitHub\eaglep3-reporting\EC\2017-01-05-refined-times.txt</v>
      </c>
      <c r="AI106" s="115" t="str">
        <f t="shared" si="38"/>
        <v>echo {"issue":{"subject":"Poor GPS at DIA","project_id":79,"tracker_id":40,"status_id":1,"priority_id":2,"assigned_to_id":23,"start_date":"2017-01-05","description":"","custom_fields":[{"id":1,"name":"Subdivision","value":"EC"},{"id":4,"name":"Milepost","value":"0.0147"},{"id":17,"name":"Train ID","value":"196-05"},{"id":16,"name":"Locomotive ID","value":"4001"},{"id":130,"name":"Impact","value":""},{"id":150,"name":"Time of Event (Mountain Time)","value":"17:11:15"},{"id":151,"name":"Denver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39"/>
        <v>start /low /b %USERPROFILE%\Documents\GitHub\eaglep3\Utilities\DownloadLogsFromS3.py --loco 4001 --day 2017-01-05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611</v>
      </c>
      <c r="B107" s="7">
        <v>4042</v>
      </c>
      <c r="C107" s="22" t="s">
        <v>203</v>
      </c>
      <c r="D107" s="22" t="s">
        <v>374</v>
      </c>
      <c r="E107" s="13">
        <v>42740.652754629627</v>
      </c>
      <c r="F107" s="13">
        <v>42740.656446759262</v>
      </c>
      <c r="G107" s="7">
        <v>1</v>
      </c>
      <c r="H107" s="22" t="s">
        <v>756</v>
      </c>
      <c r="I107" s="13">
        <v>42740.683645833335</v>
      </c>
      <c r="J107" s="7">
        <v>0</v>
      </c>
      <c r="K107" s="105" t="str">
        <f t="shared" si="40"/>
        <v>4041/4042</v>
      </c>
      <c r="L107" s="22" t="str">
        <f>VLOOKUP(A107,'Trips&amp;Operators'!$C$1:$G$99999,5,FALSE)</f>
        <v>BRUDER RICHARD</v>
      </c>
      <c r="M107" s="6">
        <f t="shared" si="41"/>
        <v>2.7199074072996154E-2</v>
      </c>
      <c r="N107" s="7">
        <f>24*60*SUM($M107:$M107)</f>
        <v>39.166666665114462</v>
      </c>
      <c r="O107" s="7"/>
      <c r="P107" s="7"/>
      <c r="Q107" s="23"/>
      <c r="R107" s="23"/>
      <c r="S107" s="32">
        <f t="shared" si="55"/>
        <v>1</v>
      </c>
      <c r="T107" s="47" t="str">
        <f t="shared" si="42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14:39:58-700',mode:absolute,to:'2017-01-05 17:24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7" s="49" t="str">
        <f t="shared" si="44"/>
        <v>N</v>
      </c>
      <c r="X107" s="173">
        <f t="shared" si="56"/>
        <v>1</v>
      </c>
      <c r="Y107" s="64">
        <f t="shared" si="45"/>
        <v>4.6600000000000003E-2</v>
      </c>
      <c r="Z107" s="64">
        <f t="shared" si="46"/>
        <v>23.332999999999998</v>
      </c>
      <c r="AA107" s="64">
        <f t="shared" si="47"/>
        <v>23.286399999999997</v>
      </c>
      <c r="AB107" s="61" t="e">
        <f>VLOOKUP(A107,Enforcements!$C$7:$K$18,8,0)</f>
        <v>#N/A</v>
      </c>
      <c r="AC107" s="57" t="e">
        <f>VLOOKUP(A107,Enforcements!$C$7:$E$18,3,0)</f>
        <v>#N/A</v>
      </c>
      <c r="AD107" s="58" t="str">
        <f t="shared" si="48"/>
        <v>0197-05</v>
      </c>
      <c r="AE107" s="87" t="str">
        <f t="shared" si="49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107" s="84" t="str">
        <f t="shared" si="50"/>
        <v>"C:\Program Files (x86)\AstroGrep\AstroGrep.exe" /spath="%USERPROFILE%\AppData\Local\Temp\OnboardLogs" /stypes="app*4042*20170105*" /stext=" 23:.+((SYSTEM_STATE.+slice.+state.+changed )|(ment ac)|(multiple cpu faults)|(system.+state.+changed )|(\[timeout)|(PRM\|1\|D)|(kpr)|(kdp)|(\|lc)|(penalty))" /e /r /s</v>
      </c>
      <c r="AG107" s="1" t="str">
        <f t="shared" si="51"/>
        <v>EC</v>
      </c>
      <c r="AH107" s="88" t="str">
        <f t="shared" si="37"/>
        <v>"%USERPROFILE%\Documents\GitHub\eaglep3\Utilities\RefineRTDCRunTimes.py" --tripid 197-05 --locoid 4042 --swversion DE.1.0.8.0 --startMP 204:466 --initTime 2017-01-05T15:39:58 --startdatetime 2017-01-05T15:45:17 --delay 1 --endMP 204:233330 --enddatetime 2017-01-05T16:24:27 --enforcementcount 0 &gt;&gt;C:\Users\stu\Documents\GitHub\eaglep3-reporting\EC\2017-01-05-refined-times.txt</v>
      </c>
      <c r="AI10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{"issue":{"subject":"","project_id":79,"tracker_id":40,"status_id":1,"priority_id":2,"assigned_to_id":23,"start_date":"2017-01-05","description":"","custom_fields":[{"id":1,"name":"Subdivision","value":"EC"},{"id":4,"name":"Milepost","value":"23.333"},{"id":17,"name":"Train ID","value":"197-05"},{"id":16,"name":"Locomotive ID","value":"4042"},{"id":130,"name":"Impact","value":""},{"id":150,"name":"Time of Event (Mountain Time)","value":"16:24:27"},{"id":151,"name":"Denver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39"/>
        <v>start /low /b %USERPROFILE%\Documents\GitHub\eaglep3\Utilities\DownloadLogsFromS3.py --loco 4042 --day 2017-01-05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623</v>
      </c>
      <c r="B108" s="7">
        <v>4041</v>
      </c>
      <c r="C108" s="22" t="s">
        <v>203</v>
      </c>
      <c r="D108" s="22" t="s">
        <v>319</v>
      </c>
      <c r="E108" s="13">
        <v>42740.689652777779</v>
      </c>
      <c r="F108" s="13">
        <v>42740.695671296293</v>
      </c>
      <c r="G108" s="7">
        <v>1</v>
      </c>
      <c r="H108" s="22" t="s">
        <v>209</v>
      </c>
      <c r="I108" s="13">
        <v>42740.723495370374</v>
      </c>
      <c r="J108" s="7">
        <v>0</v>
      </c>
      <c r="K108" s="105" t="str">
        <f t="shared" si="40"/>
        <v>4041/4042</v>
      </c>
      <c r="L108" s="22" t="str">
        <f>VLOOKUP(A108,'Trips&amp;Operators'!$C$1:$G$99999,5,FALSE)</f>
        <v>BRUDER RICHARD</v>
      </c>
      <c r="M108" s="6">
        <f t="shared" si="41"/>
        <v>2.7824074080854189E-2</v>
      </c>
      <c r="N108" s="7">
        <f>24*60*SUM($M108:$M108)</f>
        <v>40.066666676430032</v>
      </c>
      <c r="O108" s="7"/>
      <c r="P108" s="7"/>
      <c r="Q108" s="23"/>
      <c r="R108" s="23"/>
      <c r="S108" s="32">
        <f t="shared" si="55"/>
        <v>1</v>
      </c>
      <c r="T108" s="47" t="str">
        <f t="shared" si="42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15:33:06-700',mode:absolute,to:'2017-01-05 18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8" s="49" t="str">
        <f t="shared" si="44"/>
        <v>N</v>
      </c>
      <c r="X108" s="173">
        <f t="shared" si="56"/>
        <v>1</v>
      </c>
      <c r="Y108" s="64">
        <f t="shared" si="45"/>
        <v>23.298999999999999</v>
      </c>
      <c r="Z108" s="64">
        <f t="shared" si="46"/>
        <v>1.4999999999999999E-2</v>
      </c>
      <c r="AA108" s="64">
        <f t="shared" si="47"/>
        <v>23.283999999999999</v>
      </c>
      <c r="AB108" s="61" t="e">
        <f>VLOOKUP(A108,Enforcements!$C$7:$K$18,8,0)</f>
        <v>#N/A</v>
      </c>
      <c r="AC108" s="57" t="e">
        <f>VLOOKUP(A108,Enforcements!$C$7:$E$18,3,0)</f>
        <v>#N/A</v>
      </c>
      <c r="AD108" s="58" t="str">
        <f t="shared" si="48"/>
        <v>0198-05</v>
      </c>
      <c r="AE108" s="87" t="str">
        <f t="shared" si="49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108" s="84" t="str">
        <f t="shared" si="50"/>
        <v>"C:\Program Files (x86)\AstroGrep\AstroGrep.exe" /spath="%USERPROFILE%\AppData\Local\Temp\OnboardLogs" /stypes="app*4041*20170106*" /stext=" 00:.+((SYSTEM_STATE.+slice.+state.+changed )|(ment ac)|(multiple cpu faults)|(system.+state.+changed )|(\[timeout)|(PRM\|1\|D)|(kpr)|(kdp)|(\|lc)|(penalty))" /e /r /s</v>
      </c>
      <c r="AG108" s="1" t="str">
        <f t="shared" si="51"/>
        <v>EC</v>
      </c>
      <c r="AH108" s="88" t="str">
        <f t="shared" si="37"/>
        <v>"%USERPROFILE%\Documents\GitHub\eaglep3\Utilities\RefineRTDCRunTimes.py" --tripid 198-05 --locoid 4041 --swversion DE.1.0.8.0 --startMP 204:232990 --initTime 2017-01-05T16:33:06 --startdatetime 2017-01-05T16:41:46 --delay 1 --endMP 204:150 --enddatetime 2017-01-05T17:21:50 --enforcementcount 0 &gt;&gt;C:\Users\stu\Documents\GitHub\eaglep3-reporting\EC\2017-01-05-refined-times.txt</v>
      </c>
      <c r="AI10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ID","value":"198-05"},{"id":16,"name":"Locomotive ID","value":"4041"},{"id":130,"name":"Impact","value":""},{"id":150,"name":"Time of Event (Mountain Time)","value":"17:21:50"},{"id":151,"name":"Denver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39"/>
        <v>start /low /b %USERPROFILE%\Documents\GitHub\eaglep3\Utilities\DownloadLogsFromS3.py --loco 4041 --day 2017-01-05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4" t="s">
        <v>482</v>
      </c>
      <c r="B109" s="7">
        <v>4022</v>
      </c>
      <c r="C109" s="22" t="s">
        <v>203</v>
      </c>
      <c r="D109" s="22" t="s">
        <v>259</v>
      </c>
      <c r="E109" s="13">
        <v>42740.663240740738</v>
      </c>
      <c r="F109" s="13">
        <v>42740.666898148149</v>
      </c>
      <c r="G109" s="7">
        <v>5</v>
      </c>
      <c r="H109" s="22" t="s">
        <v>761</v>
      </c>
      <c r="I109" s="13">
        <v>42740.676030092596</v>
      </c>
      <c r="J109" s="7">
        <v>1</v>
      </c>
      <c r="K109" s="105" t="str">
        <f t="shared" si="40"/>
        <v>4021/4022</v>
      </c>
      <c r="L109" s="22" t="str">
        <f>VLOOKUP(A109,'Trips&amp;Operators'!$C$1:$G$99999,5,FALSE)</f>
        <v>SMITH MICHAEL</v>
      </c>
      <c r="M109" s="6">
        <f t="shared" si="41"/>
        <v>9.1319444472901523E-3</v>
      </c>
      <c r="N109" s="7"/>
      <c r="O109" s="7"/>
      <c r="P109" s="7">
        <f>24*60*SUM($M109:$M110)</f>
        <v>38.483333339681849</v>
      </c>
      <c r="Q109" s="23"/>
      <c r="R109" s="23" t="s">
        <v>380</v>
      </c>
      <c r="S109" s="32">
        <f>SUM(U109:U110)/IF(AG109="EC",12,1)</f>
        <v>0.75</v>
      </c>
      <c r="T109" s="47" t="str">
        <f t="shared" si="42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6</v>
      </c>
      <c r="V10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14:55:04-700',mode:absolute,to:'2017-01-05 17:13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9" s="49" t="str">
        <f t="shared" si="44"/>
        <v>Y</v>
      </c>
      <c r="X109" s="173">
        <f t="shared" si="56"/>
        <v>1</v>
      </c>
      <c r="Y109" s="64">
        <f t="shared" si="45"/>
        <v>4.4900000000000002E-2</v>
      </c>
      <c r="Z109" s="64">
        <f t="shared" si="46"/>
        <v>5.7408999999999999</v>
      </c>
      <c r="AA109" s="64">
        <f t="shared" si="47"/>
        <v>5.6959999999999997</v>
      </c>
      <c r="AB109" s="61" t="str">
        <f>VLOOKUP(A109,Enforcements!$C$7:$K$18,8,0)</f>
        <v>Track device (7)</v>
      </c>
      <c r="AC109" s="57" t="str">
        <f>VLOOKUP(A109,Enforcements!$C$7:$E$18,3,0)</f>
        <v>SWITCH UNKNOWN</v>
      </c>
      <c r="AD109" s="58" t="str">
        <f t="shared" si="48"/>
        <v>0199-05</v>
      </c>
      <c r="AE109" s="87" t="str">
        <f t="shared" si="49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109" s="84" t="str">
        <f t="shared" si="50"/>
        <v>"C:\Program Files (x86)\AstroGrep\AstroGrep.exe" /spath="%USERPROFILE%\AppData\Local\Temp\OnboardLogs" /stypes="app*4022*20170105*" /stext=" 23:.+((SYSTEM_STATE.+slice.+state.+changed )|(ment ac)|(multiple cpu faults)|(system.+state.+changed )|(\[timeout)|(PRM\|1\|D)|(kpr)|(kdp)|(\|lc)|(penalty))" /e /r /s</v>
      </c>
      <c r="AG109" s="1" t="str">
        <f t="shared" si="51"/>
        <v>EC</v>
      </c>
      <c r="AH109" s="88" t="str">
        <f t="shared" si="37"/>
        <v>"%USERPROFILE%\Documents\GitHub\eaglep3\Utilities\RefineRTDCRunTimes.py" --tripid 199-05 --locoid 4022 --swversion DE.1.0.8.0 --startMP 204:449 --initTime 2017-01-05T15:55:04 --startdatetime 2017-01-05T16:00:20 --delay 5 --endMP 204:57409 --enddatetime 2017-01-05T16:13:29 --enforcementcount 1 &gt;&gt;C:\Users\stu\Documents\GitHub\eaglep3-reporting\EC\2017-01-05-refined-times.txt</v>
      </c>
      <c r="AI109" s="115" t="str">
        <f t="shared" si="38"/>
        <v>echo {"issue":{"subject":"Wi-MAX data drop","project_id":79,"tracker_id":40,"status_id":1,"priority_id":2,"assigned_to_id":23,"start_date":"2017-01-05","description":"","custom_fields":[{"id":1,"name":"Subdivision","value":"EC"},{"id":4,"name":"Milepost","value":"5.7409"},{"id":17,"name":"Train ID","value":"199-05"},{"id":16,"name":"Locomotive ID","value":"4022"},{"id":130,"name":"Impact","value":""},{"id":150,"name":"Time of Event (Mountain Time)","value":"16:13:29"},{"id":151,"name":"Denver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39"/>
        <v>start /low /b %USERPROFILE%\Documents\GitHub\eaglep3\Utilities\DownloadLogsFromS3.py --loco 4022 --day 2017-01-05</v>
      </c>
    </row>
    <row r="110" spans="1:91" s="21" customFormat="1" x14ac:dyDescent="0.25">
      <c r="A110" s="34" t="s">
        <v>482</v>
      </c>
      <c r="B110" s="7">
        <v>4022</v>
      </c>
      <c r="C110" s="22" t="s">
        <v>203</v>
      </c>
      <c r="D110" s="22" t="s">
        <v>762</v>
      </c>
      <c r="E110" s="13">
        <v>42740.678043981483</v>
      </c>
      <c r="F110" s="13">
        <v>42740.678784722222</v>
      </c>
      <c r="G110" s="7">
        <v>1</v>
      </c>
      <c r="H110" s="22" t="s">
        <v>324</v>
      </c>
      <c r="I110" s="13">
        <v>42740.696377314816</v>
      </c>
      <c r="J110" s="7">
        <v>0</v>
      </c>
      <c r="K110" s="105" t="str">
        <f t="shared" si="40"/>
        <v>4021/4022</v>
      </c>
      <c r="L110" s="22" t="str">
        <f>VLOOKUP(A110,'Trips&amp;Operators'!$C$1:$G$99999,5,FALSE)</f>
        <v>SMITH MICHAEL</v>
      </c>
      <c r="M110" s="6">
        <f t="shared" si="41"/>
        <v>1.7592592594155576E-2</v>
      </c>
      <c r="N110" s="7"/>
      <c r="O110" s="7"/>
      <c r="P110" s="7"/>
      <c r="Q110" s="23"/>
      <c r="R110" s="23"/>
      <c r="S110" s="32"/>
      <c r="T110" s="47" t="str">
        <f t="shared" si="42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3</v>
      </c>
      <c r="V11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15:16:23-700',mode:absolute,to:'2017-01-05 17:42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0" s="49" t="str">
        <f t="shared" si="44"/>
        <v>Y</v>
      </c>
      <c r="X110" s="173">
        <f t="shared" si="56"/>
        <v>0</v>
      </c>
      <c r="Y110" s="64">
        <f t="shared" si="45"/>
        <v>6.4711999999999996</v>
      </c>
      <c r="Z110" s="64">
        <f t="shared" si="46"/>
        <v>23.298100000000002</v>
      </c>
      <c r="AA110" s="64">
        <f t="shared" si="47"/>
        <v>16.826900000000002</v>
      </c>
      <c r="AB110" s="61" t="str">
        <f>VLOOKUP(A110,Enforcements!$C$7:$K$18,8,0)</f>
        <v>Track device (7)</v>
      </c>
      <c r="AC110" s="57" t="str">
        <f>VLOOKUP(A110,Enforcements!$C$7:$E$18,3,0)</f>
        <v>SWITCH UNKNOWN</v>
      </c>
      <c r="AD110" s="58" t="str">
        <f t="shared" si="48"/>
        <v>0199-05</v>
      </c>
      <c r="AE110" s="87" t="str">
        <f t="shared" si="49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110" s="84" t="str">
        <f t="shared" si="50"/>
        <v>"C:\Program Files (x86)\AstroGrep\AstroGrep.exe" /spath="%USERPROFILE%\AppData\Local\Temp\OnboardLogs" /stypes="app*4022*20170105*" /stext=" 23:.+((SYSTEM_STATE.+slice.+state.+changed )|(ment ac)|(multiple cpu faults)|(system.+state.+changed )|(\[timeout)|(PRM\|1\|D)|(kpr)|(kdp)|(\|lc)|(penalty))" /e /r /s</v>
      </c>
      <c r="AG110" s="1" t="str">
        <f t="shared" si="51"/>
        <v>EC</v>
      </c>
      <c r="AH110" s="88" t="str">
        <f t="shared" si="37"/>
        <v>"%USERPROFILE%\Documents\GitHub\eaglep3\Utilities\RefineRTDCRunTimes.py" --tripid 199-05 --locoid 4022 --swversion DE.1.0.8.0 --startMP 204:64712 --initTime 2017-01-05T16:16:23 --startdatetime 2017-01-05T16:17:27 --delay 1 --endMP 204:232981 --enddatetime 2017-01-05T16:42:47 --enforcementcount 0 &gt;&gt;C:\Users\stu\Documents\GitHub\eaglep3-reporting\EC\2017-01-05-refined-times.txt</v>
      </c>
      <c r="AI11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{"issue":{"subject":"","project_id":79,"tracker_id":40,"status_id":1,"priority_id":2,"assigned_to_id":23,"start_date":"2017-01-05","description":"","custom_fields":[{"id":1,"name":"Subdivision","value":"EC"},{"id":4,"name":"Milepost","value":"23.2981"},{"id":17,"name":"Train ID","value":"199-05"},{"id":16,"name":"Locomotive ID","value":"4022"},{"id":130,"name":"Impact","value":""},{"id":150,"name":"Time of Event (Mountain Time)","value":"16:42:47"},{"id":151,"name":"Denver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39"/>
        <v>start /low /b %USERPROFILE%\Documents\GitHub\eaglep3\Utilities\DownloadLogsFromS3.py --loco 4022 --day 2017-01-05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627</v>
      </c>
      <c r="B111" s="7">
        <v>4021</v>
      </c>
      <c r="C111" s="22" t="s">
        <v>203</v>
      </c>
      <c r="D111" s="22" t="s">
        <v>727</v>
      </c>
      <c r="E111" s="13">
        <v>42740.697731481479</v>
      </c>
      <c r="F111" s="13">
        <v>42740.705914351849</v>
      </c>
      <c r="G111" s="7">
        <v>1</v>
      </c>
      <c r="H111" s="22" t="s">
        <v>250</v>
      </c>
      <c r="I111" s="13">
        <v>42740.734606481485</v>
      </c>
      <c r="J111" s="7">
        <v>0</v>
      </c>
      <c r="K111" s="105" t="str">
        <f t="shared" si="40"/>
        <v>4021/4022</v>
      </c>
      <c r="L111" s="22" t="str">
        <f>VLOOKUP(A111,'Trips&amp;Operators'!$C$1:$G$99999,5,FALSE)</f>
        <v>SMITH MICHAEL</v>
      </c>
      <c r="M111" s="6">
        <f t="shared" si="41"/>
        <v>2.8692129635601304E-2</v>
      </c>
      <c r="N111" s="7">
        <f>24*60*SUM($M111:$M111)</f>
        <v>41.316666675265878</v>
      </c>
      <c r="O111" s="7"/>
      <c r="P111" s="7"/>
      <c r="Q111" s="23"/>
      <c r="R111" s="23"/>
      <c r="S111" s="32">
        <f t="shared" ref="S111:S142" si="58">SUM(U111:U111)/IF(AG111="EC",12,1)</f>
        <v>1</v>
      </c>
      <c r="T111" s="47" t="str">
        <f t="shared" si="42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15:44:44-700',mode:absolute,to:'2017-01-05 18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1" s="49" t="str">
        <f t="shared" si="44"/>
        <v>N</v>
      </c>
      <c r="X111" s="173">
        <f t="shared" si="56"/>
        <v>1</v>
      </c>
      <c r="Y111" s="64">
        <f t="shared" si="45"/>
        <v>23.2668</v>
      </c>
      <c r="Z111" s="64">
        <f t="shared" si="46"/>
        <v>1.6E-2</v>
      </c>
      <c r="AA111" s="64">
        <f t="shared" si="47"/>
        <v>23.250800000000002</v>
      </c>
      <c r="AB111" s="61" t="e">
        <f>VLOOKUP(A111,Enforcements!$C$7:$K$18,8,0)</f>
        <v>#N/A</v>
      </c>
      <c r="AC111" s="57" t="e">
        <f>VLOOKUP(A111,Enforcements!$C$7:$E$18,3,0)</f>
        <v>#N/A</v>
      </c>
      <c r="AD111" s="58" t="str">
        <f t="shared" si="48"/>
        <v>0200-05</v>
      </c>
      <c r="AE111" s="87" t="str">
        <f t="shared" si="49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111" s="84" t="str">
        <f t="shared" si="50"/>
        <v>"C:\Program Files (x86)\AstroGrep\AstroGrep.exe" /spath="%USERPROFILE%\AppData\Local\Temp\OnboardLogs" /stypes="app*4021*20170106*" /stext=" 00:.+((SYSTEM_STATE.+slice.+state.+changed )|(ment ac)|(multiple cpu faults)|(system.+state.+changed )|(\[timeout)|(PRM\|1\|D)|(kpr)|(kdp)|(\|lc)|(penalty))" /e /r /s</v>
      </c>
      <c r="AG111" s="1" t="str">
        <f t="shared" si="51"/>
        <v>EC</v>
      </c>
      <c r="AH111" s="88" t="str">
        <f t="shared" si="37"/>
        <v>"%USERPROFILE%\Documents\GitHub\eaglep3\Utilities\RefineRTDCRunTimes.py" --tripid 200-05 --locoid 4021 --swversion DE.1.0.8.0 --startMP 204:232668 --initTime 2017-01-05T16:44:44 --startdatetime 2017-01-05T16:56:31 --delay 1 --endMP 204:160 --enddatetime 2017-01-05T17:37:50 --enforcementcount 0 &gt;&gt;C:\Users\stu\Documents\GitHub\eaglep3-reporting\EC\2017-01-05-refined-times.txt</v>
      </c>
      <c r="AI11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{"issue":{"subject":"","project_id":79,"tracker_id":40,"status_id":1,"priority_id":2,"assigned_to_id":23,"start_date":"2017-01-05","description":"","custom_fields":[{"id":1,"name":"Subdivision","value":"EC"},{"id":4,"name":"Milepost","value":"0.016"},{"id":17,"name":"Train ID","value":"200-05"},{"id":16,"name":"Locomotive ID","value":"4021"},{"id":130,"name":"Impact","value":""},{"id":150,"name":"Time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39"/>
        <v>start /low /b %USERPROFILE%\Documents\GitHub\eaglep3\Utilities\DownloadLogsFromS3.py --loco 4021 --day 2017-01-05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619</v>
      </c>
      <c r="B112" s="7">
        <v>4011</v>
      </c>
      <c r="C112" s="22" t="s">
        <v>203</v>
      </c>
      <c r="D112" s="22" t="s">
        <v>419</v>
      </c>
      <c r="E112" s="13">
        <v>42740.675868055558</v>
      </c>
      <c r="F112" s="13">
        <v>42740.677256944444</v>
      </c>
      <c r="G112" s="7">
        <v>1</v>
      </c>
      <c r="H112" s="22" t="s">
        <v>417</v>
      </c>
      <c r="I112" s="13">
        <v>42740.702361111114</v>
      </c>
      <c r="J112" s="7">
        <v>0</v>
      </c>
      <c r="K112" s="105" t="str">
        <f t="shared" si="40"/>
        <v>4011/4012</v>
      </c>
      <c r="L112" s="22" t="str">
        <f>VLOOKUP(A112,'Trips&amp;Operators'!$C$1:$G$99999,5,FALSE)</f>
        <v>HELVIE ADAM</v>
      </c>
      <c r="M112" s="6">
        <f t="shared" si="41"/>
        <v>2.510416667064419E-2</v>
      </c>
      <c r="N112" s="7">
        <f>24*60*SUM($M112:$M112)</f>
        <v>36.150000005727634</v>
      </c>
      <c r="O112" s="7"/>
      <c r="P112" s="7"/>
      <c r="Q112" s="23"/>
      <c r="R112" s="23"/>
      <c r="S112" s="32">
        <f t="shared" si="58"/>
        <v>1</v>
      </c>
      <c r="T112" s="47" t="str">
        <f t="shared" si="42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15:13:15-700',mode:absolute,to:'2017-01-05 17:51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2" s="49" t="str">
        <f t="shared" si="44"/>
        <v>N</v>
      </c>
      <c r="X112" s="173">
        <f t="shared" si="56"/>
        <v>1</v>
      </c>
      <c r="Y112" s="64">
        <f t="shared" si="45"/>
        <v>4.8800000000000003E-2</v>
      </c>
      <c r="Z112" s="64">
        <f t="shared" si="46"/>
        <v>23.3291</v>
      </c>
      <c r="AA112" s="64">
        <f t="shared" si="47"/>
        <v>23.2803</v>
      </c>
      <c r="AB112" s="61" t="e">
        <f>VLOOKUP(A112,Enforcements!$C$7:$K$18,8,0)</f>
        <v>#N/A</v>
      </c>
      <c r="AC112" s="57" t="e">
        <f>VLOOKUP(A112,Enforcements!$C$7:$E$18,3,0)</f>
        <v>#N/A</v>
      </c>
      <c r="AD112" s="58" t="str">
        <f t="shared" si="48"/>
        <v>0201-05</v>
      </c>
      <c r="AE112" s="87" t="str">
        <f t="shared" si="49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112" s="84" t="str">
        <f t="shared" si="50"/>
        <v>"C:\Program Files (x86)\AstroGrep\AstroGrep.exe" /spath="%USERPROFILE%\AppData\Local\Temp\OnboardLogs" /stypes="app*4011*20170105*" /stext=" 23:.+((SYSTEM_STATE.+slice.+state.+changed )|(ment ac)|(multiple cpu faults)|(system.+state.+changed )|(\[timeout)|(PRM\|1\|D)|(kpr)|(kdp)|(\|lc)|(penalty))" /e /r /s</v>
      </c>
      <c r="AG112" s="1" t="str">
        <f t="shared" si="51"/>
        <v>EC</v>
      </c>
      <c r="AH112" s="88" t="str">
        <f t="shared" si="37"/>
        <v>"%USERPROFILE%\Documents\GitHub\eaglep3\Utilities\RefineRTDCRunTimes.py" --tripid 201-05 --locoid 4011 --swversion DE.1.0.8.0 --startMP 204:488 --initTime 2017-01-05T16:13:15 --startdatetime 2017-01-05T16:15:15 --delay 1 --endMP 204:233291 --enddatetime 2017-01-05T16:51:24 --enforcementcount 0 &gt;&gt;C:\Users\stu\Documents\GitHub\eaglep3-reporting\EC\2017-01-05-refined-times.txt</v>
      </c>
      <c r="AI11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{"issue":{"subject":"","project_id":79,"tracker_id":40,"status_id":1,"priority_id":2,"assigned_to_id":23,"start_date":"2017-01-05","description":"","custom_fields":[{"id":1,"name":"Subdivision","value":"EC"},{"id":4,"name":"Milepost","value":"23.3291"},{"id":17,"name":"Train ID","value":"201-05"},{"id":16,"name":"Locomotive ID","value":"4011"},{"id":130,"name":"Impact","value":""},{"id":150,"name":"Time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39"/>
        <v>start /low /b %USERPROFILE%\Documents\GitHub\eaglep3\Utilities\DownloadLogsFromS3.py --loco 4011 --day 2017-01-05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631</v>
      </c>
      <c r="B113" s="7">
        <v>4012</v>
      </c>
      <c r="C113" s="22" t="s">
        <v>203</v>
      </c>
      <c r="D113" s="22" t="s">
        <v>708</v>
      </c>
      <c r="E113" s="13">
        <v>42740.712152777778</v>
      </c>
      <c r="F113" s="13">
        <v>42740.718113425923</v>
      </c>
      <c r="G113" s="7">
        <v>1</v>
      </c>
      <c r="H113" s="22" t="s">
        <v>286</v>
      </c>
      <c r="I113" s="13">
        <v>42740.745578703703</v>
      </c>
      <c r="J113" s="7">
        <v>0</v>
      </c>
      <c r="K113" s="105" t="str">
        <f t="shared" si="40"/>
        <v>4011/4012</v>
      </c>
      <c r="L113" s="22" t="str">
        <f>VLOOKUP(A113,'Trips&amp;Operators'!$C$1:$G$99999,5,FALSE)</f>
        <v>HELVIE ADAM</v>
      </c>
      <c r="M113" s="6">
        <f t="shared" si="41"/>
        <v>2.7465277780720498E-2</v>
      </c>
      <c r="N113" s="7">
        <f>24*60*SUM($M113:$M113)</f>
        <v>39.550000004237518</v>
      </c>
      <c r="O113" s="7"/>
      <c r="P113" s="7"/>
      <c r="Q113" s="23"/>
      <c r="R113" s="23"/>
      <c r="S113" s="32">
        <f t="shared" si="58"/>
        <v>1</v>
      </c>
      <c r="T113" s="47" t="str">
        <f t="shared" si="42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16:05:30-700',mode:absolute,to:'2017-01-05 18:53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3" s="49" t="str">
        <f t="shared" si="44"/>
        <v>N</v>
      </c>
      <c r="X113" s="173">
        <f t="shared" si="56"/>
        <v>1</v>
      </c>
      <c r="Y113" s="64">
        <f t="shared" si="45"/>
        <v>23.296900000000001</v>
      </c>
      <c r="Z113" s="64">
        <f t="shared" si="46"/>
        <v>1.5800000000000002E-2</v>
      </c>
      <c r="AA113" s="64">
        <f t="shared" si="47"/>
        <v>23.281100000000002</v>
      </c>
      <c r="AB113" s="61" t="e">
        <f>VLOOKUP(A113,Enforcements!$C$7:$K$18,8,0)</f>
        <v>#N/A</v>
      </c>
      <c r="AC113" s="57" t="e">
        <f>VLOOKUP(A113,Enforcements!$C$7:$E$18,3,0)</f>
        <v>#N/A</v>
      </c>
      <c r="AD113" s="58" t="str">
        <f t="shared" si="48"/>
        <v>0202-05</v>
      </c>
      <c r="AE113" s="87" t="str">
        <f t="shared" si="49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113" s="84" t="str">
        <f t="shared" si="50"/>
        <v>"C:\Program Files (x86)\AstroGrep\AstroGrep.exe" /spath="%USERPROFILE%\AppData\Local\Temp\OnboardLogs" /stypes="app*4012*20170106*" /stext=" 00:.+((SYSTEM_STATE.+slice.+state.+changed )|(ment ac)|(multiple cpu faults)|(system.+state.+changed )|(\[timeout)|(PRM\|1\|D)|(kpr)|(kdp)|(\|lc)|(penalty))" /e /r /s</v>
      </c>
      <c r="AG113" s="1" t="str">
        <f t="shared" si="51"/>
        <v>EC</v>
      </c>
      <c r="AH113" s="88" t="str">
        <f t="shared" si="37"/>
        <v>"%USERPROFILE%\Documents\GitHub\eaglep3\Utilities\RefineRTDCRunTimes.py" --tripid 202-05 --locoid 4012 --swversion DE.1.0.8.0 --startMP 204:232969 --initTime 2017-01-05T17:05:30 --startdatetime 2017-01-05T17:14:05 --delay 1 --endMP 204:158 --enddatetime 2017-01-05T17:53:38 --enforcementcount 0 &gt;&gt;C:\Users\stu\Documents\GitHub\eaglep3-reporting\EC\2017-01-05-refined-times.txt</v>
      </c>
      <c r="AI11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{"issue":{"subject":"","project_id":79,"tracker_id":40,"status_id":1,"priority_id":2,"assigned_to_id":23,"start_date":"2017-01-05","description":"","custom_fields":[{"id":1,"name":"Subdivision","value":"EC"},{"id":4,"name":"Milepost","value":"0.0158"},{"id":17,"name":"Train ID","value":"202-05"},{"id":16,"name":"Locomotive ID","value":"4012"},{"id":130,"name":"Impact","value":""},{"id":150,"name":"Time of Event (Mountain Time)","value":"17:53:38"},{"id":151,"name":"Denver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39"/>
        <v>start /low /b %USERPROFILE%\Documents\GitHub\eaglep3\Utilities\DownloadLogsFromS3.py --loco 4012 --day 2017-01-05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621</v>
      </c>
      <c r="B114" s="7">
        <v>4046</v>
      </c>
      <c r="C114" s="22" t="s">
        <v>203</v>
      </c>
      <c r="D114" s="22" t="s">
        <v>419</v>
      </c>
      <c r="E114" s="13">
        <v>42740.685266203705</v>
      </c>
      <c r="F114" s="13">
        <v>42740.687662037039</v>
      </c>
      <c r="G114" s="7">
        <v>1</v>
      </c>
      <c r="H114" s="22" t="s">
        <v>763</v>
      </c>
      <c r="I114" s="13">
        <v>42740.713900462964</v>
      </c>
      <c r="J114" s="7">
        <v>0</v>
      </c>
      <c r="K114" s="105" t="str">
        <f t="shared" si="40"/>
        <v>4045/4046</v>
      </c>
      <c r="L114" s="22" t="str">
        <f>VLOOKUP(A114,'Trips&amp;Operators'!$C$1:$G$99999,5,FALSE)</f>
        <v>CRAYTON QUNTRELL</v>
      </c>
      <c r="M114" s="6">
        <f t="shared" si="41"/>
        <v>2.6238425925839692E-2</v>
      </c>
      <c r="N114" s="7"/>
      <c r="O114" s="7"/>
      <c r="P114" s="7">
        <f>24*60*SUM($M114:$M114)</f>
        <v>37.783333333209157</v>
      </c>
      <c r="Q114" s="23"/>
      <c r="R114" s="23" t="s">
        <v>902</v>
      </c>
      <c r="S114" s="32">
        <f t="shared" si="58"/>
        <v>1</v>
      </c>
      <c r="T114" s="47" t="str">
        <f t="shared" si="42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15:26:47-700',mode:absolute,to:'2017-01-05 18:08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4" s="49" t="str">
        <f t="shared" si="44"/>
        <v>Y</v>
      </c>
      <c r="X114" s="173">
        <f t="shared" si="56"/>
        <v>1</v>
      </c>
      <c r="Y114" s="64">
        <f t="shared" si="45"/>
        <v>4.8800000000000003E-2</v>
      </c>
      <c r="Z114" s="64">
        <f t="shared" si="46"/>
        <v>21.809699999999999</v>
      </c>
      <c r="AA114" s="64">
        <f t="shared" si="47"/>
        <v>21.760899999999999</v>
      </c>
      <c r="AB114" s="61" t="e">
        <f>VLOOKUP(A114,Enforcements!$C$7:$K$18,8,0)</f>
        <v>#N/A</v>
      </c>
      <c r="AC114" s="57" t="e">
        <f>VLOOKUP(A114,Enforcements!$C$7:$E$18,3,0)</f>
        <v>#N/A</v>
      </c>
      <c r="AD114" s="58" t="str">
        <f t="shared" si="48"/>
        <v>0203-05</v>
      </c>
      <c r="AE114" s="87" t="str">
        <f t="shared" si="49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114" s="84" t="str">
        <f t="shared" si="50"/>
        <v>"C:\Program Files (x86)\AstroGrep\AstroGrep.exe" /spath="%USERPROFILE%\AppData\Local\Temp\OnboardLogs" /stypes="app*4046*20170106*" /stext=" 00:.+((SYSTEM_STATE.+slice.+state.+changed )|(ment ac)|(multiple cpu faults)|(system.+state.+changed )|(\[timeout)|(PRM\|1\|D)|(kpr)|(kdp)|(\|lc)|(penalty))" /e /r /s</v>
      </c>
      <c r="AG114" s="1" t="str">
        <f t="shared" si="51"/>
        <v>EC</v>
      </c>
      <c r="AH114" s="88" t="str">
        <f t="shared" si="37"/>
        <v>"%USERPROFILE%\Documents\GitHub\eaglep3\Utilities\RefineRTDCRunTimes.py" --tripid 203-05 --locoid 4046 --swversion DE.1.0.8.0 --startMP 204:488 --initTime 2017-01-05T16:26:47 --startdatetime 2017-01-05T16:30:14 --delay 1 --endMP 204:218097 --enddatetime 2017-01-05T17:08:01 --enforcementcount 0 &gt;&gt;C:\Users\stu\Documents\GitHub\eaglep3-reporting\EC\2017-01-05-refined-times.txt</v>
      </c>
      <c r="AI114" s="115" t="str">
        <f t="shared" si="38"/>
        <v>echo {"issue":{"subject":"ATC Traction issue","project_id":79,"tracker_id":40,"status_id":1,"priority_id":2,"assigned_to_id":23,"start_date":"2017-01-05","description":"","custom_fields":[{"id":1,"name":"Subdivision","value":"EC"},{"id":4,"name":"Milepost","value":"21.8097"},{"id":17,"name":"Train ID","value":"203-05"},{"id":16,"name":"Locomotive ID","value":"4046"},{"id":130,"name":"Impact","value":""},{"id":150,"name":"Time of Event (Mountain Time)","value":"17:08:01"},{"id":151,"name":"Denver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39"/>
        <v>start /low /b %USERPROFILE%\Documents\GitHub\eaglep3\Utilities\DownloadLogsFromS3.py --loco 4046 --day 2017-01-05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634</v>
      </c>
      <c r="B115" s="7">
        <v>4045</v>
      </c>
      <c r="C115" s="22" t="s">
        <v>203</v>
      </c>
      <c r="D115" s="22" t="s">
        <v>764</v>
      </c>
      <c r="E115" s="13">
        <v>42740.721180555556</v>
      </c>
      <c r="F115" s="13">
        <v>42740.726574074077</v>
      </c>
      <c r="G115" s="7">
        <v>3</v>
      </c>
      <c r="H115" s="22" t="s">
        <v>372</v>
      </c>
      <c r="I115" s="13">
        <v>42740.757326388892</v>
      </c>
      <c r="J115" s="7">
        <v>0</v>
      </c>
      <c r="K115" s="105" t="str">
        <f t="shared" si="40"/>
        <v>4045/4046</v>
      </c>
      <c r="L115" s="22" t="str">
        <f>VLOOKUP(A115,'Trips&amp;Operators'!$C$1:$G$99999,5,FALSE)</f>
        <v>CRAYTON QUNTRELL</v>
      </c>
      <c r="M115" s="6">
        <f t="shared" si="41"/>
        <v>3.0752314814890269E-2</v>
      </c>
      <c r="N115" s="7">
        <f t="shared" ref="N115:N158" si="59">24*60*SUM($M115:$M115)</f>
        <v>44.283333333441988</v>
      </c>
      <c r="O115" s="7"/>
      <c r="P115" s="7"/>
      <c r="Q115" s="23"/>
      <c r="R115" s="23"/>
      <c r="S115" s="32">
        <f t="shared" si="58"/>
        <v>1</v>
      </c>
      <c r="T115" s="47" t="str">
        <f t="shared" si="42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16:18:30-700',mode:absolute,to:'2017-01-05 19:10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5" s="49" t="str">
        <f t="shared" si="44"/>
        <v>N</v>
      </c>
      <c r="X115" s="173">
        <f t="shared" si="56"/>
        <v>1</v>
      </c>
      <c r="Y115" s="64">
        <f t="shared" si="45"/>
        <v>23.265999999999998</v>
      </c>
      <c r="Z115" s="64">
        <f t="shared" si="46"/>
        <v>1.6899999999999998E-2</v>
      </c>
      <c r="AA115" s="64">
        <f t="shared" si="47"/>
        <v>23.249099999999999</v>
      </c>
      <c r="AB115" s="61" t="e">
        <f>VLOOKUP(A115,Enforcements!$C$7:$K$18,8,0)</f>
        <v>#N/A</v>
      </c>
      <c r="AC115" s="57" t="e">
        <f>VLOOKUP(A115,Enforcements!$C$7:$E$18,3,0)</f>
        <v>#N/A</v>
      </c>
      <c r="AD115" s="58" t="str">
        <f t="shared" si="48"/>
        <v>0204-05</v>
      </c>
      <c r="AE115" s="87" t="str">
        <f t="shared" si="49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15" s="84" t="str">
        <f t="shared" si="50"/>
        <v>"C:\Program Files (x86)\AstroGrep\AstroGrep.exe" /spath="%USERPROFILE%\AppData\Local\Temp\OnboardLogs" /stypes="app*4045*20170106*" /stext=" 01:.+((SYSTEM_STATE.+slice.+state.+changed )|(ment ac)|(multiple cpu faults)|(system.+state.+changed )|(\[timeout)|(PRM\|1\|D)|(kpr)|(kdp)|(\|lc)|(penalty))" /e /r /s</v>
      </c>
      <c r="AG115" s="1" t="str">
        <f t="shared" si="51"/>
        <v>EC</v>
      </c>
      <c r="AH115" s="88" t="str">
        <f t="shared" si="37"/>
        <v>"%USERPROFILE%\Documents\GitHub\eaglep3\Utilities\RefineRTDCRunTimes.py" --tripid 204-05 --locoid 4045 --swversion DE.1.0.8.0 --startMP 204:232660 --initTime 2017-01-05T17:18:30 --startdatetime 2017-01-05T17:26:16 --delay 3 --endMP 204:169 --enddatetime 2017-01-05T18:10:33 --enforcementcount 0 &gt;&gt;C:\Users\stu\Documents\GitHub\eaglep3-reporting\EC\2017-01-05-refined-times.txt</v>
      </c>
      <c r="AI11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{"issue":{"subject":"","project_id":79,"tracker_id":40,"status_id":1,"priority_id":2,"assigned_to_id":23,"start_date":"2017-01-05","description":"","custom_fields":[{"id":1,"name":"Subdivision","value":"EC"},{"id":4,"name":"Milepost","value":"0.0169"},{"id":17,"name":"Train ID","value":"204-05"},{"id":16,"name":"Locomotive ID","value":"4045"},{"id":130,"name":"Impact","value":""},{"id":150,"name":"Time of Event (Mountain Time)","value":"18:10:33"},{"id":151,"name":"Denver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39"/>
        <v>start /low /b %USERPROFILE%\Documents\GitHub\eaglep3\Utilities\DownloadLogsFromS3.py --loco 4045 --day 2017-01-05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626</v>
      </c>
      <c r="B116" s="7">
        <v>4007</v>
      </c>
      <c r="C116" s="22" t="s">
        <v>203</v>
      </c>
      <c r="D116" s="22" t="s">
        <v>323</v>
      </c>
      <c r="E116" s="13">
        <v>42740.697372685187</v>
      </c>
      <c r="F116" s="13">
        <v>42740.700486111113</v>
      </c>
      <c r="G116" s="7">
        <v>1</v>
      </c>
      <c r="H116" s="22" t="s">
        <v>368</v>
      </c>
      <c r="I116" s="13">
        <v>42740.726018518515</v>
      </c>
      <c r="J116" s="7">
        <v>0</v>
      </c>
      <c r="K116" s="105" t="str">
        <f t="shared" si="40"/>
        <v>4007/4008</v>
      </c>
      <c r="L116" s="22" t="str">
        <f>VLOOKUP(A116,'Trips&amp;Operators'!$C$1:$G$99999,5,FALSE)</f>
        <v>BRANNON JEFFREY</v>
      </c>
      <c r="M116" s="6">
        <f t="shared" si="41"/>
        <v>2.5532407402351964E-2</v>
      </c>
      <c r="N116" s="7">
        <f t="shared" si="59"/>
        <v>36.766666659386829</v>
      </c>
      <c r="O116" s="7"/>
      <c r="P116" s="7"/>
      <c r="Q116" s="23"/>
      <c r="R116" s="23"/>
      <c r="S116" s="32">
        <f t="shared" si="58"/>
        <v>1</v>
      </c>
      <c r="T116" s="47" t="str">
        <f t="shared" si="42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15:44:13-700',mode:absolute,to:'2017-01-05 18:25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6" s="49" t="str">
        <f t="shared" si="44"/>
        <v>N</v>
      </c>
      <c r="X116" s="173">
        <f t="shared" si="56"/>
        <v>1</v>
      </c>
      <c r="Y116" s="64">
        <f t="shared" si="45"/>
        <v>4.4600000000000001E-2</v>
      </c>
      <c r="Z116" s="64">
        <f t="shared" si="46"/>
        <v>23.331099999999999</v>
      </c>
      <c r="AA116" s="64">
        <f t="shared" si="47"/>
        <v>23.2865</v>
      </c>
      <c r="AB116" s="61" t="e">
        <f>VLOOKUP(A116,Enforcements!$C$7:$K$18,8,0)</f>
        <v>#N/A</v>
      </c>
      <c r="AC116" s="57" t="e">
        <f>VLOOKUP(A116,Enforcements!$C$7:$E$18,3,0)</f>
        <v>#N/A</v>
      </c>
      <c r="AD116" s="58" t="str">
        <f t="shared" si="48"/>
        <v>0205-05</v>
      </c>
      <c r="AE116" s="87" t="str">
        <f t="shared" si="49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116" s="84" t="str">
        <f t="shared" si="50"/>
        <v>"C:\Program Files (x86)\AstroGrep\AstroGrep.exe" /spath="%USERPROFILE%\AppData\Local\Temp\OnboardLogs" /stypes="app*4007*20170106*" /stext=" 00:.+((SYSTEM_STATE.+slice.+state.+changed )|(ment ac)|(multiple cpu faults)|(system.+state.+changed )|(\[timeout)|(PRM\|1\|D)|(kpr)|(kdp)|(\|lc)|(penalty))" /e /r /s</v>
      </c>
      <c r="AG116" s="1" t="str">
        <f t="shared" si="51"/>
        <v>EC</v>
      </c>
      <c r="AH116" s="88" t="str">
        <f t="shared" si="37"/>
        <v>"%USERPROFILE%\Documents\GitHub\eaglep3\Utilities\RefineRTDCRunTimes.py" --tripid 205-05 --locoid 4007 --swversion DE.1.0.8.0 --startMP 204:446 --initTime 2017-01-05T16:44:13 --startdatetime 2017-01-05T16:48:42 --delay 1 --endMP 204:233311 --enddatetime 2017-01-05T17:25:28 --enforcementcount 0 &gt;&gt;C:\Users\stu\Documents\GitHub\eaglep3-reporting\EC\2017-01-05-refined-times.txt</v>
      </c>
      <c r="AI11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{"issue":{"subject":"","project_id":79,"tracker_id":40,"status_id":1,"priority_id":2,"assigned_to_id":23,"start_date":"2017-01-05","description":"","custom_fields":[{"id":1,"name":"Subdivision","value":"EC"},{"id":4,"name":"Milepost","value":"23.3311"},{"id":17,"name":"Train ID","value":"205-05"},{"id":16,"name":"Locomotive ID","value":"4007"},{"id":130,"name":"Impact","value":""},{"id":150,"name":"Time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39"/>
        <v>start /low /b %USERPROFILE%\Documents\GitHub\eaglep3\Utilities\DownloadLogsFromS3.py --loco 4007 --day 2017-01-05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637</v>
      </c>
      <c r="B117" s="7">
        <v>4008</v>
      </c>
      <c r="C117" s="22" t="s">
        <v>203</v>
      </c>
      <c r="D117" s="22" t="s">
        <v>731</v>
      </c>
      <c r="E117" s="13">
        <v>42740.726875</v>
      </c>
      <c r="F117" s="13">
        <v>42740.737326388888</v>
      </c>
      <c r="G117" s="7">
        <v>5</v>
      </c>
      <c r="H117" s="22" t="s">
        <v>415</v>
      </c>
      <c r="I117" s="13">
        <v>42740.766412037039</v>
      </c>
      <c r="J117" s="7">
        <v>0</v>
      </c>
      <c r="K117" s="105" t="str">
        <f t="shared" si="40"/>
        <v>4007/4008</v>
      </c>
      <c r="L117" s="22" t="str">
        <f>VLOOKUP(A117,'Trips&amp;Operators'!$C$1:$G$99999,5,FALSE)</f>
        <v>BRANNON JEFFREY</v>
      </c>
      <c r="M117" s="6">
        <f t="shared" si="41"/>
        <v>2.9085648151522037E-2</v>
      </c>
      <c r="N117" s="7">
        <f t="shared" si="59"/>
        <v>41.883333338191733</v>
      </c>
      <c r="O117" s="7"/>
      <c r="P117" s="7"/>
      <c r="Q117" s="23"/>
      <c r="R117" s="23"/>
      <c r="S117" s="32">
        <f t="shared" si="58"/>
        <v>1</v>
      </c>
      <c r="T117" s="47" t="str">
        <f t="shared" si="42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16:26:42-700',mode:absolute,to:'2017-01-05 19:23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7" s="49" t="str">
        <f t="shared" si="44"/>
        <v>N</v>
      </c>
      <c r="X117" s="173">
        <f t="shared" si="56"/>
        <v>1</v>
      </c>
      <c r="Y117" s="64">
        <f t="shared" si="45"/>
        <v>23.297499999999999</v>
      </c>
      <c r="Z117" s="64">
        <f t="shared" si="46"/>
        <v>1.3599999999999999E-2</v>
      </c>
      <c r="AA117" s="64">
        <f t="shared" si="47"/>
        <v>23.283899999999999</v>
      </c>
      <c r="AB117" s="61" t="e">
        <f>VLOOKUP(A117,Enforcements!$C$7:$K$18,8,0)</f>
        <v>#N/A</v>
      </c>
      <c r="AC117" s="57" t="e">
        <f>VLOOKUP(A117,Enforcements!$C$7:$E$18,3,0)</f>
        <v>#N/A</v>
      </c>
      <c r="AD117" s="58" t="str">
        <f t="shared" si="48"/>
        <v>0206-05</v>
      </c>
      <c r="AE117" s="87" t="str">
        <f t="shared" si="49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117" s="84" t="str">
        <f t="shared" si="50"/>
        <v>"C:\Program Files (x86)\AstroGrep\AstroGrep.exe" /spath="%USERPROFILE%\AppData\Local\Temp\OnboardLogs" /stypes="app*4008*20170106*" /stext=" 01:.+((SYSTEM_STATE.+slice.+state.+changed )|(ment ac)|(multiple cpu faults)|(system.+state.+changed )|(\[timeout)|(PRM\|1\|D)|(kpr)|(kdp)|(\|lc)|(penalty))" /e /r /s</v>
      </c>
      <c r="AG117" s="1" t="str">
        <f t="shared" si="51"/>
        <v>EC</v>
      </c>
      <c r="AH117" s="88" t="str">
        <f t="shared" si="37"/>
        <v>"%USERPROFILE%\Documents\GitHub\eaglep3\Utilities\RefineRTDCRunTimes.py" --tripid 206-05 --locoid 4008 --swversion DE.1.0.8.0 --startMP 204:232975 --initTime 2017-01-05T17:26:42 --startdatetime 2017-01-05T17:41:45 --delay 5 --endMP 204:136 --enddatetime 2017-01-05T18:23:38 --enforcementcount 0 &gt;&gt;C:\Users\stu\Documents\GitHub\eaglep3-reporting\EC\2017-01-05-refined-times.txt</v>
      </c>
      <c r="AI11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{"issue":{"subject":"","project_id":79,"tracker_id":40,"status_id":1,"priority_id":2,"assigned_to_id":23,"start_date":"2017-01-05","description":"","custom_fields":[{"id":1,"name":"Subdivision","value":"EC"},{"id":4,"name":"Milepost","value":"0.0136"},{"id":17,"name":"Train ID","value":"206-05"},{"id":16,"name":"Locomotive ID","value":"4008"},{"id":130,"name":"Impact","value":""},{"id":150,"name":"Time of Event (Mountain Time)","value":"18:23:38"},{"id":151,"name":"Denver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39"/>
        <v>start /low /b %USERPROFILE%\Documents\GitHub\eaglep3\Utilities\DownloadLogsFromS3.py --loco 4008 --day 2017-01-05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629</v>
      </c>
      <c r="B118" s="7">
        <v>4003</v>
      </c>
      <c r="C118" s="22" t="s">
        <v>203</v>
      </c>
      <c r="D118" s="22" t="s">
        <v>224</v>
      </c>
      <c r="E118" s="13">
        <v>42740.702430555553</v>
      </c>
      <c r="F118" s="13">
        <v>42740.708749999998</v>
      </c>
      <c r="G118" s="7">
        <v>3</v>
      </c>
      <c r="H118" s="22" t="s">
        <v>765</v>
      </c>
      <c r="I118" s="13">
        <v>42740.738136574073</v>
      </c>
      <c r="J118" s="7">
        <v>0</v>
      </c>
      <c r="K118" s="105" t="str">
        <f t="shared" si="40"/>
        <v>4003/4004</v>
      </c>
      <c r="L118" s="22" t="str">
        <f>VLOOKUP(A118,'Trips&amp;Operators'!$C$1:$G$99999,5,FALSE)</f>
        <v>BRANDNER MELINDA</v>
      </c>
      <c r="M118" s="6">
        <f t="shared" si="41"/>
        <v>2.9386574075033423E-2</v>
      </c>
      <c r="N118" s="7">
        <f t="shared" si="59"/>
        <v>42.316666668048128</v>
      </c>
      <c r="O118" s="7"/>
      <c r="P118" s="7"/>
      <c r="Q118" s="23"/>
      <c r="R118" s="23"/>
      <c r="S118" s="32">
        <f t="shared" si="58"/>
        <v>1</v>
      </c>
      <c r="T118" s="47" t="str">
        <f t="shared" si="42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15:51:30-700',mode:absolute,to:'2017-01-05 18:42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8" s="49" t="str">
        <f t="shared" si="44"/>
        <v>N</v>
      </c>
      <c r="X118" s="173">
        <f t="shared" si="56"/>
        <v>1</v>
      </c>
      <c r="Y118" s="64">
        <f t="shared" si="45"/>
        <v>4.5499999999999999E-2</v>
      </c>
      <c r="Z118" s="64">
        <f t="shared" si="46"/>
        <v>23.296600000000002</v>
      </c>
      <c r="AA118" s="64">
        <f t="shared" si="47"/>
        <v>23.251100000000001</v>
      </c>
      <c r="AB118" s="61" t="e">
        <f>VLOOKUP(A118,Enforcements!$C$7:$K$18,8,0)</f>
        <v>#N/A</v>
      </c>
      <c r="AC118" s="57" t="e">
        <f>VLOOKUP(A118,Enforcements!$C$7:$E$18,3,0)</f>
        <v>#N/A</v>
      </c>
      <c r="AD118" s="58" t="str">
        <f t="shared" si="48"/>
        <v>0207-05</v>
      </c>
      <c r="AE118" s="87" t="str">
        <f t="shared" si="49"/>
        <v>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 &amp; 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</v>
      </c>
      <c r="AF118" s="84" t="str">
        <f t="shared" si="50"/>
        <v>"C:\Program Files (x86)\AstroGrep\AstroGrep.exe" /spath="%USERPROFILE%\AppData\Local\Temp\OnboardLogs" /stypes="app*4003*20170106*" /stext=" 00:.+((SYSTEM_STATE.+slice.+state.+changed )|(ment ac)|(multiple cpu faults)|(system.+state.+changed )|(\[timeout)|(PRM\|1\|D)|(kpr)|(kdp)|(\|lc)|(penalty))" /e /r /s</v>
      </c>
      <c r="AG118" s="1" t="str">
        <f t="shared" si="51"/>
        <v>EC</v>
      </c>
      <c r="AH118" s="88" t="str">
        <f t="shared" si="37"/>
        <v>"%USERPROFILE%\Documents\GitHub\eaglep3\Utilities\RefineRTDCRunTimes.py" --tripid 207-05 --locoid 4003 --swversion DE.1.0.8.0 --startMP 204:455 --initTime 2017-01-05T16:51:30 --startdatetime 2017-01-05T17:00:36 --delay 3 --endMP 204:232966 --enddatetime 2017-01-05T17:42:55 --enforcementcount 0 &gt;&gt;C:\Users\stu\Documents\GitHub\eaglep3-reporting\EC\2017-01-05-refined-times.txt</v>
      </c>
      <c r="AI11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{"issue":{"subject":"","project_id":79,"tracker_id":40,"status_id":1,"priority_id":2,"assigned_to_id":23,"start_date":"2017-01-05","description":"","custom_fields":[{"id":1,"name":"Subdivision","value":"EC"},{"id":4,"name":"Milepost","value":"23.2966"},{"id":17,"name":"Train ID","value":"207-05"},{"id":16,"name":"Locomotive ID","value":"4003"},{"id":130,"name":"Impact","value":""},{"id":150,"name":"Time of Event (Mountain Time)","value":"17:42:55"},{"id":151,"name":"Denver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39"/>
        <v>start /low /b %USERPROFILE%\Documents\GitHub\eaglep3\Utilities\DownloadLogsFromS3.py --loco 4003 --day 2017-01-05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642</v>
      </c>
      <c r="B119" s="7">
        <v>4004</v>
      </c>
      <c r="C119" s="22" t="s">
        <v>203</v>
      </c>
      <c r="D119" s="22" t="s">
        <v>766</v>
      </c>
      <c r="E119" s="13">
        <v>42740.745405092595</v>
      </c>
      <c r="F119" s="13">
        <v>42740.747812499998</v>
      </c>
      <c r="G119" s="7">
        <v>1</v>
      </c>
      <c r="H119" s="22" t="s">
        <v>192</v>
      </c>
      <c r="I119" s="13">
        <v>42740.780752314815</v>
      </c>
      <c r="J119" s="7">
        <v>0</v>
      </c>
      <c r="K119" s="105" t="str">
        <f t="shared" si="40"/>
        <v>4003/4004</v>
      </c>
      <c r="L119" s="22" t="str">
        <f>VLOOKUP(A119,'Trips&amp;Operators'!$C$1:$G$99999,5,FALSE)</f>
        <v>BRANDNER MELINDA</v>
      </c>
      <c r="M119" s="6">
        <f t="shared" si="41"/>
        <v>3.2939814816927537E-2</v>
      </c>
      <c r="N119" s="7">
        <f t="shared" si="59"/>
        <v>47.433333336375654</v>
      </c>
      <c r="O119" s="7"/>
      <c r="P119" s="7"/>
      <c r="Q119" s="23"/>
      <c r="R119" s="23"/>
      <c r="S119" s="32">
        <f t="shared" si="58"/>
        <v>1</v>
      </c>
      <c r="T119" s="47" t="str">
        <f t="shared" si="42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16:53:23-700',mode:absolute,to:'2017-01-05 19:44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9" s="49" t="str">
        <f t="shared" si="44"/>
        <v>N</v>
      </c>
      <c r="X119" s="173">
        <f t="shared" si="56"/>
        <v>1</v>
      </c>
      <c r="Y119" s="64">
        <f t="shared" si="45"/>
        <v>23.267700000000001</v>
      </c>
      <c r="Z119" s="64">
        <f t="shared" si="46"/>
        <v>1.43E-2</v>
      </c>
      <c r="AA119" s="64">
        <f t="shared" si="47"/>
        <v>23.253400000000003</v>
      </c>
      <c r="AB119" s="61" t="e">
        <f>VLOOKUP(A119,Enforcements!$C$7:$K$18,8,0)</f>
        <v>#N/A</v>
      </c>
      <c r="AC119" s="57" t="e">
        <f>VLOOKUP(A119,Enforcements!$C$7:$E$18,3,0)</f>
        <v>#N/A</v>
      </c>
      <c r="AD119" s="58" t="str">
        <f t="shared" si="48"/>
        <v>0208-05</v>
      </c>
      <c r="AE119" s="87" t="str">
        <f t="shared" si="49"/>
        <v>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 &amp; 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</v>
      </c>
      <c r="AF119" s="84" t="str">
        <f t="shared" si="50"/>
        <v>"C:\Program Files (x86)\AstroGrep\AstroGrep.exe" /spath="%USERPROFILE%\AppData\Local\Temp\OnboardLogs" /stypes="app*4004*20170106*" /stext=" 01:.+((SYSTEM_STATE.+slice.+state.+changed )|(ment ac)|(multiple cpu faults)|(system.+state.+changed )|(\[timeout)|(PRM\|1\|D)|(kpr)|(kdp)|(\|lc)|(penalty))" /e /r /s</v>
      </c>
      <c r="AG119" s="1" t="str">
        <f t="shared" si="51"/>
        <v>EC</v>
      </c>
      <c r="AH119" s="88" t="str">
        <f t="shared" si="37"/>
        <v>"%USERPROFILE%\Documents\GitHub\eaglep3\Utilities\RefineRTDCRunTimes.py" --tripid 208-05 --locoid 4004 --swversion DE.1.0.8.0 --startMP 204:232677 --initTime 2017-01-05T17:53:23 --startdatetime 2017-01-05T17:56:51 --delay 1 --endMP 204:143 --enddatetime 2017-01-05T18:44:17 --enforcementcount 0 &gt;&gt;C:\Users\stu\Documents\GitHub\eaglep3-reporting\EC\2017-01-05-refined-times.txt</v>
      </c>
      <c r="AI119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ID","value":"208-05"},{"id":16,"name":"Locomotive ID","value":"4004"},{"id":130,"name":"Impact","value":""},{"id":150,"name":"Time of Event (Mountain Time)","value":"18:44:17"},{"id":151,"name":"Denver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39"/>
        <v>start /low /b %USERPROFILE%\Documents\GitHub\eaglep3\Utilities\DownloadLogsFromS3.py --loco 4004 --day 2017-01-05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633</v>
      </c>
      <c r="B120" s="7">
        <v>4002</v>
      </c>
      <c r="C120" s="22" t="s">
        <v>203</v>
      </c>
      <c r="D120" s="22" t="s">
        <v>320</v>
      </c>
      <c r="E120" s="13">
        <v>42740.719502314816</v>
      </c>
      <c r="F120" s="13">
        <v>42740.720532407409</v>
      </c>
      <c r="G120" s="7">
        <v>1</v>
      </c>
      <c r="H120" s="22" t="s">
        <v>370</v>
      </c>
      <c r="I120" s="13">
        <v>42740.746319444443</v>
      </c>
      <c r="J120" s="7">
        <v>0</v>
      </c>
      <c r="K120" s="105" t="str">
        <f t="shared" si="40"/>
        <v>4001/4002</v>
      </c>
      <c r="L120" s="22" t="str">
        <f>VLOOKUP(A120,'Trips&amp;Operators'!$C$1:$G$99999,5,FALSE)</f>
        <v>CHANDLER KELVIN</v>
      </c>
      <c r="M120" s="6">
        <f t="shared" si="41"/>
        <v>2.5787037033296656E-2</v>
      </c>
      <c r="N120" s="7">
        <f t="shared" si="59"/>
        <v>37.133333327947184</v>
      </c>
      <c r="O120" s="7"/>
      <c r="P120" s="7"/>
      <c r="Q120" s="23"/>
      <c r="R120" s="23"/>
      <c r="S120" s="32">
        <f t="shared" si="58"/>
        <v>1</v>
      </c>
      <c r="T120" s="47" t="str">
        <f t="shared" si="42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16:16:05-700',mode:absolute,to:'2017-01-05 18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0" s="49" t="str">
        <f t="shared" si="44"/>
        <v>N</v>
      </c>
      <c r="X120" s="173">
        <f t="shared" si="56"/>
        <v>1</v>
      </c>
      <c r="Y120" s="64">
        <f t="shared" si="45"/>
        <v>4.7500000000000001E-2</v>
      </c>
      <c r="Z120" s="64">
        <f t="shared" si="46"/>
        <v>23.328800000000001</v>
      </c>
      <c r="AA120" s="64">
        <f t="shared" si="47"/>
        <v>23.281300000000002</v>
      </c>
      <c r="AB120" s="61" t="e">
        <f>VLOOKUP(A120,Enforcements!$C$7:$K$18,8,0)</f>
        <v>#N/A</v>
      </c>
      <c r="AC120" s="57" t="e">
        <f>VLOOKUP(A120,Enforcements!$C$7:$E$18,3,0)</f>
        <v>#N/A</v>
      </c>
      <c r="AD120" s="58" t="str">
        <f t="shared" si="48"/>
        <v>0209-05</v>
      </c>
      <c r="AE120" s="87" t="str">
        <f t="shared" si="49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120" s="84" t="str">
        <f t="shared" si="50"/>
        <v>"C:\Program Files (x86)\AstroGrep\AstroGrep.exe" /spath="%USERPROFILE%\AppData\Local\Temp\OnboardLogs" /stypes="app*4002*20170106*" /stext=" 00:.+((SYSTEM_STATE.+slice.+state.+changed )|(ment ac)|(multiple cpu faults)|(system.+state.+changed )|(\[timeout)|(PRM\|1\|D)|(kpr)|(kdp)|(\|lc)|(penalty))" /e /r /s</v>
      </c>
      <c r="AG120" s="1" t="str">
        <f t="shared" si="51"/>
        <v>EC</v>
      </c>
      <c r="AH120" s="88" t="str">
        <f t="shared" si="37"/>
        <v>"%USERPROFILE%\Documents\GitHub\eaglep3\Utilities\RefineRTDCRunTimes.py" --tripid 209-05 --locoid 4002 --swversion DE.1.0.8.0 --startMP 204:475 --initTime 2017-01-05T17:16:05 --startdatetime 2017-01-05T17:17:34 --delay 1 --endMP 204:233288 --enddatetime 2017-01-05T17:54:42 --enforcementcount 0 &gt;&gt;C:\Users\stu\Documents\GitHub\eaglep3-reporting\EC\2017-01-05-refined-times.txt</v>
      </c>
      <c r="AI12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{"issue":{"subject":"","project_id":79,"tracker_id":40,"status_id":1,"priority_id":2,"assigned_to_id":23,"start_date":"2017-01-05","description":"","custom_fields":[{"id":1,"name":"Subdivision","value":"EC"},{"id":4,"name":"Milepost","value":"23.3288"},{"id":17,"name":"Train ID","value":"209-05"},{"id":16,"name":"Locomotive ID","value":"4002"},{"id":130,"name":"Impact","value":""},{"id":150,"name":"Time of Event (Mountain Time)","value":"17:54:42"},{"id":151,"name":"Denver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39"/>
        <v>start /low /b %USERPROFILE%\Documents\GitHub\eaglep3\Utilities\DownloadLogsFromS3.py --loco 4002 --day 2017-01-05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645</v>
      </c>
      <c r="B121" s="7">
        <v>4001</v>
      </c>
      <c r="C121" s="22" t="s">
        <v>203</v>
      </c>
      <c r="D121" s="22" t="s">
        <v>428</v>
      </c>
      <c r="E121" s="13">
        <v>42740.756168981483</v>
      </c>
      <c r="F121" s="13">
        <v>42740.757962962962</v>
      </c>
      <c r="G121" s="7">
        <v>1</v>
      </c>
      <c r="H121" s="22" t="s">
        <v>372</v>
      </c>
      <c r="I121" s="13">
        <v>42740.786516203705</v>
      </c>
      <c r="J121" s="7">
        <v>0</v>
      </c>
      <c r="K121" s="105" t="str">
        <f t="shared" si="40"/>
        <v>4001/4002</v>
      </c>
      <c r="L121" s="22" t="str">
        <f>VLOOKUP(A121,'Trips&amp;Operators'!$C$1:$G$99999,5,FALSE)</f>
        <v>CHANDLER KELVIN</v>
      </c>
      <c r="M121" s="6">
        <f t="shared" si="41"/>
        <v>2.8553240743349306E-2</v>
      </c>
      <c r="N121" s="7">
        <f t="shared" si="59"/>
        <v>41.116666670423001</v>
      </c>
      <c r="O121" s="7"/>
      <c r="P121" s="7"/>
      <c r="Q121" s="23"/>
      <c r="R121" s="23"/>
      <c r="S121" s="32">
        <f t="shared" si="58"/>
        <v>1</v>
      </c>
      <c r="T121" s="47" t="str">
        <f t="shared" si="42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17:08:53-700',mode:absolute,to:'2017-01-05 19:52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1" s="49" t="str">
        <f t="shared" si="44"/>
        <v>N</v>
      </c>
      <c r="X121" s="173">
        <f t="shared" si="56"/>
        <v>1</v>
      </c>
      <c r="Y121" s="64">
        <f t="shared" si="45"/>
        <v>23.2957</v>
      </c>
      <c r="Z121" s="64">
        <f t="shared" si="46"/>
        <v>1.6899999999999998E-2</v>
      </c>
      <c r="AA121" s="64">
        <f t="shared" si="47"/>
        <v>23.2788</v>
      </c>
      <c r="AB121" s="61" t="e">
        <f>VLOOKUP(A121,Enforcements!$C$7:$K$18,8,0)</f>
        <v>#N/A</v>
      </c>
      <c r="AC121" s="57" t="e">
        <f>VLOOKUP(A121,Enforcements!$C$7:$E$18,3,0)</f>
        <v>#N/A</v>
      </c>
      <c r="AD121" s="58" t="str">
        <f t="shared" si="48"/>
        <v>0210-05</v>
      </c>
      <c r="AE121" s="87" t="str">
        <f t="shared" si="49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121" s="84" t="str">
        <f t="shared" si="50"/>
        <v>"C:\Program Files (x86)\AstroGrep\AstroGrep.exe" /spath="%USERPROFILE%\AppData\Local\Temp\OnboardLogs" /stypes="app*4001*20170106*" /stext=" 01:.+((SYSTEM_STATE.+slice.+state.+changed )|(ment ac)|(multiple cpu faults)|(system.+state.+changed )|(\[timeout)|(PRM\|1\|D)|(kpr)|(kdp)|(\|lc)|(penalty))" /e /r /s</v>
      </c>
      <c r="AG121" s="1" t="str">
        <f t="shared" si="51"/>
        <v>EC</v>
      </c>
      <c r="AH121" s="88" t="str">
        <f t="shared" si="37"/>
        <v>"%USERPROFILE%\Documents\GitHub\eaglep3\Utilities\RefineRTDCRunTimes.py" --tripid 210-05 --locoid 4001 --swversion DE.1.0.8.0 --startMP 204:232957 --initTime 2017-01-05T18:08:53 --startdatetime 2017-01-05T18:11:28 --delay 1 --endMP 204:169 --enddatetime 2017-01-05T18:52:35 --enforcementcount 0 &gt;&gt;C:\Users\stu\Documents\GitHub\eaglep3-reporting\EC\2017-01-05-refined-times.txt</v>
      </c>
      <c r="AI12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{"issue":{"subject":"","project_id":79,"tracker_id":40,"status_id":1,"priority_id":2,"assigned_to_id":23,"start_date":"2017-01-05","description":"","custom_fields":[{"id":1,"name":"Subdivision","value":"EC"},{"id":4,"name":"Milepost","value":"0.0169"},{"id":17,"name":"Train ID","value":"210-05"},{"id":16,"name":"Locomotive ID","value":"4001"},{"id":130,"name":"Impact","value":""},{"id":150,"name":"Time of Event (Mountain Time)","value":"18:52:35"},{"id":151,"name":"Denver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39"/>
        <v>start /low /b %USERPROFILE%\Documents\GitHub\eaglep3\Utilities\DownloadLogsFromS3.py --loco 4001 --day 2017-01-05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636</v>
      </c>
      <c r="B122" s="7">
        <v>4042</v>
      </c>
      <c r="C122" s="22" t="s">
        <v>203</v>
      </c>
      <c r="D122" s="22" t="s">
        <v>226</v>
      </c>
      <c r="E122" s="13">
        <v>42740.725682870368</v>
      </c>
      <c r="F122" s="13">
        <v>42740.72997685185</v>
      </c>
      <c r="G122" s="7">
        <v>1</v>
      </c>
      <c r="H122" s="22" t="s">
        <v>767</v>
      </c>
      <c r="I122" s="13">
        <v>42740.755520833336</v>
      </c>
      <c r="J122" s="7">
        <v>0</v>
      </c>
      <c r="K122" s="105" t="str">
        <f t="shared" si="40"/>
        <v>4041/4042</v>
      </c>
      <c r="L122" s="22" t="str">
        <f>VLOOKUP(A122,'Trips&amp;Operators'!$C$1:$G$99999,5,FALSE)</f>
        <v>MCREYNOLDS KYLE</v>
      </c>
      <c r="M122" s="6">
        <f t="shared" si="41"/>
        <v>2.5543981486407574E-2</v>
      </c>
      <c r="N122" s="7">
        <f t="shared" si="59"/>
        <v>36.783333340426907</v>
      </c>
      <c r="O122" s="7"/>
      <c r="P122" s="7"/>
      <c r="Q122" s="23"/>
      <c r="R122" s="23"/>
      <c r="S122" s="32">
        <f t="shared" si="58"/>
        <v>1</v>
      </c>
      <c r="T122" s="47" t="str">
        <f t="shared" si="42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16:24:59-700',mode:absolute,to:'2017-01-05 19:07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2" s="49" t="str">
        <f t="shared" si="44"/>
        <v>N</v>
      </c>
      <c r="X122" s="173">
        <f t="shared" si="56"/>
        <v>1</v>
      </c>
      <c r="Y122" s="64">
        <f t="shared" si="45"/>
        <v>4.5999999999999999E-2</v>
      </c>
      <c r="Z122" s="64">
        <f t="shared" si="46"/>
        <v>23.3264</v>
      </c>
      <c r="AA122" s="64">
        <f t="shared" si="47"/>
        <v>23.2804</v>
      </c>
      <c r="AB122" s="61" t="e">
        <f>VLOOKUP(A122,Enforcements!$C$7:$K$18,8,0)</f>
        <v>#N/A</v>
      </c>
      <c r="AC122" s="57" t="e">
        <f>VLOOKUP(A122,Enforcements!$C$7:$E$18,3,0)</f>
        <v>#N/A</v>
      </c>
      <c r="AD122" s="58" t="str">
        <f t="shared" si="48"/>
        <v>0211-05</v>
      </c>
      <c r="AE122" s="87" t="str">
        <f t="shared" si="49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122" s="84" t="str">
        <f t="shared" si="50"/>
        <v>"C:\Program Files (x86)\AstroGrep\AstroGrep.exe" /spath="%USERPROFILE%\AppData\Local\Temp\OnboardLogs" /stypes="app*4042*20170106*" /stext=" 01:.+((SYSTEM_STATE.+slice.+state.+changed )|(ment ac)|(multiple cpu faults)|(system.+state.+changed )|(\[timeout)|(PRM\|1\|D)|(kpr)|(kdp)|(\|lc)|(penalty))" /e /r /s</v>
      </c>
      <c r="AG122" s="1" t="str">
        <f t="shared" si="51"/>
        <v>EC</v>
      </c>
      <c r="AH122" s="88" t="str">
        <f t="shared" si="37"/>
        <v>"%USERPROFILE%\Documents\GitHub\eaglep3\Utilities\RefineRTDCRunTimes.py" --tripid 211-05 --locoid 4042 --swversion DE.1.0.8.0 --startMP 204:460 --initTime 2017-01-05T17:24:59 --startdatetime 2017-01-05T17:31:10 --delay 1 --endMP 204:233264 --enddatetime 2017-01-05T18:07:57 --enforcementcount 0 &gt;&gt;C:\Users\stu\Documents\GitHub\eaglep3-reporting\EC\2017-01-05-refined-times.txt</v>
      </c>
      <c r="AI12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{"issue":{"subject":"","project_id":79,"tracker_id":40,"status_id":1,"priority_id":2,"assigned_to_id":23,"start_date":"2017-01-05","description":"","custom_fields":[{"id":1,"name":"Subdivision","value":"EC"},{"id":4,"name":"Milepost","value":"23.3264"},{"id":17,"name":"Train ID","value":"211-05"},{"id":16,"name":"Locomotive ID","value":"4042"},{"id":130,"name":"Impact","value":""},{"id":150,"name":"Time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39"/>
        <v>start /low /b %USERPROFILE%\Documents\GitHub\eaglep3\Utilities\DownloadLogsFromS3.py --loco 4042 --day 2017-01-05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648</v>
      </c>
      <c r="B123" s="7">
        <v>4041</v>
      </c>
      <c r="C123" s="22" t="s">
        <v>203</v>
      </c>
      <c r="D123" s="22" t="s">
        <v>427</v>
      </c>
      <c r="E123" s="13">
        <v>42740.761053240742</v>
      </c>
      <c r="F123" s="13">
        <v>42740.768252314818</v>
      </c>
      <c r="G123" s="7">
        <v>2</v>
      </c>
      <c r="H123" s="22" t="s">
        <v>372</v>
      </c>
      <c r="I123" s="13">
        <v>42740.799375000002</v>
      </c>
      <c r="J123" s="7">
        <v>0</v>
      </c>
      <c r="K123" s="105" t="str">
        <f t="shared" si="40"/>
        <v>4041/4042</v>
      </c>
      <c r="L123" s="22" t="str">
        <f>VLOOKUP(A123,'Trips&amp;Operators'!$C$1:$G$99999,5,FALSE)</f>
        <v>MCREYNOLDS KYLE</v>
      </c>
      <c r="M123" s="6">
        <f t="shared" si="41"/>
        <v>3.1122685184527654E-2</v>
      </c>
      <c r="N123" s="7">
        <f t="shared" si="59"/>
        <v>44.816666665719822</v>
      </c>
      <c r="O123" s="7"/>
      <c r="P123" s="7"/>
      <c r="Q123" s="23"/>
      <c r="R123" s="23"/>
      <c r="S123" s="32">
        <f t="shared" si="58"/>
        <v>1</v>
      </c>
      <c r="T123" s="47" t="str">
        <f t="shared" si="42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17:15:55-700',mode:absolute,to:'2017-01-05 20:11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3" s="49" t="str">
        <f t="shared" si="44"/>
        <v>N</v>
      </c>
      <c r="X123" s="173">
        <f t="shared" si="56"/>
        <v>1</v>
      </c>
      <c r="Y123" s="64">
        <f t="shared" si="45"/>
        <v>23.296800000000001</v>
      </c>
      <c r="Z123" s="64">
        <f t="shared" si="46"/>
        <v>1.6899999999999998E-2</v>
      </c>
      <c r="AA123" s="64">
        <f t="shared" si="47"/>
        <v>23.279900000000001</v>
      </c>
      <c r="AB123" s="61" t="e">
        <f>VLOOKUP(A123,Enforcements!$C$7:$K$18,8,0)</f>
        <v>#N/A</v>
      </c>
      <c r="AC123" s="57" t="e">
        <f>VLOOKUP(A123,Enforcements!$C$7:$E$18,3,0)</f>
        <v>#N/A</v>
      </c>
      <c r="AD123" s="58" t="str">
        <f t="shared" si="48"/>
        <v>0212-05</v>
      </c>
      <c r="AE123" s="87" t="str">
        <f t="shared" si="49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123" s="84" t="str">
        <f t="shared" si="50"/>
        <v>"C:\Program Files (x86)\AstroGrep\AstroGrep.exe" /spath="%USERPROFILE%\AppData\Local\Temp\OnboardLogs" /stypes="app*4041*20170106*" /stext=" 02:.+((SYSTEM_STATE.+slice.+state.+changed )|(ment ac)|(multiple cpu faults)|(system.+state.+changed )|(\[timeout)|(PRM\|1\|D)|(kpr)|(kdp)|(\|lc)|(penalty))" /e /r /s</v>
      </c>
      <c r="AG123" s="1" t="str">
        <f t="shared" si="51"/>
        <v>EC</v>
      </c>
      <c r="AH123" s="88" t="str">
        <f t="shared" si="37"/>
        <v>"%USERPROFILE%\Documents\GitHub\eaglep3\Utilities\RefineRTDCRunTimes.py" --tripid 212-05 --locoid 4041 --swversion DE.1.0.8.0 --startMP 204:232968 --initTime 2017-01-05T18:15:55 --startdatetime 2017-01-05T18:26:17 --delay 2 --endMP 204:169 --enddatetime 2017-01-05T19:11:06 --enforcementcount 0 &gt;&gt;C:\Users\stu\Documents\GitHub\eaglep3-reporting\EC\2017-01-05-refined-times.txt</v>
      </c>
      <c r="AI12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{"issue":{"subject":"","project_id":79,"tracker_id":40,"status_id":1,"priority_id":2,"assigned_to_id":23,"start_date":"2017-01-05","description":"","custom_fields":[{"id":1,"name":"Subdivision","value":"EC"},{"id":4,"name":"Milepost","value":"0.0169"},{"id":17,"name":"Train ID","value":"212-05"},{"id":16,"name":"Locomotive ID","value":"4041"},{"id":130,"name":"Impact","value":""},{"id":150,"name":"Time of Event (Mountain Time)","value":"19:11:06"},{"id":151,"name":"Denver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39"/>
        <v>start /low /b %USERPROFILE%\Documents\GitHub\eaglep3\Utilities\DownloadLogsFromS3.py --loco 4041 --day 2017-01-05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640</v>
      </c>
      <c r="B124" s="7">
        <v>4022</v>
      </c>
      <c r="C124" s="22" t="s">
        <v>203</v>
      </c>
      <c r="D124" s="22" t="s">
        <v>419</v>
      </c>
      <c r="E124" s="13">
        <v>42740.737280092595</v>
      </c>
      <c r="F124" s="13">
        <v>42740.73978009259</v>
      </c>
      <c r="G124" s="7">
        <v>2</v>
      </c>
      <c r="H124" s="22" t="s">
        <v>728</v>
      </c>
      <c r="I124" s="13">
        <v>42740.764293981483</v>
      </c>
      <c r="J124" s="7">
        <v>0</v>
      </c>
      <c r="K124" s="105" t="str">
        <f t="shared" si="40"/>
        <v>4021/4022</v>
      </c>
      <c r="L124" s="22" t="str">
        <f>VLOOKUP(A124,'Trips&amp;Operators'!$C$1:$G$99999,5,FALSE)</f>
        <v>NEWELL JAMES</v>
      </c>
      <c r="M124" s="6">
        <f t="shared" si="41"/>
        <v>2.4513888893125113E-2</v>
      </c>
      <c r="N124" s="7">
        <f t="shared" si="59"/>
        <v>35.300000006100163</v>
      </c>
      <c r="O124" s="7"/>
      <c r="P124" s="7"/>
      <c r="Q124" s="23"/>
      <c r="R124" s="23"/>
      <c r="S124" s="32">
        <f t="shared" si="58"/>
        <v>1</v>
      </c>
      <c r="T124" s="47" t="str">
        <f t="shared" si="42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16:41:41-700',mode:absolute,to:'2017-01-05 19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4" s="49" t="str">
        <f t="shared" si="44"/>
        <v>N</v>
      </c>
      <c r="X124" s="173">
        <f t="shared" si="56"/>
        <v>1</v>
      </c>
      <c r="Y124" s="64">
        <f t="shared" si="45"/>
        <v>4.8800000000000003E-2</v>
      </c>
      <c r="Z124" s="64">
        <f t="shared" si="46"/>
        <v>23.331600000000002</v>
      </c>
      <c r="AA124" s="64">
        <f t="shared" si="47"/>
        <v>23.282800000000002</v>
      </c>
      <c r="AB124" s="61" t="e">
        <f>VLOOKUP(A124,Enforcements!$C$7:$K$18,8,0)</f>
        <v>#N/A</v>
      </c>
      <c r="AC124" s="57" t="e">
        <f>VLOOKUP(A124,Enforcements!$C$7:$E$18,3,0)</f>
        <v>#N/A</v>
      </c>
      <c r="AD124" s="58" t="str">
        <f t="shared" si="48"/>
        <v>0213-05</v>
      </c>
      <c r="AE124" s="87" t="str">
        <f t="shared" si="49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124" s="84" t="str">
        <f t="shared" si="50"/>
        <v>"C:\Program Files (x86)\AstroGrep\AstroGrep.exe" /spath="%USERPROFILE%\AppData\Local\Temp\OnboardLogs" /stypes="app*4022*20170106*" /stext=" 01:.+((SYSTEM_STATE.+slice.+state.+changed )|(ment ac)|(multiple cpu faults)|(system.+state.+changed )|(\[timeout)|(PRM\|1\|D)|(kpr)|(kdp)|(\|lc)|(penalty))" /e /r /s</v>
      </c>
      <c r="AG124" s="1" t="str">
        <f t="shared" si="51"/>
        <v>EC</v>
      </c>
      <c r="AH124" s="88" t="str">
        <f t="shared" si="37"/>
        <v>"%USERPROFILE%\Documents\GitHub\eaglep3\Utilities\RefineRTDCRunTimes.py" --tripid 213-05 --locoid 4022 --swversion DE.1.0.8.0 --startMP 204:488 --initTime 2017-01-05T17:41:41 --startdatetime 2017-01-05T17:45:17 --delay 2 --endMP 204:233316 --enddatetime 2017-01-05T18:20:35 --enforcementcount 0 &gt;&gt;C:\Users\stu\Documents\GitHub\eaglep3-reporting\EC\2017-01-05-refined-times.txt</v>
      </c>
      <c r="AI124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{"issue":{"subject":"","project_id":79,"tracker_id":40,"status_id":1,"priority_id":2,"assigned_to_id":23,"start_date":"2017-01-05","description":"","custom_fields":[{"id":1,"name":"Subdivision","value":"EC"},{"id":4,"name":"Milepost","value":"23.3316"},{"id":17,"name":"Train ID","value":"213-05"},{"id":16,"name":"Locomotive ID","value":"4022"},{"id":130,"name":"Impact","value":""},{"id":150,"name":"Time of Event (Mountain Time)","value":"18:20:35"},{"id":151,"name":"Denver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39"/>
        <v>start /low /b %USERPROFILE%\Documents\GitHub\eaglep3\Utilities\DownloadLogsFromS3.py --loco 4022 --day 2017-01-05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652</v>
      </c>
      <c r="B125" s="7">
        <v>4021</v>
      </c>
      <c r="C125" s="22" t="s">
        <v>203</v>
      </c>
      <c r="D125" s="22" t="s">
        <v>731</v>
      </c>
      <c r="E125" s="13">
        <v>42740.769884259258</v>
      </c>
      <c r="F125" s="13">
        <v>42740.778622685182</v>
      </c>
      <c r="G125" s="7">
        <v>1</v>
      </c>
      <c r="H125" s="22" t="s">
        <v>293</v>
      </c>
      <c r="I125" s="13">
        <v>42740.808993055558</v>
      </c>
      <c r="J125" s="7">
        <v>0</v>
      </c>
      <c r="K125" s="105" t="str">
        <f t="shared" si="40"/>
        <v>4021/4022</v>
      </c>
      <c r="L125" s="22" t="str">
        <f>VLOOKUP(A125,'Trips&amp;Operators'!$C$1:$G$99999,5,FALSE)</f>
        <v>NEWELL JAMES</v>
      </c>
      <c r="M125" s="6">
        <f t="shared" si="41"/>
        <v>3.0370370375749189E-2</v>
      </c>
      <c r="N125" s="7">
        <f t="shared" si="59"/>
        <v>43.733333341078833</v>
      </c>
      <c r="O125" s="7"/>
      <c r="P125" s="7"/>
      <c r="Q125" s="23"/>
      <c r="R125" s="23"/>
      <c r="S125" s="32">
        <f t="shared" si="58"/>
        <v>1</v>
      </c>
      <c r="T125" s="47" t="str">
        <f t="shared" si="42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17:28:38-700',mode:absolute,to:'2017-01-05 20:24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5" s="49" t="str">
        <f t="shared" si="44"/>
        <v>N</v>
      </c>
      <c r="X125" s="173">
        <f t="shared" ref="X125:X162" si="60">VALUE(LEFT(AD125,4))-VALUE(LEFT(AD124,4))</f>
        <v>1</v>
      </c>
      <c r="Y125" s="64">
        <f t="shared" si="45"/>
        <v>23.297499999999999</v>
      </c>
      <c r="Z125" s="64">
        <f t="shared" si="46"/>
        <v>1.5599999999999999E-2</v>
      </c>
      <c r="AA125" s="64">
        <f t="shared" si="47"/>
        <v>23.2819</v>
      </c>
      <c r="AB125" s="61" t="e">
        <f>VLOOKUP(A125,Enforcements!$C$7:$K$18,8,0)</f>
        <v>#N/A</v>
      </c>
      <c r="AC125" s="57" t="e">
        <f>VLOOKUP(A125,Enforcements!$C$7:$E$18,3,0)</f>
        <v>#N/A</v>
      </c>
      <c r="AD125" s="58" t="str">
        <f t="shared" si="48"/>
        <v>0214-05</v>
      </c>
      <c r="AE125" s="87" t="str">
        <f t="shared" si="49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125" s="84" t="str">
        <f t="shared" si="50"/>
        <v>"C:\Program Files (x86)\AstroGrep\AstroGrep.exe" /spath="%USERPROFILE%\AppData\Local\Temp\OnboardLogs" /stypes="app*4021*20170106*" /stext=" 02:.+((SYSTEM_STATE.+slice.+state.+changed )|(ment ac)|(multiple cpu faults)|(system.+state.+changed )|(\[timeout)|(PRM\|1\|D)|(kpr)|(kdp)|(\|lc)|(penalty))" /e /r /s</v>
      </c>
      <c r="AG125" s="1" t="str">
        <f t="shared" si="51"/>
        <v>EC</v>
      </c>
      <c r="AH125" s="88" t="str">
        <f t="shared" si="37"/>
        <v>"%USERPROFILE%\Documents\GitHub\eaglep3\Utilities\RefineRTDCRunTimes.py" --tripid 214-05 --locoid 4021 --swversion DE.1.0.8.0 --startMP 204:232975 --initTime 2017-01-05T18:28:38 --startdatetime 2017-01-05T18:41:13 --delay 1 --endMP 204:156 --enddatetime 2017-01-05T19:24:57 --enforcementcount 0 &gt;&gt;C:\Users\stu\Documents\GitHub\eaglep3-reporting\EC\2017-01-05-refined-times.txt</v>
      </c>
      <c r="AI12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{"issue":{"subject":"","project_id":79,"tracker_id":40,"status_id":1,"priority_id":2,"assigned_to_id":23,"start_date":"2017-01-05","description":"","custom_fields":[{"id":1,"name":"Subdivision","value":"EC"},{"id":4,"name":"Milepost","value":"0.0156"},{"id":17,"name":"Train ID","value":"214-05"},{"id":16,"name":"Locomotive ID","value":"4021"},{"id":130,"name":"Impact","value":""},{"id":150,"name":"Time of Event (Mountain Time)","value":"19:24:57"},{"id":151,"name":"Denver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39"/>
        <v>start /low /b %USERPROFILE%\Documents\GitHub\eaglep3\Utilities\DownloadLogsFromS3.py --loco 4021 --day 2017-01-05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4" t="s">
        <v>643</v>
      </c>
      <c r="B126" s="7">
        <v>4011</v>
      </c>
      <c r="C126" s="22" t="s">
        <v>203</v>
      </c>
      <c r="D126" s="22" t="s">
        <v>374</v>
      </c>
      <c r="E126" s="13">
        <v>42740.74800925926</v>
      </c>
      <c r="F126" s="13">
        <v>42740.750300925924</v>
      </c>
      <c r="G126" s="7">
        <v>1</v>
      </c>
      <c r="H126" s="22" t="s">
        <v>279</v>
      </c>
      <c r="I126" s="13">
        <v>42740.778344907405</v>
      </c>
      <c r="J126" s="7">
        <v>0</v>
      </c>
      <c r="K126" s="105" t="str">
        <f t="shared" si="40"/>
        <v>4011/4012</v>
      </c>
      <c r="L126" s="22" t="str">
        <f>VLOOKUP(A126,'Trips&amp;Operators'!$C$1:$G$99999,5,FALSE)</f>
        <v>SMITH MICHAEL</v>
      </c>
      <c r="M126" s="6">
        <f t="shared" si="41"/>
        <v>2.8043981481459923E-2</v>
      </c>
      <c r="N126" s="7">
        <f t="shared" si="59"/>
        <v>40.383333333302289</v>
      </c>
      <c r="O126" s="7"/>
      <c r="P126" s="7"/>
      <c r="Q126" s="23"/>
      <c r="R126" s="23"/>
      <c r="S126" s="32">
        <f t="shared" si="58"/>
        <v>1</v>
      </c>
      <c r="T126" s="47" t="str">
        <f t="shared" si="42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16:57:08-700',mode:absolute,to:'2017-01-05 19:40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6" s="49" t="str">
        <f t="shared" si="44"/>
        <v>N</v>
      </c>
      <c r="X126" s="173">
        <f t="shared" si="60"/>
        <v>1</v>
      </c>
      <c r="Y126" s="64">
        <f t="shared" si="45"/>
        <v>4.6600000000000003E-2</v>
      </c>
      <c r="Z126" s="64">
        <f t="shared" si="46"/>
        <v>23.33</v>
      </c>
      <c r="AA126" s="64">
        <f t="shared" si="47"/>
        <v>23.283399999999997</v>
      </c>
      <c r="AB126" s="61" t="e">
        <f>VLOOKUP(A126,Enforcements!$C$7:$K$18,8,0)</f>
        <v>#N/A</v>
      </c>
      <c r="AC126" s="57" t="e">
        <f>VLOOKUP(A126,Enforcements!$C$7:$E$18,3,0)</f>
        <v>#N/A</v>
      </c>
      <c r="AD126" s="58" t="str">
        <f t="shared" si="48"/>
        <v>0215-05</v>
      </c>
      <c r="AE126" s="87" t="str">
        <f t="shared" si="49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126" s="84" t="str">
        <f t="shared" si="50"/>
        <v>"C:\Program Files (x86)\AstroGrep\AstroGrep.exe" /spath="%USERPROFILE%\AppData\Local\Temp\OnboardLogs" /stypes="app*4011*20170106*" /stext=" 01:.+((SYSTEM_STATE.+slice.+state.+changed )|(ment ac)|(multiple cpu faults)|(system.+state.+changed )|(\[timeout)|(PRM\|1\|D)|(kpr)|(kdp)|(\|lc)|(penalty))" /e /r /s</v>
      </c>
      <c r="AG126" s="1" t="str">
        <f t="shared" si="51"/>
        <v>EC</v>
      </c>
      <c r="AH126" s="88" t="str">
        <f t="shared" si="37"/>
        <v>"%USERPROFILE%\Documents\GitHub\eaglep3\Utilities\RefineRTDCRunTimes.py" --tripid 215-05 --locoid 4011 --swversion DE.1.0.8.0 --startMP 204:466 --initTime 2017-01-05T17:57:08 --startdatetime 2017-01-05T18:00:26 --delay 1 --endMP 204:233300 --enddatetime 2017-01-05T18:40:49 --enforcementcount 0 &gt;&gt;C:\Users\stu\Documents\GitHub\eaglep3-reporting\EC\2017-01-05-refined-times.txt</v>
      </c>
      <c r="AI12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{"issue":{"subject":"","project_id":79,"tracker_id":40,"status_id":1,"priority_id":2,"assigned_to_id":23,"start_date":"2017-01-05","description":"","custom_fields":[{"id":1,"name":"Subdivision","value":"EC"},{"id":4,"name":"Milepost","value":"23.33"},{"id":17,"name":"Train ID","value":"215-05"},{"id":16,"name":"Locomotive ID","value":"4011"},{"id":130,"name":"Impact","value":""},{"id":150,"name":"Time of Event (Mountain Time)","value":"18:40:49"},{"id":151,"name":"Denver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39"/>
        <v>start /low /b %USERPROFILE%\Documents\GitHub\eaglep3\Utilities\DownloadLogsFromS3.py --loco 4011 --day 2017-01-05</v>
      </c>
    </row>
    <row r="127" spans="1:91" s="21" customFormat="1" x14ac:dyDescent="0.25">
      <c r="A127" s="34" t="s">
        <v>655</v>
      </c>
      <c r="B127" s="7">
        <v>4012</v>
      </c>
      <c r="C127" s="22" t="s">
        <v>203</v>
      </c>
      <c r="D127" s="22" t="s">
        <v>768</v>
      </c>
      <c r="E127" s="13">
        <v>42740.781215277777</v>
      </c>
      <c r="F127" s="13">
        <v>42740.789224537039</v>
      </c>
      <c r="G127" s="7">
        <v>1</v>
      </c>
      <c r="H127" s="22" t="s">
        <v>209</v>
      </c>
      <c r="I127" s="13">
        <v>42740.815810185188</v>
      </c>
      <c r="J127" s="7">
        <v>0</v>
      </c>
      <c r="K127" s="105" t="str">
        <f t="shared" si="40"/>
        <v>4011/4012</v>
      </c>
      <c r="L127" s="22" t="str">
        <f>VLOOKUP(A127,'Trips&amp;Operators'!$C$1:$G$99999,5,FALSE)</f>
        <v>SMITH MICHAEL</v>
      </c>
      <c r="M127" s="6">
        <f t="shared" si="41"/>
        <v>2.658564814919373E-2</v>
      </c>
      <c r="N127" s="7">
        <f t="shared" si="59"/>
        <v>38.283333334838971</v>
      </c>
      <c r="O127" s="7"/>
      <c r="P127" s="7"/>
      <c r="Q127" s="23"/>
      <c r="R127" s="23"/>
      <c r="S127" s="32">
        <f t="shared" si="58"/>
        <v>1</v>
      </c>
      <c r="T127" s="47" t="str">
        <f t="shared" si="42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17:44:57-700',mode:absolute,to:'2017-01-05 20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7" s="49" t="str">
        <f t="shared" si="44"/>
        <v>N</v>
      </c>
      <c r="X127" s="173">
        <f t="shared" si="60"/>
        <v>1</v>
      </c>
      <c r="Y127" s="64">
        <f t="shared" si="45"/>
        <v>23.297599999999999</v>
      </c>
      <c r="Z127" s="64">
        <f t="shared" si="46"/>
        <v>1.4999999999999999E-2</v>
      </c>
      <c r="AA127" s="64">
        <f t="shared" si="47"/>
        <v>23.282599999999999</v>
      </c>
      <c r="AB127" s="61" t="e">
        <f>VLOOKUP(A127,Enforcements!$C$7:$K$18,8,0)</f>
        <v>#N/A</v>
      </c>
      <c r="AC127" s="57" t="e">
        <f>VLOOKUP(A127,Enforcements!$C$7:$E$18,3,0)</f>
        <v>#N/A</v>
      </c>
      <c r="AD127" s="58" t="str">
        <f t="shared" si="48"/>
        <v>0216-05</v>
      </c>
      <c r="AE127" s="87" t="str">
        <f t="shared" si="49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127" s="84" t="str">
        <f t="shared" si="50"/>
        <v>"C:\Program Files (x86)\AstroGrep\AstroGrep.exe" /spath="%USERPROFILE%\AppData\Local\Temp\OnboardLogs" /stypes="app*4012*20170106*" /stext=" 02:.+((SYSTEM_STATE.+slice.+state.+changed )|(ment ac)|(multiple cpu faults)|(system.+state.+changed )|(\[timeout)|(PRM\|1\|D)|(kpr)|(kdp)|(\|lc)|(penalty))" /e /r /s</v>
      </c>
      <c r="AG127" s="1" t="str">
        <f t="shared" si="51"/>
        <v>EC</v>
      </c>
      <c r="AH127" s="88" t="str">
        <f t="shared" si="37"/>
        <v>"%USERPROFILE%\Documents\GitHub\eaglep3\Utilities\RefineRTDCRunTimes.py" --tripid 216-05 --locoid 4012 --swversion DE.1.0.8.0 --startMP 204:232976 --initTime 2017-01-05T18:44:57 --startdatetime 2017-01-05T18:56:29 --delay 1 --endMP 204:150 --enddatetime 2017-01-05T19:34:46 --enforcementcount 0 &gt;&gt;C:\Users\stu\Documents\GitHub\eaglep3-reporting\EC\2017-01-05-refined-times.txt</v>
      </c>
      <c r="AI12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ID","value":"216-05"},{"id":16,"name":"Locomotive ID","value":"4012"},{"id":130,"name":"Impact","value":""},{"id":150,"name":"Time of Event (Mountain Time)","value":"19:34:46"},{"id":151,"name":"Denver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39"/>
        <v>start /low /b %USERPROFILE%\Documents\GitHub\eaglep3\Utilities\DownloadLogsFromS3.py --loco 4012 --day 2017-01-05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647</v>
      </c>
      <c r="B128" s="7">
        <v>4046</v>
      </c>
      <c r="C128" s="22" t="s">
        <v>203</v>
      </c>
      <c r="D128" s="22" t="s">
        <v>320</v>
      </c>
      <c r="E128" s="13">
        <v>42740.759201388886</v>
      </c>
      <c r="F128" s="13">
        <v>42740.762175925927</v>
      </c>
      <c r="G128" s="7">
        <v>1</v>
      </c>
      <c r="H128" s="22" t="s">
        <v>753</v>
      </c>
      <c r="I128" s="13">
        <v>42740.789317129631</v>
      </c>
      <c r="J128" s="7">
        <v>0</v>
      </c>
      <c r="K128" s="105" t="str">
        <f t="shared" si="40"/>
        <v>4045/4046</v>
      </c>
      <c r="L128" s="22" t="str">
        <f>VLOOKUP(A128,'Trips&amp;Operators'!$C$1:$G$99999,5,FALSE)</f>
        <v>BROWN JACOB</v>
      </c>
      <c r="M128" s="6">
        <f t="shared" si="41"/>
        <v>2.7141203703649808E-2</v>
      </c>
      <c r="N128" s="7">
        <f t="shared" si="59"/>
        <v>39.083333333255723</v>
      </c>
      <c r="O128" s="7"/>
      <c r="P128" s="7"/>
      <c r="Q128" s="23"/>
      <c r="R128" s="23"/>
      <c r="S128" s="32">
        <f t="shared" si="58"/>
        <v>1</v>
      </c>
      <c r="T128" s="47" t="str">
        <f t="shared" si="42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17:13:15-700',mode:absolute,to:'2017-01-05 19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8" s="49" t="str">
        <f t="shared" si="44"/>
        <v>N</v>
      </c>
      <c r="X128" s="173">
        <f t="shared" si="60"/>
        <v>1</v>
      </c>
      <c r="Y128" s="64">
        <f t="shared" si="45"/>
        <v>4.7500000000000001E-2</v>
      </c>
      <c r="Z128" s="64">
        <f t="shared" si="46"/>
        <v>23.3324</v>
      </c>
      <c r="AA128" s="64">
        <f t="shared" si="47"/>
        <v>23.2849</v>
      </c>
      <c r="AB128" s="61" t="e">
        <f>VLOOKUP(A128,Enforcements!$C$7:$K$18,8,0)</f>
        <v>#N/A</v>
      </c>
      <c r="AC128" s="57" t="e">
        <f>VLOOKUP(A128,Enforcements!$C$7:$E$18,3,0)</f>
        <v>#N/A</v>
      </c>
      <c r="AD128" s="58" t="str">
        <f t="shared" si="48"/>
        <v>0217-05</v>
      </c>
      <c r="AE128" s="87" t="str">
        <f t="shared" si="49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128" s="84" t="str">
        <f t="shared" si="50"/>
        <v>"C:\Program Files (x86)\AstroGrep\AstroGrep.exe" /spath="%USERPROFILE%\AppData\Local\Temp\OnboardLogs" /stypes="app*4046*20170106*" /stext=" 01:.+((SYSTEM_STATE.+slice.+state.+changed )|(ment ac)|(multiple cpu faults)|(system.+state.+changed )|(\[timeout)|(PRM\|1\|D)|(kpr)|(kdp)|(\|lc)|(penalty))" /e /r /s</v>
      </c>
      <c r="AG128" s="1" t="str">
        <f t="shared" si="51"/>
        <v>EC</v>
      </c>
      <c r="AH128" s="88" t="str">
        <f t="shared" si="37"/>
        <v>"%USERPROFILE%\Documents\GitHub\eaglep3\Utilities\RefineRTDCRunTimes.py" --tripid 217-05 --locoid 4046 --swversion DE.1.0.8.0 --startMP 204:475 --initTime 2017-01-05T18:13:15 --startdatetime 2017-01-05T18:17:32 --delay 1 --endMP 204:233324 --enddatetime 2017-01-05T18:56:37 --enforcementcount 0 &gt;&gt;C:\Users\stu\Documents\GitHub\eaglep3-reporting\EC\2017-01-05-refined-times.txt</v>
      </c>
      <c r="AI12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{"issue":{"subject":"","project_id":79,"tracker_id":40,"status_id":1,"priority_id":2,"assigned_to_id":23,"start_date":"2017-01-05","description":"","custom_fields":[{"id":1,"name":"Subdivision","value":"EC"},{"id":4,"name":"Milepost","value":"23.3324"},{"id":17,"name":"Train ID","value":"217-05"},{"id":16,"name":"Locomotive ID","value":"4046"},{"id":130,"name":"Impact","value":""},{"id":150,"name":"Time of Event (Mountain Time)","value":"18:56:37"},{"id":151,"name":"Denver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39"/>
        <v>start /low /b %USERPROFILE%\Documents\GitHub\eaglep3\Utilities\DownloadLogsFromS3.py --loco 4046 --day 2017-01-05</v>
      </c>
    </row>
    <row r="129" spans="1:91" s="21" customFormat="1" x14ac:dyDescent="0.25">
      <c r="A129" s="34" t="s">
        <v>659</v>
      </c>
      <c r="B129" s="7">
        <v>4045</v>
      </c>
      <c r="C129" s="22" t="s">
        <v>203</v>
      </c>
      <c r="D129" s="22" t="s">
        <v>716</v>
      </c>
      <c r="E129" s="13">
        <v>42740.794398148151</v>
      </c>
      <c r="F129" s="13">
        <v>42740.799479166664</v>
      </c>
      <c r="G129" s="7">
        <v>7</v>
      </c>
      <c r="H129" s="22" t="s">
        <v>192</v>
      </c>
      <c r="I129" s="13">
        <v>42740.826678240737</v>
      </c>
      <c r="J129" s="7">
        <v>0</v>
      </c>
      <c r="K129" s="105" t="str">
        <f t="shared" si="40"/>
        <v>4045/4046</v>
      </c>
      <c r="L129" s="22" t="str">
        <f>VLOOKUP(A129,'Trips&amp;Operators'!$C$1:$G$99999,5,FALSE)</f>
        <v>BROWN JACOB</v>
      </c>
      <c r="M129" s="6">
        <f t="shared" si="41"/>
        <v>2.7199074072996154E-2</v>
      </c>
      <c r="N129" s="7">
        <f t="shared" si="59"/>
        <v>39.166666665114462</v>
      </c>
      <c r="O129" s="7"/>
      <c r="P129" s="7"/>
      <c r="Q129" s="23"/>
      <c r="R129" s="23"/>
      <c r="S129" s="32">
        <f t="shared" si="58"/>
        <v>1</v>
      </c>
      <c r="T129" s="47" t="str">
        <f t="shared" si="42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18:03:56-700',mode:absolute,to:'2017-01-05 20:50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9" s="49" t="str">
        <f t="shared" si="44"/>
        <v>N</v>
      </c>
      <c r="X129" s="173">
        <f t="shared" si="60"/>
        <v>1</v>
      </c>
      <c r="Y129" s="64">
        <f t="shared" si="45"/>
        <v>23.299399999999999</v>
      </c>
      <c r="Z129" s="64">
        <f t="shared" si="46"/>
        <v>1.43E-2</v>
      </c>
      <c r="AA129" s="64">
        <f t="shared" si="47"/>
        <v>23.2851</v>
      </c>
      <c r="AB129" s="61" t="e">
        <f>VLOOKUP(A129,Enforcements!$C$7:$K$18,8,0)</f>
        <v>#N/A</v>
      </c>
      <c r="AC129" s="57" t="e">
        <f>VLOOKUP(A129,Enforcements!$C$7:$E$18,3,0)</f>
        <v>#N/A</v>
      </c>
      <c r="AD129" s="58" t="str">
        <f t="shared" si="48"/>
        <v>0218-05</v>
      </c>
      <c r="AE129" s="87" t="str">
        <f t="shared" si="49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29" s="84" t="str">
        <f t="shared" si="50"/>
        <v>"C:\Program Files (x86)\AstroGrep\AstroGrep.exe" /spath="%USERPROFILE%\AppData\Local\Temp\OnboardLogs" /stypes="app*4045*20170106*" /stext=" 02:.+((SYSTEM_STATE.+slice.+state.+changed )|(ment ac)|(multiple cpu faults)|(system.+state.+changed )|(\[timeout)|(PRM\|1\|D)|(kpr)|(kdp)|(\|lc)|(penalty))" /e /r /s</v>
      </c>
      <c r="AG129" s="1" t="str">
        <f t="shared" si="51"/>
        <v>EC</v>
      </c>
      <c r="AH129" s="88" t="str">
        <f t="shared" si="37"/>
        <v>"%USERPROFILE%\Documents\GitHub\eaglep3\Utilities\RefineRTDCRunTimes.py" --tripid 218-05 --locoid 4045 --swversion DE.1.0.8.0 --startMP 204:232994 --initTime 2017-01-05T19:03:56 --startdatetime 2017-01-05T19:11:15 --delay 7 --endMP 204:143 --enddatetime 2017-01-05T19:50:25 --enforcementcount 0 &gt;&gt;C:\Users\stu\Documents\GitHub\eaglep3-reporting\EC\2017-01-05-refined-times.txt</v>
      </c>
      <c r="AI129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ID","value":"218-05"},{"id":16,"name":"Locomotive ID","value":"4045"},{"id":130,"name":"Impact","value":""},{"id":150,"name":"Time of Event (Mountain Time)","value":"19:50:25"},{"id":151,"name":"Denver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39"/>
        <v>start /low /b %USERPROFILE%\Documents\GitHub\eaglep3\Utilities\DownloadLogsFromS3.py --loco 4045 --day 2017-01-05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651</v>
      </c>
      <c r="B130" s="7">
        <v>4007</v>
      </c>
      <c r="C130" s="22" t="s">
        <v>203</v>
      </c>
      <c r="D130" s="22" t="s">
        <v>307</v>
      </c>
      <c r="E130" s="13">
        <v>42740.769629629627</v>
      </c>
      <c r="F130" s="13">
        <v>42740.772881944446</v>
      </c>
      <c r="G130" s="7">
        <v>4</v>
      </c>
      <c r="H130" s="22" t="s">
        <v>769</v>
      </c>
      <c r="I130" s="13">
        <v>42740.80296296296</v>
      </c>
      <c r="J130" s="7">
        <v>0</v>
      </c>
      <c r="K130" s="105" t="str">
        <f t="shared" si="40"/>
        <v>4007/4008</v>
      </c>
      <c r="L130" s="22" t="str">
        <f>VLOOKUP(A130,'Trips&amp;Operators'!$C$1:$G$99999,5,FALSE)</f>
        <v>HILLS DUSTIN</v>
      </c>
      <c r="M130" s="6">
        <f t="shared" si="41"/>
        <v>3.0081018514465541E-2</v>
      </c>
      <c r="N130" s="7">
        <f t="shared" si="59"/>
        <v>43.316666660830379</v>
      </c>
      <c r="O130" s="7"/>
      <c r="P130" s="7"/>
      <c r="Q130" s="23"/>
      <c r="R130" s="23"/>
      <c r="S130" s="32">
        <f t="shared" si="58"/>
        <v>1</v>
      </c>
      <c r="T130" s="47" t="str">
        <f t="shared" si="42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17:28:16-700',mode:absolute,to:'2017-01-05 20:16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0" s="49" t="str">
        <f t="shared" si="44"/>
        <v>N</v>
      </c>
      <c r="X130" s="173">
        <f t="shared" si="60"/>
        <v>1</v>
      </c>
      <c r="Y130" s="64">
        <f t="shared" si="45"/>
        <v>4.6699999999999998E-2</v>
      </c>
      <c r="Z130" s="64">
        <f t="shared" si="46"/>
        <v>23.335699999999999</v>
      </c>
      <c r="AA130" s="64">
        <f t="shared" si="47"/>
        <v>23.288999999999998</v>
      </c>
      <c r="AB130" s="61" t="e">
        <f>VLOOKUP(A130,Enforcements!$C$7:$K$18,8,0)</f>
        <v>#N/A</v>
      </c>
      <c r="AC130" s="57" t="e">
        <f>VLOOKUP(A130,Enforcements!$C$7:$E$18,3,0)</f>
        <v>#N/A</v>
      </c>
      <c r="AD130" s="58" t="str">
        <f t="shared" si="48"/>
        <v>0219-05</v>
      </c>
      <c r="AE130" s="87" t="str">
        <f t="shared" si="49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130" s="84" t="str">
        <f t="shared" si="50"/>
        <v>"C:\Program Files (x86)\AstroGrep\AstroGrep.exe" /spath="%USERPROFILE%\AppData\Local\Temp\OnboardLogs" /stypes="app*4007*20170106*" /stext=" 02:.+((SYSTEM_STATE.+slice.+state.+changed )|(ment ac)|(multiple cpu faults)|(system.+state.+changed )|(\[timeout)|(PRM\|1\|D)|(kpr)|(kdp)|(\|lc)|(penalty))" /e /r /s</v>
      </c>
      <c r="AG130" s="1" t="str">
        <f t="shared" si="51"/>
        <v>EC</v>
      </c>
      <c r="AH130" s="88" t="str">
        <f t="shared" si="37"/>
        <v>"%USERPROFILE%\Documents\GitHub\eaglep3\Utilities\RefineRTDCRunTimes.py" --tripid 219-05 --locoid 4007 --swversion DE.1.0.8.0 --startMP 204:467 --initTime 2017-01-05T18:28:16 --startdatetime 2017-01-05T18:32:57 --delay 4 --endMP 204:233357 --enddatetime 2017-01-05T19:16:16 --enforcementcount 0 &gt;&gt;C:\Users\stu\Documents\GitHub\eaglep3-reporting\EC\2017-01-05-refined-times.txt</v>
      </c>
      <c r="AI13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{"issue":{"subject":"","project_id":79,"tracker_id":40,"status_id":1,"priority_id":2,"assigned_to_id":23,"start_date":"2017-01-05","description":"","custom_fields":[{"id":1,"name":"Subdivision","value":"EC"},{"id":4,"name":"Milepost","value":"23.3357"},{"id":17,"name":"Train ID","value":"219-05"},{"id":16,"name":"Locomotive ID","value":"4007"},{"id":130,"name":"Impact","value":""},{"id":150,"name":"Time of Event (Mountain Time)","value":"19:16:16"},{"id":151,"name":"Denver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39"/>
        <v>start /low /b %USERPROFILE%\Documents\GitHub\eaglep3\Utilities\DownloadLogsFromS3.py --loco 4007 --day 2017-01-05</v>
      </c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485</v>
      </c>
      <c r="B131" s="7">
        <v>4008</v>
      </c>
      <c r="C131" s="22" t="s">
        <v>203</v>
      </c>
      <c r="D131" s="22" t="s">
        <v>770</v>
      </c>
      <c r="E131" s="13">
        <v>42740.808310185188</v>
      </c>
      <c r="F131" s="13">
        <v>42740.810636574075</v>
      </c>
      <c r="G131" s="7">
        <v>1</v>
      </c>
      <c r="H131" s="22" t="s">
        <v>771</v>
      </c>
      <c r="I131" s="13">
        <v>42740.837002314816</v>
      </c>
      <c r="J131" s="7">
        <v>0</v>
      </c>
      <c r="K131" s="105" t="str">
        <f t="shared" si="40"/>
        <v>4007/4008</v>
      </c>
      <c r="L131" s="22" t="str">
        <f>VLOOKUP(A131,'Trips&amp;Operators'!$C$1:$G$99999,5,FALSE)</f>
        <v>HILLS DUSTIN</v>
      </c>
      <c r="M131" s="6">
        <f t="shared" si="41"/>
        <v>2.6365740741312038E-2</v>
      </c>
      <c r="N131" s="7">
        <f t="shared" si="59"/>
        <v>37.966666667489335</v>
      </c>
      <c r="O131" s="7"/>
      <c r="P131" s="7"/>
      <c r="Q131" s="23"/>
      <c r="R131" s="23"/>
      <c r="S131" s="32">
        <f t="shared" si="58"/>
        <v>1</v>
      </c>
      <c r="T131" s="47" t="str">
        <f t="shared" si="42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18:23:58-700',mode:absolute,to:'2017-01-05 21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1" s="49" t="str">
        <f t="shared" si="44"/>
        <v>N</v>
      </c>
      <c r="X131" s="173">
        <f t="shared" si="60"/>
        <v>1</v>
      </c>
      <c r="Y131" s="64">
        <f t="shared" si="45"/>
        <v>23.301500000000001</v>
      </c>
      <c r="Z131" s="64">
        <f t="shared" si="46"/>
        <v>1.4E-2</v>
      </c>
      <c r="AA131" s="64">
        <f t="shared" si="47"/>
        <v>23.287500000000001</v>
      </c>
      <c r="AB131" s="61" t="str">
        <f>VLOOKUP(A131,Enforcements!$C$7:$K$18,8,0)</f>
        <v>Form based authority (4)</v>
      </c>
      <c r="AC131" s="57" t="str">
        <f>VLOOKUP(A131,Enforcements!$C$7:$E$18,3,0)</f>
        <v>TRACK WARRANT AUTHORITY</v>
      </c>
      <c r="AD131" s="58" t="str">
        <f t="shared" si="48"/>
        <v>0220-05</v>
      </c>
      <c r="AE131" s="87" t="str">
        <f t="shared" si="49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131" s="84" t="str">
        <f t="shared" si="50"/>
        <v>"C:\Program Files (x86)\AstroGrep\AstroGrep.exe" /spath="%USERPROFILE%\AppData\Local\Temp\OnboardLogs" /stypes="app*4008*20170106*" /stext=" 03:.+((SYSTEM_STATE.+slice.+state.+changed )|(ment ac)|(multiple cpu faults)|(system.+state.+changed )|(\[timeout)|(PRM\|1\|D)|(kpr)|(kdp)|(\|lc)|(penalty))" /e /r /s</v>
      </c>
      <c r="AG131" s="1" t="str">
        <f t="shared" si="51"/>
        <v>EC</v>
      </c>
      <c r="AH131" s="88" t="str">
        <f t="shared" si="37"/>
        <v>"%USERPROFILE%\Documents\GitHub\eaglep3\Utilities\RefineRTDCRunTimes.py" --tripid 220-05 --locoid 4008 --swversion DE.1.0.8.0 --startMP 204:233015 --initTime 2017-01-05T19:23:58 --startdatetime 2017-01-05T19:27:19 --delay 1 --endMP 204:140 --enddatetime 2017-01-05T20:05:17 --enforcementcount 0 &gt;&gt;C:\Users\stu\Documents\GitHub\eaglep3-reporting\EC\2017-01-05-refined-times.txt</v>
      </c>
      <c r="AI13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{"issue":{"subject":"","project_id":79,"tracker_id":40,"status_id":1,"priority_id":2,"assigned_to_id":23,"start_date":"2017-01-05","description":"","custom_fields":[{"id":1,"name":"Subdivision","value":"EC"},{"id":4,"name":"Milepost","value":"0.014"},{"id":17,"name":"Train ID","value":"220-05"},{"id":16,"name":"Locomotive ID","value":"4008"},{"id":130,"name":"Impact","value":""},{"id":150,"name":"Time of Event (Mountain Time)","value":"20:05:17"},{"id":151,"name":"Denver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39"/>
        <v>start /low /b %USERPROFILE%\Documents\GitHub\eaglep3\Utilities\DownloadLogsFromS3.py --loco 4008 --day 2017-01-05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657</v>
      </c>
      <c r="B132" s="7">
        <v>4002</v>
      </c>
      <c r="C132" s="22" t="s">
        <v>203</v>
      </c>
      <c r="D132" s="22" t="s">
        <v>194</v>
      </c>
      <c r="E132" s="13">
        <v>42740.789918981478</v>
      </c>
      <c r="F132" s="13">
        <v>42740.791909722226</v>
      </c>
      <c r="G132" s="7">
        <v>1</v>
      </c>
      <c r="H132" s="22" t="s">
        <v>337</v>
      </c>
      <c r="I132" s="13">
        <v>42740.817442129628</v>
      </c>
      <c r="J132" s="7">
        <v>0</v>
      </c>
      <c r="K132" s="105" t="str">
        <f t="shared" si="40"/>
        <v>4001/4002</v>
      </c>
      <c r="L132" s="22" t="str">
        <f>VLOOKUP(A132,'Trips&amp;Operators'!$C$1:$G$99999,5,FALSE)</f>
        <v>CHANDLER KELVIN</v>
      </c>
      <c r="M132" s="6">
        <f t="shared" si="41"/>
        <v>2.5532407402351964E-2</v>
      </c>
      <c r="N132" s="7">
        <f t="shared" si="59"/>
        <v>36.766666659386829</v>
      </c>
      <c r="O132" s="7"/>
      <c r="P132" s="7"/>
      <c r="Q132" s="23"/>
      <c r="R132" s="23"/>
      <c r="S132" s="32">
        <f t="shared" si="58"/>
        <v>1</v>
      </c>
      <c r="T132" s="47" t="str">
        <f t="shared" si="42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17:57:29-700',mode:absolute,to:'2017-01-05 20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2" s="49" t="str">
        <f t="shared" si="44"/>
        <v>N</v>
      </c>
      <c r="X132" s="173">
        <f t="shared" si="60"/>
        <v>1</v>
      </c>
      <c r="Y132" s="64">
        <f t="shared" si="45"/>
        <v>4.5100000000000001E-2</v>
      </c>
      <c r="Z132" s="64">
        <f t="shared" si="46"/>
        <v>23.329499999999999</v>
      </c>
      <c r="AA132" s="64">
        <f t="shared" si="47"/>
        <v>23.284399999999998</v>
      </c>
      <c r="AB132" s="61" t="e">
        <f>VLOOKUP(A132,Enforcements!$C$7:$K$18,8,0)</f>
        <v>#N/A</v>
      </c>
      <c r="AC132" s="57" t="e">
        <f>VLOOKUP(A132,Enforcements!$C$7:$E$18,3,0)</f>
        <v>#N/A</v>
      </c>
      <c r="AD132" s="58" t="str">
        <f t="shared" si="48"/>
        <v>0221-05</v>
      </c>
      <c r="AE132" s="87" t="str">
        <f t="shared" si="49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132" s="84" t="str">
        <f t="shared" si="50"/>
        <v>"C:\Program Files (x86)\AstroGrep\AstroGrep.exe" /spath="%USERPROFILE%\AppData\Local\Temp\OnboardLogs" /stypes="app*4002*20170106*" /stext=" 02:.+((SYSTEM_STATE.+slice.+state.+changed )|(ment ac)|(multiple cpu faults)|(system.+state.+changed )|(\[timeout)|(PRM\|1\|D)|(kpr)|(kdp)|(\|lc)|(penalty))" /e /r /s</v>
      </c>
      <c r="AG132" s="1" t="str">
        <f t="shared" si="51"/>
        <v>EC</v>
      </c>
      <c r="AH132" s="88" t="str">
        <f t="shared" si="37"/>
        <v>"%USERPROFILE%\Documents\GitHub\eaglep3\Utilities\RefineRTDCRunTimes.py" --tripid 221-05 --locoid 4002 --swversion DE.1.0.8.0 --startMP 204:451 --initTime 2017-01-05T18:57:29 --startdatetime 2017-01-05T19:00:21 --delay 1 --endMP 204:233295 --enddatetime 2017-01-05T19:37:07 --enforcementcount 0 &gt;&gt;C:\Users\stu\Documents\GitHub\eaglep3-reporting\EC\2017-01-05-refined-times.txt</v>
      </c>
      <c r="AI13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{"issue":{"subject":"","project_id":79,"tracker_id":40,"status_id":1,"priority_id":2,"assigned_to_id":23,"start_date":"2017-01-05","description":"","custom_fields":[{"id":1,"name":"Subdivision","value":"EC"},{"id":4,"name":"Milepost","value":"23.3295"},{"id":17,"name":"Train ID","value":"221-05"},{"id":16,"name":"Locomotive ID","value":"4002"},{"id":130,"name":"Impact","value":""},{"id":150,"name":"Time of Event (Mountain Time)","value":"19:37:07"},{"id":151,"name":"Denver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39"/>
        <v>start /low /b %USERPROFILE%\Documents\GitHub\eaglep3\Utilities\DownloadLogsFromS3.py --loco 4002 --day 2017-01-05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664</v>
      </c>
      <c r="B133" s="7">
        <v>4001</v>
      </c>
      <c r="C133" s="22" t="s">
        <v>203</v>
      </c>
      <c r="D133" s="22" t="s">
        <v>768</v>
      </c>
      <c r="E133" s="13">
        <v>42740.827824074076</v>
      </c>
      <c r="F133" s="13">
        <v>42740.83084490741</v>
      </c>
      <c r="G133" s="7">
        <v>1</v>
      </c>
      <c r="H133" s="22" t="s">
        <v>250</v>
      </c>
      <c r="I133" s="13">
        <v>42740.859502314815</v>
      </c>
      <c r="J133" s="7">
        <v>0</v>
      </c>
      <c r="K133" s="105" t="str">
        <f t="shared" si="40"/>
        <v>4001/4002</v>
      </c>
      <c r="L133" s="22" t="str">
        <f>VLOOKUP(A133,'Trips&amp;Operators'!$C$1:$G$99999,5,FALSE)</f>
        <v>CHANDLER KELVIN</v>
      </c>
      <c r="M133" s="6">
        <f t="shared" si="41"/>
        <v>2.8657407405262347E-2</v>
      </c>
      <c r="N133" s="7">
        <f t="shared" si="59"/>
        <v>41.26666666357778</v>
      </c>
      <c r="O133" s="7"/>
      <c r="P133" s="7"/>
      <c r="Q133" s="23"/>
      <c r="R133" s="23"/>
      <c r="S133" s="32">
        <f t="shared" si="58"/>
        <v>1</v>
      </c>
      <c r="T133" s="47" t="str">
        <f t="shared" si="42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18:52:04-700',mode:absolute,to:'2017-01-05 21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3" s="49" t="str">
        <f t="shared" si="44"/>
        <v>N</v>
      </c>
      <c r="X133" s="173">
        <f t="shared" si="60"/>
        <v>1</v>
      </c>
      <c r="Y133" s="64">
        <f t="shared" si="45"/>
        <v>23.297599999999999</v>
      </c>
      <c r="Z133" s="64">
        <f t="shared" si="46"/>
        <v>1.6E-2</v>
      </c>
      <c r="AA133" s="64">
        <f t="shared" si="47"/>
        <v>23.281600000000001</v>
      </c>
      <c r="AB133" s="61" t="e">
        <f>VLOOKUP(A133,Enforcements!$C$7:$K$18,8,0)</f>
        <v>#N/A</v>
      </c>
      <c r="AC133" s="57" t="e">
        <f>VLOOKUP(A133,Enforcements!$C$7:$E$18,3,0)</f>
        <v>#N/A</v>
      </c>
      <c r="AD133" s="58" t="str">
        <f t="shared" si="48"/>
        <v>0222-05</v>
      </c>
      <c r="AE133" s="87" t="str">
        <f t="shared" si="49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133" s="84" t="str">
        <f t="shared" si="50"/>
        <v>"C:\Program Files (x86)\AstroGrep\AstroGrep.exe" /spath="%USERPROFILE%\AppData\Local\Temp\OnboardLogs" /stypes="app*4001*20170106*" /stext=" 03:.+((SYSTEM_STATE.+slice.+state.+changed )|(ment ac)|(multiple cpu faults)|(system.+state.+changed )|(\[timeout)|(PRM\|1\|D)|(kpr)|(kdp)|(\|lc)|(penalty))" /e /r /s</v>
      </c>
      <c r="AG133" s="1" t="str">
        <f t="shared" si="51"/>
        <v>EC</v>
      </c>
      <c r="AH133" s="88" t="str">
        <f t="shared" si="37"/>
        <v>"%USERPROFILE%\Documents\GitHub\eaglep3\Utilities\RefineRTDCRunTimes.py" --tripid 222-05 --locoid 4001 --swversion DE.1.0.8.0 --startMP 204:232976 --initTime 2017-01-05T19:52:04 --startdatetime 2017-01-05T19:56:25 --delay 1 --endMP 204:160 --enddatetime 2017-01-05T20:37:41 --enforcementcount 0 &gt;&gt;C:\Users\stu\Documents\GitHub\eaglep3-reporting\EC\2017-01-05-refined-times.txt</v>
      </c>
      <c r="AI13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{"issue":{"subject":"","project_id":79,"tracker_id":40,"status_id":1,"priority_id":2,"assigned_to_id":23,"start_date":"2017-01-05","description":"","custom_fields":[{"id":1,"name":"Subdivision","value":"EC"},{"id":4,"name":"Milepost","value":"0.016"},{"id":17,"name":"Train ID","value":"222-05"},{"id":16,"name":"Locomotive ID","value":"4001"},{"id":130,"name":"Impact","value":""},{"id":150,"name":"Time of Event (Mountain Time)","value":"20:37:41"},{"id":151,"name":"Denver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39"/>
        <v>start /low /b %USERPROFILE%\Documents\GitHub\eaglep3\Utilities\DownloadLogsFromS3.py --loco 4001 --day 2017-01-05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662</v>
      </c>
      <c r="B134" s="7">
        <v>4022</v>
      </c>
      <c r="C134" s="22" t="s">
        <v>203</v>
      </c>
      <c r="D134" s="22" t="s">
        <v>323</v>
      </c>
      <c r="E134" s="13">
        <v>42740.810532407406</v>
      </c>
      <c r="F134" s="13">
        <v>42740.812905092593</v>
      </c>
      <c r="G134" s="7">
        <v>1</v>
      </c>
      <c r="H134" s="22" t="s">
        <v>278</v>
      </c>
      <c r="I134" s="13">
        <v>42740.837060185186</v>
      </c>
      <c r="J134" s="7">
        <v>0</v>
      </c>
      <c r="K134" s="105" t="str">
        <f t="shared" si="40"/>
        <v>4021/4022</v>
      </c>
      <c r="L134" s="22" t="str">
        <f>VLOOKUP(A134,'Trips&amp;Operators'!$C$1:$G$99999,5,FALSE)</f>
        <v>NEWELL JAMES</v>
      </c>
      <c r="M134" s="6">
        <f t="shared" si="41"/>
        <v>2.4155092592991423E-2</v>
      </c>
      <c r="N134" s="7">
        <f t="shared" si="59"/>
        <v>34.783333333907649</v>
      </c>
      <c r="O134" s="7"/>
      <c r="P134" s="7"/>
      <c r="Q134" s="23"/>
      <c r="R134" s="23"/>
      <c r="S134" s="32">
        <f t="shared" si="58"/>
        <v>1</v>
      </c>
      <c r="T134" s="47" t="str">
        <f t="shared" si="42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18:27:10-700',mode:absolute,to:'2017-01-05 21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4" s="49" t="str">
        <f t="shared" si="44"/>
        <v>N</v>
      </c>
      <c r="X134" s="173">
        <f t="shared" si="60"/>
        <v>1</v>
      </c>
      <c r="Y134" s="64">
        <f t="shared" si="45"/>
        <v>4.4600000000000001E-2</v>
      </c>
      <c r="Z134" s="64">
        <f t="shared" si="46"/>
        <v>23.331199999999999</v>
      </c>
      <c r="AA134" s="64">
        <f t="shared" si="47"/>
        <v>23.2866</v>
      </c>
      <c r="AB134" s="61" t="e">
        <f>VLOOKUP(A134,Enforcements!$C$7:$K$18,8,0)</f>
        <v>#N/A</v>
      </c>
      <c r="AC134" s="57" t="e">
        <f>VLOOKUP(A134,Enforcements!$C$7:$E$18,3,0)</f>
        <v>#N/A</v>
      </c>
      <c r="AD134" s="58" t="str">
        <f t="shared" si="48"/>
        <v>0223-05</v>
      </c>
      <c r="AE134" s="87" t="str">
        <f t="shared" si="49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134" s="84" t="str">
        <f t="shared" si="50"/>
        <v>"C:\Program Files (x86)\AstroGrep\AstroGrep.exe" /spath="%USERPROFILE%\AppData\Local\Temp\OnboardLogs" /stypes="app*4022*20170106*" /stext=" 03:.+((SYSTEM_STATE.+slice.+state.+changed )|(ment ac)|(multiple cpu faults)|(system.+state.+changed )|(\[timeout)|(PRM\|1\|D)|(kpr)|(kdp)|(\|lc)|(penalty))" /e /r /s</v>
      </c>
      <c r="AG134" s="1" t="str">
        <f t="shared" si="51"/>
        <v>EC</v>
      </c>
      <c r="AH134" s="88" t="str">
        <f t="shared" si="37"/>
        <v>"%USERPROFILE%\Documents\GitHub\eaglep3\Utilities\RefineRTDCRunTimes.py" --tripid 223-05 --locoid 4022 --swversion DE.1.0.8.0 --startMP 204:446 --initTime 2017-01-05T19:27:10 --startdatetime 2017-01-05T19:30:35 --delay 1 --endMP 204:233312 --enddatetime 2017-01-05T20:05:22 --enforcementcount 0 &gt;&gt;C:\Users\stu\Documents\GitHub\eaglep3-reporting\EC\2017-01-05-refined-times.txt</v>
      </c>
      <c r="AI134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{"issue":{"subject":"","project_id":79,"tracker_id":40,"status_id":1,"priority_id":2,"assigned_to_id":23,"start_date":"2017-01-05","description":"","custom_fields":[{"id":1,"name":"Subdivision","value":"EC"},{"id":4,"name":"Milepost","value":"23.3312"},{"id":17,"name":"Train ID","value":"223-05"},{"id":16,"name":"Locomotive ID","value":"4022"},{"id":130,"name":"Impact","value":""},{"id":150,"name":"Time of Event (Mountain Time)","value":"20:05:22"},{"id":151,"name":"Denver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39"/>
        <v>start /low /b %USERPROFILE%\Documents\GitHub\eaglep3\Utilities\DownloadLogsFromS3.py --loco 4022 --day 2017-01-05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486</v>
      </c>
      <c r="B135" s="7">
        <v>4021</v>
      </c>
      <c r="C135" s="22" t="s">
        <v>203</v>
      </c>
      <c r="D135" s="22" t="s">
        <v>772</v>
      </c>
      <c r="E135" s="13">
        <v>42740.839930555558</v>
      </c>
      <c r="F135" s="13">
        <v>42740.851550925923</v>
      </c>
      <c r="G135" s="7">
        <v>1</v>
      </c>
      <c r="H135" s="22" t="s">
        <v>773</v>
      </c>
      <c r="I135" s="13">
        <v>42740.882523148146</v>
      </c>
      <c r="J135" s="7">
        <v>0</v>
      </c>
      <c r="K135" s="105" t="str">
        <f t="shared" si="40"/>
        <v>4021/4022</v>
      </c>
      <c r="L135" s="22" t="str">
        <f>VLOOKUP(A135,'Trips&amp;Operators'!$C$1:$G$99999,5,FALSE)</f>
        <v>NEWELL JAMES</v>
      </c>
      <c r="M135" s="6">
        <f t="shared" si="41"/>
        <v>3.0972222222771961E-2</v>
      </c>
      <c r="N135" s="7">
        <f t="shared" si="59"/>
        <v>44.600000000791624</v>
      </c>
      <c r="O135" s="7"/>
      <c r="P135" s="7"/>
      <c r="Q135" s="23"/>
      <c r="R135" s="23"/>
      <c r="S135" s="32">
        <f t="shared" si="58"/>
        <v>1</v>
      </c>
      <c r="T135" s="47" t="str">
        <f t="shared" si="42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19:09:30-700',mode:absolute,to:'2017-01-05 22:10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5" s="49" t="str">
        <f t="shared" si="44"/>
        <v>N</v>
      </c>
      <c r="X135" s="173">
        <f t="shared" si="60"/>
        <v>1</v>
      </c>
      <c r="Y135" s="64">
        <f t="shared" si="45"/>
        <v>23.300799999999999</v>
      </c>
      <c r="Z135" s="64">
        <f t="shared" si="46"/>
        <v>8.7300000000000003E-2</v>
      </c>
      <c r="AA135" s="64">
        <f t="shared" si="47"/>
        <v>23.2135</v>
      </c>
      <c r="AB135" s="61" t="e">
        <f>VLOOKUP(A135,Enforcements!$C$7:$K$18,8,0)</f>
        <v>#N/A</v>
      </c>
      <c r="AC135" s="57" t="e">
        <f>VLOOKUP(A135,Enforcements!$C$7:$E$18,3,0)</f>
        <v>#N/A</v>
      </c>
      <c r="AD135" s="58" t="str">
        <f t="shared" si="48"/>
        <v>0224-05</v>
      </c>
      <c r="AE135" s="87" t="str">
        <f t="shared" si="49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135" s="84" t="str">
        <f t="shared" si="50"/>
        <v>"C:\Program Files (x86)\AstroGrep\AstroGrep.exe" /spath="%USERPROFILE%\AppData\Local\Temp\OnboardLogs" /stypes="app*4021*20170106*" /stext=" 04:.+((SYSTEM_STATE.+slice.+state.+changed )|(ment ac)|(multiple cpu faults)|(system.+state.+changed )|(\[timeout)|(PRM\|1\|D)|(kpr)|(kdp)|(\|lc)|(penalty))" /e /r /s</v>
      </c>
      <c r="AG135" s="1" t="str">
        <f t="shared" si="51"/>
        <v>EC</v>
      </c>
      <c r="AH135" s="88" t="str">
        <f t="shared" si="37"/>
        <v>"%USERPROFILE%\Documents\GitHub\eaglep3\Utilities\RefineRTDCRunTimes.py" --tripid 224-05 --locoid 4021 --swversion DE.1.0.8.0 --startMP 204:233008 --initTime 2017-01-05T20:09:30 --startdatetime 2017-01-05T20:26:14 --delay 1 --endMP 204:873 --enddatetime 2017-01-05T21:10:50 --enforcementcount 0 &gt;&gt;C:\Users\stu\Documents\GitHub\eaglep3-reporting\EC\2017-01-05-refined-times.txt</v>
      </c>
      <c r="AI13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{"issue":{"subject":"","project_id":79,"tracker_id":40,"status_id":1,"priority_id":2,"assigned_to_id":23,"start_date":"2017-01-05","description":"","custom_fields":[{"id":1,"name":"Subdivision","value":"EC"},{"id":4,"name":"Milepost","value":"0.0873"},{"id":17,"name":"Train ID","value":"224-05"},{"id":16,"name":"Locomotive ID","value":"4021"},{"id":130,"name":"Impact","value":""},{"id":150,"name":"Time of Event (Mountain Time)","value":"21:10:50"},{"id":151,"name":"Denver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39"/>
        <v>start /low /b %USERPROFILE%\Documents\GitHub\eaglep3\Utilities\DownloadLogsFromS3.py --loco 4021 --day 2017-01-05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665</v>
      </c>
      <c r="B136" s="7">
        <v>4046</v>
      </c>
      <c r="C136" s="22" t="s">
        <v>203</v>
      </c>
      <c r="D136" s="22" t="s">
        <v>301</v>
      </c>
      <c r="E136" s="13">
        <v>42740.830289351848</v>
      </c>
      <c r="F136" s="13">
        <v>42740.833483796298</v>
      </c>
      <c r="G136" s="7">
        <v>1</v>
      </c>
      <c r="H136" s="22" t="s">
        <v>774</v>
      </c>
      <c r="I136" s="13">
        <v>42740.858680555553</v>
      </c>
      <c r="J136" s="7">
        <v>0</v>
      </c>
      <c r="K136" s="105" t="str">
        <f t="shared" si="40"/>
        <v>4045/4046</v>
      </c>
      <c r="L136" s="22" t="str">
        <f>VLOOKUP(A136,'Trips&amp;Operators'!$C$1:$G$99999,5,FALSE)</f>
        <v>BROWN JACOB</v>
      </c>
      <c r="M136" s="6">
        <f t="shared" si="41"/>
        <v>2.5196759255777579E-2</v>
      </c>
      <c r="N136" s="7">
        <f t="shared" si="59"/>
        <v>36.283333328319713</v>
      </c>
      <c r="O136" s="7"/>
      <c r="P136" s="7"/>
      <c r="Q136" s="23"/>
      <c r="R136" s="23"/>
      <c r="S136" s="32">
        <f t="shared" si="58"/>
        <v>1</v>
      </c>
      <c r="T136" s="47" t="str">
        <f t="shared" si="42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18:55:37-700',mode:absolute,to:'2017-01-05 21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6" s="49" t="str">
        <f t="shared" si="44"/>
        <v>N</v>
      </c>
      <c r="X136" s="173">
        <f t="shared" si="60"/>
        <v>1</v>
      </c>
      <c r="Y136" s="64">
        <f t="shared" si="45"/>
        <v>4.7800000000000002E-2</v>
      </c>
      <c r="Z136" s="64">
        <f t="shared" si="46"/>
        <v>23.333100000000002</v>
      </c>
      <c r="AA136" s="64">
        <f t="shared" si="47"/>
        <v>23.285300000000003</v>
      </c>
      <c r="AB136" s="61" t="e">
        <f>VLOOKUP(A136,Enforcements!$C$7:$K$18,8,0)</f>
        <v>#N/A</v>
      </c>
      <c r="AC136" s="57" t="e">
        <f>VLOOKUP(A136,Enforcements!$C$7:$E$18,3,0)</f>
        <v>#N/A</v>
      </c>
      <c r="AD136" s="58" t="str">
        <f t="shared" si="48"/>
        <v>0225-05</v>
      </c>
      <c r="AE136" s="87" t="str">
        <f t="shared" si="49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136" s="84" t="str">
        <f t="shared" si="50"/>
        <v>"C:\Program Files (x86)\AstroGrep\AstroGrep.exe" /spath="%USERPROFILE%\AppData\Local\Temp\OnboardLogs" /stypes="app*4046*20170106*" /stext=" 03:.+((SYSTEM_STATE.+slice.+state.+changed )|(ment ac)|(multiple cpu faults)|(system.+state.+changed )|(\[timeout)|(PRM\|1\|D)|(kpr)|(kdp)|(\|lc)|(penalty))" /e /r /s</v>
      </c>
      <c r="AG136" s="1" t="str">
        <f t="shared" si="51"/>
        <v>EC</v>
      </c>
      <c r="AH136" s="88" t="str">
        <f t="shared" si="37"/>
        <v>"%USERPROFILE%\Documents\GitHub\eaglep3\Utilities\RefineRTDCRunTimes.py" --tripid 225-05 --locoid 4046 --swversion DE.1.0.8.0 --startMP 204:478 --initTime 2017-01-05T19:55:37 --startdatetime 2017-01-05T20:00:13 --delay 1 --endMP 204:233331 --enddatetime 2017-01-05T20:36:30 --enforcementcount 0 &gt;&gt;C:\Users\stu\Documents\GitHub\eaglep3-reporting\EC\2017-01-05-refined-times.txt</v>
      </c>
      <c r="AI13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{"issue":{"subject":"","project_id":79,"tracker_id":40,"status_id":1,"priority_id":2,"assigned_to_id":23,"start_date":"2017-01-05","description":"","custom_fields":[{"id":1,"name":"Subdivision","value":"EC"},{"id":4,"name":"Milepost","value":"23.3331"},{"id":17,"name":"Train ID","value":"225-05"},{"id":16,"name":"Locomotive ID","value":"4046"},{"id":130,"name":"Impact","value":""},{"id":150,"name":"Time of Event (Mountain Time)","value":"20:36:30"},{"id":151,"name":"Denver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39"/>
        <v>start /low /b %USERPROFILE%\Documents\GitHub\eaglep3\Utilities\DownloadLogsFromS3.py --loco 4046 --day 2017-01-05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670</v>
      </c>
      <c r="B137" s="7">
        <v>4045</v>
      </c>
      <c r="C137" s="22" t="s">
        <v>203</v>
      </c>
      <c r="D137" s="22" t="s">
        <v>429</v>
      </c>
      <c r="E137" s="13">
        <v>42740.864189814813</v>
      </c>
      <c r="F137" s="13">
        <v>42740.872581018521</v>
      </c>
      <c r="G137" s="7">
        <v>1</v>
      </c>
      <c r="H137" s="22" t="s">
        <v>703</v>
      </c>
      <c r="I137" s="13">
        <v>42740.899768518517</v>
      </c>
      <c r="J137" s="7">
        <v>0</v>
      </c>
      <c r="K137" s="105" t="str">
        <f t="shared" si="40"/>
        <v>4045/4046</v>
      </c>
      <c r="L137" s="22" t="str">
        <f>VLOOKUP(A137,'Trips&amp;Operators'!$C$1:$G$99999,5,FALSE)</f>
        <v>BROWN JACOB</v>
      </c>
      <c r="M137" s="6">
        <f t="shared" si="41"/>
        <v>2.7187499996216502E-2</v>
      </c>
      <c r="N137" s="7">
        <f t="shared" si="59"/>
        <v>39.149999994551763</v>
      </c>
      <c r="O137" s="7"/>
      <c r="P137" s="7"/>
      <c r="Q137" s="23"/>
      <c r="R137" s="23"/>
      <c r="S137" s="32">
        <f t="shared" si="58"/>
        <v>1</v>
      </c>
      <c r="T137" s="47" t="str">
        <f t="shared" si="42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19:44:26-700',mode:absolute,to:'2017-01-05 22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7" s="49" t="str">
        <f t="shared" si="44"/>
        <v>N</v>
      </c>
      <c r="X137" s="173">
        <f t="shared" si="60"/>
        <v>1</v>
      </c>
      <c r="Y137" s="64">
        <f t="shared" si="45"/>
        <v>23.300599999999999</v>
      </c>
      <c r="Z137" s="64">
        <f t="shared" si="46"/>
        <v>1.1900000000000001E-2</v>
      </c>
      <c r="AA137" s="64">
        <f t="shared" si="47"/>
        <v>23.288699999999999</v>
      </c>
      <c r="AB137" s="61" t="e">
        <f>VLOOKUP(A137,Enforcements!$C$7:$K$18,8,0)</f>
        <v>#N/A</v>
      </c>
      <c r="AC137" s="57" t="e">
        <f>VLOOKUP(A137,Enforcements!$C$7:$E$18,3,0)</f>
        <v>#N/A</v>
      </c>
      <c r="AD137" s="58" t="str">
        <f t="shared" si="48"/>
        <v>0226-05</v>
      </c>
      <c r="AE137" s="87" t="str">
        <f t="shared" si="49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37" s="84" t="str">
        <f t="shared" si="50"/>
        <v>"C:\Program Files (x86)\AstroGrep\AstroGrep.exe" /spath="%USERPROFILE%\AppData\Local\Temp\OnboardLogs" /stypes="app*4045*20170106*" /stext=" 04:.+((SYSTEM_STATE.+slice.+state.+changed )|(ment ac)|(multiple cpu faults)|(system.+state.+changed )|(\[timeout)|(PRM\|1\|D)|(kpr)|(kdp)|(\|lc)|(penalty))" /e /r /s</v>
      </c>
      <c r="AG137" s="1" t="str">
        <f t="shared" si="51"/>
        <v>EC</v>
      </c>
      <c r="AH137" s="88" t="str">
        <f t="shared" si="37"/>
        <v>"%USERPROFILE%\Documents\GitHub\eaglep3\Utilities\RefineRTDCRunTimes.py" --tripid 226-05 --locoid 4045 --swversion DE.1.0.8.0 --startMP 204:233006 --initTime 2017-01-05T20:44:26 --startdatetime 2017-01-05T20:56:31 --delay 1 --endMP 204:119 --enddatetime 2017-01-05T21:35:40 --enforcementcount 0 &gt;&gt;C:\Users\stu\Documents\GitHub\eaglep3-reporting\EC\2017-01-05-refined-times.txt</v>
      </c>
      <c r="AI13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{"issue":{"subject":"","project_id":79,"tracker_id":40,"status_id":1,"priority_id":2,"assigned_to_id":23,"start_date":"2017-01-05","description":"","custom_fields":[{"id":1,"name":"Subdivision","value":"EC"},{"id":4,"name":"Milepost","value":"0.0119"},{"id":17,"name":"Train ID","value":"226-05"},{"id":16,"name":"Locomotive ID","value":"4045"},{"id":130,"name":"Impact","value":""},{"id":150,"name":"Time of Event (Mountain Time)","value":"21:35:40"},{"id":151,"name":"Denver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39"/>
        <v>start /low /b %USERPROFILE%\Documents\GitHub\eaglep3\Utilities\DownloadLogsFromS3.py --loco 4045 --day 2017-01-05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668</v>
      </c>
      <c r="B138" s="7">
        <v>4011</v>
      </c>
      <c r="C138" s="22" t="s">
        <v>203</v>
      </c>
      <c r="D138" s="22" t="s">
        <v>259</v>
      </c>
      <c r="E138" s="13">
        <v>42740.843761574077</v>
      </c>
      <c r="F138" s="13">
        <v>42740.854317129626</v>
      </c>
      <c r="G138" s="7">
        <v>1</v>
      </c>
      <c r="H138" s="22" t="s">
        <v>775</v>
      </c>
      <c r="I138" s="13">
        <v>42740.878611111111</v>
      </c>
      <c r="J138" s="7">
        <v>0</v>
      </c>
      <c r="K138" s="105" t="str">
        <f t="shared" si="40"/>
        <v>4011/4012</v>
      </c>
      <c r="L138" s="22" t="str">
        <f>VLOOKUP(A138,'Trips&amp;Operators'!$C$1:$G$99999,5,FALSE)</f>
        <v>HILLS DUSTIN</v>
      </c>
      <c r="M138" s="6">
        <f t="shared" si="41"/>
        <v>2.4293981485243421E-2</v>
      </c>
      <c r="N138" s="7">
        <f t="shared" si="59"/>
        <v>34.983333338750526</v>
      </c>
      <c r="O138" s="7"/>
      <c r="P138" s="7"/>
      <c r="Q138" s="23"/>
      <c r="R138" s="23"/>
      <c r="S138" s="32">
        <f t="shared" si="58"/>
        <v>1</v>
      </c>
      <c r="T138" s="47" t="str">
        <f t="shared" si="42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19:15:01-700',mode:absolute,to:'2017-01-05 22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8" s="49" t="str">
        <f t="shared" si="44"/>
        <v>N</v>
      </c>
      <c r="X138" s="173">
        <f t="shared" si="60"/>
        <v>1</v>
      </c>
      <c r="Y138" s="64">
        <f t="shared" si="45"/>
        <v>4.4900000000000002E-2</v>
      </c>
      <c r="Z138" s="64">
        <f t="shared" si="46"/>
        <v>23.337599999999998</v>
      </c>
      <c r="AA138" s="64">
        <f t="shared" si="47"/>
        <v>23.2927</v>
      </c>
      <c r="AB138" s="61" t="e">
        <f>VLOOKUP(A138,Enforcements!$C$7:$K$18,8,0)</f>
        <v>#N/A</v>
      </c>
      <c r="AC138" s="57" t="e">
        <f>VLOOKUP(A138,Enforcements!$C$7:$E$18,3,0)</f>
        <v>#N/A</v>
      </c>
      <c r="AD138" s="58" t="str">
        <f t="shared" si="48"/>
        <v>0227-05</v>
      </c>
      <c r="AE138" s="87" t="str">
        <f t="shared" si="49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138" s="84" t="str">
        <f t="shared" si="50"/>
        <v>"C:\Program Files (x86)\AstroGrep\AstroGrep.exe" /spath="%USERPROFILE%\AppData\Local\Temp\OnboardLogs" /stypes="app*4011*20170106*" /stext=" 04:.+((SYSTEM_STATE.+slice.+state.+changed )|(ment ac)|(multiple cpu faults)|(system.+state.+changed )|(\[timeout)|(PRM\|1\|D)|(kpr)|(kdp)|(\|lc)|(penalty))" /e /r /s</v>
      </c>
      <c r="AG138" s="1" t="str">
        <f t="shared" si="51"/>
        <v>EC</v>
      </c>
      <c r="AH138" s="88" t="str">
        <f t="shared" si="37"/>
        <v>"%USERPROFILE%\Documents\GitHub\eaglep3\Utilities\RefineRTDCRunTimes.py" --tripid 227-05 --locoid 4011 --swversion DE.1.0.8.0 --startMP 204:449 --initTime 2017-01-05T20:15:01 --startdatetime 2017-01-05T20:30:13 --delay 1 --endMP 204:233376 --enddatetime 2017-01-05T21:05:12 --enforcementcount 0 &gt;&gt;C:\Users\stu\Documents\GitHub\eaglep3-reporting\EC\2017-01-05-refined-times.txt</v>
      </c>
      <c r="AI13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{"issue":{"subject":"","project_id":79,"tracker_id":40,"status_id":1,"priority_id":2,"assigned_to_id":23,"start_date":"2017-01-05","description":"","custom_fields":[{"id":1,"name":"Subdivision","value":"EC"},{"id":4,"name":"Milepost","value":"23.3376"},{"id":17,"name":"Train ID","value":"227-05"},{"id":16,"name":"Locomotive ID","value":"4011"},{"id":130,"name":"Impact","value":""},{"id":150,"name":"Time of Event (Mountain Time)","value":"21:05:12"},{"id":151,"name":"Denver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39"/>
        <v>start /low /b %USERPROFILE%\Documents\GitHub\eaglep3\Utilities\DownloadLogsFromS3.py --loco 4011 --day 2017-01-05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487</v>
      </c>
      <c r="B139" s="7">
        <v>4012</v>
      </c>
      <c r="C139" s="22" t="s">
        <v>203</v>
      </c>
      <c r="D139" s="22" t="s">
        <v>430</v>
      </c>
      <c r="E139" s="13">
        <v>42740.881192129629</v>
      </c>
      <c r="F139" s="13">
        <v>42740.893483796295</v>
      </c>
      <c r="G139" s="7">
        <v>1</v>
      </c>
      <c r="H139" s="22" t="s">
        <v>776</v>
      </c>
      <c r="I139" s="13">
        <v>42740.924050925925</v>
      </c>
      <c r="J139" s="7">
        <v>0</v>
      </c>
      <c r="K139" s="105" t="str">
        <f t="shared" si="40"/>
        <v>4011/4012</v>
      </c>
      <c r="L139" s="22" t="str">
        <f>VLOOKUP(A139,'Trips&amp;Operators'!$C$1:$G$99999,5,FALSE)</f>
        <v>HILLS DUSTIN</v>
      </c>
      <c r="M139" s="6">
        <f t="shared" si="41"/>
        <v>3.0567129630071577E-2</v>
      </c>
      <c r="N139" s="7">
        <f t="shared" si="59"/>
        <v>44.01666666730307</v>
      </c>
      <c r="O139" s="7"/>
      <c r="P139" s="7"/>
      <c r="Q139" s="23"/>
      <c r="R139" s="23"/>
      <c r="S139" s="32">
        <f t="shared" si="58"/>
        <v>1</v>
      </c>
      <c r="T139" s="47" t="str">
        <f t="shared" si="42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20:08:55-700',mode:absolute,to:'2017-01-05 23:10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9" s="49" t="str">
        <f t="shared" si="44"/>
        <v>N</v>
      </c>
      <c r="X139" s="173">
        <f t="shared" si="60"/>
        <v>1</v>
      </c>
      <c r="Y139" s="64">
        <f t="shared" si="45"/>
        <v>23.3094</v>
      </c>
      <c r="Z139" s="64">
        <f t="shared" si="46"/>
        <v>0.1018</v>
      </c>
      <c r="AA139" s="64">
        <f t="shared" si="47"/>
        <v>23.207599999999999</v>
      </c>
      <c r="AB139" s="61" t="e">
        <f>VLOOKUP(A139,Enforcements!$C$7:$K$18,8,0)</f>
        <v>#N/A</v>
      </c>
      <c r="AC139" s="57" t="e">
        <f>VLOOKUP(A139,Enforcements!$C$7:$E$18,3,0)</f>
        <v>#N/A</v>
      </c>
      <c r="AD139" s="58" t="str">
        <f t="shared" si="48"/>
        <v>0228-05</v>
      </c>
      <c r="AE139" s="87" t="str">
        <f t="shared" si="49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139" s="84" t="str">
        <f t="shared" si="50"/>
        <v>"C:\Program Files (x86)\AstroGrep\AstroGrep.exe" /spath="%USERPROFILE%\AppData\Local\Temp\OnboardLogs" /stypes="app*4012*20170106*" /stext=" 05:.+((SYSTEM_STATE.+slice.+state.+changed )|(ment ac)|(multiple cpu faults)|(system.+state.+changed )|(\[timeout)|(PRM\|1\|D)|(kpr)|(kdp)|(\|lc)|(penalty))" /e /r /s</v>
      </c>
      <c r="AG139" s="1" t="str">
        <f t="shared" si="51"/>
        <v>EC</v>
      </c>
      <c r="AH139" s="88" t="str">
        <f t="shared" ref="AH139:AH202" si="61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228-05 --locoid 4012 --swversion DE.1.0.8.0 --startMP 204:233094 --initTime 2017-01-05T21:08:55 --startdatetime 2017-01-05T21:26:37 --delay 1 --endMP 204:1018 --enddatetime 2017-01-05T22:10:38 --enforcementcount 0 &gt;&gt;C:\Users\stu\Documents\GitHub\eaglep3-reporting\EC\2017-01-05-refined-times.txt</v>
      </c>
      <c r="AI139" s="115" t="str">
        <f t="shared" ref="AI139:AI202" si="62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{"issue":{"subject":"","project_id":79,"tracker_id":40,"status_id":1,"priority_id":2,"assigned_to_id":23,"start_date":"2017-01-05","description":"","custom_fields":[{"id":1,"name":"Subdivision","value":"EC"},{"id":4,"name":"Milepost","value":"0.1018"},{"id":17,"name":"Train ID","value":"228-05"},{"id":16,"name":"Locomotive ID","value":"4012"},{"id":130,"name":"Impact","value":""},{"id":150,"name":"Time of Event (Mountain Time)","value":"22:10:38"},{"id":151,"name":"Denver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ref="AM139:AM202" si="63">"start /low /b "&amp;dls3logs&amp;" --loco "&amp;B139&amp;" --day "&amp;TEXT(F139,"YYYY-MM-DD")</f>
        <v>start /low /b %USERPROFILE%\Documents\GitHub\eaglep3\Utilities\DownloadLogsFromS3.py --loco 4012 --day 2017-01-05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671</v>
      </c>
      <c r="B140" s="7">
        <v>4002</v>
      </c>
      <c r="C140" s="22" t="s">
        <v>203</v>
      </c>
      <c r="D140" s="22" t="s">
        <v>374</v>
      </c>
      <c r="E140" s="13">
        <v>42740.873993055553</v>
      </c>
      <c r="F140" s="13">
        <v>42740.875497685185</v>
      </c>
      <c r="G140" s="7">
        <v>0</v>
      </c>
      <c r="H140" s="22" t="s">
        <v>338</v>
      </c>
      <c r="I140" s="13">
        <v>42740.901620370372</v>
      </c>
      <c r="J140" s="7">
        <v>0</v>
      </c>
      <c r="K140" s="105" t="str">
        <f t="shared" ref="K140:K202" si="64">IF(ISEVEN(B140),(B140-1)&amp;"/"&amp;B140,B140&amp;"/"&amp;(B140+1))</f>
        <v>4001/4002</v>
      </c>
      <c r="L140" s="22" t="str">
        <f>VLOOKUP(A140,'Trips&amp;Operators'!$C$1:$G$99999,5,FALSE)</f>
        <v>CHANDLER KELVIN</v>
      </c>
      <c r="M140" s="6">
        <f t="shared" ref="M140:M202" si="65">I140-F140</f>
        <v>2.6122685187146999E-2</v>
      </c>
      <c r="N140" s="7">
        <f t="shared" si="59"/>
        <v>37.616666669491678</v>
      </c>
      <c r="O140" s="7"/>
      <c r="P140" s="7"/>
      <c r="Q140" s="23"/>
      <c r="R140" s="23"/>
      <c r="S140" s="32">
        <f t="shared" si="58"/>
        <v>1</v>
      </c>
      <c r="T140" s="47" t="str">
        <f t="shared" ref="T140:T202" si="66">IF(ISEVEN(LEFT(AD140,4)),"Southbound","NorthBound")</f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ref="V140:V202" si="67"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https://search-rtdc-monitor-bjffxe2xuh6vdkpspy63sjmuny.us-east-1.es.amazonaws.com/_plugin/kibana/#/discover/Steve-Slow-Train-Analysis-(2080s-and-2083s)?_g=(refreshInterval:(display:Off,section:0,value:0),time:(from:'2017-01-05 19:58:33-700',mode:absolute,to:'2017-01-05 22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0" s="49" t="str">
        <f t="shared" ref="W140:W202" si="68">IF(AA140&lt;IF(AG140="EC",23,5.65),"Y","N")</f>
        <v>N</v>
      </c>
      <c r="X140" s="173">
        <f t="shared" si="60"/>
        <v>1</v>
      </c>
      <c r="Y140" s="64">
        <f t="shared" ref="Y140:Y202" si="69">RIGHT(D140,LEN(D140)-4)/10000</f>
        <v>4.6600000000000003E-2</v>
      </c>
      <c r="Z140" s="64">
        <f t="shared" ref="Z140:Z202" si="70">RIGHT(H140,LEN(H140)-4)/10000</f>
        <v>23.3278</v>
      </c>
      <c r="AA140" s="64">
        <f t="shared" ref="AA140:AA202" si="71">ABS(Z140-Y140)</f>
        <v>23.281199999999998</v>
      </c>
      <c r="AB140" s="61" t="e">
        <f>VLOOKUP(A140,Enforcements!$C$7:$K$18,8,0)</f>
        <v>#N/A</v>
      </c>
      <c r="AC140" s="57" t="e">
        <f>VLOOKUP(A140,Enforcements!$C$7:$E$18,3,0)</f>
        <v>#N/A</v>
      </c>
      <c r="AD140" s="58" t="str">
        <f t="shared" ref="AD140:AD202" si="72">IF(LEN(A140)=6,"0"&amp;A140,A140)</f>
        <v>0229-05</v>
      </c>
      <c r="AE140" s="87" t="str">
        <f t="shared" ref="AE140:AE202" si="73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140" s="84" t="str">
        <f t="shared" ref="AF140:AF202" si="74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/stypes="app*4002*20170106*" /stext=" 04:.+((SYSTEM_STATE.+slice.+state.+changed )|(ment ac)|(multiple cpu faults)|(system.+state.+changed )|(\[timeout)|(PRM\|1\|D)|(kpr)|(kdp)|(\|lc)|(penalty))" /e /r /s</v>
      </c>
      <c r="AG140" s="1" t="str">
        <f t="shared" ref="AG140:AG202" si="75">IFERROR(IF(VALUE(LEFT(AD140,2))&lt;=2,"EC",IF(OR(VALUE(LEFT(AD140,2))=8,VALUE(LEFT(AD140,2))=18),"NW","Other")),"Other")</f>
        <v>EC</v>
      </c>
      <c r="AH140" s="88" t="str">
        <f t="shared" si="61"/>
        <v>"%USERPROFILE%\Documents\GitHub\eaglep3\Utilities\RefineRTDCRunTimes.py" --tripid 229-05 --locoid 4002 --swversion DE.1.0.8.0 --startMP 204:466 --initTime 2017-01-05T20:58:33 --startdatetime 2017-01-05T21:00:43 --delay 0 --endMP 204:233278 --enddatetime 2017-01-05T21:38:20 --enforcementcount 0 &gt;&gt;C:\Users\stu\Documents\GitHub\eaglep3-reporting\EC\2017-01-05-refined-times.txt</v>
      </c>
      <c r="AI140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{"issue":{"subject":"","project_id":79,"tracker_id":40,"status_id":1,"priority_id":2,"assigned_to_id":23,"start_date":"2017-01-05","description":"","custom_fields":[{"id":1,"name":"Subdivision","value":"EC"},{"id":4,"name":"Milepost","value":"23.3278"},{"id":17,"name":"Train ID","value":"229-05"},{"id":16,"name":"Locomotive ID","value":"4002"},{"id":130,"name":"Impact","value":""},{"id":150,"name":"Time of Event (Mountain Time)","value":"21:38:20"},{"id":151,"name":"Denver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63"/>
        <v>start /low /b %USERPROFILE%\Documents\GitHub\eaglep3\Utilities\DownloadLogsFromS3.py --loco 4002 --day 2017-01-05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677</v>
      </c>
      <c r="B141" s="7">
        <v>4001</v>
      </c>
      <c r="C141" s="22" t="s">
        <v>203</v>
      </c>
      <c r="D141" s="22" t="s">
        <v>725</v>
      </c>
      <c r="E141" s="13">
        <v>42740.912129629629</v>
      </c>
      <c r="F141" s="13">
        <v>42740.914305555554</v>
      </c>
      <c r="G141" s="7">
        <v>1</v>
      </c>
      <c r="H141" s="22" t="s">
        <v>209</v>
      </c>
      <c r="I141" s="13">
        <v>42740.942650462966</v>
      </c>
      <c r="J141" s="7">
        <v>0</v>
      </c>
      <c r="K141" s="105" t="str">
        <f t="shared" si="64"/>
        <v>4001/4002</v>
      </c>
      <c r="L141" s="22" t="str">
        <f>VLOOKUP(A141,'Trips&amp;Operators'!$C$1:$G$99999,5,FALSE)</f>
        <v>CHANDLER KELVIN</v>
      </c>
      <c r="M141" s="6">
        <f t="shared" si="65"/>
        <v>2.8344907412247267E-2</v>
      </c>
      <c r="N141" s="7">
        <f t="shared" si="59"/>
        <v>40.816666673636064</v>
      </c>
      <c r="O141" s="7"/>
      <c r="P141" s="7"/>
      <c r="Q141" s="23"/>
      <c r="R141" s="23"/>
      <c r="S141" s="32">
        <f t="shared" si="58"/>
        <v>1</v>
      </c>
      <c r="T141" s="47" t="str">
        <f t="shared" si="66"/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20:53:28-700',mode:absolute,to:'2017-01-05 23:37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1" s="49" t="str">
        <f t="shared" si="68"/>
        <v>N</v>
      </c>
      <c r="X141" s="173">
        <f t="shared" si="60"/>
        <v>1</v>
      </c>
      <c r="Y141" s="64">
        <f t="shared" si="69"/>
        <v>23.297000000000001</v>
      </c>
      <c r="Z141" s="64">
        <f t="shared" si="70"/>
        <v>1.4999999999999999E-2</v>
      </c>
      <c r="AA141" s="64">
        <f t="shared" si="71"/>
        <v>23.282</v>
      </c>
      <c r="AB141" s="61" t="e">
        <f>VLOOKUP(A141,Enforcements!$C$7:$K$18,8,0)</f>
        <v>#N/A</v>
      </c>
      <c r="AC141" s="57" t="e">
        <f>VLOOKUP(A141,Enforcements!$C$7:$E$18,3,0)</f>
        <v>#N/A</v>
      </c>
      <c r="AD141" s="58" t="str">
        <f t="shared" si="72"/>
        <v>0230-05</v>
      </c>
      <c r="AE141" s="87" t="str">
        <f t="shared" si="73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141" s="84" t="str">
        <f t="shared" si="74"/>
        <v>"C:\Program Files (x86)\AstroGrep\AstroGrep.exe" /spath="%USERPROFILE%\AppData\Local\Temp\OnboardLogs" /stypes="app*4001*20170106*" /stext=" 05:.+((SYSTEM_STATE.+slice.+state.+changed )|(ment ac)|(multiple cpu faults)|(system.+state.+changed )|(\[timeout)|(PRM\|1\|D)|(kpr)|(kdp)|(\|lc)|(penalty))" /e /r /s</v>
      </c>
      <c r="AG141" s="1" t="str">
        <f t="shared" si="75"/>
        <v>EC</v>
      </c>
      <c r="AH141" s="88" t="str">
        <f t="shared" si="61"/>
        <v>"%USERPROFILE%\Documents\GitHub\eaglep3\Utilities\RefineRTDCRunTimes.py" --tripid 230-05 --locoid 4001 --swversion DE.1.0.8.0 --startMP 204:232970 --initTime 2017-01-05T21:53:28 --startdatetime 2017-01-05T21:56:36 --delay 1 --endMP 204:150 --enddatetime 2017-01-05T22:37:25 --enforcementcount 0 &gt;&gt;C:\Users\stu\Documents\GitHub\eaglep3-reporting\EC\2017-01-05-refined-times.txt</v>
      </c>
      <c r="AI141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ID","value":"230-05"},{"id":16,"name":"Locomotive ID","value":"4001"},{"id":130,"name":"Impact","value":""},{"id":150,"name":"Time of Event (Mountain Time)","value":"22:37:25"},{"id":151,"name":"Denver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63"/>
        <v>start /low /b %USERPROFILE%\Documents\GitHub\eaglep3\Utilities\DownloadLogsFromS3.py --loco 4001 --day 2017-01-05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674</v>
      </c>
      <c r="B142" s="7">
        <v>4029</v>
      </c>
      <c r="C142" s="22" t="s">
        <v>203</v>
      </c>
      <c r="D142" s="22" t="s">
        <v>777</v>
      </c>
      <c r="E142" s="13">
        <v>42740.889884259261</v>
      </c>
      <c r="F142" s="13">
        <v>42740.896064814813</v>
      </c>
      <c r="G142" s="7">
        <v>1</v>
      </c>
      <c r="H142" s="22" t="s">
        <v>371</v>
      </c>
      <c r="I142" s="13">
        <v>42740.920844907407</v>
      </c>
      <c r="J142" s="7">
        <v>0</v>
      </c>
      <c r="K142" s="105" t="str">
        <f t="shared" si="64"/>
        <v>4029/4030</v>
      </c>
      <c r="L142" s="22" t="str">
        <f>VLOOKUP(A142,'Trips&amp;Operators'!$C$1:$G$99999,5,FALSE)</f>
        <v>NEWELL JAMES</v>
      </c>
      <c r="M142" s="6">
        <f t="shared" si="65"/>
        <v>2.4780092593573499E-2</v>
      </c>
      <c r="N142" s="7">
        <f t="shared" si="59"/>
        <v>35.683333334745839</v>
      </c>
      <c r="O142" s="7"/>
      <c r="P142" s="7"/>
      <c r="Q142" s="23"/>
      <c r="R142" s="23"/>
      <c r="S142" s="32">
        <f t="shared" si="58"/>
        <v>1</v>
      </c>
      <c r="T142" s="47" t="str">
        <f t="shared" si="66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20:21:26-700',mode:absolute,to:'2017-01-05 23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2" s="49" t="str">
        <f t="shared" si="68"/>
        <v>N</v>
      </c>
      <c r="X142" s="173">
        <f t="shared" si="60"/>
        <v>1</v>
      </c>
      <c r="Y142" s="64">
        <f t="shared" si="69"/>
        <v>4.3799999999999999E-2</v>
      </c>
      <c r="Z142" s="64">
        <f t="shared" si="70"/>
        <v>23.331399999999999</v>
      </c>
      <c r="AA142" s="64">
        <f t="shared" si="71"/>
        <v>23.287599999999998</v>
      </c>
      <c r="AB142" s="61" t="e">
        <f>VLOOKUP(A142,Enforcements!$C$7:$K$18,8,0)</f>
        <v>#N/A</v>
      </c>
      <c r="AC142" s="57" t="e">
        <f>VLOOKUP(A142,Enforcements!$C$7:$E$18,3,0)</f>
        <v>#N/A</v>
      </c>
      <c r="AD142" s="58" t="str">
        <f t="shared" si="72"/>
        <v>0231-05</v>
      </c>
      <c r="AE142" s="87" t="str">
        <f t="shared" si="73"/>
        <v>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 &amp; 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</v>
      </c>
      <c r="AF142" s="84" t="str">
        <f t="shared" si="74"/>
        <v>"C:\Program Files (x86)\AstroGrep\AstroGrep.exe" /spath="%USERPROFILE%\AppData\Local\Temp\OnboardLogs" /stypes="app*4029*20170106*" /stext=" 05:.+((SYSTEM_STATE.+slice.+state.+changed )|(ment ac)|(multiple cpu faults)|(system.+state.+changed )|(\[timeout)|(PRM\|1\|D)|(kpr)|(kdp)|(\|lc)|(penalty))" /e /r /s</v>
      </c>
      <c r="AG142" s="1" t="str">
        <f t="shared" si="75"/>
        <v>EC</v>
      </c>
      <c r="AH142" s="88" t="str">
        <f t="shared" si="61"/>
        <v>"%USERPROFILE%\Documents\GitHub\eaglep3\Utilities\RefineRTDCRunTimes.py" --tripid 231-05 --locoid 4029 --swversion DE.1.0.8.0 --startMP 204:438 --initTime 2017-01-05T21:21:26 --startdatetime 2017-01-05T21:30:20 --delay 1 --endMP 204:233314 --enddatetime 2017-01-05T22:06:01 --enforcementcount 0 &gt;&gt;C:\Users\stu\Documents\GitHub\eaglep3-reporting\EC\2017-01-05-refined-times.txt</v>
      </c>
      <c r="AI142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{"issue":{"subject":"","project_id":79,"tracker_id":40,"status_id":1,"priority_id":2,"assigned_to_id":23,"start_date":"2017-01-05","description":"","custom_fields":[{"id":1,"name":"Subdivision","value":"EC"},{"id":4,"name":"Milepost","value":"23.3314"},{"id":17,"name":"Train ID","value":"231-05"},{"id":16,"name":"Locomotive ID","value":"4029"},{"id":130,"name":"Impact","value":""},{"id":150,"name":"Time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63"/>
        <v>start /low /b %USERPROFILE%\Documents\GitHub\eaglep3\Utilities\DownloadLogsFromS3.py --loco 4029 --day 2017-01-05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678</v>
      </c>
      <c r="B143" s="7">
        <v>4030</v>
      </c>
      <c r="C143" s="22" t="s">
        <v>203</v>
      </c>
      <c r="D143" s="22" t="s">
        <v>414</v>
      </c>
      <c r="E143" s="13">
        <v>42740.932326388887</v>
      </c>
      <c r="F143" s="13">
        <v>42740.934895833336</v>
      </c>
      <c r="G143" s="7">
        <v>1</v>
      </c>
      <c r="H143" s="22" t="s">
        <v>778</v>
      </c>
      <c r="I143" s="13">
        <v>42740.960393518515</v>
      </c>
      <c r="J143" s="7">
        <v>0</v>
      </c>
      <c r="K143" s="105" t="str">
        <f t="shared" si="64"/>
        <v>4029/4030</v>
      </c>
      <c r="L143" s="22" t="str">
        <f>VLOOKUP(A143,'Trips&amp;Operators'!$C$1:$G$99999,5,FALSE)</f>
        <v>NEWELL JAMES</v>
      </c>
      <c r="M143" s="6">
        <f t="shared" si="65"/>
        <v>2.5497685179288965E-2</v>
      </c>
      <c r="N143" s="7">
        <f t="shared" si="59"/>
        <v>36.716666658176109</v>
      </c>
      <c r="O143" s="7"/>
      <c r="P143" s="7"/>
      <c r="Q143" s="23"/>
      <c r="R143" s="23" t="s">
        <v>903</v>
      </c>
      <c r="S143" s="32">
        <f t="shared" ref="S143:S173" si="76">SUM(U143:U143)/IF(AG143="EC",12,1)</f>
        <v>1</v>
      </c>
      <c r="T143" s="47" t="str">
        <f t="shared" si="66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21:22:33-700',mode:absolute,to:'2017-01-06 00:02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3" s="49" t="str">
        <f t="shared" si="68"/>
        <v>Y</v>
      </c>
      <c r="X143" s="173">
        <f t="shared" si="60"/>
        <v>1</v>
      </c>
      <c r="Y143" s="64">
        <f t="shared" si="69"/>
        <v>23.2987</v>
      </c>
      <c r="Z143" s="64">
        <f t="shared" si="70"/>
        <v>0.32290000000000002</v>
      </c>
      <c r="AA143" s="64">
        <f t="shared" si="71"/>
        <v>22.9758</v>
      </c>
      <c r="AB143" s="61" t="e">
        <f>VLOOKUP(A143,Enforcements!$C$7:$K$18,8,0)</f>
        <v>#N/A</v>
      </c>
      <c r="AC143" s="57" t="e">
        <f>VLOOKUP(A143,Enforcements!$C$7:$E$18,3,0)</f>
        <v>#N/A</v>
      </c>
      <c r="AD143" s="58" t="str">
        <f t="shared" si="72"/>
        <v>0232-05</v>
      </c>
      <c r="AE143" s="87" t="str">
        <f t="shared" si="73"/>
        <v>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 &amp; 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</v>
      </c>
      <c r="AF143" s="84" t="str">
        <f t="shared" si="74"/>
        <v>"C:\Program Files (x86)\AstroGrep\AstroGrep.exe" /spath="%USERPROFILE%\AppData\Local\Temp\OnboardLogs" /stypes="app*4030*20170106*" /stext=" 06:.+((SYSTEM_STATE.+slice.+state.+changed )|(ment ac)|(multiple cpu faults)|(system.+state.+changed )|(\[timeout)|(PRM\|1\|D)|(kpr)|(kdp)|(\|lc)|(penalty))" /e /r /s</v>
      </c>
      <c r="AG143" s="1" t="str">
        <f t="shared" si="75"/>
        <v>EC</v>
      </c>
      <c r="AH143" s="88" t="str">
        <f t="shared" si="61"/>
        <v>"%USERPROFILE%\Documents\GitHub\eaglep3\Utilities\RefineRTDCRunTimes.py" --tripid 232-05 --locoid 4030 --swversion DE.1.0.8.0 --startMP 204:232987 --initTime 2017-01-05T22:22:33 --startdatetime 2017-01-05T22:26:15 --delay 1 --endMP 204:3229 --enddatetime 2017-01-05T23:02:58 --enforcementcount 0 &gt;&gt;C:\Users\stu\Documents\GitHub\eaglep3-reporting\EC\2017-01-05-refined-times.txt</v>
      </c>
      <c r="AI143" s="115" t="str">
        <f t="shared" si="62"/>
        <v>echo {"issue":{"subject":"DUS 4N cycled between PROCEED CAB and RESTRICTING","project_id":79,"tracker_id":40,"status_id":1,"priority_id":2,"assigned_to_id":23,"start_date":"2017-01-05","description":"Around 23:01-23:02, DUS 4S cycled between PROCEED CAB and RESTRICTING rapidly. Do logs tell us why?","custom_fields":[{"id":1,"name":"Subdivision","value":"EC"},{"id":4,"name":"Milepost","value":"0.3229"},{"id":17,"name":"Train ID","value":"232-05"},{"id":16,"name":"Locomotive ID","value":"4030"},{"id":130,"name":"Impact","value":"Others"},{"id":150,"name":"Time of Event (Mountain Time)","value":"23:02:58"},{"id":151,"name":"Denver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3" s="50" t="s">
        <v>904</v>
      </c>
      <c r="AK143" s="50" t="s">
        <v>137</v>
      </c>
      <c r="AL143" s="50" t="s">
        <v>130</v>
      </c>
      <c r="AM143" s="180" t="str">
        <f t="shared" si="63"/>
        <v>start /low /b %USERPROFILE%\Documents\GitHub\eaglep3\Utilities\DownloadLogsFromS3.py --loco 4030 --day 2017-01-05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676</v>
      </c>
      <c r="B144" s="7">
        <v>4046</v>
      </c>
      <c r="C144" s="22" t="s">
        <v>203</v>
      </c>
      <c r="D144" s="22" t="s">
        <v>244</v>
      </c>
      <c r="E144" s="13">
        <v>42740.91065972222</v>
      </c>
      <c r="F144" s="13">
        <v>42740.916828703703</v>
      </c>
      <c r="G144" s="7">
        <v>1</v>
      </c>
      <c r="H144" s="22" t="s">
        <v>728</v>
      </c>
      <c r="I144" s="13">
        <v>42740.941967592589</v>
      </c>
      <c r="J144" s="7">
        <v>0</v>
      </c>
      <c r="K144" s="105" t="str">
        <f t="shared" si="64"/>
        <v>4045/4046</v>
      </c>
      <c r="L144" s="22" t="str">
        <f>VLOOKUP(A144,'Trips&amp;Operators'!$C$1:$G$99999,5,FALSE)</f>
        <v>BROWN JACOB</v>
      </c>
      <c r="M144" s="6">
        <f t="shared" si="65"/>
        <v>2.5138888886431232E-2</v>
      </c>
      <c r="N144" s="7">
        <f t="shared" si="59"/>
        <v>36.199999996460974</v>
      </c>
      <c r="O144" s="7"/>
      <c r="P144" s="7"/>
      <c r="Q144" s="23"/>
      <c r="R144" s="23"/>
      <c r="S144" s="32">
        <f t="shared" si="76"/>
        <v>1</v>
      </c>
      <c r="T144" s="47" t="str">
        <f t="shared" si="66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20:51:21-700',mode:absolute,to:'2017-01-05 23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4" s="49" t="str">
        <f t="shared" si="68"/>
        <v>N</v>
      </c>
      <c r="X144" s="173">
        <f t="shared" si="60"/>
        <v>1</v>
      </c>
      <c r="Y144" s="64">
        <f t="shared" si="69"/>
        <v>4.6399999999999997E-2</v>
      </c>
      <c r="Z144" s="64">
        <f t="shared" si="70"/>
        <v>23.331600000000002</v>
      </c>
      <c r="AA144" s="64">
        <f t="shared" si="71"/>
        <v>23.285200000000003</v>
      </c>
      <c r="AB144" s="61" t="e">
        <f>VLOOKUP(A144,Enforcements!$C$7:$K$18,8,0)</f>
        <v>#N/A</v>
      </c>
      <c r="AC144" s="57" t="e">
        <f>VLOOKUP(A144,Enforcements!$C$7:$E$18,3,0)</f>
        <v>#N/A</v>
      </c>
      <c r="AD144" s="58" t="str">
        <f t="shared" si="72"/>
        <v>0233-05</v>
      </c>
      <c r="AE144" s="87" t="str">
        <f t="shared" si="73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144" s="84" t="str">
        <f t="shared" si="74"/>
        <v>"C:\Program Files (x86)\AstroGrep\AstroGrep.exe" /spath="%USERPROFILE%\AppData\Local\Temp\OnboardLogs" /stypes="app*4046*20170106*" /stext=" 05:.+((SYSTEM_STATE.+slice.+state.+changed )|(ment ac)|(multiple cpu faults)|(system.+state.+changed )|(\[timeout)|(PRM\|1\|D)|(kpr)|(kdp)|(\|lc)|(penalty))" /e /r /s</v>
      </c>
      <c r="AG144" s="1" t="str">
        <f t="shared" si="75"/>
        <v>EC</v>
      </c>
      <c r="AH144" s="88" t="str">
        <f t="shared" si="61"/>
        <v>"%USERPROFILE%\Documents\GitHub\eaglep3\Utilities\RefineRTDCRunTimes.py" --tripid 233-05 --locoid 4046 --swversion DE.1.0.8.0 --startMP 204:464 --initTime 2017-01-05T21:51:21 --startdatetime 2017-01-05T22:00:14 --delay 1 --endMP 204:233316 --enddatetime 2017-01-05T22:36:26 --enforcementcount 0 &gt;&gt;C:\Users\stu\Documents\GitHub\eaglep3-reporting\EC\2017-01-05-refined-times.txt</v>
      </c>
      <c r="AI144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{"issue":{"subject":"","project_id":79,"tracker_id":40,"status_id":1,"priority_id":2,"assigned_to_id":23,"start_date":"2017-01-05","description":"","custom_fields":[{"id":1,"name":"Subdivision","value":"EC"},{"id":4,"name":"Milepost","value":"23.3316"},{"id":17,"name":"Train ID","value":"233-05"},{"id":16,"name":"Locomotive ID","value":"4046"},{"id":130,"name":"Impact","value":""},{"id":150,"name":"Time of Event (Mountain Time)","value":"22:36:26"},{"id":151,"name":"Denver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63"/>
        <v>start /low /b %USERPROFILE%\Documents\GitHub\eaglep3\Utilities\DownloadLogsFromS3.py --loco 4046 --day 2017-01-05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680</v>
      </c>
      <c r="B145" s="7">
        <v>4045</v>
      </c>
      <c r="C145" s="22" t="s">
        <v>203</v>
      </c>
      <c r="D145" s="22" t="s">
        <v>287</v>
      </c>
      <c r="E145" s="13">
        <v>42740.951990740738</v>
      </c>
      <c r="F145" s="13">
        <v>42740.955717592595</v>
      </c>
      <c r="G145" s="7">
        <v>5</v>
      </c>
      <c r="H145" s="22" t="s">
        <v>779</v>
      </c>
      <c r="I145" s="13">
        <v>42740.987662037034</v>
      </c>
      <c r="J145" s="7">
        <v>0</v>
      </c>
      <c r="K145" s="105" t="str">
        <f t="shared" si="64"/>
        <v>4045/4046</v>
      </c>
      <c r="L145" s="22" t="str">
        <f>VLOOKUP(A145,'Trips&amp;Operators'!$C$1:$G$99999,5,FALSE)</f>
        <v>BROWN JACOB</v>
      </c>
      <c r="M145" s="6">
        <f t="shared" si="65"/>
        <v>3.1944444439432118E-2</v>
      </c>
      <c r="N145" s="7">
        <f t="shared" si="59"/>
        <v>45.99999999278225</v>
      </c>
      <c r="O145" s="7"/>
      <c r="P145" s="7"/>
      <c r="Q145" s="23"/>
      <c r="R145" s="23"/>
      <c r="S145" s="32">
        <f t="shared" si="76"/>
        <v>1</v>
      </c>
      <c r="T145" s="47" t="str">
        <f t="shared" si="66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21:50:52-700',mode:absolute,to:'2017-01-06 00:42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5" s="49" t="str">
        <f t="shared" si="68"/>
        <v>N</v>
      </c>
      <c r="X145" s="173">
        <f t="shared" si="60"/>
        <v>1</v>
      </c>
      <c r="Y145" s="64">
        <f t="shared" si="69"/>
        <v>23.299800000000001</v>
      </c>
      <c r="Z145" s="64">
        <f t="shared" si="70"/>
        <v>1.14E-2</v>
      </c>
      <c r="AA145" s="64">
        <f t="shared" si="71"/>
        <v>23.288400000000003</v>
      </c>
      <c r="AB145" s="61" t="e">
        <f>VLOOKUP(A145,Enforcements!$C$7:$K$18,8,0)</f>
        <v>#N/A</v>
      </c>
      <c r="AC145" s="57" t="e">
        <f>VLOOKUP(A145,Enforcements!$C$7:$E$18,3,0)</f>
        <v>#N/A</v>
      </c>
      <c r="AD145" s="58" t="str">
        <f t="shared" si="72"/>
        <v>0234-05</v>
      </c>
      <c r="AE145" s="87" t="str">
        <f t="shared" si="73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45" s="84" t="str">
        <f t="shared" si="74"/>
        <v>"C:\Program Files (x86)\AstroGrep\AstroGrep.exe" /spath="%USERPROFILE%\AppData\Local\Temp\OnboardLogs" /stypes="app*4045*20170106*" /stext=" 06:.+((SYSTEM_STATE.+slice.+state.+changed )|(ment ac)|(multiple cpu faults)|(system.+state.+changed )|(\[timeout)|(PRM\|1\|D)|(kpr)|(kdp)|(\|lc)|(penalty))" /e /r /s</v>
      </c>
      <c r="AG145" s="1" t="str">
        <f t="shared" si="75"/>
        <v>EC</v>
      </c>
      <c r="AH145" s="88" t="str">
        <f t="shared" si="61"/>
        <v>"%USERPROFILE%\Documents\GitHub\eaglep3\Utilities\RefineRTDCRunTimes.py" --tripid 234-05 --locoid 4045 --swversion DE.1.0.8.0 --startMP 204:232998 --initTime 2017-01-05T22:50:52 --startdatetime 2017-01-05T22:56:14 --delay 5 --endMP 204:114 --enddatetime 2017-01-05T23:42:14 --enforcementcount 0 &gt;&gt;C:\Users\stu\Documents\GitHub\eaglep3-reporting\EC\2017-01-05-refined-times.txt</v>
      </c>
      <c r="AI145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{"issue":{"subject":"","project_id":79,"tracker_id":40,"status_id":1,"priority_id":2,"assigned_to_id":23,"start_date":"2017-01-05","description":"","custom_fields":[{"id":1,"name":"Subdivision","value":"EC"},{"id":4,"name":"Milepost","value":"0.0114"},{"id":17,"name":"Train ID","value":"234-05"},{"id":16,"name":"Locomotive ID","value":"4045"},{"id":130,"name":"Impact","value":""},{"id":150,"name":"Time of Event (Mountain Time)","value":"23:42:14"},{"id":151,"name":"Denver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63"/>
        <v>start /low /b %USERPROFILE%\Documents\GitHub\eaglep3\Utilities\DownloadLogsFromS3.py --loco 4045 --day 2017-01-05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489</v>
      </c>
      <c r="B146" s="7">
        <v>4022</v>
      </c>
      <c r="C146" s="22" t="s">
        <v>203</v>
      </c>
      <c r="D146" s="22" t="s">
        <v>722</v>
      </c>
      <c r="E146" s="13">
        <v>42740.928518518522</v>
      </c>
      <c r="F146" s="13">
        <v>42740.937777777777</v>
      </c>
      <c r="G146" s="7">
        <v>1</v>
      </c>
      <c r="H146" s="22" t="s">
        <v>780</v>
      </c>
      <c r="I146" s="13">
        <v>42740.963645833333</v>
      </c>
      <c r="J146" s="7">
        <v>0</v>
      </c>
      <c r="K146" s="105" t="str">
        <f t="shared" si="64"/>
        <v>4021/4022</v>
      </c>
      <c r="L146" s="22" t="str">
        <f>VLOOKUP(A146,'Trips&amp;Operators'!$C$1:$G$99999,5,FALSE)</f>
        <v>HILLS DUSTIN</v>
      </c>
      <c r="M146" s="6">
        <f t="shared" si="65"/>
        <v>2.5868055556202307E-2</v>
      </c>
      <c r="N146" s="7">
        <f t="shared" si="59"/>
        <v>37.250000000931323</v>
      </c>
      <c r="O146" s="7"/>
      <c r="P146" s="7"/>
      <c r="Q146" s="23"/>
      <c r="R146" s="23"/>
      <c r="S146" s="32">
        <f t="shared" si="76"/>
        <v>1</v>
      </c>
      <c r="T146" s="47" t="str">
        <f t="shared" si="66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21:17:04-700',mode:absolute,to:'2017-01-06 00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6" s="49" t="str">
        <f t="shared" si="68"/>
        <v>N</v>
      </c>
      <c r="X146" s="173">
        <f t="shared" si="60"/>
        <v>1</v>
      </c>
      <c r="Y146" s="64">
        <f t="shared" si="69"/>
        <v>4.3999999999999997E-2</v>
      </c>
      <c r="Z146" s="64">
        <f t="shared" si="70"/>
        <v>23.338100000000001</v>
      </c>
      <c r="AA146" s="64">
        <f t="shared" si="71"/>
        <v>23.2941</v>
      </c>
      <c r="AB146" s="61" t="e">
        <f>VLOOKUP(A146,Enforcements!$C$7:$K$18,8,0)</f>
        <v>#N/A</v>
      </c>
      <c r="AC146" s="57" t="e">
        <f>VLOOKUP(A146,Enforcements!$C$7:$E$18,3,0)</f>
        <v>#N/A</v>
      </c>
      <c r="AD146" s="58" t="str">
        <f t="shared" si="72"/>
        <v>0235-05</v>
      </c>
      <c r="AE146" s="87" t="str">
        <f t="shared" si="73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146" s="84" t="str">
        <f t="shared" si="74"/>
        <v>"C:\Program Files (x86)\AstroGrep\AstroGrep.exe" /spath="%USERPROFILE%\AppData\Local\Temp\OnboardLogs" /stypes="app*4022*20170106*" /stext=" 06:.+((SYSTEM_STATE.+slice.+state.+changed )|(ment ac)|(multiple cpu faults)|(system.+state.+changed )|(\[timeout)|(PRM\|1\|D)|(kpr)|(kdp)|(\|lc)|(penalty))" /e /r /s</v>
      </c>
      <c r="AG146" s="1" t="str">
        <f t="shared" si="75"/>
        <v>EC</v>
      </c>
      <c r="AH146" s="88" t="str">
        <f t="shared" si="61"/>
        <v>"%USERPROFILE%\Documents\GitHub\eaglep3\Utilities\RefineRTDCRunTimes.py" --tripid 235-05 --locoid 4022 --swversion DE.1.0.8.0 --startMP 204:440 --initTime 2017-01-05T22:17:04 --startdatetime 2017-01-05T22:30:24 --delay 1 --endMP 204:233381 --enddatetime 2017-01-05T23:07:39 --enforcementcount 0 &gt;&gt;C:\Users\stu\Documents\GitHub\eaglep3-reporting\EC\2017-01-05-refined-times.txt</v>
      </c>
      <c r="AI146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{"issue":{"subject":"","project_id":79,"tracker_id":40,"status_id":1,"priority_id":2,"assigned_to_id":23,"start_date":"2017-01-05","description":"","custom_fields":[{"id":1,"name":"Subdivision","value":"EC"},{"id":4,"name":"Milepost","value":"23.3381"},{"id":17,"name":"Train ID","value":"235-05"},{"id":16,"name":"Locomotive ID","value":"4022"},{"id":130,"name":"Impact","value":""},{"id":150,"name":"Time of Event (Mountain Time)","value":"23:07:39"},{"id":151,"name":"Denver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63"/>
        <v>start /low /b %USERPROFILE%\Documents\GitHub\eaglep3\Utilities\DownloadLogsFromS3.py --loco 4022 --day 2017-01-05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4" t="s">
        <v>491</v>
      </c>
      <c r="B147" s="7">
        <v>4021</v>
      </c>
      <c r="C147" s="22" t="s">
        <v>203</v>
      </c>
      <c r="D147" s="22" t="s">
        <v>781</v>
      </c>
      <c r="E147" s="13">
        <v>42740.966805555552</v>
      </c>
      <c r="F147" s="13">
        <v>42740.976840277777</v>
      </c>
      <c r="G147" s="7">
        <v>1</v>
      </c>
      <c r="H147" s="22" t="s">
        <v>782</v>
      </c>
      <c r="I147" s="13">
        <v>42741.003622685188</v>
      </c>
      <c r="J147" s="7">
        <v>0</v>
      </c>
      <c r="K147" s="105" t="str">
        <f t="shared" si="64"/>
        <v>4021/4022</v>
      </c>
      <c r="L147" s="22" t="str">
        <f>VLOOKUP(A147,'Trips&amp;Operators'!$C$1:$G$99999,5,FALSE)</f>
        <v>HILLS DUSTIN</v>
      </c>
      <c r="M147" s="6">
        <f t="shared" si="65"/>
        <v>2.6782407410792075E-2</v>
      </c>
      <c r="N147" s="7">
        <f t="shared" si="59"/>
        <v>38.566666671540588</v>
      </c>
      <c r="O147" s="7"/>
      <c r="P147" s="7"/>
      <c r="Q147" s="23"/>
      <c r="R147" s="23"/>
      <c r="S147" s="32">
        <f t="shared" si="76"/>
        <v>1</v>
      </c>
      <c r="T147" s="47" t="str">
        <f t="shared" si="66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22:12:12-700',mode:absolute,to:'2017-01-06 01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7" s="49" t="str">
        <f t="shared" si="68"/>
        <v>N</v>
      </c>
      <c r="X147" s="173">
        <f t="shared" si="60"/>
        <v>1</v>
      </c>
      <c r="Y147" s="64">
        <f t="shared" si="69"/>
        <v>23.3079</v>
      </c>
      <c r="Z147" s="64">
        <f t="shared" si="70"/>
        <v>7.6E-3</v>
      </c>
      <c r="AA147" s="64">
        <f t="shared" si="71"/>
        <v>23.3003</v>
      </c>
      <c r="AB147" s="61" t="str">
        <f>VLOOKUP(A147,Enforcements!$C$7:$K$18,8,0)</f>
        <v>Form based authority (4)</v>
      </c>
      <c r="AC147" s="57" t="str">
        <f>VLOOKUP(A147,Enforcements!$C$7:$E$18,3,0)</f>
        <v>TRACK WARRANT AUTHORITY</v>
      </c>
      <c r="AD147" s="58" t="str">
        <f t="shared" si="72"/>
        <v>0236-05</v>
      </c>
      <c r="AE147" s="87" t="str">
        <f t="shared" si="73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147" s="84" t="str">
        <f t="shared" si="74"/>
        <v>"C:\Program Files (x86)\AstroGrep\AstroGrep.exe" /spath="%USERPROFILE%\AppData\Local\Temp\OnboardLogs" /stypes="app*4021*20170106*" /stext=" 07:.+((SYSTEM_STATE.+slice.+state.+changed )|(ment ac)|(multiple cpu faults)|(system.+state.+changed )|(\[timeout)|(PRM\|1\|D)|(kpr)|(kdp)|(\|lc)|(penalty))" /e /r /s</v>
      </c>
      <c r="AG147" s="1" t="str">
        <f t="shared" si="75"/>
        <v>EC</v>
      </c>
      <c r="AH147" s="88" t="str">
        <f t="shared" si="61"/>
        <v>"%USERPROFILE%\Documents\GitHub\eaglep3\Utilities\RefineRTDCRunTimes.py" --tripid 236-05 --locoid 4021 --swversion DE.1.0.8.0 --startMP 204:233079 --initTime 2017-01-05T23:12:12 --startdatetime 2017-01-05T23:26:39 --delay 1 --endMP 204:76 --enddatetime 2017-01-06T00:05:13 --enforcementcount 0 &gt;&gt;C:\Users\stu\Documents\GitHub\eaglep3-reporting\EC\2017-01-05-refined-times.txt</v>
      </c>
      <c r="AI147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{"issue":{"subject":"","project_id":79,"tracker_id":40,"status_id":1,"priority_id":2,"assigned_to_id":23,"start_date":"2017-01-06","description":"","custom_fields":[{"id":1,"name":"Subdivision","value":"EC"},{"id":4,"name":"Milepost","value":"0.0076"},{"id":17,"name":"Train ID","value":"236-05"},{"id":16,"name":"Locomotive ID","value":"4021"},{"id":130,"name":"Impact","value":""},{"id":150,"name":"Time of Event (Mountain Time)","value":"00:05:13"},{"id":151,"name":"Denver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63"/>
        <v>start /low /b %USERPROFILE%\Documents\GitHub\eaglep3\Utilities\DownloadLogsFromS3.py --loco 4021 --day 2017-01-05</v>
      </c>
    </row>
    <row r="148" spans="1:91" s="21" customFormat="1" x14ac:dyDescent="0.25">
      <c r="A148" s="34" t="s">
        <v>681</v>
      </c>
      <c r="B148" s="7">
        <v>4002</v>
      </c>
      <c r="C148" s="22" t="s">
        <v>203</v>
      </c>
      <c r="D148" s="22" t="s">
        <v>226</v>
      </c>
      <c r="E148" s="13">
        <v>42740.958020833335</v>
      </c>
      <c r="F148" s="13">
        <v>42740.958912037036</v>
      </c>
      <c r="G148" s="7">
        <v>1</v>
      </c>
      <c r="H148" s="22" t="s">
        <v>338</v>
      </c>
      <c r="I148" s="13">
        <v>42740.984305555554</v>
      </c>
      <c r="J148" s="7">
        <v>0</v>
      </c>
      <c r="K148" s="105" t="str">
        <f t="shared" si="64"/>
        <v>4001/4002</v>
      </c>
      <c r="L148" s="22" t="str">
        <f>VLOOKUP(A148,'Trips&amp;Operators'!$C$1:$G$99999,5,FALSE)</f>
        <v>CHANDLER KELVIN</v>
      </c>
      <c r="M148" s="6">
        <f t="shared" si="65"/>
        <v>2.5393518517375924E-2</v>
      </c>
      <c r="N148" s="7">
        <f t="shared" si="59"/>
        <v>36.56666666502133</v>
      </c>
      <c r="O148" s="7"/>
      <c r="P148" s="7"/>
      <c r="Q148" s="23"/>
      <c r="R148" s="23"/>
      <c r="S148" s="32">
        <f t="shared" si="76"/>
        <v>1</v>
      </c>
      <c r="T148" s="47" t="str">
        <f t="shared" si="66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21:59:33-700',mode:absolute,to:'2017-01-06 00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8" s="49" t="str">
        <f t="shared" si="68"/>
        <v>N</v>
      </c>
      <c r="X148" s="173">
        <f t="shared" si="60"/>
        <v>1</v>
      </c>
      <c r="Y148" s="64">
        <f t="shared" si="69"/>
        <v>4.5999999999999999E-2</v>
      </c>
      <c r="Z148" s="64">
        <f t="shared" si="70"/>
        <v>23.3278</v>
      </c>
      <c r="AA148" s="64">
        <f t="shared" si="71"/>
        <v>23.2818</v>
      </c>
      <c r="AB148" s="61" t="e">
        <f>VLOOKUP(A148,Enforcements!$C$7:$K$18,8,0)</f>
        <v>#N/A</v>
      </c>
      <c r="AC148" s="57" t="e">
        <f>VLOOKUP(A148,Enforcements!$C$7:$E$18,3,0)</f>
        <v>#N/A</v>
      </c>
      <c r="AD148" s="58" t="str">
        <f t="shared" si="72"/>
        <v>0237-05</v>
      </c>
      <c r="AE148" s="87" t="str">
        <f t="shared" si="73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148" s="84" t="str">
        <f t="shared" si="74"/>
        <v>"C:\Program Files (x86)\AstroGrep\AstroGrep.exe" /spath="%USERPROFILE%\AppData\Local\Temp\OnboardLogs" /stypes="app*4002*20170106*" /stext=" 06:.+((SYSTEM_STATE.+slice.+state.+changed )|(ment ac)|(multiple cpu faults)|(system.+state.+changed )|(\[timeout)|(PRM\|1\|D)|(kpr)|(kdp)|(\|lc)|(penalty))" /e /r /s</v>
      </c>
      <c r="AG148" s="1" t="str">
        <f t="shared" si="75"/>
        <v>EC</v>
      </c>
      <c r="AH148" s="88" t="str">
        <f t="shared" si="61"/>
        <v>"%USERPROFILE%\Documents\GitHub\eaglep3\Utilities\RefineRTDCRunTimes.py" --tripid 237-05 --locoid 4002 --swversion DE.1.0.8.0 --startMP 204:460 --initTime 2017-01-05T22:59:33 --startdatetime 2017-01-05T23:00:50 --delay 1 --endMP 204:233278 --enddatetime 2017-01-05T23:37:24 --enforcementcount 0 &gt;&gt;C:\Users\stu\Documents\GitHub\eaglep3-reporting\EC\2017-01-05-refined-times.txt</v>
      </c>
      <c r="AI148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{"issue":{"subject":"","project_id":79,"tracker_id":40,"status_id":1,"priority_id":2,"assigned_to_id":23,"start_date":"2017-01-05","description":"","custom_fields":[{"id":1,"name":"Subdivision","value":"EC"},{"id":4,"name":"Milepost","value":"23.3278"},{"id":17,"name":"Train ID","value":"237-05"},{"id":16,"name":"Locomotive ID","value":"4002"},{"id":130,"name":"Impact","value":""},{"id":150,"name":"Time of Event (Mountain Time)","value":"23:37:24"},{"id":151,"name":"Denver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63"/>
        <v>start /low /b %USERPROFILE%\Documents\GitHub\eaglep3\Utilities\DownloadLogsFromS3.py --loco 4002 --day 2017-01-05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682</v>
      </c>
      <c r="B149" s="7">
        <v>4001</v>
      </c>
      <c r="C149" s="22" t="s">
        <v>203</v>
      </c>
      <c r="D149" s="22" t="s">
        <v>291</v>
      </c>
      <c r="E149" s="13">
        <v>42740.995532407411</v>
      </c>
      <c r="F149" s="13">
        <v>42740.997627314813</v>
      </c>
      <c r="G149" s="7">
        <v>1</v>
      </c>
      <c r="H149" s="22" t="s">
        <v>373</v>
      </c>
      <c r="I149" s="13">
        <v>42741.025567129633</v>
      </c>
      <c r="J149" s="7">
        <v>0</v>
      </c>
      <c r="K149" s="105" t="str">
        <f t="shared" si="64"/>
        <v>4001/4002</v>
      </c>
      <c r="L149" s="22" t="str">
        <f>VLOOKUP(A149,'Trips&amp;Operators'!$C$1:$G$99999,5,FALSE)</f>
        <v>CHANDLER KELVIN</v>
      </c>
      <c r="M149" s="6">
        <f t="shared" si="65"/>
        <v>2.7939814819546882E-2</v>
      </c>
      <c r="N149" s="7">
        <f t="shared" si="59"/>
        <v>40.23333334014751</v>
      </c>
      <c r="O149" s="7"/>
      <c r="P149" s="7"/>
      <c r="Q149" s="23"/>
      <c r="R149" s="23"/>
      <c r="S149" s="32">
        <f t="shared" si="76"/>
        <v>1</v>
      </c>
      <c r="T149" s="47" t="str">
        <f t="shared" si="66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22:53:34-700',mode:absolute,to:'2017-01-06 01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9" s="49" t="str">
        <f t="shared" si="68"/>
        <v>N</v>
      </c>
      <c r="X149" s="173">
        <f t="shared" si="60"/>
        <v>1</v>
      </c>
      <c r="Y149" s="64">
        <f t="shared" si="69"/>
        <v>23.2971</v>
      </c>
      <c r="Z149" s="64">
        <f t="shared" si="70"/>
        <v>1.6500000000000001E-2</v>
      </c>
      <c r="AA149" s="64">
        <f t="shared" si="71"/>
        <v>23.2806</v>
      </c>
      <c r="AB149" s="61" t="e">
        <f>VLOOKUP(A149,Enforcements!$C$7:$K$18,8,0)</f>
        <v>#N/A</v>
      </c>
      <c r="AC149" s="57" t="e">
        <f>VLOOKUP(A149,Enforcements!$C$7:$E$18,3,0)</f>
        <v>#N/A</v>
      </c>
      <c r="AD149" s="58" t="str">
        <f t="shared" si="72"/>
        <v>0238-05</v>
      </c>
      <c r="AE149" s="87" t="str">
        <f t="shared" si="73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149" s="84" t="str">
        <f t="shared" si="74"/>
        <v>"C:\Program Files (x86)\AstroGrep\AstroGrep.exe" /spath="%USERPROFILE%\AppData\Local\Temp\OnboardLogs" /stypes="app*4001*20170106*" /stext=" 07:.+((SYSTEM_STATE.+slice.+state.+changed )|(ment ac)|(multiple cpu faults)|(system.+state.+changed )|(\[timeout)|(PRM\|1\|D)|(kpr)|(kdp)|(\|lc)|(penalty))" /e /r /s</v>
      </c>
      <c r="AG149" s="1" t="str">
        <f t="shared" si="75"/>
        <v>EC</v>
      </c>
      <c r="AH149" s="88" t="str">
        <f t="shared" si="61"/>
        <v>"%USERPROFILE%\Documents\GitHub\eaglep3\Utilities\RefineRTDCRunTimes.py" --tripid 238-05 --locoid 4001 --swversion DE.1.0.8.0 --startMP 204:232971 --initTime 2017-01-05T23:53:34 --startdatetime 2017-01-05T23:56:35 --delay 1 --endMP 204:165 --enddatetime 2017-01-06T00:36:49 --enforcementcount 0 &gt;&gt;C:\Users\stu\Documents\GitHub\eaglep3-reporting\EC\2017-01-05-refined-times.txt</v>
      </c>
      <c r="AI149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{"issue":{"subject":"","project_id":79,"tracker_id":40,"status_id":1,"priority_id":2,"assigned_to_id":23,"start_date":"2017-01-06","description":"","custom_fields":[{"id":1,"name":"Subdivision","value":"EC"},{"id":4,"name":"Milepost","value":"0.0165"},{"id":17,"name":"Train ID","value":"238-05"},{"id":16,"name":"Locomotive ID","value":"4001"},{"id":130,"name":"Impact","value":""},{"id":150,"name":"Time of Event (Mountain Time)","value":"00:36:49"},{"id":151,"name":"Denver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63"/>
        <v>start /low /b %USERPROFILE%\Documents\GitHub\eaglep3\Utilities\DownloadLogsFromS3.py --loco 4001 --day 2017-01-05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4" t="s">
        <v>490</v>
      </c>
      <c r="B150" s="7">
        <v>4011</v>
      </c>
      <c r="C150" s="22" t="s">
        <v>203</v>
      </c>
      <c r="D150" s="22" t="s">
        <v>224</v>
      </c>
      <c r="E150" s="13">
        <v>42740.973506944443</v>
      </c>
      <c r="F150" s="13">
        <v>42740.97934027778</v>
      </c>
      <c r="G150" s="7">
        <v>1</v>
      </c>
      <c r="H150" s="22" t="s">
        <v>255</v>
      </c>
      <c r="I150" s="13">
        <v>42741.012824074074</v>
      </c>
      <c r="J150" s="7">
        <v>0</v>
      </c>
      <c r="K150" s="105" t="str">
        <f t="shared" si="64"/>
        <v>4011/4012</v>
      </c>
      <c r="L150" s="22" t="str">
        <f>VLOOKUP(A150,'Trips&amp;Operators'!$C$1:$G$99999,5,FALSE)</f>
        <v>NEWELL JAMES</v>
      </c>
      <c r="M150" s="6">
        <f t="shared" si="65"/>
        <v>3.3483796294603962E-2</v>
      </c>
      <c r="N150" s="7">
        <f t="shared" si="59"/>
        <v>48.216666664229706</v>
      </c>
      <c r="O150" s="7"/>
      <c r="P150" s="7"/>
      <c r="Q150" s="23"/>
      <c r="R150" s="23"/>
      <c r="S150" s="32">
        <f t="shared" si="76"/>
        <v>1</v>
      </c>
      <c r="T150" s="47" t="str">
        <f t="shared" si="66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22:21:51-700',mode:absolute,to:'2017-01-06 01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0" s="49" t="str">
        <f t="shared" si="68"/>
        <v>N</v>
      </c>
      <c r="X150" s="173">
        <f t="shared" si="60"/>
        <v>1</v>
      </c>
      <c r="Y150" s="64">
        <f t="shared" si="69"/>
        <v>4.5499999999999999E-2</v>
      </c>
      <c r="Z150" s="64">
        <f t="shared" si="70"/>
        <v>23.328900000000001</v>
      </c>
      <c r="AA150" s="64">
        <f t="shared" si="71"/>
        <v>23.2834</v>
      </c>
      <c r="AB150" s="61" t="str">
        <f>VLOOKUP(A150,Enforcements!$C$7:$K$18,8,0)</f>
        <v>Signal based authority (5)</v>
      </c>
      <c r="AC150" s="57" t="str">
        <f>VLOOKUP(A150,Enforcements!$C$7:$E$18,3,0)</f>
        <v>SIGNAL</v>
      </c>
      <c r="AD150" s="58" t="str">
        <f t="shared" si="72"/>
        <v>0239-05</v>
      </c>
      <c r="AE150" s="87" t="str">
        <f t="shared" si="73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150" s="84" t="str">
        <f t="shared" si="74"/>
        <v>"C:\Program Files (x86)\AstroGrep\AstroGrep.exe" /spath="%USERPROFILE%\AppData\Local\Temp\OnboardLogs" /stypes="app*4011*20170106*" /stext=" 07:.+((SYSTEM_STATE.+slice.+state.+changed )|(ment ac)|(multiple cpu faults)|(system.+state.+changed )|(\[timeout)|(PRM\|1\|D)|(kpr)|(kdp)|(\|lc)|(penalty))" /e /r /s</v>
      </c>
      <c r="AG150" s="1" t="str">
        <f t="shared" si="75"/>
        <v>EC</v>
      </c>
      <c r="AH150" s="88" t="str">
        <f t="shared" si="61"/>
        <v>"%USERPROFILE%\Documents\GitHub\eaglep3\Utilities\RefineRTDCRunTimes.py" --tripid 239-05 --locoid 4011 --swversion DE.1.0.8.0 --startMP 204:455 --initTime 2017-01-05T23:21:51 --startdatetime 2017-01-05T23:30:15 --delay 1 --endMP 204:233289 --enddatetime 2017-01-06T00:18:28 --enforcementcount 0 &gt;&gt;C:\Users\stu\Documents\GitHub\eaglep3-reporting\EC\2017-01-05-refined-times.txt</v>
      </c>
      <c r="AI150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{"issue":{"subject":"","project_id":79,"tracker_id":40,"status_id":1,"priority_id":2,"assigned_to_id":23,"start_date":"2017-01-06","description":"","custom_fields":[{"id":1,"name":"Subdivision","value":"EC"},{"id":4,"name":"Milepost","value":"23.3289"},{"id":17,"name":"Train ID","value":"239-05"},{"id":16,"name":"Locomotive ID","value":"4011"},{"id":130,"name":"Impact","value":""},{"id":150,"name":"Time of Event (Mountain Time)","value":"00:18:28"},{"id":151,"name":"Denver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63"/>
        <v>start /low /b %USERPROFILE%\Documents\GitHub\eaglep3\Utilities\DownloadLogsFromS3.py --loco 4011 --day 2017-01-05</v>
      </c>
    </row>
    <row r="151" spans="1:91" s="21" customFormat="1" x14ac:dyDescent="0.25">
      <c r="A151" s="34" t="s">
        <v>685</v>
      </c>
      <c r="B151" s="7">
        <v>4012</v>
      </c>
      <c r="C151" s="22" t="s">
        <v>203</v>
      </c>
      <c r="D151" s="22" t="s">
        <v>281</v>
      </c>
      <c r="E151" s="13">
        <v>42741.015266203707</v>
      </c>
      <c r="F151" s="13">
        <v>42741.018310185187</v>
      </c>
      <c r="G151" s="7">
        <v>2</v>
      </c>
      <c r="H151" s="22" t="s">
        <v>247</v>
      </c>
      <c r="I151" s="13">
        <v>42741.044756944444</v>
      </c>
      <c r="J151" s="7">
        <v>0</v>
      </c>
      <c r="K151" s="105" t="str">
        <f t="shared" si="64"/>
        <v>4011/4012</v>
      </c>
      <c r="L151" s="22" t="str">
        <f>VLOOKUP(A151,'Trips&amp;Operators'!$C$1:$G$99999,5,FALSE)</f>
        <v>NEWELL JAMES</v>
      </c>
      <c r="M151" s="6">
        <f t="shared" si="65"/>
        <v>2.6446759256941732E-2</v>
      </c>
      <c r="N151" s="7">
        <f t="shared" si="59"/>
        <v>38.083333329996094</v>
      </c>
      <c r="O151" s="7"/>
      <c r="P151" s="7"/>
      <c r="Q151" s="23"/>
      <c r="R151" s="23"/>
      <c r="S151" s="32">
        <f t="shared" si="76"/>
        <v>1</v>
      </c>
      <c r="T151" s="47" t="str">
        <f t="shared" si="66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23:21:59-700',mode:absolute,to:'2017-01-06 02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1" s="49" t="str">
        <f t="shared" si="68"/>
        <v>N</v>
      </c>
      <c r="X151" s="173">
        <f t="shared" si="60"/>
        <v>1</v>
      </c>
      <c r="Y151" s="64">
        <f t="shared" si="69"/>
        <v>23.298200000000001</v>
      </c>
      <c r="Z151" s="64">
        <f t="shared" si="70"/>
        <v>1.3899999999999999E-2</v>
      </c>
      <c r="AA151" s="64">
        <f t="shared" si="71"/>
        <v>23.284300000000002</v>
      </c>
      <c r="AB151" s="61" t="e">
        <f>VLOOKUP(A151,Enforcements!$C$7:$K$18,8,0)</f>
        <v>#N/A</v>
      </c>
      <c r="AC151" s="57" t="e">
        <f>VLOOKUP(A151,Enforcements!$C$7:$E$18,3,0)</f>
        <v>#N/A</v>
      </c>
      <c r="AD151" s="58" t="str">
        <f t="shared" si="72"/>
        <v>0240-05</v>
      </c>
      <c r="AE151" s="87" t="str">
        <f t="shared" si="73"/>
        <v>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 &amp; 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</v>
      </c>
      <c r="AF151" s="84" t="str">
        <f t="shared" si="74"/>
        <v>"C:\Program Files (x86)\AstroGrep\AstroGrep.exe" /spath="%USERPROFILE%\AppData\Local\Temp\OnboardLogs" /stypes="app*4012*20170106*" /stext=" 08:.+((SYSTEM_STATE.+slice.+state.+changed )|(ment ac)|(multiple cpu faults)|(system.+state.+changed )|(\[timeout)|(PRM\|1\|D)|(kpr)|(kdp)|(\|lc)|(penalty))" /e /r /s</v>
      </c>
      <c r="AG151" s="1" t="str">
        <f t="shared" si="75"/>
        <v>EC</v>
      </c>
      <c r="AH151" s="88" t="str">
        <f t="shared" si="61"/>
        <v>"%USERPROFILE%\Documents\GitHub\eaglep3\Utilities\RefineRTDCRunTimes.py" --tripid 240-05 --locoid 4012 --swversion DE.1.0.8.0 --startMP 204:232982 --initTime 2017-01-06T00:21:59 --startdatetime 2017-01-06T00:26:22 --delay 2 --endMP 204:139 --enddatetime 2017-01-06T01:04:27 --enforcementcount 0 &gt;&gt;C:\Users\stu\Documents\GitHub\eaglep3-reporting\EC\2017-01-05-refined-times.txt</v>
      </c>
      <c r="AI151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{"issue":{"subject":"","project_id":79,"tracker_id":40,"status_id":1,"priority_id":2,"assigned_to_id":23,"start_date":"2017-01-06","description":"","custom_fields":[{"id":1,"name":"Subdivision","value":"EC"},{"id":4,"name":"Milepost","value":"0.0139"},{"id":17,"name":"Train ID","value":"240-05"},{"id":16,"name":"Locomotive ID","value":"4012"},{"id":130,"name":"Impact","value":""},{"id":150,"name":"Time of Event (Mountain Time)","value":"01:04:27"},{"id":151,"name":"Denver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63"/>
        <v>start /low /b %USERPROFILE%\Documents\GitHub\eaglep3\Utilities\DownloadLogsFromS3.py --loco 4012 --day 2017-01-06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683</v>
      </c>
      <c r="B152" s="7">
        <v>4046</v>
      </c>
      <c r="C152" s="22" t="s">
        <v>203</v>
      </c>
      <c r="D152" s="22" t="s">
        <v>300</v>
      </c>
      <c r="E152" s="13">
        <v>42740.99858796296</v>
      </c>
      <c r="F152" s="13">
        <v>42741.000173611108</v>
      </c>
      <c r="G152" s="7">
        <v>1</v>
      </c>
      <c r="H152" s="22" t="s">
        <v>322</v>
      </c>
      <c r="I152" s="13">
        <v>42741.025185185186</v>
      </c>
      <c r="J152" s="7">
        <v>0</v>
      </c>
      <c r="K152" s="105" t="str">
        <f t="shared" si="64"/>
        <v>4045/4046</v>
      </c>
      <c r="L152" s="22" t="str">
        <f>VLOOKUP(A152,'Trips&amp;Operators'!$C$1:$G$99999,5,FALSE)</f>
        <v>BROWN JACOB</v>
      </c>
      <c r="M152" s="6">
        <f t="shared" si="65"/>
        <v>2.5011574078234844E-2</v>
      </c>
      <c r="N152" s="7">
        <f t="shared" si="59"/>
        <v>36.016666672658175</v>
      </c>
      <c r="O152" s="7"/>
      <c r="P152" s="7"/>
      <c r="Q152" s="23"/>
      <c r="R152" s="23"/>
      <c r="S152" s="32">
        <f t="shared" si="76"/>
        <v>1</v>
      </c>
      <c r="T152" s="47" t="str">
        <f t="shared" si="66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22:57:58-700',mode:absolute,to:'2017-01-06 01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2" s="49" t="str">
        <f t="shared" si="68"/>
        <v>N</v>
      </c>
      <c r="X152" s="173">
        <f t="shared" si="60"/>
        <v>1</v>
      </c>
      <c r="Y152" s="64">
        <f t="shared" si="69"/>
        <v>4.3700000000000003E-2</v>
      </c>
      <c r="Z152" s="64">
        <f t="shared" si="70"/>
        <v>23.329799999999999</v>
      </c>
      <c r="AA152" s="64">
        <f t="shared" si="71"/>
        <v>23.286099999999998</v>
      </c>
      <c r="AB152" s="61" t="e">
        <f>VLOOKUP(A152,Enforcements!$C$7:$K$18,8,0)</f>
        <v>#N/A</v>
      </c>
      <c r="AC152" s="57" t="e">
        <f>VLOOKUP(A152,Enforcements!$C$7:$E$18,3,0)</f>
        <v>#N/A</v>
      </c>
      <c r="AD152" s="58" t="str">
        <f t="shared" si="72"/>
        <v>0241-05</v>
      </c>
      <c r="AE152" s="87" t="str">
        <f t="shared" si="73"/>
        <v>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 &amp; 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</v>
      </c>
      <c r="AF152" s="84" t="str">
        <f t="shared" si="74"/>
        <v>"C:\Program Files (x86)\AstroGrep\AstroGrep.exe" /spath="%USERPROFILE%\AppData\Local\Temp\OnboardLogs" /stypes="app*4046*20170106*" /stext=" 07:.+((SYSTEM_STATE.+slice.+state.+changed )|(ment ac)|(multiple cpu faults)|(system.+state.+changed )|(\[timeout)|(PRM\|1\|D)|(kpr)|(kdp)|(\|lc)|(penalty))" /e /r /s</v>
      </c>
      <c r="AG152" s="1" t="str">
        <f t="shared" si="75"/>
        <v>EC</v>
      </c>
      <c r="AH152" s="88" t="str">
        <f t="shared" si="61"/>
        <v>"%USERPROFILE%\Documents\GitHub\eaglep3\Utilities\RefineRTDCRunTimes.py" --tripid 241-05 --locoid 4046 --swversion DE.1.0.8.0 --startMP 204:437 --initTime 2017-01-05T23:57:58 --startdatetime 2017-01-06T00:00:15 --delay 1 --endMP 204:233298 --enddatetime 2017-01-06T00:36:16 --enforcementcount 0 &gt;&gt;C:\Users\stu\Documents\GitHub\eaglep3-reporting\EC\2017-01-05-refined-times.txt</v>
      </c>
      <c r="AI152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{"issue":{"subject":"","project_id":79,"tracker_id":40,"status_id":1,"priority_id":2,"assigned_to_id":23,"start_date":"2017-01-06","description":"","custom_fields":[{"id":1,"name":"Subdivision","value":"EC"},{"id":4,"name":"Milepost","value":"23.3298"},{"id":17,"name":"Train ID","value":"241-05"},{"id":16,"name":"Locomotive ID","value":"4046"},{"id":130,"name":"Impact","value":""},{"id":150,"name":"Time of Event (Mountain Time)","value":"00:36:16"},{"id":151,"name":"Denver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63"/>
        <v>start /low /b %USERPROFILE%\Documents\GitHub\eaglep3\Utilities\DownloadLogsFromS3.py --loco 4046 --day 2017-01-06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690</v>
      </c>
      <c r="B153" s="7">
        <v>4045</v>
      </c>
      <c r="C153" s="22" t="s">
        <v>203</v>
      </c>
      <c r="D153" s="22" t="s">
        <v>429</v>
      </c>
      <c r="E153" s="13">
        <v>42741.033067129632</v>
      </c>
      <c r="F153" s="13">
        <v>42741.039085648146</v>
      </c>
      <c r="G153" s="7">
        <v>1</v>
      </c>
      <c r="H153" s="22" t="s">
        <v>783</v>
      </c>
      <c r="I153" s="13">
        <v>42741.065937500003</v>
      </c>
      <c r="J153" s="7">
        <v>0</v>
      </c>
      <c r="K153" s="105" t="str">
        <f t="shared" si="64"/>
        <v>4045/4046</v>
      </c>
      <c r="L153" s="22" t="str">
        <f>VLOOKUP(A153,'Trips&amp;Operators'!$C$1:$G$99999,5,FALSE)</f>
        <v>BROWN JACOB</v>
      </c>
      <c r="M153" s="6">
        <f t="shared" si="65"/>
        <v>2.6851851856918074E-2</v>
      </c>
      <c r="N153" s="7">
        <f t="shared" si="59"/>
        <v>38.666666673962027</v>
      </c>
      <c r="O153" s="7"/>
      <c r="P153" s="7"/>
      <c r="Q153" s="23"/>
      <c r="R153" s="23"/>
      <c r="S153" s="32">
        <f t="shared" si="76"/>
        <v>1</v>
      </c>
      <c r="T153" s="47" t="str">
        <f t="shared" si="66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23:47:37-700',mode:absolute,to:'2017-01-06 02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3" s="49" t="str">
        <f t="shared" si="68"/>
        <v>N</v>
      </c>
      <c r="X153" s="173">
        <f t="shared" si="60"/>
        <v>1</v>
      </c>
      <c r="Y153" s="64">
        <f t="shared" si="69"/>
        <v>23.300599999999999</v>
      </c>
      <c r="Z153" s="64">
        <f t="shared" si="70"/>
        <v>1.23E-2</v>
      </c>
      <c r="AA153" s="64">
        <f t="shared" si="71"/>
        <v>23.2883</v>
      </c>
      <c r="AB153" s="61" t="e">
        <f>VLOOKUP(A153,Enforcements!$C$7:$K$18,8,0)</f>
        <v>#N/A</v>
      </c>
      <c r="AC153" s="57" t="e">
        <f>VLOOKUP(A153,Enforcements!$C$7:$E$18,3,0)</f>
        <v>#N/A</v>
      </c>
      <c r="AD153" s="58" t="str">
        <f t="shared" si="72"/>
        <v>0242-05</v>
      </c>
      <c r="AE153" s="87" t="str">
        <f t="shared" si="73"/>
        <v>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 &amp; 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</v>
      </c>
      <c r="AF153" s="84" t="str">
        <f t="shared" si="74"/>
        <v>"C:\Program Files (x86)\AstroGrep\AstroGrep.exe" /spath="%USERPROFILE%\AppData\Local\Temp\OnboardLogs" /stypes="app*4045*20170106*" /stext=" 08:.+((SYSTEM_STATE.+slice.+state.+changed )|(ment ac)|(multiple cpu faults)|(system.+state.+changed )|(\[timeout)|(PRM\|1\|D)|(kpr)|(kdp)|(\|lc)|(penalty))" /e /r /s</v>
      </c>
      <c r="AG153" s="1" t="str">
        <f t="shared" si="75"/>
        <v>EC</v>
      </c>
      <c r="AH153" s="88" t="str">
        <f t="shared" si="61"/>
        <v>"%USERPROFILE%\Documents\GitHub\eaglep3\Utilities\RefineRTDCRunTimes.py" --tripid 242-05 --locoid 4045 --swversion DE.1.0.8.0 --startMP 204:233006 --initTime 2017-01-06T00:47:37 --startdatetime 2017-01-06T00:56:17 --delay 1 --endMP 204:123 --enddatetime 2017-01-06T01:34:57 --enforcementcount 0 &gt;&gt;C:\Users\stu\Documents\GitHub\eaglep3-reporting\EC\2017-01-05-refined-times.txt</v>
      </c>
      <c r="AI153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{"issue":{"subject":"","project_id":79,"tracker_id":40,"status_id":1,"priority_id":2,"assigned_to_id":23,"start_date":"2017-01-06","description":"","custom_fields":[{"id":1,"name":"Subdivision","value":"EC"},{"id":4,"name":"Milepost","value":"0.0123"},{"id":17,"name":"Train ID","value":"242-05"},{"id":16,"name":"Locomotive ID","value":"4045"},{"id":130,"name":"Impact","value":""},{"id":150,"name":"Time of Event (Mountain Time)","value":"01:34:57"},{"id":151,"name":"Denver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63"/>
        <v>start /low /b %USERPROFILE%\Documents\GitHub\eaglep3\Utilities\DownloadLogsFromS3.py --loco 4045 --day 2017-01-06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4" t="s">
        <v>684</v>
      </c>
      <c r="B154" s="7">
        <v>4022</v>
      </c>
      <c r="C154" s="22" t="s">
        <v>203</v>
      </c>
      <c r="D154" s="22" t="s">
        <v>784</v>
      </c>
      <c r="E154" s="13">
        <v>42741.005601851852</v>
      </c>
      <c r="F154" s="13">
        <v>42741.02103009259</v>
      </c>
      <c r="G154" s="7">
        <v>1</v>
      </c>
      <c r="H154" s="22" t="s">
        <v>416</v>
      </c>
      <c r="I154" s="13">
        <v>42741.046724537038</v>
      </c>
      <c r="J154" s="7">
        <v>0</v>
      </c>
      <c r="K154" s="105" t="str">
        <f t="shared" si="64"/>
        <v>4021/4022</v>
      </c>
      <c r="L154" s="22" t="str">
        <f>VLOOKUP(A154,'Trips&amp;Operators'!$C$1:$G$99999,5,FALSE)</f>
        <v>HILLS DUSTIN</v>
      </c>
      <c r="M154" s="6">
        <f t="shared" si="65"/>
        <v>2.5694444448163267E-2</v>
      </c>
      <c r="N154" s="7">
        <f t="shared" si="59"/>
        <v>37.000000005355105</v>
      </c>
      <c r="O154" s="7"/>
      <c r="P154" s="7"/>
      <c r="Q154" s="23"/>
      <c r="R154" s="23"/>
      <c r="S154" s="32">
        <f t="shared" si="76"/>
        <v>1</v>
      </c>
      <c r="T154" s="47" t="str">
        <f t="shared" si="66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23:08:04-700',mode:absolute,to:'2017-01-06 02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4" s="49" t="str">
        <f t="shared" si="68"/>
        <v>N</v>
      </c>
      <c r="X154" s="173">
        <f t="shared" si="60"/>
        <v>1</v>
      </c>
      <c r="Y154" s="64">
        <f t="shared" si="69"/>
        <v>4.0399999999999998E-2</v>
      </c>
      <c r="Z154" s="64">
        <f t="shared" si="70"/>
        <v>23.336400000000001</v>
      </c>
      <c r="AA154" s="64">
        <f t="shared" si="71"/>
        <v>23.295999999999999</v>
      </c>
      <c r="AB154" s="61" t="e">
        <f>VLOOKUP(A154,Enforcements!$C$7:$K$18,8,0)</f>
        <v>#N/A</v>
      </c>
      <c r="AC154" s="57" t="e">
        <f>VLOOKUP(A154,Enforcements!$C$7:$E$18,3,0)</f>
        <v>#N/A</v>
      </c>
      <c r="AD154" s="58" t="str">
        <f t="shared" si="72"/>
        <v>0243-05</v>
      </c>
      <c r="AE154" s="87" t="str">
        <f t="shared" si="73"/>
        <v>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 &amp; 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</v>
      </c>
      <c r="AF154" s="84" t="str">
        <f t="shared" si="74"/>
        <v>"C:\Program Files (x86)\AstroGrep\AstroGrep.exe" /spath="%USERPROFILE%\AppData\Local\Temp\OnboardLogs" /stypes="app*4022*20170106*" /stext=" 08:.+((SYSTEM_STATE.+slice.+state.+changed )|(ment ac)|(multiple cpu faults)|(system.+state.+changed )|(\[timeout)|(PRM\|1\|D)|(kpr)|(kdp)|(\|lc)|(penalty))" /e /r /s</v>
      </c>
      <c r="AG154" s="1" t="str">
        <f t="shared" si="75"/>
        <v>EC</v>
      </c>
      <c r="AH154" s="88" t="str">
        <f t="shared" si="61"/>
        <v>"%USERPROFILE%\Documents\GitHub\eaglep3\Utilities\RefineRTDCRunTimes.py" --tripid 243-05 --locoid 4022 --swversion DE.1.0.8.0 --startMP 204:404 --initTime 2017-01-06T00:08:04 --startdatetime 2017-01-06T00:30:17 --delay 1 --endMP 204:233364 --enddatetime 2017-01-06T01:07:17 --enforcementcount 0 &gt;&gt;C:\Users\stu\Documents\GitHub\eaglep3-reporting\EC\2017-01-05-refined-times.txt</v>
      </c>
      <c r="AI154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{"issue":{"subject":"","project_id":79,"tracker_id":40,"status_id":1,"priority_id":2,"assigned_to_id":23,"start_date":"2017-01-06","description":"","custom_fields":[{"id":1,"name":"Subdivision","value":"EC"},{"id":4,"name":"Milepost","value":"23.3364"},{"id":17,"name":"Train ID","value":"243-05"},{"id":16,"name":"Locomotive ID","value":"4022"},{"id":130,"name":"Impact","value":""},{"id":150,"name":"Time of Event (Mountain Time)","value":"01:07:17"},{"id":151,"name":"Denver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63"/>
        <v>start /low /b %USERPROFILE%\Documents\GitHub\eaglep3\Utilities\DownloadLogsFromS3.py --loco 4022 --day 2017-01-06</v>
      </c>
    </row>
    <row r="155" spans="1:91" s="21" customFormat="1" x14ac:dyDescent="0.25">
      <c r="A155" s="34" t="s">
        <v>692</v>
      </c>
      <c r="B155" s="7">
        <v>4021</v>
      </c>
      <c r="C155" s="22" t="s">
        <v>203</v>
      </c>
      <c r="D155" s="22" t="s">
        <v>785</v>
      </c>
      <c r="E155" s="13">
        <v>42741.048182870371</v>
      </c>
      <c r="F155" s="13">
        <v>42741.06009259259</v>
      </c>
      <c r="G155" s="7">
        <v>1</v>
      </c>
      <c r="H155" s="22" t="s">
        <v>786</v>
      </c>
      <c r="I155" s="13">
        <v>42741.086840277778</v>
      </c>
      <c r="J155" s="7">
        <v>0</v>
      </c>
      <c r="K155" s="105" t="str">
        <f t="shared" si="64"/>
        <v>4021/4022</v>
      </c>
      <c r="L155" s="22" t="str">
        <f>VLOOKUP(A155,'Trips&amp;Operators'!$C$1:$G$99999,5,FALSE)</f>
        <v>HILLS DUSTIN</v>
      </c>
      <c r="M155" s="6">
        <f t="shared" si="65"/>
        <v>2.6747685187729076E-2</v>
      </c>
      <c r="N155" s="7">
        <f t="shared" si="59"/>
        <v>38.516666670329869</v>
      </c>
      <c r="O155" s="7"/>
      <c r="P155" s="7"/>
      <c r="Q155" s="23"/>
      <c r="R155" s="23"/>
      <c r="S155" s="32">
        <f t="shared" si="76"/>
        <v>1</v>
      </c>
      <c r="T155" s="47" t="str">
        <f t="shared" si="66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https://search-rtdc-monitor-bjffxe2xuh6vdkpspy63sjmuny.us-east-1.es.amazonaws.com/_plugin/kibana/#/discover/Steve-Slow-Train-Analysis-(2080s-and-2083s)?_g=(refreshInterval:(display:Off,section:0,value:0),time:(from:'2017-01-06 00:09:23-700',mode:absolute,to:'2017-01-06 03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5" s="49" t="str">
        <f t="shared" si="68"/>
        <v>N</v>
      </c>
      <c r="X155" s="173">
        <f t="shared" si="60"/>
        <v>1</v>
      </c>
      <c r="Y155" s="64">
        <f t="shared" si="69"/>
        <v>23.3065</v>
      </c>
      <c r="Z155" s="64">
        <f t="shared" si="70"/>
        <v>6.4999999999999997E-3</v>
      </c>
      <c r="AA155" s="64">
        <f t="shared" si="71"/>
        <v>23.3</v>
      </c>
      <c r="AB155" s="61" t="e">
        <f>VLOOKUP(A155,Enforcements!$C$7:$K$18,8,0)</f>
        <v>#N/A</v>
      </c>
      <c r="AC155" s="57" t="e">
        <f>VLOOKUP(A155,Enforcements!$C$7:$E$18,3,0)</f>
        <v>#N/A</v>
      </c>
      <c r="AD155" s="58" t="str">
        <f t="shared" si="72"/>
        <v>0244-05</v>
      </c>
      <c r="AE155" s="87" t="str">
        <f t="shared" si="73"/>
        <v>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 &amp; 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</v>
      </c>
      <c r="AF155" s="84" t="str">
        <f t="shared" si="74"/>
        <v>"C:\Program Files (x86)\AstroGrep\AstroGrep.exe" /spath="%USERPROFILE%\AppData\Local\Temp\OnboardLogs" /stypes="app*4021*20170106*" /stext=" 09:.+((SYSTEM_STATE.+slice.+state.+changed )|(ment ac)|(multiple cpu faults)|(system.+state.+changed )|(\[timeout)|(PRM\|1\|D)|(kpr)|(kdp)|(\|lc)|(penalty))" /e /r /s</v>
      </c>
      <c r="AG155" s="1" t="str">
        <f t="shared" si="75"/>
        <v>EC</v>
      </c>
      <c r="AH155" s="88" t="str">
        <f t="shared" si="61"/>
        <v>"%USERPROFILE%\Documents\GitHub\eaglep3\Utilities\RefineRTDCRunTimes.py" --tripid 244-05 --locoid 4021 --swversion DE.1.0.8.0 --startMP 204:233065 --initTime 2017-01-06T01:09:23 --startdatetime 2017-01-06T01:26:32 --delay 1 --endMP 204:65 --enddatetime 2017-01-06T02:05:03 --enforcementcount 0 &gt;&gt;C:\Users\stu\Documents\GitHub\eaglep3-reporting\EC\2017-01-05-refined-times.txt</v>
      </c>
      <c r="AI155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{"issue":{"subject":"","project_id":79,"tracker_id":40,"status_id":1,"priority_id":2,"assigned_to_id":23,"start_date":"2017-01-06","description":"","custom_fields":[{"id":1,"name":"Subdivision","value":"EC"},{"id":4,"name":"Milepost","value":"0.0065"},{"id":17,"name":"Train ID","value":"244-05"},{"id":16,"name":"Locomotive ID","value":"4021"},{"id":130,"name":"Impact","value":""},{"id":150,"name":"Time of Event (Mountain Time)","value":"02:05:03"},{"id":151,"name":"Denver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63"/>
        <v>start /low /b %USERPROFILE%\Documents\GitHub\eaglep3\Utilities\DownloadLogsFromS3.py --loco 4021 --day 2017-01-06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508</v>
      </c>
      <c r="B156" s="7">
        <v>4019</v>
      </c>
      <c r="C156" s="22" t="s">
        <v>203</v>
      </c>
      <c r="D156" s="22" t="s">
        <v>815</v>
      </c>
      <c r="E156" s="13">
        <v>42740.207800925928</v>
      </c>
      <c r="F156" s="13">
        <v>42740.210324074076</v>
      </c>
      <c r="G156" s="7">
        <v>1</v>
      </c>
      <c r="H156" s="22" t="s">
        <v>816</v>
      </c>
      <c r="I156" s="13">
        <v>42740.227511574078</v>
      </c>
      <c r="J156" s="7">
        <v>0</v>
      </c>
      <c r="K156" s="105" t="str">
        <f t="shared" si="64"/>
        <v>4019/4020</v>
      </c>
      <c r="L156" s="22" t="str">
        <f>VLOOKUP(A156,'Trips&amp;Operators'!$C$1:$G$99999,5,FALSE)</f>
        <v>SHOOK JOHN</v>
      </c>
      <c r="M156" s="6">
        <f t="shared" si="65"/>
        <v>1.7187500001455192E-2</v>
      </c>
      <c r="N156" s="7">
        <f t="shared" si="59"/>
        <v>24.750000002095476</v>
      </c>
      <c r="O156" s="7"/>
      <c r="P156" s="7"/>
      <c r="Q156" s="23"/>
      <c r="R156" s="23"/>
      <c r="S156" s="32">
        <f t="shared" si="76"/>
        <v>1</v>
      </c>
      <c r="T156" s="47" t="str">
        <f t="shared" si="66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03:59:14-700',mode:absolute,to:'2017-01-05 06:27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6" s="49" t="str">
        <f t="shared" si="68"/>
        <v>N</v>
      </c>
      <c r="X156" s="173">
        <f t="shared" si="60"/>
        <v>556</v>
      </c>
      <c r="Y156" s="64">
        <f t="shared" si="69"/>
        <v>5.8663999999999996</v>
      </c>
      <c r="Z156" s="64">
        <f t="shared" si="70"/>
        <v>7.1999999999999995E-2</v>
      </c>
      <c r="AA156" s="64">
        <f t="shared" si="71"/>
        <v>5.7943999999999996</v>
      </c>
      <c r="AB156" s="61" t="e">
        <f>VLOOKUP(A156,Enforcements!$C$7:$K$18,8,0)</f>
        <v>#N/A</v>
      </c>
      <c r="AC156" s="57" t="e">
        <f>VLOOKUP(A156,Enforcements!$C$7:$E$18,3,0)</f>
        <v>#N/A</v>
      </c>
      <c r="AD156" s="58" t="str">
        <f t="shared" si="72"/>
        <v>0800-05</v>
      </c>
      <c r="AE156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56" s="84" t="str">
        <f t="shared" si="74"/>
        <v>"C:\Program Files (x86)\AstroGrep\AstroGrep.exe" /spath="%USERPROFILE%\AppData\Local\Temp\OnboardLogs" /stypes="app*4019*20170105*" /stext=" 12:.+((SYSTEM_STATE.+slice.+state.+changed )|(ment ac)|(multiple cpu faults)|(system.+state.+changed )|(\[timeout)|(PRM\|1\|D)|(kpr)|(kdp)|(\|lc)|(penalty))" /e /r /s</v>
      </c>
      <c r="AG156" s="1" t="str">
        <f t="shared" si="75"/>
        <v>NW</v>
      </c>
      <c r="AH156" s="88" t="str">
        <f t="shared" si="61"/>
        <v>"%USERPROFILE%\Documents\GitHub\eaglep3\Utilities\RefineRTDCRunTimes.py" --tripid 800-05 --locoid 4019 --swversion DE.1.0.8.0 --startMP 300:58664 --initTime 2017-01-05T04:59:14 --startdatetime 2017-01-05T05:02:52 --delay 1 --endMP 204:720 --enddatetime 2017-01-05T05:27:37 --enforcementcount 0 &gt;&gt;C:\Users\stu\Documents\GitHub\eaglep3-reporting\EC\2017-01-05-refined-times.txt</v>
      </c>
      <c r="AI156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{"issue":{"subject":"","project_id":79,"tracker_id":40,"status_id":1,"priority_id":2,"assigned_to_id":23,"start_date":"2017-01-05","description":"","custom_fields":[{"id":1,"name":"Subdivision","value":"NW"},{"id":4,"name":"Milepost","value":"0.072"},{"id":17,"name":"Train ID","value":"800-05"},{"id":16,"name":"Locomotive ID","value":"4019"},{"id":130,"name":"Impact","value":""},{"id":150,"name":"Time of Event (Mountain Time)","value":"05:27:37"},{"id":151,"name":"Denver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63"/>
        <v>start /low /b %USERPROFILE%\Documents\GitHub\eaglep3\Utilities\DownloadLogsFromS3.py --loco 4019 --day 2017-01-05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514</v>
      </c>
      <c r="B157" s="7">
        <v>4020</v>
      </c>
      <c r="C157" s="22" t="s">
        <v>203</v>
      </c>
      <c r="D157" s="22" t="s">
        <v>817</v>
      </c>
      <c r="E157" s="13">
        <v>42740.229745370372</v>
      </c>
      <c r="F157" s="13">
        <v>42740.244004629632</v>
      </c>
      <c r="G157" s="7">
        <v>1</v>
      </c>
      <c r="H157" s="22" t="s">
        <v>818</v>
      </c>
      <c r="I157" s="13">
        <v>42740.255300925928</v>
      </c>
      <c r="J157" s="7">
        <v>0</v>
      </c>
      <c r="K157" s="105" t="str">
        <f t="shared" si="64"/>
        <v>4019/4020</v>
      </c>
      <c r="L157" s="22" t="str">
        <f>VLOOKUP(A157,'Trips&amp;Operators'!$C$1:$G$99999,5,FALSE)</f>
        <v>SHOOK JOHN</v>
      </c>
      <c r="M157" s="6">
        <f t="shared" si="65"/>
        <v>1.1296296295768116E-2</v>
      </c>
      <c r="N157" s="7">
        <f t="shared" si="59"/>
        <v>16.266666665906087</v>
      </c>
      <c r="O157" s="7"/>
      <c r="P157" s="7"/>
      <c r="Q157" s="23"/>
      <c r="R157" s="23"/>
      <c r="S157" s="32">
        <f t="shared" si="76"/>
        <v>1</v>
      </c>
      <c r="T157" s="47" t="str">
        <f t="shared" si="66"/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04:30:50-700',mode:absolute,to:'2017-01-05 07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7" s="49" t="str">
        <f t="shared" si="68"/>
        <v>N</v>
      </c>
      <c r="X157" s="173">
        <f t="shared" si="60"/>
        <v>1</v>
      </c>
      <c r="Y157" s="64">
        <f t="shared" si="69"/>
        <v>0.1009</v>
      </c>
      <c r="Z157" s="64">
        <f t="shared" si="70"/>
        <v>5.8992000000000004</v>
      </c>
      <c r="AA157" s="64">
        <f t="shared" si="71"/>
        <v>5.7983000000000002</v>
      </c>
      <c r="AB157" s="61" t="e">
        <f>VLOOKUP(A157,Enforcements!$C$7:$K$18,8,0)</f>
        <v>#N/A</v>
      </c>
      <c r="AC157" s="57" t="e">
        <f>VLOOKUP(A157,Enforcements!$C$7:$E$18,3,0)</f>
        <v>#N/A</v>
      </c>
      <c r="AD157" s="58" t="str">
        <f t="shared" si="72"/>
        <v>0801-05</v>
      </c>
      <c r="AE157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57" s="84" t="str">
        <f t="shared" si="74"/>
        <v>"C:\Program Files (x86)\AstroGrep\AstroGrep.exe" /spath="%USERPROFILE%\AppData\Local\Temp\OnboardLogs" /stypes="app*4020*20170105*" /stext=" 13:.+((SYSTEM_STATE.+slice.+state.+changed )|(ment ac)|(multiple cpu faults)|(system.+state.+changed )|(\[timeout)|(PRM\|1\|D)|(kpr)|(kdp)|(\|lc)|(penalty))" /e /r /s</v>
      </c>
      <c r="AG157" s="1" t="str">
        <f t="shared" si="75"/>
        <v>NW</v>
      </c>
      <c r="AH157" s="88" t="str">
        <f t="shared" si="61"/>
        <v>"%USERPROFILE%\Documents\GitHub\eaglep3\Utilities\RefineRTDCRunTimes.py" --tripid 801-05 --locoid 4020 --swversion DE.1.0.8.0 --startMP 204:1009 --initTime 2017-01-05T05:30:50 --startdatetime 2017-01-05T05:51:22 --delay 1 --endMP 300:58992 --enddatetime 2017-01-05T06:07:38 --enforcementcount 0 &gt;&gt;C:\Users\stu\Documents\GitHub\eaglep3-reporting\EC\2017-01-05-refined-times.txt</v>
      </c>
      <c r="AI157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{"issue":{"subject":"","project_id":79,"tracker_id":40,"status_id":1,"priority_id":2,"assigned_to_id":23,"start_date":"2017-01-05","description":"","custom_fields":[{"id":1,"name":"Subdivision","value":"NW"},{"id":4,"name":"Milepost","value":"5.8992"},{"id":17,"name":"Train ID","value":"801-05"},{"id":16,"name":"Locomotive ID","value":"4020"},{"id":130,"name":"Impact","value":""},{"id":150,"name":"Time of Event (Mountain Time)","value":"06:07:38"},{"id":151,"name":"Denver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63"/>
        <v>start /low /b %USERPROFILE%\Documents\GitHub\eaglep3\Utilities\DownloadLogsFromS3.py --loco 4020 --day 2017-01-05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522</v>
      </c>
      <c r="B158" s="7">
        <v>4019</v>
      </c>
      <c r="C158" s="22" t="s">
        <v>203</v>
      </c>
      <c r="D158" s="22" t="s">
        <v>819</v>
      </c>
      <c r="E158" s="13">
        <v>42740.256689814814</v>
      </c>
      <c r="F158" s="13">
        <v>42740.258240740739</v>
      </c>
      <c r="G158" s="7">
        <v>1</v>
      </c>
      <c r="H158" s="22" t="s">
        <v>820</v>
      </c>
      <c r="I158" s="13">
        <v>42740.271087962959</v>
      </c>
      <c r="J158" s="7">
        <v>0</v>
      </c>
      <c r="K158" s="105" t="str">
        <f t="shared" si="64"/>
        <v>4019/4020</v>
      </c>
      <c r="L158" s="22" t="str">
        <f>VLOOKUP(A158,'Trips&amp;Operators'!$C$1:$G$99999,5,FALSE)</f>
        <v>SHOOK JOHN</v>
      </c>
      <c r="M158" s="6">
        <f t="shared" si="65"/>
        <v>1.2847222220443655E-2</v>
      </c>
      <c r="N158" s="7">
        <f t="shared" si="59"/>
        <v>18.499999997438863</v>
      </c>
      <c r="O158" s="7"/>
      <c r="P158" s="7"/>
      <c r="Q158" s="23"/>
      <c r="R158" s="23"/>
      <c r="S158" s="32">
        <f t="shared" si="76"/>
        <v>1</v>
      </c>
      <c r="T158" s="47" t="str">
        <f t="shared" si="66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05:09:38-700',mode:absolute,to:'2017-01-05 07:30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8" s="49" t="str">
        <f t="shared" si="68"/>
        <v>N</v>
      </c>
      <c r="X158" s="173">
        <f t="shared" si="60"/>
        <v>1</v>
      </c>
      <c r="Y158" s="64">
        <f t="shared" si="69"/>
        <v>5.8677000000000001</v>
      </c>
      <c r="Z158" s="64">
        <f t="shared" si="70"/>
        <v>7.0999999999999994E-2</v>
      </c>
      <c r="AA158" s="64">
        <f t="shared" si="71"/>
        <v>5.7967000000000004</v>
      </c>
      <c r="AB158" s="61" t="e">
        <f>VLOOKUP(A158,Enforcements!$C$7:$K$18,8,0)</f>
        <v>#N/A</v>
      </c>
      <c r="AC158" s="57" t="e">
        <f>VLOOKUP(A158,Enforcements!$C$7:$E$18,3,0)</f>
        <v>#N/A</v>
      </c>
      <c r="AD158" s="58" t="str">
        <f t="shared" si="72"/>
        <v>0802-05</v>
      </c>
      <c r="AE158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58" s="84" t="str">
        <f t="shared" si="74"/>
        <v>"C:\Program Files (x86)\AstroGrep\AstroGrep.exe" /spath="%USERPROFILE%\AppData\Local\Temp\OnboardLogs" /stypes="app*4019*20170105*" /stext=" 13:.+((SYSTEM_STATE.+slice.+state.+changed )|(ment ac)|(multiple cpu faults)|(system.+state.+changed )|(\[timeout)|(PRM\|1\|D)|(kpr)|(kdp)|(\|lc)|(penalty))" /e /r /s</v>
      </c>
      <c r="AG158" s="1" t="str">
        <f t="shared" si="75"/>
        <v>NW</v>
      </c>
      <c r="AH158" s="88" t="str">
        <f t="shared" si="61"/>
        <v>"%USERPROFILE%\Documents\GitHub\eaglep3\Utilities\RefineRTDCRunTimes.py" --tripid 802-05 --locoid 4019 --swversion DE.1.0.8.0 --startMP 300:58677 --initTime 2017-01-05T06:09:38 --startdatetime 2017-01-05T06:11:52 --delay 1 --endMP 204:710 --enddatetime 2017-01-05T06:30:22 --enforcementcount 0 &gt;&gt;C:\Users\stu\Documents\GitHub\eaglep3-reporting\EC\2017-01-05-refined-times.txt</v>
      </c>
      <c r="AI158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{"issue":{"subject":"","project_id":79,"tracker_id":40,"status_id":1,"priority_id":2,"assigned_to_id":23,"start_date":"2017-01-05","description":"","custom_fields":[{"id":1,"name":"Subdivision","value":"NW"},{"id":4,"name":"Milepost","value":"0.071"},{"id":17,"name":"Train ID","value":"802-05"},{"id":16,"name":"Locomotive ID","value":"4019"},{"id":130,"name":"Impact","value":""},{"id":150,"name":"Time of Event (Mountain Time)","value":"06:30:22"},{"id":151,"name":"Denver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63"/>
        <v>start /low /b %USERPROFILE%\Documents\GitHub\eaglep3\Utilities\DownloadLogsFromS3.py --loco 4019 --day 2017-01-05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528</v>
      </c>
      <c r="B159" s="7">
        <v>4043</v>
      </c>
      <c r="C159" s="22" t="s">
        <v>203</v>
      </c>
      <c r="D159" s="22" t="s">
        <v>821</v>
      </c>
      <c r="E159" s="13">
        <v>42740.276504629626</v>
      </c>
      <c r="F159" s="13">
        <v>42740.278449074074</v>
      </c>
      <c r="G159" s="7">
        <v>1</v>
      </c>
      <c r="H159" s="22" t="s">
        <v>379</v>
      </c>
      <c r="I159" s="13">
        <v>42740.291921296295</v>
      </c>
      <c r="J159" s="7">
        <v>0</v>
      </c>
      <c r="K159" s="105" t="str">
        <f t="shared" si="64"/>
        <v>4043/4044</v>
      </c>
      <c r="L159" s="22" t="str">
        <f>VLOOKUP(A159,'Trips&amp;Operators'!$C$1:$G$99999,5,FALSE)</f>
        <v>LOZA FIDEL</v>
      </c>
      <c r="M159" s="6">
        <f t="shared" si="65"/>
        <v>1.3472222221025731E-2</v>
      </c>
      <c r="N159" s="7">
        <f t="shared" ref="N159:N190" si="77">24*60*SUM($M159:$M159)</f>
        <v>19.399999998277053</v>
      </c>
      <c r="O159" s="7"/>
      <c r="P159" s="7"/>
      <c r="Q159" s="23"/>
      <c r="R159" s="23"/>
      <c r="S159" s="32">
        <f t="shared" si="76"/>
        <v>1</v>
      </c>
      <c r="T159" s="47" t="str">
        <f t="shared" si="66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05:38:10-700',mode:absolute,to:'2017-01-05 08:00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9" s="49" t="str">
        <f t="shared" si="68"/>
        <v>N</v>
      </c>
      <c r="X159" s="173">
        <f t="shared" si="60"/>
        <v>2</v>
      </c>
      <c r="Y159" s="64">
        <f t="shared" si="69"/>
        <v>5.8704000000000001</v>
      </c>
      <c r="Z159" s="64">
        <f t="shared" si="70"/>
        <v>6.7799999999999999E-2</v>
      </c>
      <c r="AA159" s="64">
        <f t="shared" si="71"/>
        <v>5.8026</v>
      </c>
      <c r="AB159" s="61" t="e">
        <f>VLOOKUP(A159,Enforcements!$C$7:$K$18,8,0)</f>
        <v>#N/A</v>
      </c>
      <c r="AC159" s="57" t="e">
        <f>VLOOKUP(A159,Enforcements!$C$7:$E$18,3,0)</f>
        <v>#N/A</v>
      </c>
      <c r="AD159" s="58" t="str">
        <f t="shared" si="72"/>
        <v>0804-05</v>
      </c>
      <c r="AE159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59" s="84" t="str">
        <f t="shared" si="74"/>
        <v>"C:\Program Files (x86)\AstroGrep\AstroGrep.exe" /spath="%USERPROFILE%\AppData\Local\Temp\OnboardLogs" /stypes="app*4043*20170105*" /stext=" 14:.+((SYSTEM_STATE.+slice.+state.+changed )|(ment ac)|(multiple cpu faults)|(system.+state.+changed )|(\[timeout)|(PRM\|1\|D)|(kpr)|(kdp)|(\|lc)|(penalty))" /e /r /s</v>
      </c>
      <c r="AG159" s="1" t="str">
        <f t="shared" si="75"/>
        <v>NW</v>
      </c>
      <c r="AH159" s="88" t="str">
        <f t="shared" si="61"/>
        <v>"%USERPROFILE%\Documents\GitHub\eaglep3\Utilities\RefineRTDCRunTimes.py" --tripid 804-05 --locoid 4043 --swversion DE.1.0.8.0 --startMP 300:58704 --initTime 2017-01-05T06:38:10 --startdatetime 2017-01-05T06:40:58 --delay 1 --endMP 204:678 --enddatetime 2017-01-05T07:00:22 --enforcementcount 0 &gt;&gt;C:\Users\stu\Documents\GitHub\eaglep3-reporting\EC\2017-01-05-refined-times.txt</v>
      </c>
      <c r="AI159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{"issue":{"subject":"","project_id":79,"tracker_id":40,"status_id":1,"priority_id":2,"assigned_to_id":23,"start_date":"2017-01-05","description":"","custom_fields":[{"id":1,"name":"Subdivision","value":"NW"},{"id":4,"name":"Milepost","value":"0.0678"},{"id":17,"name":"Train ID","value":"804-05"},{"id":16,"name":"Locomotive ID","value":"4043"},{"id":130,"name":"Impact","value":""},{"id":150,"name":"Time of Event (Mountain Time)","value":"07:00:22"},{"id":151,"name":"Denver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63"/>
        <v>start /low /b %USERPROFILE%\Documents\GitHub\eaglep3\Utilities\DownloadLogsFromS3.py --loco 4043 --day 2017-01-05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525</v>
      </c>
      <c r="B160" s="7">
        <v>4020</v>
      </c>
      <c r="C160" s="22" t="s">
        <v>203</v>
      </c>
      <c r="D160" s="22" t="s">
        <v>822</v>
      </c>
      <c r="E160" s="13">
        <v>42740.273460648146</v>
      </c>
      <c r="F160" s="13">
        <v>42740.285636574074</v>
      </c>
      <c r="G160" s="7">
        <v>1</v>
      </c>
      <c r="H160" s="22" t="s">
        <v>823</v>
      </c>
      <c r="I160" s="13">
        <v>42740.297476851854</v>
      </c>
      <c r="J160" s="7">
        <v>0</v>
      </c>
      <c r="K160" s="105" t="str">
        <f t="shared" si="64"/>
        <v>4019/4020</v>
      </c>
      <c r="L160" s="22" t="str">
        <f>VLOOKUP(A160,'Trips&amp;Operators'!$C$1:$G$99999,5,FALSE)</f>
        <v>SHOOK JOHN</v>
      </c>
      <c r="M160" s="6">
        <f t="shared" si="65"/>
        <v>1.1840277780720498E-2</v>
      </c>
      <c r="N160" s="7">
        <f t="shared" si="77"/>
        <v>17.050000004237518</v>
      </c>
      <c r="O160" s="7"/>
      <c r="P160" s="7"/>
      <c r="Q160" s="23"/>
      <c r="R160" s="23"/>
      <c r="S160" s="32">
        <f t="shared" si="76"/>
        <v>1</v>
      </c>
      <c r="T160" s="47" t="str">
        <f t="shared" si="66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05:33:47-700',mode:absolute,to:'2017-01-05 08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0" s="49" t="str">
        <f t="shared" si="68"/>
        <v>N</v>
      </c>
      <c r="X160" s="173">
        <f t="shared" si="60"/>
        <v>1</v>
      </c>
      <c r="Y160" s="64">
        <f t="shared" si="69"/>
        <v>9.9500000000000005E-2</v>
      </c>
      <c r="Z160" s="64">
        <f t="shared" si="70"/>
        <v>5.8994999999999997</v>
      </c>
      <c r="AA160" s="64">
        <f t="shared" si="71"/>
        <v>5.8</v>
      </c>
      <c r="AB160" s="61" t="e">
        <f>VLOOKUP(A160,Enforcements!$C$7:$K$18,8,0)</f>
        <v>#N/A</v>
      </c>
      <c r="AC160" s="57" t="e">
        <f>VLOOKUP(A160,Enforcements!$C$7:$E$18,3,0)</f>
        <v>#N/A</v>
      </c>
      <c r="AD160" s="58" t="str">
        <f t="shared" si="72"/>
        <v>0805-05</v>
      </c>
      <c r="AE160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60" s="84" t="str">
        <f t="shared" si="74"/>
        <v>"C:\Program Files (x86)\AstroGrep\AstroGrep.exe" /spath="%USERPROFILE%\AppData\Local\Temp\OnboardLogs" /stypes="app*4020*20170105*" /stext=" 14:.+((SYSTEM_STATE.+slice.+state.+changed )|(ment ac)|(multiple cpu faults)|(system.+state.+changed )|(\[timeout)|(PRM\|1\|D)|(kpr)|(kdp)|(\|lc)|(penalty))" /e /r /s</v>
      </c>
      <c r="AG160" s="1" t="str">
        <f t="shared" si="75"/>
        <v>NW</v>
      </c>
      <c r="AH160" s="88" t="str">
        <f t="shared" si="61"/>
        <v>"%USERPROFILE%\Documents\GitHub\eaglep3\Utilities\RefineRTDCRunTimes.py" --tripid 805-05 --locoid 4020 --swversion DE.1.0.8.0 --startMP 204:995 --initTime 2017-01-05T06:33:47 --startdatetime 2017-01-05T06:51:19 --delay 1 --endMP 300:58995 --enddatetime 2017-01-05T07:08:22 --enforcementcount 0 &gt;&gt;C:\Users\stu\Documents\GitHub\eaglep3-reporting\EC\2017-01-05-refined-times.txt</v>
      </c>
      <c r="AI160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{"issue":{"subject":"","project_id":79,"tracker_id":40,"status_id":1,"priority_id":2,"assigned_to_id":23,"start_date":"2017-01-05","description":"","custom_fields":[{"id":1,"name":"Subdivision","value":"NW"},{"id":4,"name":"Milepost","value":"5.8995"},{"id":17,"name":"Train ID","value":"805-05"},{"id":16,"name":"Locomotive ID","value":"4020"},{"id":130,"name":"Impact","value":""},{"id":150,"name":"Time of Event (Mountain Time)","value":"07:08:22"},{"id":151,"name":"Denver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63"/>
        <v>start /low /b %USERPROFILE%\Documents\GitHub\eaglep3\Utilities\DownloadLogsFromS3.py --loco 4020 --day 2017-01-05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4" t="s">
        <v>534</v>
      </c>
      <c r="B161" s="7">
        <v>4019</v>
      </c>
      <c r="C161" s="22" t="s">
        <v>203</v>
      </c>
      <c r="D161" s="22" t="s">
        <v>819</v>
      </c>
      <c r="E161" s="13">
        <v>42740.299097222225</v>
      </c>
      <c r="F161" s="13">
        <v>42740.300787037035</v>
      </c>
      <c r="G161" s="7">
        <v>1</v>
      </c>
      <c r="H161" s="22" t="s">
        <v>816</v>
      </c>
      <c r="I161" s="13">
        <v>42740.311747685184</v>
      </c>
      <c r="J161" s="7">
        <v>0</v>
      </c>
      <c r="K161" s="105" t="str">
        <f t="shared" si="64"/>
        <v>4019/4020</v>
      </c>
      <c r="L161" s="22" t="str">
        <f>VLOOKUP(A161,'Trips&amp;Operators'!$C$1:$G$99999,5,FALSE)</f>
        <v>SHOOK JOHN</v>
      </c>
      <c r="M161" s="6">
        <f t="shared" si="65"/>
        <v>1.096064814919373E-2</v>
      </c>
      <c r="N161" s="7">
        <f t="shared" si="77"/>
        <v>15.783333334838971</v>
      </c>
      <c r="O161" s="7"/>
      <c r="P161" s="7"/>
      <c r="Q161" s="23"/>
      <c r="R161" s="23"/>
      <c r="S161" s="32">
        <f t="shared" si="76"/>
        <v>1</v>
      </c>
      <c r="T161" s="47" t="str">
        <f t="shared" si="66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06:10:42-700',mode:absolute,to:'2017-01-05 08:28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1" s="49" t="str">
        <f t="shared" si="68"/>
        <v>N</v>
      </c>
      <c r="X161" s="173">
        <f t="shared" si="60"/>
        <v>1</v>
      </c>
      <c r="Y161" s="64">
        <f t="shared" si="69"/>
        <v>5.8677000000000001</v>
      </c>
      <c r="Z161" s="64">
        <f t="shared" si="70"/>
        <v>7.1999999999999995E-2</v>
      </c>
      <c r="AA161" s="64">
        <f t="shared" si="71"/>
        <v>5.7957000000000001</v>
      </c>
      <c r="AB161" s="61" t="e">
        <f>VLOOKUP(A161,Enforcements!$C$7:$K$18,8,0)</f>
        <v>#N/A</v>
      </c>
      <c r="AC161" s="57" t="e">
        <f>VLOOKUP(A161,Enforcements!$C$7:$E$18,3,0)</f>
        <v>#N/A</v>
      </c>
      <c r="AD161" s="58" t="str">
        <f t="shared" si="72"/>
        <v>0806-05</v>
      </c>
      <c r="AE161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61" s="84" t="str">
        <f t="shared" si="74"/>
        <v>"C:\Program Files (x86)\AstroGrep\AstroGrep.exe" /spath="%USERPROFILE%\AppData\Local\Temp\OnboardLogs" /stypes="app*4019*20170105*" /stext=" 14:.+((SYSTEM_STATE.+slice.+state.+changed )|(ment ac)|(multiple cpu faults)|(system.+state.+changed )|(\[timeout)|(PRM\|1\|D)|(kpr)|(kdp)|(\|lc)|(penalty))" /e /r /s</v>
      </c>
      <c r="AG161" s="1" t="str">
        <f t="shared" si="75"/>
        <v>NW</v>
      </c>
      <c r="AH161" s="88" t="str">
        <f t="shared" si="61"/>
        <v>"%USERPROFILE%\Documents\GitHub\eaglep3\Utilities\RefineRTDCRunTimes.py" --tripid 806-05 --locoid 4019 --swversion DE.1.0.8.0 --startMP 300:58677 --initTime 2017-01-05T07:10:42 --startdatetime 2017-01-05T07:13:08 --delay 1 --endMP 204:720 --enddatetime 2017-01-05T07:28:55 --enforcementcount 0 &gt;&gt;C:\Users\stu\Documents\GitHub\eaglep3-reporting\EC\2017-01-05-refined-times.txt</v>
      </c>
      <c r="AI161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{"issue":{"subject":"","project_id":79,"tracker_id":40,"status_id":1,"priority_id":2,"assigned_to_id":23,"start_date":"2017-01-05","description":"","custom_fields":[{"id":1,"name":"Subdivision","value":"NW"},{"id":4,"name":"Milepost","value":"0.072"},{"id":17,"name":"Train ID","value":"806-05"},{"id":16,"name":"Locomotive ID","value":"4019"},{"id":130,"name":"Impact","value":""},{"id":150,"name":"Time of Event (Mountain Time)","value":"07:28:55"},{"id":151,"name":"Denver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63"/>
        <v>start /low /b %USERPROFILE%\Documents\GitHub\eaglep3\Utilities\DownloadLogsFromS3.py --loco 4019 --day 2017-01-05</v>
      </c>
    </row>
    <row r="162" spans="1:91" x14ac:dyDescent="0.25">
      <c r="A162" s="34" t="s">
        <v>535</v>
      </c>
      <c r="B162" s="7">
        <v>4044</v>
      </c>
      <c r="C162" s="22" t="s">
        <v>203</v>
      </c>
      <c r="D162" s="22" t="s">
        <v>439</v>
      </c>
      <c r="E162" s="13">
        <v>42740.303206018521</v>
      </c>
      <c r="F162" s="13">
        <v>42740.306458333333</v>
      </c>
      <c r="G162" s="7">
        <v>1</v>
      </c>
      <c r="H162" s="22" t="s">
        <v>824</v>
      </c>
      <c r="I162" s="13">
        <v>42740.316331018519</v>
      </c>
      <c r="J162" s="7">
        <v>0</v>
      </c>
      <c r="K162" s="105" t="str">
        <f t="shared" si="64"/>
        <v>4043/4044</v>
      </c>
      <c r="L162" s="22" t="str">
        <f>VLOOKUP(A162,'Trips&amp;Operators'!$C$1:$G$99999,5,FALSE)</f>
        <v>SIMMONS SHYHESHA</v>
      </c>
      <c r="M162" s="6">
        <f t="shared" si="65"/>
        <v>9.8726851865649223E-3</v>
      </c>
      <c r="N162" s="7">
        <f t="shared" si="77"/>
        <v>14.216666668653488</v>
      </c>
      <c r="O162" s="7"/>
      <c r="P162" s="7"/>
      <c r="Q162" s="23"/>
      <c r="R162" s="23"/>
      <c r="S162" s="32">
        <f t="shared" si="76"/>
        <v>1</v>
      </c>
      <c r="T162" s="47" t="str">
        <f t="shared" si="66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06:16:37-700',mode:absolute,to:'2017-01-05 08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2" s="49" t="str">
        <f t="shared" si="68"/>
        <v>N</v>
      </c>
      <c r="X162" s="173">
        <f t="shared" si="60"/>
        <v>1</v>
      </c>
      <c r="Y162" s="64">
        <f t="shared" si="69"/>
        <v>9.69E-2</v>
      </c>
      <c r="Z162" s="64">
        <f t="shared" si="70"/>
        <v>5.8963000000000001</v>
      </c>
      <c r="AA162" s="64">
        <f t="shared" si="71"/>
        <v>5.7994000000000003</v>
      </c>
      <c r="AB162" s="61" t="e">
        <f>VLOOKUP(A162,Enforcements!$C$7:$K$18,8,0)</f>
        <v>#N/A</v>
      </c>
      <c r="AC162" s="57" t="e">
        <f>VLOOKUP(A162,Enforcements!$C$7:$E$18,3,0)</f>
        <v>#N/A</v>
      </c>
      <c r="AD162" s="58" t="str">
        <f t="shared" si="72"/>
        <v>0807-05</v>
      </c>
      <c r="AE162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62" s="84" t="str">
        <f t="shared" si="74"/>
        <v>"C:\Program Files (x86)\AstroGrep\AstroGrep.exe" /spath="%USERPROFILE%\AppData\Local\Temp\OnboardLogs" /stypes="app*4044*20170105*" /stext=" 14:.+((SYSTEM_STATE.+slice.+state.+changed )|(ment ac)|(multiple cpu faults)|(system.+state.+changed )|(\[timeout)|(PRM\|1\|D)|(kpr)|(kdp)|(\|lc)|(penalty))" /e /r /s</v>
      </c>
      <c r="AG162" s="1" t="str">
        <f t="shared" si="75"/>
        <v>NW</v>
      </c>
      <c r="AH162" s="88" t="str">
        <f t="shared" si="61"/>
        <v>"%USERPROFILE%\Documents\GitHub\eaglep3\Utilities\RefineRTDCRunTimes.py" --tripid 807-05 --locoid 4044 --swversion DE.1.0.8.0 --startMP 204:969 --initTime 2017-01-05T07:16:37 --startdatetime 2017-01-05T07:21:18 --delay 1 --endMP 300:58963 --enddatetime 2017-01-05T07:35:31 --enforcementcount 0 &gt;&gt;C:\Users\stu\Documents\GitHub\eaglep3-reporting\EC\2017-01-05-refined-times.txt</v>
      </c>
      <c r="AI162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{"issue":{"subject":"","project_id":79,"tracker_id":40,"status_id":1,"priority_id":2,"assigned_to_id":23,"start_date":"2017-01-05","description":"","custom_fields":[{"id":1,"name":"Subdivision","value":"NW"},{"id":4,"name":"Milepost","value":"5.8963"},{"id":17,"name":"Train ID","value":"807-05"},{"id":16,"name":"Locomotive ID","value":"4044"},{"id":130,"name":"Impact","value":""},{"id":150,"name":"Time of Event (Mountain Time)","value":"07:35:31"},{"id":151,"name":"Denver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63"/>
        <v>start /low /b %USERPROFILE%\Documents\GitHub\eaglep3\Utilities\DownloadLogsFromS3.py --loco 4044 --day 2017-01-05</v>
      </c>
    </row>
    <row r="163" spans="1:91" x14ac:dyDescent="0.25">
      <c r="A163" s="34" t="s">
        <v>539</v>
      </c>
      <c r="B163" s="7">
        <v>4043</v>
      </c>
      <c r="C163" s="22" t="s">
        <v>203</v>
      </c>
      <c r="D163" s="22" t="s">
        <v>825</v>
      </c>
      <c r="E163" s="13">
        <v>42740.317164351851</v>
      </c>
      <c r="F163" s="13">
        <v>42740.318993055553</v>
      </c>
      <c r="G163" s="7">
        <v>1</v>
      </c>
      <c r="H163" s="22" t="s">
        <v>379</v>
      </c>
      <c r="I163" s="13">
        <v>42740.330462962964</v>
      </c>
      <c r="J163" s="7">
        <v>0</v>
      </c>
      <c r="K163" s="105" t="str">
        <f t="shared" si="64"/>
        <v>4043/4044</v>
      </c>
      <c r="L163" s="22" t="str">
        <f>VLOOKUP(A163,'Trips&amp;Operators'!$C$1:$G$99999,5,FALSE)</f>
        <v>LOZA FIDEL</v>
      </c>
      <c r="M163" s="6">
        <f t="shared" si="65"/>
        <v>1.1469907411083113E-2</v>
      </c>
      <c r="N163" s="7">
        <f t="shared" si="77"/>
        <v>16.516666671959683</v>
      </c>
      <c r="O163" s="7"/>
      <c r="P163" s="7"/>
      <c r="Q163" s="23"/>
      <c r="R163" s="23"/>
      <c r="S163" s="32">
        <f t="shared" si="76"/>
        <v>1</v>
      </c>
      <c r="T163" s="47" t="str">
        <f t="shared" si="66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06:36:43-700',mode:absolute,to:'2017-01-05 08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3" s="49" t="str">
        <f t="shared" si="68"/>
        <v>N</v>
      </c>
      <c r="X163" s="173">
        <f t="shared" ref="X163:X193" si="78">VALUE(LEFT(AD163,4))-VALUE(LEFT(AD162,4))</f>
        <v>1</v>
      </c>
      <c r="Y163" s="64">
        <f t="shared" si="69"/>
        <v>5.8648999999999996</v>
      </c>
      <c r="Z163" s="64">
        <f t="shared" si="70"/>
        <v>6.7799999999999999E-2</v>
      </c>
      <c r="AA163" s="64">
        <f t="shared" si="71"/>
        <v>5.7970999999999995</v>
      </c>
      <c r="AB163" s="61" t="e">
        <f>VLOOKUP(A163,Enforcements!$C$7:$K$18,8,0)</f>
        <v>#N/A</v>
      </c>
      <c r="AC163" s="57" t="e">
        <f>VLOOKUP(A163,Enforcements!$C$7:$E$18,3,0)</f>
        <v>#N/A</v>
      </c>
      <c r="AD163" s="58" t="str">
        <f t="shared" si="72"/>
        <v>0808-05</v>
      </c>
      <c r="AE163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63" s="84" t="str">
        <f t="shared" si="74"/>
        <v>"C:\Program Files (x86)\AstroGrep\AstroGrep.exe" /spath="%USERPROFILE%\AppData\Local\Temp\OnboardLogs" /stypes="app*4043*20170105*" /stext=" 14:.+((SYSTEM_STATE.+slice.+state.+changed )|(ment ac)|(multiple cpu faults)|(system.+state.+changed )|(\[timeout)|(PRM\|1\|D)|(kpr)|(kdp)|(\|lc)|(penalty))" /e /r /s</v>
      </c>
      <c r="AG163" s="1" t="str">
        <f t="shared" si="75"/>
        <v>NW</v>
      </c>
      <c r="AH163" s="88" t="str">
        <f t="shared" si="61"/>
        <v>"%USERPROFILE%\Documents\GitHub\eaglep3\Utilities\RefineRTDCRunTimes.py" --tripid 808-05 --locoid 4043 --swversion DE.1.0.8.0 --startMP 300:58649 --initTime 2017-01-05T07:36:43 --startdatetime 2017-01-05T07:39:21 --delay 1 --endMP 204:678 --enddatetime 2017-01-05T07:55:52 --enforcementcount 0 &gt;&gt;C:\Users\stu\Documents\GitHub\eaglep3-reporting\EC\2017-01-05-refined-times.txt</v>
      </c>
      <c r="AI163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{"issue":{"subject":"","project_id":79,"tracker_id":40,"status_id":1,"priority_id":2,"assigned_to_id":23,"start_date":"2017-01-05","description":"","custom_fields":[{"id":1,"name":"Subdivision","value":"NW"},{"id":4,"name":"Milepost","value":"0.0678"},{"id":17,"name":"Train ID","value":"808-05"},{"id":16,"name":"Locomotive ID","value":"4043"},{"id":130,"name":"Impact","value":""},{"id":150,"name":"Time of Event (Mountain Time)","value":"07:55:52"},{"id":151,"name":"Denver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63"/>
        <v>start /low /b %USERPROFILE%\Documents\GitHub\eaglep3\Utilities\DownloadLogsFromS3.py --loco 4043 --day 2017-01-05</v>
      </c>
    </row>
    <row r="164" spans="1:91" x14ac:dyDescent="0.25">
      <c r="A164" s="34" t="s">
        <v>537</v>
      </c>
      <c r="B164" s="7">
        <v>4020</v>
      </c>
      <c r="C164" s="22" t="s">
        <v>203</v>
      </c>
      <c r="D164" s="22" t="s">
        <v>817</v>
      </c>
      <c r="E164" s="13">
        <v>42740.314085648148</v>
      </c>
      <c r="F164" s="13">
        <v>42740.327314814815</v>
      </c>
      <c r="G164" s="7">
        <v>1</v>
      </c>
      <c r="H164" s="22" t="s">
        <v>826</v>
      </c>
      <c r="I164" s="13">
        <v>42740.33871527778</v>
      </c>
      <c r="J164" s="7">
        <v>0</v>
      </c>
      <c r="K164" s="105" t="str">
        <f t="shared" si="64"/>
        <v>4019/4020</v>
      </c>
      <c r="L164" s="22" t="str">
        <f>VLOOKUP(A164,'Trips&amp;Operators'!$C$1:$G$99999,5,FALSE)</f>
        <v>SHOOK JOHN</v>
      </c>
      <c r="M164" s="6">
        <f t="shared" si="65"/>
        <v>1.1400462964957114E-2</v>
      </c>
      <c r="N164" s="7">
        <f t="shared" si="77"/>
        <v>16.416666669538245</v>
      </c>
      <c r="O164" s="7"/>
      <c r="P164" s="7"/>
      <c r="Q164" s="23"/>
      <c r="R164" s="23"/>
      <c r="S164" s="32">
        <f t="shared" si="76"/>
        <v>1</v>
      </c>
      <c r="T164" s="47" t="str">
        <f t="shared" si="66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06:32:17-700',mode:absolute,to:'2017-01-05 09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4" s="49" t="str">
        <f t="shared" si="68"/>
        <v>N</v>
      </c>
      <c r="X164" s="173">
        <f t="shared" si="78"/>
        <v>1</v>
      </c>
      <c r="Y164" s="64">
        <f t="shared" si="69"/>
        <v>0.1009</v>
      </c>
      <c r="Z164" s="64">
        <f t="shared" si="70"/>
        <v>5.899</v>
      </c>
      <c r="AA164" s="64">
        <f t="shared" si="71"/>
        <v>5.7980999999999998</v>
      </c>
      <c r="AB164" s="61" t="e">
        <f>VLOOKUP(A164,Enforcements!$C$7:$K$18,8,0)</f>
        <v>#N/A</v>
      </c>
      <c r="AC164" s="57" t="e">
        <f>VLOOKUP(A164,Enforcements!$C$7:$E$18,3,0)</f>
        <v>#N/A</v>
      </c>
      <c r="AD164" s="58" t="str">
        <f t="shared" si="72"/>
        <v>0809-05</v>
      </c>
      <c r="AE164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64" s="84" t="str">
        <f t="shared" si="74"/>
        <v>"C:\Program Files (x86)\AstroGrep\AstroGrep.exe" /spath="%USERPROFILE%\AppData\Local\Temp\OnboardLogs" /stypes="app*4020*20170105*" /stext=" 15:.+((SYSTEM_STATE.+slice.+state.+changed )|(ment ac)|(multiple cpu faults)|(system.+state.+changed )|(\[timeout)|(PRM\|1\|D)|(kpr)|(kdp)|(\|lc)|(penalty))" /e /r /s</v>
      </c>
      <c r="AG164" s="1" t="str">
        <f t="shared" si="75"/>
        <v>NW</v>
      </c>
      <c r="AH164" s="88" t="str">
        <f t="shared" si="61"/>
        <v>"%USERPROFILE%\Documents\GitHub\eaglep3\Utilities\RefineRTDCRunTimes.py" --tripid 809-05 --locoid 4020 --swversion DE.1.0.8.0 --startMP 204:1009 --initTime 2017-01-05T07:32:17 --startdatetime 2017-01-05T07:51:20 --delay 1 --endMP 300:58990 --enddatetime 2017-01-05T08:07:45 --enforcementcount 0 &gt;&gt;C:\Users\stu\Documents\GitHub\eaglep3-reporting\EC\2017-01-05-refined-times.txt</v>
      </c>
      <c r="AI164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{"issue":{"subject":"","project_id":79,"tracker_id":40,"status_id":1,"priority_id":2,"assigned_to_id":23,"start_date":"2017-01-05","description":"","custom_fields":[{"id":1,"name":"Subdivision","value":"NW"},{"id":4,"name":"Milepost","value":"5.899"},{"id":17,"name":"Train ID","value":"809-05"},{"id":16,"name":"Locomotive ID","value":"4020"},{"id":130,"name":"Impact","value":""},{"id":150,"name":"Time of Event (Mountain Time)","value":"08:07:45"},{"id":151,"name":"Denver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63"/>
        <v>start /low /b %USERPROFILE%\Documents\GitHub\eaglep3\Utilities\DownloadLogsFromS3.py --loco 4020 --day 2017-01-05</v>
      </c>
    </row>
    <row r="165" spans="1:91" s="21" customFormat="1" x14ac:dyDescent="0.25">
      <c r="A165" s="34" t="s">
        <v>543</v>
      </c>
      <c r="B165" s="7">
        <v>4019</v>
      </c>
      <c r="C165" s="22" t="s">
        <v>203</v>
      </c>
      <c r="D165" s="22" t="s">
        <v>448</v>
      </c>
      <c r="E165" s="13">
        <v>42740.340057870373</v>
      </c>
      <c r="F165" s="13">
        <v>42740.341666666667</v>
      </c>
      <c r="G165" s="7">
        <v>1</v>
      </c>
      <c r="H165" s="22" t="s">
        <v>829</v>
      </c>
      <c r="I165" s="13">
        <v>42740.352812500001</v>
      </c>
      <c r="J165" s="7">
        <v>0</v>
      </c>
      <c r="K165" s="105" t="str">
        <f t="shared" si="64"/>
        <v>4019/4020</v>
      </c>
      <c r="L165" s="22" t="str">
        <f>VLOOKUP(A165,'Trips&amp;Operators'!$C$1:$G$99999,5,FALSE)</f>
        <v>SHOOK JOHN</v>
      </c>
      <c r="M165" s="6">
        <f t="shared" si="65"/>
        <v>1.1145833334012423E-2</v>
      </c>
      <c r="N165" s="7">
        <f t="shared" si="77"/>
        <v>16.050000000977889</v>
      </c>
      <c r="O165" s="7"/>
      <c r="P165" s="7"/>
      <c r="Q165" s="23"/>
      <c r="R165" s="23"/>
      <c r="S165" s="32">
        <f t="shared" si="76"/>
        <v>1</v>
      </c>
      <c r="T165" s="47" t="str">
        <f t="shared" si="66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07:09:41-700',mode:absolute,to:'2017-01-05 09:28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5" s="49" t="str">
        <f t="shared" si="68"/>
        <v>N</v>
      </c>
      <c r="X165" s="173">
        <f t="shared" si="78"/>
        <v>1</v>
      </c>
      <c r="Y165" s="64">
        <f t="shared" si="69"/>
        <v>5.8688000000000002</v>
      </c>
      <c r="Z165" s="64">
        <f t="shared" si="70"/>
        <v>1.9599999999999999E-2</v>
      </c>
      <c r="AA165" s="64">
        <f t="shared" si="71"/>
        <v>5.8492000000000006</v>
      </c>
      <c r="AB165" s="61" t="e">
        <f>VLOOKUP(A165,Enforcements!$C$7:$K$18,8,0)</f>
        <v>#N/A</v>
      </c>
      <c r="AC165" s="57" t="e">
        <f>VLOOKUP(A165,Enforcements!$C$7:$E$18,3,0)</f>
        <v>#N/A</v>
      </c>
      <c r="AD165" s="58" t="str">
        <f t="shared" si="72"/>
        <v>0810-05</v>
      </c>
      <c r="AE165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65" s="84" t="str">
        <f t="shared" si="74"/>
        <v>"C:\Program Files (x86)\AstroGrep\AstroGrep.exe" /spath="%USERPROFILE%\AppData\Local\Temp\OnboardLogs" /stypes="app*4019*20170105*" /stext=" 15:.+((SYSTEM_STATE.+slice.+state.+changed )|(ment ac)|(multiple cpu faults)|(system.+state.+changed )|(\[timeout)|(PRM\|1\|D)|(kpr)|(kdp)|(\|lc)|(penalty))" /e /r /s</v>
      </c>
      <c r="AG165" s="1" t="str">
        <f t="shared" si="75"/>
        <v>NW</v>
      </c>
      <c r="AH165" s="88" t="str">
        <f t="shared" si="61"/>
        <v>"%USERPROFILE%\Documents\GitHub\eaglep3\Utilities\RefineRTDCRunTimes.py" --tripid 810-05 --locoid 4019 --swversion DE.1.0.8.0 --startMP 300:58688 --initTime 2017-01-05T08:09:41 --startdatetime 2017-01-05T08:12:00 --delay 1 --endMP 204:196 --enddatetime 2017-01-05T08:28:03 --enforcementcount 0 &gt;&gt;C:\Users\stu\Documents\GitHub\eaglep3-reporting\EC\2017-01-05-refined-times.txt</v>
      </c>
      <c r="AI165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{"issue":{"subject":"","project_id":79,"tracker_id":40,"status_id":1,"priority_id":2,"assigned_to_id":23,"start_date":"2017-01-05","description":"","custom_fields":[{"id":1,"name":"Subdivision","value":"NW"},{"id":4,"name":"Milepost","value":"0.0196"},{"id":17,"name":"Train ID","value":"810-05"},{"id":16,"name":"Locomotive ID","value":"4019"},{"id":130,"name":"Impact","value":""},{"id":150,"name":"Time of Event (Mountain Time)","value":"08:28:03"},{"id":151,"name":"Denver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63"/>
        <v>start /low /b %USERPROFILE%\Documents\GitHub\eaglep3\Utilities\DownloadLogsFromS3.py --loco 4019 --day 2017-01-05</v>
      </c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4" t="s">
        <v>470</v>
      </c>
      <c r="B166" s="7">
        <v>4044</v>
      </c>
      <c r="C166" s="22" t="s">
        <v>203</v>
      </c>
      <c r="D166" s="22" t="s">
        <v>452</v>
      </c>
      <c r="E166" s="13">
        <v>42740.34165509259</v>
      </c>
      <c r="F166" s="13">
        <v>42740.348124999997</v>
      </c>
      <c r="G166" s="7">
        <v>1</v>
      </c>
      <c r="H166" s="22" t="s">
        <v>830</v>
      </c>
      <c r="I166" s="13">
        <v>42740.357754629629</v>
      </c>
      <c r="J166" s="7">
        <v>0</v>
      </c>
      <c r="K166" s="105" t="str">
        <f t="shared" si="64"/>
        <v>4043/4044</v>
      </c>
      <c r="L166" s="22" t="str">
        <f>VLOOKUP(A166,'Trips&amp;Operators'!$C$1:$G$99999,5,FALSE)</f>
        <v>SIMMONS SHYHESHA</v>
      </c>
      <c r="M166" s="6">
        <f t="shared" si="65"/>
        <v>9.6296296323998831E-3</v>
      </c>
      <c r="N166" s="7">
        <f t="shared" si="77"/>
        <v>13.866666670655832</v>
      </c>
      <c r="O166" s="7"/>
      <c r="P166" s="7"/>
      <c r="Q166" s="23"/>
      <c r="R166" s="23"/>
      <c r="S166" s="32">
        <f t="shared" si="76"/>
        <v>1</v>
      </c>
      <c r="T166" s="47" t="str">
        <f t="shared" si="66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07:11:59-700',mode:absolute,to:'2017-01-05 09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6" s="49" t="str">
        <f t="shared" si="68"/>
        <v>N</v>
      </c>
      <c r="X166" s="173">
        <f t="shared" si="78"/>
        <v>1</v>
      </c>
      <c r="Y166" s="64">
        <f t="shared" si="69"/>
        <v>9.6699999999999994E-2</v>
      </c>
      <c r="Z166" s="64">
        <f t="shared" si="70"/>
        <v>5.8895999999999997</v>
      </c>
      <c r="AA166" s="64">
        <f t="shared" si="71"/>
        <v>5.7928999999999995</v>
      </c>
      <c r="AB166" s="61" t="e">
        <f>VLOOKUP(A166,Enforcements!$C$7:$K$18,8,0)</f>
        <v>#N/A</v>
      </c>
      <c r="AC166" s="57" t="e">
        <f>VLOOKUP(A166,Enforcements!$C$7:$E$18,3,0)</f>
        <v>#N/A</v>
      </c>
      <c r="AD166" s="58" t="str">
        <f t="shared" si="72"/>
        <v>0811-05</v>
      </c>
      <c r="AE166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66" s="84" t="str">
        <f t="shared" si="74"/>
        <v>"C:\Program Files (x86)\AstroGrep\AstroGrep.exe" /spath="%USERPROFILE%\AppData\Local\Temp\OnboardLogs" /stypes="app*4044*20170105*" /stext=" 15:.+((SYSTEM_STATE.+slice.+state.+changed )|(ment ac)|(multiple cpu faults)|(system.+state.+changed )|(\[timeout)|(PRM\|1\|D)|(kpr)|(kdp)|(\|lc)|(penalty))" /e /r /s</v>
      </c>
      <c r="AG166" s="1" t="str">
        <f t="shared" si="75"/>
        <v>NW</v>
      </c>
      <c r="AH166" s="88" t="str">
        <f t="shared" si="61"/>
        <v>"%USERPROFILE%\Documents\GitHub\eaglep3\Utilities\RefineRTDCRunTimes.py" --tripid 811-05 --locoid 4044 --swversion DE.1.0.8.0 --startMP 204:967 --initTime 2017-01-05T08:11:59 --startdatetime 2017-01-05T08:21:18 --delay 1 --endMP 300:58896 --enddatetime 2017-01-05T08:35:10 --enforcementcount 0 &gt;&gt;C:\Users\stu\Documents\GitHub\eaglep3-reporting\EC\2017-01-05-refined-times.txt</v>
      </c>
      <c r="AI166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{"issue":{"subject":"","project_id":79,"tracker_id":40,"status_id":1,"priority_id":2,"assigned_to_id":23,"start_date":"2017-01-05","description":"","custom_fields":[{"id":1,"name":"Subdivision","value":"NW"},{"id":4,"name":"Milepost","value":"5.8896"},{"id":17,"name":"Train ID","value":"811-05"},{"id":16,"name":"Locomotive ID","value":"4044"},{"id":130,"name":"Impact","value":""},{"id":150,"name":"Time of Event (Mountain Time)","value":"08:35:10"},{"id":151,"name":"Denver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63"/>
        <v>start /low /b %USERPROFILE%\Documents\GitHub\eaglep3\Utilities\DownloadLogsFromS3.py --loco 4044 --day 2017-01-05</v>
      </c>
    </row>
    <row r="167" spans="1:91" x14ac:dyDescent="0.25">
      <c r="A167" s="34" t="s">
        <v>548</v>
      </c>
      <c r="B167" s="7">
        <v>4043</v>
      </c>
      <c r="C167" s="22" t="s">
        <v>203</v>
      </c>
      <c r="D167" s="22" t="s">
        <v>831</v>
      </c>
      <c r="E167" s="13">
        <v>42740.359224537038</v>
      </c>
      <c r="F167" s="13">
        <v>42740.360648148147</v>
      </c>
      <c r="G167" s="7">
        <v>1</v>
      </c>
      <c r="H167" s="22" t="s">
        <v>342</v>
      </c>
      <c r="I167" s="13">
        <v>42740.372141203705</v>
      </c>
      <c r="J167" s="7">
        <v>0</v>
      </c>
      <c r="K167" s="105" t="str">
        <f t="shared" si="64"/>
        <v>4043/4044</v>
      </c>
      <c r="L167" s="22" t="str">
        <f>VLOOKUP(A167,'Trips&amp;Operators'!$C$1:$G$99999,5,FALSE)</f>
        <v>LOZA FIDEL</v>
      </c>
      <c r="M167" s="6">
        <f t="shared" si="65"/>
        <v>1.1493055557366461E-2</v>
      </c>
      <c r="N167" s="7">
        <f t="shared" si="77"/>
        <v>16.550000002607703</v>
      </c>
      <c r="O167" s="7"/>
      <c r="P167" s="7"/>
      <c r="Q167" s="23"/>
      <c r="R167" s="23"/>
      <c r="S167" s="32">
        <f t="shared" si="76"/>
        <v>1</v>
      </c>
      <c r="T167" s="47" t="str">
        <f t="shared" si="66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07:37:17-700',mode:absolute,to:'2017-01-05 09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7" s="49" t="str">
        <f t="shared" si="68"/>
        <v>N</v>
      </c>
      <c r="X167" s="173">
        <f t="shared" si="78"/>
        <v>1</v>
      </c>
      <c r="Y167" s="64">
        <f t="shared" si="69"/>
        <v>5.8581000000000003</v>
      </c>
      <c r="Z167" s="64">
        <f t="shared" si="70"/>
        <v>6.7000000000000004E-2</v>
      </c>
      <c r="AA167" s="64">
        <f t="shared" si="71"/>
        <v>5.7911000000000001</v>
      </c>
      <c r="AB167" s="61" t="e">
        <f>VLOOKUP(A167,Enforcements!$C$7:$K$18,8,0)</f>
        <v>#N/A</v>
      </c>
      <c r="AC167" s="57" t="e">
        <f>VLOOKUP(A167,Enforcements!$C$7:$E$18,3,0)</f>
        <v>#N/A</v>
      </c>
      <c r="AD167" s="58" t="str">
        <f t="shared" si="72"/>
        <v>0812-05</v>
      </c>
      <c r="AE167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67" s="84" t="str">
        <f t="shared" si="74"/>
        <v>"C:\Program Files (x86)\AstroGrep\AstroGrep.exe" /spath="%USERPROFILE%\AppData\Local\Temp\OnboardLogs" /stypes="app*4043*20170105*" /stext=" 15:.+((SYSTEM_STATE.+slice.+state.+changed )|(ment ac)|(multiple cpu faults)|(system.+state.+changed )|(\[timeout)|(PRM\|1\|D)|(kpr)|(kdp)|(\|lc)|(penalty))" /e /r /s</v>
      </c>
      <c r="AG167" s="1" t="str">
        <f t="shared" si="75"/>
        <v>NW</v>
      </c>
      <c r="AH167" s="88" t="str">
        <f t="shared" si="61"/>
        <v>"%USERPROFILE%\Documents\GitHub\eaglep3\Utilities\RefineRTDCRunTimes.py" --tripid 812-05 --locoid 4043 --swversion DE.1.0.8.0 --startMP 300:58581 --initTime 2017-01-05T08:37:17 --startdatetime 2017-01-05T08:39:20 --delay 1 --endMP 204:670 --enddatetime 2017-01-05T08:55:53 --enforcementcount 0 &gt;&gt;C:\Users\stu\Documents\GitHub\eaglep3-reporting\EC\2017-01-05-refined-times.txt</v>
      </c>
      <c r="AI167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{"issue":{"subject":"","project_id":79,"tracker_id":40,"status_id":1,"priority_id":2,"assigned_to_id":23,"start_date":"2017-01-05","description":"","custom_fields":[{"id":1,"name":"Subdivision","value":"NW"},{"id":4,"name":"Milepost","value":"0.067"},{"id":17,"name":"Train ID","value":"812-05"},{"id":16,"name":"Locomotive ID","value":"4043"},{"id":130,"name":"Impact","value":""},{"id":150,"name":"Time of Event (Mountain Time)","value":"08:55:53"},{"id":151,"name":"Denver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63"/>
        <v>start /low /b %USERPROFILE%\Documents\GitHub\eaglep3\Utilities\DownloadLogsFromS3.py --loco 4043 --day 2017-01-05</v>
      </c>
    </row>
    <row r="168" spans="1:91" x14ac:dyDescent="0.25">
      <c r="A168" s="34" t="s">
        <v>557</v>
      </c>
      <c r="B168" s="7">
        <v>4044</v>
      </c>
      <c r="C168" s="22" t="s">
        <v>203</v>
      </c>
      <c r="D168" s="22" t="s">
        <v>454</v>
      </c>
      <c r="E168" s="13">
        <v>42740.386261574073</v>
      </c>
      <c r="F168" s="13">
        <v>42740.389826388891</v>
      </c>
      <c r="G168" s="7">
        <v>1</v>
      </c>
      <c r="H168" s="22" t="s">
        <v>832</v>
      </c>
      <c r="I168" s="13">
        <v>42740.399444444447</v>
      </c>
      <c r="J168" s="7">
        <v>0</v>
      </c>
      <c r="K168" s="105" t="str">
        <f t="shared" si="64"/>
        <v>4043/4044</v>
      </c>
      <c r="L168" s="22" t="str">
        <f>VLOOKUP(A168,'Trips&amp;Operators'!$C$1:$G$99999,5,FALSE)</f>
        <v>SIMMONS SHYHESHA</v>
      </c>
      <c r="M168" s="6">
        <f t="shared" si="65"/>
        <v>9.6180555556202307E-3</v>
      </c>
      <c r="N168" s="7">
        <f t="shared" si="77"/>
        <v>13.850000000093132</v>
      </c>
      <c r="O168" s="7"/>
      <c r="P168" s="7"/>
      <c r="Q168" s="23"/>
      <c r="R168" s="23"/>
      <c r="S168" s="32">
        <f t="shared" si="76"/>
        <v>1</v>
      </c>
      <c r="T168" s="47" t="str">
        <f t="shared" si="66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08:16:13-700',mode:absolute,to:'2017-01-05 10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8" s="49" t="str">
        <f t="shared" si="68"/>
        <v>N</v>
      </c>
      <c r="X168" s="173">
        <f t="shared" si="78"/>
        <v>1</v>
      </c>
      <c r="Y168" s="64">
        <f t="shared" si="69"/>
        <v>9.7100000000000006E-2</v>
      </c>
      <c r="Z168" s="64">
        <f t="shared" si="70"/>
        <v>5.8935000000000004</v>
      </c>
      <c r="AA168" s="64">
        <f t="shared" si="71"/>
        <v>5.7964000000000002</v>
      </c>
      <c r="AB168" s="61" t="e">
        <f>VLOOKUP(A168,Enforcements!$C$7:$K$18,8,0)</f>
        <v>#N/A</v>
      </c>
      <c r="AC168" s="57" t="e">
        <f>VLOOKUP(A168,Enforcements!$C$7:$E$18,3,0)</f>
        <v>#N/A</v>
      </c>
      <c r="AD168" s="58" t="str">
        <f t="shared" si="72"/>
        <v>0813-05</v>
      </c>
      <c r="AE168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68" s="84" t="str">
        <f t="shared" si="74"/>
        <v>"C:\Program Files (x86)\AstroGrep\AstroGrep.exe" /spath="%USERPROFILE%\AppData\Local\Temp\OnboardLogs" /stypes="app*4044*20170105*" /stext=" 16:.+((SYSTEM_STATE.+slice.+state.+changed )|(ment ac)|(multiple cpu faults)|(system.+state.+changed )|(\[timeout)|(PRM\|1\|D)|(kpr)|(kdp)|(\|lc)|(penalty))" /e /r /s</v>
      </c>
      <c r="AG168" s="1" t="str">
        <f t="shared" si="75"/>
        <v>NW</v>
      </c>
      <c r="AH168" s="88" t="str">
        <f t="shared" si="61"/>
        <v>"%USERPROFILE%\Documents\GitHub\eaglep3\Utilities\RefineRTDCRunTimes.py" --tripid 813-05 --locoid 4044 --swversion DE.1.0.8.0 --startMP 204:971 --initTime 2017-01-05T09:16:13 --startdatetime 2017-01-05T09:21:21 --delay 1 --endMP 300:58935 --enddatetime 2017-01-05T09:35:12 --enforcementcount 0 &gt;&gt;C:\Users\stu\Documents\GitHub\eaglep3-reporting\EC\2017-01-05-refined-times.txt</v>
      </c>
      <c r="AI168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{"issue":{"subject":"","project_id":79,"tracker_id":40,"status_id":1,"priority_id":2,"assigned_to_id":23,"start_date":"2017-01-05","description":"","custom_fields":[{"id":1,"name":"Subdivision","value":"NW"},{"id":4,"name":"Milepost","value":"5.8935"},{"id":17,"name":"Train ID","value":"813-05"},{"id":16,"name":"Locomotive ID","value":"4044"},{"id":130,"name":"Impact","value":""},{"id":150,"name":"Time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63"/>
        <v>start /low /b %USERPROFILE%\Documents\GitHub\eaglep3\Utilities\DownloadLogsFromS3.py --loco 4044 --day 2017-01-05</v>
      </c>
    </row>
    <row r="169" spans="1:91" x14ac:dyDescent="0.25">
      <c r="A169" s="34" t="s">
        <v>561</v>
      </c>
      <c r="B169" s="7">
        <v>4043</v>
      </c>
      <c r="C169" s="22" t="s">
        <v>203</v>
      </c>
      <c r="D169" s="22" t="s">
        <v>833</v>
      </c>
      <c r="E169" s="13">
        <v>42740.400578703702</v>
      </c>
      <c r="F169" s="13">
        <v>42740.402245370373</v>
      </c>
      <c r="G169" s="7">
        <v>1</v>
      </c>
      <c r="H169" s="22" t="s">
        <v>834</v>
      </c>
      <c r="I169" s="13">
        <v>42740.413599537038</v>
      </c>
      <c r="J169" s="7">
        <v>0</v>
      </c>
      <c r="K169" s="105" t="str">
        <f t="shared" si="64"/>
        <v>4043/4044</v>
      </c>
      <c r="L169" s="22" t="str">
        <f>VLOOKUP(A169,'Trips&amp;Operators'!$C$1:$G$99999,5,FALSE)</f>
        <v>LOZA FIDEL</v>
      </c>
      <c r="M169" s="6">
        <f t="shared" si="65"/>
        <v>1.1354166665114462E-2</v>
      </c>
      <c r="N169" s="7">
        <f t="shared" si="77"/>
        <v>16.349999997764826</v>
      </c>
      <c r="O169" s="7"/>
      <c r="P169" s="7"/>
      <c r="Q169" s="23"/>
      <c r="R169" s="23"/>
      <c r="S169" s="32">
        <f t="shared" si="76"/>
        <v>1</v>
      </c>
      <c r="T169" s="47" t="str">
        <f t="shared" si="66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08:36:50-700',mode:absolute,to:'2017-01-05 10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9" s="49" t="str">
        <f t="shared" si="68"/>
        <v>N</v>
      </c>
      <c r="X169" s="173">
        <f t="shared" si="78"/>
        <v>1</v>
      </c>
      <c r="Y169" s="64">
        <f t="shared" si="69"/>
        <v>5.8630000000000004</v>
      </c>
      <c r="Z169" s="64">
        <f t="shared" si="70"/>
        <v>6.7500000000000004E-2</v>
      </c>
      <c r="AA169" s="64">
        <f t="shared" si="71"/>
        <v>5.7955000000000005</v>
      </c>
      <c r="AB169" s="61" t="e">
        <f>VLOOKUP(A169,Enforcements!$C$7:$K$18,8,0)</f>
        <v>#N/A</v>
      </c>
      <c r="AC169" s="57" t="e">
        <f>VLOOKUP(A169,Enforcements!$C$7:$E$18,3,0)</f>
        <v>#N/A</v>
      </c>
      <c r="AD169" s="58" t="str">
        <f t="shared" si="72"/>
        <v>0814-05</v>
      </c>
      <c r="AE169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69" s="84" t="str">
        <f t="shared" si="74"/>
        <v>"C:\Program Files (x86)\AstroGrep\AstroGrep.exe" /spath="%USERPROFILE%\AppData\Local\Temp\OnboardLogs" /stypes="app*4043*20170105*" /stext=" 16:.+((SYSTEM_STATE.+slice.+state.+changed )|(ment ac)|(multiple cpu faults)|(system.+state.+changed )|(\[timeout)|(PRM\|1\|D)|(kpr)|(kdp)|(\|lc)|(penalty))" /e /r /s</v>
      </c>
      <c r="AG169" s="1" t="str">
        <f t="shared" si="75"/>
        <v>NW</v>
      </c>
      <c r="AH169" s="88" t="str">
        <f t="shared" si="61"/>
        <v>"%USERPROFILE%\Documents\GitHub\eaglep3\Utilities\RefineRTDCRunTimes.py" --tripid 814-05 --locoid 4043 --swversion DE.1.0.8.0 --startMP 300:58630 --initTime 2017-01-05T09:36:50 --startdatetime 2017-01-05T09:39:14 --delay 1 --endMP 204:675 --enddatetime 2017-01-05T09:55:35 --enforcementcount 0 &gt;&gt;C:\Users\stu\Documents\GitHub\eaglep3-reporting\EC\2017-01-05-refined-times.txt</v>
      </c>
      <c r="AI169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{"issue":{"subject":"","project_id":79,"tracker_id":40,"status_id":1,"priority_id":2,"assigned_to_id":23,"start_date":"2017-01-05","description":"","custom_fields":[{"id":1,"name":"Subdivision","value":"NW"},{"id":4,"name":"Milepost","value":"0.0675"},{"id":17,"name":"Train ID","value":"814-05"},{"id":16,"name":"Locomotive ID","value":"4043"},{"id":130,"name":"Impact","value":""},{"id":150,"name":"Time of Event (Mountain Time)","value":"09:55:35"},{"id":151,"name":"Denver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63"/>
        <v>start /low /b %USERPROFILE%\Documents\GitHub\eaglep3\Utilities\DownloadLogsFromS3.py --loco 4043 --day 2017-01-05</v>
      </c>
    </row>
    <row r="170" spans="1:91" x14ac:dyDescent="0.25">
      <c r="A170" s="34" t="s">
        <v>473</v>
      </c>
      <c r="B170" s="7">
        <v>4044</v>
      </c>
      <c r="C170" s="22" t="s">
        <v>203</v>
      </c>
      <c r="D170" s="22" t="s">
        <v>443</v>
      </c>
      <c r="E170" s="13">
        <v>42740.42527777778</v>
      </c>
      <c r="F170" s="13">
        <v>42740.431585648148</v>
      </c>
      <c r="G170" s="7">
        <v>1</v>
      </c>
      <c r="H170" s="22" t="s">
        <v>835</v>
      </c>
      <c r="I170" s="13">
        <v>42740.441574074073</v>
      </c>
      <c r="J170" s="7">
        <v>0</v>
      </c>
      <c r="K170" s="105" t="str">
        <f t="shared" si="64"/>
        <v>4043/4044</v>
      </c>
      <c r="L170" s="22" t="str">
        <f>VLOOKUP(A170,'Trips&amp;Operators'!$C$1:$G$99999,5,FALSE)</f>
        <v>SIMMONS SHYHESHA</v>
      </c>
      <c r="M170" s="6">
        <f t="shared" si="65"/>
        <v>9.9884259252576157E-3</v>
      </c>
      <c r="N170" s="7">
        <f t="shared" si="77"/>
        <v>14.383333332370967</v>
      </c>
      <c r="O170" s="7"/>
      <c r="P170" s="7"/>
      <c r="Q170" s="23"/>
      <c r="R170" s="23"/>
      <c r="S170" s="32">
        <f t="shared" si="76"/>
        <v>1</v>
      </c>
      <c r="T170" s="47" t="str">
        <f t="shared" si="66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09:12:24-700',mode:absolute,to:'2017-01-05 11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0" s="49" t="str">
        <f t="shared" si="68"/>
        <v>N</v>
      </c>
      <c r="X170" s="173">
        <f t="shared" si="78"/>
        <v>1</v>
      </c>
      <c r="Y170" s="64">
        <f t="shared" si="69"/>
        <v>9.6000000000000002E-2</v>
      </c>
      <c r="Z170" s="64">
        <f t="shared" si="70"/>
        <v>5.8102999999999998</v>
      </c>
      <c r="AA170" s="64">
        <f t="shared" si="71"/>
        <v>5.7142999999999997</v>
      </c>
      <c r="AB170" s="61" t="e">
        <f>VLOOKUP(A170,Enforcements!$C$7:$K$18,8,0)</f>
        <v>#N/A</v>
      </c>
      <c r="AC170" s="57" t="e">
        <f>VLOOKUP(A170,Enforcements!$C$7:$E$18,3,0)</f>
        <v>#N/A</v>
      </c>
      <c r="AD170" s="58" t="str">
        <f t="shared" si="72"/>
        <v>0815-05</v>
      </c>
      <c r="AE170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70" s="84" t="str">
        <f t="shared" si="74"/>
        <v>"C:\Program Files (x86)\AstroGrep\AstroGrep.exe" /spath="%USERPROFILE%\AppData\Local\Temp\OnboardLogs" /stypes="app*4044*20170105*" /stext=" 17:.+((SYSTEM_STATE.+slice.+state.+changed )|(ment ac)|(multiple cpu faults)|(system.+state.+changed )|(\[timeout)|(PRM\|1\|D)|(kpr)|(kdp)|(\|lc)|(penalty))" /e /r /s</v>
      </c>
      <c r="AG170" s="1" t="str">
        <f t="shared" si="75"/>
        <v>NW</v>
      </c>
      <c r="AH170" s="88" t="str">
        <f t="shared" si="61"/>
        <v>"%USERPROFILE%\Documents\GitHub\eaglep3\Utilities\RefineRTDCRunTimes.py" --tripid 815-05 --locoid 4044 --swversion DE.1.0.8.0 --startMP 204:960 --initTime 2017-01-05T10:12:24 --startdatetime 2017-01-05T10:21:29 --delay 1 --endMP 300:58103 --enddatetime 2017-01-05T10:35:52 --enforcementcount 0 &gt;&gt;C:\Users\stu\Documents\GitHub\eaglep3-reporting\EC\2017-01-05-refined-times.txt</v>
      </c>
      <c r="AI170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{"issue":{"subject":"","project_id":79,"tracker_id":40,"status_id":1,"priority_id":2,"assigned_to_id":23,"start_date":"2017-01-05","description":"","custom_fields":[{"id":1,"name":"Subdivision","value":"NW"},{"id":4,"name":"Milepost","value":"5.8103"},{"id":17,"name":"Train ID","value":"815-05"},{"id":16,"name":"Locomotive ID","value":"4044"},{"id":130,"name":"Impact","value":""},{"id":150,"name":"Time of Event (Mountain Time)","value":"10:35:52"},{"id":151,"name":"Denver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63"/>
        <v>start /low /b %USERPROFILE%\Documents\GitHub\eaglep3\Utilities\DownloadLogsFromS3.py --loco 4044 --day 2017-01-05</v>
      </c>
    </row>
    <row r="171" spans="1:91" s="21" customFormat="1" x14ac:dyDescent="0.25">
      <c r="A171" s="34" t="s">
        <v>569</v>
      </c>
      <c r="B171" s="7">
        <v>4043</v>
      </c>
      <c r="C171" s="22" t="s">
        <v>203</v>
      </c>
      <c r="D171" s="22" t="s">
        <v>821</v>
      </c>
      <c r="E171" s="13">
        <v>42740.443472222221</v>
      </c>
      <c r="F171" s="13">
        <v>42740.446168981478</v>
      </c>
      <c r="G171" s="7">
        <v>1</v>
      </c>
      <c r="H171" s="22" t="s">
        <v>836</v>
      </c>
      <c r="I171" s="13">
        <v>42740.455659722225</v>
      </c>
      <c r="J171" s="7">
        <v>0</v>
      </c>
      <c r="K171" s="105" t="str">
        <f t="shared" si="64"/>
        <v>4043/4044</v>
      </c>
      <c r="L171" s="22" t="str">
        <f>VLOOKUP(A171,'Trips&amp;Operators'!$C$1:$G$99999,5,FALSE)</f>
        <v>LOZA FIDEL</v>
      </c>
      <c r="M171" s="6">
        <f t="shared" si="65"/>
        <v>9.4907407474238425E-3</v>
      </c>
      <c r="N171" s="7">
        <f t="shared" si="77"/>
        <v>13.666666676290333</v>
      </c>
      <c r="O171" s="7"/>
      <c r="P171" s="7"/>
      <c r="Q171" s="23"/>
      <c r="R171" s="23"/>
      <c r="S171" s="32">
        <f t="shared" si="76"/>
        <v>1</v>
      </c>
      <c r="T171" s="47" t="str">
        <f t="shared" si="66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09:38:36-700',mode:absolute,to:'2017-01-05 11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1" s="49" t="str">
        <f t="shared" si="68"/>
        <v>N</v>
      </c>
      <c r="X171" s="173">
        <f t="shared" si="78"/>
        <v>1</v>
      </c>
      <c r="Y171" s="64">
        <f t="shared" si="69"/>
        <v>5.8704000000000001</v>
      </c>
      <c r="Z171" s="64">
        <f t="shared" si="70"/>
        <v>6.9099999999999995E-2</v>
      </c>
      <c r="AA171" s="64">
        <f t="shared" si="71"/>
        <v>5.8013000000000003</v>
      </c>
      <c r="AB171" s="61" t="e">
        <f>VLOOKUP(A171,Enforcements!$C$7:$K$18,8,0)</f>
        <v>#N/A</v>
      </c>
      <c r="AC171" s="57" t="e">
        <f>VLOOKUP(A171,Enforcements!$C$7:$E$18,3,0)</f>
        <v>#N/A</v>
      </c>
      <c r="AD171" s="58" t="str">
        <f t="shared" si="72"/>
        <v>0816-05</v>
      </c>
      <c r="AE171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71" s="84" t="str">
        <f t="shared" si="74"/>
        <v>"C:\Program Files (x86)\AstroGrep\AstroGrep.exe" /spath="%USERPROFILE%\AppData\Local\Temp\OnboardLogs" /stypes="app*4043*20170105*" /stext=" 17:.+((SYSTEM_STATE.+slice.+state.+changed )|(ment ac)|(multiple cpu faults)|(system.+state.+changed )|(\[timeout)|(PRM\|1\|D)|(kpr)|(kdp)|(\|lc)|(penalty))" /e /r /s</v>
      </c>
      <c r="AG171" s="1" t="str">
        <f t="shared" si="75"/>
        <v>NW</v>
      </c>
      <c r="AH171" s="88" t="str">
        <f t="shared" si="61"/>
        <v>"%USERPROFILE%\Documents\GitHub\eaglep3\Utilities\RefineRTDCRunTimes.py" --tripid 816-05 --locoid 4043 --swversion DE.1.0.8.0 --startMP 300:58704 --initTime 2017-01-05T10:38:36 --startdatetime 2017-01-05T10:42:29 --delay 1 --endMP 204:691 --enddatetime 2017-01-05T10:56:09 --enforcementcount 0 &gt;&gt;C:\Users\stu\Documents\GitHub\eaglep3-reporting\EC\2017-01-05-refined-times.txt</v>
      </c>
      <c r="AI171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{"issue":{"subject":"","project_id":79,"tracker_id":40,"status_id":1,"priority_id":2,"assigned_to_id":23,"start_date":"2017-01-05","description":"","custom_fields":[{"id":1,"name":"Subdivision","value":"NW"},{"id":4,"name":"Milepost","value":"0.0691"},{"id":17,"name":"Train ID","value":"816-05"},{"id":16,"name":"Locomotive ID","value":"4043"},{"id":130,"name":"Impact","value":""},{"id":150,"name":"Time of Event (Mountain Time)","value":"10:56:09"},{"id":151,"name":"Denver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63"/>
        <v>start /low /b %USERPROFILE%\Documents\GitHub\eaglep3\Utilities\DownloadLogsFromS3.py --loco 4043 --day 2017-01-05</v>
      </c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573</v>
      </c>
      <c r="B172" s="7">
        <v>4044</v>
      </c>
      <c r="C172" s="22" t="s">
        <v>203</v>
      </c>
      <c r="D172" s="22" t="s">
        <v>345</v>
      </c>
      <c r="E172" s="13">
        <v>42740.461643518516</v>
      </c>
      <c r="F172" s="13">
        <v>42740.473124999997</v>
      </c>
      <c r="G172" s="7">
        <v>1</v>
      </c>
      <c r="H172" s="22" t="s">
        <v>437</v>
      </c>
      <c r="I172" s="13">
        <v>42740.482511574075</v>
      </c>
      <c r="J172" s="7">
        <v>0</v>
      </c>
      <c r="K172" s="105" t="str">
        <f t="shared" si="64"/>
        <v>4043/4044</v>
      </c>
      <c r="L172" s="22" t="str">
        <f>VLOOKUP(A172,'Trips&amp;Operators'!$C$1:$G$99999,5,FALSE)</f>
        <v>SIMMONS SHYHESHA</v>
      </c>
      <c r="M172" s="6">
        <f t="shared" si="65"/>
        <v>9.3865740782348439E-3</v>
      </c>
      <c r="N172" s="7">
        <f t="shared" si="77"/>
        <v>13.516666672658175</v>
      </c>
      <c r="O172" s="7"/>
      <c r="P172" s="7"/>
      <c r="Q172" s="23"/>
      <c r="R172" s="23"/>
      <c r="S172" s="32">
        <f t="shared" si="76"/>
        <v>1</v>
      </c>
      <c r="T172" s="47" t="str">
        <f t="shared" si="66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10:04:46-700',mode:absolute,to:'2017-01-05 12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2" s="49" t="str">
        <f t="shared" si="68"/>
        <v>N</v>
      </c>
      <c r="X172" s="173">
        <f t="shared" si="78"/>
        <v>1</v>
      </c>
      <c r="Y172" s="64">
        <f t="shared" si="69"/>
        <v>9.7199999999999995E-2</v>
      </c>
      <c r="Z172" s="64">
        <f t="shared" si="70"/>
        <v>5.8939000000000004</v>
      </c>
      <c r="AA172" s="64">
        <f t="shared" si="71"/>
        <v>5.7967000000000004</v>
      </c>
      <c r="AB172" s="61" t="e">
        <f>VLOOKUP(A172,Enforcements!$C$7:$K$18,8,0)</f>
        <v>#N/A</v>
      </c>
      <c r="AC172" s="57" t="e">
        <f>VLOOKUP(A172,Enforcements!$C$7:$E$18,3,0)</f>
        <v>#N/A</v>
      </c>
      <c r="AD172" s="58" t="str">
        <f t="shared" si="72"/>
        <v>0817-05</v>
      </c>
      <c r="AE172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72" s="84" t="str">
        <f t="shared" si="74"/>
        <v>"C:\Program Files (x86)\AstroGrep\AstroGrep.exe" /spath="%USERPROFILE%\AppData\Local\Temp\OnboardLogs" /stypes="app*4044*20170105*" /stext=" 18:.+((SYSTEM_STATE.+slice.+state.+changed )|(ment ac)|(multiple cpu faults)|(system.+state.+changed )|(\[timeout)|(PRM\|1\|D)|(kpr)|(kdp)|(\|lc)|(penalty))" /e /r /s</v>
      </c>
      <c r="AG172" s="1" t="str">
        <f t="shared" si="75"/>
        <v>NW</v>
      </c>
      <c r="AH172" s="88" t="str">
        <f t="shared" si="61"/>
        <v>"%USERPROFILE%\Documents\GitHub\eaglep3\Utilities\RefineRTDCRunTimes.py" --tripid 817-05 --locoid 4044 --swversion DE.1.0.8.0 --startMP 204:972 --initTime 2017-01-05T11:04:46 --startdatetime 2017-01-05T11:21:18 --delay 1 --endMP 300:58939 --enddatetime 2017-01-05T11:34:49 --enforcementcount 0 &gt;&gt;C:\Users\stu\Documents\GitHub\eaglep3-reporting\EC\2017-01-05-refined-times.txt</v>
      </c>
      <c r="AI172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{"issue":{"subject":"","project_id":79,"tracker_id":40,"status_id":1,"priority_id":2,"assigned_to_id":23,"start_date":"2017-01-05","description":"","custom_fields":[{"id":1,"name":"Subdivision","value":"NW"},{"id":4,"name":"Milepost","value":"5.8939"},{"id":17,"name":"Train ID","value":"817-05"},{"id":16,"name":"Locomotive ID","value":"4044"},{"id":130,"name":"Impact","value":""},{"id":150,"name":"Time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63"/>
        <v>start /low /b %USERPROFILE%\Documents\GitHub\eaglep3\Utilities\DownloadLogsFromS3.py --loco 4044 --day 2017-01-05</v>
      </c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475</v>
      </c>
      <c r="B173" s="7">
        <v>4043</v>
      </c>
      <c r="C173" s="22" t="s">
        <v>203</v>
      </c>
      <c r="D173" s="22" t="s">
        <v>377</v>
      </c>
      <c r="E173" s="13">
        <v>42740.483715277776</v>
      </c>
      <c r="F173" s="13">
        <v>42740.485543981478</v>
      </c>
      <c r="G173" s="7">
        <v>1</v>
      </c>
      <c r="H173" s="22" t="s">
        <v>837</v>
      </c>
      <c r="I173" s="13">
        <v>42740.502951388888</v>
      </c>
      <c r="J173" s="7">
        <v>0</v>
      </c>
      <c r="K173" s="105" t="str">
        <f t="shared" si="64"/>
        <v>4043/4044</v>
      </c>
      <c r="L173" s="22" t="str">
        <f>VLOOKUP(A173,'Trips&amp;Operators'!$C$1:$G$99999,5,FALSE)</f>
        <v>LOZA FIDEL</v>
      </c>
      <c r="M173" s="6">
        <f t="shared" si="65"/>
        <v>1.7407407409336884E-2</v>
      </c>
      <c r="N173" s="7">
        <f t="shared" si="77"/>
        <v>25.066666669445112</v>
      </c>
      <c r="O173" s="7"/>
      <c r="P173" s="7"/>
      <c r="Q173" s="23"/>
      <c r="R173" s="23"/>
      <c r="S173" s="32">
        <f t="shared" si="76"/>
        <v>1</v>
      </c>
      <c r="T173" s="47" t="str">
        <f t="shared" si="66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10:36:33-700',mode:absolute,to:'2017-01-05 13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3" s="49" t="str">
        <f t="shared" si="68"/>
        <v>N</v>
      </c>
      <c r="X173" s="173">
        <f t="shared" si="78"/>
        <v>1</v>
      </c>
      <c r="Y173" s="64">
        <f t="shared" si="69"/>
        <v>5.8616999999999999</v>
      </c>
      <c r="Z173" s="64">
        <f t="shared" si="70"/>
        <v>7.17E-2</v>
      </c>
      <c r="AA173" s="64">
        <f t="shared" si="71"/>
        <v>5.79</v>
      </c>
      <c r="AB173" s="61" t="e">
        <f>VLOOKUP(A173,Enforcements!$C$7:$K$18,8,0)</f>
        <v>#N/A</v>
      </c>
      <c r="AC173" s="57" t="e">
        <f>VLOOKUP(A173,Enforcements!$C$7:$E$18,3,0)</f>
        <v>#N/A</v>
      </c>
      <c r="AD173" s="58" t="str">
        <f t="shared" si="72"/>
        <v>0818-05</v>
      </c>
      <c r="AE173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73" s="84" t="str">
        <f t="shared" si="74"/>
        <v>"C:\Program Files (x86)\AstroGrep\AstroGrep.exe" /spath="%USERPROFILE%\AppData\Local\Temp\OnboardLogs" /stypes="app*4043*20170105*" /stext=" 19:.+((SYSTEM_STATE.+slice.+state.+changed )|(ment ac)|(multiple cpu faults)|(system.+state.+changed )|(\[timeout)|(PRM\|1\|D)|(kpr)|(kdp)|(\|lc)|(penalty))" /e /r /s</v>
      </c>
      <c r="AG173" s="1" t="str">
        <f t="shared" si="75"/>
        <v>NW</v>
      </c>
      <c r="AH173" s="88" t="str">
        <f t="shared" si="61"/>
        <v>"%USERPROFILE%\Documents\GitHub\eaglep3\Utilities\RefineRTDCRunTimes.py" --tripid 818-05 --locoid 4043 --swversion DE.1.0.8.0 --startMP 300:58617 --initTime 2017-01-05T11:36:33 --startdatetime 2017-01-05T11:39:11 --delay 1 --endMP 204:717 --enddatetime 2017-01-05T12:04:15 --enforcementcount 0 &gt;&gt;C:\Users\stu\Documents\GitHub\eaglep3-reporting\EC\2017-01-05-refined-times.txt</v>
      </c>
      <c r="AI173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{"issue":{"subject":"","project_id":79,"tracker_id":40,"status_id":1,"priority_id":2,"assigned_to_id":23,"start_date":"2017-01-05","description":"","custom_fields":[{"id":1,"name":"Subdivision","value":"NW"},{"id":4,"name":"Milepost","value":"0.0717"},{"id":17,"name":"Train ID","value":"818-05"},{"id":16,"name":"Locomotive ID","value":"4043"},{"id":130,"name":"Impact","value":""},{"id":150,"name":"Time of Event (Mountain Time)","value":"12:04:15"},{"id":151,"name":"Denver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63"/>
        <v>start /low /b %USERPROFILE%\Documents\GitHub\eaglep3\Utilities\DownloadLogsFromS3.py --loco 4043 --day 2017-01-05</v>
      </c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4" t="s">
        <v>476</v>
      </c>
      <c r="B174" s="7">
        <v>4044</v>
      </c>
      <c r="C174" s="22" t="s">
        <v>203</v>
      </c>
      <c r="D174" s="22" t="s">
        <v>838</v>
      </c>
      <c r="E174" s="13">
        <v>42740.513368055559</v>
      </c>
      <c r="F174" s="13">
        <v>42740.51489583333</v>
      </c>
      <c r="G174" s="7">
        <v>2</v>
      </c>
      <c r="H174" s="22" t="s">
        <v>839</v>
      </c>
      <c r="I174" s="13">
        <v>42740.525347222225</v>
      </c>
      <c r="J174" s="7">
        <v>0</v>
      </c>
      <c r="K174" s="105" t="str">
        <f t="shared" si="64"/>
        <v>4043/4044</v>
      </c>
      <c r="L174" s="22" t="str">
        <f>VLOOKUP(A174,'Trips&amp;Operators'!$C$1:$G$99999,5,FALSE)</f>
        <v>SIMMONS SHYHESHA</v>
      </c>
      <c r="M174" s="6">
        <f t="shared" si="65"/>
        <v>1.0451388894580305E-2</v>
      </c>
      <c r="N174" s="7">
        <f t="shared" si="77"/>
        <v>15.050000008195639</v>
      </c>
      <c r="O174" s="7"/>
      <c r="P174" s="7"/>
      <c r="Q174" s="23"/>
      <c r="R174" s="23"/>
      <c r="S174" s="32">
        <f t="shared" ref="S174:S205" si="79">SUM(U174:U174)/IF(AG174="EC",12,1)</f>
        <v>1</v>
      </c>
      <c r="T174" s="47" t="str">
        <f t="shared" si="66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11:19:15-700',mode:absolute,to:'2017-01-05 13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4" s="49" t="str">
        <f t="shared" si="68"/>
        <v>N</v>
      </c>
      <c r="X174" s="173">
        <f t="shared" si="78"/>
        <v>1</v>
      </c>
      <c r="Y174" s="64">
        <f t="shared" si="69"/>
        <v>0.1326</v>
      </c>
      <c r="Z174" s="64">
        <f t="shared" si="70"/>
        <v>5.8973000000000004</v>
      </c>
      <c r="AA174" s="64">
        <f t="shared" si="71"/>
        <v>5.7647000000000004</v>
      </c>
      <c r="AB174" s="61" t="e">
        <f>VLOOKUP(A174,Enforcements!$C$7:$K$18,8,0)</f>
        <v>#N/A</v>
      </c>
      <c r="AC174" s="57" t="e">
        <f>VLOOKUP(A174,Enforcements!$C$7:$E$18,3,0)</f>
        <v>#N/A</v>
      </c>
      <c r="AD174" s="58" t="str">
        <f t="shared" si="72"/>
        <v>0819-05</v>
      </c>
      <c r="AE174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74" s="84" t="str">
        <f t="shared" si="74"/>
        <v>"C:\Program Files (x86)\AstroGrep\AstroGrep.exe" /spath="%USERPROFILE%\AppData\Local\Temp\OnboardLogs" /stypes="app*4044*20170105*" /stext=" 19:.+((SYSTEM_STATE.+slice.+state.+changed )|(ment ac)|(multiple cpu faults)|(system.+state.+changed )|(\[timeout)|(PRM\|1\|D)|(kpr)|(kdp)|(\|lc)|(penalty))" /e /r /s</v>
      </c>
      <c r="AG174" s="1" t="str">
        <f t="shared" si="75"/>
        <v>NW</v>
      </c>
      <c r="AH174" s="88" t="str">
        <f t="shared" si="61"/>
        <v>"%USERPROFILE%\Documents\GitHub\eaglep3\Utilities\RefineRTDCRunTimes.py" --tripid 819-05 --locoid 4044 --swversion DE.1.0.8.0 --startMP 204:1326 --initTime 2017-01-05T12:19:15 --startdatetime 2017-01-05T12:21:27 --delay 2 --endMP 300:58973 --enddatetime 2017-01-05T12:36:30 --enforcementcount 0 &gt;&gt;C:\Users\stu\Documents\GitHub\eaglep3-reporting\EC\2017-01-05-refined-times.txt</v>
      </c>
      <c r="AI174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{"issue":{"subject":"","project_id":79,"tracker_id":40,"status_id":1,"priority_id":2,"assigned_to_id":23,"start_date":"2017-01-05","description":"","custom_fields":[{"id":1,"name":"Subdivision","value":"NW"},{"id":4,"name":"Milepost","value":"5.8973"},{"id":17,"name":"Train ID","value":"819-05"},{"id":16,"name":"Locomotive ID","value":"4044"},{"id":130,"name":"Impact","value":""},{"id":150,"name":"Time of Event (Mountain Time)","value":"12:36:30"},{"id":151,"name":"Denver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63"/>
        <v>start /low /b %USERPROFILE%\Documents\GitHub\eaglep3\Utilities\DownloadLogsFromS3.py --loco 4044 --day 2017-01-05</v>
      </c>
    </row>
    <row r="175" spans="1:91" x14ac:dyDescent="0.25">
      <c r="A175" s="34" t="s">
        <v>582</v>
      </c>
      <c r="B175" s="7">
        <v>4043</v>
      </c>
      <c r="C175" s="22" t="s">
        <v>203</v>
      </c>
      <c r="D175" s="22" t="s">
        <v>441</v>
      </c>
      <c r="E175" s="13">
        <v>42740.526550925926</v>
      </c>
      <c r="F175" s="13">
        <v>42740.528043981481</v>
      </c>
      <c r="G175" s="7">
        <v>1</v>
      </c>
      <c r="H175" s="22" t="s">
        <v>840</v>
      </c>
      <c r="I175" s="13">
        <v>42740.538449074076</v>
      </c>
      <c r="J175" s="7">
        <v>0</v>
      </c>
      <c r="K175" s="105" t="str">
        <f t="shared" si="64"/>
        <v>4043/4044</v>
      </c>
      <c r="L175" s="22" t="str">
        <f>VLOOKUP(A175,'Trips&amp;Operators'!$C$1:$G$99999,5,FALSE)</f>
        <v>LOZA FIDEL</v>
      </c>
      <c r="M175" s="6">
        <f t="shared" si="65"/>
        <v>1.0405092594737653E-2</v>
      </c>
      <c r="N175" s="7">
        <f t="shared" si="77"/>
        <v>14.98333333642222</v>
      </c>
      <c r="O175" s="7"/>
      <c r="P175" s="7"/>
      <c r="Q175" s="23"/>
      <c r="R175" s="23"/>
      <c r="S175" s="32">
        <f t="shared" si="79"/>
        <v>1</v>
      </c>
      <c r="T175" s="47" t="str">
        <f t="shared" si="66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11:38:14-700',mode:absolute,to:'2017-01-05 13:55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5" s="49" t="str">
        <f t="shared" si="68"/>
        <v>N</v>
      </c>
      <c r="X175" s="173">
        <f t="shared" si="78"/>
        <v>1</v>
      </c>
      <c r="Y175" s="64">
        <f t="shared" si="69"/>
        <v>5.8655999999999997</v>
      </c>
      <c r="Z175" s="64">
        <f t="shared" si="70"/>
        <v>6.7699999999999996E-2</v>
      </c>
      <c r="AA175" s="64">
        <f t="shared" si="71"/>
        <v>5.7978999999999994</v>
      </c>
      <c r="AB175" s="61" t="e">
        <f>VLOOKUP(A175,Enforcements!$C$7:$K$18,8,0)</f>
        <v>#N/A</v>
      </c>
      <c r="AC175" s="57" t="e">
        <f>VLOOKUP(A175,Enforcements!$C$7:$E$18,3,0)</f>
        <v>#N/A</v>
      </c>
      <c r="AD175" s="58" t="str">
        <f t="shared" si="72"/>
        <v>0820-05</v>
      </c>
      <c r="AE175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75" s="84" t="str">
        <f t="shared" si="74"/>
        <v>"C:\Program Files (x86)\AstroGrep\AstroGrep.exe" /spath="%USERPROFILE%\AppData\Local\Temp\OnboardLogs" /stypes="app*4043*20170105*" /stext=" 19:.+((SYSTEM_STATE.+slice.+state.+changed )|(ment ac)|(multiple cpu faults)|(system.+state.+changed )|(\[timeout)|(PRM\|1\|D)|(kpr)|(kdp)|(\|lc)|(penalty))" /e /r /s</v>
      </c>
      <c r="AG175" s="1" t="str">
        <f t="shared" si="75"/>
        <v>NW</v>
      </c>
      <c r="AH175" s="88" t="str">
        <f t="shared" si="61"/>
        <v>"%USERPROFILE%\Documents\GitHub\eaglep3\Utilities\RefineRTDCRunTimes.py" --tripid 820-05 --locoid 4043 --swversion DE.1.0.8.0 --startMP 300:58656 --initTime 2017-01-05T12:38:14 --startdatetime 2017-01-05T12:40:23 --delay 1 --endMP 204:677 --enddatetime 2017-01-05T12:55:22 --enforcementcount 0 &gt;&gt;C:\Users\stu\Documents\GitHub\eaglep3-reporting\EC\2017-01-05-refined-times.txt</v>
      </c>
      <c r="AI175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{"issue":{"subject":"","project_id":79,"tracker_id":40,"status_id":1,"priority_id":2,"assigned_to_id":23,"start_date":"2017-01-05","description":"","custom_fields":[{"id":1,"name":"Subdivision","value":"NW"},{"id":4,"name":"Milepost","value":"0.0677"},{"id":17,"name":"Train ID","value":"820-05"},{"id":16,"name":"Locomotive ID","value":"4043"},{"id":130,"name":"Impact","value":""},{"id":150,"name":"Time of Event (Mountain Time)","value":"12:55:22"},{"id":151,"name":"Denver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63"/>
        <v>start /low /b %USERPROFILE%\Documents\GitHub\eaglep3\Utilities\DownloadLogsFromS3.py --loco 4043 --day 2017-01-05</v>
      </c>
    </row>
    <row r="176" spans="1:91" x14ac:dyDescent="0.25">
      <c r="A176" s="34" t="s">
        <v>586</v>
      </c>
      <c r="B176" s="7">
        <v>4044</v>
      </c>
      <c r="C176" s="22" t="s">
        <v>203</v>
      </c>
      <c r="D176" s="22" t="s">
        <v>841</v>
      </c>
      <c r="E176" s="13">
        <v>42740.54519675926</v>
      </c>
      <c r="F176" s="13">
        <v>42740.556435185186</v>
      </c>
      <c r="G176" s="7">
        <v>2</v>
      </c>
      <c r="H176" s="22" t="s">
        <v>842</v>
      </c>
      <c r="I176" s="13">
        <v>42740.566990740743</v>
      </c>
      <c r="J176" s="7">
        <v>0</v>
      </c>
      <c r="K176" s="105" t="str">
        <f t="shared" si="64"/>
        <v>4043/4044</v>
      </c>
      <c r="L176" s="22" t="str">
        <f>VLOOKUP(A176,'Trips&amp;Operators'!$C$1:$G$99999,5,FALSE)</f>
        <v>LEVERE CRAIG</v>
      </c>
      <c r="M176" s="6">
        <f t="shared" si="65"/>
        <v>1.0555555556493346E-2</v>
      </c>
      <c r="N176" s="7">
        <f t="shared" si="77"/>
        <v>15.200000001350418</v>
      </c>
      <c r="O176" s="7"/>
      <c r="P176" s="7"/>
      <c r="Q176" s="23"/>
      <c r="R176" s="23"/>
      <c r="S176" s="32">
        <f t="shared" si="79"/>
        <v>1</v>
      </c>
      <c r="T176" s="47" t="str">
        <f t="shared" si="66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12:05:05-700',mode:absolute,to:'2017-01-05 14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6" s="49" t="str">
        <f t="shared" si="68"/>
        <v>N</v>
      </c>
      <c r="X176" s="173">
        <f t="shared" si="78"/>
        <v>1</v>
      </c>
      <c r="Y176" s="64">
        <f t="shared" si="69"/>
        <v>9.5100000000000004E-2</v>
      </c>
      <c r="Z176" s="64">
        <f t="shared" si="70"/>
        <v>5.8964999999999996</v>
      </c>
      <c r="AA176" s="64">
        <f t="shared" si="71"/>
        <v>5.8013999999999992</v>
      </c>
      <c r="AB176" s="61" t="e">
        <f>VLOOKUP(A176,Enforcements!$C$7:$K$18,8,0)</f>
        <v>#N/A</v>
      </c>
      <c r="AC176" s="57" t="e">
        <f>VLOOKUP(A176,Enforcements!$C$7:$E$18,3,0)</f>
        <v>#N/A</v>
      </c>
      <c r="AD176" s="58" t="str">
        <f t="shared" si="72"/>
        <v>0821-05</v>
      </c>
      <c r="AE176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76" s="84" t="str">
        <f t="shared" si="74"/>
        <v>"C:\Program Files (x86)\AstroGrep\AstroGrep.exe" /spath="%USERPROFILE%\AppData\Local\Temp\OnboardLogs" /stypes="app*4044*20170105*" /stext=" 20:.+((SYSTEM_STATE.+slice.+state.+changed )|(ment ac)|(multiple cpu faults)|(system.+state.+changed )|(\[timeout)|(PRM\|1\|D)|(kpr)|(kdp)|(\|lc)|(penalty))" /e /r /s</v>
      </c>
      <c r="AG176" s="1" t="str">
        <f t="shared" si="75"/>
        <v>NW</v>
      </c>
      <c r="AH176" s="88" t="str">
        <f t="shared" si="61"/>
        <v>"%USERPROFILE%\Documents\GitHub\eaglep3\Utilities\RefineRTDCRunTimes.py" --tripid 821-05 --locoid 4044 --swversion DE.1.0.8.0 --startMP 204:951 --initTime 2017-01-05T13:05:05 --startdatetime 2017-01-05T13:21:16 --delay 2 --endMP 300:58965 --enddatetime 2017-01-05T13:36:28 --enforcementcount 0 &gt;&gt;C:\Users\stu\Documents\GitHub\eaglep3-reporting\EC\2017-01-05-refined-times.txt</v>
      </c>
      <c r="AI176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{"issue":{"subject":"","project_id":79,"tracker_id":40,"status_id":1,"priority_id":2,"assigned_to_id":23,"start_date":"2017-01-05","description":"","custom_fields":[{"id":1,"name":"Subdivision","value":"NW"},{"id":4,"name":"Milepost","value":"5.8965"},{"id":17,"name":"Train ID","value":"821-05"},{"id":16,"name":"Locomotive ID","value":"4044"},{"id":130,"name":"Impact","value":""},{"id":150,"name":"Time of Event (Mountain Time)","value":"13:36:28"},{"id":151,"name":"Denver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63"/>
        <v>start /low /b %USERPROFILE%\Documents\GitHub\eaglep3\Utilities\DownloadLogsFromS3.py --loco 4044 --day 2017-01-05</v>
      </c>
    </row>
    <row r="177" spans="1:91" x14ac:dyDescent="0.25">
      <c r="A177" s="34" t="s">
        <v>593</v>
      </c>
      <c r="B177" s="7">
        <v>4043</v>
      </c>
      <c r="C177" s="22" t="s">
        <v>203</v>
      </c>
      <c r="D177" s="22" t="s">
        <v>843</v>
      </c>
      <c r="E177" s="13">
        <v>42740.567916666667</v>
      </c>
      <c r="F177" s="13">
        <v>42740.569432870368</v>
      </c>
      <c r="G177" s="7">
        <v>1</v>
      </c>
      <c r="H177" s="22" t="s">
        <v>836</v>
      </c>
      <c r="I177" s="13">
        <v>42740.581053240741</v>
      </c>
      <c r="J177" s="7">
        <v>0</v>
      </c>
      <c r="K177" s="105" t="str">
        <f t="shared" si="64"/>
        <v>4043/4044</v>
      </c>
      <c r="L177" s="22" t="str">
        <f>VLOOKUP(A177,'Trips&amp;Operators'!$C$1:$G$99999,5,FALSE)</f>
        <v>LEVERE CRAIG</v>
      </c>
      <c r="M177" s="6">
        <f t="shared" si="65"/>
        <v>1.1620370372838806E-2</v>
      </c>
      <c r="N177" s="7">
        <f t="shared" si="77"/>
        <v>16.733333336887881</v>
      </c>
      <c r="O177" s="7"/>
      <c r="P177" s="7"/>
      <c r="Q177" s="23"/>
      <c r="R177" s="23"/>
      <c r="S177" s="32">
        <f t="shared" si="79"/>
        <v>1</v>
      </c>
      <c r="T177" s="47" t="str">
        <f t="shared" si="66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12:37:48-700',mode:absolute,to:'2017-01-05 14:56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7" s="49" t="str">
        <f t="shared" si="68"/>
        <v>N</v>
      </c>
      <c r="X177" s="173">
        <f t="shared" si="78"/>
        <v>1</v>
      </c>
      <c r="Y177" s="64">
        <f t="shared" si="69"/>
        <v>5.8653000000000004</v>
      </c>
      <c r="Z177" s="64">
        <f t="shared" si="70"/>
        <v>6.9099999999999995E-2</v>
      </c>
      <c r="AA177" s="64">
        <f t="shared" si="71"/>
        <v>5.7962000000000007</v>
      </c>
      <c r="AB177" s="61" t="e">
        <f>VLOOKUP(A177,Enforcements!$C$7:$K$18,8,0)</f>
        <v>#N/A</v>
      </c>
      <c r="AC177" s="57" t="e">
        <f>VLOOKUP(A177,Enforcements!$C$7:$E$18,3,0)</f>
        <v>#N/A</v>
      </c>
      <c r="AD177" s="58" t="str">
        <f t="shared" si="72"/>
        <v>0822-05</v>
      </c>
      <c r="AE177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77" s="84" t="str">
        <f t="shared" si="74"/>
        <v>"C:\Program Files (x86)\AstroGrep\AstroGrep.exe" /spath="%USERPROFILE%\AppData\Local\Temp\OnboardLogs" /stypes="app*4043*20170105*" /stext=" 20:.+((SYSTEM_STATE.+slice.+state.+changed )|(ment ac)|(multiple cpu faults)|(system.+state.+changed )|(\[timeout)|(PRM\|1\|D)|(kpr)|(kdp)|(\|lc)|(penalty))" /e /r /s</v>
      </c>
      <c r="AG177" s="1" t="str">
        <f t="shared" si="75"/>
        <v>NW</v>
      </c>
      <c r="AH177" s="88" t="str">
        <f t="shared" si="61"/>
        <v>"%USERPROFILE%\Documents\GitHub\eaglep3\Utilities\RefineRTDCRunTimes.py" --tripid 822-05 --locoid 4043 --swversion DE.1.0.8.0 --startMP 300:58653 --initTime 2017-01-05T13:37:48 --startdatetime 2017-01-05T13:39:59 --delay 1 --endMP 204:691 --enddatetime 2017-01-05T13:56:43 --enforcementcount 0 &gt;&gt;C:\Users\stu\Documents\GitHub\eaglep3-reporting\EC\2017-01-05-refined-times.txt</v>
      </c>
      <c r="AI177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{"issue":{"subject":"","project_id":79,"tracker_id":40,"status_id":1,"priority_id":2,"assigned_to_id":23,"start_date":"2017-01-05","description":"","custom_fields":[{"id":1,"name":"Subdivision","value":"NW"},{"id":4,"name":"Milepost","value":"0.0691"},{"id":17,"name":"Train ID","value":"822-05"},{"id":16,"name":"Locomotive ID","value":"4043"},{"id":130,"name":"Impact","value":""},{"id":150,"name":"Time of Event (Mountain Time)","value":"13:56:43"},{"id":151,"name":"Denver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63"/>
        <v>start /low /b %USERPROFILE%\Documents\GitHub\eaglep3\Utilities\DownloadLogsFromS3.py --loco 4043 --day 2017-01-05</v>
      </c>
    </row>
    <row r="178" spans="1:91" x14ac:dyDescent="0.25">
      <c r="A178" s="34" t="s">
        <v>478</v>
      </c>
      <c r="B178" s="7">
        <v>4044</v>
      </c>
      <c r="C178" s="22" t="s">
        <v>203</v>
      </c>
      <c r="D178" s="22" t="s">
        <v>454</v>
      </c>
      <c r="E178" s="13">
        <v>42740.59039351852</v>
      </c>
      <c r="F178" s="13">
        <v>42740.598124999997</v>
      </c>
      <c r="G178" s="7">
        <v>1</v>
      </c>
      <c r="H178" s="22" t="s">
        <v>844</v>
      </c>
      <c r="I178" s="13">
        <v>42740.609074074076</v>
      </c>
      <c r="J178" s="7">
        <v>0</v>
      </c>
      <c r="K178" s="105" t="str">
        <f t="shared" si="64"/>
        <v>4043/4044</v>
      </c>
      <c r="L178" s="22" t="str">
        <f>VLOOKUP(A178,'Trips&amp;Operators'!$C$1:$G$99999,5,FALSE)</f>
        <v>LEVERE CRAIG</v>
      </c>
      <c r="M178" s="6">
        <f t="shared" si="65"/>
        <v>1.0949074079690035E-2</v>
      </c>
      <c r="N178" s="7">
        <f t="shared" si="77"/>
        <v>15.766666674753651</v>
      </c>
      <c r="O178" s="7"/>
      <c r="P178" s="7"/>
      <c r="Q178" s="23"/>
      <c r="R178" s="23"/>
      <c r="S178" s="32">
        <f t="shared" si="79"/>
        <v>1</v>
      </c>
      <c r="T178" s="47" t="str">
        <f t="shared" si="66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13:10:10-700',mode:absolute,to:'2017-01-05 15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8" s="49" t="str">
        <f t="shared" si="68"/>
        <v>N</v>
      </c>
      <c r="X178" s="173">
        <f t="shared" si="78"/>
        <v>1</v>
      </c>
      <c r="Y178" s="64">
        <f t="shared" si="69"/>
        <v>9.7100000000000006E-2</v>
      </c>
      <c r="Z178" s="64">
        <f t="shared" si="70"/>
        <v>5.8936999999999999</v>
      </c>
      <c r="AA178" s="64">
        <f t="shared" si="71"/>
        <v>5.7965999999999998</v>
      </c>
      <c r="AB178" s="61" t="e">
        <f>VLOOKUP(A178,Enforcements!$C$7:$K$18,8,0)</f>
        <v>#N/A</v>
      </c>
      <c r="AC178" s="57" t="e">
        <f>VLOOKUP(A178,Enforcements!$C$7:$E$18,3,0)</f>
        <v>#N/A</v>
      </c>
      <c r="AD178" s="58" t="str">
        <f t="shared" si="72"/>
        <v>0823-05</v>
      </c>
      <c r="AE178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78" s="84" t="str">
        <f t="shared" si="74"/>
        <v>"C:\Program Files (x86)\AstroGrep\AstroGrep.exe" /spath="%USERPROFILE%\AppData\Local\Temp\OnboardLogs" /stypes="app*4044*20170105*" /stext=" 21:.+((SYSTEM_STATE.+slice.+state.+changed )|(ment ac)|(multiple cpu faults)|(system.+state.+changed )|(\[timeout)|(PRM\|1\|D)|(kpr)|(kdp)|(\|lc)|(penalty))" /e /r /s</v>
      </c>
      <c r="AG178" s="1" t="str">
        <f t="shared" si="75"/>
        <v>NW</v>
      </c>
      <c r="AH178" s="88" t="str">
        <f t="shared" si="61"/>
        <v>"%USERPROFILE%\Documents\GitHub\eaglep3\Utilities\RefineRTDCRunTimes.py" --tripid 823-05 --locoid 4044 --swversion DE.1.0.8.0 --startMP 204:971 --initTime 2017-01-05T14:10:10 --startdatetime 2017-01-05T14:21:18 --delay 1 --endMP 300:58937 --enddatetime 2017-01-05T14:37:04 --enforcementcount 0 &gt;&gt;C:\Users\stu\Documents\GitHub\eaglep3-reporting\EC\2017-01-05-refined-times.txt</v>
      </c>
      <c r="AI178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{"issue":{"subject":"","project_id":79,"tracker_id":40,"status_id":1,"priority_id":2,"assigned_to_id":23,"start_date":"2017-01-05","description":"","custom_fields":[{"id":1,"name":"Subdivision","value":"NW"},{"id":4,"name":"Milepost","value":"5.8937"},{"id":17,"name":"Train ID","value":"823-05"},{"id":16,"name":"Locomotive ID","value":"4044"},{"id":130,"name":"Impact","value":""},{"id":150,"name":"Time of Event (Mountain Time)","value":"14:37:04"},{"id":151,"name":"Denver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63"/>
        <v>start /low /b %USERPROFILE%\Documents\GitHub\eaglep3\Utilities\DownloadLogsFromS3.py --loco 4044 --day 2017-01-05</v>
      </c>
    </row>
    <row r="179" spans="1:91" x14ac:dyDescent="0.25">
      <c r="A179" s="34" t="s">
        <v>601</v>
      </c>
      <c r="B179" s="7">
        <v>4043</v>
      </c>
      <c r="C179" s="22" t="s">
        <v>203</v>
      </c>
      <c r="D179" s="22" t="s">
        <v>446</v>
      </c>
      <c r="E179" s="13">
        <v>42740.609918981485</v>
      </c>
      <c r="F179" s="13">
        <v>42740.611203703702</v>
      </c>
      <c r="G179" s="7">
        <v>1</v>
      </c>
      <c r="H179" s="22" t="s">
        <v>442</v>
      </c>
      <c r="I179" s="13">
        <v>42740.622766203705</v>
      </c>
      <c r="J179" s="7">
        <v>0</v>
      </c>
      <c r="K179" s="105" t="str">
        <f t="shared" si="64"/>
        <v>4043/4044</v>
      </c>
      <c r="L179" s="22" t="str">
        <f>VLOOKUP(A179,'Trips&amp;Operators'!$C$1:$G$99999,5,FALSE)</f>
        <v>LEVERE CRAIG</v>
      </c>
      <c r="M179" s="6">
        <f t="shared" si="65"/>
        <v>1.156250000349246E-2</v>
      </c>
      <c r="N179" s="7">
        <f t="shared" si="77"/>
        <v>16.650000005029142</v>
      </c>
      <c r="O179" s="7"/>
      <c r="P179" s="7"/>
      <c r="Q179" s="23"/>
      <c r="R179" s="23"/>
      <c r="S179" s="32">
        <f t="shared" si="79"/>
        <v>1</v>
      </c>
      <c r="T179" s="47" t="str">
        <f t="shared" si="66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13:38:17-700',mode:absolute,to:'2017-01-05 15:56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9" s="49" t="str">
        <f t="shared" si="68"/>
        <v>N</v>
      </c>
      <c r="X179" s="173">
        <f t="shared" si="78"/>
        <v>1</v>
      </c>
      <c r="Y179" s="64">
        <f t="shared" si="69"/>
        <v>5.8632</v>
      </c>
      <c r="Z179" s="64">
        <f t="shared" si="70"/>
        <v>6.7100000000000007E-2</v>
      </c>
      <c r="AA179" s="64">
        <f t="shared" si="71"/>
        <v>5.7961</v>
      </c>
      <c r="AB179" s="61" t="e">
        <f>VLOOKUP(A179,Enforcements!$C$7:$K$18,8,0)</f>
        <v>#N/A</v>
      </c>
      <c r="AC179" s="57" t="e">
        <f>VLOOKUP(A179,Enforcements!$C$7:$E$18,3,0)</f>
        <v>#N/A</v>
      </c>
      <c r="AD179" s="58" t="str">
        <f t="shared" si="72"/>
        <v>0824-05</v>
      </c>
      <c r="AE179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79" s="84" t="str">
        <f t="shared" si="74"/>
        <v>"C:\Program Files (x86)\AstroGrep\AstroGrep.exe" /spath="%USERPROFILE%\AppData\Local\Temp\OnboardLogs" /stypes="app*4043*20170105*" /stext=" 21:.+((SYSTEM_STATE.+slice.+state.+changed )|(ment ac)|(multiple cpu faults)|(system.+state.+changed )|(\[timeout)|(PRM\|1\|D)|(kpr)|(kdp)|(\|lc)|(penalty))" /e /r /s</v>
      </c>
      <c r="AG179" s="1" t="str">
        <f t="shared" si="75"/>
        <v>NW</v>
      </c>
      <c r="AH179" s="88" t="str">
        <f t="shared" si="61"/>
        <v>"%USERPROFILE%\Documents\GitHub\eaglep3\Utilities\RefineRTDCRunTimes.py" --tripid 824-05 --locoid 4043 --swversion DE.1.0.8.0 --startMP 300:58632 --initTime 2017-01-05T14:38:17 --startdatetime 2017-01-05T14:40:08 --delay 1 --endMP 204:671 --enddatetime 2017-01-05T14:56:47 --enforcementcount 0 &gt;&gt;C:\Users\stu\Documents\GitHub\eaglep3-reporting\EC\2017-01-05-refined-times.txt</v>
      </c>
      <c r="AI179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{"issue":{"subject":"","project_id":79,"tracker_id":40,"status_id":1,"priority_id":2,"assigned_to_id":23,"start_date":"2017-01-05","description":"","custom_fields":[{"id":1,"name":"Subdivision","value":"NW"},{"id":4,"name":"Milepost","value":"0.0671"},{"id":17,"name":"Train ID","value":"824-05"},{"id":16,"name":"Locomotive ID","value":"4043"},{"id":130,"name":"Impact","value":""},{"id":150,"name":"Time of Event (Mountain Time)","value":"14:56:47"},{"id":151,"name":"Denver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63"/>
        <v>start /low /b %USERPROFILE%\Documents\GitHub\eaglep3\Utilities\DownloadLogsFromS3.py --loco 4043 --day 2017-01-05</v>
      </c>
    </row>
    <row r="180" spans="1:91" x14ac:dyDescent="0.25">
      <c r="A180" s="34" t="s">
        <v>607</v>
      </c>
      <c r="B180" s="7">
        <v>4044</v>
      </c>
      <c r="C180" s="22" t="s">
        <v>203</v>
      </c>
      <c r="D180" s="22" t="s">
        <v>378</v>
      </c>
      <c r="E180" s="13">
        <v>42740.630891203706</v>
      </c>
      <c r="F180" s="13">
        <v>42740.639814814815</v>
      </c>
      <c r="G180" s="7">
        <v>1</v>
      </c>
      <c r="H180" s="22" t="s">
        <v>845</v>
      </c>
      <c r="I180" s="13">
        <v>42740.650405092594</v>
      </c>
      <c r="J180" s="7">
        <v>0</v>
      </c>
      <c r="K180" s="105" t="str">
        <f t="shared" si="64"/>
        <v>4043/4044</v>
      </c>
      <c r="L180" s="22" t="str">
        <f>VLOOKUP(A180,'Trips&amp;Operators'!$C$1:$G$99999,5,FALSE)</f>
        <v>LEVERE CRAIG</v>
      </c>
      <c r="M180" s="6">
        <f t="shared" si="65"/>
        <v>1.0590277779556345E-2</v>
      </c>
      <c r="N180" s="7">
        <f t="shared" si="77"/>
        <v>15.250000002561137</v>
      </c>
      <c r="O180" s="7"/>
      <c r="P180" s="7"/>
      <c r="Q180" s="23"/>
      <c r="R180" s="23"/>
      <c r="S180" s="32">
        <f t="shared" si="79"/>
        <v>1</v>
      </c>
      <c r="T180" s="47" t="str">
        <f t="shared" si="66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14:08:29-700',mode:absolute,to:'2017-01-05 16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0" s="49" t="str">
        <f t="shared" si="68"/>
        <v>N</v>
      </c>
      <c r="X180" s="173">
        <f t="shared" si="78"/>
        <v>1</v>
      </c>
      <c r="Y180" s="64">
        <f t="shared" si="69"/>
        <v>9.8599999999999993E-2</v>
      </c>
      <c r="Z180" s="64">
        <f t="shared" si="70"/>
        <v>5.8967000000000001</v>
      </c>
      <c r="AA180" s="64">
        <f t="shared" si="71"/>
        <v>5.7980999999999998</v>
      </c>
      <c r="AB180" s="61" t="e">
        <f>VLOOKUP(A180,Enforcements!$C$7:$K$18,8,0)</f>
        <v>#N/A</v>
      </c>
      <c r="AC180" s="57" t="e">
        <f>VLOOKUP(A180,Enforcements!$C$7:$E$18,3,0)</f>
        <v>#N/A</v>
      </c>
      <c r="AD180" s="58" t="str">
        <f t="shared" si="72"/>
        <v>0825-05</v>
      </c>
      <c r="AE180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80" s="84" t="str">
        <f t="shared" si="74"/>
        <v>"C:\Program Files (x86)\AstroGrep\AstroGrep.exe" /spath="%USERPROFILE%\AppData\Local\Temp\OnboardLogs" /stypes="app*4044*20170105*" /stext=" 22:.+((SYSTEM_STATE.+slice.+state.+changed )|(ment ac)|(multiple cpu faults)|(system.+state.+changed )|(\[timeout)|(PRM\|1\|D)|(kpr)|(kdp)|(\|lc)|(penalty))" /e /r /s</v>
      </c>
      <c r="AG180" s="1" t="str">
        <f t="shared" si="75"/>
        <v>NW</v>
      </c>
      <c r="AH180" s="88" t="str">
        <f t="shared" si="61"/>
        <v>"%USERPROFILE%\Documents\GitHub\eaglep3\Utilities\RefineRTDCRunTimes.py" --tripid 825-05 --locoid 4044 --swversion DE.1.0.8.0 --startMP 204:986 --initTime 2017-01-05T15:08:29 --startdatetime 2017-01-05T15:21:20 --delay 1 --endMP 300:58967 --enddatetime 2017-01-05T15:36:35 --enforcementcount 0 &gt;&gt;C:\Users\stu\Documents\GitHub\eaglep3-reporting\EC\2017-01-05-refined-times.txt</v>
      </c>
      <c r="AI180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{"issue":{"subject":"","project_id":79,"tracker_id":40,"status_id":1,"priority_id":2,"assigned_to_id":23,"start_date":"2017-01-05","description":"","custom_fields":[{"id":1,"name":"Subdivision","value":"NW"},{"id":4,"name":"Milepost","value":"5.8967"},{"id":17,"name":"Train ID","value":"825-05"},{"id":16,"name":"Locomotive ID","value":"4044"},{"id":130,"name":"Impact","value":""},{"id":150,"name":"Time of Event (Mountain Time)","value":"15:36:35"},{"id":151,"name":"Denver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63"/>
        <v>start /low /b %USERPROFILE%\Documents\GitHub\eaglep3\Utilities\DownloadLogsFromS3.py --loco 4044 --day 2017-01-05</v>
      </c>
    </row>
    <row r="181" spans="1:91" s="21" customFormat="1" x14ac:dyDescent="0.25">
      <c r="A181" s="34" t="s">
        <v>480</v>
      </c>
      <c r="B181" s="7">
        <v>4043</v>
      </c>
      <c r="C181" s="22" t="s">
        <v>203</v>
      </c>
      <c r="D181" s="22" t="s">
        <v>846</v>
      </c>
      <c r="E181" s="13">
        <v>42740.651273148149</v>
      </c>
      <c r="F181" s="13">
        <v>42740.65252314815</v>
      </c>
      <c r="G181" s="7">
        <v>0</v>
      </c>
      <c r="H181" s="22" t="s">
        <v>847</v>
      </c>
      <c r="I181" s="13">
        <v>42740.666018518517</v>
      </c>
      <c r="J181" s="7">
        <v>0</v>
      </c>
      <c r="K181" s="105" t="str">
        <f t="shared" si="64"/>
        <v>4043/4044</v>
      </c>
      <c r="L181" s="22" t="str">
        <f>VLOOKUP(A181,'Trips&amp;Operators'!$C$1:$G$99999,5,FALSE)</f>
        <v>LEVERE CRAIG</v>
      </c>
      <c r="M181" s="6">
        <f t="shared" si="65"/>
        <v>1.3495370367309079E-2</v>
      </c>
      <c r="N181" s="7">
        <f t="shared" si="77"/>
        <v>19.433333328925073</v>
      </c>
      <c r="O181" s="7"/>
      <c r="P181" s="7"/>
      <c r="Q181" s="23"/>
      <c r="R181" s="23"/>
      <c r="S181" s="32">
        <f t="shared" si="79"/>
        <v>1</v>
      </c>
      <c r="T181" s="47" t="str">
        <f t="shared" si="66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14:37:50-700',mode:absolute,to:'2017-01-05 16:59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1" s="49" t="str">
        <f t="shared" si="68"/>
        <v>N</v>
      </c>
      <c r="X181" s="173">
        <f t="shared" si="78"/>
        <v>1</v>
      </c>
      <c r="Y181" s="64">
        <f t="shared" si="69"/>
        <v>5.8661000000000003</v>
      </c>
      <c r="Z181" s="64">
        <f t="shared" si="70"/>
        <v>6.9900000000000004E-2</v>
      </c>
      <c r="AA181" s="64">
        <f t="shared" si="71"/>
        <v>5.7962000000000007</v>
      </c>
      <c r="AB181" s="61" t="e">
        <f>VLOOKUP(A181,Enforcements!$C$7:$K$18,8,0)</f>
        <v>#N/A</v>
      </c>
      <c r="AC181" s="57" t="e">
        <f>VLOOKUP(A181,Enforcements!$C$7:$E$18,3,0)</f>
        <v>#N/A</v>
      </c>
      <c r="AD181" s="58" t="str">
        <f t="shared" si="72"/>
        <v>0826-05</v>
      </c>
      <c r="AE181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81" s="84" t="str">
        <f t="shared" si="74"/>
        <v>"C:\Program Files (x86)\AstroGrep\AstroGrep.exe" /spath="%USERPROFILE%\AppData\Local\Temp\OnboardLogs" /stypes="app*4043*20170105*" /stext=" 22:.+((SYSTEM_STATE.+slice.+state.+changed )|(ment ac)|(multiple cpu faults)|(system.+state.+changed )|(\[timeout)|(PRM\|1\|D)|(kpr)|(kdp)|(\|lc)|(penalty))" /e /r /s</v>
      </c>
      <c r="AG181" s="1" t="str">
        <f t="shared" si="75"/>
        <v>NW</v>
      </c>
      <c r="AH181" s="88" t="str">
        <f t="shared" si="61"/>
        <v>"%USERPROFILE%\Documents\GitHub\eaglep3\Utilities\RefineRTDCRunTimes.py" --tripid 826-05 --locoid 4043 --swversion DE.1.0.8.0 --startMP 300:58661 --initTime 2017-01-05T15:37:50 --startdatetime 2017-01-05T15:39:38 --delay 0 --endMP 204:699 --enddatetime 2017-01-05T15:59:04 --enforcementcount 0 &gt;&gt;C:\Users\stu\Documents\GitHub\eaglep3-reporting\EC\2017-01-05-refined-times.txt</v>
      </c>
      <c r="AI181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{"issue":{"subject":"","project_id":79,"tracker_id":40,"status_id":1,"priority_id":2,"assigned_to_id":23,"start_date":"2017-01-05","description":"","custom_fields":[{"id":1,"name":"Subdivision","value":"NW"},{"id":4,"name":"Milepost","value":"0.0699"},{"id":17,"name":"Train ID","value":"826-05"},{"id":16,"name":"Locomotive ID","value":"4043"},{"id":130,"name":"Impact","value":""},{"id":150,"name":"Time of Event (Mountain Time)","value":"15:59:04"},{"id":151,"name":"Denver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63"/>
        <v>start /low /b %USERPROFILE%\Documents\GitHub\eaglep3\Utilities\DownloadLogsFromS3.py --loco 4043 --day 2017-01-05</v>
      </c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4" t="s">
        <v>613</v>
      </c>
      <c r="B182" s="7">
        <v>4020</v>
      </c>
      <c r="C182" s="22" t="s">
        <v>203</v>
      </c>
      <c r="D182" s="22" t="s">
        <v>848</v>
      </c>
      <c r="E182" s="13">
        <v>42740.657685185186</v>
      </c>
      <c r="F182" s="13">
        <v>42740.660613425927</v>
      </c>
      <c r="G182" s="7">
        <v>1</v>
      </c>
      <c r="H182" s="22" t="s">
        <v>343</v>
      </c>
      <c r="I182" s="13">
        <v>42740.671342592592</v>
      </c>
      <c r="J182" s="7">
        <v>0</v>
      </c>
      <c r="K182" s="105" t="str">
        <f t="shared" si="64"/>
        <v>4019/4020</v>
      </c>
      <c r="L182" s="22" t="str">
        <f>VLOOKUP(A182,'Trips&amp;Operators'!$C$1:$G$99999,5,FALSE)</f>
        <v>DELGADO DIANAH</v>
      </c>
      <c r="M182" s="6">
        <f t="shared" si="65"/>
        <v>1.0729166664532386E-2</v>
      </c>
      <c r="N182" s="7">
        <f t="shared" si="77"/>
        <v>15.449999996926636</v>
      </c>
      <c r="O182" s="7"/>
      <c r="P182" s="7"/>
      <c r="Q182" s="23"/>
      <c r="R182" s="23"/>
      <c r="S182" s="32">
        <f t="shared" si="79"/>
        <v>1</v>
      </c>
      <c r="T182" s="47" t="str">
        <f t="shared" si="66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14:47:04-700',mode:absolute,to:'2017-01-05 17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2" s="49" t="str">
        <f t="shared" si="68"/>
        <v>N</v>
      </c>
      <c r="X182" s="173">
        <f t="shared" si="78"/>
        <v>1</v>
      </c>
      <c r="Y182" s="64">
        <f t="shared" si="69"/>
        <v>0.1007</v>
      </c>
      <c r="Z182" s="64">
        <f t="shared" si="70"/>
        <v>5.8928000000000003</v>
      </c>
      <c r="AA182" s="64">
        <f t="shared" si="71"/>
        <v>5.7921000000000005</v>
      </c>
      <c r="AB182" s="61" t="e">
        <f>VLOOKUP(A182,Enforcements!$C$7:$K$18,8,0)</f>
        <v>#N/A</v>
      </c>
      <c r="AC182" s="57" t="e">
        <f>VLOOKUP(A182,Enforcements!$C$7:$E$18,3,0)</f>
        <v>#N/A</v>
      </c>
      <c r="AD182" s="58" t="str">
        <f t="shared" si="72"/>
        <v>0827-05</v>
      </c>
      <c r="AE182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82" s="84" t="str">
        <f t="shared" si="74"/>
        <v>"C:\Program Files (x86)\AstroGrep\AstroGrep.exe" /spath="%USERPROFILE%\AppData\Local\Temp\OnboardLogs" /stypes="app*4020*20170105*" /stext=" 23:.+((SYSTEM_STATE.+slice.+state.+changed )|(ment ac)|(multiple cpu faults)|(system.+state.+changed )|(\[timeout)|(PRM\|1\|D)|(kpr)|(kdp)|(\|lc)|(penalty))" /e /r /s</v>
      </c>
      <c r="AG182" s="1" t="str">
        <f t="shared" si="75"/>
        <v>NW</v>
      </c>
      <c r="AH182" s="88" t="str">
        <f t="shared" si="61"/>
        <v>"%USERPROFILE%\Documents\GitHub\eaglep3\Utilities\RefineRTDCRunTimes.py" --tripid 827-05 --locoid 4020 --swversion DE.1.0.8.0 --startMP 204:1007 --initTime 2017-01-05T15:47:04 --startdatetime 2017-01-05T15:51:17 --delay 1 --endMP 300:58928 --enddatetime 2017-01-05T16:06:44 --enforcementcount 0 &gt;&gt;C:\Users\stu\Documents\GitHub\eaglep3-reporting\EC\2017-01-05-refined-times.txt</v>
      </c>
      <c r="AI182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{"issue":{"subject":"","project_id":79,"tracker_id":40,"status_id":1,"priority_id":2,"assigned_to_id":23,"start_date":"2017-01-05","description":"","custom_fields":[{"id":1,"name":"Subdivision","value":"NW"},{"id":4,"name":"Milepost","value":"5.8928"},{"id":17,"name":"Train ID","value":"827-05"},{"id":16,"name":"Locomotive ID","value":"4020"},{"id":130,"name":"Impact","value":""},{"id":150,"name":"Time of Event (Mountain Time)","value":"16:06:44"},{"id":151,"name":"Denver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63"/>
        <v>start /low /b %USERPROFILE%\Documents\GitHub\eaglep3\Utilities\DownloadLogsFromS3.py --loco 4020 --day 2017-01-05</v>
      </c>
    </row>
    <row r="183" spans="1:91" s="21" customFormat="1" x14ac:dyDescent="0.25">
      <c r="A183" s="34" t="s">
        <v>618</v>
      </c>
      <c r="B183" s="7">
        <v>4019</v>
      </c>
      <c r="C183" s="22" t="s">
        <v>203</v>
      </c>
      <c r="D183" s="22" t="s">
        <v>346</v>
      </c>
      <c r="E183" s="13">
        <v>42740.672430555554</v>
      </c>
      <c r="F183" s="13">
        <v>42740.67396990741</v>
      </c>
      <c r="G183" s="7">
        <v>1</v>
      </c>
      <c r="H183" s="22" t="s">
        <v>849</v>
      </c>
      <c r="I183" s="13">
        <v>42740.685636574075</v>
      </c>
      <c r="J183" s="7">
        <v>0</v>
      </c>
      <c r="K183" s="105" t="str">
        <f t="shared" si="64"/>
        <v>4019/4020</v>
      </c>
      <c r="L183" s="22" t="str">
        <f>VLOOKUP(A183,'Trips&amp;Operators'!$C$1:$G$99999,5,FALSE)</f>
        <v>DELGADO DIANAH</v>
      </c>
      <c r="M183" s="6">
        <f t="shared" si="65"/>
        <v>1.1666666665405501E-2</v>
      </c>
      <c r="N183" s="7">
        <f t="shared" si="77"/>
        <v>16.799999998183921</v>
      </c>
      <c r="O183" s="7"/>
      <c r="P183" s="7"/>
      <c r="Q183" s="23"/>
      <c r="R183" s="23"/>
      <c r="S183" s="32">
        <f t="shared" si="79"/>
        <v>1</v>
      </c>
      <c r="T183" s="47" t="str">
        <f t="shared" si="66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15:08:18-700',mode:absolute,to:'2017-01-05 17:27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3" s="49" t="str">
        <f t="shared" si="68"/>
        <v>N</v>
      </c>
      <c r="X183" s="173">
        <f t="shared" si="78"/>
        <v>1</v>
      </c>
      <c r="Y183" s="64">
        <f t="shared" si="69"/>
        <v>5.8604000000000003</v>
      </c>
      <c r="Z183" s="64">
        <f t="shared" si="70"/>
        <v>7.1499999999999994E-2</v>
      </c>
      <c r="AA183" s="64">
        <f t="shared" si="71"/>
        <v>5.7888999999999999</v>
      </c>
      <c r="AB183" s="61" t="e">
        <f>VLOOKUP(A183,Enforcements!$C$7:$K$18,8,0)</f>
        <v>#N/A</v>
      </c>
      <c r="AC183" s="57" t="e">
        <f>VLOOKUP(A183,Enforcements!$C$7:$E$18,3,0)</f>
        <v>#N/A</v>
      </c>
      <c r="AD183" s="58" t="str">
        <f t="shared" si="72"/>
        <v>0828-05</v>
      </c>
      <c r="AE183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83" s="84" t="str">
        <f t="shared" si="74"/>
        <v>"C:\Program Files (x86)\AstroGrep\AstroGrep.exe" /spath="%USERPROFILE%\AppData\Local\Temp\OnboardLogs" /stypes="app*4019*20170105*" /stext=" 23:.+((SYSTEM_STATE.+slice.+state.+changed )|(ment ac)|(multiple cpu faults)|(system.+state.+changed )|(\[timeout)|(PRM\|1\|D)|(kpr)|(kdp)|(\|lc)|(penalty))" /e /r /s</v>
      </c>
      <c r="AG183" s="1" t="str">
        <f t="shared" si="75"/>
        <v>NW</v>
      </c>
      <c r="AH183" s="88" t="str">
        <f t="shared" si="61"/>
        <v>"%USERPROFILE%\Documents\GitHub\eaglep3\Utilities\RefineRTDCRunTimes.py" --tripid 828-05 --locoid 4019 --swversion DE.1.0.8.0 --startMP 300:58604 --initTime 2017-01-05T16:08:18 --startdatetime 2017-01-05T16:10:31 --delay 1 --endMP 204:715 --enddatetime 2017-01-05T16:27:19 --enforcementcount 0 &gt;&gt;C:\Users\stu\Documents\GitHub\eaglep3-reporting\EC\2017-01-05-refined-times.txt</v>
      </c>
      <c r="AI183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{"issue":{"subject":"","project_id":79,"tracker_id":40,"status_id":1,"priority_id":2,"assigned_to_id":23,"start_date":"2017-01-05","description":"","custom_fields":[{"id":1,"name":"Subdivision","value":"NW"},{"id":4,"name":"Milepost","value":"0.0715"},{"id":17,"name":"Train ID","value":"828-05"},{"id":16,"name":"Locomotive ID","value":"4019"},{"id":130,"name":"Impact","value":""},{"id":150,"name":"Time of Event (Mountain Time)","value":"16:27:19"},{"id":151,"name":"Denver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63"/>
        <v>start /low /b %USERPROFILE%\Documents\GitHub\eaglep3\Utilities\DownloadLogsFromS3.py --loco 4019 --day 2017-01-05</v>
      </c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617</v>
      </c>
      <c r="B184" s="7">
        <v>4044</v>
      </c>
      <c r="C184" s="22" t="s">
        <v>203</v>
      </c>
      <c r="D184" s="22" t="s">
        <v>850</v>
      </c>
      <c r="E184" s="13">
        <v>42740.66951388889</v>
      </c>
      <c r="F184" s="13">
        <v>42740.681458333333</v>
      </c>
      <c r="G184" s="7">
        <v>1</v>
      </c>
      <c r="H184" s="22" t="s">
        <v>845</v>
      </c>
      <c r="I184" s="13">
        <v>42740.692685185182</v>
      </c>
      <c r="J184" s="7">
        <v>0</v>
      </c>
      <c r="K184" s="105" t="str">
        <f t="shared" si="64"/>
        <v>4043/4044</v>
      </c>
      <c r="L184" s="22" t="str">
        <f>VLOOKUP(A184,'Trips&amp;Operators'!$C$1:$G$99999,5,FALSE)</f>
        <v>LEVERE CRAIG</v>
      </c>
      <c r="M184" s="6">
        <f t="shared" si="65"/>
        <v>1.1226851849642117E-2</v>
      </c>
      <c r="N184" s="7">
        <f t="shared" si="77"/>
        <v>16.166666663484648</v>
      </c>
      <c r="O184" s="7"/>
      <c r="P184" s="7"/>
      <c r="Q184" s="23"/>
      <c r="R184" s="23"/>
      <c r="S184" s="32">
        <f t="shared" si="79"/>
        <v>1</v>
      </c>
      <c r="T184" s="47" t="str">
        <f t="shared" si="66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15:04:06-700',mode:absolute,to:'2017-01-05 17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4" s="49" t="str">
        <f t="shared" si="68"/>
        <v>N</v>
      </c>
      <c r="X184" s="173">
        <f t="shared" si="78"/>
        <v>1</v>
      </c>
      <c r="Y184" s="64">
        <f t="shared" si="69"/>
        <v>9.8799999999999999E-2</v>
      </c>
      <c r="Z184" s="64">
        <f t="shared" si="70"/>
        <v>5.8967000000000001</v>
      </c>
      <c r="AA184" s="64">
        <f t="shared" si="71"/>
        <v>5.7979000000000003</v>
      </c>
      <c r="AB184" s="61" t="e">
        <f>VLOOKUP(A184,Enforcements!$C$7:$K$18,8,0)</f>
        <v>#N/A</v>
      </c>
      <c r="AC184" s="57" t="e">
        <f>VLOOKUP(A184,Enforcements!$C$7:$E$18,3,0)</f>
        <v>#N/A</v>
      </c>
      <c r="AD184" s="58" t="str">
        <f t="shared" si="72"/>
        <v>0829-05</v>
      </c>
      <c r="AE184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84" s="84" t="str">
        <f t="shared" si="74"/>
        <v>"C:\Program Files (x86)\AstroGrep\AstroGrep.exe" /spath="%USERPROFILE%\AppData\Local\Temp\OnboardLogs" /stypes="app*4044*20170105*" /stext=" 23:.+((SYSTEM_STATE.+slice.+state.+changed )|(ment ac)|(multiple cpu faults)|(system.+state.+changed )|(\[timeout)|(PRM\|1\|D)|(kpr)|(kdp)|(\|lc)|(penalty))" /e /r /s</v>
      </c>
      <c r="AG184" s="1" t="str">
        <f t="shared" si="75"/>
        <v>NW</v>
      </c>
      <c r="AH184" s="88" t="str">
        <f t="shared" si="61"/>
        <v>"%USERPROFILE%\Documents\GitHub\eaglep3\Utilities\RefineRTDCRunTimes.py" --tripid 829-05 --locoid 4044 --swversion DE.1.0.8.0 --startMP 204:988 --initTime 2017-01-05T16:04:06 --startdatetime 2017-01-05T16:21:18 --delay 1 --endMP 300:58967 --enddatetime 2017-01-05T16:37:28 --enforcementcount 0 &gt;&gt;C:\Users\stu\Documents\GitHub\eaglep3-reporting\EC\2017-01-05-refined-times.txt</v>
      </c>
      <c r="AI184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{"issue":{"subject":"","project_id":79,"tracker_id":40,"status_id":1,"priority_id":2,"assigned_to_id":23,"start_date":"2017-01-05","description":"","custom_fields":[{"id":1,"name":"Subdivision","value":"NW"},{"id":4,"name":"Milepost","value":"5.8967"},{"id":17,"name":"Train ID","value":"829-05"},{"id":16,"name":"Locomotive ID","value":"4044"},{"id":130,"name":"Impact","value":""},{"id":150,"name":"Time of Event (Mountain Time)","value":"16:37:28"},{"id":151,"name":"Denver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63"/>
        <v>start /low /b %USERPROFILE%\Documents\GitHub\eaglep3\Utilities\DownloadLogsFromS3.py --loco 4044 --day 2017-01-05</v>
      </c>
    </row>
    <row r="185" spans="1:91" x14ac:dyDescent="0.25">
      <c r="A185" s="34" t="s">
        <v>624</v>
      </c>
      <c r="B185" s="7">
        <v>4043</v>
      </c>
      <c r="C185" s="22" t="s">
        <v>203</v>
      </c>
      <c r="D185" s="22" t="s">
        <v>843</v>
      </c>
      <c r="E185" s="13">
        <v>42740.693622685183</v>
      </c>
      <c r="F185" s="13">
        <v>42740.694953703707</v>
      </c>
      <c r="G185" s="7">
        <v>1</v>
      </c>
      <c r="H185" s="22" t="s">
        <v>444</v>
      </c>
      <c r="I185" s="13">
        <v>42740.707407407404</v>
      </c>
      <c r="J185" s="7">
        <v>0</v>
      </c>
      <c r="K185" s="105" t="str">
        <f t="shared" si="64"/>
        <v>4043/4044</v>
      </c>
      <c r="L185" s="22" t="str">
        <f>VLOOKUP(A185,'Trips&amp;Operators'!$C$1:$G$99999,5,FALSE)</f>
        <v>LEVERE CRAIG</v>
      </c>
      <c r="M185" s="6">
        <f t="shared" si="65"/>
        <v>1.2453703697246965E-2</v>
      </c>
      <c r="N185" s="7">
        <f t="shared" si="77"/>
        <v>17.93333332403563</v>
      </c>
      <c r="O185" s="7"/>
      <c r="P185" s="7"/>
      <c r="Q185" s="23"/>
      <c r="R185" s="23"/>
      <c r="S185" s="32">
        <f t="shared" si="79"/>
        <v>1</v>
      </c>
      <c r="T185" s="47" t="str">
        <f t="shared" si="66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15:38:49-700',mode:absolute,to:'2017-01-05 17:58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5" s="49" t="str">
        <f t="shared" si="68"/>
        <v>N</v>
      </c>
      <c r="X185" s="173">
        <f t="shared" si="78"/>
        <v>1</v>
      </c>
      <c r="Y185" s="64">
        <f t="shared" si="69"/>
        <v>5.8653000000000004</v>
      </c>
      <c r="Z185" s="64">
        <f t="shared" si="70"/>
        <v>6.7299999999999999E-2</v>
      </c>
      <c r="AA185" s="64">
        <f t="shared" si="71"/>
        <v>5.798</v>
      </c>
      <c r="AB185" s="61" t="e">
        <f>VLOOKUP(A185,Enforcements!$C$7:$K$18,8,0)</f>
        <v>#N/A</v>
      </c>
      <c r="AC185" s="57" t="e">
        <f>VLOOKUP(A185,Enforcements!$C$7:$E$18,3,0)</f>
        <v>#N/A</v>
      </c>
      <c r="AD185" s="58" t="str">
        <f t="shared" si="72"/>
        <v>0830-05</v>
      </c>
      <c r="AE185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85" s="84" t="str">
        <f t="shared" si="74"/>
        <v>"C:\Program Files (x86)\AstroGrep\AstroGrep.exe" /spath="%USERPROFILE%\AppData\Local\Temp\OnboardLogs" /stypes="app*4043*20170105*" /stext=" 23:.+((SYSTEM_STATE.+slice.+state.+changed )|(ment ac)|(multiple cpu faults)|(system.+state.+changed )|(\[timeout)|(PRM\|1\|D)|(kpr)|(kdp)|(\|lc)|(penalty))" /e /r /s</v>
      </c>
      <c r="AG185" s="1" t="str">
        <f t="shared" si="75"/>
        <v>NW</v>
      </c>
      <c r="AH185" s="88" t="str">
        <f t="shared" si="61"/>
        <v>"%USERPROFILE%\Documents\GitHub\eaglep3\Utilities\RefineRTDCRunTimes.py" --tripid 830-05 --locoid 4043 --swversion DE.1.0.8.0 --startMP 300:58653 --initTime 2017-01-05T16:38:49 --startdatetime 2017-01-05T16:40:44 --delay 1 --endMP 204:673 --enddatetime 2017-01-05T16:58:40 --enforcementcount 0 &gt;&gt;C:\Users\stu\Documents\GitHub\eaglep3-reporting\EC\2017-01-05-refined-times.txt</v>
      </c>
      <c r="AI185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{"issue":{"subject":"","project_id":79,"tracker_id":40,"status_id":1,"priority_id":2,"assigned_to_id":23,"start_date":"2017-01-05","description":"","custom_fields":[{"id":1,"name":"Subdivision","value":"NW"},{"id":4,"name":"Milepost","value":"0.0673"},{"id":17,"name":"Train ID","value":"830-05"},{"id":16,"name":"Locomotive ID","value":"4043"},{"id":130,"name":"Impact","value":""},{"id":150,"name":"Time of Event (Mountain Time)","value":"16:58:40"},{"id":151,"name":"Denver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63"/>
        <v>start /low /b %USERPROFILE%\Documents\GitHub\eaglep3\Utilities\DownloadLogsFromS3.py --loco 4043 --day 2017-01-05</v>
      </c>
    </row>
    <row r="186" spans="1:91" x14ac:dyDescent="0.25">
      <c r="A186" s="34" t="s">
        <v>628</v>
      </c>
      <c r="B186" s="7">
        <v>4020</v>
      </c>
      <c r="C186" s="22" t="s">
        <v>203</v>
      </c>
      <c r="D186" s="22" t="s">
        <v>853</v>
      </c>
      <c r="E186" s="13">
        <v>42740.70034722222</v>
      </c>
      <c r="F186" s="13">
        <v>42740.703472222223</v>
      </c>
      <c r="G186" s="7">
        <v>1</v>
      </c>
      <c r="H186" s="22" t="s">
        <v>436</v>
      </c>
      <c r="I186" s="13">
        <v>42740.714016203703</v>
      </c>
      <c r="J186" s="7">
        <v>0</v>
      </c>
      <c r="K186" s="105" t="str">
        <f t="shared" si="64"/>
        <v>4019/4020</v>
      </c>
      <c r="L186" s="22" t="str">
        <f>VLOOKUP(A186,'Trips&amp;Operators'!$C$1:$G$99999,5,FALSE)</f>
        <v>DELGADO DIANAH</v>
      </c>
      <c r="M186" s="6">
        <f t="shared" si="65"/>
        <v>1.0543981479713693E-2</v>
      </c>
      <c r="N186" s="7">
        <f t="shared" si="77"/>
        <v>15.183333330787718</v>
      </c>
      <c r="O186" s="7"/>
      <c r="P186" s="7"/>
      <c r="Q186" s="23"/>
      <c r="R186" s="23"/>
      <c r="S186" s="32">
        <f t="shared" si="79"/>
        <v>1</v>
      </c>
      <c r="T186" s="47" t="str">
        <f t="shared" si="66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15:48:30-700',mode:absolute,to:'2017-01-05 18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6" s="49" t="str">
        <f t="shared" si="68"/>
        <v>N</v>
      </c>
      <c r="X186" s="173">
        <f t="shared" si="78"/>
        <v>1</v>
      </c>
      <c r="Y186" s="64">
        <f t="shared" si="69"/>
        <v>9.9900000000000003E-2</v>
      </c>
      <c r="Z186" s="64">
        <f t="shared" si="70"/>
        <v>5.8917999999999999</v>
      </c>
      <c r="AA186" s="64">
        <f t="shared" si="71"/>
        <v>5.7919</v>
      </c>
      <c r="AB186" s="61" t="e">
        <f>VLOOKUP(A186,Enforcements!$C$7:$K$18,8,0)</f>
        <v>#N/A</v>
      </c>
      <c r="AC186" s="57" t="e">
        <f>VLOOKUP(A186,Enforcements!$C$7:$E$18,3,0)</f>
        <v>#N/A</v>
      </c>
      <c r="AD186" s="58" t="str">
        <f t="shared" si="72"/>
        <v>0831-05</v>
      </c>
      <c r="AE186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86" s="84" t="str">
        <f t="shared" si="74"/>
        <v>"C:\Program Files (x86)\AstroGrep\AstroGrep.exe" /spath="%USERPROFILE%\AppData\Local\Temp\OnboardLogs" /stypes="app*4020*20170106*" /stext=" 00:.+((SYSTEM_STATE.+slice.+state.+changed )|(ment ac)|(multiple cpu faults)|(system.+state.+changed )|(\[timeout)|(PRM\|1\|D)|(kpr)|(kdp)|(\|lc)|(penalty))" /e /r /s</v>
      </c>
      <c r="AG186" s="1" t="str">
        <f t="shared" si="75"/>
        <v>NW</v>
      </c>
      <c r="AH186" s="88" t="str">
        <f t="shared" si="61"/>
        <v>"%USERPROFILE%\Documents\GitHub\eaglep3\Utilities\RefineRTDCRunTimes.py" --tripid 831-05 --locoid 4020 --swversion DE.1.0.8.0 --startMP 204:999 --initTime 2017-01-05T16:48:30 --startdatetime 2017-01-05T16:53:00 --delay 1 --endMP 300:58918 --enddatetime 2017-01-05T17:08:11 --enforcementcount 0 &gt;&gt;C:\Users\stu\Documents\GitHub\eaglep3-reporting\EC\2017-01-05-refined-times.txt</v>
      </c>
      <c r="AI186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{"issue":{"subject":"","project_id":79,"tracker_id":40,"status_id":1,"priority_id":2,"assigned_to_id":23,"start_date":"2017-01-05","description":"","custom_fields":[{"id":1,"name":"Subdivision","value":"NW"},{"id":4,"name":"Milepost","value":"5.8918"},{"id":17,"name":"Train ID","value":"831-05"},{"id":16,"name":"Locomotive ID","value":"4020"},{"id":130,"name":"Impact","value":""},{"id":150,"name":"Time of Event (Mountain Time)","value":"17:08:11"},{"id":151,"name":"Denver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63"/>
        <v>start /low /b %USERPROFILE%\Documents\GitHub\eaglep3\Utilities\DownloadLogsFromS3.py --loco 4020 --day 2017-01-05</v>
      </c>
    </row>
    <row r="187" spans="1:91" s="21" customFormat="1" x14ac:dyDescent="0.25">
      <c r="A187" s="34" t="s">
        <v>484</v>
      </c>
      <c r="B187" s="7">
        <v>4019</v>
      </c>
      <c r="C187" s="22" t="s">
        <v>203</v>
      </c>
      <c r="D187" s="22" t="s">
        <v>854</v>
      </c>
      <c r="E187" s="13">
        <v>42740.716145833336</v>
      </c>
      <c r="F187" s="13">
        <v>42740.717777777776</v>
      </c>
      <c r="G187" s="7">
        <v>1</v>
      </c>
      <c r="H187" s="22" t="s">
        <v>412</v>
      </c>
      <c r="I187" s="13">
        <v>42740.728668981479</v>
      </c>
      <c r="J187" s="7">
        <v>0</v>
      </c>
      <c r="K187" s="105" t="str">
        <f t="shared" si="64"/>
        <v>4019/4020</v>
      </c>
      <c r="L187" s="22" t="str">
        <f>VLOOKUP(A187,'Trips&amp;Operators'!$C$1:$G$99999,5,FALSE)</f>
        <v>DELGADO DIANAH</v>
      </c>
      <c r="M187" s="6">
        <f t="shared" si="65"/>
        <v>1.0891203703067731E-2</v>
      </c>
      <c r="N187" s="7">
        <f t="shared" si="77"/>
        <v>15.683333332417533</v>
      </c>
      <c r="O187" s="7"/>
      <c r="P187" s="7"/>
      <c r="Q187" s="23"/>
      <c r="R187" s="23"/>
      <c r="S187" s="32">
        <f t="shared" si="79"/>
        <v>1</v>
      </c>
      <c r="T187" s="47" t="str">
        <f t="shared" si="66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16:11:15-700',mode:absolute,to:'2017-01-05 18:29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7" s="49" t="str">
        <f t="shared" si="68"/>
        <v>N</v>
      </c>
      <c r="X187" s="173">
        <f t="shared" si="78"/>
        <v>1</v>
      </c>
      <c r="Y187" s="64">
        <f t="shared" si="69"/>
        <v>5.8596000000000004</v>
      </c>
      <c r="Z187" s="64">
        <f t="shared" si="70"/>
        <v>7.0800000000000002E-2</v>
      </c>
      <c r="AA187" s="64">
        <f t="shared" si="71"/>
        <v>5.7888000000000002</v>
      </c>
      <c r="AB187" s="61" t="e">
        <f>VLOOKUP(A187,Enforcements!$C$7:$K$18,8,0)</f>
        <v>#N/A</v>
      </c>
      <c r="AC187" s="57" t="e">
        <f>VLOOKUP(A187,Enforcements!$C$7:$E$18,3,0)</f>
        <v>#N/A</v>
      </c>
      <c r="AD187" s="58" t="str">
        <f t="shared" si="72"/>
        <v>0832-05</v>
      </c>
      <c r="AE187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87" s="84" t="str">
        <f t="shared" si="74"/>
        <v>"C:\Program Files (x86)\AstroGrep\AstroGrep.exe" /spath="%USERPROFILE%\AppData\Local\Temp\OnboardLogs" /stypes="app*4019*20170106*" /stext=" 00:.+((SYSTEM_STATE.+slice.+state.+changed )|(ment ac)|(multiple cpu faults)|(system.+state.+changed )|(\[timeout)|(PRM\|1\|D)|(kpr)|(kdp)|(\|lc)|(penalty))" /e /r /s</v>
      </c>
      <c r="AG187" s="1" t="str">
        <f t="shared" si="75"/>
        <v>NW</v>
      </c>
      <c r="AH187" s="88" t="str">
        <f t="shared" si="61"/>
        <v>"%USERPROFILE%\Documents\GitHub\eaglep3\Utilities\RefineRTDCRunTimes.py" --tripid 832-05 --locoid 4019 --swversion DE.1.0.8.0 --startMP 300:58596 --initTime 2017-01-05T17:11:15 --startdatetime 2017-01-05T17:13:36 --delay 1 --endMP 204:708 --enddatetime 2017-01-05T17:29:17 --enforcementcount 0 &gt;&gt;C:\Users\stu\Documents\GitHub\eaglep3-reporting\EC\2017-01-05-refined-times.txt</v>
      </c>
      <c r="AI187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{"issue":{"subject":"","project_id":79,"tracker_id":40,"status_id":1,"priority_id":2,"assigned_to_id":23,"start_date":"2017-01-05","description":"","custom_fields":[{"id":1,"name":"Subdivision","value":"NW"},{"id":4,"name":"Milepost","value":"0.0708"},{"id":17,"name":"Train ID","value":"832-05"},{"id":16,"name":"Locomotive ID","value":"4019"},{"id":130,"name":"Impact","value":""},{"id":150,"name":"Time of Event (Mountain Time)","value":"17:29:17"},{"id":151,"name":"Denver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63"/>
        <v>start /low /b %USERPROFILE%\Documents\GitHub\eaglep3\Utilities\DownloadLogsFromS3.py --loco 4019 --day 2017-01-05</v>
      </c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4" t="s">
        <v>630</v>
      </c>
      <c r="B188" s="7">
        <v>4044</v>
      </c>
      <c r="C188" s="22" t="s">
        <v>203</v>
      </c>
      <c r="D188" s="22" t="s">
        <v>435</v>
      </c>
      <c r="E188" s="13">
        <v>42740.710636574076</v>
      </c>
      <c r="F188" s="13">
        <v>42740.723136574074</v>
      </c>
      <c r="G188" s="7">
        <v>1</v>
      </c>
      <c r="H188" s="22" t="s">
        <v>440</v>
      </c>
      <c r="I188" s="13">
        <v>42740.734247685185</v>
      </c>
      <c r="J188" s="7">
        <v>0</v>
      </c>
      <c r="K188" s="105" t="str">
        <f t="shared" si="64"/>
        <v>4043/4044</v>
      </c>
      <c r="L188" s="22" t="str">
        <f>VLOOKUP(A188,'Trips&amp;Operators'!$C$1:$G$99999,5,FALSE)</f>
        <v>LEVERE CRAIG</v>
      </c>
      <c r="M188" s="6">
        <f t="shared" si="65"/>
        <v>1.1111111110949423E-2</v>
      </c>
      <c r="N188" s="7">
        <f t="shared" si="77"/>
        <v>15.999999999767169</v>
      </c>
      <c r="O188" s="7"/>
      <c r="P188" s="7"/>
      <c r="Q188" s="23"/>
      <c r="R188" s="23"/>
      <c r="S188" s="32">
        <f t="shared" si="79"/>
        <v>1</v>
      </c>
      <c r="T188" s="47" t="str">
        <f t="shared" si="66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16:03:19-700',mode:absolute,to:'2017-01-05 18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8" s="49" t="str">
        <f t="shared" si="68"/>
        <v>N</v>
      </c>
      <c r="X188" s="173">
        <f t="shared" si="78"/>
        <v>1</v>
      </c>
      <c r="Y188" s="64">
        <f t="shared" si="69"/>
        <v>9.74E-2</v>
      </c>
      <c r="Z188" s="64">
        <f t="shared" si="70"/>
        <v>5.8968999999999996</v>
      </c>
      <c r="AA188" s="64">
        <f t="shared" si="71"/>
        <v>5.7994999999999992</v>
      </c>
      <c r="AB188" s="61" t="e">
        <f>VLOOKUP(A188,Enforcements!$C$7:$K$18,8,0)</f>
        <v>#N/A</v>
      </c>
      <c r="AC188" s="57" t="e">
        <f>VLOOKUP(A188,Enforcements!$C$7:$E$18,3,0)</f>
        <v>#N/A</v>
      </c>
      <c r="AD188" s="58" t="str">
        <f t="shared" si="72"/>
        <v>0833-05</v>
      </c>
      <c r="AE188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88" s="84" t="str">
        <f t="shared" si="74"/>
        <v>"C:\Program Files (x86)\AstroGrep\AstroGrep.exe" /spath="%USERPROFILE%\AppData\Local\Temp\OnboardLogs" /stypes="app*4044*20170106*" /stext=" 00:.+((SYSTEM_STATE.+slice.+state.+changed )|(ment ac)|(multiple cpu faults)|(system.+state.+changed )|(\[timeout)|(PRM\|1\|D)|(kpr)|(kdp)|(\|lc)|(penalty))" /e /r /s</v>
      </c>
      <c r="AG188" s="1" t="str">
        <f t="shared" si="75"/>
        <v>NW</v>
      </c>
      <c r="AH188" s="88" t="str">
        <f t="shared" si="61"/>
        <v>"%USERPROFILE%\Documents\GitHub\eaglep3\Utilities\RefineRTDCRunTimes.py" --tripid 833-05 --locoid 4044 --swversion DE.1.0.8.0 --startMP 204:974 --initTime 2017-01-05T17:03:19 --startdatetime 2017-01-05T17:21:19 --delay 1 --endMP 300:58969 --enddatetime 2017-01-05T17:37:19 --enforcementcount 0 &gt;&gt;C:\Users\stu\Documents\GitHub\eaglep3-reporting\EC\2017-01-05-refined-times.txt</v>
      </c>
      <c r="AI188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{"issue":{"subject":"","project_id":79,"tracker_id":40,"status_id":1,"priority_id":2,"assigned_to_id":23,"start_date":"2017-01-05","description":"","custom_fields":[{"id":1,"name":"Subdivision","value":"NW"},{"id":4,"name":"Milepost","value":"5.8969"},{"id":17,"name":"Train ID","value":"833-05"},{"id":16,"name":"Locomotive ID","value":"4044"},{"id":130,"name":"Impact","value":""},{"id":150,"name":"Time of Event (Mountain Time)","value":"17:37:19"},{"id":151,"name":"Denver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63"/>
        <v>start /low /b %USERPROFILE%\Documents\GitHub\eaglep3\Utilities\DownloadLogsFromS3.py --loco 4044 --day 2017-01-05</v>
      </c>
    </row>
    <row r="189" spans="1:91" x14ac:dyDescent="0.25">
      <c r="A189" s="34" t="s">
        <v>639</v>
      </c>
      <c r="B189" s="7">
        <v>4043</v>
      </c>
      <c r="C189" s="22" t="s">
        <v>203</v>
      </c>
      <c r="D189" s="22" t="s">
        <v>855</v>
      </c>
      <c r="E189" s="13">
        <v>42740.735335648147</v>
      </c>
      <c r="F189" s="13">
        <v>42740.736898148149</v>
      </c>
      <c r="G189" s="7">
        <v>1</v>
      </c>
      <c r="H189" s="22" t="s">
        <v>836</v>
      </c>
      <c r="I189" s="13">
        <v>42740.752013888887</v>
      </c>
      <c r="J189" s="7">
        <v>0</v>
      </c>
      <c r="K189" s="105" t="str">
        <f t="shared" si="64"/>
        <v>4043/4044</v>
      </c>
      <c r="L189" s="22" t="str">
        <f>VLOOKUP(A189,'Trips&amp;Operators'!$C$1:$G$99999,5,FALSE)</f>
        <v>LEVERE CRAIG</v>
      </c>
      <c r="M189" s="6">
        <f t="shared" si="65"/>
        <v>1.5115740738110617E-2</v>
      </c>
      <c r="N189" s="7">
        <f t="shared" si="77"/>
        <v>21.766666662879288</v>
      </c>
      <c r="O189" s="7"/>
      <c r="P189" s="7"/>
      <c r="Q189" s="23"/>
      <c r="R189" s="23"/>
      <c r="S189" s="32">
        <f t="shared" si="79"/>
        <v>1</v>
      </c>
      <c r="T189" s="47" t="str">
        <f t="shared" si="66"/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16:38:53-700',mode:absolute,to:'2017-01-05 19:02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9" s="49" t="str">
        <f t="shared" si="68"/>
        <v>N</v>
      </c>
      <c r="X189" s="173">
        <f t="shared" si="78"/>
        <v>1</v>
      </c>
      <c r="Y189" s="64">
        <f t="shared" si="69"/>
        <v>5.8651</v>
      </c>
      <c r="Z189" s="64">
        <f t="shared" si="70"/>
        <v>6.9099999999999995E-2</v>
      </c>
      <c r="AA189" s="64">
        <f t="shared" si="71"/>
        <v>5.7960000000000003</v>
      </c>
      <c r="AB189" s="61" t="e">
        <f>VLOOKUP(A189,Enforcements!$C$7:$K$18,8,0)</f>
        <v>#N/A</v>
      </c>
      <c r="AC189" s="57" t="e">
        <f>VLOOKUP(A189,Enforcements!$C$7:$E$18,3,0)</f>
        <v>#N/A</v>
      </c>
      <c r="AD189" s="58" t="str">
        <f t="shared" si="72"/>
        <v>0834-05</v>
      </c>
      <c r="AE189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89" s="84" t="str">
        <f t="shared" si="74"/>
        <v>"C:\Program Files (x86)\AstroGrep\AstroGrep.exe" /spath="%USERPROFILE%\AppData\Local\Temp\OnboardLogs" /stypes="app*4043*20170106*" /stext=" 01:.+((SYSTEM_STATE.+slice.+state.+changed )|(ment ac)|(multiple cpu faults)|(system.+state.+changed )|(\[timeout)|(PRM\|1\|D)|(kpr)|(kdp)|(\|lc)|(penalty))" /e /r /s</v>
      </c>
      <c r="AG189" s="1" t="str">
        <f t="shared" si="75"/>
        <v>NW</v>
      </c>
      <c r="AH189" s="88" t="str">
        <f t="shared" si="61"/>
        <v>"%USERPROFILE%\Documents\GitHub\eaglep3\Utilities\RefineRTDCRunTimes.py" --tripid 834-05 --locoid 4043 --swversion DE.1.0.8.0 --startMP 300:58651 --initTime 2017-01-05T17:38:53 --startdatetime 2017-01-05T17:41:08 --delay 1 --endMP 204:691 --enddatetime 2017-01-05T18:02:54 --enforcementcount 0 &gt;&gt;C:\Users\stu\Documents\GitHub\eaglep3-reporting\EC\2017-01-05-refined-times.txt</v>
      </c>
      <c r="AI189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{"issue":{"subject":"","project_id":79,"tracker_id":40,"status_id":1,"priority_id":2,"assigned_to_id":23,"start_date":"2017-01-05","description":"","custom_fields":[{"id":1,"name":"Subdivision","value":"NW"},{"id":4,"name":"Milepost","value":"0.0691"},{"id":17,"name":"Train ID","value":"834-05"},{"id":16,"name":"Locomotive ID","value":"4043"},{"id":130,"name":"Impact","value":""},{"id":150,"name":"Time of Event (Mountain Time)","value":"18:02:54"},{"id":151,"name":"Denver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63"/>
        <v>start /low /b %USERPROFILE%\Documents\GitHub\eaglep3\Utilities\DownloadLogsFromS3.py --loco 4043 --day 2017-01-05</v>
      </c>
    </row>
    <row r="190" spans="1:91" x14ac:dyDescent="0.25">
      <c r="A190" s="34" t="s">
        <v>632</v>
      </c>
      <c r="B190" s="7">
        <v>4020</v>
      </c>
      <c r="C190" s="22" t="s">
        <v>203</v>
      </c>
      <c r="D190" s="22" t="s">
        <v>853</v>
      </c>
      <c r="E190" s="13">
        <v>42740.73232638889</v>
      </c>
      <c r="F190" s="13">
        <v>42740.744085648148</v>
      </c>
      <c r="G190" s="7">
        <v>1</v>
      </c>
      <c r="H190" s="22" t="s">
        <v>445</v>
      </c>
      <c r="I190" s="13">
        <v>42740.75513888889</v>
      </c>
      <c r="J190" s="7">
        <v>0</v>
      </c>
      <c r="K190" s="105" t="str">
        <f t="shared" si="64"/>
        <v>4019/4020</v>
      </c>
      <c r="L190" s="22" t="str">
        <f>VLOOKUP(A190,'Trips&amp;Operators'!$C$1:$G$99999,5,FALSE)</f>
        <v>DELGADO DIANAH</v>
      </c>
      <c r="M190" s="6">
        <f t="shared" si="65"/>
        <v>1.1053240741603076E-2</v>
      </c>
      <c r="N190" s="7">
        <f t="shared" si="77"/>
        <v>15.91666666790843</v>
      </c>
      <c r="O190" s="7"/>
      <c r="P190" s="7"/>
      <c r="Q190" s="23"/>
      <c r="R190" s="23"/>
      <c r="S190" s="32">
        <f t="shared" si="79"/>
        <v>1</v>
      </c>
      <c r="T190" s="47" t="str">
        <f t="shared" si="66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16:34:33-700',mode:absolute,to:'2017-01-05 19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0" s="49" t="str">
        <f t="shared" si="68"/>
        <v>N</v>
      </c>
      <c r="X190" s="173">
        <f t="shared" si="78"/>
        <v>1</v>
      </c>
      <c r="Y190" s="64">
        <f t="shared" si="69"/>
        <v>9.9900000000000003E-2</v>
      </c>
      <c r="Z190" s="64">
        <f t="shared" si="70"/>
        <v>5.8945999999999996</v>
      </c>
      <c r="AA190" s="64">
        <f t="shared" si="71"/>
        <v>5.7946999999999997</v>
      </c>
      <c r="AB190" s="61" t="e">
        <f>VLOOKUP(A190,Enforcements!$C$7:$K$18,8,0)</f>
        <v>#N/A</v>
      </c>
      <c r="AC190" s="57" t="e">
        <f>VLOOKUP(A190,Enforcements!$C$7:$E$18,3,0)</f>
        <v>#N/A</v>
      </c>
      <c r="AD190" s="58" t="str">
        <f t="shared" si="72"/>
        <v>0835-05</v>
      </c>
      <c r="AE190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90" s="84" t="str">
        <f t="shared" si="74"/>
        <v>"C:\Program Files (x86)\AstroGrep\AstroGrep.exe" /spath="%USERPROFILE%\AppData\Local\Temp\OnboardLogs" /stypes="app*4020*20170106*" /stext=" 01:.+((SYSTEM_STATE.+slice.+state.+changed )|(ment ac)|(multiple cpu faults)|(system.+state.+changed )|(\[timeout)|(PRM\|1\|D)|(kpr)|(kdp)|(\|lc)|(penalty))" /e /r /s</v>
      </c>
      <c r="AG190" s="1" t="str">
        <f t="shared" si="75"/>
        <v>NW</v>
      </c>
      <c r="AH190" s="88" t="str">
        <f t="shared" si="61"/>
        <v>"%USERPROFILE%\Documents\GitHub\eaglep3\Utilities\RefineRTDCRunTimes.py" --tripid 835-05 --locoid 4020 --swversion DE.1.0.8.0 --startMP 204:999 --initTime 2017-01-05T17:34:33 --startdatetime 2017-01-05T17:51:29 --delay 1 --endMP 300:58946 --enddatetime 2017-01-05T18:07:24 --enforcementcount 0 &gt;&gt;C:\Users\stu\Documents\GitHub\eaglep3-reporting\EC\2017-01-05-refined-times.txt</v>
      </c>
      <c r="AI190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{"issue":{"subject":"","project_id":79,"tracker_id":40,"status_id":1,"priority_id":2,"assigned_to_id":23,"start_date":"2017-01-05","description":"","custom_fields":[{"id":1,"name":"Subdivision","value":"NW"},{"id":4,"name":"Milepost","value":"5.8946"},{"id":17,"name":"Train ID","value":"835-05"},{"id":16,"name":"Locomotive ID","value":"4020"},{"id":130,"name":"Impact","value":""},{"id":150,"name":"Time of Event (Mountain Time)","value":"18:07:24"},{"id":151,"name":"Denver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63"/>
        <v>start /low /b %USERPROFILE%\Documents\GitHub\eaglep3\Utilities\DownloadLogsFromS3.py --loco 4020 --day 2017-01-05</v>
      </c>
    </row>
    <row r="191" spans="1:91" x14ac:dyDescent="0.25">
      <c r="A191" s="34" t="s">
        <v>644</v>
      </c>
      <c r="B191" s="7">
        <v>4019</v>
      </c>
      <c r="C191" s="22" t="s">
        <v>203</v>
      </c>
      <c r="D191" s="22" t="s">
        <v>856</v>
      </c>
      <c r="E191" s="13">
        <v>42740.756192129629</v>
      </c>
      <c r="F191" s="13">
        <v>42740.757395833331</v>
      </c>
      <c r="G191" s="7">
        <v>1</v>
      </c>
      <c r="H191" s="22" t="s">
        <v>412</v>
      </c>
      <c r="I191" s="13">
        <v>42740.770428240743</v>
      </c>
      <c r="J191" s="7">
        <v>0</v>
      </c>
      <c r="K191" s="105" t="str">
        <f t="shared" si="64"/>
        <v>4019/4020</v>
      </c>
      <c r="L191" s="22" t="str">
        <f>VLOOKUP(A191,'Trips&amp;Operators'!$C$1:$G$99999,5,FALSE)</f>
        <v>DELGADO DIANAH</v>
      </c>
      <c r="M191" s="6">
        <f t="shared" si="65"/>
        <v>1.3032407412538305E-2</v>
      </c>
      <c r="N191" s="7">
        <f t="shared" ref="N191:N222" si="80">24*60*SUM($M191:$M191)</f>
        <v>18.766666674055159</v>
      </c>
      <c r="O191" s="7"/>
      <c r="P191" s="7"/>
      <c r="Q191" s="23"/>
      <c r="R191" s="23"/>
      <c r="S191" s="32">
        <f t="shared" si="79"/>
        <v>1</v>
      </c>
      <c r="T191" s="47" t="str">
        <f t="shared" si="66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17:08:55-700',mode:absolute,to:'2017-01-05 19:29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1" s="49" t="str">
        <f t="shared" si="68"/>
        <v>N</v>
      </c>
      <c r="X191" s="173">
        <f t="shared" si="78"/>
        <v>1</v>
      </c>
      <c r="Y191" s="64">
        <f t="shared" si="69"/>
        <v>5.8623000000000003</v>
      </c>
      <c r="Z191" s="64">
        <f t="shared" si="70"/>
        <v>7.0800000000000002E-2</v>
      </c>
      <c r="AA191" s="64">
        <f t="shared" si="71"/>
        <v>5.7915000000000001</v>
      </c>
      <c r="AB191" s="61" t="e">
        <f>VLOOKUP(A191,Enforcements!$C$7:$K$18,8,0)</f>
        <v>#N/A</v>
      </c>
      <c r="AC191" s="57" t="e">
        <f>VLOOKUP(A191,Enforcements!$C$7:$E$18,3,0)</f>
        <v>#N/A</v>
      </c>
      <c r="AD191" s="58" t="str">
        <f t="shared" si="72"/>
        <v>0836-05</v>
      </c>
      <c r="AE191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91" s="84" t="str">
        <f t="shared" si="74"/>
        <v>"C:\Program Files (x86)\AstroGrep\AstroGrep.exe" /spath="%USERPROFILE%\AppData\Local\Temp\OnboardLogs" /stypes="app*4019*20170106*" /stext=" 01:.+((SYSTEM_STATE.+slice.+state.+changed )|(ment ac)|(multiple cpu faults)|(system.+state.+changed )|(\[timeout)|(PRM\|1\|D)|(kpr)|(kdp)|(\|lc)|(penalty))" /e /r /s</v>
      </c>
      <c r="AG191" s="1" t="str">
        <f t="shared" si="75"/>
        <v>NW</v>
      </c>
      <c r="AH191" s="88" t="str">
        <f t="shared" si="61"/>
        <v>"%USERPROFILE%\Documents\GitHub\eaglep3\Utilities\RefineRTDCRunTimes.py" --tripid 836-05 --locoid 4019 --swversion DE.1.0.8.0 --startMP 300:58623 --initTime 2017-01-05T18:08:55 --startdatetime 2017-01-05T18:10:39 --delay 1 --endMP 204:708 --enddatetime 2017-01-05T18:29:25 --enforcementcount 0 &gt;&gt;C:\Users\stu\Documents\GitHub\eaglep3-reporting\EC\2017-01-05-refined-times.txt</v>
      </c>
      <c r="AI191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{"issue":{"subject":"","project_id":79,"tracker_id":40,"status_id":1,"priority_id":2,"assigned_to_id":23,"start_date":"2017-01-05","description":"","custom_fields":[{"id":1,"name":"Subdivision","value":"NW"},{"id":4,"name":"Milepost","value":"0.0708"},{"id":17,"name":"Train ID","value":"836-05"},{"id":16,"name":"Locomotive ID","value":"4019"},{"id":130,"name":"Impact","value":""},{"id":150,"name":"Time of Event (Mountain Time)","value":"18:29:25"},{"id":151,"name":"Denver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63"/>
        <v>start /low /b %USERPROFILE%\Documents\GitHub\eaglep3\Utilities\DownloadLogsFromS3.py --loco 4019 --day 2017-01-05</v>
      </c>
    </row>
    <row r="192" spans="1:91" s="21" customFormat="1" x14ac:dyDescent="0.25">
      <c r="A192" s="34" t="s">
        <v>646</v>
      </c>
      <c r="B192" s="7">
        <v>4044</v>
      </c>
      <c r="C192" s="22" t="s">
        <v>203</v>
      </c>
      <c r="D192" s="22" t="s">
        <v>447</v>
      </c>
      <c r="E192" s="13">
        <v>42740.756469907406</v>
      </c>
      <c r="F192" s="13">
        <v>42740.764756944445</v>
      </c>
      <c r="G192" s="7">
        <v>1</v>
      </c>
      <c r="H192" s="22" t="s">
        <v>857</v>
      </c>
      <c r="I192" s="13">
        <v>42740.77579861111</v>
      </c>
      <c r="J192" s="7">
        <v>0</v>
      </c>
      <c r="K192" s="105" t="str">
        <f t="shared" si="64"/>
        <v>4043/4044</v>
      </c>
      <c r="L192" s="22" t="str">
        <f>VLOOKUP(A192,'Trips&amp;Operators'!$C$1:$G$99999,5,FALSE)</f>
        <v>LEVERE CRAIG</v>
      </c>
      <c r="M192" s="6">
        <f t="shared" si="65"/>
        <v>1.1041666664823424E-2</v>
      </c>
      <c r="N192" s="7">
        <f t="shared" si="80"/>
        <v>15.899999997345731</v>
      </c>
      <c r="O192" s="7"/>
      <c r="P192" s="7"/>
      <c r="Q192" s="23"/>
      <c r="R192" s="23"/>
      <c r="S192" s="32">
        <f t="shared" si="79"/>
        <v>1</v>
      </c>
      <c r="T192" s="47" t="str">
        <f t="shared" si="66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17:09:19-700',mode:absolute,to:'2017-01-05 19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2" s="49" t="str">
        <f t="shared" si="68"/>
        <v>N</v>
      </c>
      <c r="X192" s="173">
        <f t="shared" si="78"/>
        <v>1</v>
      </c>
      <c r="Y192" s="64">
        <f t="shared" si="69"/>
        <v>9.7600000000000006E-2</v>
      </c>
      <c r="Z192" s="64">
        <f t="shared" si="70"/>
        <v>5.8978000000000002</v>
      </c>
      <c r="AA192" s="64">
        <f t="shared" si="71"/>
        <v>5.8002000000000002</v>
      </c>
      <c r="AB192" s="61" t="e">
        <f>VLOOKUP(A192,Enforcements!$C$7:$K$18,8,0)</f>
        <v>#N/A</v>
      </c>
      <c r="AC192" s="57" t="e">
        <f>VLOOKUP(A192,Enforcements!$C$7:$E$18,3,0)</f>
        <v>#N/A</v>
      </c>
      <c r="AD192" s="58" t="str">
        <f t="shared" si="72"/>
        <v>0837-05</v>
      </c>
      <c r="AE192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92" s="84" t="str">
        <f t="shared" si="74"/>
        <v>"C:\Program Files (x86)\AstroGrep\AstroGrep.exe" /spath="%USERPROFILE%\AppData\Local\Temp\OnboardLogs" /stypes="app*4044*20170106*" /stext=" 01:.+((SYSTEM_STATE.+slice.+state.+changed )|(ment ac)|(multiple cpu faults)|(system.+state.+changed )|(\[timeout)|(PRM\|1\|D)|(kpr)|(kdp)|(\|lc)|(penalty))" /e /r /s</v>
      </c>
      <c r="AG192" s="1" t="str">
        <f t="shared" si="75"/>
        <v>NW</v>
      </c>
      <c r="AH192" s="88" t="str">
        <f t="shared" si="61"/>
        <v>"%USERPROFILE%\Documents\GitHub\eaglep3\Utilities\RefineRTDCRunTimes.py" --tripid 837-05 --locoid 4044 --swversion DE.1.0.8.0 --startMP 204:976 --initTime 2017-01-05T18:09:19 --startdatetime 2017-01-05T18:21:15 --delay 1 --endMP 300:58978 --enddatetime 2017-01-05T18:37:09 --enforcementcount 0 &gt;&gt;C:\Users\stu\Documents\GitHub\eaglep3-reporting\EC\2017-01-05-refined-times.txt</v>
      </c>
      <c r="AI192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{"issue":{"subject":"","project_id":79,"tracker_id":40,"status_id":1,"priority_id":2,"assigned_to_id":23,"start_date":"2017-01-05","description":"","custom_fields":[{"id":1,"name":"Subdivision","value":"NW"},{"id":4,"name":"Milepost","value":"5.8978"},{"id":17,"name":"Train ID","value":"837-05"},{"id":16,"name":"Locomotive ID","value":"4044"},{"id":130,"name":"Impact","value":""},{"id":150,"name":"Time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63"/>
        <v>start /low /b %USERPROFILE%\Documents\GitHub\eaglep3\Utilities\DownloadLogsFromS3.py --loco 4044 --day 2017-01-05</v>
      </c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654</v>
      </c>
      <c r="B193" s="7">
        <v>4043</v>
      </c>
      <c r="C193" s="22" t="s">
        <v>203</v>
      </c>
      <c r="D193" s="22" t="s">
        <v>858</v>
      </c>
      <c r="E193" s="13">
        <v>42740.77685185185</v>
      </c>
      <c r="F193" s="13">
        <v>42740.77851851852</v>
      </c>
      <c r="G193" s="7">
        <v>1</v>
      </c>
      <c r="H193" s="22" t="s">
        <v>438</v>
      </c>
      <c r="I193" s="13">
        <v>42740.790092592593</v>
      </c>
      <c r="J193" s="7">
        <v>0</v>
      </c>
      <c r="K193" s="105" t="str">
        <f t="shared" si="64"/>
        <v>4043/4044</v>
      </c>
      <c r="L193" s="22" t="str">
        <f>VLOOKUP(A193,'Trips&amp;Operators'!$C$1:$G$99999,5,FALSE)</f>
        <v>LEVERE CRAIG</v>
      </c>
      <c r="M193" s="6">
        <f t="shared" si="65"/>
        <v>1.1574074072996154E-2</v>
      </c>
      <c r="N193" s="7">
        <f t="shared" si="80"/>
        <v>16.666666665114462</v>
      </c>
      <c r="O193" s="7"/>
      <c r="P193" s="7"/>
      <c r="Q193" s="23"/>
      <c r="R193" s="23"/>
      <c r="S193" s="32">
        <f t="shared" si="79"/>
        <v>1</v>
      </c>
      <c r="T193" s="47" t="str">
        <f t="shared" si="66"/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17:38:40-700',mode:absolute,to:'2017-01-05 19:57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3" s="49" t="str">
        <f t="shared" si="68"/>
        <v>N</v>
      </c>
      <c r="X193" s="173">
        <f t="shared" si="78"/>
        <v>1</v>
      </c>
      <c r="Y193" s="64">
        <f t="shared" si="69"/>
        <v>5.8658000000000001</v>
      </c>
      <c r="Z193" s="64">
        <f t="shared" si="70"/>
        <v>6.9800000000000001E-2</v>
      </c>
      <c r="AA193" s="64">
        <f t="shared" si="71"/>
        <v>5.7960000000000003</v>
      </c>
      <c r="AB193" s="61" t="e">
        <f>VLOOKUP(A193,Enforcements!$C$7:$K$18,8,0)</f>
        <v>#N/A</v>
      </c>
      <c r="AC193" s="57" t="e">
        <f>VLOOKUP(A193,Enforcements!$C$7:$E$18,3,0)</f>
        <v>#N/A</v>
      </c>
      <c r="AD193" s="58" t="str">
        <f t="shared" si="72"/>
        <v>0838-05</v>
      </c>
      <c r="AE193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93" s="84" t="str">
        <f t="shared" si="74"/>
        <v>"C:\Program Files (x86)\AstroGrep\AstroGrep.exe" /spath="%USERPROFILE%\AppData\Local\Temp\OnboardLogs" /stypes="app*4043*20170106*" /stext=" 01:.+((SYSTEM_STATE.+slice.+state.+changed )|(ment ac)|(multiple cpu faults)|(system.+state.+changed )|(\[timeout)|(PRM\|1\|D)|(kpr)|(kdp)|(\|lc)|(penalty))" /e /r /s</v>
      </c>
      <c r="AG193" s="1" t="str">
        <f t="shared" si="75"/>
        <v>NW</v>
      </c>
      <c r="AH193" s="88" t="str">
        <f t="shared" si="61"/>
        <v>"%USERPROFILE%\Documents\GitHub\eaglep3\Utilities\RefineRTDCRunTimes.py" --tripid 838-05 --locoid 4043 --swversion DE.1.0.8.0 --startMP 300:58658 --initTime 2017-01-05T18:38:40 --startdatetime 2017-01-05T18:41:04 --delay 1 --endMP 204:698 --enddatetime 2017-01-05T18:57:44 --enforcementcount 0 &gt;&gt;C:\Users\stu\Documents\GitHub\eaglep3-reporting\EC\2017-01-05-refined-times.txt</v>
      </c>
      <c r="AI193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{"issue":{"subject":"","project_id":79,"tracker_id":40,"status_id":1,"priority_id":2,"assigned_to_id":23,"start_date":"2017-01-05","description":"","custom_fields":[{"id":1,"name":"Subdivision","value":"NW"},{"id":4,"name":"Milepost","value":"0.0698"},{"id":17,"name":"Train ID","value":"838-05"},{"id":16,"name":"Locomotive ID","value":"4043"},{"id":130,"name":"Impact","value":""},{"id":150,"name":"Time of Event (Mountain Time)","value":"18:57:44"},{"id":151,"name":"Denver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63"/>
        <v>start /low /b %USERPROFILE%\Documents\GitHub\eaglep3\Utilities\DownloadLogsFromS3.py --loco 4043 --day 2017-01-05</v>
      </c>
    </row>
    <row r="194" spans="1:91" s="21" customFormat="1" x14ac:dyDescent="0.25">
      <c r="A194" s="34" t="s">
        <v>653</v>
      </c>
      <c r="B194" s="7">
        <v>4020</v>
      </c>
      <c r="C194" s="22" t="s">
        <v>203</v>
      </c>
      <c r="D194" s="22" t="s">
        <v>817</v>
      </c>
      <c r="E194" s="13">
        <v>42740.773981481485</v>
      </c>
      <c r="F194" s="13">
        <v>42740.785682870373</v>
      </c>
      <c r="G194" s="7">
        <v>1</v>
      </c>
      <c r="H194" s="22" t="s">
        <v>450</v>
      </c>
      <c r="I194" s="13">
        <v>42740.7965625</v>
      </c>
      <c r="J194" s="7">
        <v>0</v>
      </c>
      <c r="K194" s="105" t="str">
        <f t="shared" si="64"/>
        <v>4019/4020</v>
      </c>
      <c r="L194" s="22" t="str">
        <f>VLOOKUP(A194,'Trips&amp;Operators'!$C$1:$G$99999,5,FALSE)</f>
        <v>DELGADO DIANAH</v>
      </c>
      <c r="M194" s="6">
        <f t="shared" si="65"/>
        <v>1.0879629626288079E-2</v>
      </c>
      <c r="N194" s="7">
        <f t="shared" si="80"/>
        <v>15.666666661854833</v>
      </c>
      <c r="O194" s="7"/>
      <c r="P194" s="7"/>
      <c r="Q194" s="23"/>
      <c r="R194" s="23"/>
      <c r="S194" s="32">
        <f t="shared" si="79"/>
        <v>1</v>
      </c>
      <c r="T194" s="47" t="str">
        <f t="shared" si="66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17:34:32-700',mode:absolute,to:'2017-01-05 20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4" s="49" t="str">
        <f t="shared" si="68"/>
        <v>N</v>
      </c>
      <c r="X194" s="173">
        <f t="shared" ref="X194:X230" si="81">VALUE(LEFT(AD194,4))-VALUE(LEFT(AD193,4))</f>
        <v>1</v>
      </c>
      <c r="Y194" s="64">
        <f t="shared" si="69"/>
        <v>0.1009</v>
      </c>
      <c r="Z194" s="64">
        <f t="shared" si="70"/>
        <v>5.8925999999999998</v>
      </c>
      <c r="AA194" s="64">
        <f t="shared" si="71"/>
        <v>5.7916999999999996</v>
      </c>
      <c r="AB194" s="61" t="e">
        <f>VLOOKUP(A194,Enforcements!$C$7:$K$18,8,0)</f>
        <v>#N/A</v>
      </c>
      <c r="AC194" s="57" t="e">
        <f>VLOOKUP(A194,Enforcements!$C$7:$E$18,3,0)</f>
        <v>#N/A</v>
      </c>
      <c r="AD194" s="58" t="str">
        <f t="shared" si="72"/>
        <v>0839-05</v>
      </c>
      <c r="AE194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94" s="84" t="str">
        <f t="shared" si="74"/>
        <v>"C:\Program Files (x86)\AstroGrep\AstroGrep.exe" /spath="%USERPROFILE%\AppData\Local\Temp\OnboardLogs" /stypes="app*4020*20170106*" /stext=" 02:.+((SYSTEM_STATE.+slice.+state.+changed )|(ment ac)|(multiple cpu faults)|(system.+state.+changed )|(\[timeout)|(PRM\|1\|D)|(kpr)|(kdp)|(\|lc)|(penalty))" /e /r /s</v>
      </c>
      <c r="AG194" s="1" t="str">
        <f t="shared" si="75"/>
        <v>NW</v>
      </c>
      <c r="AH194" s="88" t="str">
        <f t="shared" si="61"/>
        <v>"%USERPROFILE%\Documents\GitHub\eaglep3\Utilities\RefineRTDCRunTimes.py" --tripid 839-05 --locoid 4020 --swversion DE.1.0.8.0 --startMP 204:1009 --initTime 2017-01-05T18:34:32 --startdatetime 2017-01-05T18:51:23 --delay 1 --endMP 300:58926 --enddatetime 2017-01-05T19:07:03 --enforcementcount 0 &gt;&gt;C:\Users\stu\Documents\GitHub\eaglep3-reporting\EC\2017-01-05-refined-times.txt</v>
      </c>
      <c r="AI194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{"issue":{"subject":"","project_id":79,"tracker_id":40,"status_id":1,"priority_id":2,"assigned_to_id":23,"start_date":"2017-01-05","description":"","custom_fields":[{"id":1,"name":"Subdivision","value":"NW"},{"id":4,"name":"Milepost","value":"5.8926"},{"id":17,"name":"Train ID","value":"839-05"},{"id":16,"name":"Locomotive ID","value":"4020"},{"id":130,"name":"Impact","value":""},{"id":150,"name":"Time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63"/>
        <v>start /low /b %USERPROFILE%\Documents\GitHub\eaglep3\Utilities\DownloadLogsFromS3.py --loco 4020 --day 2017-01-05</v>
      </c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4" t="s">
        <v>663</v>
      </c>
      <c r="B195" s="7">
        <v>4043</v>
      </c>
      <c r="C195" s="22" t="s">
        <v>203</v>
      </c>
      <c r="D195" s="22" t="s">
        <v>859</v>
      </c>
      <c r="E195" s="13">
        <v>42740.818067129629</v>
      </c>
      <c r="F195" s="13">
        <v>42740.819398148145</v>
      </c>
      <c r="G195" s="7">
        <v>1</v>
      </c>
      <c r="H195" s="22" t="s">
        <v>860</v>
      </c>
      <c r="I195" s="13">
        <v>42740.831550925926</v>
      </c>
      <c r="J195" s="7">
        <v>0</v>
      </c>
      <c r="K195" s="105" t="str">
        <f t="shared" si="64"/>
        <v>4043/4044</v>
      </c>
      <c r="L195" s="22" t="str">
        <f>VLOOKUP(A195,'Trips&amp;Operators'!$C$1:$G$99999,5,FALSE)</f>
        <v>LEVERE CRAIG</v>
      </c>
      <c r="M195" s="6">
        <f t="shared" si="65"/>
        <v>1.2152777781011537E-2</v>
      </c>
      <c r="N195" s="7">
        <f t="shared" si="80"/>
        <v>17.500000004656613</v>
      </c>
      <c r="O195" s="7"/>
      <c r="P195" s="7"/>
      <c r="Q195" s="23"/>
      <c r="R195" s="23"/>
      <c r="S195" s="32">
        <f t="shared" si="79"/>
        <v>1</v>
      </c>
      <c r="T195" s="47" t="str">
        <f t="shared" si="66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18:38:01-700',mode:absolute,to:'2017-01-05 20:57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5" s="49" t="str">
        <f t="shared" si="68"/>
        <v>N</v>
      </c>
      <c r="X195" s="173">
        <f t="shared" si="81"/>
        <v>1</v>
      </c>
      <c r="Y195" s="64">
        <f t="shared" si="69"/>
        <v>5.8654999999999999</v>
      </c>
      <c r="Z195" s="64">
        <f t="shared" si="70"/>
        <v>6.8500000000000005E-2</v>
      </c>
      <c r="AA195" s="64">
        <f t="shared" si="71"/>
        <v>5.7969999999999997</v>
      </c>
      <c r="AB195" s="61" t="e">
        <f>VLOOKUP(A195,Enforcements!$C$7:$K$18,8,0)</f>
        <v>#N/A</v>
      </c>
      <c r="AC195" s="57" t="e">
        <f>VLOOKUP(A195,Enforcements!$C$7:$E$18,3,0)</f>
        <v>#N/A</v>
      </c>
      <c r="AD195" s="58" t="str">
        <f t="shared" si="72"/>
        <v>0840-05</v>
      </c>
      <c r="AE195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95" s="84" t="str">
        <f t="shared" si="74"/>
        <v>"C:\Program Files (x86)\AstroGrep\AstroGrep.exe" /spath="%USERPROFILE%\AppData\Local\Temp\OnboardLogs" /stypes="app*4043*20170106*" /stext=" 02:.+((SYSTEM_STATE.+slice.+state.+changed )|(ment ac)|(multiple cpu faults)|(system.+state.+changed )|(\[timeout)|(PRM\|1\|D)|(kpr)|(kdp)|(\|lc)|(penalty))" /e /r /s</v>
      </c>
      <c r="AG195" s="1" t="str">
        <f t="shared" si="75"/>
        <v>NW</v>
      </c>
      <c r="AH195" s="88" t="str">
        <f t="shared" si="61"/>
        <v>"%USERPROFILE%\Documents\GitHub\eaglep3\Utilities\RefineRTDCRunTimes.py" --tripid 840-05 --locoid 4043 --swversion DE.1.0.8.0 --startMP 300:58655 --initTime 2017-01-05T19:38:01 --startdatetime 2017-01-05T19:39:56 --delay 1 --endMP 204:685 --enddatetime 2017-01-05T19:57:26 --enforcementcount 0 &gt;&gt;C:\Users\stu\Documents\GitHub\eaglep3-reporting\EC\2017-01-05-refined-times.txt</v>
      </c>
      <c r="AI195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{"issue":{"subject":"","project_id":79,"tracker_id":40,"status_id":1,"priority_id":2,"assigned_to_id":23,"start_date":"2017-01-05","description":"","custom_fields":[{"id":1,"name":"Subdivision","value":"NW"},{"id":4,"name":"Milepost","value":"0.0685"},{"id":17,"name":"Train ID","value":"840-05"},{"id":16,"name":"Locomotive ID","value":"4043"},{"id":130,"name":"Impact","value":""},{"id":150,"name":"Time of Event (Mountain Time)","value":"19:57:26"},{"id":151,"name":"Denver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63"/>
        <v>start /low /b %USERPROFILE%\Documents\GitHub\eaglep3\Utilities\DownloadLogsFromS3.py --loco 4043 --day 2017-01-05</v>
      </c>
    </row>
    <row r="196" spans="1:91" x14ac:dyDescent="0.25">
      <c r="A196" s="34" t="s">
        <v>658</v>
      </c>
      <c r="B196" s="7">
        <v>4044</v>
      </c>
      <c r="C196" s="22" t="s">
        <v>203</v>
      </c>
      <c r="D196" s="22" t="s">
        <v>861</v>
      </c>
      <c r="E196" s="13">
        <v>42740.793553240743</v>
      </c>
      <c r="F196" s="13">
        <v>42740.806469907409</v>
      </c>
      <c r="G196" s="7">
        <v>1</v>
      </c>
      <c r="H196" s="22" t="s">
        <v>862</v>
      </c>
      <c r="I196" s="13">
        <v>42740.817002314812</v>
      </c>
      <c r="J196" s="7">
        <v>0</v>
      </c>
      <c r="K196" s="105" t="str">
        <f t="shared" si="64"/>
        <v>4043/4044</v>
      </c>
      <c r="L196" s="22" t="str">
        <f>VLOOKUP(A196,'Trips&amp;Operators'!$C$1:$G$99999,5,FALSE)</f>
        <v>LEVERE CRAIG</v>
      </c>
      <c r="M196" s="6">
        <f t="shared" si="65"/>
        <v>1.0532407402934041E-2</v>
      </c>
      <c r="N196" s="7">
        <f t="shared" si="80"/>
        <v>15.166666660225019</v>
      </c>
      <c r="O196" s="7"/>
      <c r="P196" s="7"/>
      <c r="Q196" s="23"/>
      <c r="R196" s="23"/>
      <c r="S196" s="32">
        <f t="shared" si="79"/>
        <v>1</v>
      </c>
      <c r="T196" s="47" t="str">
        <f t="shared" si="66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18:02:43-700',mode:absolute,to:'2017-01-05 20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6" s="49" t="str">
        <f t="shared" si="68"/>
        <v>N</v>
      </c>
      <c r="X196" s="173">
        <f t="shared" si="81"/>
        <v>1</v>
      </c>
      <c r="Y196" s="64">
        <f t="shared" si="69"/>
        <v>9.7900000000000001E-2</v>
      </c>
      <c r="Z196" s="64">
        <f t="shared" si="70"/>
        <v>5.8956</v>
      </c>
      <c r="AA196" s="64">
        <f t="shared" si="71"/>
        <v>5.7976999999999999</v>
      </c>
      <c r="AB196" s="61" t="e">
        <f>VLOOKUP(A196,Enforcements!$C$7:$K$18,8,0)</f>
        <v>#N/A</v>
      </c>
      <c r="AC196" s="57" t="e">
        <f>VLOOKUP(A196,Enforcements!$C$7:$E$18,3,0)</f>
        <v>#N/A</v>
      </c>
      <c r="AD196" s="58" t="str">
        <f t="shared" si="72"/>
        <v>0841-05</v>
      </c>
      <c r="AE196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96" s="84" t="str">
        <f t="shared" si="74"/>
        <v>"C:\Program Files (x86)\AstroGrep\AstroGrep.exe" /spath="%USERPROFILE%\AppData\Local\Temp\OnboardLogs" /stypes="app*4044*20170106*" /stext=" 02:.+((SYSTEM_STATE.+slice.+state.+changed )|(ment ac)|(multiple cpu faults)|(system.+state.+changed )|(\[timeout)|(PRM\|1\|D)|(kpr)|(kdp)|(\|lc)|(penalty))" /e /r /s</v>
      </c>
      <c r="AG196" s="1" t="str">
        <f t="shared" si="75"/>
        <v>NW</v>
      </c>
      <c r="AH196" s="88" t="str">
        <f t="shared" si="61"/>
        <v>"%USERPROFILE%\Documents\GitHub\eaglep3\Utilities\RefineRTDCRunTimes.py" --tripid 841-05 --locoid 4044 --swversion DE.1.0.8.0 --startMP 204:979 --initTime 2017-01-05T19:02:43 --startdatetime 2017-01-05T19:21:19 --delay 1 --endMP 300:58956 --enddatetime 2017-01-05T19:36:29 --enforcementcount 0 &gt;&gt;C:\Users\stu\Documents\GitHub\eaglep3-reporting\EC\2017-01-05-refined-times.txt</v>
      </c>
      <c r="AI196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{"issue":{"subject":"","project_id":79,"tracker_id":40,"status_id":1,"priority_id":2,"assigned_to_id":23,"start_date":"2017-01-05","description":"","custom_fields":[{"id":1,"name":"Subdivision","value":"NW"},{"id":4,"name":"Milepost","value":"5.8956"},{"id":17,"name":"Train ID","value":"841-05"},{"id":16,"name":"Locomotive ID","value":"4044"},{"id":130,"name":"Impact","value":""},{"id":150,"name":"Time of Event (Mountain Time)","value":"19:36:29"},{"id":151,"name":"Denver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63"/>
        <v>start /low /b %USERPROFILE%\Documents\GitHub\eaglep3\Utilities\DownloadLogsFromS3.py --loco 4044 --day 2017-01-05</v>
      </c>
    </row>
    <row r="197" spans="1:91" x14ac:dyDescent="0.25">
      <c r="A197" s="34" t="s">
        <v>669</v>
      </c>
      <c r="B197" s="7">
        <v>4043</v>
      </c>
      <c r="C197" s="22" t="s">
        <v>203</v>
      </c>
      <c r="D197" s="22" t="s">
        <v>863</v>
      </c>
      <c r="E197" s="13">
        <v>42740.860092592593</v>
      </c>
      <c r="F197" s="13">
        <v>42740.861585648148</v>
      </c>
      <c r="G197" s="7">
        <v>1</v>
      </c>
      <c r="H197" s="22" t="s">
        <v>449</v>
      </c>
      <c r="I197" s="13">
        <v>42740.872916666667</v>
      </c>
      <c r="J197" s="7">
        <v>0</v>
      </c>
      <c r="K197" s="105" t="str">
        <f t="shared" si="64"/>
        <v>4043/4044</v>
      </c>
      <c r="L197" s="22" t="str">
        <f>VLOOKUP(A197,'Trips&amp;Operators'!$C$1:$G$99999,5,FALSE)</f>
        <v>LEVERE CRAIG</v>
      </c>
      <c r="M197" s="6">
        <f t="shared" si="65"/>
        <v>1.1331018518831115E-2</v>
      </c>
      <c r="N197" s="7">
        <f t="shared" si="80"/>
        <v>16.316666667116806</v>
      </c>
      <c r="O197" s="7"/>
      <c r="P197" s="7"/>
      <c r="Q197" s="23"/>
      <c r="R197" s="23"/>
      <c r="S197" s="32">
        <f t="shared" si="79"/>
        <v>1</v>
      </c>
      <c r="T197" s="47" t="str">
        <f t="shared" si="66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19:38:32-700',mode:absolute,to:'2017-01-05 21:57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7" s="49" t="str">
        <f t="shared" si="68"/>
        <v>N</v>
      </c>
      <c r="X197" s="173">
        <f t="shared" si="81"/>
        <v>1</v>
      </c>
      <c r="Y197" s="64">
        <f t="shared" si="69"/>
        <v>5.8643000000000001</v>
      </c>
      <c r="Z197" s="64">
        <f t="shared" si="70"/>
        <v>6.6299999999999998E-2</v>
      </c>
      <c r="AA197" s="64">
        <f t="shared" si="71"/>
        <v>5.798</v>
      </c>
      <c r="AB197" s="61" t="e">
        <f>VLOOKUP(A197,Enforcements!$C$7:$K$18,8,0)</f>
        <v>#N/A</v>
      </c>
      <c r="AC197" s="57" t="e">
        <f>VLOOKUP(A197,Enforcements!$C$7:$E$18,3,0)</f>
        <v>#N/A</v>
      </c>
      <c r="AD197" s="58" t="str">
        <f t="shared" si="72"/>
        <v>0842-05</v>
      </c>
      <c r="AE197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97" s="84" t="str">
        <f t="shared" si="74"/>
        <v>"C:\Program Files (x86)\AstroGrep\AstroGrep.exe" /spath="%USERPROFILE%\AppData\Local\Temp\OnboardLogs" /stypes="app*4043*20170106*" /stext=" 03:.+((SYSTEM_STATE.+slice.+state.+changed )|(ment ac)|(multiple cpu faults)|(system.+state.+changed )|(\[timeout)|(PRM\|1\|D)|(kpr)|(kdp)|(\|lc)|(penalty))" /e /r /s</v>
      </c>
      <c r="AG197" s="1" t="str">
        <f t="shared" si="75"/>
        <v>NW</v>
      </c>
      <c r="AH197" s="88" t="str">
        <f t="shared" si="61"/>
        <v>"%USERPROFILE%\Documents\GitHub\eaglep3\Utilities\RefineRTDCRunTimes.py" --tripid 842-05 --locoid 4043 --swversion DE.1.0.8.0 --startMP 300:58643 --initTime 2017-01-05T20:38:32 --startdatetime 2017-01-05T20:40:41 --delay 1 --endMP 204:663 --enddatetime 2017-01-05T20:57:00 --enforcementcount 0 &gt;&gt;C:\Users\stu\Documents\GitHub\eaglep3-reporting\EC\2017-01-05-refined-times.txt</v>
      </c>
      <c r="AI197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{"issue":{"subject":"","project_id":79,"tracker_id":40,"status_id":1,"priority_id":2,"assigned_to_id":23,"start_date":"2017-01-05","description":"","custom_fields":[{"id":1,"name":"Subdivision","value":"NW"},{"id":4,"name":"Milepost","value":"0.0663"},{"id":17,"name":"Train ID","value":"842-05"},{"id":16,"name":"Locomotive ID","value":"4043"},{"id":130,"name":"Impact","value":""},{"id":150,"name":"Time of Event (Mountain Time)","value":"20:57:00"},{"id":151,"name":"Denver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63"/>
        <v>start /low /b %USERPROFILE%\Documents\GitHub\eaglep3\Utilities\DownloadLogsFromS3.py --loco 4043 --day 2017-01-05</v>
      </c>
    </row>
    <row r="198" spans="1:91" x14ac:dyDescent="0.25">
      <c r="A198" s="34" t="s">
        <v>666</v>
      </c>
      <c r="B198" s="7">
        <v>4044</v>
      </c>
      <c r="C198" s="22" t="s">
        <v>203</v>
      </c>
      <c r="D198" s="22" t="s">
        <v>435</v>
      </c>
      <c r="E198" s="13">
        <v>42740.835659722223</v>
      </c>
      <c r="F198" s="13">
        <v>42740.848136574074</v>
      </c>
      <c r="G198" s="7">
        <v>1</v>
      </c>
      <c r="H198" s="22" t="s">
        <v>864</v>
      </c>
      <c r="I198" s="13">
        <v>42740.858807870369</v>
      </c>
      <c r="J198" s="7">
        <v>0</v>
      </c>
      <c r="K198" s="105" t="str">
        <f t="shared" si="64"/>
        <v>4043/4044</v>
      </c>
      <c r="L198" s="22" t="str">
        <f>VLOOKUP(A198,'Trips&amp;Operators'!$C$1:$G$99999,5,FALSE)</f>
        <v>LEVERE CRAIG</v>
      </c>
      <c r="M198" s="6">
        <f t="shared" si="65"/>
        <v>1.0671296295186039E-2</v>
      </c>
      <c r="N198" s="7">
        <f t="shared" si="80"/>
        <v>15.366666665067896</v>
      </c>
      <c r="O198" s="7"/>
      <c r="P198" s="7"/>
      <c r="Q198" s="23"/>
      <c r="R198" s="23"/>
      <c r="S198" s="32">
        <f t="shared" si="79"/>
        <v>1</v>
      </c>
      <c r="T198" s="47" t="str">
        <f t="shared" si="66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19:03:21-700',mode:absolute,to:'2017-01-05 21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8" s="49" t="str">
        <f t="shared" si="68"/>
        <v>N</v>
      </c>
      <c r="X198" s="173">
        <f t="shared" si="81"/>
        <v>1</v>
      </c>
      <c r="Y198" s="64">
        <f t="shared" si="69"/>
        <v>9.74E-2</v>
      </c>
      <c r="Z198" s="64">
        <f t="shared" si="70"/>
        <v>5.8960999999999997</v>
      </c>
      <c r="AA198" s="64">
        <f t="shared" si="71"/>
        <v>5.7986999999999993</v>
      </c>
      <c r="AB198" s="61" t="e">
        <f>VLOOKUP(A198,Enforcements!$C$7:$K$18,8,0)</f>
        <v>#N/A</v>
      </c>
      <c r="AC198" s="57" t="e">
        <f>VLOOKUP(A198,Enforcements!$C$7:$E$18,3,0)</f>
        <v>#N/A</v>
      </c>
      <c r="AD198" s="58" t="str">
        <f t="shared" si="72"/>
        <v>0843-05</v>
      </c>
      <c r="AE198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98" s="84" t="str">
        <f t="shared" si="74"/>
        <v>"C:\Program Files (x86)\AstroGrep\AstroGrep.exe" /spath="%USERPROFILE%\AppData\Local\Temp\OnboardLogs" /stypes="app*4044*20170106*" /stext=" 03:.+((SYSTEM_STATE.+slice.+state.+changed )|(ment ac)|(multiple cpu faults)|(system.+state.+changed )|(\[timeout)|(PRM\|1\|D)|(kpr)|(kdp)|(\|lc)|(penalty))" /e /r /s</v>
      </c>
      <c r="AG198" s="1" t="str">
        <f t="shared" si="75"/>
        <v>NW</v>
      </c>
      <c r="AH198" s="88" t="str">
        <f t="shared" si="61"/>
        <v>"%USERPROFILE%\Documents\GitHub\eaglep3\Utilities\RefineRTDCRunTimes.py" --tripid 843-05 --locoid 4044 --swversion DE.1.0.8.0 --startMP 204:974 --initTime 2017-01-05T20:03:21 --startdatetime 2017-01-05T20:21:19 --delay 1 --endMP 300:58961 --enddatetime 2017-01-05T20:36:41 --enforcementcount 0 &gt;&gt;C:\Users\stu\Documents\GitHub\eaglep3-reporting\EC\2017-01-05-refined-times.txt</v>
      </c>
      <c r="AI198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{"issue":{"subject":"","project_id":79,"tracker_id":40,"status_id":1,"priority_id":2,"assigned_to_id":23,"start_date":"2017-01-05","description":"","custom_fields":[{"id":1,"name":"Subdivision","value":"NW"},{"id":4,"name":"Milepost","value":"5.8961"},{"id":17,"name":"Train ID","value":"843-05"},{"id":16,"name":"Locomotive ID","value":"4044"},{"id":130,"name":"Impact","value":""},{"id":150,"name":"Time of Event (Mountain Time)","value":"20:36:41"},{"id":151,"name":"Denver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63"/>
        <v>start /low /b %USERPROFILE%\Documents\GitHub\eaglep3\Utilities\DownloadLogsFromS3.py --loco 4044 --day 2017-01-05</v>
      </c>
    </row>
    <row r="199" spans="1:91" x14ac:dyDescent="0.25">
      <c r="A199" s="34" t="s">
        <v>675</v>
      </c>
      <c r="B199" s="7">
        <v>4043</v>
      </c>
      <c r="C199" s="22" t="s">
        <v>203</v>
      </c>
      <c r="D199" s="22" t="s">
        <v>344</v>
      </c>
      <c r="E199" s="13">
        <v>42740.902812499997</v>
      </c>
      <c r="F199" s="13">
        <v>42740.90483796296</v>
      </c>
      <c r="G199" s="7">
        <v>1</v>
      </c>
      <c r="H199" s="22" t="s">
        <v>847</v>
      </c>
      <c r="I199" s="13">
        <v>42740.915011574078</v>
      </c>
      <c r="J199" s="7">
        <v>0</v>
      </c>
      <c r="K199" s="105" t="str">
        <f t="shared" si="64"/>
        <v>4043/4044</v>
      </c>
      <c r="L199" s="22" t="str">
        <f>VLOOKUP(A199,'Trips&amp;Operators'!$C$1:$G$99999,5,FALSE)</f>
        <v>BADERTSCHER DIANE</v>
      </c>
      <c r="M199" s="6">
        <f t="shared" si="65"/>
        <v>1.0173611117352266E-2</v>
      </c>
      <c r="N199" s="7">
        <f t="shared" si="80"/>
        <v>14.650000008987263</v>
      </c>
      <c r="O199" s="7"/>
      <c r="P199" s="7"/>
      <c r="Q199" s="23"/>
      <c r="R199" s="23"/>
      <c r="S199" s="32">
        <f t="shared" si="79"/>
        <v>1</v>
      </c>
      <c r="T199" s="47" t="str">
        <f t="shared" si="66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20:40:03-700',mode:absolute,to:'2017-01-05 22:57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9" s="49" t="str">
        <f t="shared" si="68"/>
        <v>N</v>
      </c>
      <c r="X199" s="173">
        <f t="shared" si="81"/>
        <v>1</v>
      </c>
      <c r="Y199" s="64">
        <f t="shared" si="69"/>
        <v>5.8613</v>
      </c>
      <c r="Z199" s="64">
        <f t="shared" si="70"/>
        <v>6.9900000000000004E-2</v>
      </c>
      <c r="AA199" s="64">
        <f t="shared" si="71"/>
        <v>5.7914000000000003</v>
      </c>
      <c r="AB199" s="61" t="e">
        <f>VLOOKUP(A199,Enforcements!$C$7:$K$18,8,0)</f>
        <v>#N/A</v>
      </c>
      <c r="AC199" s="57" t="e">
        <f>VLOOKUP(A199,Enforcements!$C$7:$E$18,3,0)</f>
        <v>#N/A</v>
      </c>
      <c r="AD199" s="58" t="str">
        <f t="shared" si="72"/>
        <v>0844-05</v>
      </c>
      <c r="AE199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99" s="84" t="str">
        <f t="shared" si="74"/>
        <v>"C:\Program Files (x86)\AstroGrep\AstroGrep.exe" /spath="%USERPROFILE%\AppData\Local\Temp\OnboardLogs" /stypes="app*4043*20170106*" /stext=" 04:.+((SYSTEM_STATE.+slice.+state.+changed )|(ment ac)|(multiple cpu faults)|(system.+state.+changed )|(\[timeout)|(PRM\|1\|D)|(kpr)|(kdp)|(\|lc)|(penalty))" /e /r /s</v>
      </c>
      <c r="AG199" s="1" t="str">
        <f t="shared" si="75"/>
        <v>NW</v>
      </c>
      <c r="AH199" s="88" t="str">
        <f t="shared" si="61"/>
        <v>"%USERPROFILE%\Documents\GitHub\eaglep3\Utilities\RefineRTDCRunTimes.py" --tripid 844-05 --locoid 4043 --swversion DE.1.0.8.0 --startMP 300:58613 --initTime 2017-01-05T21:40:03 --startdatetime 2017-01-05T21:42:58 --delay 1 --endMP 204:699 --enddatetime 2017-01-05T21:57:37 --enforcementcount 0 &gt;&gt;C:\Users\stu\Documents\GitHub\eaglep3-reporting\EC\2017-01-05-refined-times.txt</v>
      </c>
      <c r="AI199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{"issue":{"subject":"","project_id":79,"tracker_id":40,"status_id":1,"priority_id":2,"assigned_to_id":23,"start_date":"2017-01-05","description":"","custom_fields":[{"id":1,"name":"Subdivision","value":"NW"},{"id":4,"name":"Milepost","value":"0.0699"},{"id":17,"name":"Train ID","value":"844-05"},{"id":16,"name":"Locomotive ID","value":"4043"},{"id":130,"name":"Impact","value":""},{"id":150,"name":"Time of Event (Mountain Time)","value":"21:57:37"},{"id":151,"name":"Denver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63"/>
        <v>start /low /b %USERPROFILE%\Documents\GitHub\eaglep3\Utilities\DownloadLogsFromS3.py --loco 4043 --day 2017-01-05</v>
      </c>
    </row>
    <row r="200" spans="1:91" x14ac:dyDescent="0.25">
      <c r="A200" s="34" t="s">
        <v>672</v>
      </c>
      <c r="B200" s="7">
        <v>4044</v>
      </c>
      <c r="C200" s="22" t="s">
        <v>203</v>
      </c>
      <c r="D200" s="22" t="s">
        <v>454</v>
      </c>
      <c r="E200" s="13">
        <v>42740.878472222219</v>
      </c>
      <c r="F200" s="13">
        <v>42740.889918981484</v>
      </c>
      <c r="G200" s="7">
        <v>2</v>
      </c>
      <c r="H200" s="22" t="s">
        <v>451</v>
      </c>
      <c r="I200" s="13">
        <v>42740.901562500003</v>
      </c>
      <c r="J200" s="7">
        <v>0</v>
      </c>
      <c r="K200" s="105" t="str">
        <f t="shared" si="64"/>
        <v>4043/4044</v>
      </c>
      <c r="L200" s="22" t="str">
        <f>VLOOKUP(A200,'Trips&amp;Operators'!$C$1:$G$99999,5,FALSE)</f>
        <v>BADERTSCHER DIANE</v>
      </c>
      <c r="M200" s="6">
        <f t="shared" si="65"/>
        <v>1.1643518519122154E-2</v>
      </c>
      <c r="N200" s="7">
        <f t="shared" si="80"/>
        <v>16.766666667535901</v>
      </c>
      <c r="O200" s="7"/>
      <c r="P200" s="7"/>
      <c r="Q200" s="23"/>
      <c r="R200" s="23"/>
      <c r="S200" s="32">
        <f t="shared" si="79"/>
        <v>1</v>
      </c>
      <c r="T200" s="47" t="str">
        <f t="shared" si="66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20:05:00-700',mode:absolute,to:'2017-01-05 22:38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0" s="49" t="str">
        <f t="shared" si="68"/>
        <v>N</v>
      </c>
      <c r="X200" s="173">
        <f t="shared" si="81"/>
        <v>1</v>
      </c>
      <c r="Y200" s="64">
        <f t="shared" si="69"/>
        <v>9.7100000000000006E-2</v>
      </c>
      <c r="Z200" s="64">
        <f t="shared" si="70"/>
        <v>5.8933</v>
      </c>
      <c r="AA200" s="64">
        <f t="shared" si="71"/>
        <v>5.7961999999999998</v>
      </c>
      <c r="AB200" s="61" t="e">
        <f>VLOOKUP(A200,Enforcements!$C$7:$K$18,8,0)</f>
        <v>#N/A</v>
      </c>
      <c r="AC200" s="57" t="e">
        <f>VLOOKUP(A200,Enforcements!$C$7:$E$18,3,0)</f>
        <v>#N/A</v>
      </c>
      <c r="AD200" s="58" t="str">
        <f t="shared" si="72"/>
        <v>0845-05</v>
      </c>
      <c r="AE200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200" s="84" t="str">
        <f t="shared" si="74"/>
        <v>"C:\Program Files (x86)\AstroGrep\AstroGrep.exe" /spath="%USERPROFILE%\AppData\Local\Temp\OnboardLogs" /stypes="app*4044*20170106*" /stext=" 04:.+((SYSTEM_STATE.+slice.+state.+changed )|(ment ac)|(multiple cpu faults)|(system.+state.+changed )|(\[timeout)|(PRM\|1\|D)|(kpr)|(kdp)|(\|lc)|(penalty))" /e /r /s</v>
      </c>
      <c r="AG200" s="1" t="str">
        <f t="shared" si="75"/>
        <v>NW</v>
      </c>
      <c r="AH200" s="88" t="str">
        <f t="shared" si="61"/>
        <v>"%USERPROFILE%\Documents\GitHub\eaglep3\Utilities\RefineRTDCRunTimes.py" --tripid 845-05 --locoid 4044 --swversion DE.1.0.8.0 --startMP 204:971 --initTime 2017-01-05T21:05:00 --startdatetime 2017-01-05T21:21:29 --delay 2 --endMP 300:58933 --enddatetime 2017-01-05T21:38:15 --enforcementcount 0 &gt;&gt;C:\Users\stu\Documents\GitHub\eaglep3-reporting\EC\2017-01-05-refined-times.txt</v>
      </c>
      <c r="AI200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{"issue":{"subject":"","project_id":79,"tracker_id":40,"status_id":1,"priority_id":2,"assigned_to_id":23,"start_date":"2017-01-05","description":"","custom_fields":[{"id":1,"name":"Subdivision","value":"NW"},{"id":4,"name":"Milepost","value":"5.8933"},{"id":17,"name":"Train ID","value":"845-05"},{"id":16,"name":"Locomotive ID","value":"4044"},{"id":130,"name":"Impact","value":""},{"id":150,"name":"Time of Event (Mountain Time)","value":"21:38:15"},{"id":151,"name":"Denver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63"/>
        <v>start /low /b %USERPROFILE%\Documents\GitHub\eaglep3\Utilities\DownloadLogsFromS3.py --loco 4044 --day 2017-01-05</v>
      </c>
    </row>
    <row r="201" spans="1:91" x14ac:dyDescent="0.25">
      <c r="A201" s="34" t="s">
        <v>488</v>
      </c>
      <c r="B201" s="7">
        <v>4044</v>
      </c>
      <c r="C201" s="22" t="s">
        <v>203</v>
      </c>
      <c r="D201" s="22" t="s">
        <v>865</v>
      </c>
      <c r="E201" s="13">
        <v>42740.920243055552</v>
      </c>
      <c r="F201" s="13">
        <v>42740.931458333333</v>
      </c>
      <c r="G201" s="7">
        <v>1</v>
      </c>
      <c r="H201" s="22" t="s">
        <v>295</v>
      </c>
      <c r="I201" s="13">
        <v>42740.942199074074</v>
      </c>
      <c r="J201" s="7">
        <v>0</v>
      </c>
      <c r="K201" s="105" t="str">
        <f t="shared" si="64"/>
        <v>4043/4044</v>
      </c>
      <c r="L201" s="22" t="str">
        <f>VLOOKUP(A201,'Trips&amp;Operators'!$C$1:$G$99999,5,FALSE)</f>
        <v>BADERTSCHER DIANE</v>
      </c>
      <c r="M201" s="6">
        <f t="shared" si="65"/>
        <v>1.0740740741312038E-2</v>
      </c>
      <c r="N201" s="7">
        <f t="shared" si="80"/>
        <v>15.466666667489335</v>
      </c>
      <c r="O201" s="7"/>
      <c r="P201" s="7"/>
      <c r="Q201" s="23"/>
      <c r="R201" s="23"/>
      <c r="S201" s="32">
        <f t="shared" si="79"/>
        <v>1</v>
      </c>
      <c r="T201" s="47" t="str">
        <f t="shared" si="66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21:05:09-700',mode:absolute,to:'2017-01-05 23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1" s="49" t="str">
        <f t="shared" si="68"/>
        <v>N</v>
      </c>
      <c r="X201" s="173">
        <f t="shared" si="81"/>
        <v>2</v>
      </c>
      <c r="Y201" s="64">
        <f t="shared" si="69"/>
        <v>9.7799999999999998E-2</v>
      </c>
      <c r="Z201" s="64">
        <f t="shared" si="70"/>
        <v>5.8930999999999996</v>
      </c>
      <c r="AA201" s="64">
        <f t="shared" si="71"/>
        <v>5.7952999999999992</v>
      </c>
      <c r="AB201" s="61" t="e">
        <f>VLOOKUP(A201,Enforcements!$C$7:$K$18,8,0)</f>
        <v>#N/A</v>
      </c>
      <c r="AC201" s="57" t="e">
        <f>VLOOKUP(A201,Enforcements!$C$7:$E$18,3,0)</f>
        <v>#N/A</v>
      </c>
      <c r="AD201" s="58" t="str">
        <f t="shared" si="72"/>
        <v>0847-05</v>
      </c>
      <c r="AE201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201" s="84" t="str">
        <f t="shared" si="74"/>
        <v>"C:\Program Files (x86)\AstroGrep\AstroGrep.exe" /spath="%USERPROFILE%\AppData\Local\Temp\OnboardLogs" /stypes="app*4044*20170106*" /stext=" 05:.+((SYSTEM_STATE.+slice.+state.+changed )|(ment ac)|(multiple cpu faults)|(system.+state.+changed )|(\[timeout)|(PRM\|1\|D)|(kpr)|(kdp)|(\|lc)|(penalty))" /e /r /s</v>
      </c>
      <c r="AG201" s="1" t="str">
        <f t="shared" si="75"/>
        <v>NW</v>
      </c>
      <c r="AH201" s="88" t="str">
        <f t="shared" si="61"/>
        <v>"%USERPROFILE%\Documents\GitHub\eaglep3\Utilities\RefineRTDCRunTimes.py" --tripid 847-05 --locoid 4044 --swversion DE.1.0.8.0 --startMP 204:978 --initTime 2017-01-05T22:05:09 --startdatetime 2017-01-05T22:21:18 --delay 1 --endMP 300:58931 --enddatetime 2017-01-05T22:36:46 --enforcementcount 0 &gt;&gt;C:\Users\stu\Documents\GitHub\eaglep3-reporting\EC\2017-01-05-refined-times.txt</v>
      </c>
      <c r="AI201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{"issue":{"subject":"","project_id":79,"tracker_id":40,"status_id":1,"priority_id":2,"assigned_to_id":23,"start_date":"2017-01-05","description":"","custom_fields":[{"id":1,"name":"Subdivision","value":"NW"},{"id":4,"name":"Milepost","value":"5.8931"},{"id":17,"name":"Train ID","value":"847-05"},{"id":16,"name":"Locomotive ID","value":"4044"},{"id":130,"name":"Impact","value":""},{"id":150,"name":"Time of Event (Mountain Time)","value":"22:36:46"},{"id":151,"name":"Denver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63"/>
        <v>start /low /b %USERPROFILE%\Documents\GitHub\eaglep3\Utilities\DownloadLogsFromS3.py --loco 4044 --day 2017-01-05</v>
      </c>
    </row>
    <row r="202" spans="1:91" x14ac:dyDescent="0.25">
      <c r="A202" s="34" t="s">
        <v>492</v>
      </c>
      <c r="B202" s="7">
        <v>4013</v>
      </c>
      <c r="C202" s="22" t="s">
        <v>203</v>
      </c>
      <c r="D202" s="22" t="s">
        <v>787</v>
      </c>
      <c r="E202" s="13">
        <v>42740.114178240743</v>
      </c>
      <c r="F202" s="13">
        <v>42740.115405092591</v>
      </c>
      <c r="G202" s="7">
        <v>1</v>
      </c>
      <c r="H202" s="22" t="s">
        <v>246</v>
      </c>
      <c r="I202" s="13">
        <v>42740.123449074075</v>
      </c>
      <c r="J202" s="7">
        <v>0</v>
      </c>
      <c r="K202" s="105" t="str">
        <f t="shared" si="64"/>
        <v>4013/4014</v>
      </c>
      <c r="L202" s="22" t="str">
        <f>VLOOKUP(A202,'Trips&amp;Operators'!$C$1:$G$99999,5,FALSE)</f>
        <v>ISHMAEL JOSEPH</v>
      </c>
      <c r="M202" s="6">
        <f t="shared" si="65"/>
        <v>8.0439814846613444E-3</v>
      </c>
      <c r="N202" s="7">
        <f t="shared" si="80"/>
        <v>11.583333337912336</v>
      </c>
      <c r="O202" s="7"/>
      <c r="P202" s="7"/>
      <c r="Q202" s="23"/>
      <c r="R202" s="23"/>
      <c r="S202" s="32">
        <f t="shared" si="79"/>
        <v>1</v>
      </c>
      <c r="T202" s="47" t="str">
        <f t="shared" si="66"/>
        <v>Southbound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01:44:25-700',mode:absolute,to:'2017-01-05 03:57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2" s="49" t="str">
        <f t="shared" si="68"/>
        <v>Y</v>
      </c>
      <c r="X202" s="173">
        <f t="shared" si="81"/>
        <v>-545</v>
      </c>
      <c r="Y202" s="64">
        <f t="shared" si="69"/>
        <v>2.3052000000000001</v>
      </c>
      <c r="Z202" s="64">
        <f t="shared" si="70"/>
        <v>1.47E-2</v>
      </c>
      <c r="AA202" s="64">
        <f t="shared" si="71"/>
        <v>2.2905000000000002</v>
      </c>
      <c r="AB202" s="61" t="e">
        <f>VLOOKUP(A202,Enforcements!$C$7:$K$18,8,0)</f>
        <v>#N/A</v>
      </c>
      <c r="AC202" s="57" t="e">
        <f>VLOOKUP(A202,Enforcements!$C$7:$E$18,3,0)</f>
        <v>#N/A</v>
      </c>
      <c r="AD202" s="58" t="str">
        <f t="shared" si="72"/>
        <v>0302-05</v>
      </c>
      <c r="AE202" s="87" t="str">
        <f t="shared" si="73"/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AF202" s="84" t="str">
        <f t="shared" si="74"/>
        <v>"C:\Program Files (x86)\AstroGrep\AstroGrep.exe" /spath="%USERPROFILE%\AppData\Local\Temp\OnboardLogs" /stypes="app*4013*20170105*" /stext=" 09:.+((SYSTEM_STATE.+slice.+state.+changed )|(ment ac)|(multiple cpu faults)|(system.+state.+changed )|(\[timeout)|(PRM\|1\|D)|(kpr)|(kdp)|(\|lc)|(penalty))" /e /r /s</v>
      </c>
      <c r="AG202" s="1" t="str">
        <f t="shared" si="75"/>
        <v>Other</v>
      </c>
      <c r="AH202" s="88" t="str">
        <f t="shared" si="61"/>
        <v>"%USERPROFILE%\Documents\GitHub\eaglep3\Utilities\RefineRTDCRunTimes.py" --tripid 302-05 --locoid 4013 --swversion DE.1.0.8.0 --startMP 300:23052 --initTime 2017-01-05T02:44:25 --startdatetime 2017-01-05T02:46:11 --delay 1 --endMP 204:147 --enddatetime 2017-01-05T02:57:46 --enforcementcount 0 &gt;&gt;C:\Users\stu\Documents\GitHub\eaglep3-reporting\EC\2017-01-05-refined-times.txt</v>
      </c>
      <c r="AI202" s="115" t="str">
        <f t="shared" si="62"/>
        <v>echo {"issue":{"subject":"","project_id":79,"tracker_id":40,"status_id":1,"priority_id":2,"assigned_to_id":23,"start_date":"2017-01-05","description":"","custom_fields":[{"id":1,"name":"Subdivision","value":"Other"},{"id":4,"name":"Milepost","value":"0.0147"},{"id":17,"name":"Train ID","value":"302-05"},{"id":16,"name":"Locomotive ID","value":"4013"},{"id":130,"name":"Impact","value":""},{"id":150,"name":"Time of Event (Mountain Time)","value":"02:57:46"},{"id":151,"name":"Denver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63"/>
        <v>start /low /b %USERPROFILE%\Documents\GitHub\eaglep3\Utilities\DownloadLogsFromS3.py --loco 4013 --day 2017-01-05</v>
      </c>
    </row>
    <row r="203" spans="1:91" x14ac:dyDescent="0.25">
      <c r="A203" s="34" t="s">
        <v>656</v>
      </c>
      <c r="B203" s="7">
        <v>4018</v>
      </c>
      <c r="C203" s="22" t="s">
        <v>203</v>
      </c>
      <c r="D203" s="22" t="s">
        <v>434</v>
      </c>
      <c r="E203" s="13">
        <v>42740.785520833335</v>
      </c>
      <c r="F203" s="13">
        <v>25568.708333333332</v>
      </c>
      <c r="G203" s="7">
        <v>1</v>
      </c>
      <c r="H203" s="22" t="s">
        <v>788</v>
      </c>
      <c r="I203" s="13">
        <v>25568.708333333332</v>
      </c>
      <c r="J203" s="7">
        <v>0</v>
      </c>
      <c r="K203" s="105" t="str">
        <f t="shared" ref="K203:K230" si="82">IF(ISEVEN(B203),(B203-1)&amp;"/"&amp;B203,B203&amp;"/"&amp;(B203+1))</f>
        <v>4017/4018</v>
      </c>
      <c r="L203" s="22" t="str">
        <f>VLOOKUP(A203,'Trips&amp;Operators'!$C$1:$G$99999,5,FALSE)</f>
        <v>BRANDNER MELINDA</v>
      </c>
      <c r="M203" s="6">
        <f t="shared" ref="M203:M230" si="83">I203-F203</f>
        <v>0</v>
      </c>
      <c r="N203" s="7">
        <f t="shared" si="80"/>
        <v>0</v>
      </c>
      <c r="O203" s="7"/>
      <c r="P203" s="7"/>
      <c r="Q203" s="23"/>
      <c r="R203" s="23"/>
      <c r="S203" s="32">
        <f t="shared" si="79"/>
        <v>1</v>
      </c>
      <c r="T203" s="47" t="str">
        <f t="shared" ref="T203:T230" si="84">IF(ISEVEN(LEFT(AD203,4)),"Southbound","NorthBound")</f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ref="V203:V230" si="85"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https://search-rtdc-monitor-bjffxe2xuh6vdkpspy63sjmuny.us-east-1.es.amazonaws.com/_plugin/kibana/#/discover/Steve-Slow-Train-Analysis-(2080s-and-2083s)?_g=(refreshInterval:(display:Off,section:0,value:0),time:(from:'2017-01-05 17:51:09-700',mode:absolute,to:'1969-12-31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3" s="49" t="str">
        <f t="shared" ref="W203:W230" si="86">IF(AA203&lt;IF(AG203="EC",23,5.65),"Y","N")</f>
        <v>Y</v>
      </c>
      <c r="X203" s="173">
        <f t="shared" si="81"/>
        <v>1</v>
      </c>
      <c r="Y203" s="64">
        <f t="shared" ref="Y203:Y230" si="87">RIGHT(D203,LEN(D203)-4)/10000</f>
        <v>7.5200000000000003E-2</v>
      </c>
      <c r="Z203" s="64">
        <f t="shared" ref="Z203:Z230" si="88">RIGHT(H203,LEN(H203)-4)/10000</f>
        <v>2.3083</v>
      </c>
      <c r="AA203" s="64">
        <f t="shared" ref="AA203:AA230" si="89">ABS(Z203-Y203)</f>
        <v>2.2330999999999999</v>
      </c>
      <c r="AB203" s="61" t="e">
        <f>VLOOKUP(A203,Enforcements!$C$7:$K$18,8,0)</f>
        <v>#N/A</v>
      </c>
      <c r="AC203" s="57" t="e">
        <f>VLOOKUP(A203,Enforcements!$C$7:$E$18,3,0)</f>
        <v>#N/A</v>
      </c>
      <c r="AD203" s="58" t="str">
        <f t="shared" ref="AD203:AD230" si="90">IF(LEN(A203)=6,"0"&amp;A203,A203)</f>
        <v>0303-05</v>
      </c>
      <c r="AE203" s="87" t="str">
        <f t="shared" ref="AE203:AE230" si="91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3" s="84" t="str">
        <f t="shared" ref="AF203:AF230" si="92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3" s="1" t="str">
        <f t="shared" ref="AG203:AG230" si="93">IFERROR(IF(VALUE(LEFT(AD203,2))&lt;=2,"EC",IF(OR(VALUE(LEFT(AD203,2))=8,VALUE(LEFT(AD203,2))=18),"NW","Other")),"Other")</f>
        <v>Other</v>
      </c>
      <c r="AH203" s="88" t="str">
        <f t="shared" ref="AH203:AH230" si="9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303-05 --locoid 4018 --swversion DE.1.0.8.0 --startMP 204:752 --initTime 2017-01-05T18:51:09 --startdatetime 1969-12-31T17:00:00 --delay 1 --endMP 300:23083 --enddatetime 1969-12-31T17:00:00 --enforcementcount 0 &gt;&gt;C:\Users\stu\Documents\GitHub\eaglep3-reporting\EC\2017-01-05-refined-times.txt</v>
      </c>
      <c r="AI203" s="115" t="str">
        <f t="shared" ref="AI203:AI230" si="9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{"issue":{"subject":"","project_id":79,"tracker_id":40,"status_id":1,"priority_id":2,"assigned_to_id":23,"start_date":"1969-12-31","description":"","custom_fields":[{"id":1,"name":"Subdivision","value":"Other"},{"id":4,"name":"Milepost","value":"2.3083"},{"id":17,"name":"Train ID","value":"303-05"},{"id":16,"name":"Locomotive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ref="AM203:AM230" si="96">"start /low /b "&amp;dls3logs&amp;" --loco "&amp;B203&amp;" --day "&amp;TEXT(F203,"YYYY-MM-DD")</f>
        <v>start /low /b %USERPROFILE%\Documents\GitHub\eaglep3\Utilities\DownloadLogsFromS3.py --loco 4018 --day 1969-12-31</v>
      </c>
    </row>
    <row r="204" spans="1:91" x14ac:dyDescent="0.25">
      <c r="A204" s="34" t="s">
        <v>661</v>
      </c>
      <c r="B204" s="7">
        <v>4042</v>
      </c>
      <c r="C204" s="22" t="s">
        <v>203</v>
      </c>
      <c r="D204" s="22" t="s">
        <v>320</v>
      </c>
      <c r="E204" s="13">
        <v>42740.802071759259</v>
      </c>
      <c r="F204" s="13">
        <v>25568.708333333332</v>
      </c>
      <c r="G204" s="7">
        <v>1</v>
      </c>
      <c r="H204" s="22" t="s">
        <v>789</v>
      </c>
      <c r="I204" s="13">
        <v>25568.708333333332</v>
      </c>
      <c r="J204" s="7">
        <v>0</v>
      </c>
      <c r="K204" s="105" t="str">
        <f t="shared" si="82"/>
        <v>4041/4042</v>
      </c>
      <c r="L204" s="22" t="str">
        <f>VLOOKUP(A204,'Trips&amp;Operators'!$C$1:$G$99999,5,FALSE)</f>
        <v>MCREYNOLDS KYLE</v>
      </c>
      <c r="M204" s="6">
        <f t="shared" si="83"/>
        <v>0</v>
      </c>
      <c r="N204" s="7">
        <f t="shared" si="80"/>
        <v>0</v>
      </c>
      <c r="O204" s="7"/>
      <c r="P204" s="7"/>
      <c r="Q204" s="23"/>
      <c r="R204" s="23"/>
      <c r="S204" s="32">
        <f t="shared" si="79"/>
        <v>1</v>
      </c>
      <c r="T204" s="47" t="str">
        <f t="shared" si="84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18:14:59-700',mode:absolute,to:'1969-12-31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4" s="49" t="str">
        <f t="shared" si="86"/>
        <v>Y</v>
      </c>
      <c r="X204" s="173">
        <f t="shared" si="81"/>
        <v>2</v>
      </c>
      <c r="Y204" s="64">
        <f t="shared" si="87"/>
        <v>4.7500000000000001E-2</v>
      </c>
      <c r="Z204" s="64">
        <f t="shared" si="88"/>
        <v>2.3290999999999999</v>
      </c>
      <c r="AA204" s="64">
        <f t="shared" si="89"/>
        <v>2.2816000000000001</v>
      </c>
      <c r="AB204" s="61" t="e">
        <f>VLOOKUP(A204,Enforcements!$C$7:$K$18,8,0)</f>
        <v>#N/A</v>
      </c>
      <c r="AC204" s="57" t="e">
        <f>VLOOKUP(A204,Enforcements!$C$7:$E$18,3,0)</f>
        <v>#N/A</v>
      </c>
      <c r="AD204" s="58" t="str">
        <f t="shared" si="90"/>
        <v>0305-05</v>
      </c>
      <c r="AE204" s="87" t="str">
        <f t="shared" si="9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4" s="84" t="str">
        <f t="shared" si="92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4" s="1" t="str">
        <f t="shared" si="93"/>
        <v>Other</v>
      </c>
      <c r="AH204" s="88" t="str">
        <f t="shared" si="94"/>
        <v>"%USERPROFILE%\Documents\GitHub\eaglep3\Utilities\RefineRTDCRunTimes.py" --tripid 305-05 --locoid 4042 --swversion DE.1.0.8.0 --startMP 204:475 --initTime 2017-01-05T19:14:59 --startdatetime 1969-12-31T17:00:00 --delay 1 --endMP 300:23291 --enddatetime 1969-12-31T17:00:00 --enforcementcount 0 &gt;&gt;C:\Users\stu\Documents\GitHub\eaglep3-reporting\EC\2017-01-05-refined-times.txt</v>
      </c>
      <c r="AI204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ID","value":"305-05"},{"id":16,"name":"Locomotive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96"/>
        <v>start /low /b %USERPROFILE%\Documents\GitHub\eaglep3\Utilities\DownloadLogsFromS3.py --loco 4042 --day 1969-12-31</v>
      </c>
    </row>
    <row r="205" spans="1:91" x14ac:dyDescent="0.25">
      <c r="A205" s="34" t="s">
        <v>463</v>
      </c>
      <c r="B205" s="7">
        <v>4021</v>
      </c>
      <c r="C205" s="22" t="s">
        <v>203</v>
      </c>
      <c r="D205" s="22" t="s">
        <v>790</v>
      </c>
      <c r="E205" s="13">
        <v>42740.157071759262</v>
      </c>
      <c r="F205" s="13">
        <v>42740.158333333333</v>
      </c>
      <c r="G205" s="7">
        <v>1</v>
      </c>
      <c r="H205" s="22" t="s">
        <v>791</v>
      </c>
      <c r="I205" s="13">
        <v>42740.165162037039</v>
      </c>
      <c r="J205" s="7">
        <v>0</v>
      </c>
      <c r="K205" s="105" t="str">
        <f t="shared" si="82"/>
        <v>4021/4022</v>
      </c>
      <c r="L205" s="22" t="str">
        <f>VLOOKUP(A205,'Trips&amp;Operators'!$C$1:$G$99999,5,FALSE)</f>
        <v>ROBINSON KADDIBA</v>
      </c>
      <c r="M205" s="6">
        <f t="shared" si="83"/>
        <v>6.8287037065601908E-3</v>
      </c>
      <c r="N205" s="7">
        <f t="shared" si="80"/>
        <v>9.8333333374466747</v>
      </c>
      <c r="O205" s="7"/>
      <c r="P205" s="7"/>
      <c r="Q205" s="23"/>
      <c r="R205" s="23"/>
      <c r="S205" s="32">
        <f t="shared" si="79"/>
        <v>1</v>
      </c>
      <c r="T205" s="47" t="str">
        <f t="shared" si="84"/>
        <v>Southbound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02:46:11-700',mode:absolute,to:'2017-01-05 04:57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5" s="49" t="str">
        <f t="shared" si="86"/>
        <v>Y</v>
      </c>
      <c r="X205" s="173">
        <f t="shared" si="81"/>
        <v>1</v>
      </c>
      <c r="Y205" s="64">
        <f t="shared" si="87"/>
        <v>2.1909000000000001</v>
      </c>
      <c r="Z205" s="64">
        <f t="shared" si="88"/>
        <v>8.5000000000000006E-3</v>
      </c>
      <c r="AA205" s="64">
        <f t="shared" si="89"/>
        <v>2.1823999999999999</v>
      </c>
      <c r="AB205" s="61" t="e">
        <f>VLOOKUP(A205,Enforcements!$C$7:$K$18,8,0)</f>
        <v>#N/A</v>
      </c>
      <c r="AC205" s="57" t="e">
        <f>VLOOKUP(A205,Enforcements!$C$7:$E$18,3,0)</f>
        <v>#N/A</v>
      </c>
      <c r="AD205" s="58" t="str">
        <f t="shared" si="90"/>
        <v>0306-05</v>
      </c>
      <c r="AE205" s="87" t="str">
        <f t="shared" si="9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205" s="84" t="str">
        <f t="shared" si="92"/>
        <v>"C:\Program Files (x86)\AstroGrep\AstroGrep.exe" /spath="%USERPROFILE%\AppData\Local\Temp\OnboardLogs" /stypes="app*4021*20170105*" /stext=" 10:.+((SYSTEM_STATE.+slice.+state.+changed )|(ment ac)|(multiple cpu faults)|(system.+state.+changed )|(\[timeout)|(PRM\|1\|D)|(kpr)|(kdp)|(\|lc)|(penalty))" /e /r /s</v>
      </c>
      <c r="AG205" s="1" t="str">
        <f t="shared" si="93"/>
        <v>Other</v>
      </c>
      <c r="AH205" s="88" t="str">
        <f t="shared" si="94"/>
        <v>"%USERPROFILE%\Documents\GitHub\eaglep3\Utilities\RefineRTDCRunTimes.py" --tripid 306-05 --locoid 4021 --swversion DE.1.0.8.0 --startMP 300:21909 --initTime 2017-01-05T03:46:11 --startdatetime 2017-01-05T03:48:00 --delay 1 --endMP 204:85 --enddatetime 2017-01-05T03:57:50 --enforcementcount 0 &gt;&gt;C:\Users\stu\Documents\GitHub\eaglep3-reporting\EC\2017-01-05-refined-times.txt</v>
      </c>
      <c r="AI205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{"issue":{"subject":"","project_id":79,"tracker_id":40,"status_id":1,"priority_id":2,"assigned_to_id":23,"start_date":"2017-01-05","description":"","custom_fields":[{"id":1,"name":"Subdivision","value":"Other"},{"id":4,"name":"Milepost","value":"0.0085"},{"id":17,"name":"Train ID","value":"306-05"},{"id":16,"name":"Locomotive ID","value":"4021"},{"id":130,"name":"Impact","value":""},{"id":150,"name":"Time of Event (Mountain Time)","value":"03:57:50"},{"id":151,"name":"Denver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96"/>
        <v>start /low /b %USERPROFILE%\Documents\GitHub\eaglep3\Utilities\DownloadLogsFromS3.py --loco 4021 --day 2017-01-05</v>
      </c>
    </row>
    <row r="206" spans="1:91" x14ac:dyDescent="0.25">
      <c r="A206" s="34" t="s">
        <v>500</v>
      </c>
      <c r="B206" s="7">
        <v>4041</v>
      </c>
      <c r="C206" s="22" t="s">
        <v>203</v>
      </c>
      <c r="D206" s="22" t="s">
        <v>792</v>
      </c>
      <c r="E206" s="13">
        <v>42740.171111111114</v>
      </c>
      <c r="F206" s="13">
        <v>42740.172835648147</v>
      </c>
      <c r="G206" s="7">
        <v>1</v>
      </c>
      <c r="H206" s="22" t="s">
        <v>192</v>
      </c>
      <c r="I206" s="13">
        <v>42740.180219907408</v>
      </c>
      <c r="J206" s="7">
        <v>0</v>
      </c>
      <c r="K206" s="105" t="str">
        <f t="shared" si="82"/>
        <v>4041/4042</v>
      </c>
      <c r="L206" s="22" t="str">
        <f>VLOOKUP(A206,'Trips&amp;Operators'!$C$1:$G$99999,5,FALSE)</f>
        <v>COMELLA JUSTIN</v>
      </c>
      <c r="M206" s="6">
        <f t="shared" si="83"/>
        <v>7.3842592610162683E-3</v>
      </c>
      <c r="N206" s="7">
        <f t="shared" si="80"/>
        <v>10.633333335863426</v>
      </c>
      <c r="O206" s="7"/>
      <c r="P206" s="7"/>
      <c r="Q206" s="23"/>
      <c r="R206" s="23"/>
      <c r="S206" s="32">
        <f t="shared" ref="S206:S230" si="97">SUM(U206:U206)/IF(AG206="EC",12,1)</f>
        <v>1</v>
      </c>
      <c r="T206" s="47" t="str">
        <f t="shared" si="84"/>
        <v>Southbound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03:06:24-700',mode:absolute,to:'2017-01-05 05:19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6" s="49" t="str">
        <f t="shared" si="86"/>
        <v>Y</v>
      </c>
      <c r="X206" s="173">
        <f t="shared" si="81"/>
        <v>2</v>
      </c>
      <c r="Y206" s="64">
        <f t="shared" si="87"/>
        <v>2.3426999999999998</v>
      </c>
      <c r="Z206" s="64">
        <f t="shared" si="88"/>
        <v>1.43E-2</v>
      </c>
      <c r="AA206" s="64">
        <f t="shared" si="89"/>
        <v>2.3283999999999998</v>
      </c>
      <c r="AB206" s="61" t="e">
        <f>VLOOKUP(A206,Enforcements!$C$7:$K$18,8,0)</f>
        <v>#N/A</v>
      </c>
      <c r="AC206" s="57" t="e">
        <f>VLOOKUP(A206,Enforcements!$C$7:$E$18,3,0)</f>
        <v>#N/A</v>
      </c>
      <c r="AD206" s="58" t="str">
        <f t="shared" si="90"/>
        <v>0308-05</v>
      </c>
      <c r="AE206" s="87" t="str">
        <f t="shared" si="91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206" s="84" t="str">
        <f t="shared" si="92"/>
        <v>"C:\Program Files (x86)\AstroGrep\AstroGrep.exe" /spath="%USERPROFILE%\AppData\Local\Temp\OnboardLogs" /stypes="app*4041*20170105*" /stext=" 11:.+((SYSTEM_STATE.+slice.+state.+changed )|(ment ac)|(multiple cpu faults)|(system.+state.+changed )|(\[timeout)|(PRM\|1\|D)|(kpr)|(kdp)|(\|lc)|(penalty))" /e /r /s</v>
      </c>
      <c r="AG206" s="1" t="str">
        <f t="shared" si="93"/>
        <v>Other</v>
      </c>
      <c r="AH206" s="88" t="str">
        <f t="shared" si="94"/>
        <v>"%USERPROFILE%\Documents\GitHub\eaglep3\Utilities\RefineRTDCRunTimes.py" --tripid 308-05 --locoid 4041 --swversion DE.1.0.8.0 --startMP 300:23427 --initTime 2017-01-05T04:06:24 --startdatetime 2017-01-05T04:08:53 --delay 1 --endMP 204:143 --enddatetime 2017-01-05T04:19:31 --enforcementcount 0 &gt;&gt;C:\Users\stu\Documents\GitHub\eaglep3-reporting\EC\2017-01-05-refined-times.txt</v>
      </c>
      <c r="AI206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{"issue":{"subject":"","project_id":79,"tracker_id":40,"status_id":1,"priority_id":2,"assigned_to_id":23,"start_date":"2017-01-05","description":"","custom_fields":[{"id":1,"name":"Subdivision","value":"Other"},{"id":4,"name":"Milepost","value":"0.0143"},{"id":17,"name":"Train ID","value":"308-05"},{"id":16,"name":"Locomotive ID","value":"4041"},{"id":130,"name":"Impact","value":""},{"id":150,"name":"Time of Event (Mountain Time)","value":"04:19:31"},{"id":151,"name":"Denver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96"/>
        <v>start /low /b %USERPROFILE%\Documents\GitHub\eaglep3\Utilities\DownloadLogsFromS3.py --loco 4041 --day 2017-01-05</v>
      </c>
    </row>
    <row r="207" spans="1:91" x14ac:dyDescent="0.25">
      <c r="A207" s="34" t="s">
        <v>686</v>
      </c>
      <c r="B207" s="7">
        <v>4002</v>
      </c>
      <c r="C207" s="22" t="s">
        <v>203</v>
      </c>
      <c r="D207" s="22" t="s">
        <v>320</v>
      </c>
      <c r="E207" s="13">
        <v>42741.027870370373</v>
      </c>
      <c r="F207" s="13">
        <v>25568.708333333332</v>
      </c>
      <c r="G207" s="7">
        <v>1</v>
      </c>
      <c r="H207" s="22" t="s">
        <v>793</v>
      </c>
      <c r="I207" s="13">
        <v>25568.708333333332</v>
      </c>
      <c r="J207" s="7">
        <v>0</v>
      </c>
      <c r="K207" s="105" t="str">
        <f t="shared" si="82"/>
        <v>4001/4002</v>
      </c>
      <c r="L207" s="22" t="str">
        <f>VLOOKUP(A207,'Trips&amp;Operators'!$C$1:$G$99999,5,FALSE)</f>
        <v>CHANDLER KELVIN</v>
      </c>
      <c r="M207" s="6">
        <f t="shared" si="83"/>
        <v>0</v>
      </c>
      <c r="N207" s="7">
        <f t="shared" si="80"/>
        <v>0</v>
      </c>
      <c r="O207" s="7"/>
      <c r="P207" s="7"/>
      <c r="Q207" s="23"/>
      <c r="R207" s="23"/>
      <c r="S207" s="32">
        <f t="shared" si="97"/>
        <v>1</v>
      </c>
      <c r="T207" s="47" t="str">
        <f t="shared" si="84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23:40:08-700',mode:absolute,to:'1969-12-31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7" s="49" t="str">
        <f t="shared" si="86"/>
        <v>Y</v>
      </c>
      <c r="X207" s="173">
        <f t="shared" si="81"/>
        <v>1</v>
      </c>
      <c r="Y207" s="64">
        <f t="shared" si="87"/>
        <v>4.7500000000000001E-2</v>
      </c>
      <c r="Z207" s="64">
        <f t="shared" si="88"/>
        <v>2.3302</v>
      </c>
      <c r="AA207" s="64">
        <f t="shared" si="89"/>
        <v>2.2827000000000002</v>
      </c>
      <c r="AB207" s="61" t="e">
        <f>VLOOKUP(A207,Enforcements!$C$7:$K$18,8,0)</f>
        <v>#N/A</v>
      </c>
      <c r="AC207" s="57" t="e">
        <f>VLOOKUP(A207,Enforcements!$C$7:$E$18,3,0)</f>
        <v>#N/A</v>
      </c>
      <c r="AD207" s="58" t="str">
        <f t="shared" si="90"/>
        <v>0309-05</v>
      </c>
      <c r="AE207" s="87" t="str">
        <f t="shared" si="91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7" s="84" t="str">
        <f t="shared" si="92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7" s="1" t="str">
        <f t="shared" si="93"/>
        <v>Other</v>
      </c>
      <c r="AH207" s="88" t="str">
        <f t="shared" si="94"/>
        <v>"%USERPROFILE%\Documents\GitHub\eaglep3\Utilities\RefineRTDCRunTimes.py" --tripid 309-05 --locoid 4002 --swversion DE.1.0.8.0 --startMP 204:475 --initTime 2017-01-06T00:40:08 --startdatetime 1969-12-31T17:00:00 --delay 1 --endMP 300:23302 --enddatetime 1969-12-31T17:00:00 --enforcementcount 0 &gt;&gt;C:\Users\stu\Documents\GitHub\eaglep3-reporting\EC\2017-01-05-refined-times.txt</v>
      </c>
      <c r="AI207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ID","value":"309-05"},{"id":16,"name":"Locomotive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96"/>
        <v>start /low /b %USERPROFILE%\Documents\GitHub\eaglep3\Utilities\DownloadLogsFromS3.py --loco 4002 --day 1969-12-31</v>
      </c>
    </row>
    <row r="208" spans="1:91" x14ac:dyDescent="0.25">
      <c r="A208" s="34" t="s">
        <v>501</v>
      </c>
      <c r="B208" s="7">
        <v>4012</v>
      </c>
      <c r="C208" s="22" t="s">
        <v>203</v>
      </c>
      <c r="D208" s="22" t="s">
        <v>794</v>
      </c>
      <c r="E208" s="13">
        <v>42740.178773148145</v>
      </c>
      <c r="F208" s="13">
        <v>42740.180046296293</v>
      </c>
      <c r="G208" s="7">
        <v>1</v>
      </c>
      <c r="H208" s="22" t="s">
        <v>209</v>
      </c>
      <c r="I208" s="13">
        <v>42740.191967592589</v>
      </c>
      <c r="J208" s="7">
        <v>0</v>
      </c>
      <c r="K208" s="105" t="str">
        <f t="shared" si="82"/>
        <v>4011/4012</v>
      </c>
      <c r="L208" s="22" t="str">
        <f>VLOOKUP(A208,'Trips&amp;Operators'!$C$1:$G$99999,5,FALSE)</f>
        <v>YANG JAN</v>
      </c>
      <c r="M208" s="6">
        <f t="shared" si="83"/>
        <v>1.1921296296350192E-2</v>
      </c>
      <c r="N208" s="7">
        <f t="shared" si="80"/>
        <v>17.166666666744277</v>
      </c>
      <c r="O208" s="7"/>
      <c r="P208" s="7"/>
      <c r="Q208" s="23"/>
      <c r="R208" s="23"/>
      <c r="S208" s="32">
        <f t="shared" si="97"/>
        <v>1</v>
      </c>
      <c r="T208" s="47" t="str">
        <f t="shared" si="84"/>
        <v>Southbound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03:17:26-700',mode:absolute,to:'2017-01-05 05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8" s="49" t="str">
        <f t="shared" si="86"/>
        <v>Y</v>
      </c>
      <c r="X208" s="173">
        <f t="shared" si="81"/>
        <v>1</v>
      </c>
      <c r="Y208" s="64">
        <f t="shared" si="87"/>
        <v>2.3260000000000001</v>
      </c>
      <c r="Z208" s="64">
        <f t="shared" si="88"/>
        <v>1.4999999999999999E-2</v>
      </c>
      <c r="AA208" s="64">
        <f t="shared" si="89"/>
        <v>2.3109999999999999</v>
      </c>
      <c r="AB208" s="61" t="e">
        <f>VLOOKUP(A208,Enforcements!$C$7:$K$18,8,0)</f>
        <v>#N/A</v>
      </c>
      <c r="AC208" s="57" t="e">
        <f>VLOOKUP(A208,Enforcements!$C$7:$E$18,3,0)</f>
        <v>#N/A</v>
      </c>
      <c r="AD208" s="58" t="str">
        <f t="shared" si="90"/>
        <v>0310-05</v>
      </c>
      <c r="AE208" s="87" t="str">
        <f t="shared" si="9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208" s="84" t="str">
        <f t="shared" si="92"/>
        <v>"C:\Program Files (x86)\AstroGrep\AstroGrep.exe" /spath="%USERPROFILE%\AppData\Local\Temp\OnboardLogs" /stypes="app*4012*20170105*" /stext=" 11:.+((SYSTEM_STATE.+slice.+state.+changed )|(ment ac)|(multiple cpu faults)|(system.+state.+changed )|(\[timeout)|(PRM\|1\|D)|(kpr)|(kdp)|(\|lc)|(penalty))" /e /r /s</v>
      </c>
      <c r="AG208" s="1" t="str">
        <f t="shared" si="93"/>
        <v>Other</v>
      </c>
      <c r="AH208" s="88" t="str">
        <f t="shared" si="94"/>
        <v>"%USERPROFILE%\Documents\GitHub\eaglep3\Utilities\RefineRTDCRunTimes.py" --tripid 310-05 --locoid 4012 --swversion DE.1.0.8.0 --startMP 300:23260 --initTime 2017-01-05T04:17:26 --startdatetime 2017-01-05T04:19:16 --delay 1 --endMP 204:150 --enddatetime 2017-01-05T04:36:26 --enforcementcount 0 &gt;&gt;C:\Users\stu\Documents\GitHub\eaglep3-reporting\EC\2017-01-05-refined-times.txt</v>
      </c>
      <c r="AI208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{"issue":{"subject":"","project_id":79,"tracker_id":40,"status_id":1,"priority_id":2,"assigned_to_id":23,"start_date":"2017-01-05","description":"","custom_fields":[{"id":1,"name":"Subdivision","value":"Other"},{"id":4,"name":"Milepost","value":"0.015"},{"id":17,"name":"Train ID","value":"310-05"},{"id":16,"name":"Locomotive ID","value":"4012"},{"id":130,"name":"Impact","value":""},{"id":150,"name":"Time of Event (Mountain Time)","value":"04:36:26"},{"id":151,"name":"Denver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96"/>
        <v>start /low /b %USERPROFILE%\Documents\GitHub\eaglep3\Utilities\DownloadLogsFromS3.py --loco 4012 --day 2017-01-05</v>
      </c>
    </row>
    <row r="209" spans="1:39" x14ac:dyDescent="0.25">
      <c r="A209" s="34" t="s">
        <v>691</v>
      </c>
      <c r="B209" s="7">
        <v>4011</v>
      </c>
      <c r="C209" s="22" t="s">
        <v>203</v>
      </c>
      <c r="D209" s="22" t="s">
        <v>297</v>
      </c>
      <c r="E209" s="13">
        <v>42741.046597222223</v>
      </c>
      <c r="F209" s="13">
        <v>25568.708333333332</v>
      </c>
      <c r="G209" s="7">
        <v>1</v>
      </c>
      <c r="H209" s="22" t="s">
        <v>375</v>
      </c>
      <c r="I209" s="13">
        <v>25568.708333333332</v>
      </c>
      <c r="J209" s="7">
        <v>0</v>
      </c>
      <c r="K209" s="105" t="str">
        <f t="shared" si="82"/>
        <v>4011/4012</v>
      </c>
      <c r="L209" s="22" t="str">
        <f>VLOOKUP(A209,'Trips&amp;Operators'!$C$1:$G$99999,5,FALSE)</f>
        <v>NEWELL JAMES</v>
      </c>
      <c r="M209" s="6">
        <f t="shared" si="83"/>
        <v>0</v>
      </c>
      <c r="N209" s="7">
        <f t="shared" si="80"/>
        <v>0</v>
      </c>
      <c r="O209" s="7"/>
      <c r="P209" s="7"/>
      <c r="Q209" s="23"/>
      <c r="R209" s="23"/>
      <c r="S209" s="32">
        <f t="shared" si="97"/>
        <v>1</v>
      </c>
      <c r="T209" s="47" t="str">
        <f t="shared" si="84"/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https://search-rtdc-monitor-bjffxe2xuh6vdkpspy63sjmuny.us-east-1.es.amazonaws.com/_plugin/kibana/#/discover/Steve-Slow-Train-Analysis-(2080s-and-2083s)?_g=(refreshInterval:(display:Off,section:0,value:0),time:(from:'2017-01-06 00:07:06-700',mode:absolute,to:'1969-12-31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9" s="49" t="str">
        <f t="shared" si="86"/>
        <v>Y</v>
      </c>
      <c r="X209" s="173">
        <f t="shared" si="81"/>
        <v>1</v>
      </c>
      <c r="Y209" s="64">
        <f t="shared" si="87"/>
        <v>4.4400000000000002E-2</v>
      </c>
      <c r="Z209" s="64">
        <f t="shared" si="88"/>
        <v>2.3313999999999999</v>
      </c>
      <c r="AA209" s="64">
        <f t="shared" si="89"/>
        <v>2.2869999999999999</v>
      </c>
      <c r="AB209" s="61" t="e">
        <f>VLOOKUP(A209,Enforcements!$C$7:$K$18,8,0)</f>
        <v>#N/A</v>
      </c>
      <c r="AC209" s="57" t="e">
        <f>VLOOKUP(A209,Enforcements!$C$7:$E$18,3,0)</f>
        <v>#N/A</v>
      </c>
      <c r="AD209" s="58" t="str">
        <f t="shared" si="90"/>
        <v>0311-05</v>
      </c>
      <c r="AE209" s="87" t="str">
        <f t="shared" si="9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9" s="84" t="str">
        <f t="shared" si="92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9" s="1" t="str">
        <f t="shared" si="93"/>
        <v>Other</v>
      </c>
      <c r="AH209" s="88" t="str">
        <f t="shared" si="94"/>
        <v>"%USERPROFILE%\Documents\GitHub\eaglep3\Utilities\RefineRTDCRunTimes.py" --tripid 311-05 --locoid 4011 --swversion DE.1.0.8.0 --startMP 204:444 --initTime 2017-01-06T01:07:06 --startdatetime 1969-12-31T17:00:00 --delay 1 --endMP 300:23314 --enddatetime 1969-12-31T17:00:00 --enforcementcount 0 &gt;&gt;C:\Users\stu\Documents\GitHub\eaglep3-reporting\EC\2017-01-05-refined-times.txt</v>
      </c>
      <c r="AI209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ID","value":"311-05"},{"id":16,"name":"Locomotive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96"/>
        <v>start /low /b %USERPROFILE%\Documents\GitHub\eaglep3\Utilities\DownloadLogsFromS3.py --loco 4011 --day 1969-12-31</v>
      </c>
    </row>
    <row r="210" spans="1:39" x14ac:dyDescent="0.25">
      <c r="A210" s="34" t="s">
        <v>406</v>
      </c>
      <c r="B210" s="7">
        <v>4016</v>
      </c>
      <c r="C210" s="22" t="s">
        <v>203</v>
      </c>
      <c r="D210" s="22" t="s">
        <v>433</v>
      </c>
      <c r="E210" s="13">
        <v>42740.074189814812</v>
      </c>
      <c r="F210" s="13">
        <v>25568.708333333332</v>
      </c>
      <c r="G210" s="7">
        <v>1</v>
      </c>
      <c r="H210" s="22" t="s">
        <v>294</v>
      </c>
      <c r="I210" s="13">
        <v>25568.708333333332</v>
      </c>
      <c r="J210" s="7">
        <v>0</v>
      </c>
      <c r="K210" s="105" t="str">
        <f t="shared" si="82"/>
        <v>4015/4016</v>
      </c>
      <c r="L210" s="22" t="str">
        <f>VLOOKUP(A210,'Trips&amp;Operators'!$C$1:$G$99999,5,FALSE)</f>
        <v>BROWN JACOB</v>
      </c>
      <c r="M210" s="6">
        <f t="shared" si="83"/>
        <v>0</v>
      </c>
      <c r="N210" s="7">
        <f t="shared" si="80"/>
        <v>0</v>
      </c>
      <c r="O210" s="7"/>
      <c r="P210" s="7"/>
      <c r="Q210" s="23"/>
      <c r="R210" s="23"/>
      <c r="S210" s="32">
        <f t="shared" si="97"/>
        <v>1</v>
      </c>
      <c r="T210" s="47" t="str">
        <f t="shared" si="84"/>
        <v>NorthBound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00:46:50-700',mode:absolute,to:'1969-12-31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0" s="49" t="str">
        <f t="shared" si="86"/>
        <v>Y</v>
      </c>
      <c r="X210" s="173">
        <f t="shared" si="81"/>
        <v>2</v>
      </c>
      <c r="Y210" s="64">
        <f t="shared" si="87"/>
        <v>0.1391</v>
      </c>
      <c r="Z210" s="64">
        <f t="shared" si="88"/>
        <v>2.3304</v>
      </c>
      <c r="AA210" s="64">
        <f t="shared" si="89"/>
        <v>2.1913</v>
      </c>
      <c r="AB210" s="61" t="e">
        <f>VLOOKUP(A210,Enforcements!$C$7:$K$18,8,0)</f>
        <v>#N/A</v>
      </c>
      <c r="AC210" s="57" t="e">
        <f>VLOOKUP(A210,Enforcements!$C$7:$E$18,3,0)</f>
        <v>#N/A</v>
      </c>
      <c r="AD210" s="58" t="str">
        <f t="shared" si="90"/>
        <v>0313-04</v>
      </c>
      <c r="AE210" s="87" t="str">
        <f t="shared" si="9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0" s="84" t="str">
        <f t="shared" si="9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0" s="1" t="str">
        <f t="shared" si="93"/>
        <v>Other</v>
      </c>
      <c r="AH210" s="88" t="str">
        <f t="shared" si="94"/>
        <v>"%USERPROFILE%\Documents\GitHub\eaglep3\Utilities\RefineRTDCRunTimes.py" --tripid 313-04 --locoid 4016 --swversion DE.1.0.8.0 --startMP 204:1391 --initTime 2017-01-05T01:46:50 --startdatetime 1969-12-31T17:00:00 --delay 1 --endMP 300:23304 --enddatetime 1969-12-31T17:00:00 --enforcementcount 0 &gt;&gt;C:\Users\stu\Documents\GitHub\eaglep3-reporting\EC\2017-01-05-refined-times.txt</v>
      </c>
      <c r="AI210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ID","value":"313-04"},{"id":16,"name":"Locomotive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96"/>
        <v>start /low /b %USERPROFILE%\Documents\GitHub\eaglep3\Utilities\DownloadLogsFromS3.py --loco 4016 --day 1969-12-31</v>
      </c>
    </row>
    <row r="211" spans="1:39" x14ac:dyDescent="0.25">
      <c r="A211" s="34" t="s">
        <v>693</v>
      </c>
      <c r="B211" s="7">
        <v>4046</v>
      </c>
      <c r="C211" s="22" t="s">
        <v>203</v>
      </c>
      <c r="D211" s="22" t="s">
        <v>777</v>
      </c>
      <c r="E211" s="13">
        <v>42741.071458333332</v>
      </c>
      <c r="F211" s="13">
        <v>25568.708333333332</v>
      </c>
      <c r="G211" s="7">
        <v>1</v>
      </c>
      <c r="H211" s="22" t="s">
        <v>795</v>
      </c>
      <c r="I211" s="13">
        <v>25568.708333333332</v>
      </c>
      <c r="J211" s="7">
        <v>0</v>
      </c>
      <c r="K211" s="105" t="str">
        <f t="shared" si="82"/>
        <v>4045/4046</v>
      </c>
      <c r="L211" s="22" t="str">
        <f>VLOOKUP(A211,'Trips&amp;Operators'!$C$1:$G$99999,5,FALSE)</f>
        <v>BROWN JACOB</v>
      </c>
      <c r="M211" s="6">
        <f t="shared" si="83"/>
        <v>0</v>
      </c>
      <c r="N211" s="7">
        <f t="shared" si="80"/>
        <v>0</v>
      </c>
      <c r="O211" s="7"/>
      <c r="P211" s="7"/>
      <c r="Q211" s="23"/>
      <c r="R211" s="23"/>
      <c r="S211" s="32">
        <f t="shared" si="97"/>
        <v>1</v>
      </c>
      <c r="T211" s="47" t="str">
        <f t="shared" si="84"/>
        <v>NorthBound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https://search-rtdc-monitor-bjffxe2xuh6vdkpspy63sjmuny.us-east-1.es.amazonaws.com/_plugin/kibana/#/discover/Steve-Slow-Train-Analysis-(2080s-and-2083s)?_g=(refreshInterval:(display:Off,section:0,value:0),time:(from:'2017-01-06 00:42:54-700',mode:absolute,to:'1969-12-31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1" s="49" t="str">
        <f t="shared" si="86"/>
        <v>Y</v>
      </c>
      <c r="X211" s="173">
        <f t="shared" si="81"/>
        <v>0</v>
      </c>
      <c r="Y211" s="64">
        <f t="shared" si="87"/>
        <v>4.3799999999999999E-2</v>
      </c>
      <c r="Z211" s="64">
        <f t="shared" si="88"/>
        <v>2.3248000000000002</v>
      </c>
      <c r="AA211" s="64">
        <f t="shared" si="89"/>
        <v>2.2810000000000001</v>
      </c>
      <c r="AB211" s="61" t="e">
        <f>VLOOKUP(A211,Enforcements!$C$7:$K$18,8,0)</f>
        <v>#N/A</v>
      </c>
      <c r="AC211" s="57" t="e">
        <f>VLOOKUP(A211,Enforcements!$C$7:$E$18,3,0)</f>
        <v>#N/A</v>
      </c>
      <c r="AD211" s="58" t="str">
        <f t="shared" si="90"/>
        <v>0313-05</v>
      </c>
      <c r="AE211" s="87" t="str">
        <f t="shared" si="9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1" s="84" t="str">
        <f t="shared" si="92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1" s="1" t="str">
        <f t="shared" si="93"/>
        <v>Other</v>
      </c>
      <c r="AH211" s="88" t="str">
        <f t="shared" si="94"/>
        <v>"%USERPROFILE%\Documents\GitHub\eaglep3\Utilities\RefineRTDCRunTimes.py" --tripid 313-05 --locoid 4046 --swversion DE.1.0.8.0 --startMP 204:438 --initTime 2017-01-06T01:42:54 --startdatetime 1969-12-31T17:00:00 --delay 1 --endMP 300:23248 --enddatetime 1969-12-31T17:00:00 --enforcementcount 0 &gt;&gt;C:\Users\stu\Documents\GitHub\eaglep3-reporting\EC\2017-01-05-refined-times.txt</v>
      </c>
      <c r="AI211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{"issue":{"subject":"","project_id":79,"tracker_id":40,"status_id":1,"priority_id":2,"assigned_to_id":23,"start_date":"1969-12-31","description":"","custom_fields":[{"id":1,"name":"Subdivision","value":"Other"},{"id":4,"name":"Milepost","value":"2.3248"},{"id":17,"name":"Train ID","value":"313-05"},{"id":16,"name":"Locomotive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96"/>
        <v>start /low /b %USERPROFILE%\Documents\GitHub\eaglep3\Utilities\DownloadLogsFromS3.py --loco 4046 --day 1969-12-31</v>
      </c>
    </row>
    <row r="212" spans="1:39" x14ac:dyDescent="0.25">
      <c r="A212" s="34" t="s">
        <v>407</v>
      </c>
      <c r="B212" s="7">
        <v>4029</v>
      </c>
      <c r="C212" s="22" t="s">
        <v>203</v>
      </c>
      <c r="D212" s="22" t="s">
        <v>244</v>
      </c>
      <c r="E212" s="13">
        <v>42740.089108796295</v>
      </c>
      <c r="F212" s="13">
        <v>25568.708333333332</v>
      </c>
      <c r="G212" s="7">
        <v>1</v>
      </c>
      <c r="H212" s="22" t="s">
        <v>432</v>
      </c>
      <c r="I212" s="13">
        <v>25568.708333333332</v>
      </c>
      <c r="J212" s="7">
        <v>0</v>
      </c>
      <c r="K212" s="105" t="str">
        <f t="shared" si="82"/>
        <v>4029/4030</v>
      </c>
      <c r="L212" s="22" t="str">
        <f>VLOOKUP(A212,'Trips&amp;Operators'!$C$1:$G$99999,5,FALSE)</f>
        <v>DUNCAN SHEILA</v>
      </c>
      <c r="M212" s="6">
        <f t="shared" si="83"/>
        <v>0</v>
      </c>
      <c r="N212" s="7">
        <f t="shared" si="80"/>
        <v>0</v>
      </c>
      <c r="O212" s="7"/>
      <c r="P212" s="7"/>
      <c r="Q212" s="23"/>
      <c r="R212" s="23"/>
      <c r="S212" s="32">
        <f t="shared" si="97"/>
        <v>1</v>
      </c>
      <c r="T212" s="47" t="str">
        <f t="shared" si="84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01:08:19-700',mode:absolute,to:'1969-12-31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2" s="49" t="str">
        <f t="shared" si="86"/>
        <v>Y</v>
      </c>
      <c r="X212" s="173">
        <f t="shared" si="81"/>
        <v>2</v>
      </c>
      <c r="Y212" s="64">
        <f t="shared" si="87"/>
        <v>4.6399999999999997E-2</v>
      </c>
      <c r="Z212" s="64">
        <f t="shared" si="88"/>
        <v>2.3308</v>
      </c>
      <c r="AA212" s="64">
        <f t="shared" si="89"/>
        <v>2.2843999999999998</v>
      </c>
      <c r="AB212" s="61" t="e">
        <f>VLOOKUP(A212,Enforcements!$C$7:$K$18,8,0)</f>
        <v>#N/A</v>
      </c>
      <c r="AC212" s="57" t="e">
        <f>VLOOKUP(A212,Enforcements!$C$7:$E$18,3,0)</f>
        <v>#N/A</v>
      </c>
      <c r="AD212" s="58" t="str">
        <f t="shared" si="90"/>
        <v>0315-04</v>
      </c>
      <c r="AE212" s="87" t="str">
        <f t="shared" si="9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2" s="84" t="str">
        <f t="shared" si="92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2" s="1" t="str">
        <f t="shared" si="93"/>
        <v>Other</v>
      </c>
      <c r="AH212" s="88" t="str">
        <f t="shared" si="94"/>
        <v>"%USERPROFILE%\Documents\GitHub\eaglep3\Utilities\RefineRTDCRunTimes.py" --tripid 315-04 --locoid 4029 --swversion DE.1.0.8.0 --startMP 204:464 --initTime 2017-01-05T02:08:19 --startdatetime 1969-12-31T17:00:00 --delay 1 --endMP 300:23308 --enddatetime 1969-12-31T17:00:00 --enforcementcount 0 &gt;&gt;C:\Users\stu\Documents\GitHub\eaglep3-reporting\EC\2017-01-05-refined-times.txt</v>
      </c>
      <c r="AI212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ID","value":"315-04"},{"id":16,"name":"Locomotive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96"/>
        <v>start /low /b %USERPROFILE%\Documents\GitHub\eaglep3\Utilities\DownloadLogsFromS3.py --loco 4029 --day 1969-12-31</v>
      </c>
    </row>
    <row r="213" spans="1:39" x14ac:dyDescent="0.25">
      <c r="A213" s="34" t="s">
        <v>695</v>
      </c>
      <c r="B213" s="7">
        <v>4022</v>
      </c>
      <c r="C213" s="22" t="s">
        <v>203</v>
      </c>
      <c r="D213" s="22" t="s">
        <v>796</v>
      </c>
      <c r="E213" s="13">
        <v>42741.089236111111</v>
      </c>
      <c r="F213" s="13">
        <v>25568.708333333332</v>
      </c>
      <c r="G213" s="7">
        <v>1</v>
      </c>
      <c r="H213" s="22" t="s">
        <v>797</v>
      </c>
      <c r="I213" s="13">
        <v>25568.708333333332</v>
      </c>
      <c r="J213" s="7">
        <v>0</v>
      </c>
      <c r="K213" s="105" t="str">
        <f t="shared" si="82"/>
        <v>4021/4022</v>
      </c>
      <c r="L213" s="22" t="str">
        <f>VLOOKUP(A213,'Trips&amp;Operators'!$C$1:$G$99999,5,FALSE)</f>
        <v>HILLS DUSTIN</v>
      </c>
      <c r="M213" s="6">
        <f t="shared" si="83"/>
        <v>0</v>
      </c>
      <c r="N213" s="7">
        <f t="shared" si="80"/>
        <v>0</v>
      </c>
      <c r="O213" s="7"/>
      <c r="P213" s="7"/>
      <c r="Q213" s="23"/>
      <c r="R213" s="23"/>
      <c r="S213" s="32">
        <f t="shared" si="97"/>
        <v>1</v>
      </c>
      <c r="T213" s="47" t="str">
        <f t="shared" si="84"/>
        <v>NorthBound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https://search-rtdc-monitor-bjffxe2xuh6vdkpspy63sjmuny.us-east-1.es.amazonaws.com/_plugin/kibana/#/discover/Steve-Slow-Train-Analysis-(2080s-and-2083s)?_g=(refreshInterval:(display:Off,section:0,value:0),time:(from:'2017-01-06 01:08:30-700',mode:absolute,to:'1969-12-31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3" s="49" t="str">
        <f t="shared" si="86"/>
        <v>Y</v>
      </c>
      <c r="X213" s="173">
        <f t="shared" si="81"/>
        <v>0</v>
      </c>
      <c r="Y213" s="64">
        <f t="shared" si="87"/>
        <v>3.7999999999999999E-2</v>
      </c>
      <c r="Z213" s="64">
        <f t="shared" si="88"/>
        <v>2.3296999999999999</v>
      </c>
      <c r="AA213" s="64">
        <f t="shared" si="89"/>
        <v>2.2917000000000001</v>
      </c>
      <c r="AB213" s="61" t="e">
        <f>VLOOKUP(A213,Enforcements!$C$7:$K$18,8,0)</f>
        <v>#N/A</v>
      </c>
      <c r="AC213" s="57" t="e">
        <f>VLOOKUP(A213,Enforcements!$C$7:$E$18,3,0)</f>
        <v>#N/A</v>
      </c>
      <c r="AD213" s="58" t="str">
        <f t="shared" si="90"/>
        <v>0315-05</v>
      </c>
      <c r="AE213" s="87" t="str">
        <f t="shared" si="9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3" s="84" t="str">
        <f t="shared" si="9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3" s="1" t="str">
        <f t="shared" si="93"/>
        <v>Other</v>
      </c>
      <c r="AH213" s="88" t="str">
        <f t="shared" si="94"/>
        <v>"%USERPROFILE%\Documents\GitHub\eaglep3\Utilities\RefineRTDCRunTimes.py" --tripid 315-05 --locoid 4022 --swversion DE.1.0.8.0 --startMP 204:380 --initTime 2017-01-06T02:08:30 --startdatetime 1969-12-31T17:00:00 --delay 1 --endMP 300:23297 --enddatetime 1969-12-31T17:00:00 --enforcementcount 0 &gt;&gt;C:\Users\stu\Documents\GitHub\eaglep3-reporting\EC\2017-01-05-refined-times.txt</v>
      </c>
      <c r="AI213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ID","value":"315-05"},{"id":16,"name":"Locomotive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96"/>
        <v>start /low /b %USERPROFILE%\Documents\GitHub\eaglep3\Utilities\DownloadLogsFromS3.py --loco 4022 --day 1969-12-31</v>
      </c>
    </row>
    <row r="214" spans="1:39" x14ac:dyDescent="0.25">
      <c r="A214" s="34" t="s">
        <v>695</v>
      </c>
      <c r="B214" s="7">
        <v>4022</v>
      </c>
      <c r="C214" s="22" t="s">
        <v>203</v>
      </c>
      <c r="D214" s="22" t="s">
        <v>798</v>
      </c>
      <c r="E214" s="13">
        <v>42741.091574074075</v>
      </c>
      <c r="F214" s="13">
        <v>25568.708333333332</v>
      </c>
      <c r="G214" s="7">
        <v>1</v>
      </c>
      <c r="H214" s="22" t="s">
        <v>797</v>
      </c>
      <c r="I214" s="13">
        <v>25568.708333333332</v>
      </c>
      <c r="J214" s="7">
        <v>0</v>
      </c>
      <c r="K214" s="105" t="str">
        <f t="shared" si="82"/>
        <v>4021/4022</v>
      </c>
      <c r="L214" s="22" t="str">
        <f>VLOOKUP(A214,'Trips&amp;Operators'!$C$1:$G$99999,5,FALSE)</f>
        <v>HILLS DUSTIN</v>
      </c>
      <c r="M214" s="6">
        <f t="shared" si="83"/>
        <v>0</v>
      </c>
      <c r="N214" s="7">
        <f t="shared" si="80"/>
        <v>0</v>
      </c>
      <c r="O214" s="7"/>
      <c r="P214" s="7"/>
      <c r="Q214" s="23"/>
      <c r="R214" s="23"/>
      <c r="S214" s="32">
        <f t="shared" si="97"/>
        <v>1</v>
      </c>
      <c r="T214" s="47" t="str">
        <f t="shared" si="84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https://search-rtdc-monitor-bjffxe2xuh6vdkpspy63sjmuny.us-east-1.es.amazonaws.com/_plugin/kibana/#/discover/Steve-Slow-Train-Analysis-(2080s-and-2083s)?_g=(refreshInterval:(display:Off,section:0,value:0),time:(from:'2017-01-06 01:11:52-700',mode:absolute,to:'1969-12-31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4" s="49" t="str">
        <f t="shared" si="86"/>
        <v>Y</v>
      </c>
      <c r="X214" s="173">
        <f t="shared" si="81"/>
        <v>0</v>
      </c>
      <c r="Y214" s="64">
        <f t="shared" si="87"/>
        <v>3.8399999999999997E-2</v>
      </c>
      <c r="Z214" s="64">
        <f t="shared" si="88"/>
        <v>2.3296999999999999</v>
      </c>
      <c r="AA214" s="64">
        <f t="shared" si="89"/>
        <v>2.2912999999999997</v>
      </c>
      <c r="AB214" s="61" t="e">
        <f>VLOOKUP(A214,Enforcements!$C$7:$K$18,8,0)</f>
        <v>#N/A</v>
      </c>
      <c r="AC214" s="57" t="e">
        <f>VLOOKUP(A214,Enforcements!$C$7:$E$18,3,0)</f>
        <v>#N/A</v>
      </c>
      <c r="AD214" s="58" t="str">
        <f t="shared" si="90"/>
        <v>0315-05</v>
      </c>
      <c r="AE214" s="87" t="str">
        <f t="shared" si="9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4" s="84" t="str">
        <f t="shared" si="9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4" s="1" t="str">
        <f t="shared" si="93"/>
        <v>Other</v>
      </c>
      <c r="AH214" s="88" t="str">
        <f t="shared" si="94"/>
        <v>"%USERPROFILE%\Documents\GitHub\eaglep3\Utilities\RefineRTDCRunTimes.py" --tripid 315-05 --locoid 4022 --swversion DE.1.0.8.0 --startMP 204:384 --initTime 2017-01-06T02:11:52 --startdatetime 1969-12-31T17:00:00 --delay 1 --endMP 300:23297 --enddatetime 1969-12-31T17:00:00 --enforcementcount 0 &gt;&gt;C:\Users\stu\Documents\GitHub\eaglep3-reporting\EC\2017-01-05-refined-times.txt</v>
      </c>
      <c r="AI214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ID","value":"315-05"},{"id":16,"name":"Locomotive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96"/>
        <v>start /low /b %USERPROFILE%\Documents\GitHub\eaglep3\Utilities\DownloadLogsFromS3.py --loco 4022 --day 1969-12-31</v>
      </c>
    </row>
    <row r="215" spans="1:39" x14ac:dyDescent="0.25">
      <c r="A215" s="34" t="s">
        <v>506</v>
      </c>
      <c r="B215" s="7">
        <v>4020</v>
      </c>
      <c r="C215" s="22" t="s">
        <v>203</v>
      </c>
      <c r="D215" s="22" t="s">
        <v>867</v>
      </c>
      <c r="E215" s="13">
        <v>42740.198252314818</v>
      </c>
      <c r="F215" s="13">
        <v>42740.199618055558</v>
      </c>
      <c r="G215" s="7">
        <v>1</v>
      </c>
      <c r="H215" s="22" t="s">
        <v>857</v>
      </c>
      <c r="I215" s="13">
        <v>42740.205960648149</v>
      </c>
      <c r="J215" s="7">
        <v>0</v>
      </c>
      <c r="K215" s="105" t="str">
        <f t="shared" si="82"/>
        <v>4019/4020</v>
      </c>
      <c r="L215" s="22" t="str">
        <f>VLOOKUP(A215,'Trips&amp;Operators'!$C$1:$G$99999,5,FALSE)</f>
        <v>SHOOK JOHN</v>
      </c>
      <c r="M215" s="6">
        <f t="shared" si="83"/>
        <v>6.3425925909541547E-3</v>
      </c>
      <c r="N215" s="7">
        <f t="shared" si="80"/>
        <v>9.1333333309739828</v>
      </c>
      <c r="O215" s="7"/>
      <c r="P215" s="7"/>
      <c r="Q215" s="23"/>
      <c r="R215" s="23"/>
      <c r="S215" s="32">
        <f t="shared" si="97"/>
        <v>0</v>
      </c>
      <c r="T215" s="47" t="str">
        <f t="shared" si="84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03:45:29-700',mode:absolute,to:'2017-01-05 05:56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5" s="49" t="str">
        <f t="shared" si="86"/>
        <v>Y</v>
      </c>
      <c r="X215" s="173">
        <f t="shared" si="81"/>
        <v>586</v>
      </c>
      <c r="Y215" s="64">
        <f t="shared" si="87"/>
        <v>3.0053000000000001</v>
      </c>
      <c r="Z215" s="64">
        <f t="shared" si="88"/>
        <v>5.8978000000000002</v>
      </c>
      <c r="AA215" s="64">
        <f t="shared" si="89"/>
        <v>2.8925000000000001</v>
      </c>
      <c r="AB215" s="61" t="e">
        <f>VLOOKUP(A215,Enforcements!$C$7:$K$18,8,0)</f>
        <v>#N/A</v>
      </c>
      <c r="AC215" s="57" t="e">
        <f>VLOOKUP(A215,Enforcements!$C$7:$E$18,3,0)</f>
        <v>#N/A</v>
      </c>
      <c r="AD215" s="58" t="str">
        <f t="shared" si="90"/>
        <v>0901-05</v>
      </c>
      <c r="AE215" s="87" t="str">
        <f t="shared" si="91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215" s="84" t="str">
        <f t="shared" si="92"/>
        <v>"C:\Program Files (x86)\AstroGrep\AstroGrep.exe" /spath="%USERPROFILE%\AppData\Local\Temp\OnboardLogs" /stypes="app*4020*20170105*" /stext=" 11:.+((SYSTEM_STATE.+slice.+state.+changed )|(ment ac)|(multiple cpu faults)|(system.+state.+changed )|(\[timeout)|(PRM\|1\|D)|(kpr)|(kdp)|(\|lc)|(penalty))" /e /r /s</v>
      </c>
      <c r="AG215" s="1" t="str">
        <f t="shared" si="93"/>
        <v>Other</v>
      </c>
      <c r="AH215" s="88" t="str">
        <f t="shared" si="94"/>
        <v>"%USERPROFILE%\Documents\GitHub\eaglep3\Utilities\RefineRTDCRunTimes.py" --tripid 901-05 --locoid 4020 --swversion DE.1.0.8.0 --startMP 300:30053 --initTime 2017-01-05T04:45:29 --startdatetime 2017-01-05T04:47:27 --delay 1 --endMP 300:58978 --enddatetime 2017-01-05T04:56:35 --enforcementcount 0 &gt;&gt;C:\Users\stu\Documents\GitHub\eaglep3-reporting\EC\2017-01-05-refined-times.txt</v>
      </c>
      <c r="AI215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{"issue":{"subject":"","project_id":79,"tracker_id":40,"status_id":1,"priority_id":2,"assigned_to_id":23,"start_date":"2017-01-05","description":"","custom_fields":[{"id":1,"name":"Subdivision","value":"Other"},{"id":4,"name":"Milepost","value":"5.8978"},{"id":17,"name":"Train ID","value":"901-05"},{"id":16,"name":"Locomotive ID","value":"4020"},{"id":130,"name":"Impact","value":""},{"id":150,"name":"Time of Event (Mountain Time)","value":"04:56:35"},{"id":151,"name":"Denver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96"/>
        <v>start /low /b %USERPROFILE%\Documents\GitHub\eaglep3\Utilities\DownloadLogsFromS3.py --loco 4020 --day 2017-01-05</v>
      </c>
    </row>
    <row r="216" spans="1:39" x14ac:dyDescent="0.25">
      <c r="A216" s="34" t="s">
        <v>546</v>
      </c>
      <c r="B216" s="7">
        <v>4020</v>
      </c>
      <c r="C216" s="22" t="s">
        <v>203</v>
      </c>
      <c r="D216" s="22" t="s">
        <v>868</v>
      </c>
      <c r="E216" s="13">
        <v>42740.355115740742</v>
      </c>
      <c r="F216" s="13">
        <v>25568.708333333332</v>
      </c>
      <c r="G216" s="7">
        <v>1</v>
      </c>
      <c r="H216" s="22" t="s">
        <v>869</v>
      </c>
      <c r="I216" s="13">
        <v>25568.708333333332</v>
      </c>
      <c r="J216" s="7">
        <v>0</v>
      </c>
      <c r="K216" s="105" t="str">
        <f t="shared" si="82"/>
        <v>4019/4020</v>
      </c>
      <c r="L216" s="22" t="str">
        <f>VLOOKUP(A216,'Trips&amp;Operators'!$C$1:$G$99999,5,FALSE)</f>
        <v>SHOOK JOHN</v>
      </c>
      <c r="M216" s="6">
        <f t="shared" si="83"/>
        <v>0</v>
      </c>
      <c r="N216" s="7">
        <f t="shared" si="80"/>
        <v>0</v>
      </c>
      <c r="O216" s="7"/>
      <c r="P216" s="7"/>
      <c r="Q216" s="23"/>
      <c r="R216" s="23"/>
      <c r="S216" s="32">
        <f t="shared" si="97"/>
        <v>1</v>
      </c>
      <c r="T216" s="47" t="str">
        <f t="shared" si="84"/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07:31:22-700',mode:absolute,to:'1969-12-31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6" s="49" t="str">
        <f t="shared" si="86"/>
        <v>Y</v>
      </c>
      <c r="X216" s="173">
        <f t="shared" si="81"/>
        <v>2</v>
      </c>
      <c r="Y216" s="64">
        <f t="shared" si="87"/>
        <v>4.9799999999999997E-2</v>
      </c>
      <c r="Z216" s="64">
        <f t="shared" si="88"/>
        <v>2.4222000000000001</v>
      </c>
      <c r="AA216" s="64">
        <f t="shared" si="89"/>
        <v>2.3724000000000003</v>
      </c>
      <c r="AB216" s="61" t="e">
        <f>VLOOKUP(A216,Enforcements!$C$7:$K$18,8,0)</f>
        <v>#N/A</v>
      </c>
      <c r="AC216" s="57" t="e">
        <f>VLOOKUP(A216,Enforcements!$C$7:$E$18,3,0)</f>
        <v>#N/A</v>
      </c>
      <c r="AD216" s="58" t="str">
        <f t="shared" si="90"/>
        <v>0903-05</v>
      </c>
      <c r="AE216" s="87" t="str">
        <f t="shared" si="9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6" s="84" t="str">
        <f t="shared" si="92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6" s="1" t="str">
        <f t="shared" si="93"/>
        <v>Other</v>
      </c>
      <c r="AH216" s="88" t="str">
        <f t="shared" si="94"/>
        <v>"%USERPROFILE%\Documents\GitHub\eaglep3\Utilities\RefineRTDCRunTimes.py" --tripid 903-05 --locoid 4020 --swversion DE.1.0.8.0 --startMP 204:498 --initTime 2017-01-05T08:31:22 --startdatetime 1969-12-31T17:00:00 --delay 1 --endMP 300:24222 --enddatetime 1969-12-31T17:00:00 --enforcementcount 0 &gt;&gt;C:\Users\stu\Documents\GitHub\eaglep3-reporting\EC\2017-01-05-refined-times.txt</v>
      </c>
      <c r="AI216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{"issue":{"subject":"","project_id":79,"tracker_id":40,"status_id":1,"priority_id":2,"assigned_to_id":23,"start_date":"1969-12-31","description":"","custom_fields":[{"id":1,"name":"Subdivision","value":"Other"},{"id":4,"name":"Milepost","value":"2.4222"},{"id":17,"name":"Train ID","value":"903-05"},{"id":16,"name":"Locomotive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96"/>
        <v>start /low /b %USERPROFILE%\Documents\GitHub\eaglep3\Utilities\DownloadLogsFromS3.py --loco 4020 --day 1969-12-31</v>
      </c>
    </row>
    <row r="217" spans="1:39" x14ac:dyDescent="0.25">
      <c r="A217" s="34" t="s">
        <v>609</v>
      </c>
      <c r="B217" s="7">
        <v>4019</v>
      </c>
      <c r="C217" s="22" t="s">
        <v>203</v>
      </c>
      <c r="D217" s="22" t="s">
        <v>870</v>
      </c>
      <c r="E217" s="13">
        <v>42740.639594907407</v>
      </c>
      <c r="F217" s="13">
        <v>42740.642916666664</v>
      </c>
      <c r="G217" s="7">
        <v>4</v>
      </c>
      <c r="H217" s="22" t="s">
        <v>837</v>
      </c>
      <c r="I217" s="13">
        <v>42740.650092592594</v>
      </c>
      <c r="J217" s="7">
        <v>0</v>
      </c>
      <c r="K217" s="105" t="str">
        <f t="shared" si="82"/>
        <v>4019/4020</v>
      </c>
      <c r="L217" s="22" t="str">
        <f>VLOOKUP(A217,'Trips&amp;Operators'!$C$1:$G$99999,5,FALSE)</f>
        <v>DE LA ROSA ALEX</v>
      </c>
      <c r="M217" s="6">
        <f t="shared" si="83"/>
        <v>7.1759259299142286E-3</v>
      </c>
      <c r="N217" s="7">
        <f t="shared" si="80"/>
        <v>10.333333339076489</v>
      </c>
      <c r="O217" s="7"/>
      <c r="P217" s="7"/>
      <c r="Q217" s="23"/>
      <c r="R217" s="23"/>
      <c r="S217" s="32">
        <f t="shared" si="97"/>
        <v>1</v>
      </c>
      <c r="T217" s="47" t="str">
        <f t="shared" si="84"/>
        <v>Southbound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14:21:01-700',mode:absolute,to:'2017-01-05 16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7" s="49" t="str">
        <f t="shared" si="86"/>
        <v>Y</v>
      </c>
      <c r="X217" s="173">
        <f t="shared" si="81"/>
        <v>1</v>
      </c>
      <c r="Y217" s="64">
        <f t="shared" si="87"/>
        <v>2.3176999999999999</v>
      </c>
      <c r="Z217" s="64">
        <f t="shared" si="88"/>
        <v>7.17E-2</v>
      </c>
      <c r="AA217" s="64">
        <f t="shared" si="89"/>
        <v>2.246</v>
      </c>
      <c r="AB217" s="61" t="e">
        <f>VLOOKUP(A217,Enforcements!$C$7:$K$18,8,0)</f>
        <v>#N/A</v>
      </c>
      <c r="AC217" s="57" t="e">
        <f>VLOOKUP(A217,Enforcements!$C$7:$E$18,3,0)</f>
        <v>#N/A</v>
      </c>
      <c r="AD217" s="58" t="str">
        <f t="shared" si="90"/>
        <v>0904-05</v>
      </c>
      <c r="AE217" s="87" t="str">
        <f t="shared" si="91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217" s="84" t="str">
        <f t="shared" si="92"/>
        <v>"C:\Program Files (x86)\AstroGrep\AstroGrep.exe" /spath="%USERPROFILE%\AppData\Local\Temp\OnboardLogs" /stypes="app*4019*20170105*" /stext=" 22:.+((SYSTEM_STATE.+slice.+state.+changed )|(ment ac)|(multiple cpu faults)|(system.+state.+changed )|(\[timeout)|(PRM\|1\|D)|(kpr)|(kdp)|(\|lc)|(penalty))" /e /r /s</v>
      </c>
      <c r="AG217" s="1" t="str">
        <f t="shared" si="93"/>
        <v>Other</v>
      </c>
      <c r="AH217" s="88" t="str">
        <f t="shared" si="94"/>
        <v>"%USERPROFILE%\Documents\GitHub\eaglep3\Utilities\RefineRTDCRunTimes.py" --tripid 904-05 --locoid 4019 --swversion DE.1.0.8.0 --startMP 300:23177 --initTime 2017-01-05T15:21:01 --startdatetime 2017-01-05T15:25:48 --delay 4 --endMP 204:717 --enddatetime 2017-01-05T15:36:08 --enforcementcount 0 &gt;&gt;C:\Users\stu\Documents\GitHub\eaglep3-reporting\EC\2017-01-05-refined-times.txt</v>
      </c>
      <c r="AI217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{"issue":{"subject":"","project_id":79,"tracker_id":40,"status_id":1,"priority_id":2,"assigned_to_id":23,"start_date":"2017-01-05","description":"","custom_fields":[{"id":1,"name":"Subdivision","value":"Other"},{"id":4,"name":"Milepost","value":"0.0717"},{"id":17,"name":"Train ID","value":"904-05"},{"id":16,"name":"Locomotive ID","value":"4019"},{"id":130,"name":"Impact","value":""},{"id":150,"name":"Time of Event (Mountain Time)","value":"15:36:08"},{"id":151,"name":"Denver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96"/>
        <v>start /low /b %USERPROFILE%\Documents\GitHub\eaglep3\Utilities\DownloadLogsFromS3.py --loco 4019 --day 2017-01-05</v>
      </c>
    </row>
    <row r="218" spans="1:39" x14ac:dyDescent="0.25">
      <c r="A218" s="34" t="s">
        <v>679</v>
      </c>
      <c r="B218" s="7">
        <v>4043</v>
      </c>
      <c r="C218" s="22" t="s">
        <v>203</v>
      </c>
      <c r="D218" s="22" t="s">
        <v>376</v>
      </c>
      <c r="E218" s="13">
        <v>42740.943541666667</v>
      </c>
      <c r="F218" s="13">
        <v>25568.708333333332</v>
      </c>
      <c r="G218" s="7">
        <v>1</v>
      </c>
      <c r="H218" s="22" t="s">
        <v>871</v>
      </c>
      <c r="I218" s="13">
        <v>25568.708333333332</v>
      </c>
      <c r="J218" s="7">
        <v>0</v>
      </c>
      <c r="K218" s="105" t="str">
        <f t="shared" si="82"/>
        <v>4043/4044</v>
      </c>
      <c r="L218" s="22" t="str">
        <f>VLOOKUP(A218,'Trips&amp;Operators'!$C$1:$G$99999,5,FALSE)</f>
        <v>BADERTSCHER DIANE</v>
      </c>
      <c r="M218" s="6">
        <f t="shared" si="83"/>
        <v>0</v>
      </c>
      <c r="N218" s="7">
        <f t="shared" si="80"/>
        <v>0</v>
      </c>
      <c r="O218" s="7"/>
      <c r="P218" s="7"/>
      <c r="Q218" s="23"/>
      <c r="R218" s="23"/>
      <c r="S218" s="32">
        <f t="shared" si="97"/>
        <v>0</v>
      </c>
      <c r="T218" s="47" t="str">
        <f t="shared" si="84"/>
        <v>Southbound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21:38:42-700',mode:absolute,to:'1969-12-31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8" s="49" t="str">
        <f t="shared" si="86"/>
        <v>Y</v>
      </c>
      <c r="X218" s="173">
        <f t="shared" si="81"/>
        <v>4</v>
      </c>
      <c r="Y218" s="64">
        <f t="shared" si="87"/>
        <v>5.8619000000000003</v>
      </c>
      <c r="Z218" s="64">
        <f t="shared" si="88"/>
        <v>2.1701999999999999</v>
      </c>
      <c r="AA218" s="64">
        <f t="shared" si="89"/>
        <v>3.6917000000000004</v>
      </c>
      <c r="AB218" s="61" t="e">
        <f>VLOOKUP(A218,Enforcements!$C$7:$K$18,8,0)</f>
        <v>#N/A</v>
      </c>
      <c r="AC218" s="57" t="e">
        <f>VLOOKUP(A218,Enforcements!$C$7:$E$18,3,0)</f>
        <v>#N/A</v>
      </c>
      <c r="AD218" s="58" t="str">
        <f t="shared" si="90"/>
        <v>0908-05</v>
      </c>
      <c r="AE218" s="87" t="str">
        <f t="shared" si="91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18" s="84" t="str">
        <f t="shared" si="92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18" s="1" t="str">
        <f t="shared" si="93"/>
        <v>Other</v>
      </c>
      <c r="AH218" s="88" t="str">
        <f t="shared" si="94"/>
        <v>"%USERPROFILE%\Documents\GitHub\eaglep3\Utilities\RefineRTDCRunTimes.py" --tripid 908-05 --locoid 4043 --swversion DE.1.0.8.0 --startMP 300:58619 --initTime 2017-01-05T22:38:42 --startdatetime 1969-12-31T17:00:00 --delay 1 --endMP 300:21702 --enddatetime 1969-12-31T17:00:00 --enforcementcount 0 &gt;&gt;C:\Users\stu\Documents\GitHub\eaglep3-reporting\EC\2017-01-05-refined-times.txt</v>
      </c>
      <c r="AI218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{"issue":{"subject":"","project_id":79,"tracker_id":40,"status_id":1,"priority_id":2,"assigned_to_id":23,"start_date":"1969-12-31","description":"","custom_fields":[{"id":1,"name":"Subdivision","value":"Other"},{"id":4,"name":"Milepost","value":"2.1702"},{"id":17,"name":"Train ID","value":"908-05"},{"id":16,"name":"Locomotive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96"/>
        <v>start /low /b %USERPROFILE%\Documents\GitHub\eaglep3\Utilities\DownloadLogsFromS3.py --loco 4043 --day 1969-12-31</v>
      </c>
    </row>
    <row r="219" spans="1:39" x14ac:dyDescent="0.25">
      <c r="A219" s="34" t="s">
        <v>529</v>
      </c>
      <c r="B219" s="7">
        <v>4001</v>
      </c>
      <c r="C219" s="22" t="s">
        <v>203</v>
      </c>
      <c r="D219" s="22" t="s">
        <v>799</v>
      </c>
      <c r="E219" s="13">
        <v>42740.282013888886</v>
      </c>
      <c r="F219" s="13">
        <v>42740.284282407411</v>
      </c>
      <c r="G219" s="7">
        <v>2</v>
      </c>
      <c r="H219" s="22" t="s">
        <v>800</v>
      </c>
      <c r="I219" s="13">
        <v>42740.289768518516</v>
      </c>
      <c r="J219" s="7">
        <v>0</v>
      </c>
      <c r="K219" s="105" t="str">
        <f t="shared" si="82"/>
        <v>4001/4002</v>
      </c>
      <c r="L219" s="22" t="str">
        <f>VLOOKUP(A219,'Trips&amp;Operators'!$C$1:$G$99999,5,FALSE)</f>
        <v>BEAM ROSS</v>
      </c>
      <c r="M219" s="6">
        <f t="shared" si="83"/>
        <v>5.4861111057107337E-3</v>
      </c>
      <c r="N219" s="7">
        <f t="shared" si="80"/>
        <v>7.8999999922234565</v>
      </c>
      <c r="O219" s="7"/>
      <c r="P219" s="7"/>
      <c r="Q219" s="23"/>
      <c r="R219" s="23"/>
      <c r="S219" s="32">
        <f t="shared" si="97"/>
        <v>0</v>
      </c>
      <c r="T219" s="47" t="e">
        <f t="shared" si="84"/>
        <v>#VALUE!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05:46:06-700',mode:absolute,to:'2017-01-05 07:57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9" s="49" t="str">
        <f t="shared" si="86"/>
        <v>Y</v>
      </c>
      <c r="X219" s="173" t="e">
        <f t="shared" si="81"/>
        <v>#VALUE!</v>
      </c>
      <c r="Y219" s="64">
        <f t="shared" si="87"/>
        <v>1.899</v>
      </c>
      <c r="Z219" s="64">
        <f t="shared" si="88"/>
        <v>7.7000000000000002E-3</v>
      </c>
      <c r="AA219" s="64">
        <f t="shared" si="89"/>
        <v>1.8913</v>
      </c>
      <c r="AB219" s="61" t="e">
        <f>VLOOKUP(A219,Enforcements!$C$7:$K$18,8,0)</f>
        <v>#N/A</v>
      </c>
      <c r="AC219" s="57" t="e">
        <f>VLOOKUP(A219,Enforcements!$C$7:$E$18,3,0)</f>
        <v>#N/A</v>
      </c>
      <c r="AD219" s="58" t="str">
        <f t="shared" si="90"/>
        <v>50-05</v>
      </c>
      <c r="AE219" s="87" t="str">
        <f t="shared" si="91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219" s="84" t="str">
        <f t="shared" si="92"/>
        <v>"C:\Program Files (x86)\AstroGrep\AstroGrep.exe" /spath="%USERPROFILE%\AppData\Local\Temp\OnboardLogs" /stypes="app*4001*20170105*" /stext=" 13:.+((SYSTEM_STATE.+slice.+state.+changed )|(ment ac)|(multiple cpu faults)|(system.+state.+changed )|(\[timeout)|(PRM\|1\|D)|(kpr)|(kdp)|(\|lc)|(penalty))" /e /r /s</v>
      </c>
      <c r="AG219" s="1" t="str">
        <f t="shared" si="93"/>
        <v>Other</v>
      </c>
      <c r="AH219" s="88" t="str">
        <f t="shared" si="94"/>
        <v>"%USERPROFILE%\Documents\GitHub\eaglep3\Utilities\RefineRTDCRunTimes.py" --tripid 50-05 --locoid 4001 --swversion DE.1.0.8.0 --startMP 300:18990 --initTime 2017-01-05T06:46:06 --startdatetime 2017-01-05T06:49:22 --delay 2 --endMP 204:77 --enddatetime 2017-01-05T06:57:16 --enforcementcount 0 &gt;&gt;C:\Users\stu\Documents\GitHub\eaglep3-reporting\EC\2017-01-05-refined-times.txt</v>
      </c>
      <c r="AI219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{"issue":{"subject":"","project_id":79,"tracker_id":40,"status_id":1,"priority_id":2,"assigned_to_id":23,"start_date":"2017-01-05","description":"","custom_fields":[{"id":1,"name":"Subdivision","value":"Other"},{"id":4,"name":"Milepost","value":"0.0077"},{"id":17,"name":"Train ID","value":"50-05"},{"id":16,"name":"Locomotive ID","value":"4001"},{"id":130,"name":"Impact","value":""},{"id":150,"name":"Time of Event (Mountain Time)","value":"06:57:16"},{"id":151,"name":"Denver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96"/>
        <v>start /low /b %USERPROFILE%\Documents\GitHub\eaglep3\Utilities\DownloadLogsFromS3.py --loco 4001 --day 2017-01-05</v>
      </c>
    </row>
    <row r="220" spans="1:39" x14ac:dyDescent="0.25">
      <c r="A220" s="34" t="s">
        <v>474</v>
      </c>
      <c r="B220" s="7">
        <v>4054</v>
      </c>
      <c r="C220" s="22" t="s">
        <v>203</v>
      </c>
      <c r="D220" s="22" t="s">
        <v>801</v>
      </c>
      <c r="E220" s="13">
        <v>42740.453148148146</v>
      </c>
      <c r="F220" s="13">
        <v>42740.454340277778</v>
      </c>
      <c r="G220" s="7">
        <v>1</v>
      </c>
      <c r="H220" s="22" t="s">
        <v>802</v>
      </c>
      <c r="I220" s="13">
        <v>42740.46056712963</v>
      </c>
      <c r="J220" s="7">
        <v>0</v>
      </c>
      <c r="K220" s="105" t="str">
        <f t="shared" si="82"/>
        <v>4053/4054</v>
      </c>
      <c r="L220" s="22" t="str">
        <f>VLOOKUP(A220,'Trips&amp;Operators'!$C$1:$G$99999,5,FALSE)</f>
        <v>SMITH MICHAEL</v>
      </c>
      <c r="M220" s="6">
        <f t="shared" si="83"/>
        <v>6.2268518522614613E-3</v>
      </c>
      <c r="N220" s="7">
        <f t="shared" si="80"/>
        <v>8.9666666672565043</v>
      </c>
      <c r="O220" s="7"/>
      <c r="P220" s="7"/>
      <c r="Q220" s="23"/>
      <c r="R220" s="23"/>
      <c r="S220" s="32">
        <f t="shared" si="97"/>
        <v>0</v>
      </c>
      <c r="T220" s="47" t="e">
        <f t="shared" si="84"/>
        <v>#VALUE!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09:52:32-700',mode:absolute,to:'2017-01-05 12:03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0" s="49" t="str">
        <f t="shared" si="86"/>
        <v>Y</v>
      </c>
      <c r="X220" s="173" t="e">
        <f t="shared" si="81"/>
        <v>#VALUE!</v>
      </c>
      <c r="Y220" s="64">
        <f t="shared" si="87"/>
        <v>2.3288000000000002</v>
      </c>
      <c r="Z220" s="64">
        <f t="shared" si="88"/>
        <v>9.2100000000000001E-2</v>
      </c>
      <c r="AA220" s="64">
        <f t="shared" si="89"/>
        <v>2.2367000000000004</v>
      </c>
      <c r="AB220" s="61" t="e">
        <f>VLOOKUP(A220,Enforcements!$C$7:$K$18,8,0)</f>
        <v>#N/A</v>
      </c>
      <c r="AC220" s="57" t="e">
        <f>VLOOKUP(A220,Enforcements!$C$7:$E$18,3,0)</f>
        <v>#N/A</v>
      </c>
      <c r="AD220" s="58" t="str">
        <f t="shared" si="90"/>
        <v>52-05</v>
      </c>
      <c r="AE220" s="87" t="str">
        <f t="shared" si="91"/>
        <v>aws s3 cp s3://rtdc.mdm.uploadarchive.raw/RTDC4054/ "%USERPROFILE%\AppData\Local\Temp\OnboardLogs"\RTDC4054\2017-01-05 --exclude "*" --recursive --include "*20170105*" &amp; "%USERPROFILE%\Documents\GitHub\mrs-test-scripts\Headless Mode &amp; Sideloading\WalkAndUnGZ.bat" "%USERPROFILE%\AppData\Local\Temp\OnboardLogs"\RTDC4054\2017-01-05 &amp; aws s3 cp s3://rtdc.mdm.uploadarchive.raw/RTDC4054/ "%USERPROFILE%\AppData\Local\Temp\OnboardLogs"\RTDC4054\2017-01-06 --exclude "*" --recursive --include "*20170106*" &amp; "%USERPROFILE%\Documents\GitHub\mrs-test-scripts\Headless Mode &amp; Sideloading\WalkAndUnGZ.bat" "%USERPROFILE%\AppData\Local\Temp\OnboardLogs"\RTDC4054\2017-01-06</v>
      </c>
      <c r="AF220" s="84" t="str">
        <f t="shared" si="92"/>
        <v>"C:\Program Files (x86)\AstroGrep\AstroGrep.exe" /spath="%USERPROFILE%\AppData\Local\Temp\OnboardLogs" /stypes="app*4054*20170105*" /stext=" 18:.+((SYSTEM_STATE.+slice.+state.+changed )|(ment ac)|(multiple cpu faults)|(system.+state.+changed )|(\[timeout)|(PRM\|1\|D)|(kpr)|(kdp)|(\|lc)|(penalty))" /e /r /s</v>
      </c>
      <c r="AG220" s="1" t="str">
        <f t="shared" si="93"/>
        <v>Other</v>
      </c>
      <c r="AH220" s="88" t="str">
        <f t="shared" si="94"/>
        <v>"%USERPROFILE%\Documents\GitHub\eaglep3\Utilities\RefineRTDCRunTimes.py" --tripid 52-05 --locoid 4054 --swversion DE.1.0.8.0 --startMP 300:23288 --initTime 2017-01-05T10:52:32 --startdatetime 2017-01-05T10:54:15 --delay 1 --endMP 204:921 --enddatetime 2017-01-05T11:03:13 --enforcementcount 0 &gt;&gt;C:\Users\stu\Documents\GitHub\eaglep3-reporting\EC\2017-01-05-refined-times.txt</v>
      </c>
      <c r="AI220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{"issue":{"subject":"","project_id":79,"tracker_id":40,"status_id":1,"priority_id":2,"assigned_to_id":23,"start_date":"2017-01-05","description":"","custom_fields":[{"id":1,"name":"Subdivision","value":"Other"},{"id":4,"name":"Milepost","value":"0.0921"},{"id":17,"name":"Train ID","value":"52-05"},{"id":16,"name":"Locomotive ID","value":"4054"},{"id":130,"name":"Impact","value":""},{"id":150,"name":"Time of Event (Mountain Time)","value":"11:03:13"},{"id":151,"name":"Denver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96"/>
        <v>start /low /b %USERPROFILE%\Documents\GitHub\eaglep3\Utilities\DownloadLogsFromS3.py --loco 4054 --day 2017-01-05</v>
      </c>
    </row>
    <row r="221" spans="1:39" x14ac:dyDescent="0.25">
      <c r="A221" s="34" t="s">
        <v>694</v>
      </c>
      <c r="B221" s="7">
        <v>4030</v>
      </c>
      <c r="C221" s="22" t="s">
        <v>203</v>
      </c>
      <c r="D221" s="22" t="s">
        <v>803</v>
      </c>
      <c r="E221" s="13">
        <v>42741.086168981485</v>
      </c>
      <c r="F221" s="13">
        <v>42741.09107638889</v>
      </c>
      <c r="G221" s="7">
        <v>3</v>
      </c>
      <c r="H221" s="22" t="s">
        <v>804</v>
      </c>
      <c r="I221" s="13">
        <v>42741.112164351849</v>
      </c>
      <c r="J221" s="7">
        <v>0</v>
      </c>
      <c r="K221" s="105" t="str">
        <f t="shared" si="82"/>
        <v>4029/4030</v>
      </c>
      <c r="L221" s="22" t="str">
        <f>VLOOKUP(A221,'Trips&amp;Operators'!$C$1:$G$99999,5,FALSE)</f>
        <v>MACDONALD THOMAS</v>
      </c>
      <c r="M221" s="6">
        <f t="shared" si="83"/>
        <v>2.1087962959427387E-2</v>
      </c>
      <c r="N221" s="7">
        <f t="shared" si="80"/>
        <v>30.366666661575437</v>
      </c>
      <c r="O221" s="7"/>
      <c r="P221" s="7"/>
      <c r="Q221" s="23"/>
      <c r="R221" s="23"/>
      <c r="S221" s="32">
        <f t="shared" si="97"/>
        <v>0</v>
      </c>
      <c r="T221" s="47" t="e">
        <f t="shared" si="84"/>
        <v>#VALUE!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https://search-rtdc-monitor-bjffxe2xuh6vdkpspy63sjmuny.us-east-1.es.amazonaws.com/_plugin/kibana/#/discover/Steve-Slow-Train-Analysis-(2080s-and-2083s)?_g=(refreshInterval:(display:Off,section:0,value:0),time:(from:'2017-01-06 01:04:05-700',mode:absolute,to:'2017-01-06 03:41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1" s="49" t="str">
        <f t="shared" si="86"/>
        <v>N</v>
      </c>
      <c r="X221" s="173" t="e">
        <f t="shared" si="81"/>
        <v>#VALUE!</v>
      </c>
      <c r="Y221" s="64">
        <f t="shared" si="87"/>
        <v>12.8001</v>
      </c>
      <c r="Z221" s="64">
        <f t="shared" si="88"/>
        <v>0.16070000000000001</v>
      </c>
      <c r="AA221" s="64">
        <f t="shared" si="89"/>
        <v>12.6394</v>
      </c>
      <c r="AB221" s="61" t="e">
        <f>VLOOKUP(A221,Enforcements!$C$7:$K$18,8,0)</f>
        <v>#N/A</v>
      </c>
      <c r="AC221" s="57" t="e">
        <f>VLOOKUP(A221,Enforcements!$C$7:$E$18,3,0)</f>
        <v>#N/A</v>
      </c>
      <c r="AD221" s="58" t="str">
        <f t="shared" si="90"/>
        <v>60-06</v>
      </c>
      <c r="AE221" s="87" t="str">
        <f t="shared" si="91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221" s="84" t="str">
        <f t="shared" si="92"/>
        <v>"C:\Program Files (x86)\AstroGrep\AstroGrep.exe" /spath="%USERPROFILE%\AppData\Local\Temp\OnboardLogs" /stypes="app*4030*20170106*" /stext=" 09:.+((SYSTEM_STATE.+slice.+state.+changed )|(ment ac)|(multiple cpu faults)|(system.+state.+changed )|(\[timeout)|(PRM\|1\|D)|(kpr)|(kdp)|(\|lc)|(penalty))" /e /r /s</v>
      </c>
      <c r="AG221" s="1" t="str">
        <f t="shared" si="93"/>
        <v>Other</v>
      </c>
      <c r="AH221" s="88" t="str">
        <f t="shared" si="94"/>
        <v>"%USERPROFILE%\Documents\GitHub\eaglep3\Utilities\RefineRTDCRunTimes.py" --tripid 60-06 --locoid 4030 --swversion DE.1.0.8.0 --startMP 204:128001 --initTime 2017-01-06T02:04:05 --startdatetime 2017-01-06T02:11:09 --delay 3 --endMP 204:1607 --enddatetime 2017-01-06T02:41:31 --enforcementcount 0 &gt;&gt;C:\Users\stu\Documents\GitHub\eaglep3-reporting\EC\2017-01-05-refined-times.txt</v>
      </c>
      <c r="AI221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{"issue":{"subject":"","project_id":79,"tracker_id":40,"status_id":1,"priority_id":2,"assigned_to_id":23,"start_date":"2017-01-06","description":"","custom_fields":[{"id":1,"name":"Subdivision","value":"Other"},{"id":4,"name":"Milepost","value":"0.1607"},{"id":17,"name":"Train ID","value":"60-06"},{"id":16,"name":"Locomotive ID","value":"4030"},{"id":130,"name":"Impact","value":""},{"id":150,"name":"Time of Event (Mountain Time)","value":"02:41:31"},{"id":151,"name":"Denver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96"/>
        <v>start /low /b %USERPROFILE%\Documents\GitHub\eaglep3\Utilities\DownloadLogsFromS3.py --loco 4030 --day 2017-01-06</v>
      </c>
    </row>
    <row r="222" spans="1:39" x14ac:dyDescent="0.25">
      <c r="A222" s="34" t="s">
        <v>516</v>
      </c>
      <c r="B222" s="7">
        <v>4046</v>
      </c>
      <c r="C222" s="22" t="s">
        <v>203</v>
      </c>
      <c r="D222" s="22" t="s">
        <v>431</v>
      </c>
      <c r="E222" s="13">
        <v>42740.245046296295</v>
      </c>
      <c r="F222" s="13">
        <v>42740.250416666669</v>
      </c>
      <c r="G222" s="7">
        <v>1</v>
      </c>
      <c r="H222" s="22" t="s">
        <v>805</v>
      </c>
      <c r="I222" s="13">
        <v>42740.278229166666</v>
      </c>
      <c r="J222" s="7">
        <v>0</v>
      </c>
      <c r="K222" s="105" t="str">
        <f t="shared" si="82"/>
        <v>4045/4046</v>
      </c>
      <c r="L222" s="22" t="str">
        <f>VLOOKUP(A222,'Trips&amp;Operators'!$C$1:$G$99999,5,FALSE)</f>
        <v>COOLAHAN JOHN</v>
      </c>
      <c r="M222" s="6">
        <f t="shared" si="83"/>
        <v>2.7812499996798579E-2</v>
      </c>
      <c r="N222" s="7">
        <f t="shared" si="80"/>
        <v>40.049999995389953</v>
      </c>
      <c r="O222" s="7"/>
      <c r="P222" s="7"/>
      <c r="Q222" s="23"/>
      <c r="R222" s="23"/>
      <c r="S222" s="32">
        <f t="shared" si="97"/>
        <v>0</v>
      </c>
      <c r="T222" s="47" t="e">
        <f t="shared" si="84"/>
        <v>#VALUE!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04:52:52-700',mode:absolute,to:'2017-01-05 07:40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2" s="49" t="str">
        <f t="shared" si="86"/>
        <v>N</v>
      </c>
      <c r="X222" s="173" t="e">
        <f t="shared" si="81"/>
        <v>#VALUE!</v>
      </c>
      <c r="Y222" s="64">
        <f t="shared" si="87"/>
        <v>4.3099999999999999E-2</v>
      </c>
      <c r="Z222" s="64">
        <f t="shared" si="88"/>
        <v>23.327999999999999</v>
      </c>
      <c r="AA222" s="64">
        <f t="shared" si="89"/>
        <v>23.2849</v>
      </c>
      <c r="AB222" s="61" t="e">
        <f>VLOOKUP(A222,Enforcements!$C$7:$K$18,8,0)</f>
        <v>#N/A</v>
      </c>
      <c r="AC222" s="57" t="e">
        <f>VLOOKUP(A222,Enforcements!$C$7:$E$18,3,0)</f>
        <v>#N/A</v>
      </c>
      <c r="AD222" s="58" t="str">
        <f t="shared" si="90"/>
        <v>65-05</v>
      </c>
      <c r="AE222" s="87" t="str">
        <f t="shared" si="91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222" s="84" t="str">
        <f t="shared" si="92"/>
        <v>"C:\Program Files (x86)\AstroGrep\AstroGrep.exe" /spath="%USERPROFILE%\AppData\Local\Temp\OnboardLogs" /stypes="app*4046*20170105*" /stext=" 13:.+((SYSTEM_STATE.+slice.+state.+changed )|(ment ac)|(multiple cpu faults)|(system.+state.+changed )|(\[timeout)|(PRM\|1\|D)|(kpr)|(kdp)|(\|lc)|(penalty))" /e /r /s</v>
      </c>
      <c r="AG222" s="1" t="str">
        <f t="shared" si="93"/>
        <v>Other</v>
      </c>
      <c r="AH222" s="88" t="str">
        <f t="shared" si="94"/>
        <v>"%USERPROFILE%\Documents\GitHub\eaglep3\Utilities\RefineRTDCRunTimes.py" --tripid 65-05 --locoid 4046 --swversion DE.1.0.8.0 --startMP 204:431 --initTime 2017-01-05T05:52:52 --startdatetime 2017-01-05T06:00:36 --delay 1 --endMP 204:233280 --enddatetime 2017-01-05T06:40:39 --enforcementcount 0 &gt;&gt;C:\Users\stu\Documents\GitHub\eaglep3-reporting\EC\2017-01-05-refined-times.txt</v>
      </c>
      <c r="AI222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{"issue":{"subject":"","project_id":79,"tracker_id":40,"status_id":1,"priority_id":2,"assigned_to_id":23,"start_date":"2017-01-05","description":"","custom_fields":[{"id":1,"name":"Subdivision","value":"Other"},{"id":4,"name":"Milepost","value":"23.328"},{"id":17,"name":"Train ID","value":"65-05"},{"id":16,"name":"Locomotive ID","value":"4046"},{"id":130,"name":"Impact","value":""},{"id":150,"name":"Time of Event (Mountain Time)","value":"06:40:39"},{"id":151,"name":"Denver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96"/>
        <v>start /low /b %USERPROFILE%\Documents\GitHub\eaglep3\Utilities\DownloadLogsFromS3.py --loco 4046 --day 2017-01-05</v>
      </c>
    </row>
    <row r="223" spans="1:39" x14ac:dyDescent="0.25">
      <c r="A223" s="34" t="s">
        <v>462</v>
      </c>
      <c r="B223" s="7">
        <v>4032</v>
      </c>
      <c r="C223" s="22" t="s">
        <v>203</v>
      </c>
      <c r="D223" s="22" t="s">
        <v>806</v>
      </c>
      <c r="E223" s="13">
        <v>42740.146990740737</v>
      </c>
      <c r="F223" s="13">
        <v>42740.149050925924</v>
      </c>
      <c r="G223" s="7">
        <v>1</v>
      </c>
      <c r="H223" s="22" t="s">
        <v>807</v>
      </c>
      <c r="I223" s="13">
        <v>42740.189293981479</v>
      </c>
      <c r="J223" s="7">
        <v>0</v>
      </c>
      <c r="K223" s="105" t="str">
        <f t="shared" si="82"/>
        <v>4031/4032</v>
      </c>
      <c r="L223" s="22" t="str">
        <f>VLOOKUP(A223,'Trips&amp;Operators'!$C$1:$G$99999,5,FALSE)</f>
        <v>NELSON ARIANE</v>
      </c>
      <c r="M223" s="6">
        <f t="shared" si="83"/>
        <v>4.0243055555038154E-2</v>
      </c>
      <c r="N223" s="7">
        <f t="shared" ref="N223:N230" si="98">24*60*SUM($M223:$M223)</f>
        <v>57.949999999254942</v>
      </c>
      <c r="O223" s="7"/>
      <c r="P223" s="7"/>
      <c r="Q223" s="23"/>
      <c r="R223" s="23"/>
      <c r="S223" s="32">
        <f t="shared" si="97"/>
        <v>0</v>
      </c>
      <c r="T223" s="47" t="e">
        <f t="shared" si="84"/>
        <v>#VALUE!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02:31:40-700',mode:absolute,to:'2017-01-05 05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3" s="49" t="str">
        <f t="shared" si="86"/>
        <v>N</v>
      </c>
      <c r="X223" s="173" t="e">
        <f t="shared" si="81"/>
        <v>#VALUE!</v>
      </c>
      <c r="Y223" s="64">
        <f t="shared" si="87"/>
        <v>21.605</v>
      </c>
      <c r="Z223" s="64">
        <f t="shared" si="88"/>
        <v>8.9800000000000005E-2</v>
      </c>
      <c r="AA223" s="64">
        <f t="shared" si="89"/>
        <v>21.5152</v>
      </c>
      <c r="AB223" s="61" t="e">
        <f>VLOOKUP(A223,Enforcements!$C$7:$K$18,8,0)</f>
        <v>#N/A</v>
      </c>
      <c r="AC223" s="57" t="e">
        <f>VLOOKUP(A223,Enforcements!$C$7:$E$18,3,0)</f>
        <v>#N/A</v>
      </c>
      <c r="AD223" s="58" t="str">
        <f t="shared" si="90"/>
        <v>66-04</v>
      </c>
      <c r="AE223" s="87" t="str">
        <f t="shared" si="91"/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223" s="84" t="str">
        <f t="shared" si="92"/>
        <v>"C:\Program Files (x86)\AstroGrep\AstroGrep.exe" /spath="%USERPROFILE%\AppData\Local\Temp\OnboardLogs" /stypes="app*4032*20170105*" /stext=" 11:.+((SYSTEM_STATE.+slice.+state.+changed )|(ment ac)|(multiple cpu faults)|(system.+state.+changed )|(\[timeout)|(PRM\|1\|D)|(kpr)|(kdp)|(\|lc)|(penalty))" /e /r /s</v>
      </c>
      <c r="AG223" s="1" t="str">
        <f t="shared" si="93"/>
        <v>Other</v>
      </c>
      <c r="AH223" s="88" t="str">
        <f t="shared" si="94"/>
        <v>"%USERPROFILE%\Documents\GitHub\eaglep3\Utilities\RefineRTDCRunTimes.py" --tripid 66-04 --locoid 4032 --swversion DE.1.0.8.0 --startMP 204:216050 --initTime 2017-01-05T03:31:40 --startdatetime 2017-01-05T03:34:38 --delay 1 --endMP 204:898 --enddatetime 2017-01-05T04:32:35 --enforcementcount 0 &gt;&gt;C:\Users\stu\Documents\GitHub\eaglep3-reporting\EC\2017-01-05-refined-times.txt</v>
      </c>
      <c r="AI223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{"issue":{"subject":"","project_id":79,"tracker_id":40,"status_id":1,"priority_id":2,"assigned_to_id":23,"start_date":"2017-01-05","description":"","custom_fields":[{"id":1,"name":"Subdivision","value":"Other"},{"id":4,"name":"Milepost","value":"0.0898"},{"id":17,"name":"Train ID","value":"66-04"},{"id":16,"name":"Locomotive ID","value":"4032"},{"id":130,"name":"Impact","value":""},{"id":150,"name":"Time of Event (Mountain Time)","value":"04:32:35"},{"id":151,"name":"Denver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96"/>
        <v>start /low /b %USERPROFILE%\Documents\GitHub\eaglep3\Utilities\DownloadLogsFromS3.py --loco 4032 --day 2017-01-05</v>
      </c>
    </row>
    <row r="224" spans="1:39" x14ac:dyDescent="0.25">
      <c r="A224" s="34" t="s">
        <v>462</v>
      </c>
      <c r="B224" s="7">
        <v>4032</v>
      </c>
      <c r="C224" s="22" t="s">
        <v>203</v>
      </c>
      <c r="D224" s="22" t="s">
        <v>808</v>
      </c>
      <c r="E224" s="13">
        <v>42740.126006944447</v>
      </c>
      <c r="F224" s="13">
        <v>42740.149050925924</v>
      </c>
      <c r="G224" s="7">
        <v>1</v>
      </c>
      <c r="H224" s="22" t="s">
        <v>809</v>
      </c>
      <c r="I224" s="13">
        <v>42740.189293981479</v>
      </c>
      <c r="J224" s="7">
        <v>0</v>
      </c>
      <c r="K224" s="105" t="str">
        <f t="shared" si="82"/>
        <v>4031/4032</v>
      </c>
      <c r="L224" s="22" t="str">
        <f>VLOOKUP(A224,'Trips&amp;Operators'!$C$1:$G$99999,5,FALSE)</f>
        <v>NELSON ARIANE</v>
      </c>
      <c r="M224" s="6">
        <f t="shared" si="83"/>
        <v>4.0243055555038154E-2</v>
      </c>
      <c r="N224" s="7">
        <f t="shared" si="98"/>
        <v>57.949999999254942</v>
      </c>
      <c r="O224" s="7"/>
      <c r="P224" s="7"/>
      <c r="Q224" s="23"/>
      <c r="R224" s="23"/>
      <c r="S224" s="32">
        <f t="shared" si="97"/>
        <v>0</v>
      </c>
      <c r="T224" s="47" t="e">
        <f t="shared" si="84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02:01:27-700',mode:absolute,to:'2017-01-05 05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4" s="49" t="str">
        <f t="shared" si="86"/>
        <v>Y</v>
      </c>
      <c r="X224" s="173" t="e">
        <f t="shared" si="81"/>
        <v>#VALUE!</v>
      </c>
      <c r="Y224" s="64">
        <f t="shared" si="87"/>
        <v>22.43</v>
      </c>
      <c r="Z224" s="64">
        <f t="shared" si="88"/>
        <v>22.407</v>
      </c>
      <c r="AA224" s="64">
        <f t="shared" si="89"/>
        <v>2.2999999999999687E-2</v>
      </c>
      <c r="AB224" s="61" t="e">
        <f>VLOOKUP(A224,Enforcements!$C$7:$K$18,8,0)</f>
        <v>#N/A</v>
      </c>
      <c r="AC224" s="57" t="e">
        <f>VLOOKUP(A224,Enforcements!$C$7:$E$18,3,0)</f>
        <v>#N/A</v>
      </c>
      <c r="AD224" s="58" t="str">
        <f t="shared" si="90"/>
        <v>66-04</v>
      </c>
      <c r="AE224" s="87" t="str">
        <f t="shared" si="91"/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224" s="84" t="str">
        <f t="shared" si="92"/>
        <v>"C:\Program Files (x86)\AstroGrep\AstroGrep.exe" /spath="%USERPROFILE%\AppData\Local\Temp\OnboardLogs" /stypes="app*4032*20170105*" /stext=" 11:.+((SYSTEM_STATE.+slice.+state.+changed )|(ment ac)|(multiple cpu faults)|(system.+state.+changed )|(\[timeout)|(PRM\|1\|D)|(kpr)|(kdp)|(\|lc)|(penalty))" /e /r /s</v>
      </c>
      <c r="AG224" s="1" t="str">
        <f t="shared" si="93"/>
        <v>Other</v>
      </c>
      <c r="AH224" s="88" t="str">
        <f t="shared" si="94"/>
        <v>"%USERPROFILE%\Documents\GitHub\eaglep3\Utilities\RefineRTDCRunTimes.py" --tripid 66-04 --locoid 4032 --swversion DE.1.0.8.0 --startMP 204:224300 --initTime 2017-01-05T03:01:27 --startdatetime 2017-01-05T03:34:38 --delay 1 --endMP 204:224070 --enddatetime 2017-01-05T04:32:35 --enforcementcount 0 &gt;&gt;C:\Users\stu\Documents\GitHub\eaglep3-reporting\EC\2017-01-05-refined-times.txt</v>
      </c>
      <c r="AI224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{"issue":{"subject":"","project_id":79,"tracker_id":40,"status_id":1,"priority_id":2,"assigned_to_id":23,"start_date":"2017-01-05","description":"","custom_fields":[{"id":1,"name":"Subdivision","value":"Other"},{"id":4,"name":"Milepost","value":"22.407"},{"id":17,"name":"Train ID","value":"66-04"},{"id":16,"name":"Locomotive ID","value":"4032"},{"id":130,"name":"Impact","value":""},{"id":150,"name":"Time of Event (Mountain Time)","value":"04:32:35"},{"id":151,"name":"Denver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96"/>
        <v>start /low /b %USERPROFILE%\Documents\GitHub\eaglep3\Utilities\DownloadLogsFromS3.py --loco 4032 --day 2017-01-05</v>
      </c>
    </row>
    <row r="225" spans="1:39" x14ac:dyDescent="0.25">
      <c r="A225" s="34" t="s">
        <v>638</v>
      </c>
      <c r="B225" s="7">
        <v>4053</v>
      </c>
      <c r="C225" s="22" t="s">
        <v>203</v>
      </c>
      <c r="D225" s="22" t="s">
        <v>810</v>
      </c>
      <c r="E225" s="13">
        <v>42740.730057870373</v>
      </c>
      <c r="F225" s="13">
        <v>42740.732164351852</v>
      </c>
      <c r="G225" s="7">
        <v>1</v>
      </c>
      <c r="H225" s="22" t="s">
        <v>811</v>
      </c>
      <c r="I225" s="13">
        <v>42740.739282407405</v>
      </c>
      <c r="J225" s="7">
        <v>0</v>
      </c>
      <c r="K225" s="105" t="str">
        <f t="shared" si="82"/>
        <v>4053/4054</v>
      </c>
      <c r="L225" s="22" t="str">
        <f>VLOOKUP(A225,'Trips&amp;Operators'!$C$1:$G$99999,5,FALSE)</f>
        <v>BRUDER RICHARD</v>
      </c>
      <c r="M225" s="6">
        <f t="shared" si="83"/>
        <v>7.1180555532919243E-3</v>
      </c>
      <c r="N225" s="7">
        <f t="shared" si="98"/>
        <v>10.249999996740371</v>
      </c>
      <c r="O225" s="7"/>
      <c r="P225" s="7"/>
      <c r="Q225" s="23"/>
      <c r="R225" s="23"/>
      <c r="S225" s="32">
        <f t="shared" si="97"/>
        <v>0</v>
      </c>
      <c r="T225" s="47" t="e">
        <f t="shared" si="84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16:31:17-700',mode:absolute,to:'2017-01-05 18:44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5" s="49" t="str">
        <f t="shared" si="86"/>
        <v>Y</v>
      </c>
      <c r="X225" s="173" t="e">
        <f t="shared" si="81"/>
        <v>#VALUE!</v>
      </c>
      <c r="Y225" s="64">
        <f t="shared" si="87"/>
        <v>3.5400000000000001E-2</v>
      </c>
      <c r="Z225" s="64">
        <f t="shared" si="88"/>
        <v>2.5072999999999999</v>
      </c>
      <c r="AA225" s="64">
        <f t="shared" si="89"/>
        <v>2.4718999999999998</v>
      </c>
      <c r="AB225" s="61" t="e">
        <f>VLOOKUP(A225,Enforcements!$C$7:$K$18,8,0)</f>
        <v>#N/A</v>
      </c>
      <c r="AC225" s="57" t="e">
        <f>VLOOKUP(A225,Enforcements!$C$7:$E$18,3,0)</f>
        <v>#N/A</v>
      </c>
      <c r="AD225" s="58" t="str">
        <f t="shared" si="90"/>
        <v>73-05</v>
      </c>
      <c r="AE225" s="87" t="str">
        <f t="shared" si="91"/>
        <v>aws s3 cp s3://rtdc.mdm.uploadarchive.raw/RTDC4053/ "%USERPROFILE%\AppData\Local\Temp\OnboardLogs"\RTDC4053\2017-01-05 --exclude "*" --recursive --include "*20170105*" &amp; "%USERPROFILE%\Documents\GitHub\mrs-test-scripts\Headless Mode &amp; Sideloading\WalkAndUnGZ.bat" "%USERPROFILE%\AppData\Local\Temp\OnboardLogs"\RTDC4053\2017-01-05 &amp; aws s3 cp s3://rtdc.mdm.uploadarchive.raw/RTDC4053/ "%USERPROFILE%\AppData\Local\Temp\OnboardLogs"\RTDC4053\2017-01-06 --exclude "*" --recursive --include "*20170106*" &amp; "%USERPROFILE%\Documents\GitHub\mrs-test-scripts\Headless Mode &amp; Sideloading\WalkAndUnGZ.bat" "%USERPROFILE%\AppData\Local\Temp\OnboardLogs"\RTDC4053\2017-01-06</v>
      </c>
      <c r="AF225" s="84" t="str">
        <f t="shared" si="92"/>
        <v>"C:\Program Files (x86)\AstroGrep\AstroGrep.exe" /spath="%USERPROFILE%\AppData\Local\Temp\OnboardLogs" /stypes="app*4053*20170106*" /stext=" 00:.+((SYSTEM_STATE.+slice.+state.+changed )|(ment ac)|(multiple cpu faults)|(system.+state.+changed )|(\[timeout)|(PRM\|1\|D)|(kpr)|(kdp)|(\|lc)|(penalty))" /e /r /s</v>
      </c>
      <c r="AG225" s="1" t="str">
        <f t="shared" si="93"/>
        <v>Other</v>
      </c>
      <c r="AH225" s="88" t="str">
        <f t="shared" si="94"/>
        <v>"%USERPROFILE%\Documents\GitHub\eaglep3\Utilities\RefineRTDCRunTimes.py" --tripid 73-05 --locoid 4053 --swversion DE.1.0.8.0 --startMP 204:354 --initTime 2017-01-05T17:31:17 --startdatetime 2017-01-05T17:34:19 --delay 1 --endMP 300:25073 --enddatetime 2017-01-05T17:44:34 --enforcementcount 0 &gt;&gt;C:\Users\stu\Documents\GitHub\eaglep3-reporting\EC\2017-01-05-refined-times.txt</v>
      </c>
      <c r="AI225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{"issue":{"subject":"","project_id":79,"tracker_id":40,"status_id":1,"priority_id":2,"assigned_to_id":23,"start_date":"2017-01-05","description":"","custom_fields":[{"id":1,"name":"Subdivision","value":"Other"},{"id":4,"name":"Milepost","value":"2.5073"},{"id":17,"name":"Train ID","value":"73-05"},{"id":16,"name":"Locomotive ID","value":"4053"},{"id":130,"name":"Impact","value":""},{"id":150,"name":"Time of Event (Mountain Time)","value":"17:44:34"},{"id":151,"name":"Denver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96"/>
        <v>start /low /b %USERPROFILE%\Documents\GitHub\eaglep3\Utilities\DownloadLogsFromS3.py --loco 4053 --day 2017-01-05</v>
      </c>
    </row>
    <row r="226" spans="1:39" x14ac:dyDescent="0.25">
      <c r="A226" s="34" t="s">
        <v>650</v>
      </c>
      <c r="B226" s="7">
        <v>4027</v>
      </c>
      <c r="C226" s="22" t="s">
        <v>203</v>
      </c>
      <c r="D226" s="22" t="s">
        <v>726</v>
      </c>
      <c r="E226" s="13">
        <v>42740.767685185187</v>
      </c>
      <c r="F226" s="13">
        <v>25568.708333333332</v>
      </c>
      <c r="G226" s="7">
        <v>1</v>
      </c>
      <c r="H226" s="22" t="s">
        <v>812</v>
      </c>
      <c r="I226" s="13">
        <v>25568.708333333332</v>
      </c>
      <c r="J226" s="7">
        <v>0</v>
      </c>
      <c r="K226" s="105" t="str">
        <f t="shared" si="82"/>
        <v>4027/4028</v>
      </c>
      <c r="L226" s="22" t="str">
        <f>VLOOKUP(A226,'Trips&amp;Operators'!$C$1:$G$99999,5,FALSE)</f>
        <v>CRAYTON QUNTRELL</v>
      </c>
      <c r="M226" s="6">
        <f t="shared" si="83"/>
        <v>0</v>
      </c>
      <c r="N226" s="7">
        <f t="shared" si="98"/>
        <v>0</v>
      </c>
      <c r="O226" s="7"/>
      <c r="P226" s="7"/>
      <c r="Q226" s="23"/>
      <c r="R226" s="23"/>
      <c r="S226" s="32">
        <f t="shared" si="97"/>
        <v>0</v>
      </c>
      <c r="T226" s="47" t="e">
        <f t="shared" si="84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17:25:28-700',mode:absolute,to:'1969-12-31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6" s="49" t="str">
        <f t="shared" si="86"/>
        <v>Y</v>
      </c>
      <c r="X226" s="173" t="e">
        <f t="shared" si="81"/>
        <v>#VALUE!</v>
      </c>
      <c r="Y226" s="64">
        <f t="shared" si="87"/>
        <v>4.3299999999999998E-2</v>
      </c>
      <c r="Z226" s="64">
        <f t="shared" si="88"/>
        <v>2.3094000000000001</v>
      </c>
      <c r="AA226" s="64">
        <f t="shared" si="89"/>
        <v>2.2661000000000002</v>
      </c>
      <c r="AB226" s="61" t="e">
        <f>VLOOKUP(A226,Enforcements!$C$7:$K$18,8,0)</f>
        <v>#N/A</v>
      </c>
      <c r="AC226" s="57" t="e">
        <f>VLOOKUP(A226,Enforcements!$C$7:$E$18,3,0)</f>
        <v>#N/A</v>
      </c>
      <c r="AD226" s="58" t="str">
        <f t="shared" si="90"/>
        <v>75-05</v>
      </c>
      <c r="AE226" s="87" t="str">
        <f t="shared" si="9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6" s="84" t="str">
        <f t="shared" si="92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6" s="1" t="str">
        <f t="shared" si="93"/>
        <v>Other</v>
      </c>
      <c r="AH226" s="88" t="str">
        <f t="shared" si="94"/>
        <v>"%USERPROFILE%\Documents\GitHub\eaglep3\Utilities\RefineRTDCRunTimes.py" --tripid 75-05 --locoid 4027 --swversion DE.1.0.8.0 --startMP 204:433 --initTime 2017-01-05T18:25:28 --startdatetime 1969-12-31T17:00:00 --delay 1 --endMP 300:23094 --enddatetime 1969-12-31T17:00:00 --enforcementcount 0 &gt;&gt;C:\Users\stu\Documents\GitHub\eaglep3-reporting\EC\2017-01-05-refined-times.txt</v>
      </c>
      <c r="AI226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{"issue":{"subject":"","project_id":79,"tracker_id":40,"status_id":1,"priority_id":2,"assigned_to_id":23,"start_date":"1969-12-31","description":"","custom_fields":[{"id":1,"name":"Subdivision","value":"Other"},{"id":4,"name":"Milepost","value":"2.3094"},{"id":17,"name":"Train ID","value":"75-05"},{"id":16,"name":"Locomotive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96"/>
        <v>start /low /b %USERPROFILE%\Documents\GitHub\eaglep3\Utilities\DownloadLogsFromS3.py --loco 4027 --day 1969-12-31</v>
      </c>
    </row>
    <row r="227" spans="1:39" x14ac:dyDescent="0.25">
      <c r="A227" s="34" t="s">
        <v>641</v>
      </c>
      <c r="B227" s="7">
        <v>4028</v>
      </c>
      <c r="C227" s="22" t="s">
        <v>203</v>
      </c>
      <c r="D227" s="22" t="s">
        <v>813</v>
      </c>
      <c r="E227" s="13">
        <v>42740.740243055552</v>
      </c>
      <c r="F227" s="13">
        <v>42740.741400462961</v>
      </c>
      <c r="G227" s="7">
        <v>1</v>
      </c>
      <c r="H227" s="22" t="s">
        <v>814</v>
      </c>
      <c r="I227" s="13">
        <v>42740.74763888889</v>
      </c>
      <c r="J227" s="7">
        <v>0</v>
      </c>
      <c r="K227" s="105" t="str">
        <f t="shared" si="82"/>
        <v>4027/4028</v>
      </c>
      <c r="L227" s="22" t="str">
        <f>VLOOKUP(A227,'Trips&amp;Operators'!$C$1:$G$99999,5,FALSE)</f>
        <v>BROWN JACOB</v>
      </c>
      <c r="M227" s="6">
        <f t="shared" si="83"/>
        <v>6.2384259290411137E-3</v>
      </c>
      <c r="N227" s="7">
        <f t="shared" si="98"/>
        <v>8.9833333378192037</v>
      </c>
      <c r="O227" s="7"/>
      <c r="P227" s="7"/>
      <c r="Q227" s="23"/>
      <c r="R227" s="23"/>
      <c r="S227" s="32">
        <f t="shared" si="97"/>
        <v>0</v>
      </c>
      <c r="T227" s="47" t="e">
        <f t="shared" si="84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16:45:57-700',mode:absolute,to:'2017-01-05 18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7" s="49" t="str">
        <f t="shared" si="86"/>
        <v>Y</v>
      </c>
      <c r="X227" s="173" t="e">
        <f t="shared" si="81"/>
        <v>#VALUE!</v>
      </c>
      <c r="Y227" s="64">
        <f t="shared" si="87"/>
        <v>2.3186</v>
      </c>
      <c r="Z227" s="64">
        <f t="shared" si="88"/>
        <v>8.9999999999999993E-3</v>
      </c>
      <c r="AA227" s="64">
        <f t="shared" si="89"/>
        <v>2.3096000000000001</v>
      </c>
      <c r="AB227" s="61" t="e">
        <f>VLOOKUP(A227,Enforcements!$C$7:$K$18,8,0)</f>
        <v>#N/A</v>
      </c>
      <c r="AC227" s="57" t="e">
        <f>VLOOKUP(A227,Enforcements!$C$7:$E$18,3,0)</f>
        <v>#N/A</v>
      </c>
      <c r="AD227" s="58" t="str">
        <f t="shared" si="90"/>
        <v>80-05</v>
      </c>
      <c r="AE227" s="87" t="str">
        <f t="shared" si="91"/>
        <v>aws s3 cp s3://rtdc.mdm.uploadarchive.raw/RTDC4028/ "%USERPROFILE%\AppData\Local\Temp\OnboardLogs"\RTDC4028\2017-01-05 --exclude "*" --recursive --include "*20170105*" &amp; "%USERPROFILE%\Documents\GitHub\mrs-test-scripts\Headless Mode &amp; Sideloading\WalkAndUnGZ.bat" "%USERPROFILE%\AppData\Local\Temp\OnboardLogs"\RTDC4028\2017-01-05 &amp; 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</v>
      </c>
      <c r="AF227" s="84" t="str">
        <f t="shared" si="92"/>
        <v>"C:\Program Files (x86)\AstroGrep\AstroGrep.exe" /spath="%USERPROFILE%\AppData\Local\Temp\OnboardLogs" /stypes="app*4028*20170106*" /stext=" 00:.+((SYSTEM_STATE.+slice.+state.+changed )|(ment ac)|(multiple cpu faults)|(system.+state.+changed )|(\[timeout)|(PRM\|1\|D)|(kpr)|(kdp)|(\|lc)|(penalty))" /e /r /s</v>
      </c>
      <c r="AG227" s="1" t="str">
        <f t="shared" si="93"/>
        <v>Other</v>
      </c>
      <c r="AH227" s="88" t="str">
        <f t="shared" si="94"/>
        <v>"%USERPROFILE%\Documents\GitHub\eaglep3\Utilities\RefineRTDCRunTimes.py" --tripid 80-05 --locoid 4028 --swversion DE.1.0.8.0 --startMP 300:23186 --initTime 2017-01-05T17:45:57 --startdatetime 2017-01-05T17:47:37 --delay 1 --endMP 204:90 --enddatetime 2017-01-05T17:56:36 --enforcementcount 0 &gt;&gt;C:\Users\stu\Documents\GitHub\eaglep3-reporting\EC\2017-01-05-refined-times.txt</v>
      </c>
      <c r="AI227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{"issue":{"subject":"","project_id":79,"tracker_id":40,"status_id":1,"priority_id":2,"assigned_to_id":23,"start_date":"2017-01-05","description":"","custom_fields":[{"id":1,"name":"Subdivision","value":"Other"},{"id":4,"name":"Milepost","value":"0.009"},{"id":17,"name":"Train ID","value":"80-05"},{"id":16,"name":"Locomotive ID","value":"4028"},{"id":130,"name":"Impact","value":""},{"id":150,"name":"Time of Event (Mountain Time)","value":"17:56:36"},{"id":151,"name":"Denver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96"/>
        <v>start /low /b %USERPROFILE%\Documents\GitHub\eaglep3\Utilities\DownloadLogsFromS3.py --loco 4028 --day 2017-01-05</v>
      </c>
    </row>
    <row r="228" spans="1:39" x14ac:dyDescent="0.25">
      <c r="A228" s="34" t="s">
        <v>635</v>
      </c>
      <c r="B228" s="7">
        <v>4009</v>
      </c>
      <c r="C228" s="22" t="s">
        <v>203</v>
      </c>
      <c r="D228" s="22" t="s">
        <v>827</v>
      </c>
      <c r="E228" s="13">
        <v>42740.723969907405</v>
      </c>
      <c r="F228" s="13">
        <v>25568.708333333332</v>
      </c>
      <c r="G228" s="7">
        <v>1</v>
      </c>
      <c r="H228" s="22" t="s">
        <v>828</v>
      </c>
      <c r="I228" s="13">
        <v>25568.708333333332</v>
      </c>
      <c r="J228" s="7">
        <v>0</v>
      </c>
      <c r="K228" s="105" t="str">
        <f t="shared" si="82"/>
        <v>4009/4010</v>
      </c>
      <c r="L228" s="22" t="str">
        <f>VLOOKUP(A228,'Trips&amp;Operators'!$C$1:$G$99999,5,FALSE)</f>
        <v>CLARK KATHLEEN</v>
      </c>
      <c r="M228" s="6">
        <f t="shared" si="83"/>
        <v>0</v>
      </c>
      <c r="N228" s="7">
        <f t="shared" si="98"/>
        <v>0</v>
      </c>
      <c r="O228" s="7"/>
      <c r="P228" s="7"/>
      <c r="Q228" s="23"/>
      <c r="R228" s="23"/>
      <c r="S228" s="32">
        <f t="shared" si="97"/>
        <v>0</v>
      </c>
      <c r="T228" s="47" t="e">
        <f t="shared" si="84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16:22:31-700',mode:absolute,to:'1969-12-31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8" s="49" t="str">
        <f t="shared" si="86"/>
        <v>Y</v>
      </c>
      <c r="X228" s="173" t="e">
        <f t="shared" si="81"/>
        <v>#VALUE!</v>
      </c>
      <c r="Y228" s="64">
        <f t="shared" si="87"/>
        <v>0.15559999999999999</v>
      </c>
      <c r="Z228" s="64">
        <f t="shared" si="88"/>
        <v>2.3346</v>
      </c>
      <c r="AA228" s="64">
        <f t="shared" si="89"/>
        <v>2.1789999999999998</v>
      </c>
      <c r="AB228" s="61" t="e">
        <f>VLOOKUP(A228,Enforcements!$C$7:$K$18,8,0)</f>
        <v>#N/A</v>
      </c>
      <c r="AC228" s="57" t="e">
        <f>VLOOKUP(A228,Enforcements!$C$7:$E$18,3,0)</f>
        <v>#N/A</v>
      </c>
      <c r="AD228" s="58" t="str">
        <f t="shared" si="90"/>
        <v>81-05</v>
      </c>
      <c r="AE228" s="87" t="str">
        <f t="shared" si="9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28" s="84" t="str">
        <f t="shared" si="9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28" s="1" t="str">
        <f t="shared" si="93"/>
        <v>Other</v>
      </c>
      <c r="AH228" s="88" t="str">
        <f t="shared" si="94"/>
        <v>"%USERPROFILE%\Documents\GitHub\eaglep3\Utilities\RefineRTDCRunTimes.py" --tripid 81-05 --locoid 4009 --swversion DE.1.0.8.0 --startMP 204:1556 --initTime 2017-01-05T17:22:31 --startdatetime 1969-12-31T17:00:00 --delay 1 --endMP 300:23346 --enddatetime 1969-12-31T17:00:00 --enforcementcount 0 &gt;&gt;C:\Users\stu\Documents\GitHub\eaglep3-reporting\EC\2017-01-05-refined-times.txt</v>
      </c>
      <c r="AI228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ID","value":"81-05"},{"id":16,"name":"Locomotive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96"/>
        <v>start /low /b %USERPROFILE%\Documents\GitHub\eaglep3\Utilities\DownloadLogsFromS3.py --loco 4009 --day 1969-12-31</v>
      </c>
    </row>
    <row r="229" spans="1:39" x14ac:dyDescent="0.25">
      <c r="A229" s="34" t="s">
        <v>687</v>
      </c>
      <c r="B229" s="7">
        <v>4029</v>
      </c>
      <c r="C229" s="22" t="s">
        <v>203</v>
      </c>
      <c r="D229" s="22" t="s">
        <v>851</v>
      </c>
      <c r="E229" s="13">
        <v>42741.026990740742</v>
      </c>
      <c r="F229" s="13">
        <v>42741.031331018516</v>
      </c>
      <c r="G229" s="7">
        <v>2</v>
      </c>
      <c r="H229" s="22" t="s">
        <v>852</v>
      </c>
      <c r="I229" s="13">
        <v>42741.083599537036</v>
      </c>
      <c r="J229" s="7">
        <v>0</v>
      </c>
      <c r="K229" s="105" t="str">
        <f t="shared" si="82"/>
        <v>4029/4030</v>
      </c>
      <c r="L229" s="22" t="str">
        <f>VLOOKUP(A229,'Trips&amp;Operators'!$C$1:$G$99999,5,FALSE)</f>
        <v>MACDONALD THOMAS</v>
      </c>
      <c r="M229" s="6">
        <f t="shared" si="83"/>
        <v>5.2268518520577345E-2</v>
      </c>
      <c r="N229" s="7">
        <f t="shared" si="98"/>
        <v>75.266666669631377</v>
      </c>
      <c r="O229" s="7"/>
      <c r="P229" s="7"/>
      <c r="Q229" s="23"/>
      <c r="R229" s="23"/>
      <c r="S229" s="32">
        <f t="shared" si="97"/>
        <v>0</v>
      </c>
      <c r="T229" s="47" t="e">
        <f t="shared" si="84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23:38:52-700',mode:absolute,to:'2017-01-06 03:00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9" s="49" t="str">
        <f t="shared" si="86"/>
        <v>N</v>
      </c>
      <c r="X229" s="173" t="e">
        <f t="shared" si="81"/>
        <v>#VALUE!</v>
      </c>
      <c r="Y229" s="64">
        <f t="shared" si="87"/>
        <v>0.1181</v>
      </c>
      <c r="Z229" s="64">
        <f t="shared" si="88"/>
        <v>12.8261</v>
      </c>
      <c r="AA229" s="64">
        <f t="shared" si="89"/>
        <v>12.708</v>
      </c>
      <c r="AB229" s="61" t="e">
        <f>VLOOKUP(A229,Enforcements!$C$7:$K$18,8,0)</f>
        <v>#N/A</v>
      </c>
      <c r="AC229" s="57" t="e">
        <f>VLOOKUP(A229,Enforcements!$C$7:$E$18,3,0)</f>
        <v>#N/A</v>
      </c>
      <c r="AD229" s="58" t="str">
        <f t="shared" si="90"/>
        <v>83-05</v>
      </c>
      <c r="AE229" s="87" t="str">
        <f t="shared" si="91"/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AF229" s="84" t="str">
        <f t="shared" si="92"/>
        <v>"C:\Program Files (x86)\AstroGrep\AstroGrep.exe" /spath="%USERPROFILE%\AppData\Local\Temp\OnboardLogs" /stypes="app*4029*20170106*" /stext=" 09:.+((SYSTEM_STATE.+slice.+state.+changed )|(ment ac)|(multiple cpu faults)|(system.+state.+changed )|(\[timeout)|(PRM\|1\|D)|(kpr)|(kdp)|(\|lc)|(penalty))" /e /r /s</v>
      </c>
      <c r="AG229" s="1" t="str">
        <f t="shared" si="93"/>
        <v>Other</v>
      </c>
      <c r="AH229" s="88" t="str">
        <f t="shared" si="94"/>
        <v>"%USERPROFILE%\Documents\GitHub\eaglep3\Utilities\RefineRTDCRunTimes.py" --tripid 83-05 --locoid 4029 --swversion DE.1.0.8.0 --startMP 204:1181 --initTime 2017-01-06T00:38:52 --startdatetime 2017-01-06T00:45:07 --delay 2 --endMP 204:128261 --enddatetime 2017-01-06T02:00:23 --enforcementcount 0 &gt;&gt;C:\Users\stu\Documents\GitHub\eaglep3-reporting\EC\2017-01-05-refined-times.txt</v>
      </c>
      <c r="AI229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{"issue":{"subject":"","project_id":79,"tracker_id":40,"status_id":1,"priority_id":2,"assigned_to_id":23,"start_date":"2017-01-06","description":"","custom_fields":[{"id":1,"name":"Subdivision","value":"Other"},{"id":4,"name":"Milepost","value":"12.8261"},{"id":17,"name":"Train ID","value":"83-05"},{"id":16,"name":"Locomotive ID","value":"4029"},{"id":130,"name":"Impact","value":""},{"id":150,"name":"Time of Event (Mountain Time)","value":"02:00:23"},{"id":151,"name":"Denver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96"/>
        <v>start /low /b %USERPROFILE%\Documents\GitHub\eaglep3\Utilities\DownloadLogsFromS3.py --loco 4029 --day 2017-01-06</v>
      </c>
    </row>
    <row r="230" spans="1:39" x14ac:dyDescent="0.25">
      <c r="A230" s="34" t="s">
        <v>625</v>
      </c>
      <c r="B230" s="7">
        <v>4054</v>
      </c>
      <c r="C230" s="22" t="s">
        <v>203</v>
      </c>
      <c r="D230" s="22" t="s">
        <v>866</v>
      </c>
      <c r="E230" s="13">
        <v>42740.695914351854</v>
      </c>
      <c r="F230" s="13">
        <v>42740.697071759256</v>
      </c>
      <c r="G230" s="7">
        <v>1</v>
      </c>
      <c r="H230" s="22">
        <v>8.5361111111111114</v>
      </c>
      <c r="I230" s="13">
        <v>42740.705196759256</v>
      </c>
      <c r="J230" s="7">
        <v>0</v>
      </c>
      <c r="K230" s="105" t="str">
        <f t="shared" si="82"/>
        <v>4053/4054</v>
      </c>
      <c r="L230" s="22" t="str">
        <f>VLOOKUP(A230,'Trips&amp;Operators'!$C$1:$G$99999,5,FALSE)</f>
        <v>CHANDLER KELVIN</v>
      </c>
      <c r="M230" s="6">
        <f t="shared" si="83"/>
        <v>8.1250000002910383E-3</v>
      </c>
      <c r="N230" s="7">
        <f t="shared" si="98"/>
        <v>11.700000000419095</v>
      </c>
      <c r="O230" s="7"/>
      <c r="P230" s="7"/>
      <c r="Q230" s="23"/>
      <c r="R230" s="23"/>
      <c r="S230" s="32">
        <f t="shared" si="97"/>
        <v>0</v>
      </c>
      <c r="T230" s="47" t="e">
        <f t="shared" si="84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15:42:07-700',mode:absolute,to:'2017-01-05 17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0" s="49" t="str">
        <f t="shared" si="86"/>
        <v>N</v>
      </c>
      <c r="X230" s="173" t="e">
        <f t="shared" si="81"/>
        <v>#VALUE!</v>
      </c>
      <c r="Y230" s="64">
        <f t="shared" si="87"/>
        <v>2.3309000000000002</v>
      </c>
      <c r="Z230" s="64">
        <f t="shared" si="88"/>
        <v>61111111.111100003</v>
      </c>
      <c r="AA230" s="64">
        <f t="shared" si="89"/>
        <v>61111108.780200005</v>
      </c>
      <c r="AB230" s="61" t="e">
        <f>VLOOKUP(A230,Enforcements!$C$7:$K$18,8,0)</f>
        <v>#N/A</v>
      </c>
      <c r="AC230" s="57" t="e">
        <f>VLOOKUP(A230,Enforcements!$C$7:$E$18,3,0)</f>
        <v>#N/A</v>
      </c>
      <c r="AD230" s="58" t="str">
        <f t="shared" si="90"/>
        <v>88-05</v>
      </c>
      <c r="AE230" s="87" t="str">
        <f t="shared" si="91"/>
        <v>aws s3 cp s3://rtdc.mdm.uploadarchive.raw/RTDC4054/ "%USERPROFILE%\AppData\Local\Temp\OnboardLogs"\RTDC4054\2017-01-05 --exclude "*" --recursive --include "*20170105*" &amp; "%USERPROFILE%\Documents\GitHub\mrs-test-scripts\Headless Mode &amp; Sideloading\WalkAndUnGZ.bat" "%USERPROFILE%\AppData\Local\Temp\OnboardLogs"\RTDC4054\2017-01-05 &amp; aws s3 cp s3://rtdc.mdm.uploadarchive.raw/RTDC4054/ "%USERPROFILE%\AppData\Local\Temp\OnboardLogs"\RTDC4054\2017-01-06 --exclude "*" --recursive --include "*20170106*" &amp; "%USERPROFILE%\Documents\GitHub\mrs-test-scripts\Headless Mode &amp; Sideloading\WalkAndUnGZ.bat" "%USERPROFILE%\AppData\Local\Temp\OnboardLogs"\RTDC4054\2017-01-06</v>
      </c>
      <c r="AF230" s="84" t="str">
        <f t="shared" si="92"/>
        <v>"C:\Program Files (x86)\AstroGrep\AstroGrep.exe" /spath="%USERPROFILE%\AppData\Local\Temp\OnboardLogs" /stypes="app*4054*20170105*" /stext=" 23:.+((SYSTEM_STATE.+slice.+state.+changed )|(ment ac)|(multiple cpu faults)|(system.+state.+changed )|(\[timeout)|(PRM\|1\|D)|(kpr)|(kdp)|(\|lc)|(penalty))" /e /r /s</v>
      </c>
      <c r="AG230" s="1" t="str">
        <f t="shared" si="93"/>
        <v>Other</v>
      </c>
      <c r="AH230" s="88" t="str">
        <f t="shared" si="94"/>
        <v>"%USERPROFILE%\Documents\GitHub\eaglep3\Utilities\RefineRTDCRunTimes.py" --tripid 88-05 --locoid 4054 --swversion DE.1.0.8.0 --startMP 300:23309 --initTime 2017-01-05T16:42:07 --startdatetime 2017-01-05T16:43:47 --delay 1 --endMP 8.53611111111111 --enddatetime 2017-01-05T16:55:29 --enforcementcount 0 &gt;&gt;C:\Users\stu\Documents\GitHub\eaglep3-reporting\EC\2017-01-05-refined-times.txt</v>
      </c>
      <c r="AI230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61111111.1111"},{"id":17,"name":"Train ID","value":"88-05"},{"id":16,"name":"Locomotive ID","value":"4054"},{"id":130,"name":"Impact","value":""},{"id":150,"name":"Time of Event (Mountain Time)","value":"16:55:29"},{"id":151,"name":"Denver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96"/>
        <v>start /low /b %USERPROFILE%\Documents\GitHub\eaglep3\Utilities\DownloadLogsFromS3.py --loco 4054 --day 2017-01-05</v>
      </c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</sheetData>
  <autoFilter ref="A12:AG217">
    <sortState ref="A13:AG233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34:X1048576 W13:X230">
    <cfRule type="cellIs" dxfId="10" priority="352" operator="equal">
      <formula>"Y"</formula>
    </cfRule>
  </conditionalFormatting>
  <conditionalFormatting sqref="X234:X1048576 X13:X230">
    <cfRule type="cellIs" dxfId="9" priority="335" operator="greaterThan">
      <formula>1</formula>
    </cfRule>
  </conditionalFormatting>
  <conditionalFormatting sqref="X234:X1048576 X12:X230">
    <cfRule type="cellIs" dxfId="8" priority="332" operator="equal">
      <formula>0</formula>
    </cfRule>
  </conditionalFormatting>
  <conditionalFormatting sqref="A13:S230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2"/>
  <sheetViews>
    <sheetView topLeftCell="A2" zoomScaleNormal="100" workbookViewId="0">
      <selection activeCell="M19" sqref="M1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COUNTIF($O$7:$O$331,"=Y")</f>
        <v>7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COUNTA($O$7:$O$331)-O2</f>
        <v>26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90" t="str">
        <f>"Eagle P3 Braking Events - "&amp;TEXT(Variables!$A$2,"YYYY-mm-dd")</f>
        <v>Eagle P3 Braking Events - 2017-01-05</v>
      </c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223</v>
      </c>
      <c r="AE6" s="181" t="s">
        <v>310</v>
      </c>
    </row>
    <row r="7" spans="1:31" s="1" customFormat="1" x14ac:dyDescent="0.25">
      <c r="A7" s="33">
        <v>42740.629490740743</v>
      </c>
      <c r="B7" s="31" t="s">
        <v>348</v>
      </c>
      <c r="C7" s="31" t="s">
        <v>479</v>
      </c>
      <c r="D7" s="31" t="s">
        <v>98</v>
      </c>
      <c r="E7" s="31" t="s">
        <v>237</v>
      </c>
      <c r="F7" s="44">
        <v>190</v>
      </c>
      <c r="G7" s="44">
        <v>240</v>
      </c>
      <c r="H7" s="44">
        <v>27029</v>
      </c>
      <c r="I7" s="44">
        <v>26445</v>
      </c>
      <c r="J7" s="31" t="s">
        <v>238</v>
      </c>
      <c r="K7" s="44">
        <v>27350</v>
      </c>
      <c r="L7" s="150" t="s">
        <v>51</v>
      </c>
      <c r="M7" s="151">
        <f t="shared" ref="M7:M39" si="0">CONVERT((I7-K7)/10000,"mi","ft")*IF(L7="Increasing Mileposts (1)",-1,1)</f>
        <v>-477.84</v>
      </c>
      <c r="N7" s="152" t="str">
        <f>VLOOKUP(C7,'Trips&amp;Operators'!$C$1:$G$99999,5,FALSE)</f>
        <v>BRANDNER MELINDA</v>
      </c>
      <c r="O7" s="179" t="s">
        <v>195</v>
      </c>
      <c r="P7" s="153" t="s">
        <v>347</v>
      </c>
      <c r="Q7" s="31"/>
      <c r="R7" s="96" t="str">
        <f>VLOOKUP(C7,'Train Runs'!$A$13:$AE$9961,31,0)</f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S7" s="99" t="str">
        <f>VLOOKUP(C7,'Train Runs'!$A$13:$AE$9961,22,0)</f>
        <v>https://search-rtdc-monitor-bjffxe2xuh6vdkpspy63sjmuny.us-east-1.es.amazonaws.com/_plugin/kibana/#/discover/Steve-Slow-Train-Analysis-(2080s-and-2083s)?_g=(refreshInterval:(display:Off,section:0,value:0),time:(from:'2017-01-05 13:24:35-700',mode:absolute,to:'2017-01-05 15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7" s="101" t="str">
        <f t="shared" ref="T7:T3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/stypes="*4010*201701052*" /stext=" 22:.+((SYSTEM_STATE.+slice.+state.+changed )|(ment ac)|(multiple cpu faults)|(system.+state.+changed )|(\[timeout)|(PRM\|1\|D)|(kpr)|(kdp)|(\|lc)|(penalty))" /e /r /s</v>
      </c>
      <c r="U7" s="9" t="str">
        <f t="shared" ref="U7:U39" si="2">MID(B7,13,4)</f>
        <v>4010</v>
      </c>
      <c r="V7" s="33">
        <f t="shared" ref="V7:V39" si="3">A7-utc_offset/24</f>
        <v>42740.921157407407</v>
      </c>
      <c r="W7" s="47" t="str">
        <f t="shared" ref="W7:W39" si="4">IF(VALUE(LEFT(IF(LEN(C7)=6,"0"&amp;C7,C7),2))&lt;=2,"EC",IF(OR(VALUE(LEFT(IF(LEN(C7)=6,"0"&amp;C7,C7),2))=8,VALUE(LEFT(IF(LEN(C7)=6,"0"&amp;C7,C7),2))=18),"NW","Other"))</f>
        <v>EC</v>
      </c>
      <c r="X7" s="47" t="str">
        <f t="shared" ref="X7:X39" si="5">IF(AND(E7="TRACK WARRANT AUTHORITY",G7&lt;10),"OMIT","KEEP")</f>
        <v>KEEP</v>
      </c>
      <c r="Y7" s="115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arrival","project_id":79,"tracker_id":40,"status_id":1,"priority_id":2,"assigned_to_id":23,"start_date":"2017-01-05","description":"","custom_fields":[{"id":1,"name":"Subdivision","value":"EC"},{"id":4,"name":"Milepost","value":"2.735"},{"id":17,"name":"Train ID","value":"180-05"},{"id":16,"name":"Locomotive ID","value":"4010"},{"id":130,"name":"Impact","value":""},{"id":150,"name":"Time of Event (Mountain Time)","value":"15:06:28"},{"id":151,"name":"Denver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"%USERPROFILE%\AppData\Local\Temp\OnboardLogs"\RTDC4010\*4010*201701052*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"%USERPROFILE%\AppData\Local\Temp\OnboardLogs"\RTDC4010\*4010*201701052* &gt;&gt; 42740-slicedisagreementcheck.txt</v>
      </c>
      <c r="AE7" s="183" t="str">
        <f t="shared" ref="AE7:AE39" si="8">"start /low /b "&amp;dls3logs&amp;" --loco "&amp;U7&amp;" --day "&amp;TEXT(V7,"YYYY-MM-DD")</f>
        <v>start /low /b %USERPROFILE%\Documents\GitHub\eaglep3\Utilities\DownloadLogsFromS3.py --loco 4010 --day 2017-01-05</v>
      </c>
    </row>
    <row r="8" spans="1:31" s="1" customFormat="1" x14ac:dyDescent="0.25">
      <c r="A8" s="33">
        <v>42740.369189814817</v>
      </c>
      <c r="B8" s="31" t="s">
        <v>325</v>
      </c>
      <c r="C8" s="31" t="s">
        <v>471</v>
      </c>
      <c r="D8" s="31" t="s">
        <v>49</v>
      </c>
      <c r="E8" s="31" t="s">
        <v>349</v>
      </c>
      <c r="F8" s="44">
        <v>200</v>
      </c>
      <c r="G8" s="44">
        <v>253</v>
      </c>
      <c r="H8" s="44">
        <v>30799</v>
      </c>
      <c r="I8" s="44">
        <v>30084</v>
      </c>
      <c r="J8" s="31" t="s">
        <v>350</v>
      </c>
      <c r="K8" s="44">
        <v>30562</v>
      </c>
      <c r="L8" s="150" t="s">
        <v>51</v>
      </c>
      <c r="M8" s="151">
        <f t="shared" si="0"/>
        <v>-252.38399999999999</v>
      </c>
      <c r="N8" s="152" t="str">
        <f>VLOOKUP(C8,'Trips&amp;Operators'!$C$1:$G$99999,5,FALSE)</f>
        <v>SPECTOR MICHAEL</v>
      </c>
      <c r="O8" s="179" t="s">
        <v>195</v>
      </c>
      <c r="P8" s="153"/>
      <c r="Q8" s="31"/>
      <c r="R8" s="96" t="str">
        <f>VLOOKUP(C8,'Train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8" s="99" t="str">
        <f>VLOOKUP(C8,'Train Runs'!$A$13:$AE$9961,22,0)</f>
        <v>https://search-rtdc-monitor-bjffxe2xuh6vdkpspy63sjmuny.us-east-1.es.amazonaws.com/_plugin/kibana/#/discover/Steve-Slow-Train-Analysis-(2080s-and-2083s)?_g=(refreshInterval:(display:Off,section:0,value:0),time:(from:'2017-01-05 07:05:29-700',mode:absolute,to:'2017-01-05 10:01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8" s="101" t="str">
        <f t="shared" si="1"/>
        <v>"C:\Program Files (x86)\AstroGrep\AstroGrep.exe" /spath="%USERPROFILE%\AppData\Local\Temp\OnboardLogs" /stypes="*4032*201701051*" /stext=" 15:.+((SYSTEM_STATE.+slice.+state.+changed )|(ment ac)|(multiple cpu faults)|(system.+state.+changed )|(\[timeout)|(PRM\|1\|D)|(kpr)|(kdp)|(\|lc)|(penalty))" /e /r /s</v>
      </c>
      <c r="U8" s="9" t="str">
        <f t="shared" si="2"/>
        <v>4032</v>
      </c>
      <c r="V8" s="33">
        <f t="shared" si="3"/>
        <v>42740.660856481481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{"issue":{"subject":"","project_id":79,"tracker_id":40,"status_id":1,"priority_id":2,"assigned_to_id":23,"start_date":"2017-01-05","description":"","custom_fields":[{"id":1,"name":"Subdivision","value":"EC"},{"id":4,"name":"Milepost","value":"3.0562"},{"id":17,"name":"Train ID","value":"130-05"},{"id":16,"name":"Locomotive ID","value":"4032"},{"id":130,"name":"Impact","value":""},{"id":150,"name":"Time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"%USERPROFILE%\AppData\Local\Temp\OnboardLogs"\RTDC4032\*4032*201701051*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"%USERPROFILE%\AppData\Local\Temp\OnboardLogs"\RTDC4032\*4032*201701051* &gt;&gt; 42740-slicedisagreementcheck.txt</v>
      </c>
      <c r="AE8" s="183" t="str">
        <f t="shared" si="8"/>
        <v>start /low /b %USERPROFILE%\Documents\GitHub\eaglep3\Utilities\DownloadLogsFromS3.py --loco 4032 --day 2017-01-05</v>
      </c>
    </row>
    <row r="9" spans="1:31" s="1" customFormat="1" x14ac:dyDescent="0.25">
      <c r="A9" s="33">
        <v>42740.545787037037</v>
      </c>
      <c r="B9" s="31" t="s">
        <v>325</v>
      </c>
      <c r="C9" s="31" t="s">
        <v>477</v>
      </c>
      <c r="D9" s="31" t="s">
        <v>49</v>
      </c>
      <c r="E9" s="31" t="s">
        <v>349</v>
      </c>
      <c r="F9" s="44">
        <v>400</v>
      </c>
      <c r="G9" s="44">
        <v>525</v>
      </c>
      <c r="H9" s="44">
        <v>122097</v>
      </c>
      <c r="I9" s="44">
        <v>120206</v>
      </c>
      <c r="J9" s="31" t="s">
        <v>350</v>
      </c>
      <c r="K9" s="44">
        <v>119716</v>
      </c>
      <c r="L9" s="150" t="s">
        <v>51</v>
      </c>
      <c r="M9" s="151">
        <f t="shared" si="0"/>
        <v>258.72000000000003</v>
      </c>
      <c r="N9" s="152" t="str">
        <f>VLOOKUP(C9,'Trips&amp;Operators'!$C$1:$G$99999,5,FALSE)</f>
        <v>STRICKLAND EVAN</v>
      </c>
      <c r="O9" s="179" t="s">
        <v>195</v>
      </c>
      <c r="P9" s="153"/>
      <c r="Q9" s="31"/>
      <c r="R9" s="96" t="str">
        <f>VLOOKUP(C9,'Train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9" s="99" t="str">
        <f>VLOOKUP(C9,'Train Runs'!$A$13:$AE$9961,22,0)</f>
        <v>https://search-rtdc-monitor-bjffxe2xuh6vdkpspy63sjmuny.us-east-1.es.amazonaws.com/_plugin/kibana/#/discover/Steve-Slow-Train-Analysis-(2080s-and-2083s)?_g=(refreshInterval:(display:Off,section:0,value:0),time:(from:'2017-01-05 11:46:01-700',mode:absolute,to:'2017-01-05 14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9" s="101" t="str">
        <f t="shared" si="1"/>
        <v>"C:\Program Files (x86)\AstroGrep\AstroGrep.exe" /spath="%USERPROFILE%\AppData\Local\Temp\OnboardLogs" /stypes="*4032*201701052*" /stext=" 20:.+((SYSTEM_STATE.+slice.+state.+changed )|(ment ac)|(multiple cpu faults)|(system.+state.+changed )|(\[timeout)|(PRM\|1\|D)|(kpr)|(kdp)|(\|lc)|(penalty))" /e /r /s</v>
      </c>
      <c r="U9" s="9" t="str">
        <f t="shared" si="2"/>
        <v>4032</v>
      </c>
      <c r="V9" s="33">
        <f t="shared" si="3"/>
        <v>42740.837453703702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{"issue":{"subject":"","project_id":79,"tracker_id":40,"status_id":1,"priority_id":2,"assigned_to_id":23,"start_date":"2017-01-05","description":"","custom_fields":[{"id":1,"name":"Subdivision","value":"EC"},{"id":4,"name":"Milepost","value":"11.9716"},{"id":17,"name":"Train ID","value":"166-05"},{"id":16,"name":"Locomotive ID","value":"4032"},{"id":130,"name":"Impact","value":""},{"id":150,"name":"Time of Event (Mountain Time)","value":"13:05:56"},{"id":151,"name":"Denver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"%USERPROFILE%\AppData\Local\Temp\OnboardLogs"\RTDC4032\*4032*201701052*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"%USERPROFILE%\AppData\Local\Temp\OnboardLogs"\RTDC4032\*4032*201701052* &gt;&gt; 42740-slicedisagreementcheck.txt</v>
      </c>
      <c r="AE9" s="183" t="str">
        <f t="shared" si="8"/>
        <v>start /low /b %USERPROFILE%\Documents\GitHub\eaglep3\Utilities\DownloadLogsFromS3.py --loco 4032 --day 2017-01-05</v>
      </c>
    </row>
    <row r="10" spans="1:31" s="1" customFormat="1" x14ac:dyDescent="0.25">
      <c r="A10" s="33">
        <v>42740.97996527778</v>
      </c>
      <c r="B10" s="31" t="s">
        <v>202</v>
      </c>
      <c r="C10" s="31" t="s">
        <v>490</v>
      </c>
      <c r="D10" s="31" t="s">
        <v>49</v>
      </c>
      <c r="E10" s="31" t="s">
        <v>196</v>
      </c>
      <c r="F10" s="44">
        <v>0</v>
      </c>
      <c r="G10" s="44">
        <v>135</v>
      </c>
      <c r="H10" s="44">
        <v>2471</v>
      </c>
      <c r="I10" s="44">
        <v>2608</v>
      </c>
      <c r="J10" s="31" t="s">
        <v>197</v>
      </c>
      <c r="K10" s="44">
        <v>2789</v>
      </c>
      <c r="L10" s="150" t="s">
        <v>50</v>
      </c>
      <c r="M10" s="151">
        <f t="shared" si="0"/>
        <v>95.567999999999998</v>
      </c>
      <c r="N10" s="152" t="str">
        <f>VLOOKUP(C10,'Trips&amp;Operators'!$C$1:$G$99999,5,FALSE)</f>
        <v>NEWELL JAMES</v>
      </c>
      <c r="O10" s="179" t="s">
        <v>195</v>
      </c>
      <c r="P10" s="153" t="s">
        <v>907</v>
      </c>
      <c r="Q10" s="31"/>
      <c r="R10" s="96" t="str">
        <f>VLOOKUP(C10,'Train Runs'!$A$13:$AE$9961,31,0)</f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S10" s="99" t="str">
        <f>VLOOKUP(C10,'Train Runs'!$A$13:$AE$9961,22,0)</f>
        <v>https://search-rtdc-monitor-bjffxe2xuh6vdkpspy63sjmuny.us-east-1.es.amazonaws.com/_plugin/kibana/#/discover/Steve-Slow-Train-Analysis-(2080s-and-2083s)?_g=(refreshInterval:(display:Off,section:0,value:0),time:(from:'2017-01-05 22:21:51-700',mode:absolute,to:'2017-01-06 01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0" s="101" t="str">
        <f t="shared" si="1"/>
        <v>"C:\Program Files (x86)\AstroGrep\AstroGrep.exe" /spath="%USERPROFILE%\AppData\Local\Temp\OnboardLogs" /stypes="*4011*201701060*" /stext=" 06:.+((SYSTEM_STATE.+slice.+state.+changed )|(ment ac)|(multiple cpu faults)|(system.+state.+changed )|(\[timeout)|(PRM\|1\|D)|(kpr)|(kdp)|(\|lc)|(penalty))" /e /r /s</v>
      </c>
      <c r="U10" s="9" t="str">
        <f t="shared" si="2"/>
        <v>4011</v>
      </c>
      <c r="V10" s="33">
        <f t="shared" si="3"/>
        <v>42741.271631944444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{"issue":{"subject":"DUS 22N STOP, cleared afterward","project_id":79,"tracker_id":40,"status_id":1,"priority_id":2,"assigned_to_id":23,"start_date":"2017-01-05","description":"","custom_fields":[{"id":1,"name":"Subdivision","value":"EC"},{"id":4,"name":"Milepost","value":"0.2789"},{"id":17,"name":"Train ID","value":"239-05"},{"id":16,"name":"Locomotive ID","value":"4011"},{"id":130,"name":"Impact","value":""},{"id":150,"name":"Time of Event (Mountain Time)","value":"23:31:09"},{"id":151,"name":"Denver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"%USERPROFILE%\AppData\Local\Temp\OnboardLogs"\RTDC4011\*4011*201701060*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"%USERPROFILE%\AppData\Local\Temp\OnboardLogs"\RTDC4011\*4011*201701060* &gt;&gt; 42740-slicedisagreementcheck.txt</v>
      </c>
      <c r="AE10" s="183" t="str">
        <f t="shared" si="8"/>
        <v>start /low /b %USERPROFILE%\Documents\GitHub\eaglep3\Utilities\DownloadLogsFromS3.py --loco 4011 --day 2017-01-06</v>
      </c>
    </row>
    <row r="11" spans="1:31" s="1" customFormat="1" x14ac:dyDescent="0.25">
      <c r="A11" s="33">
        <v>42740.264930555553</v>
      </c>
      <c r="B11" s="31" t="s">
        <v>183</v>
      </c>
      <c r="C11" s="31" t="s">
        <v>465</v>
      </c>
      <c r="D11" s="31" t="s">
        <v>49</v>
      </c>
      <c r="E11" s="31" t="s">
        <v>196</v>
      </c>
      <c r="F11" s="44">
        <v>0</v>
      </c>
      <c r="G11" s="44">
        <v>644</v>
      </c>
      <c r="H11" s="44">
        <v>211436</v>
      </c>
      <c r="I11" s="44">
        <v>214508</v>
      </c>
      <c r="J11" s="31" t="s">
        <v>197</v>
      </c>
      <c r="K11" s="44">
        <v>217106</v>
      </c>
      <c r="L11" s="150" t="s">
        <v>50</v>
      </c>
      <c r="M11" s="151">
        <f t="shared" si="0"/>
        <v>1371.7439999999999</v>
      </c>
      <c r="N11" s="152" t="str">
        <f>VLOOKUP(C11,'Trips&amp;Operators'!$C$1:$G$99999,5,FALSE)</f>
        <v>SANTIZO D. EDY</v>
      </c>
      <c r="O11" s="179" t="s">
        <v>351</v>
      </c>
      <c r="P11" s="153" t="s">
        <v>380</v>
      </c>
      <c r="Q11" s="31"/>
      <c r="R11" s="96" t="str">
        <f>VLOOKUP(C11,'Train Runs'!$A$13:$AE$9961,31,0)</f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S11" s="99" t="str">
        <f>VLOOKUP(C11,'Train Runs'!$A$13:$AE$9961,22,0)</f>
        <v>https://search-rtdc-monitor-bjffxe2xuh6vdkpspy63sjmuny.us-east-1.es.amazonaws.com/_plugin/kibana/#/discover/Steve-Slow-Train-Analysis-(2080s-and-2083s)?_g=(refreshInterval:(display:Off,section:0,value:0),time:(from:'2017-01-05 04:35:08-700',mode:absolute,to:'2017-01-05 07:28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1" s="101" t="str">
        <f t="shared" si="1"/>
        <v>"C:\Program Files (x86)\AstroGrep\AstroGrep.exe" /spath="%USERPROFILE%\AppData\Local\Temp\OnboardLogs" /stypes="*4009*201701051*" /stext=" 13:.+((SYSTEM_STATE.+slice.+state.+changed )|(ment ac)|(multiple cpu faults)|(system.+state.+changed )|(\[timeout)|(PRM\|1\|D)|(kpr)|(kdp)|(\|lc)|(penalty))" /e /r /s</v>
      </c>
      <c r="U11" s="9" t="str">
        <f t="shared" si="2"/>
        <v>4009</v>
      </c>
      <c r="V11" s="33">
        <f t="shared" si="3"/>
        <v>42740.556597222218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{"issue":{"subject":"Wi-MAX data drop","project_id":79,"tracker_id":40,"status_id":1,"priority_id":2,"assigned_to_id":23,"start_date":"2017-01-05","description":"","custom_fields":[{"id":1,"name":"Subdivision","value":"EC"},{"id":4,"name":"Milepost","value":"21.7106"},{"id":17,"name":"Train ID","value":"117-05"},{"id":16,"name":"Locomotive ID","value":"4009"},{"id":130,"name":"Impact","value":""},{"id":150,"name":"Time of Event (Mountain Time)","value":"06:21:30"},{"id":151,"name":"Denver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"%USERPROFILE%\AppData\Local\Temp\OnboardLogs"\RTDC4009\*4009*201701051*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"%USERPROFILE%\AppData\Local\Temp\OnboardLogs"\RTDC4009\*4009*201701051* &gt;&gt; 42740-slicedisagreementcheck.txt</v>
      </c>
      <c r="AE11" s="183" t="str">
        <f t="shared" si="8"/>
        <v>start /low /b %USERPROFILE%\Documents\GitHub\eaglep3\Utilities\DownloadLogsFromS3.py --loco 4009 --day 2017-01-05</v>
      </c>
    </row>
    <row r="12" spans="1:31" s="1" customFormat="1" x14ac:dyDescent="0.25">
      <c r="A12" s="33">
        <v>42740.675729166665</v>
      </c>
      <c r="B12" s="31" t="s">
        <v>212</v>
      </c>
      <c r="C12" s="31" t="s">
        <v>482</v>
      </c>
      <c r="D12" s="31" t="s">
        <v>49</v>
      </c>
      <c r="E12" s="31" t="s">
        <v>468</v>
      </c>
      <c r="F12" s="44">
        <v>0</v>
      </c>
      <c r="G12" s="44">
        <v>507</v>
      </c>
      <c r="H12" s="44">
        <v>55509</v>
      </c>
      <c r="I12" s="44">
        <v>57445</v>
      </c>
      <c r="J12" s="31" t="s">
        <v>469</v>
      </c>
      <c r="K12" s="44">
        <v>56976</v>
      </c>
      <c r="L12" s="150" t="s">
        <v>50</v>
      </c>
      <c r="M12" s="151">
        <f t="shared" si="0"/>
        <v>-247.63200000000001</v>
      </c>
      <c r="N12" s="152" t="str">
        <f>VLOOKUP(C12,'Trips&amp;Operators'!$C$1:$G$99999,5,FALSE)</f>
        <v>SMITH MICHAEL</v>
      </c>
      <c r="O12" s="179" t="s">
        <v>351</v>
      </c>
      <c r="P12" s="153" t="s">
        <v>380</v>
      </c>
      <c r="Q12" s="31"/>
      <c r="R12" s="96" t="str">
        <f>VLOOKUP(C12,'Train Runs'!$A$13:$AE$9961,31,0)</f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S12" s="99" t="str">
        <f>VLOOKUP(C12,'Train Runs'!$A$13:$AE$9961,22,0)</f>
        <v>https://search-rtdc-monitor-bjffxe2xuh6vdkpspy63sjmuny.us-east-1.es.amazonaws.com/_plugin/kibana/#/discover/Steve-Slow-Train-Analysis-(2080s-and-2083s)?_g=(refreshInterval:(display:Off,section:0,value:0),time:(from:'2017-01-05 14:55:04-700',mode:absolute,to:'2017-01-05 17:13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2" s="101" t="str">
        <f t="shared" si="1"/>
        <v>"C:\Program Files (x86)\AstroGrep\AstroGrep.exe" /spath="%USERPROFILE%\AppData\Local\Temp\OnboardLogs" /stypes="*4022*201701052*" /stext=" 23:.+((SYSTEM_STATE.+slice.+state.+changed )|(ment ac)|(multiple cpu faults)|(system.+state.+changed )|(\[timeout)|(PRM\|1\|D)|(kpr)|(kdp)|(\|lc)|(penalty))" /e /r /s</v>
      </c>
      <c r="U12" s="9" t="str">
        <f t="shared" si="2"/>
        <v>4022</v>
      </c>
      <c r="V12" s="33">
        <f t="shared" si="3"/>
        <v>42740.96739583333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{"issue":{"subject":"Wi-MAX data drop","project_id":79,"tracker_id":40,"status_id":1,"priority_id":2,"assigned_to_id":23,"start_date":"2017-01-05","description":"","custom_fields":[{"id":1,"name":"Subdivision","value":"EC"},{"id":4,"name":"Milepost","value":"5.6976"},{"id":17,"name":"Train ID","value":"199-05"},{"id":16,"name":"Locomotive ID","value":"4022"},{"id":130,"name":"Impact","value":""},{"id":150,"name":"Time of Event (Mountain Time)","value":"16:13:03"},{"id":151,"name":"Denver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"%USERPROFILE%\AppData\Local\Temp\OnboardLogs"\RTDC4022\*4022*201701052*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"%USERPROFILE%\AppData\Local\Temp\OnboardLogs"\RTDC4022\*4022*201701052* &gt;&gt; 42740-slicedisagreementcheck.txt</v>
      </c>
      <c r="AE12" s="183" t="str">
        <f t="shared" si="8"/>
        <v>start /low /b %USERPROFILE%\Documents\GitHub\eaglep3\Utilities\DownloadLogsFromS3.py --loco 4022 --day 2017-01-05</v>
      </c>
    </row>
    <row r="13" spans="1:31" s="1" customFormat="1" x14ac:dyDescent="0.25">
      <c r="A13" s="33">
        <v>42740.615844907406</v>
      </c>
      <c r="B13" s="31" t="s">
        <v>348</v>
      </c>
      <c r="C13" s="31" t="s">
        <v>479</v>
      </c>
      <c r="D13" s="31" t="s">
        <v>49</v>
      </c>
      <c r="E13" s="31" t="s">
        <v>468</v>
      </c>
      <c r="F13" s="44">
        <v>0</v>
      </c>
      <c r="G13" s="44">
        <v>595</v>
      </c>
      <c r="H13" s="44">
        <v>105753</v>
      </c>
      <c r="I13" s="44">
        <v>102441</v>
      </c>
      <c r="J13" s="31" t="s">
        <v>469</v>
      </c>
      <c r="K13" s="44">
        <v>104776</v>
      </c>
      <c r="L13" s="150" t="s">
        <v>51</v>
      </c>
      <c r="M13" s="151">
        <f t="shared" si="0"/>
        <v>-1232.8800000000001</v>
      </c>
      <c r="N13" s="152" t="str">
        <f>VLOOKUP(C13,'Trips&amp;Operators'!$C$1:$G$99999,5,FALSE)</f>
        <v>BRANDNER MELINDA</v>
      </c>
      <c r="O13" s="179" t="s">
        <v>351</v>
      </c>
      <c r="P13" s="153" t="s">
        <v>380</v>
      </c>
      <c r="Q13" s="31"/>
      <c r="R13" s="96" t="str">
        <f>VLOOKUP(C13,'Train Runs'!$A$13:$AE$9961,31,0)</f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S13" s="99" t="str">
        <f>VLOOKUP(C13,'Train Runs'!$A$13:$AE$9961,22,0)</f>
        <v>https://search-rtdc-monitor-bjffxe2xuh6vdkpspy63sjmuny.us-east-1.es.amazonaws.com/_plugin/kibana/#/discover/Steve-Slow-Train-Analysis-(2080s-and-2083s)?_g=(refreshInterval:(display:Off,section:0,value:0),time:(from:'2017-01-05 13:24:35-700',mode:absolute,to:'2017-01-05 15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3" s="101" t="str">
        <f t="shared" si="1"/>
        <v>"C:\Program Files (x86)\AstroGrep\AstroGrep.exe" /spath="%USERPROFILE%\AppData\Local\Temp\OnboardLogs" /stypes="*4010*201701052*" /stext=" 21:.+((SYSTEM_STATE.+slice.+state.+changed )|(ment ac)|(multiple cpu faults)|(system.+state.+changed )|(\[timeout)|(PRM\|1\|D)|(kpr)|(kdp)|(\|lc)|(penalty))" /e /r /s</v>
      </c>
      <c r="U13" s="9" t="str">
        <f t="shared" si="2"/>
        <v>4010</v>
      </c>
      <c r="V13" s="33">
        <f t="shared" si="3"/>
        <v>42740.907511574071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{"issue":{"subject":"Wi-MAX data drop","project_id":79,"tracker_id":40,"status_id":1,"priority_id":2,"assigned_to_id":23,"start_date":"2017-01-05","description":"http://stevetu21.github.io/eaglep3/load_kml.html?kml=http://rtdc.gmaps-snips.s3.amazonaws.com/7a6443e9-e2a3-4843-af50-40e88859b70b.kml","custom_fields":[{"id":1,"name":"Subdivision","value":"EC"},{"id":4,"name":"Milepost","value":"10.4776"},{"id":17,"name":"Train ID","value":"180-05"},{"id":16,"name":"Locomotive ID","value":"4010"},{"id":130,"name":"Impact","value":"Enforcement"},{"id":150,"name":"Time of Event (Mountain Time)","value":"14:46:49"},{"id":151,"name":"Denver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3" s="21" t="s">
        <v>899</v>
      </c>
      <c r="AA13" s="50" t="s">
        <v>125</v>
      </c>
      <c r="AB13" s="50" t="s">
        <v>138</v>
      </c>
      <c r="AC13" s="134" t="str">
        <f t="shared" si="7"/>
        <v>grep -hSE -A400 "Enforcement Action" "%USERPROFILE%\AppData\Local\Temp\OnboardLogs"\RTDC4010\*4010*201701052*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"%USERPROFILE%\AppData\Local\Temp\OnboardLogs"\RTDC4010\*4010*201701052* &gt;&gt; 42740-slicedisagreementcheck.txt</v>
      </c>
      <c r="AE13" s="183" t="str">
        <f t="shared" si="8"/>
        <v>start /low /b %USERPROFILE%\Documents\GitHub\eaglep3\Utilities\DownloadLogsFromS3.py --loco 4010 --day 2017-01-05</v>
      </c>
    </row>
    <row r="14" spans="1:31" s="1" customFormat="1" x14ac:dyDescent="0.25">
      <c r="A14" s="33">
        <v>42740.351597222223</v>
      </c>
      <c r="B14" s="31" t="s">
        <v>183</v>
      </c>
      <c r="C14" s="31" t="s">
        <v>467</v>
      </c>
      <c r="D14" s="31" t="s">
        <v>49</v>
      </c>
      <c r="E14" s="31" t="s">
        <v>468</v>
      </c>
      <c r="F14" s="44">
        <v>0</v>
      </c>
      <c r="G14" s="44">
        <v>692</v>
      </c>
      <c r="H14" s="44">
        <v>212940</v>
      </c>
      <c r="I14" s="44">
        <v>216990</v>
      </c>
      <c r="J14" s="31" t="s">
        <v>469</v>
      </c>
      <c r="K14" s="44">
        <v>217106</v>
      </c>
      <c r="L14" s="150" t="s">
        <v>50</v>
      </c>
      <c r="M14" s="151">
        <f t="shared" si="0"/>
        <v>61.247999999999998</v>
      </c>
      <c r="N14" s="152" t="str">
        <f>VLOOKUP(C14,'Trips&amp;Operators'!$C$1:$G$99999,5,FALSE)</f>
        <v>SANTIZO D. EDY</v>
      </c>
      <c r="O14" s="179" t="s">
        <v>351</v>
      </c>
      <c r="P14" s="153" t="s">
        <v>380</v>
      </c>
      <c r="Q14" s="31"/>
      <c r="R14" s="96" t="str">
        <f>VLOOKUP(C14,'Train Runs'!$A$13:$AE$9961,31,0)</f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S14" s="99" t="str">
        <f>VLOOKUP(C14,'Train Runs'!$A$13:$AE$9961,22,0)</f>
        <v>https://search-rtdc-monitor-bjffxe2xuh6vdkpspy63sjmuny.us-east-1.es.amazonaws.com/_plugin/kibana/#/discover/Steve-Slow-Train-Analysis-(2080s-and-2083s)?_g=(refreshInterval:(display:Off,section:0,value:0),time:(from:'2017-01-05 06:38:28-700',mode:absolute,to:'2017-01-05 09:31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4" s="101" t="str">
        <f t="shared" si="1"/>
        <v>"C:\Program Files (x86)\AstroGrep\AstroGrep.exe" /spath="%USERPROFILE%\AppData\Local\Temp\OnboardLogs" /stypes="*4009*201701051*" /stext=" 15:.+((SYSTEM_STATE.+slice.+state.+changed )|(ment ac)|(multiple cpu faults)|(system.+state.+changed )|(\[timeout)|(PRM\|1\|D)|(kpr)|(kdp)|(\|lc)|(penalty))" /e /r /s</v>
      </c>
      <c r="U14" s="9" t="str">
        <f t="shared" si="2"/>
        <v>4009</v>
      </c>
      <c r="V14" s="33">
        <f t="shared" si="3"/>
        <v>42740.643263888887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{"issue":{"subject":"Wi-MAX data drop","project_id":79,"tracker_id":40,"status_id":1,"priority_id":2,"assigned_to_id":23,"start_date":"2017-01-05","description":"","custom_fields":[{"id":1,"name":"Subdivision","value":"EC"},{"id":4,"name":"Milepost","value":"21.7106"},{"id":17,"name":"Train ID","value":"131-05"},{"id":16,"name":"Locomotive ID","value":"4009"},{"id":130,"name":"Impact","value":""},{"id":150,"name":"Time of Event (Mountain Time)","value":"08:26:18"},{"id":151,"name":"Denver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"%USERPROFILE%\AppData\Local\Temp\OnboardLogs"\RTDC4009\*4009*201701051*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"%USERPROFILE%\AppData\Local\Temp\OnboardLogs"\RTDC4009\*4009*201701051* &gt;&gt; 42740-slicedisagreementcheck.txt</v>
      </c>
      <c r="AE14" s="183" t="str">
        <f t="shared" si="8"/>
        <v>start /low /b %USERPROFILE%\Documents\GitHub\eaglep3\Utilities\DownloadLogsFromS3.py --loco 4009 --day 2017-01-05</v>
      </c>
    </row>
    <row r="15" spans="1:31" s="1" customFormat="1" x14ac:dyDescent="0.25">
      <c r="A15" s="33">
        <v>42740.434421296297</v>
      </c>
      <c r="B15" s="31" t="s">
        <v>314</v>
      </c>
      <c r="C15" s="31" t="s">
        <v>472</v>
      </c>
      <c r="D15" s="31" t="s">
        <v>49</v>
      </c>
      <c r="E15" s="31" t="s">
        <v>198</v>
      </c>
      <c r="F15" s="44">
        <v>0</v>
      </c>
      <c r="G15" s="44">
        <v>49</v>
      </c>
      <c r="H15" s="44">
        <v>149</v>
      </c>
      <c r="I15" s="44">
        <v>112</v>
      </c>
      <c r="J15" s="31" t="s">
        <v>199</v>
      </c>
      <c r="K15" s="44">
        <v>1</v>
      </c>
      <c r="L15" s="150" t="s">
        <v>51</v>
      </c>
      <c r="M15" s="151">
        <f t="shared" si="0"/>
        <v>58.607999999999997</v>
      </c>
      <c r="N15" s="152" t="str">
        <f>VLOOKUP(C15,'Trips&amp;Operators'!$C$1:$G$99999,5,FALSE)</f>
        <v>YORK EDGAR</v>
      </c>
      <c r="O15" s="179" t="s">
        <v>195</v>
      </c>
      <c r="P15" s="153"/>
      <c r="Q15" s="31"/>
      <c r="R15" s="96" t="str">
        <f>VLOOKUP(C15,'Train Runs'!$A$13:$AE$9961,31,0)</f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S15" s="99" t="str">
        <f>VLOOKUP(C15,'Train Runs'!$A$13:$AE$9961,22,0)</f>
        <v>https://search-rtdc-monitor-bjffxe2xuh6vdkpspy63sjmuny.us-east-1.es.amazonaws.com/_plugin/kibana/#/discover/Steve-Slow-Train-Analysis-(2080s-and-2083s)?_g=(refreshInterval:(display:Off,section:0,value:0),time:(from:'2017-01-05 08:29:28-700',mode:absolute,to:'2017-01-05 11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5" s="101" t="str">
        <f t="shared" si="1"/>
        <v>"C:\Program Files (x86)\AstroGrep\AstroGrep.exe" /spath="%USERPROFILE%\AppData\Local\Temp\OnboardLogs" /stypes="*4008*201701051*" /stext=" 17:.+((SYSTEM_STATE.+slice.+state.+changed )|(ment ac)|(multiple cpu faults)|(system.+state.+changed )|(\[timeout)|(PRM\|1\|D)|(kpr)|(kdp)|(\|lc)|(penalty))" /e /r /s</v>
      </c>
      <c r="U15" s="9" t="str">
        <f t="shared" si="2"/>
        <v>4008</v>
      </c>
      <c r="V15" s="33">
        <f t="shared" si="3"/>
        <v>42740.726087962961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{"issue":{"subject":"","project_id":79,"tracker_id":40,"status_id":1,"priority_id":2,"assigned_to_id":23,"start_date":"2017-01-05","description":"","custom_fields":[{"id":1,"name":"Subdivision","value":"EC"},{"id":4,"name":"Milepost","value":"0.0001"},{"id":17,"name":"Train ID","value":"142-05"},{"id":16,"name":"Locomotive ID","value":"4008"},{"id":130,"name":"Impact","value":""},{"id":150,"name":"Time of Event (Mountain Time)","value":"10:25:34"},{"id":151,"name":"Denver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"%USERPROFILE%\AppData\Local\Temp\OnboardLogs"\RTDC4008\*4008*201701051*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"%USERPROFILE%\AppData\Local\Temp\OnboardLogs"\RTDC4008\*4008*201701051* &gt;&gt; 42740-slicedisagreementcheck.txt</v>
      </c>
      <c r="AE15" s="183" t="str">
        <f t="shared" si="8"/>
        <v>start /low /b %USERPROFILE%\Documents\GitHub\eaglep3\Utilities\DownloadLogsFromS3.py --loco 4008 --day 2017-01-05</v>
      </c>
    </row>
    <row r="16" spans="1:31" s="1" customFormat="1" x14ac:dyDescent="0.25">
      <c r="A16" s="33">
        <v>42740.673935185187</v>
      </c>
      <c r="B16" s="31" t="s">
        <v>208</v>
      </c>
      <c r="C16" s="31" t="s">
        <v>481</v>
      </c>
      <c r="D16" s="31" t="s">
        <v>49</v>
      </c>
      <c r="E16" s="31" t="s">
        <v>198</v>
      </c>
      <c r="F16" s="44">
        <v>0</v>
      </c>
      <c r="G16" s="44">
        <v>58</v>
      </c>
      <c r="H16" s="44">
        <v>211</v>
      </c>
      <c r="I16" s="44">
        <v>132</v>
      </c>
      <c r="J16" s="31" t="s">
        <v>199</v>
      </c>
      <c r="K16" s="44">
        <v>1</v>
      </c>
      <c r="L16" s="150" t="s">
        <v>51</v>
      </c>
      <c r="M16" s="151">
        <f t="shared" si="0"/>
        <v>69.168000000000006</v>
      </c>
      <c r="N16" s="152" t="str">
        <f>VLOOKUP(C16,'Trips&amp;Operators'!$C$1:$G$99999,5,FALSE)</f>
        <v>HELVIE ADAM</v>
      </c>
      <c r="O16" s="179" t="s">
        <v>195</v>
      </c>
      <c r="P16" s="153"/>
      <c r="Q16" s="31"/>
      <c r="R16" s="96" t="str">
        <f>VLOOKUP(C16,'Train Runs'!$A$13:$AE$9961,31,0)</f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S16" s="99" t="str">
        <f>VLOOKUP(C16,'Train Runs'!$A$13:$AE$9961,22,0)</f>
        <v>https://search-rtdc-monitor-bjffxe2xuh6vdkpspy63sjmuny.us-east-1.es.amazonaws.com/_plugin/kibana/#/discover/Steve-Slow-Train-Analysis-(2080s-and-2083s)?_g=(refreshInterval:(display:Off,section:0,value:0),time:(from:'2017-01-05 14:17:02-700',mode:absolute,to:'2017-01-05 17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6" s="101" t="str">
        <f t="shared" si="1"/>
        <v>"C:\Program Files (x86)\AstroGrep\AstroGrep.exe" /spath="%USERPROFILE%\AppData\Local\Temp\OnboardLogs" /stypes="*4012*201701052*" /stext=" 23:.+((SYSTEM_STATE.+slice.+state.+changed )|(ment ac)|(multiple cpu faults)|(system.+state.+changed )|(\[timeout)|(PRM\|1\|D)|(kpr)|(kdp)|(\|lc)|(penalty))" /e /r /s</v>
      </c>
      <c r="U16" s="9" t="str">
        <f t="shared" si="2"/>
        <v>4012</v>
      </c>
      <c r="V16" s="33">
        <f t="shared" si="3"/>
        <v>42740.965601851851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{"issue":{"subject":"","project_id":79,"tracker_id":40,"status_id":1,"priority_id":2,"assigned_to_id":23,"start_date":"2017-01-05","description":"","custom_fields":[{"id":1,"name":"Subdivision","value":"EC"},{"id":4,"name":"Milepost","value":"0.0001"},{"id":17,"name":"Train ID","value":"188-05"},{"id":16,"name":"Locomotive ID","value":"4012"},{"id":130,"name":"Impact","value":""},{"id":150,"name":"Time of Event (Mountain Time)","value":"16:10:28"},{"id":151,"name":"Denver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"%USERPROFILE%\AppData\Local\Temp\OnboardLogs"\RTDC4012\*4012*201701052*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"%USERPROFILE%\AppData\Local\Temp\OnboardLogs"\RTDC4012\*4012*201701052* &gt;&gt; 42740-slicedisagreementcheck.txt</v>
      </c>
      <c r="AE16" s="183" t="str">
        <f t="shared" si="8"/>
        <v>start /low /b %USERPROFILE%\Documents\GitHub\eaglep3\Utilities\DownloadLogsFromS3.py --loco 4012 --day 2017-01-05</v>
      </c>
    </row>
    <row r="17" spans="1:32" s="1" customFormat="1" x14ac:dyDescent="0.25">
      <c r="A17" s="33">
        <v>42740.837453703702</v>
      </c>
      <c r="B17" s="31" t="s">
        <v>314</v>
      </c>
      <c r="C17" s="31" t="s">
        <v>485</v>
      </c>
      <c r="D17" s="31" t="s">
        <v>49</v>
      </c>
      <c r="E17" s="31" t="s">
        <v>198</v>
      </c>
      <c r="F17" s="44">
        <v>0</v>
      </c>
      <c r="G17" s="44">
        <v>29</v>
      </c>
      <c r="H17" s="44">
        <v>153</v>
      </c>
      <c r="I17" s="44">
        <v>106</v>
      </c>
      <c r="J17" s="31" t="s">
        <v>199</v>
      </c>
      <c r="K17" s="44">
        <v>1</v>
      </c>
      <c r="L17" s="150" t="s">
        <v>51</v>
      </c>
      <c r="M17" s="151">
        <f t="shared" si="0"/>
        <v>55.44</v>
      </c>
      <c r="N17" s="152" t="str">
        <f>VLOOKUP(C17,'Trips&amp;Operators'!$C$1:$G$99999,5,FALSE)</f>
        <v>HILLS DUSTIN</v>
      </c>
      <c r="O17" s="179" t="s">
        <v>351</v>
      </c>
      <c r="P17" s="153" t="s">
        <v>381</v>
      </c>
      <c r="Q17" s="31"/>
      <c r="R17" s="96" t="str">
        <f>VLOOKUP(C17,'Train Runs'!$A$13:$AE$9961,31,0)</f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S17" s="99" t="str">
        <f>VLOOKUP(C17,'Train Runs'!$A$13:$AE$9961,22,0)</f>
        <v>https://search-rtdc-monitor-bjffxe2xuh6vdkpspy63sjmuny.us-east-1.es.amazonaws.com/_plugin/kibana/#/discover/Steve-Slow-Train-Analysis-(2080s-and-2083s)?_g=(refreshInterval:(display:Off,section:0,value:0),time:(from:'2017-01-05 18:23:58-700',mode:absolute,to:'2017-01-05 21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7" s="101" t="str">
        <f t="shared" si="1"/>
        <v>"C:\Program Files (x86)\AstroGrep\AstroGrep.exe" /spath="%USERPROFILE%\AppData\Local\Temp\OnboardLogs" /stypes="*4008*201701060*" /stext=" 03:.+((SYSTEM_STATE.+slice.+state.+changed )|(ment ac)|(multiple cpu faults)|(system.+state.+changed )|(\[timeout)|(PRM\|1\|D)|(kpr)|(kdp)|(\|lc)|(penalty))" /e /r /s</v>
      </c>
      <c r="U17" s="9" t="str">
        <f t="shared" si="2"/>
        <v>4008</v>
      </c>
      <c r="V17" s="33">
        <f t="shared" si="3"/>
        <v>42741.129120370366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{"issue":{"subject":"Banner without braking","project_id":79,"tracker_id":40,"status_id":1,"priority_id":2,"assigned_to_id":23,"start_date":"2017-01-05","description":"","custom_fields":[{"id":1,"name":"Subdivision","value":"EC"},{"id":4,"name":"Milepost","value":"0.0001"},{"id":17,"name":"Train ID","value":"220-05"},{"id":16,"name":"Locomotive ID","value":"4008"},{"id":130,"name":"Impact","value":""},{"id":150,"name":"Time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"%USERPROFILE%\AppData\Local\Temp\OnboardLogs"\RTDC4008\*4008*201701060*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"%USERPROFILE%\AppData\Local\Temp\OnboardLogs"\RTDC4008\*4008*201701060* &gt;&gt; 42740-slicedisagreementcheck.txt</v>
      </c>
      <c r="AE17" s="183" t="str">
        <f t="shared" si="8"/>
        <v>start /low /b %USERPROFILE%\Documents\GitHub\eaglep3\Utilities\DownloadLogsFromS3.py --loco 4008 --day 2017-01-06</v>
      </c>
    </row>
    <row r="18" spans="1:32" s="1" customFormat="1" x14ac:dyDescent="0.25">
      <c r="A18" s="33">
        <v>42741.003634259258</v>
      </c>
      <c r="B18" s="31" t="s">
        <v>315</v>
      </c>
      <c r="C18" s="31" t="s">
        <v>491</v>
      </c>
      <c r="D18" s="31" t="s">
        <v>49</v>
      </c>
      <c r="E18" s="31" t="s">
        <v>198</v>
      </c>
      <c r="F18" s="44">
        <v>0</v>
      </c>
      <c r="G18" s="44">
        <v>72</v>
      </c>
      <c r="H18" s="44">
        <v>134</v>
      </c>
      <c r="I18" s="44">
        <v>50</v>
      </c>
      <c r="J18" s="31" t="s">
        <v>199</v>
      </c>
      <c r="K18" s="44">
        <v>1</v>
      </c>
      <c r="L18" s="150" t="s">
        <v>51</v>
      </c>
      <c r="M18" s="151">
        <f t="shared" si="0"/>
        <v>25.872</v>
      </c>
      <c r="N18" s="152" t="str">
        <f>VLOOKUP(C18,'Trips&amp;Operators'!$C$1:$G$99999,5,FALSE)</f>
        <v>HILLS DUSTIN</v>
      </c>
      <c r="O18" s="179" t="s">
        <v>195</v>
      </c>
      <c r="P18" s="153"/>
      <c r="Q18" s="31"/>
      <c r="R18" s="96" t="str">
        <f>VLOOKUP(C18,'Train Runs'!$A$13:$AE$9961,31,0)</f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S18" s="99" t="str">
        <f>VLOOKUP(C18,'Train Runs'!$A$13:$AE$9961,22,0)</f>
        <v>https://search-rtdc-monitor-bjffxe2xuh6vdkpspy63sjmuny.us-east-1.es.amazonaws.com/_plugin/kibana/#/discover/Steve-Slow-Train-Analysis-(2080s-and-2083s)?_g=(refreshInterval:(display:Off,section:0,value:0),time:(from:'2017-01-05 22:12:12-700',mode:absolute,to:'2017-01-06 01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8" s="101" t="str">
        <f t="shared" si="1"/>
        <v>"C:\Program Files (x86)\AstroGrep\AstroGrep.exe" /spath="%USERPROFILE%\AppData\Local\Temp\OnboardLogs" /stypes="*4021*201701060*" /stext=" 07:.+((SYSTEM_STATE.+slice.+state.+changed )|(ment ac)|(multiple cpu faults)|(system.+state.+changed )|(\[timeout)|(PRM\|1\|D)|(kpr)|(kdp)|(\|lc)|(penalty))" /e /r /s</v>
      </c>
      <c r="U18" s="9" t="str">
        <f t="shared" si="2"/>
        <v>4021</v>
      </c>
      <c r="V18" s="33">
        <f t="shared" si="3"/>
        <v>42741.295300925922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{"issue":{"subject":"","project_id":79,"tracker_id":40,"status_id":1,"priority_id":2,"assigned_to_id":23,"start_date":"2017-01-06","description":"","custom_fields":[{"id":1,"name":"Subdivision","value":"EC"},{"id":4,"name":"Milepost","value":"0.0001"},{"id":17,"name":"Train ID","value":"236-05"},{"id":16,"name":"Locomotive ID","value":"4021"},{"id":130,"name":"Impact","value":""},{"id":150,"name":"Time of Event (Mountain Time)","value":"00:05:14"},{"id":151,"name":"Denver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"%USERPROFILE%\AppData\Local\Temp\OnboardLogs"\RTDC4021\*4021*201701060*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"%USERPROFILE%\AppData\Local\Temp\OnboardLogs"\RTDC4021\*4021*201701060* &gt;&gt; 42740-slicedisagreementcheck.txt</v>
      </c>
      <c r="AE18" s="183" t="str">
        <f t="shared" si="8"/>
        <v>start /low /b %USERPROFILE%\Documents\GitHub\eaglep3\Utilities\DownloadLogsFromS3.py --loco 4021 --day 2017-01-06</v>
      </c>
    </row>
    <row r="19" spans="1:32" x14ac:dyDescent="0.25">
      <c r="A19" s="33">
        <v>42740.299421296295</v>
      </c>
      <c r="B19" s="31" t="s">
        <v>252</v>
      </c>
      <c r="C19" s="31" t="s">
        <v>466</v>
      </c>
      <c r="D19" s="31" t="s">
        <v>49</v>
      </c>
      <c r="E19" s="31" t="s">
        <v>198</v>
      </c>
      <c r="F19" s="44">
        <v>0</v>
      </c>
      <c r="G19" s="44">
        <v>34</v>
      </c>
      <c r="H19" s="44">
        <v>926</v>
      </c>
      <c r="I19" s="44">
        <v>892</v>
      </c>
      <c r="J19" s="31" t="s">
        <v>199</v>
      </c>
      <c r="K19" s="44">
        <v>839</v>
      </c>
      <c r="L19" s="150" t="s">
        <v>51</v>
      </c>
      <c r="M19" s="151">
        <f t="shared" si="0"/>
        <v>27.984000000000002</v>
      </c>
      <c r="N19" s="152" t="str">
        <f>VLOOKUP(C19,'Trips&amp;Operators'!$C$1:$G$99999,5,FALSE)</f>
        <v>ISHMAEL JOSEPH</v>
      </c>
      <c r="O19" s="179" t="s">
        <v>195</v>
      </c>
      <c r="P19" s="153"/>
      <c r="Q19" s="31"/>
      <c r="R19" s="96" t="str">
        <f>VLOOKUP(C19,'Train Runs'!$A$13:$AE$9961,31,0)</f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S19" s="99" t="str">
        <f>VLOOKUP(C19,'Train Runs'!$A$13:$AE$9961,22,0)</f>
        <v>https://search-rtdc-monitor-bjffxe2xuh6vdkpspy63sjmuny.us-east-1.es.amazonaws.com/_plugin/kibana/#/discover/Steve-Slow-Train-Analysis-(2080s-and-2083s)?_g=(refreshInterval:(display:Off,section:0,value:0),time:(from:'2017-01-05 05:19:42-700',mode:absolute,to:'2017-01-05 08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1" t="str">
        <f t="shared" si="1"/>
        <v>"C:\Program Files (x86)\AstroGrep\AstroGrep.exe" /spath="%USERPROFILE%\AppData\Local\Temp\OnboardLogs" /stypes="*4013*201701051*" /stext=" 14:.+((SYSTEM_STATE.+slice.+state.+changed )|(ment ac)|(multiple cpu faults)|(system.+state.+changed )|(\[timeout)|(PRM\|1\|D)|(kpr)|(kdp)|(\|lc)|(penalty))" /e /r /s</v>
      </c>
      <c r="U19" s="9" t="str">
        <f t="shared" si="2"/>
        <v>4013</v>
      </c>
      <c r="V19" s="33">
        <f t="shared" si="3"/>
        <v>42740.591087962959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ID","value":"116-05"},{"id":16,"name":"Locomotive ID","value":"4013"},{"id":130,"name":"Impact","value":""},{"id":150,"name":"Time of Event (Mountain Time)","value":"07:11:10"},{"id":151,"name":"Denver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"%USERPROFILE%\AppData\Local\Temp\OnboardLogs"\RTDC4013\*4013*201701051*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"%USERPROFILE%\AppData\Local\Temp\OnboardLogs"\RTDC4013\*4013*201701051* &gt;&gt; 42740-slicedisagreementcheck.txt</v>
      </c>
      <c r="AE19" s="183" t="str">
        <f t="shared" si="8"/>
        <v>start /low /b %USERPROFILE%\Documents\GitHub\eaglep3\Utilities\DownloadLogsFromS3.py --loco 4013 --day 2017-01-05</v>
      </c>
      <c r="AF19" s="1"/>
    </row>
    <row r="20" spans="1:32" x14ac:dyDescent="0.25">
      <c r="A20" s="33">
        <v>42740.300451388888</v>
      </c>
      <c r="B20" s="31" t="s">
        <v>252</v>
      </c>
      <c r="C20" s="31" t="s">
        <v>466</v>
      </c>
      <c r="D20" s="31" t="s">
        <v>49</v>
      </c>
      <c r="E20" s="31" t="s">
        <v>198</v>
      </c>
      <c r="F20" s="44">
        <v>0</v>
      </c>
      <c r="G20" s="44">
        <v>9</v>
      </c>
      <c r="H20" s="44">
        <v>879</v>
      </c>
      <c r="I20" s="44">
        <v>862</v>
      </c>
      <c r="J20" s="31" t="s">
        <v>199</v>
      </c>
      <c r="K20" s="44">
        <v>839</v>
      </c>
      <c r="L20" s="150" t="s">
        <v>51</v>
      </c>
      <c r="M20" s="151">
        <f t="shared" si="0"/>
        <v>12.144</v>
      </c>
      <c r="N20" s="152" t="str">
        <f>VLOOKUP(C20,'Trips&amp;Operators'!$C$1:$G$99999,5,FALSE)</f>
        <v>ISHMAEL JOSEPH</v>
      </c>
      <c r="O20" s="179" t="s">
        <v>195</v>
      </c>
      <c r="P20" s="153"/>
      <c r="Q20" s="31"/>
      <c r="R20" s="96" t="str">
        <f>VLOOKUP(C20,'Train Runs'!$A$13:$AE$9961,31,0)</f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S20" s="99" t="str">
        <f>VLOOKUP(C20,'Train Runs'!$A$13:$AE$9961,22,0)</f>
        <v>https://search-rtdc-monitor-bjffxe2xuh6vdkpspy63sjmuny.us-east-1.es.amazonaws.com/_plugin/kibana/#/discover/Steve-Slow-Train-Analysis-(2080s-and-2083s)?_g=(refreshInterval:(display:Off,section:0,value:0),time:(from:'2017-01-05 05:19:42-700',mode:absolute,to:'2017-01-05 08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0" s="101" t="str">
        <f t="shared" si="1"/>
        <v>"C:\Program Files (x86)\AstroGrep\AstroGrep.exe" /spath="%USERPROFILE%\AppData\Local\Temp\OnboardLogs" /stypes="*4013*201701051*" /stext=" 14:.+((SYSTEM_STATE.+slice.+state.+changed )|(ment ac)|(multiple cpu faults)|(system.+state.+changed )|(\[timeout)|(PRM\|1\|D)|(kpr)|(kdp)|(\|lc)|(penalty))" /e /r /s</v>
      </c>
      <c r="U20" s="9" t="str">
        <f t="shared" si="2"/>
        <v>4013</v>
      </c>
      <c r="V20" s="33">
        <f t="shared" si="3"/>
        <v>42740.592118055552</v>
      </c>
      <c r="W20" s="47" t="str">
        <f t="shared" si="4"/>
        <v>EC</v>
      </c>
      <c r="X20" s="47" t="str">
        <f t="shared" si="5"/>
        <v>OMIT</v>
      </c>
      <c r="Y20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ID","value":"116-05"},{"id":16,"name":"Locomotive ID","value":"4013"},{"id":130,"name":"Impact","value":""},{"id":150,"name":"Time of Event (Mountain Time)","value":"07:12:39"},{"id":151,"name":"Denver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"%USERPROFILE%\AppData\Local\Temp\OnboardLogs"\RTDC4013\*4013*201701051*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"%USERPROFILE%\AppData\Local\Temp\OnboardLogs"\RTDC4013\*4013*201701051* &gt;&gt; 42740-slicedisagreementcheck.txt</v>
      </c>
      <c r="AE20" s="183" t="str">
        <f t="shared" si="8"/>
        <v>start /low /b %USERPROFILE%\Documents\GitHub\eaglep3\Utilities\DownloadLogsFromS3.py --loco 4013 --day 2017-01-05</v>
      </c>
      <c r="AF20" s="1"/>
    </row>
    <row r="21" spans="1:32" ht="15" customHeight="1" x14ac:dyDescent="0.25">
      <c r="A21" s="33">
        <v>42740.300810185188</v>
      </c>
      <c r="B21" s="31" t="s">
        <v>252</v>
      </c>
      <c r="C21" s="31" t="s">
        <v>466</v>
      </c>
      <c r="D21" s="31" t="s">
        <v>49</v>
      </c>
      <c r="E21" s="31" t="s">
        <v>198</v>
      </c>
      <c r="F21" s="44">
        <v>0</v>
      </c>
      <c r="G21" s="44">
        <v>9</v>
      </c>
      <c r="H21" s="44">
        <v>858</v>
      </c>
      <c r="I21" s="44">
        <v>854</v>
      </c>
      <c r="J21" s="31" t="s">
        <v>199</v>
      </c>
      <c r="K21" s="44">
        <v>839</v>
      </c>
      <c r="L21" s="150" t="s">
        <v>51</v>
      </c>
      <c r="M21" s="151">
        <f t="shared" si="0"/>
        <v>7.92</v>
      </c>
      <c r="N21" s="152" t="str">
        <f>VLOOKUP(C21,'Trips&amp;Operators'!$C$1:$G$99999,5,FALSE)</f>
        <v>ISHMAEL JOSEPH</v>
      </c>
      <c r="O21" s="179" t="s">
        <v>195</v>
      </c>
      <c r="P21" s="153"/>
      <c r="Q21" s="31"/>
      <c r="R21" s="96" t="str">
        <f>VLOOKUP(C21,'Train Runs'!$A$13:$AE$9961,31,0)</f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S21" s="99" t="str">
        <f>VLOOKUP(C21,'Train Runs'!$A$13:$AE$9961,22,0)</f>
        <v>https://search-rtdc-monitor-bjffxe2xuh6vdkpspy63sjmuny.us-east-1.es.amazonaws.com/_plugin/kibana/#/discover/Steve-Slow-Train-Analysis-(2080s-and-2083s)?_g=(refreshInterval:(display:Off,section:0,value:0),time:(from:'2017-01-05 05:19:42-700',mode:absolute,to:'2017-01-05 08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1" s="101" t="str">
        <f t="shared" si="1"/>
        <v>"C:\Program Files (x86)\AstroGrep\AstroGrep.exe" /spath="%USERPROFILE%\AppData\Local\Temp\OnboardLogs" /stypes="*4013*201701051*" /stext=" 14:.+((SYSTEM_STATE.+slice.+state.+changed )|(ment ac)|(multiple cpu faults)|(system.+state.+changed )|(\[timeout)|(PRM\|1\|D)|(kpr)|(kdp)|(\|lc)|(penalty))" /e /r /s</v>
      </c>
      <c r="U21" s="9" t="str">
        <f t="shared" si="2"/>
        <v>4013</v>
      </c>
      <c r="V21" s="33">
        <f t="shared" si="3"/>
        <v>42740.592476851853</v>
      </c>
      <c r="W21" s="47" t="str">
        <f t="shared" si="4"/>
        <v>EC</v>
      </c>
      <c r="X21" s="47" t="str">
        <f t="shared" si="5"/>
        <v>OMIT</v>
      </c>
      <c r="Y21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ID","value":"116-05"},{"id":16,"name":"Locomotive ID","value":"4013"},{"id":130,"name":"Impact","value":""},{"id":150,"name":"Time of Event (Mountain Time)","value":"07:13:10"},{"id":151,"name":"Denver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"%USERPROFILE%\AppData\Local\Temp\OnboardLogs"\RTDC4013\*4013*201701051*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"%USERPROFILE%\AppData\Local\Temp\OnboardLogs"\RTDC4013\*4013*201701051* &gt;&gt; 42740-slicedisagreementcheck.txt</v>
      </c>
      <c r="AE21" s="183" t="str">
        <f t="shared" si="8"/>
        <v>start /low /b %USERPROFILE%\Documents\GitHub\eaglep3\Utilities\DownloadLogsFromS3.py --loco 4013 --day 2017-01-05</v>
      </c>
      <c r="AF21" s="1"/>
    </row>
    <row r="22" spans="1:32" x14ac:dyDescent="0.25">
      <c r="A22" s="33">
        <v>42740.566504629627</v>
      </c>
      <c r="B22" s="31" t="s">
        <v>325</v>
      </c>
      <c r="C22" s="31" t="s">
        <v>477</v>
      </c>
      <c r="D22" s="31" t="s">
        <v>49</v>
      </c>
      <c r="E22" s="31" t="s">
        <v>198</v>
      </c>
      <c r="F22" s="44">
        <v>0</v>
      </c>
      <c r="G22" s="44">
        <v>44</v>
      </c>
      <c r="H22" s="44">
        <v>947</v>
      </c>
      <c r="I22" s="44">
        <v>888</v>
      </c>
      <c r="J22" s="31" t="s">
        <v>199</v>
      </c>
      <c r="K22" s="44">
        <v>839</v>
      </c>
      <c r="L22" s="150" t="s">
        <v>51</v>
      </c>
      <c r="M22" s="151">
        <f t="shared" si="0"/>
        <v>25.872</v>
      </c>
      <c r="N22" s="152" t="str">
        <f>VLOOKUP(C22,'Trips&amp;Operators'!$C$1:$G$99999,5,FALSE)</f>
        <v>STRICKLAND EVAN</v>
      </c>
      <c r="O22" s="179" t="s">
        <v>195</v>
      </c>
      <c r="P22" s="153"/>
      <c r="Q22" s="31"/>
      <c r="R22" s="96" t="str">
        <f>VLOOKUP(C22,'Train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22" s="99" t="str">
        <f>VLOOKUP(C22,'Train Runs'!$A$13:$AE$9961,22,0)</f>
        <v>https://search-rtdc-monitor-bjffxe2xuh6vdkpspy63sjmuny.us-east-1.es.amazonaws.com/_plugin/kibana/#/discover/Steve-Slow-Train-Analysis-(2080s-and-2083s)?_g=(refreshInterval:(display:Off,section:0,value:0),time:(from:'2017-01-05 11:46:01-700',mode:absolute,to:'2017-01-05 14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2" s="101" t="str">
        <f t="shared" si="1"/>
        <v>"C:\Program Files (x86)\AstroGrep\AstroGrep.exe" /spath="%USERPROFILE%\AppData\Local\Temp\OnboardLogs" /stypes="*4032*201701052*" /stext=" 20:.+((SYSTEM_STATE.+slice.+state.+changed )|(ment ac)|(multiple cpu faults)|(system.+state.+changed )|(\[timeout)|(PRM\|1\|D)|(kpr)|(kdp)|(\|lc)|(penalty))" /e /r /s</v>
      </c>
      <c r="U22" s="9" t="str">
        <f t="shared" si="2"/>
        <v>4032</v>
      </c>
      <c r="V22" s="33">
        <f t="shared" si="3"/>
        <v>42740.858171296291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ID","value":"166-05"},{"id":16,"name":"Locomotive ID","value":"4032"},{"id":130,"name":"Impact","value":""},{"id":150,"name":"Time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"%USERPROFILE%\AppData\Local\Temp\OnboardLogs"\RTDC4032\*4032*201701052*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"%USERPROFILE%\AppData\Local\Temp\OnboardLogs"\RTDC4032\*4032*201701052* &gt;&gt; 42740-slicedisagreementcheck.txt</v>
      </c>
      <c r="AE22" s="183" t="str">
        <f t="shared" si="8"/>
        <v>start /low /b %USERPROFILE%\Documents\GitHub\eaglep3\Utilities\DownloadLogsFromS3.py --loco 4032 --day 2017-01-05</v>
      </c>
      <c r="AF22" s="1"/>
    </row>
    <row r="23" spans="1:32" x14ac:dyDescent="0.25">
      <c r="A23" s="33">
        <v>42740.882534722223</v>
      </c>
      <c r="B23" s="31" t="s">
        <v>315</v>
      </c>
      <c r="C23" s="31" t="s">
        <v>486</v>
      </c>
      <c r="D23" s="31" t="s">
        <v>49</v>
      </c>
      <c r="E23" s="31" t="s">
        <v>198</v>
      </c>
      <c r="F23" s="44">
        <v>0</v>
      </c>
      <c r="G23" s="44">
        <v>21</v>
      </c>
      <c r="H23" s="44">
        <v>869</v>
      </c>
      <c r="I23" s="44">
        <v>845</v>
      </c>
      <c r="J23" s="31" t="s">
        <v>199</v>
      </c>
      <c r="K23" s="44">
        <v>839</v>
      </c>
      <c r="L23" s="150" t="s">
        <v>51</v>
      </c>
      <c r="M23" s="151">
        <f t="shared" si="0"/>
        <v>3.1680000000000001</v>
      </c>
      <c r="N23" s="152" t="str">
        <f>VLOOKUP(C23,'Trips&amp;Operators'!$C$1:$G$99999,5,FALSE)</f>
        <v>NEWELL JAMES</v>
      </c>
      <c r="O23" s="179" t="s">
        <v>195</v>
      </c>
      <c r="P23" s="153"/>
      <c r="Q23" s="31"/>
      <c r="R23" s="96" t="str">
        <f>VLOOKUP(C23,'Train Runs'!$A$13:$AE$9961,31,0)</f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S23" s="99" t="str">
        <f>VLOOKUP(C23,'Train Runs'!$A$13:$AE$9961,22,0)</f>
        <v>https://search-rtdc-monitor-bjffxe2xuh6vdkpspy63sjmuny.us-east-1.es.amazonaws.com/_plugin/kibana/#/discover/Steve-Slow-Train-Analysis-(2080s-and-2083s)?_g=(refreshInterval:(display:Off,section:0,value:0),time:(from:'2017-01-05 19:09:30-700',mode:absolute,to:'2017-01-05 22:10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3" s="101" t="str">
        <f t="shared" si="1"/>
        <v>"C:\Program Files (x86)\AstroGrep\AstroGrep.exe" /spath="%USERPROFILE%\AppData\Local\Temp\OnboardLogs" /stypes="*4021*201701060*" /stext=" 04:.+((SYSTEM_STATE.+slice.+state.+changed )|(ment ac)|(multiple cpu faults)|(system.+state.+changed )|(\[timeout)|(PRM\|1\|D)|(kpr)|(kdp)|(\|lc)|(penalty))" /e /r /s</v>
      </c>
      <c r="U23" s="9" t="str">
        <f t="shared" si="2"/>
        <v>4021</v>
      </c>
      <c r="V23" s="33">
        <f t="shared" si="3"/>
        <v>42741.174201388887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ID","value":"224-05"},{"id":16,"name":"Locomotive ID","value":"4021"},{"id":130,"name":"Impact","value":""},{"id":150,"name":"Time of Event (Mountain Time)","value":"21:10:51"},{"id":151,"name":"Denver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"%USERPROFILE%\AppData\Local\Temp\OnboardLogs"\RTDC4021\*4021*201701060*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"%USERPROFILE%\AppData\Local\Temp\OnboardLogs"\RTDC4021\*4021*201701060* &gt;&gt; 42740-slicedisagreementcheck.txt</v>
      </c>
      <c r="AE23" s="183" t="str">
        <f t="shared" si="8"/>
        <v>start /low /b %USERPROFILE%\Documents\GitHub\eaglep3\Utilities\DownloadLogsFromS3.py --loco 4021 --day 2017-01-06</v>
      </c>
      <c r="AF23" s="1"/>
    </row>
    <row r="24" spans="1:32" x14ac:dyDescent="0.25">
      <c r="A24" s="33">
        <v>42740.924583333333</v>
      </c>
      <c r="B24" s="31" t="s">
        <v>208</v>
      </c>
      <c r="C24" s="31" t="s">
        <v>487</v>
      </c>
      <c r="D24" s="31" t="s">
        <v>49</v>
      </c>
      <c r="E24" s="31" t="s">
        <v>198</v>
      </c>
      <c r="F24" s="44">
        <v>0</v>
      </c>
      <c r="G24" s="44">
        <v>54</v>
      </c>
      <c r="H24" s="44">
        <v>1039</v>
      </c>
      <c r="I24" s="44">
        <v>984</v>
      </c>
      <c r="J24" s="31" t="s">
        <v>199</v>
      </c>
      <c r="K24" s="44">
        <v>839</v>
      </c>
      <c r="L24" s="150" t="s">
        <v>51</v>
      </c>
      <c r="M24" s="151">
        <f t="shared" si="0"/>
        <v>76.56</v>
      </c>
      <c r="N24" s="152" t="str">
        <f>VLOOKUP(C24,'Trips&amp;Operators'!$C$1:$G$99999,5,FALSE)</f>
        <v>HILLS DUSTIN</v>
      </c>
      <c r="O24" s="179" t="s">
        <v>195</v>
      </c>
      <c r="P24" s="153"/>
      <c r="Q24" s="31"/>
      <c r="R24" s="96" t="str">
        <f>VLOOKUP(C24,'Train Runs'!$A$13:$AE$9961,31,0)</f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S24" s="99" t="str">
        <f>VLOOKUP(C24,'Train Runs'!$A$13:$AE$9961,22,0)</f>
        <v>https://search-rtdc-monitor-bjffxe2xuh6vdkpspy63sjmuny.us-east-1.es.amazonaws.com/_plugin/kibana/#/discover/Steve-Slow-Train-Analysis-(2080s-and-2083s)?_g=(refreshInterval:(display:Off,section:0,value:0),time:(from:'2017-01-05 20:08:55-700',mode:absolute,to:'2017-01-05 23:10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1" t="str">
        <f t="shared" si="1"/>
        <v>"C:\Program Files (x86)\AstroGrep\AstroGrep.exe" /spath="%USERPROFILE%\AppData\Local\Temp\OnboardLogs" /stypes="*4012*201701060*" /stext=" 05:.+((SYSTEM_STATE.+slice.+state.+changed )|(ment ac)|(multiple cpu faults)|(system.+state.+changed )|(\[timeout)|(PRM\|1\|D)|(kpr)|(kdp)|(\|lc)|(penalty))" /e /r /s</v>
      </c>
      <c r="U24" s="9" t="str">
        <f t="shared" si="2"/>
        <v>4012</v>
      </c>
      <c r="V24" s="33">
        <f t="shared" si="3"/>
        <v>42741.216249999998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ID","value":"228-05"},{"id":16,"name":"Locomotive ID","value":"4012"},{"id":130,"name":"Impact","value":""},{"id":150,"name":"Time of Event (Mountain Time)","value":"22:11:24"},{"id":151,"name":"Denver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"%USERPROFILE%\AppData\Local\Temp\OnboardLogs"\RTDC4012\*4012*201701060*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"%USERPROFILE%\AppData\Local\Temp\OnboardLogs"\RTDC4012\*4012*201701060* &gt;&gt; 42740-slicedisagreementcheck.txt</v>
      </c>
      <c r="AE24" s="183" t="str">
        <f t="shared" si="8"/>
        <v>start /low /b %USERPROFILE%\Documents\GitHub\eaglep3\Utilities\DownloadLogsFromS3.py --loco 4012 --day 2017-01-06</v>
      </c>
      <c r="AF24" s="1"/>
    </row>
    <row r="25" spans="1:32" x14ac:dyDescent="0.25">
      <c r="A25" s="33">
        <v>42740.203402777777</v>
      </c>
      <c r="B25" s="31" t="s">
        <v>296</v>
      </c>
      <c r="C25" s="31" t="s">
        <v>464</v>
      </c>
      <c r="D25" s="31" t="s">
        <v>49</v>
      </c>
      <c r="E25" s="31" t="s">
        <v>198</v>
      </c>
      <c r="F25" s="44">
        <v>0</v>
      </c>
      <c r="G25" s="44">
        <v>157</v>
      </c>
      <c r="H25" s="44">
        <v>232528</v>
      </c>
      <c r="I25" s="44">
        <v>232738</v>
      </c>
      <c r="J25" s="31" t="s">
        <v>199</v>
      </c>
      <c r="K25" s="44">
        <v>233491</v>
      </c>
      <c r="L25" s="150" t="s">
        <v>50</v>
      </c>
      <c r="M25" s="151">
        <f t="shared" si="0"/>
        <v>397.584</v>
      </c>
      <c r="N25" s="152" t="str">
        <f>VLOOKUP(C25,'Trips&amp;Operators'!$C$1:$G$99999,5,FALSE)</f>
        <v>ROBINSON KADDIBA</v>
      </c>
      <c r="O25" s="179" t="s">
        <v>195</v>
      </c>
      <c r="P25" s="153"/>
      <c r="Q25" s="31"/>
      <c r="R25" s="96" t="str">
        <f>VLOOKUP(C25,'Train Runs'!$A$13:$AE$9961,31,0)</f>
        <v>aws s3 cp s3://rtdc.mdm.uploadarchive.raw/RTDC4018/ "%USERPROFILE%\AppData\Local\Temp\OnboardLogs"\RTDC4018\2017-01-05 --exclude "*" --recursive --include "*20170105*" &amp; "%USERPROFILE%\Documents\GitHub\mrs-test-scripts\Headless Mode &amp; Sideloading\WalkAndUnGZ.bat" "%USERPROFILE%\AppData\Local\Temp\OnboardLogs"\RTDC4018\2017-01-05 &amp; 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</v>
      </c>
      <c r="S25" s="99" t="str">
        <f>VLOOKUP(C25,'Train Runs'!$A$13:$AE$9961,22,0)</f>
        <v>https://search-rtdc-monitor-bjffxe2xuh6vdkpspy63sjmuny.us-east-1.es.amazonaws.com/_plugin/kibana/#/discover/Steve-Slow-Train-Analysis-(2080s-and-2083s)?_g=(refreshInterval:(display:Off,section:0,value:0),time:(from:'2017-01-05 03:03:03-700',mode:absolute,to:'2017-01-05 05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5" s="101" t="str">
        <f t="shared" si="1"/>
        <v>"C:\Program Files (x86)\AstroGrep\AstroGrep.exe" /spath="%USERPROFILE%\AppData\Local\Temp\OnboardLogs" /stypes="*4018*201701051*" /stext=" 11:.+((SYSTEM_STATE.+slice.+state.+changed )|(ment ac)|(multiple cpu faults)|(system.+state.+changed )|(\[timeout)|(PRM\|1\|D)|(kpr)|(kdp)|(\|lc)|(penalty))" /e /r /s</v>
      </c>
      <c r="U25" s="9" t="str">
        <f t="shared" si="2"/>
        <v>4018</v>
      </c>
      <c r="V25" s="33">
        <f t="shared" si="3"/>
        <v>42740.495069444441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{"issue":{"subject":"","project_id":79,"tracker_id":40,"status_id":1,"priority_id":2,"assigned_to_id":23,"start_date":"2017-01-05","description":"","custom_fields":[{"id":1,"name":"Subdivision","value":"EC"},{"id":4,"name":"Milepost","value":"23.3491"},{"id":17,"name":"Train ID","value":"105-05"},{"id":16,"name":"Locomotive ID","value":"4018"},{"id":130,"name":"Impact","value":""},{"id":150,"name":"Time of Event (Mountain Time)","value":"04:52:54"},{"id":151,"name":"Denver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"%USERPROFILE%\AppData\Local\Temp\OnboardLogs"\RTDC4018\*4018*201701051*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"%USERPROFILE%\AppData\Local\Temp\OnboardLogs"\RTDC4018\*4018*201701051* &gt;&gt; 42740-slicedisagreementcheck.txt</v>
      </c>
      <c r="AE25" s="183" t="str">
        <f t="shared" si="8"/>
        <v>start /low /b %USERPROFILE%\Documents\GitHub\eaglep3\Utilities\DownloadLogsFromS3.py --loco 4018 --day 2017-01-05</v>
      </c>
      <c r="AF25" s="1"/>
    </row>
    <row r="26" spans="1:32" x14ac:dyDescent="0.25">
      <c r="A26" s="33">
        <v>42740.963645833333</v>
      </c>
      <c r="B26" s="31" t="s">
        <v>212</v>
      </c>
      <c r="C26" s="31" t="s">
        <v>489</v>
      </c>
      <c r="D26" s="31" t="s">
        <v>49</v>
      </c>
      <c r="E26" s="31" t="s">
        <v>198</v>
      </c>
      <c r="F26" s="44">
        <v>0</v>
      </c>
      <c r="G26" s="44">
        <v>62</v>
      </c>
      <c r="H26" s="44">
        <v>233344</v>
      </c>
      <c r="I26" s="44">
        <v>233398</v>
      </c>
      <c r="J26" s="31" t="s">
        <v>199</v>
      </c>
      <c r="K26" s="44">
        <v>233491</v>
      </c>
      <c r="L26" s="150" t="s">
        <v>50</v>
      </c>
      <c r="M26" s="151">
        <f t="shared" si="0"/>
        <v>49.103999999999999</v>
      </c>
      <c r="N26" s="152" t="str">
        <f>VLOOKUP(C26,'Trips&amp;Operators'!$C$1:$G$99999,5,FALSE)</f>
        <v>HILLS DUSTIN</v>
      </c>
      <c r="O26" s="179" t="s">
        <v>195</v>
      </c>
      <c r="P26" s="153"/>
      <c r="Q26" s="31"/>
      <c r="R26" s="96" t="str">
        <f>VLOOKUP(C26,'Train Runs'!$A$13:$AE$9961,31,0)</f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S26" s="99" t="str">
        <f>VLOOKUP(C26,'Train Runs'!$A$13:$AE$9961,22,0)</f>
        <v>https://search-rtdc-monitor-bjffxe2xuh6vdkpspy63sjmuny.us-east-1.es.amazonaws.com/_plugin/kibana/#/discover/Steve-Slow-Train-Analysis-(2080s-and-2083s)?_g=(refreshInterval:(display:Off,section:0,value:0),time:(from:'2017-01-05 21:17:04-700',mode:absolute,to:'2017-01-06 00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26" s="101" t="str">
        <f t="shared" si="1"/>
        <v>"C:\Program Files (x86)\AstroGrep\AstroGrep.exe" /spath="%USERPROFILE%\AppData\Local\Temp\OnboardLogs" /stypes="*4022*201701060*" /stext=" 06:.+((SYSTEM_STATE.+slice.+state.+changed )|(ment ac)|(multiple cpu faults)|(system.+state.+changed )|(\[timeout)|(PRM\|1\|D)|(kpr)|(kdp)|(\|lc)|(penalty))" /e /r /s</v>
      </c>
      <c r="U26" s="9" t="str">
        <f t="shared" si="2"/>
        <v>4022</v>
      </c>
      <c r="V26" s="33">
        <f t="shared" si="3"/>
        <v>42741.255312499998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{"issue":{"subject":"","project_id":79,"tracker_id":40,"status_id":1,"priority_id":2,"assigned_to_id":23,"start_date":"2017-01-05","description":"","custom_fields":[{"id":1,"name":"Subdivision","value":"EC"},{"id":4,"name":"Milepost","value":"23.3491"},{"id":17,"name":"Train ID","value":"235-05"},{"id":16,"name":"Locomotive ID","value":"4022"},{"id":130,"name":"Impact","value":""},{"id":150,"name":"Time of Event (Mountain Time)","value":"23:07:39"},{"id":151,"name":"Denver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"%USERPROFILE%\AppData\Local\Temp\OnboardLogs"\RTDC4022\*4022*201701060*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"%USERPROFILE%\AppData\Local\Temp\OnboardLogs"\RTDC4022\*4022*201701060* &gt;&gt; 42740-slicedisagreementcheck.txt</v>
      </c>
      <c r="AE26" s="183" t="str">
        <f t="shared" si="8"/>
        <v>start /low /b %USERPROFILE%\Documents\GitHub\eaglep3\Utilities\DownloadLogsFromS3.py --loco 4022 --day 2017-01-06</v>
      </c>
      <c r="AF26" s="1"/>
    </row>
    <row r="27" spans="1:32" ht="15" customHeight="1" x14ac:dyDescent="0.25">
      <c r="A27" s="33">
        <v>42740.49800925926</v>
      </c>
      <c r="B27" s="31" t="s">
        <v>262</v>
      </c>
      <c r="C27" s="31" t="s">
        <v>475</v>
      </c>
      <c r="D27" s="31" t="s">
        <v>98</v>
      </c>
      <c r="E27" s="31" t="s">
        <v>237</v>
      </c>
      <c r="F27" s="44">
        <v>0</v>
      </c>
      <c r="G27" s="44">
        <v>265</v>
      </c>
      <c r="H27" s="44">
        <v>15751</v>
      </c>
      <c r="I27" s="44">
        <v>15293</v>
      </c>
      <c r="J27" s="31" t="s">
        <v>238</v>
      </c>
      <c r="K27" s="44">
        <v>15777</v>
      </c>
      <c r="L27" s="150" t="s">
        <v>51</v>
      </c>
      <c r="M27" s="151">
        <f t="shared" si="0"/>
        <v>-255.55199999999999</v>
      </c>
      <c r="N27" s="152" t="str">
        <f>VLOOKUP(C27,'Trips&amp;Operators'!$C$1:$G$99999,5,FALSE)</f>
        <v>LOZA FIDEL</v>
      </c>
      <c r="O27" s="179" t="s">
        <v>351</v>
      </c>
      <c r="P27" s="153" t="s">
        <v>908</v>
      </c>
      <c r="Q27" s="31"/>
      <c r="R27" s="96" t="str">
        <f>VLOOKUP(C27,'Train Runs'!$A$13:$AE$9961,31,0)</f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S27" s="99" t="str">
        <f>VLOOKUP(C27,'Train Runs'!$A$13:$AE$9961,22,0)</f>
        <v>https://search-rtdc-monitor-bjffxe2xuh6vdkpspy63sjmuny.us-east-1.es.amazonaws.com/_plugin/kibana/#/discover/Steve-Slow-Train-Analysis-(2080s-and-2083s)?_g=(refreshInterval:(display:Off,section:0,value:0),time:(from:'2017-01-05 10:36:33-700',mode:absolute,to:'2017-01-05 13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7" s="101" t="str">
        <f t="shared" si="1"/>
        <v>"C:\Program Files (x86)\AstroGrep\AstroGrep.exe" /spath="%USERPROFILE%\AppData\Local\Temp\OnboardLogs" /stypes="*4043*201701051*" /stext=" 18:.+((SYSTEM_STATE.+slice.+state.+changed )|(ment ac)|(multiple cpu faults)|(system.+state.+changed )|(\[timeout)|(PRM\|1\|D)|(kpr)|(kdp)|(\|lc)|(penalty))" /e /r /s</v>
      </c>
      <c r="U27" s="9" t="str">
        <f t="shared" si="2"/>
        <v>4043</v>
      </c>
      <c r="V27" s="33">
        <f t="shared" si="3"/>
        <v>42740.789675925924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{"issue":{"subject":"Early arrival (41st)","project_id":79,"tracker_id":40,"status_id":1,"priority_id":2,"assigned_to_id":23,"start_date":"2017-01-05","description":"","custom_fields":[{"id":1,"name":"Subdivision","value":"NW"},{"id":4,"name":"Milepost","value":"1.5777"},{"id":17,"name":"Train ID","value":"818-05"},{"id":16,"name":"Locomotive ID","value":"4043"},{"id":130,"name":"Impact","value":""},{"id":150,"name":"Time of Event (Mountain Time)","value":"11:57:08"},{"id":151,"name":"Denver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"%USERPROFILE%\AppData\Local\Temp\OnboardLogs"\RTDC4043\*4043*201701051*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"%USERPROFILE%\AppData\Local\Temp\OnboardLogs"\RTDC4043\*4043*201701051* &gt;&gt; 42740-slicedisagreementcheck.txt</v>
      </c>
      <c r="AE27" s="183" t="str">
        <f t="shared" si="8"/>
        <v>start /low /b %USERPROFILE%\Documents\GitHub\eaglep3\Utilities\DownloadLogsFromS3.py --loco 4043 --day 2017-01-05</v>
      </c>
      <c r="AF27" s="1"/>
    </row>
    <row r="28" spans="1:32" ht="15" customHeight="1" x14ac:dyDescent="0.25">
      <c r="A28" s="33">
        <v>42740.657650462963</v>
      </c>
      <c r="B28" s="31" t="s">
        <v>262</v>
      </c>
      <c r="C28" s="31" t="s">
        <v>480</v>
      </c>
      <c r="D28" s="31" t="s">
        <v>98</v>
      </c>
      <c r="E28" s="31" t="s">
        <v>349</v>
      </c>
      <c r="F28" s="44">
        <v>400</v>
      </c>
      <c r="G28" s="44">
        <v>455</v>
      </c>
      <c r="H28" s="44">
        <v>38869</v>
      </c>
      <c r="I28" s="44">
        <v>37507</v>
      </c>
      <c r="J28" s="31" t="s">
        <v>350</v>
      </c>
      <c r="K28" s="44">
        <v>40977</v>
      </c>
      <c r="L28" s="150" t="s">
        <v>51</v>
      </c>
      <c r="M28" s="151">
        <f t="shared" si="0"/>
        <v>-1832.16</v>
      </c>
      <c r="N28" s="152" t="str">
        <f>VLOOKUP(C28,'Trips&amp;Operators'!$C$1:$G$99999,5,FALSE)</f>
        <v>LEVERE CRAIG</v>
      </c>
      <c r="O28" s="179" t="s">
        <v>195</v>
      </c>
      <c r="P28" s="153"/>
      <c r="Q28" s="31"/>
      <c r="R28" s="96" t="str">
        <f>VLOOKUP(C28,'Train Runs'!$A$13:$AE$9961,31,0)</f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S28" s="99" t="str">
        <f>VLOOKUP(C28,'Train Runs'!$A$13:$AE$9961,22,0)</f>
        <v>https://search-rtdc-monitor-bjffxe2xuh6vdkpspy63sjmuny.us-east-1.es.amazonaws.com/_plugin/kibana/#/discover/Steve-Slow-Train-Analysis-(2080s-and-2083s)?_g=(refreshInterval:(display:Off,section:0,value:0),time:(from:'2017-01-05 14:37:50-700',mode:absolute,to:'2017-01-05 16:59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8" s="101" t="str">
        <f t="shared" si="1"/>
        <v>"C:\Program Files (x86)\AstroGrep\AstroGrep.exe" /spath="%USERPROFILE%\AppData\Local\Temp\OnboardLogs" /stypes="*4043*201701052*" /stext=" 22:.+((SYSTEM_STATE.+slice.+state.+changed )|(ment ac)|(multiple cpu faults)|(system.+state.+changed )|(\[timeout)|(PRM\|1\|D)|(kpr)|(kdp)|(\|lc)|(penalty))" /e /r /s</v>
      </c>
      <c r="U28" s="9" t="str">
        <f t="shared" si="2"/>
        <v>4043</v>
      </c>
      <c r="V28" s="33">
        <f t="shared" si="3"/>
        <v>42740.949317129627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{"issue":{"subject":"","project_id":79,"tracker_id":40,"status_id":1,"priority_id":2,"assigned_to_id":23,"start_date":"2017-01-05","description":"","custom_fields":[{"id":1,"name":"Subdivision","value":"NW"},{"id":4,"name":"Milepost","value":"4.0977"},{"id":17,"name":"Train ID","value":"826-05"},{"id":16,"name":"Locomotive ID","value":"4043"},{"id":130,"name":"Impact","value":""},{"id":150,"name":"Time of Event (Mountain Time)","value":"15:47:01"},{"id":151,"name":"Denver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"%USERPROFILE%\AppData\Local\Temp\OnboardLogs"\RTDC4043\*4043*201701052*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"%USERPROFILE%\AppData\Local\Temp\OnboardLogs"\RTDC4043\*4043*201701052* &gt;&gt; 42740-slicedisagreementcheck.txt</v>
      </c>
      <c r="AE28" s="183" t="str">
        <f t="shared" si="8"/>
        <v>start /low /b %USERPROFILE%\Documents\GitHub\eaglep3\Utilities\DownloadLogsFromS3.py --loco 4043 --day 2017-01-05</v>
      </c>
      <c r="AF28" s="1"/>
    </row>
    <row r="29" spans="1:32" x14ac:dyDescent="0.25">
      <c r="A29" s="33">
        <v>42740.51835648148</v>
      </c>
      <c r="B29" s="31" t="s">
        <v>261</v>
      </c>
      <c r="C29" s="31" t="s">
        <v>476</v>
      </c>
      <c r="D29" s="31" t="s">
        <v>49</v>
      </c>
      <c r="E29" s="31" t="s">
        <v>196</v>
      </c>
      <c r="F29" s="44">
        <v>0</v>
      </c>
      <c r="G29" s="44">
        <v>410</v>
      </c>
      <c r="H29" s="44">
        <v>18843</v>
      </c>
      <c r="I29" s="44">
        <v>19898</v>
      </c>
      <c r="J29" s="31" t="s">
        <v>197</v>
      </c>
      <c r="K29" s="44">
        <v>18990</v>
      </c>
      <c r="L29" s="150" t="s">
        <v>50</v>
      </c>
      <c r="M29" s="151">
        <f t="shared" si="0"/>
        <v>-479.42399999999998</v>
      </c>
      <c r="N29" s="152" t="str">
        <f>VLOOKUP(C29,'Trips&amp;Operators'!$C$1:$G$99999,5,FALSE)</f>
        <v>SIMMONS SHYHESHA</v>
      </c>
      <c r="O29" s="179" t="s">
        <v>351</v>
      </c>
      <c r="P29" s="153" t="s">
        <v>380</v>
      </c>
      <c r="Q29" s="31"/>
      <c r="R29" s="96" t="str">
        <f>VLOOKUP(C29,'Train Runs'!$A$13:$AE$9961,31,0)</f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S29" s="99" t="str">
        <f>VLOOKUP(C29,'Train Runs'!$A$13:$AE$9961,22,0)</f>
        <v>https://search-rtdc-monitor-bjffxe2xuh6vdkpspy63sjmuny.us-east-1.es.amazonaws.com/_plugin/kibana/#/discover/Steve-Slow-Train-Analysis-(2080s-and-2083s)?_g=(refreshInterval:(display:Off,section:0,value:0),time:(from:'2017-01-05 11:19:15-700',mode:absolute,to:'2017-01-05 13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9" s="101" t="str">
        <f t="shared" si="1"/>
        <v>"C:\Program Files (x86)\AstroGrep\AstroGrep.exe" /spath="%USERPROFILE%\AppData\Local\Temp\OnboardLogs" /stypes="*4044*201701051*" /stext=" 19:.+((SYSTEM_STATE.+slice.+state.+changed )|(ment ac)|(multiple cpu faults)|(system.+state.+changed )|(\[timeout)|(PRM\|1\|D)|(kpr)|(kdp)|(\|lc)|(penalty))" /e /r /s</v>
      </c>
      <c r="U29" s="9" t="str">
        <f t="shared" si="2"/>
        <v>4044</v>
      </c>
      <c r="V29" s="33">
        <f t="shared" si="3"/>
        <v>42740.810023148144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{"issue":{"subject":"Wi-MAX data drop","project_id":79,"tracker_id":40,"status_id":1,"priority_id":2,"assigned_to_id":23,"start_date":"2017-01-05","description":"","custom_fields":[{"id":1,"name":"Subdivision","value":"NW"},{"id":4,"name":"Milepost","value":"1.899"},{"id":17,"name":"Train ID","value":"819-05"},{"id":16,"name":"Locomotive ID","value":"4044"},{"id":130,"name":"Impact","value":""},{"id":150,"name":"Time of Event (Mountain Time)","value":"12:26:26"},{"id":151,"name":"Denver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"%USERPROFILE%\AppData\Local\Temp\OnboardLogs"\RTDC4044\*4044*201701051*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"%USERPROFILE%\AppData\Local\Temp\OnboardLogs"\RTDC4044\*4044*201701051* &gt;&gt; 42740-slicedisagreementcheck.txt</v>
      </c>
      <c r="AE29" s="183" t="str">
        <f t="shared" si="8"/>
        <v>start /low /b %USERPROFILE%\Documents\GitHub\eaglep3\Utilities\DownloadLogsFromS3.py --loco 4044 --day 2017-01-05</v>
      </c>
      <c r="AF29" s="1"/>
    </row>
    <row r="30" spans="1:32" x14ac:dyDescent="0.25">
      <c r="A30" s="33">
        <v>42740.728668981479</v>
      </c>
      <c r="B30" s="31" t="s">
        <v>483</v>
      </c>
      <c r="C30" s="31" t="s">
        <v>484</v>
      </c>
      <c r="D30" s="31" t="s">
        <v>49</v>
      </c>
      <c r="E30" s="31" t="s">
        <v>198</v>
      </c>
      <c r="F30" s="44">
        <v>0</v>
      </c>
      <c r="G30" s="44">
        <v>47</v>
      </c>
      <c r="H30" s="44">
        <v>720</v>
      </c>
      <c r="I30" s="44">
        <v>687</v>
      </c>
      <c r="J30" s="31" t="s">
        <v>199</v>
      </c>
      <c r="K30" s="44">
        <v>575</v>
      </c>
      <c r="L30" s="150" t="s">
        <v>51</v>
      </c>
      <c r="M30" s="151">
        <f t="shared" si="0"/>
        <v>59.136000000000003</v>
      </c>
      <c r="N30" s="152" t="str">
        <f>VLOOKUP(C30,'Trips&amp;Operators'!$C$1:$G$99999,5,FALSE)</f>
        <v>DELGADO DIANAH</v>
      </c>
      <c r="O30" s="179" t="s">
        <v>195</v>
      </c>
      <c r="P30" s="153"/>
      <c r="Q30" s="31"/>
      <c r="R30" s="96" t="str">
        <f>VLOOKUP(C30,'Train Runs'!$A$13:$AE$9961,31,0)</f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S30" s="99" t="str">
        <f>VLOOKUP(C30,'Train Runs'!$A$13:$AE$9961,22,0)</f>
        <v>https://search-rtdc-monitor-bjffxe2xuh6vdkpspy63sjmuny.us-east-1.es.amazonaws.com/_plugin/kibana/#/discover/Steve-Slow-Train-Analysis-(2080s-and-2083s)?_g=(refreshInterval:(display:Off,section:0,value:0),time:(from:'2017-01-05 16:11:15-700',mode:absolute,to:'2017-01-05 18:29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0" s="101" t="str">
        <f t="shared" si="1"/>
        <v>"C:\Program Files (x86)\AstroGrep\AstroGrep.exe" /spath="%USERPROFILE%\AppData\Local\Temp\OnboardLogs" /stypes="*4019*201701060*" /stext=" 00:.+((SYSTEM_STATE.+slice.+state.+changed )|(ment ac)|(multiple cpu faults)|(system.+state.+changed )|(\[timeout)|(PRM\|1\|D)|(kpr)|(kdp)|(\|lc)|(penalty))" /e /r /s</v>
      </c>
      <c r="U30" s="9" t="str">
        <f t="shared" si="2"/>
        <v>4019</v>
      </c>
      <c r="V30" s="33">
        <f t="shared" si="3"/>
        <v>42741.020335648143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{"issue":{"subject":"","project_id":79,"tracker_id":40,"status_id":1,"priority_id":2,"assigned_to_id":23,"start_date":"2017-01-05","description":"","custom_fields":[{"id":1,"name":"Subdivision","value":"NW"},{"id":4,"name":"Milepost","value":"0.0575"},{"id":17,"name":"Train ID","value":"832-05"},{"id":16,"name":"Locomotive ID","value":"4019"},{"id":130,"name":"Impact","value":""},{"id":150,"name":"Time of Event (Mountain Time)","value":"17:29:17"},{"id":151,"name":"Denver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"%USERPROFILE%\AppData\Local\Temp\OnboardLogs"\RTDC4019\*4019*201701060*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"%USERPROFILE%\AppData\Local\Temp\OnboardLogs"\RTDC4019\*4019*201701060* &gt;&gt; 42740-slicedisagreementcheck.txt</v>
      </c>
      <c r="AE30" s="183" t="str">
        <f t="shared" si="8"/>
        <v>start /low /b %USERPROFILE%\Documents\GitHub\eaglep3\Utilities\DownloadLogsFromS3.py --loco 4019 --day 2017-01-06</v>
      </c>
      <c r="AF30" s="1"/>
    </row>
    <row r="31" spans="1:32" x14ac:dyDescent="0.25">
      <c r="A31" s="33">
        <v>42740.357754629629</v>
      </c>
      <c r="B31" s="31" t="s">
        <v>261</v>
      </c>
      <c r="C31" s="31" t="s">
        <v>470</v>
      </c>
      <c r="D31" s="31" t="s">
        <v>49</v>
      </c>
      <c r="E31" s="31" t="s">
        <v>198</v>
      </c>
      <c r="F31" s="44">
        <v>0</v>
      </c>
      <c r="G31" s="44">
        <v>56</v>
      </c>
      <c r="H31" s="44">
        <v>58856</v>
      </c>
      <c r="I31" s="44">
        <v>58926</v>
      </c>
      <c r="J31" s="31" t="s">
        <v>199</v>
      </c>
      <c r="K31" s="44">
        <v>59048</v>
      </c>
      <c r="L31" s="150" t="s">
        <v>50</v>
      </c>
      <c r="M31" s="151">
        <f t="shared" si="0"/>
        <v>64.415999999999997</v>
      </c>
      <c r="N31" s="152" t="str">
        <f>VLOOKUP(C31,'Trips&amp;Operators'!$C$1:$G$99999,5,FALSE)</f>
        <v>SIMMONS SHYHESHA</v>
      </c>
      <c r="O31" s="179" t="s">
        <v>195</v>
      </c>
      <c r="P31" s="153"/>
      <c r="Q31" s="31"/>
      <c r="R31" s="96" t="str">
        <f>VLOOKUP(C31,'Train Runs'!$A$13:$AE$9961,31,0)</f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S31" s="99" t="str">
        <f>VLOOKUP(C31,'Train Runs'!$A$13:$AE$9961,22,0)</f>
        <v>https://search-rtdc-monitor-bjffxe2xuh6vdkpspy63sjmuny.us-east-1.es.amazonaws.com/_plugin/kibana/#/discover/Steve-Slow-Train-Analysis-(2080s-and-2083s)?_g=(refreshInterval:(display:Off,section:0,value:0),time:(from:'2017-01-05 07:11:59-700',mode:absolute,to:'2017-01-05 09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1" s="101" t="str">
        <f t="shared" si="1"/>
        <v>"C:\Program Files (x86)\AstroGrep\AstroGrep.exe" /spath="%USERPROFILE%\AppData\Local\Temp\OnboardLogs" /stypes="*4044*201701051*" /stext=" 15:.+((SYSTEM_STATE.+slice.+state.+changed )|(ment ac)|(multiple cpu faults)|(system.+state.+changed )|(\[timeout)|(PRM\|1\|D)|(kpr)|(kdp)|(\|lc)|(penalty))" /e /r /s</v>
      </c>
      <c r="U31" s="9" t="str">
        <f t="shared" si="2"/>
        <v>4044</v>
      </c>
      <c r="V31" s="33">
        <f t="shared" si="3"/>
        <v>42740.649421296293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{"issue":{"subject":"","project_id":79,"tracker_id":40,"status_id":1,"priority_id":2,"assigned_to_id":23,"start_date":"2017-01-05","description":"","custom_fields":[{"id":1,"name":"Subdivision","value":"NW"},{"id":4,"name":"Milepost","value":"5.9048"},{"id":17,"name":"Train ID","value":"811-05"},{"id":16,"name":"Locomotive ID","value":"4044"},{"id":130,"name":"Impact","value":""},{"id":150,"name":"Time of Event (Mountain Time)","value":"08:35:10"},{"id":151,"name":"Denver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"%USERPROFILE%\AppData\Local\Temp\OnboardLogs"\RTDC4044\*4044*201701051*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"%USERPROFILE%\AppData\Local\Temp\OnboardLogs"\RTDC4044\*4044*201701051* &gt;&gt; 42740-slicedisagreementcheck.txt</v>
      </c>
      <c r="AE31" s="183" t="str">
        <f t="shared" si="8"/>
        <v>start /low /b %USERPROFILE%\Documents\GitHub\eaglep3\Utilities\DownloadLogsFromS3.py --loco 4044 --day 2017-01-05</v>
      </c>
      <c r="AF31" s="1"/>
    </row>
    <row r="32" spans="1:32" x14ac:dyDescent="0.25">
      <c r="A32" s="33">
        <v>42740.441574074073</v>
      </c>
      <c r="B32" s="31" t="s">
        <v>261</v>
      </c>
      <c r="C32" s="31" t="s">
        <v>473</v>
      </c>
      <c r="D32" s="31" t="s">
        <v>98</v>
      </c>
      <c r="E32" s="31" t="s">
        <v>198</v>
      </c>
      <c r="F32" s="44">
        <v>0</v>
      </c>
      <c r="G32" s="44">
        <v>6</v>
      </c>
      <c r="H32" s="44">
        <v>59048</v>
      </c>
      <c r="I32" s="44">
        <v>0</v>
      </c>
      <c r="J32" s="31" t="s">
        <v>199</v>
      </c>
      <c r="K32" s="44">
        <v>59048</v>
      </c>
      <c r="L32" s="150" t="s">
        <v>50</v>
      </c>
      <c r="M32" s="151">
        <f t="shared" si="0"/>
        <v>31177.344000000001</v>
      </c>
      <c r="N32" s="152" t="str">
        <f>VLOOKUP(C32,'Trips&amp;Operators'!$C$1:$G$99999,5,FALSE)</f>
        <v>SIMMONS SHYHESHA</v>
      </c>
      <c r="O32" s="179" t="s">
        <v>195</v>
      </c>
      <c r="P32" s="153"/>
      <c r="Q32" s="31"/>
      <c r="R32" s="96" t="str">
        <f>VLOOKUP(C32,'Train Runs'!$A$13:$AE$9961,31,0)</f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S32" s="99" t="str">
        <f>VLOOKUP(C32,'Train Runs'!$A$13:$AE$9961,22,0)</f>
        <v>https://search-rtdc-monitor-bjffxe2xuh6vdkpspy63sjmuny.us-east-1.es.amazonaws.com/_plugin/kibana/#/discover/Steve-Slow-Train-Analysis-(2080s-and-2083s)?_g=(refreshInterval:(display:Off,section:0,value:0),time:(from:'2017-01-05 09:12:24-700',mode:absolute,to:'2017-01-05 11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2" s="101" t="str">
        <f t="shared" si="1"/>
        <v>"C:\Program Files (x86)\AstroGrep\AstroGrep.exe" /spath="%USERPROFILE%\AppData\Local\Temp\OnboardLogs" /stypes="*4044*201701051*" /stext=" 17:.+((SYSTEM_STATE.+slice.+state.+changed )|(ment ac)|(multiple cpu faults)|(system.+state.+changed )|(\[timeout)|(PRM\|1\|D)|(kpr)|(kdp)|(\|lc)|(penalty))" /e /r /s</v>
      </c>
      <c r="U32" s="9" t="str">
        <f t="shared" si="2"/>
        <v>4044</v>
      </c>
      <c r="V32" s="33">
        <f t="shared" si="3"/>
        <v>42740.733240740738</v>
      </c>
      <c r="W32" s="47" t="str">
        <f t="shared" si="4"/>
        <v>NW</v>
      </c>
      <c r="X32" s="47" t="str">
        <f t="shared" si="5"/>
        <v>OMIT</v>
      </c>
      <c r="Y32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{"issue":{"subject":"","project_id":79,"tracker_id":40,"status_id":1,"priority_id":2,"assigned_to_id":23,"start_date":"2017-01-05","description":"","custom_fields":[{"id":1,"name":"Subdivision","value":"NW"},{"id":4,"name":"Milepost","value":"5.9048"},{"id":17,"name":"Train ID","value":"815-05"},{"id":16,"name":"Locomotive ID","value":"4044"},{"id":130,"name":"Impact","value":""},{"id":150,"name":"Time of Event (Mountain Time)","value":"10:35:52"},{"id":151,"name":"Denver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"%USERPROFILE%\AppData\Local\Temp\OnboardLogs"\RTDC4044\*4044*201701051*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"%USERPROFILE%\AppData\Local\Temp\OnboardLogs"\RTDC4044\*4044*201701051* &gt;&gt; 42740-slicedisagreementcheck.txt</v>
      </c>
      <c r="AE32" s="183" t="str">
        <f t="shared" si="8"/>
        <v>start /low /b %USERPROFILE%\Documents\GitHub\eaglep3\Utilities\DownloadLogsFromS3.py --loco 4044 --day 2017-01-05</v>
      </c>
      <c r="AF32" s="1"/>
    </row>
    <row r="33" spans="1:32" x14ac:dyDescent="0.25">
      <c r="A33" s="33">
        <v>42740.942210648151</v>
      </c>
      <c r="B33" s="31" t="s">
        <v>261</v>
      </c>
      <c r="C33" s="31" t="s">
        <v>488</v>
      </c>
      <c r="D33" s="31" t="s">
        <v>49</v>
      </c>
      <c r="E33" s="31" t="s">
        <v>198</v>
      </c>
      <c r="F33" s="44">
        <v>0</v>
      </c>
      <c r="G33" s="44">
        <v>46</v>
      </c>
      <c r="H33" s="44">
        <v>58939</v>
      </c>
      <c r="I33" s="44">
        <v>58965</v>
      </c>
      <c r="J33" s="31" t="s">
        <v>199</v>
      </c>
      <c r="K33" s="44">
        <v>59048</v>
      </c>
      <c r="L33" s="150" t="s">
        <v>50</v>
      </c>
      <c r="M33" s="151">
        <f t="shared" si="0"/>
        <v>43.823999999999998</v>
      </c>
      <c r="N33" s="152" t="str">
        <f>VLOOKUP(C33,'Trips&amp;Operators'!$C$1:$G$99999,5,FALSE)</f>
        <v>BADERTSCHER DIANE</v>
      </c>
      <c r="O33" s="179" t="s">
        <v>195</v>
      </c>
      <c r="P33" s="153"/>
      <c r="Q33" s="31"/>
      <c r="R33" s="96" t="str">
        <f>VLOOKUP(C33,'Train Runs'!$A$13:$AE$9961,31,0)</f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S33" s="99" t="str">
        <f>VLOOKUP(C33,'Train Runs'!$A$13:$AE$9961,22,0)</f>
        <v>https://search-rtdc-monitor-bjffxe2xuh6vdkpspy63sjmuny.us-east-1.es.amazonaws.com/_plugin/kibana/#/discover/Steve-Slow-Train-Analysis-(2080s-and-2083s)?_g=(refreshInterval:(display:Off,section:0,value:0),time:(from:'2017-01-05 21:05:09-700',mode:absolute,to:'2017-01-05 23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3" s="101" t="str">
        <f t="shared" si="1"/>
        <v>"C:\Program Files (x86)\AstroGrep\AstroGrep.exe" /spath="%USERPROFILE%\AppData\Local\Temp\OnboardLogs" /stypes="*4044*201701060*" /stext=" 05:.+((SYSTEM_STATE.+slice.+state.+changed )|(ment ac)|(multiple cpu faults)|(system.+state.+changed )|(\[timeout)|(PRM\|1\|D)|(kpr)|(kdp)|(\|lc)|(penalty))" /e /r /s</v>
      </c>
      <c r="U33" s="9" t="str">
        <f t="shared" si="2"/>
        <v>4044</v>
      </c>
      <c r="V33" s="33">
        <f t="shared" si="3"/>
        <v>42741.233877314815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{"issue":{"subject":"","project_id":79,"tracker_id":40,"status_id":1,"priority_id":2,"assigned_to_id":23,"start_date":"2017-01-05","description":"","custom_fields":[{"id":1,"name":"Subdivision","value":"NW"},{"id":4,"name":"Milepost","value":"5.9048"},{"id":17,"name":"Train ID","value":"847-05"},{"id":16,"name":"Locomotive ID","value":"4044"},{"id":130,"name":"Impact","value":""},{"id":150,"name":"Time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"%USERPROFILE%\AppData\Local\Temp\OnboardLogs"\RTDC4044\*4044*201701060*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"%USERPROFILE%\AppData\Local\Temp\OnboardLogs"\RTDC4044\*4044*201701060* &gt;&gt; 42740-slicedisagreementcheck.txt</v>
      </c>
      <c r="AE33" s="183" t="str">
        <f t="shared" si="8"/>
        <v>start /low /b %USERPROFILE%\Documents\GitHub\eaglep3\Utilities\DownloadLogsFromS3.py --loco 4044 --day 2017-01-06</v>
      </c>
      <c r="AF33" s="1"/>
    </row>
    <row r="34" spans="1:32" x14ac:dyDescent="0.25">
      <c r="A34" s="33">
        <v>42740.608298611114</v>
      </c>
      <c r="B34" s="31" t="s">
        <v>261</v>
      </c>
      <c r="C34" s="31" t="s">
        <v>478</v>
      </c>
      <c r="D34" s="31" t="s">
        <v>49</v>
      </c>
      <c r="E34" s="31" t="s">
        <v>198</v>
      </c>
      <c r="F34" s="44">
        <v>0</v>
      </c>
      <c r="G34" s="44">
        <v>75</v>
      </c>
      <c r="H34" s="44">
        <v>58802</v>
      </c>
      <c r="I34" s="44">
        <v>58873</v>
      </c>
      <c r="J34" s="31" t="s">
        <v>199</v>
      </c>
      <c r="K34" s="44">
        <v>59058</v>
      </c>
      <c r="L34" s="150" t="s">
        <v>50</v>
      </c>
      <c r="M34" s="151">
        <f t="shared" si="0"/>
        <v>97.68</v>
      </c>
      <c r="N34" s="152" t="str">
        <f>VLOOKUP(C34,'Trips&amp;Operators'!$C$1:$G$99999,5,FALSE)</f>
        <v>LEVERE CRAIG</v>
      </c>
      <c r="O34" s="179" t="s">
        <v>195</v>
      </c>
      <c r="P34" s="153"/>
      <c r="Q34" s="31"/>
      <c r="R34" s="96" t="str">
        <f>VLOOKUP(C34,'Train Runs'!$A$13:$AE$9961,31,0)</f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S34" s="99" t="str">
        <f>VLOOKUP(C34,'Train Runs'!$A$13:$AE$9961,22,0)</f>
        <v>https://search-rtdc-monitor-bjffxe2xuh6vdkpspy63sjmuny.us-east-1.es.amazonaws.com/_plugin/kibana/#/discover/Steve-Slow-Train-Analysis-(2080s-and-2083s)?_g=(refreshInterval:(display:Off,section:0,value:0),time:(from:'2017-01-05 13:10:10-700',mode:absolute,to:'2017-01-05 15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4" s="101" t="str">
        <f t="shared" si="1"/>
        <v>"C:\Program Files (x86)\AstroGrep\AstroGrep.exe" /spath="%USERPROFILE%\AppData\Local\Temp\OnboardLogs" /stypes="*4044*201701052*" /stext=" 21:.+((SYSTEM_STATE.+slice.+state.+changed )|(ment ac)|(multiple cpu faults)|(system.+state.+changed )|(\[timeout)|(PRM\|1\|D)|(kpr)|(kdp)|(\|lc)|(penalty))" /e /r /s</v>
      </c>
      <c r="U34" s="9" t="str">
        <f t="shared" si="2"/>
        <v>4044</v>
      </c>
      <c r="V34" s="33">
        <f t="shared" si="3"/>
        <v>42740.899965277778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{"issue":{"subject":"","project_id":79,"tracker_id":40,"status_id":1,"priority_id":2,"assigned_to_id":23,"start_date":"2017-01-05","description":"","custom_fields":[{"id":1,"name":"Subdivision","value":"NW"},{"id":4,"name":"Milepost","value":"5.9058"},{"id":17,"name":"Train ID","value":"823-05"},{"id":16,"name":"Locomotive ID","value":"4044"},{"id":130,"name":"Impact","value":""},{"id":150,"name":"Time of Event (Mountain Time)","value":"14:35:57"},{"id":151,"name":"Denver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"%USERPROFILE%\AppData\Local\Temp\OnboardLogs"\RTDC4044\*4044*201701052*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"%USERPROFILE%\AppData\Local\Temp\OnboardLogs"\RTDC4044\*4044*201701052* &gt;&gt; 42740-slicedisagreementcheck.txt</v>
      </c>
      <c r="AE34" s="183" t="str">
        <f t="shared" si="8"/>
        <v>start /low /b %USERPROFILE%\Documents\GitHub\eaglep3\Utilities\DownloadLogsFromS3.py --loco 4044 --day 2017-01-05</v>
      </c>
      <c r="AF34" s="1"/>
    </row>
    <row r="35" spans="1:32" x14ac:dyDescent="0.25">
      <c r="A35" s="33">
        <v>42740.130706018521</v>
      </c>
      <c r="B35" s="31" t="s">
        <v>325</v>
      </c>
      <c r="C35" s="31" t="s">
        <v>462</v>
      </c>
      <c r="D35" s="31" t="s">
        <v>49</v>
      </c>
      <c r="E35" s="31" t="s">
        <v>196</v>
      </c>
      <c r="F35" s="44">
        <v>0</v>
      </c>
      <c r="G35" s="44">
        <v>23</v>
      </c>
      <c r="H35" s="44">
        <v>224126</v>
      </c>
      <c r="I35" s="44">
        <v>224036</v>
      </c>
      <c r="J35" s="31" t="s">
        <v>197</v>
      </c>
      <c r="K35" s="44">
        <v>219875</v>
      </c>
      <c r="L35" s="150" t="s">
        <v>51</v>
      </c>
      <c r="M35" s="151">
        <f t="shared" si="0"/>
        <v>2197.0079999999998</v>
      </c>
      <c r="N35" s="152" t="str">
        <f>VLOOKUP(C35,'Trips&amp;Operators'!$C$1:$G$99999,5,FALSE)</f>
        <v>NELSON ARIANE</v>
      </c>
      <c r="O35" s="179" t="s">
        <v>195</v>
      </c>
      <c r="P35" s="153"/>
      <c r="Q35" s="31"/>
      <c r="R35" s="96" t="str">
        <f>VLOOKUP(C35,'Train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35" s="99" t="str">
        <f>VLOOKUP(C35,'Train Runs'!$A$13:$AE$9961,22,0)</f>
        <v>https://search-rtdc-monitor-bjffxe2xuh6vdkpspy63sjmuny.us-east-1.es.amazonaws.com/_plugin/kibana/#/discover/Steve-Slow-Train-Analysis-(2080s-and-2083s)?_g=(refreshInterval:(display:Off,section:0,value:0),time:(from:'2017-01-05 02:31:40-700',mode:absolute,to:'2017-01-05 05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5" s="101" t="str">
        <f t="shared" si="1"/>
        <v>"C:\Program Files (x86)\AstroGrep\AstroGrep.exe" /spath="%USERPROFILE%\AppData\Local\Temp\OnboardLogs" /stypes="*4032*201701051*" /stext=" 10:.+((SYSTEM_STATE.+slice.+state.+changed )|(ment ac)|(multiple cpu faults)|(system.+state.+changed )|(\[timeout)|(PRM\|1\|D)|(kpr)|(kdp)|(\|lc)|(penalty))" /e /r /s</v>
      </c>
      <c r="U35" s="9" t="str">
        <f t="shared" si="2"/>
        <v>4032</v>
      </c>
      <c r="V35" s="33">
        <f t="shared" si="3"/>
        <v>42740.422372685185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{"issue":{"subject":"","project_id":79,"tracker_id":40,"status_id":1,"priority_id":2,"assigned_to_id":23,"start_date":"2017-01-05","description":"","custom_fields":[{"id":1,"name":"Subdivision","value":"Other"},{"id":4,"name":"Milepost","value":"21.9875"},{"id":17,"name":"Train ID","value":"66-04"},{"id":16,"name":"Locomotive ID","value":"4032"},{"id":130,"name":"Impact","value":""},{"id":150,"name":"Time of Event (Mountain Time)","value":"03:08:13"},{"id":151,"name":"Denver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"%USERPROFILE%\AppData\Local\Temp\OnboardLogs"\RTDC4032\*4032*201701051*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"%USERPROFILE%\AppData\Local\Temp\OnboardLogs"\RTDC4032\*4032*201701051* &gt;&gt; 42740-slicedisagreementcheck.txt</v>
      </c>
      <c r="AE35" s="183" t="str">
        <f t="shared" si="8"/>
        <v>start /low /b %USERPROFILE%\Documents\GitHub\eaglep3\Utilities\DownloadLogsFromS3.py --loco 4032 --day 2017-01-05</v>
      </c>
      <c r="AF35" s="1"/>
    </row>
    <row r="36" spans="1:32" x14ac:dyDescent="0.25">
      <c r="A36" s="33">
        <v>42740.165173611109</v>
      </c>
      <c r="B36" s="31" t="s">
        <v>315</v>
      </c>
      <c r="C36" s="31" t="s">
        <v>463</v>
      </c>
      <c r="D36" s="31" t="s">
        <v>49</v>
      </c>
      <c r="E36" s="31" t="s">
        <v>198</v>
      </c>
      <c r="F36" s="44">
        <v>0</v>
      </c>
      <c r="G36" s="44">
        <v>24</v>
      </c>
      <c r="H36" s="44">
        <v>81</v>
      </c>
      <c r="I36" s="44">
        <v>54</v>
      </c>
      <c r="J36" s="31" t="s">
        <v>199</v>
      </c>
      <c r="K36" s="44">
        <v>1</v>
      </c>
      <c r="L36" s="150" t="s">
        <v>51</v>
      </c>
      <c r="M36" s="151">
        <f t="shared" si="0"/>
        <v>27.984000000000002</v>
      </c>
      <c r="N36" s="152" t="str">
        <f>VLOOKUP(C36,'Trips&amp;Operators'!$C$1:$G$99999,5,FALSE)</f>
        <v>ROBINSON KADDIBA</v>
      </c>
      <c r="O36" s="179" t="s">
        <v>195</v>
      </c>
      <c r="P36" s="153"/>
      <c r="Q36" s="31"/>
      <c r="R36" s="96" t="str">
        <f>VLOOKUP(C36,'Train Runs'!$A$13:$AE$9961,31,0)</f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S36" s="99" t="str">
        <f>VLOOKUP(C36,'Train Runs'!$A$13:$AE$9961,22,0)</f>
        <v>https://search-rtdc-monitor-bjffxe2xuh6vdkpspy63sjmuny.us-east-1.es.amazonaws.com/_plugin/kibana/#/discover/Steve-Slow-Train-Analysis-(2080s-and-2083s)?_g=(refreshInterval:(display:Off,section:0,value:0),time:(from:'2017-01-05 02:46:11-700',mode:absolute,to:'2017-01-05 04:57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6" s="101" t="str">
        <f t="shared" si="1"/>
        <v>"C:\Program Files (x86)\AstroGrep\AstroGrep.exe" /spath="%USERPROFILE%\AppData\Local\Temp\OnboardLogs" /stypes="*4021*201701051*" /stext=" 10:.+((SYSTEM_STATE.+slice.+state.+changed )|(ment ac)|(multiple cpu faults)|(system.+state.+changed )|(\[timeout)|(PRM\|1\|D)|(kpr)|(kdp)|(\|lc)|(penalty))" /e /r /s</v>
      </c>
      <c r="U36" s="9" t="str">
        <f t="shared" si="2"/>
        <v>4021</v>
      </c>
      <c r="V36" s="33">
        <f t="shared" si="3"/>
        <v>42740.456840277773</v>
      </c>
      <c r="W36" s="47" t="str">
        <f t="shared" si="4"/>
        <v>Other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{"issue":{"subject":"","project_id":79,"tracker_id":40,"status_id":1,"priority_id":2,"assigned_to_id":23,"start_date":"2017-01-05","description":"","custom_fields":[{"id":1,"name":"Subdivision","value":"Other"},{"id":4,"name":"Milepost","value":"0.0001"},{"id":17,"name":"Train ID","value":"306-05"},{"id":16,"name":"Locomotive ID","value":"4021"},{"id":130,"name":"Impact","value":""},{"id":150,"name":"Time of Event (Mountain Time)","value":"03:57:51"},{"id":151,"name":"Denver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"%USERPROFILE%\AppData\Local\Temp\OnboardLogs"\RTDC4021\*4021*201701051*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"%USERPROFILE%\AppData\Local\Temp\OnboardLogs"\RTDC4021\*4021*201701051* &gt;&gt; 42740-slicedisagreementcheck.txt</v>
      </c>
      <c r="AE36" s="183" t="str">
        <f t="shared" si="8"/>
        <v>start /low /b %USERPROFILE%\Documents\GitHub\eaglep3\Utilities\DownloadLogsFromS3.py --loco 4021 --day 2017-01-05</v>
      </c>
      <c r="AF36" s="1"/>
    </row>
    <row r="37" spans="1:32" x14ac:dyDescent="0.25">
      <c r="A37" s="33">
        <v>42740.46056712963</v>
      </c>
      <c r="B37" s="31" t="s">
        <v>395</v>
      </c>
      <c r="C37" s="31" t="s">
        <v>474</v>
      </c>
      <c r="D37" s="31" t="s">
        <v>49</v>
      </c>
      <c r="E37" s="31" t="s">
        <v>198</v>
      </c>
      <c r="F37" s="44">
        <v>0</v>
      </c>
      <c r="G37" s="44">
        <v>110</v>
      </c>
      <c r="H37" s="44">
        <v>1589</v>
      </c>
      <c r="I37" s="44">
        <v>1500</v>
      </c>
      <c r="J37" s="31" t="s">
        <v>199</v>
      </c>
      <c r="K37" s="44">
        <v>826</v>
      </c>
      <c r="L37" s="150" t="s">
        <v>51</v>
      </c>
      <c r="M37" s="151">
        <f t="shared" si="0"/>
        <v>355.87200000000001</v>
      </c>
      <c r="N37" s="152" t="str">
        <f>VLOOKUP(C37,'Trips&amp;Operators'!$C$1:$G$99999,5,FALSE)</f>
        <v>SMITH MICHAEL</v>
      </c>
      <c r="O37" s="179" t="s">
        <v>195</v>
      </c>
      <c r="P37" s="153"/>
      <c r="Q37" s="31"/>
      <c r="R37" s="96" t="str">
        <f>VLOOKUP(C37,'Train Runs'!$A$13:$AE$9961,31,0)</f>
        <v>aws s3 cp s3://rtdc.mdm.uploadarchive.raw/RTDC4054/ "%USERPROFILE%\AppData\Local\Temp\OnboardLogs"\RTDC4054\2017-01-05 --exclude "*" --recursive --include "*20170105*" &amp; "%USERPROFILE%\Documents\GitHub\mrs-test-scripts\Headless Mode &amp; Sideloading\WalkAndUnGZ.bat" "%USERPROFILE%\AppData\Local\Temp\OnboardLogs"\RTDC4054\2017-01-05 &amp; aws s3 cp s3://rtdc.mdm.uploadarchive.raw/RTDC4054/ "%USERPROFILE%\AppData\Local\Temp\OnboardLogs"\RTDC4054\2017-01-06 --exclude "*" --recursive --include "*20170106*" &amp; "%USERPROFILE%\Documents\GitHub\mrs-test-scripts\Headless Mode &amp; Sideloading\WalkAndUnGZ.bat" "%USERPROFILE%\AppData\Local\Temp\OnboardLogs"\RTDC4054\2017-01-06</v>
      </c>
      <c r="S37" s="99" t="str">
        <f>VLOOKUP(C37,'Train Runs'!$A$13:$AE$9961,22,0)</f>
        <v>https://search-rtdc-monitor-bjffxe2xuh6vdkpspy63sjmuny.us-east-1.es.amazonaws.com/_plugin/kibana/#/discover/Steve-Slow-Train-Analysis-(2080s-and-2083s)?_g=(refreshInterval:(display:Off,section:0,value:0),time:(from:'2017-01-05 09:52:32-700',mode:absolute,to:'2017-01-05 12:03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7" s="101" t="str">
        <f t="shared" si="1"/>
        <v>"C:\Program Files (x86)\AstroGrep\AstroGrep.exe" /spath="%USERPROFILE%\AppData\Local\Temp\OnboardLogs" /stypes="*4054*201701051*" /stext=" 18:.+((SYSTEM_STATE.+slice.+state.+changed )|(ment ac)|(multiple cpu faults)|(system.+state.+changed )|(\[timeout)|(PRM\|1\|D)|(kpr)|(kdp)|(\|lc)|(penalty))" /e /r /s</v>
      </c>
      <c r="U37" s="9" t="str">
        <f t="shared" si="2"/>
        <v>4054</v>
      </c>
      <c r="V37" s="33">
        <f t="shared" si="3"/>
        <v>42740.752233796295</v>
      </c>
      <c r="W37" s="47" t="str">
        <f t="shared" si="4"/>
        <v>Other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{"issue":{"subject":"","project_id":79,"tracker_id":40,"status_id":1,"priority_id":2,"assigned_to_id":23,"start_date":"2017-01-05","description":"","custom_fields":[{"id":1,"name":"Subdivision","value":"Other"},{"id":4,"name":"Milepost","value":"0.0826"},{"id":17,"name":"Train ID","value":"52-05"},{"id":16,"name":"Locomotive ID","value":"4054"},{"id":130,"name":"Impact","value":""},{"id":150,"name":"Time of Event (Mountain Time)","value":"11:03:13"},{"id":151,"name":"Denver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"%USERPROFILE%\AppData\Local\Temp\OnboardLogs"\RTDC4054\*4054*201701051*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"%USERPROFILE%\AppData\Local\Temp\OnboardLogs"\RTDC4054\*4054*201701051* &gt;&gt; 42740-slicedisagreementcheck.txt</v>
      </c>
      <c r="AE37" s="183" t="str">
        <f t="shared" si="8"/>
        <v>start /low /b %USERPROFILE%\Documents\GitHub\eaglep3\Utilities\DownloadLogsFromS3.py --loco 4054 --day 2017-01-05</v>
      </c>
      <c r="AF37" s="1"/>
    </row>
    <row r="38" spans="1:32" x14ac:dyDescent="0.25">
      <c r="A38" s="33">
        <v>42740.18886574074</v>
      </c>
      <c r="B38" s="31" t="s">
        <v>325</v>
      </c>
      <c r="C38" s="31" t="s">
        <v>462</v>
      </c>
      <c r="D38" s="31" t="s">
        <v>49</v>
      </c>
      <c r="E38" s="31" t="s">
        <v>198</v>
      </c>
      <c r="F38" s="44">
        <v>0</v>
      </c>
      <c r="G38" s="44">
        <v>25</v>
      </c>
      <c r="H38" s="44">
        <v>937</v>
      </c>
      <c r="I38" s="44">
        <v>924</v>
      </c>
      <c r="J38" s="31" t="s">
        <v>199</v>
      </c>
      <c r="K38" s="44">
        <v>839</v>
      </c>
      <c r="L38" s="150" t="s">
        <v>51</v>
      </c>
      <c r="M38" s="151">
        <f t="shared" si="0"/>
        <v>44.88</v>
      </c>
      <c r="N38" s="152" t="str">
        <f>VLOOKUP(C38,'Trips&amp;Operators'!$C$1:$G$99999,5,FALSE)</f>
        <v>NELSON ARIANE</v>
      </c>
      <c r="O38" s="179" t="s">
        <v>195</v>
      </c>
      <c r="P38" s="153"/>
      <c r="Q38" s="31"/>
      <c r="R38" s="96" t="str">
        <f>VLOOKUP(C38,'Train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38" s="99" t="str">
        <f>VLOOKUP(C38,'Train Runs'!$A$13:$AE$9961,22,0)</f>
        <v>https://search-rtdc-monitor-bjffxe2xuh6vdkpspy63sjmuny.us-east-1.es.amazonaws.com/_plugin/kibana/#/discover/Steve-Slow-Train-Analysis-(2080s-and-2083s)?_g=(refreshInterval:(display:Off,section:0,value:0),time:(from:'2017-01-05 02:31:40-700',mode:absolute,to:'2017-01-05 05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8" s="101" t="str">
        <f t="shared" si="1"/>
        <v>"C:\Program Files (x86)\AstroGrep\AstroGrep.exe" /spath="%USERPROFILE%\AppData\Local\Temp\OnboardLogs" /stypes="*4032*201701051*" /stext=" 11:.+((SYSTEM_STATE.+slice.+state.+changed )|(ment ac)|(multiple cpu faults)|(system.+state.+changed )|(\[timeout)|(PRM\|1\|D)|(kpr)|(kdp)|(\|lc)|(penalty))" /e /r /s</v>
      </c>
      <c r="U38" s="9" t="str">
        <f t="shared" si="2"/>
        <v>4032</v>
      </c>
      <c r="V38" s="33">
        <f t="shared" si="3"/>
        <v>42740.480532407404</v>
      </c>
      <c r="W38" s="47" t="str">
        <f t="shared" si="4"/>
        <v>Other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{"issue":{"subject":"","project_id":79,"tracker_id":40,"status_id":1,"priority_id":2,"assigned_to_id":23,"start_date":"2017-01-05","description":"","custom_fields":[{"id":1,"name":"Subdivision","value":"Other"},{"id":4,"name":"Milepost","value":"0.0839"},{"id":17,"name":"Train ID","value":"66-04"},{"id":16,"name":"Locomotive ID","value":"4032"},{"id":130,"name":"Impact","value":""},{"id":150,"name":"Time of Event (Mountain Time)","value":"04:31:58"},{"id":151,"name":"Denver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"%USERPROFILE%\AppData\Local\Temp\OnboardLogs"\RTDC4032\*4032*201701051*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"%USERPROFILE%\AppData\Local\Temp\OnboardLogs"\RTDC4032\*4032*201701051* &gt;&gt; 42740-slicedisagreementcheck.txt</v>
      </c>
      <c r="AE38" s="183" t="str">
        <f t="shared" si="8"/>
        <v>start /low /b %USERPROFILE%\Documents\GitHub\eaglep3\Utilities\DownloadLogsFromS3.py --loco 4032 --day 2017-01-05</v>
      </c>
      <c r="AF38" s="1"/>
    </row>
    <row r="39" spans="1:32" x14ac:dyDescent="0.25">
      <c r="A39" s="33">
        <v>42740.189305555556</v>
      </c>
      <c r="B39" s="31" t="s">
        <v>325</v>
      </c>
      <c r="C39" s="31" t="s">
        <v>462</v>
      </c>
      <c r="D39" s="31" t="s">
        <v>49</v>
      </c>
      <c r="E39" s="31" t="s">
        <v>198</v>
      </c>
      <c r="F39" s="44">
        <v>0</v>
      </c>
      <c r="G39" s="44">
        <v>30</v>
      </c>
      <c r="H39" s="44">
        <v>896</v>
      </c>
      <c r="I39" s="44">
        <v>865</v>
      </c>
      <c r="J39" s="31" t="s">
        <v>199</v>
      </c>
      <c r="K39" s="44">
        <v>839</v>
      </c>
      <c r="L39" s="150" t="s">
        <v>51</v>
      </c>
      <c r="M39" s="151">
        <f t="shared" si="0"/>
        <v>13.728</v>
      </c>
      <c r="N39" s="152" t="str">
        <f>VLOOKUP(C39,'Trips&amp;Operators'!$C$1:$G$99999,5,FALSE)</f>
        <v>NELSON ARIANE</v>
      </c>
      <c r="O39" s="179" t="s">
        <v>195</v>
      </c>
      <c r="P39" s="153"/>
      <c r="Q39" s="31"/>
      <c r="R39" s="96" t="str">
        <f>VLOOKUP(C39,'Train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39" s="99" t="str">
        <f>VLOOKUP(C39,'Train Runs'!$A$13:$AE$9961,22,0)</f>
        <v>https://search-rtdc-monitor-bjffxe2xuh6vdkpspy63sjmuny.us-east-1.es.amazonaws.com/_plugin/kibana/#/discover/Steve-Slow-Train-Analysis-(2080s-and-2083s)?_g=(refreshInterval:(display:Off,section:0,value:0),time:(from:'2017-01-05 02:31:40-700',mode:absolute,to:'2017-01-05 05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1" t="str">
        <f t="shared" si="1"/>
        <v>"C:\Program Files (x86)\AstroGrep\AstroGrep.exe" /spath="%USERPROFILE%\AppData\Local\Temp\OnboardLogs" /stypes="*4032*201701051*" /stext=" 11:.+((SYSTEM_STATE.+slice.+state.+changed )|(ment ac)|(multiple cpu faults)|(system.+state.+changed )|(\[timeout)|(PRM\|1\|D)|(kpr)|(kdp)|(\|lc)|(penalty))" /e /r /s</v>
      </c>
      <c r="U39" s="9" t="str">
        <f t="shared" si="2"/>
        <v>4032</v>
      </c>
      <c r="V39" s="33">
        <f t="shared" si="3"/>
        <v>42740.48097222222</v>
      </c>
      <c r="W39" s="47" t="str">
        <f t="shared" si="4"/>
        <v>Other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{"issue":{"subject":"","project_id":79,"tracker_id":40,"status_id":1,"priority_id":2,"assigned_to_id":23,"start_date":"2017-01-05","description":"","custom_fields":[{"id":1,"name":"Subdivision","value":"Other"},{"id":4,"name":"Milepost","value":"0.0839"},{"id":17,"name":"Train ID","value":"66-04"},{"id":16,"name":"Locomotive ID","value":"4032"},{"id":130,"name":"Impact","value":""},{"id":150,"name":"Time of Event (Mountain Time)","value":"04:32:36"},{"id":151,"name":"Denver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"%USERPROFILE%\AppData\Local\Temp\OnboardLogs"\RTDC4032\*4032*201701051*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"%USERPROFILE%\AppData\Local\Temp\OnboardLogs"\RTDC4032\*4032*201701051* &gt;&gt; 42740-slicedisagreementcheck.txt</v>
      </c>
      <c r="AE39" s="183" t="str">
        <f t="shared" si="8"/>
        <v>start /low /b %USERPROFILE%\Documents\GitHub\eaglep3\Utilities\DownloadLogsFromS3.py --loco 4032 --day 2017-01-05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</sheetData>
  <autoFilter ref="A6:AC43">
    <sortState ref="A7:AC43">
      <sortCondition ref="V6:V43"/>
    </sortState>
  </autoFilter>
  <sortState ref="A7:AE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73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1" t="str">
        <f>"Trips that did not appear in PTC Data "&amp;TEXT(Variables!$A$2,"YYYY-mm-dd")</f>
        <v>Trips that did not appear in PTC Data 2017-01-05</v>
      </c>
      <c r="C1" s="191"/>
      <c r="D1" s="191"/>
      <c r="E1" s="191"/>
      <c r="F1" s="191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111</v>
      </c>
      <c r="B3" s="44" t="str">
        <f>A3&amp;"-"&amp;IF(DAY(Variables!$A$2)&lt;10,0,"")&amp;DAY(Variables!$A$2)</f>
        <v>111-05</v>
      </c>
      <c r="C3" s="154"/>
      <c r="D3" s="159"/>
      <c r="E3" s="31" t="s">
        <v>894</v>
      </c>
      <c r="F3" s="22" t="str">
        <f>VLOOKUP(B3,'Trips&amp;Operators'!$C$2:$E$10000,3,FALSE)</f>
        <v>YORK</v>
      </c>
      <c r="G3" s="22" t="str">
        <f>VLOOKUP(B3,'Trips&amp;Operators'!$C$1:$F$10000,4,FALSE)</f>
        <v>EDGAR</v>
      </c>
      <c r="H3" s="30" t="str">
        <f>VLOOKUP(B3,'Trips&amp;Operators'!$C$1:$H$10000,5,FALSE)</f>
        <v>YORK EDGAR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22111-05%22)),sort:!(Time,asc))</v>
      </c>
      <c r="J3" s="31" t="e">
        <f>VLOOKUP(B3,'Train Runs'!$A$13:$A$99958,1,FALSE)</f>
        <v>#N/A</v>
      </c>
    </row>
    <row r="4" spans="1:11" s="21" customFormat="1" x14ac:dyDescent="0.25">
      <c r="A4" s="167">
        <v>112</v>
      </c>
      <c r="B4" s="44" t="str">
        <f>A4&amp;"-"&amp;IF(DAY(Variables!$A$2)&lt;10,0,"")&amp;DAY(Variables!$A$2)</f>
        <v>112-05</v>
      </c>
      <c r="C4" s="154"/>
      <c r="D4" s="159"/>
      <c r="E4" s="31" t="s">
        <v>894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22112-05%22)),sort:!(Time,asc))</v>
      </c>
      <c r="J4" s="31" t="e">
        <f>VLOOKUP(B4,'Train Runs'!$A$13:$A$99958,1,FALSE)</f>
        <v>#N/A</v>
      </c>
    </row>
    <row r="5" spans="1:11" x14ac:dyDescent="0.25">
      <c r="A5" s="167">
        <v>154</v>
      </c>
      <c r="B5" s="44" t="str">
        <f>A5&amp;"-"&amp;IF(DAY(Variables!$A$2)&lt;10,0,"")&amp;DAY(Variables!$A$2)</f>
        <v>154-05</v>
      </c>
      <c r="C5" s="154"/>
      <c r="D5" s="159"/>
      <c r="E5" s="31" t="s">
        <v>894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ref="I5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22154-05%22)),sort:!(Time,asc))</v>
      </c>
      <c r="J5" s="31" t="e">
        <f>VLOOKUP(B5,'Train Runs'!$A$13:$A$99958,1,FALSE)</f>
        <v>#N/A</v>
      </c>
      <c r="K5" s="21"/>
    </row>
    <row r="6" spans="1:11" x14ac:dyDescent="0.25">
      <c r="A6" s="167">
        <v>156</v>
      </c>
      <c r="B6" s="44" t="str">
        <f>A6&amp;"-"&amp;IF(DAY(Variables!$A$2)&lt;10,0,"")&amp;DAY(Variables!$A$2)</f>
        <v>156-05</v>
      </c>
      <c r="C6" s="154"/>
      <c r="D6" s="159"/>
      <c r="E6" s="31" t="s">
        <v>894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ref="I6:I11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22156-05%22)),sort:!(Time,asc))</v>
      </c>
      <c r="J6" s="31" t="e">
        <f>VLOOKUP(B6,'Train Runs'!$A$13:$A$99958,1,FALSE)</f>
        <v>#N/A</v>
      </c>
      <c r="K6" s="21"/>
    </row>
    <row r="7" spans="1:11" x14ac:dyDescent="0.25">
      <c r="A7" s="167">
        <v>160</v>
      </c>
      <c r="B7" s="44" t="str">
        <f>A7&amp;"-"&amp;IF(DAY(Variables!$A$2)&lt;10,0,"")&amp;DAY(Variables!$A$2)</f>
        <v>160-05</v>
      </c>
      <c r="C7" s="154"/>
      <c r="D7" s="159"/>
      <c r="E7" s="31" t="s">
        <v>894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22160-05%22)),sort:!(Time,asc))</v>
      </c>
      <c r="J7" s="31" t="e">
        <f>VLOOKUP(B7,'Train Runs'!$A$13:$A$99958,1,FALSE)</f>
        <v>#N/A</v>
      </c>
      <c r="K7" s="21"/>
    </row>
    <row r="8" spans="1:11" x14ac:dyDescent="0.25">
      <c r="A8" s="167">
        <v>164</v>
      </c>
      <c r="B8" s="44" t="str">
        <f>A8&amp;"-"&amp;IF(DAY(Variables!$A$2)&lt;10,0,"")&amp;DAY(Variables!$A$2)</f>
        <v>164-05</v>
      </c>
      <c r="C8" s="154"/>
      <c r="D8" s="159"/>
      <c r="E8" s="31" t="s">
        <v>894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22164-05%22)),sort:!(Time,asc))</v>
      </c>
      <c r="J8" s="31" t="e">
        <f>VLOOKUP(B8,'Train Runs'!$A$13:$A$99958,1,FALSE)</f>
        <v>#N/A</v>
      </c>
      <c r="K8" s="21"/>
    </row>
    <row r="9" spans="1:11" x14ac:dyDescent="0.25">
      <c r="A9" s="167">
        <v>165</v>
      </c>
      <c r="B9" s="44" t="str">
        <f>A9&amp;"-"&amp;IF(DAY(Variables!$A$2)&lt;10,0,"")&amp;DAY(Variables!$A$2)</f>
        <v>165-05</v>
      </c>
      <c r="C9" s="154"/>
      <c r="D9" s="159"/>
      <c r="E9" s="31" t="s">
        <v>894</v>
      </c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22165-05%22)),sort:!(Time,asc))</v>
      </c>
      <c r="J9" s="31" t="e">
        <f>VLOOKUP(B9,'Train Runs'!$A$13:$A$99958,1,FALSE)</f>
        <v>#N/A</v>
      </c>
      <c r="K9" s="21"/>
    </row>
    <row r="10" spans="1:11" x14ac:dyDescent="0.25">
      <c r="A10" s="167">
        <v>169</v>
      </c>
      <c r="B10" s="44" t="str">
        <f>A10&amp;"-"&amp;IF(DAY(Variables!$A$2)&lt;10,0,"")&amp;DAY(Variables!$A$2)</f>
        <v>169-05</v>
      </c>
      <c r="C10" s="154"/>
      <c r="D10" s="159"/>
      <c r="E10" s="31" t="s">
        <v>894</v>
      </c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22169-05%22)),sort:!(Time,asc))</v>
      </c>
      <c r="J10" s="31" t="e">
        <f>VLOOKUP(B10,'Train Runs'!$A$13:$A$99958,1,FALSE)</f>
        <v>#N/A</v>
      </c>
      <c r="K10" s="21"/>
    </row>
    <row r="11" spans="1:11" x14ac:dyDescent="0.25">
      <c r="A11" s="167">
        <v>171</v>
      </c>
      <c r="B11" s="44" t="str">
        <f>A11&amp;"-"&amp;IF(DAY(Variables!$A$2)&lt;10,0,"")&amp;DAY(Variables!$A$2)</f>
        <v>171-05</v>
      </c>
      <c r="C11" s="154"/>
      <c r="D11" s="159"/>
      <c r="E11" s="31" t="s">
        <v>894</v>
      </c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22171-05%22)),sort:!(Time,asc))</v>
      </c>
      <c r="J11" s="31" t="e">
        <f>VLOOKUP(B11,'Train Runs'!$A$13:$A$99958,1,FALSE)</f>
        <v>#N/A</v>
      </c>
      <c r="K11" s="21"/>
    </row>
    <row r="12" spans="1:11" x14ac:dyDescent="0.25">
      <c r="A12" s="189">
        <v>803</v>
      </c>
      <c r="B12" s="44" t="str">
        <f>A12&amp;"-"&amp;IF(DAY(Variables!$A$2)&lt;10,0,"")&amp;DAY(Variables!$A$2)</f>
        <v>803-05</v>
      </c>
      <c r="C12" s="154"/>
      <c r="D12" s="159"/>
      <c r="E12" s="31" t="s">
        <v>894</v>
      </c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ref="I12" si="4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12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22803-05%22)),sort:!(Time,asc))</v>
      </c>
      <c r="J12" s="31" t="e">
        <f>VLOOKUP(B12,'Train Runs'!$A$13:$A$99958,1,FALSE)</f>
        <v>#N/A</v>
      </c>
    </row>
    <row r="13" spans="1:11" x14ac:dyDescent="0.25">
      <c r="B13" s="44"/>
      <c r="C13" s="154"/>
      <c r="D13" s="159"/>
      <c r="E13" s="31"/>
      <c r="F13" s="22"/>
      <c r="G13" s="22"/>
      <c r="H13" s="30"/>
      <c r="I13" s="47"/>
      <c r="J13" s="31"/>
    </row>
    <row r="14" spans="1:11" x14ac:dyDescent="0.25">
      <c r="B14" s="44"/>
      <c r="C14" s="154"/>
      <c r="D14" s="159"/>
      <c r="E14" s="31"/>
      <c r="F14" s="22"/>
      <c r="G14" s="22"/>
      <c r="H14" s="30"/>
      <c r="I14" s="47"/>
      <c r="J14" s="31"/>
    </row>
    <row r="15" spans="1:11" x14ac:dyDescent="0.25">
      <c r="B15" s="44"/>
      <c r="C15" s="154"/>
      <c r="D15" s="159"/>
      <c r="E15" s="31"/>
      <c r="F15" s="22"/>
      <c r="G15" s="22"/>
      <c r="H15" s="30"/>
      <c r="I15" s="47"/>
      <c r="J15" s="31"/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77" workbookViewId="0">
      <selection activeCell="G105" sqref="G10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241</v>
      </c>
      <c r="G1" s="8" t="s">
        <v>240</v>
      </c>
    </row>
    <row r="2" spans="1:7" x14ac:dyDescent="0.25">
      <c r="A2" s="8">
        <v>42740.032280092593</v>
      </c>
      <c r="B2" s="21" t="s">
        <v>328</v>
      </c>
      <c r="C2" s="21" t="s">
        <v>402</v>
      </c>
      <c r="D2" s="160">
        <v>2270000</v>
      </c>
      <c r="E2" s="21" t="s">
        <v>284</v>
      </c>
      <c r="F2" s="21" t="s">
        <v>285</v>
      </c>
      <c r="G2" s="8" t="str">
        <f>E2&amp;" "&amp;F2</f>
        <v>BROWN JACOB</v>
      </c>
    </row>
    <row r="3" spans="1:7" x14ac:dyDescent="0.25">
      <c r="A3" s="8">
        <v>42740.041539351849</v>
      </c>
      <c r="B3" s="21" t="s">
        <v>317</v>
      </c>
      <c r="C3" s="21" t="s">
        <v>403</v>
      </c>
      <c r="D3" s="160">
        <v>2450000</v>
      </c>
      <c r="E3" s="21" t="s">
        <v>399</v>
      </c>
      <c r="F3" s="21" t="s">
        <v>400</v>
      </c>
      <c r="G3" s="8" t="str">
        <f t="shared" ref="G3:G66" si="0">E3&amp;" "&amp;F3</f>
        <v>NELSON ARIANE</v>
      </c>
    </row>
    <row r="4" spans="1:7" x14ac:dyDescent="0.25">
      <c r="A4" s="8">
        <v>42740.049490740741</v>
      </c>
      <c r="B4" s="21" t="s">
        <v>261</v>
      </c>
      <c r="C4" s="21" t="s">
        <v>401</v>
      </c>
      <c r="D4" s="160">
        <v>1740000</v>
      </c>
      <c r="E4" s="21" t="s">
        <v>335</v>
      </c>
      <c r="F4" s="21" t="s">
        <v>336</v>
      </c>
      <c r="G4" s="8" t="str">
        <f t="shared" si="0"/>
        <v>STORY SAMANTHA</v>
      </c>
    </row>
    <row r="5" spans="1:7" x14ac:dyDescent="0.25">
      <c r="A5" s="8">
        <v>42740.050081018519</v>
      </c>
      <c r="B5" s="21" t="s">
        <v>261</v>
      </c>
      <c r="C5" s="21" t="s">
        <v>404</v>
      </c>
      <c r="D5" s="160">
        <v>1740000</v>
      </c>
      <c r="E5" s="21" t="s">
        <v>335</v>
      </c>
      <c r="F5" s="21" t="s">
        <v>336</v>
      </c>
      <c r="G5" s="8" t="str">
        <f t="shared" si="0"/>
        <v>STORY SAMANTHA</v>
      </c>
    </row>
    <row r="6" spans="1:7" x14ac:dyDescent="0.25">
      <c r="A6" s="8">
        <v>42740.05096064815</v>
      </c>
      <c r="B6" s="21" t="s">
        <v>261</v>
      </c>
      <c r="C6" s="21" t="s">
        <v>404</v>
      </c>
      <c r="D6" s="160">
        <v>1740000</v>
      </c>
      <c r="E6" s="21" t="s">
        <v>335</v>
      </c>
      <c r="F6" s="21" t="s">
        <v>336</v>
      </c>
      <c r="G6" s="8" t="str">
        <f t="shared" si="0"/>
        <v>STORY SAMANTHA</v>
      </c>
    </row>
    <row r="7" spans="1:7" x14ac:dyDescent="0.25">
      <c r="A7" s="8">
        <v>42740.052384259259</v>
      </c>
      <c r="B7" s="21" t="s">
        <v>302</v>
      </c>
      <c r="C7" s="21" t="s">
        <v>405</v>
      </c>
      <c r="D7" s="160">
        <v>2680000</v>
      </c>
      <c r="E7" s="21" t="s">
        <v>360</v>
      </c>
      <c r="F7" s="21" t="s">
        <v>361</v>
      </c>
      <c r="G7" s="8" t="str">
        <f t="shared" si="0"/>
        <v>DUNCAN SHEILA</v>
      </c>
    </row>
    <row r="8" spans="1:7" x14ac:dyDescent="0.25">
      <c r="A8" s="8">
        <v>42740.070474537039</v>
      </c>
      <c r="B8" s="21" t="s">
        <v>236</v>
      </c>
      <c r="C8" s="21" t="s">
        <v>406</v>
      </c>
      <c r="D8" s="160">
        <v>2270000</v>
      </c>
      <c r="E8" s="21" t="s">
        <v>284</v>
      </c>
      <c r="F8" s="21" t="s">
        <v>285</v>
      </c>
      <c r="G8" s="8" t="str">
        <f t="shared" si="0"/>
        <v>BROWN JACOB</v>
      </c>
    </row>
    <row r="9" spans="1:7" ht="15.75" thickBot="1" x14ac:dyDescent="0.3">
      <c r="A9" s="25">
        <v>42740.074502314812</v>
      </c>
      <c r="B9" s="21" t="s">
        <v>236</v>
      </c>
      <c r="C9" s="21" t="s">
        <v>406</v>
      </c>
      <c r="D9" s="160">
        <v>2270000</v>
      </c>
      <c r="E9" s="21" t="s">
        <v>284</v>
      </c>
      <c r="F9" s="21" t="s">
        <v>285</v>
      </c>
      <c r="G9" s="8" t="str">
        <f t="shared" si="0"/>
        <v>BROWN JACOB</v>
      </c>
    </row>
    <row r="10" spans="1:7" x14ac:dyDescent="0.25">
      <c r="A10" s="8">
        <v>42740.089398148149</v>
      </c>
      <c r="B10" s="21" t="s">
        <v>303</v>
      </c>
      <c r="C10" s="21" t="s">
        <v>407</v>
      </c>
      <c r="D10" s="160">
        <v>2680000</v>
      </c>
      <c r="E10" s="21" t="s">
        <v>360</v>
      </c>
      <c r="F10" s="21" t="s">
        <v>361</v>
      </c>
      <c r="G10" s="8" t="str">
        <f t="shared" si="0"/>
        <v>DUNCAN SHEILA</v>
      </c>
    </row>
    <row r="11" spans="1:7" x14ac:dyDescent="0.25">
      <c r="A11" s="8">
        <v>42740.114641203705</v>
      </c>
      <c r="B11" s="21" t="s">
        <v>252</v>
      </c>
      <c r="C11" s="21" t="s">
        <v>492</v>
      </c>
      <c r="D11" s="160">
        <v>2100000</v>
      </c>
      <c r="E11" s="21" t="s">
        <v>383</v>
      </c>
      <c r="F11" s="21" t="s">
        <v>384</v>
      </c>
      <c r="G11" s="8" t="str">
        <f t="shared" si="0"/>
        <v>ISHMAEL JOSEPH</v>
      </c>
    </row>
    <row r="12" spans="1:7" x14ac:dyDescent="0.25">
      <c r="A12" s="8">
        <v>42740.125914351855</v>
      </c>
      <c r="B12" s="21" t="s">
        <v>316</v>
      </c>
      <c r="C12" s="21" t="s">
        <v>493</v>
      </c>
      <c r="D12" s="160">
        <v>2100000</v>
      </c>
      <c r="E12" s="21" t="s">
        <v>383</v>
      </c>
      <c r="F12" s="21" t="s">
        <v>384</v>
      </c>
      <c r="G12" s="8" t="str">
        <f t="shared" si="0"/>
        <v>ISHMAEL JOSEPH</v>
      </c>
    </row>
    <row r="13" spans="1:7" x14ac:dyDescent="0.25">
      <c r="A13" s="8">
        <v>42740.126331018517</v>
      </c>
      <c r="B13" s="21" t="s">
        <v>325</v>
      </c>
      <c r="C13" s="21" t="s">
        <v>462</v>
      </c>
      <c r="D13" s="160">
        <v>2450000</v>
      </c>
      <c r="E13" s="21" t="s">
        <v>399</v>
      </c>
      <c r="F13" s="21" t="s">
        <v>400</v>
      </c>
      <c r="G13" s="8" t="str">
        <f t="shared" si="0"/>
        <v>NELSON ARIANE</v>
      </c>
    </row>
    <row r="14" spans="1:7" x14ac:dyDescent="0.25">
      <c r="A14" s="8">
        <v>42740.147337962961</v>
      </c>
      <c r="B14" s="21" t="s">
        <v>325</v>
      </c>
      <c r="C14" s="21" t="s">
        <v>462</v>
      </c>
      <c r="D14" s="160">
        <v>2450000</v>
      </c>
      <c r="E14" s="21" t="s">
        <v>399</v>
      </c>
      <c r="F14" s="21" t="s">
        <v>400</v>
      </c>
      <c r="G14" s="8" t="str">
        <f t="shared" si="0"/>
        <v>NELSON ARIANE</v>
      </c>
    </row>
    <row r="15" spans="1:7" x14ac:dyDescent="0.25">
      <c r="A15" s="8">
        <v>42740.1559837963</v>
      </c>
      <c r="B15" s="21" t="s">
        <v>183</v>
      </c>
      <c r="C15" s="21" t="s">
        <v>494</v>
      </c>
      <c r="D15" s="160">
        <v>1290000</v>
      </c>
      <c r="E15" s="21" t="s">
        <v>495</v>
      </c>
      <c r="F15" s="21" t="s">
        <v>496</v>
      </c>
      <c r="G15" s="8" t="str">
        <f t="shared" si="0"/>
        <v>COOLAHAN JOHN</v>
      </c>
    </row>
    <row r="16" spans="1:7" x14ac:dyDescent="0.25">
      <c r="A16" s="8">
        <v>42740.157557870371</v>
      </c>
      <c r="B16" s="21" t="s">
        <v>315</v>
      </c>
      <c r="C16" s="21" t="s">
        <v>463</v>
      </c>
      <c r="D16" s="160">
        <v>2140000</v>
      </c>
      <c r="E16" s="21" t="s">
        <v>497</v>
      </c>
      <c r="F16" s="21" t="s">
        <v>498</v>
      </c>
      <c r="G16" s="8" t="str">
        <f t="shared" si="0"/>
        <v>ROBINSON KADDIBA</v>
      </c>
    </row>
    <row r="17" spans="1:7" x14ac:dyDescent="0.25">
      <c r="A17" s="8">
        <v>42740.16951388889</v>
      </c>
      <c r="B17" s="21" t="s">
        <v>296</v>
      </c>
      <c r="C17" s="21" t="s">
        <v>464</v>
      </c>
      <c r="D17" s="160">
        <v>2140000</v>
      </c>
      <c r="E17" s="21" t="s">
        <v>497</v>
      </c>
      <c r="F17" s="21" t="s">
        <v>498</v>
      </c>
      <c r="G17" s="8" t="str">
        <f t="shared" si="0"/>
        <v>ROBINSON KADDIBA</v>
      </c>
    </row>
    <row r="18" spans="1:7" x14ac:dyDescent="0.25">
      <c r="A18" s="8">
        <v>42740.171122685184</v>
      </c>
      <c r="B18" s="21" t="s">
        <v>252</v>
      </c>
      <c r="C18" s="21" t="s">
        <v>499</v>
      </c>
      <c r="D18" s="160">
        <v>2100000</v>
      </c>
      <c r="E18" s="21" t="s">
        <v>383</v>
      </c>
      <c r="F18" s="21" t="s">
        <v>384</v>
      </c>
      <c r="G18" s="8" t="str">
        <f t="shared" si="0"/>
        <v>ISHMAEL JOSEPH</v>
      </c>
    </row>
    <row r="19" spans="1:7" x14ac:dyDescent="0.25">
      <c r="A19" s="8">
        <v>42740.171770833331</v>
      </c>
      <c r="B19" s="21" t="s">
        <v>299</v>
      </c>
      <c r="C19" s="21" t="s">
        <v>500</v>
      </c>
      <c r="D19" s="160">
        <v>2670000</v>
      </c>
      <c r="E19" s="21" t="s">
        <v>326</v>
      </c>
      <c r="F19" s="21" t="s">
        <v>327</v>
      </c>
      <c r="G19" s="8" t="str">
        <f t="shared" si="0"/>
        <v>COMELLA JUSTIN</v>
      </c>
    </row>
    <row r="20" spans="1:7" x14ac:dyDescent="0.25">
      <c r="A20" s="8">
        <v>42740.179282407407</v>
      </c>
      <c r="B20" s="21" t="s">
        <v>208</v>
      </c>
      <c r="C20" s="21" t="s">
        <v>501</v>
      </c>
      <c r="D20" s="160">
        <v>2730000</v>
      </c>
      <c r="E20" s="21" t="s">
        <v>387</v>
      </c>
      <c r="F20" s="21" t="s">
        <v>388</v>
      </c>
      <c r="G20" s="8" t="str">
        <f t="shared" si="0"/>
        <v>YANG JAN</v>
      </c>
    </row>
    <row r="21" spans="1:7" x14ac:dyDescent="0.25">
      <c r="A21" s="8">
        <v>42740.18377314815</v>
      </c>
      <c r="B21" s="21" t="s">
        <v>227</v>
      </c>
      <c r="C21" s="21" t="s">
        <v>502</v>
      </c>
      <c r="D21" s="160">
        <v>2670000</v>
      </c>
      <c r="E21" s="21" t="s">
        <v>326</v>
      </c>
      <c r="F21" s="21" t="s">
        <v>327</v>
      </c>
      <c r="G21" s="8" t="str">
        <f t="shared" si="0"/>
        <v>COMELLA JUSTIN</v>
      </c>
    </row>
    <row r="22" spans="1:7" x14ac:dyDescent="0.25">
      <c r="A22" s="27">
        <v>42740.191759259258</v>
      </c>
      <c r="B22" s="21" t="s">
        <v>245</v>
      </c>
      <c r="C22" s="21" t="s">
        <v>503</v>
      </c>
      <c r="D22" s="160">
        <v>1290000</v>
      </c>
      <c r="E22" s="21" t="s">
        <v>495</v>
      </c>
      <c r="F22" s="21" t="s">
        <v>496</v>
      </c>
      <c r="G22" s="8" t="str">
        <f t="shared" si="0"/>
        <v>COOLAHAN JOHN</v>
      </c>
    </row>
    <row r="23" spans="1:7" x14ac:dyDescent="0.25">
      <c r="A23" s="8">
        <v>42740.194791666669</v>
      </c>
      <c r="B23" s="21" t="s">
        <v>202</v>
      </c>
      <c r="C23" s="21" t="s">
        <v>504</v>
      </c>
      <c r="D23" s="160">
        <v>2730000</v>
      </c>
      <c r="E23" s="21" t="s">
        <v>387</v>
      </c>
      <c r="F23" s="21" t="s">
        <v>388</v>
      </c>
      <c r="G23" s="8" t="str">
        <f t="shared" si="0"/>
        <v>YANG JAN</v>
      </c>
    </row>
    <row r="24" spans="1:7" x14ac:dyDescent="0.25">
      <c r="A24" s="8">
        <v>42740.198807870373</v>
      </c>
      <c r="B24" s="21" t="s">
        <v>505</v>
      </c>
      <c r="C24" s="21" t="s">
        <v>506</v>
      </c>
      <c r="D24" s="160">
        <v>2020000</v>
      </c>
      <c r="E24" s="21" t="s">
        <v>507</v>
      </c>
      <c r="F24" s="21" t="s">
        <v>496</v>
      </c>
      <c r="G24" s="8" t="str">
        <f t="shared" si="0"/>
        <v>SHOOK JOHN</v>
      </c>
    </row>
    <row r="25" spans="1:7" x14ac:dyDescent="0.25">
      <c r="A25" s="8">
        <v>42740.208379629628</v>
      </c>
      <c r="B25" s="21" t="s">
        <v>483</v>
      </c>
      <c r="C25" s="21" t="s">
        <v>508</v>
      </c>
      <c r="D25" s="160">
        <v>2020000</v>
      </c>
      <c r="E25" s="21" t="s">
        <v>507</v>
      </c>
      <c r="F25" s="21" t="s">
        <v>496</v>
      </c>
      <c r="G25" s="8" t="str">
        <f t="shared" si="0"/>
        <v>SHOOK JOHN</v>
      </c>
    </row>
    <row r="26" spans="1:7" x14ac:dyDescent="0.25">
      <c r="A26" s="8">
        <v>42740.209502314814</v>
      </c>
      <c r="B26" s="21" t="s">
        <v>316</v>
      </c>
      <c r="C26" s="21" t="s">
        <v>509</v>
      </c>
      <c r="D26" s="160">
        <v>1830000</v>
      </c>
      <c r="E26" s="21" t="s">
        <v>304</v>
      </c>
      <c r="F26" s="21" t="s">
        <v>305</v>
      </c>
      <c r="G26" s="8" t="str">
        <f t="shared" si="0"/>
        <v>YORK EDGAR</v>
      </c>
    </row>
    <row r="27" spans="1:7" x14ac:dyDescent="0.25">
      <c r="A27" s="8">
        <v>42740.211354166669</v>
      </c>
      <c r="B27" s="21" t="s">
        <v>315</v>
      </c>
      <c r="C27" s="21" t="s">
        <v>510</v>
      </c>
      <c r="D27" s="160">
        <v>2140000</v>
      </c>
      <c r="E27" s="21" t="s">
        <v>497</v>
      </c>
      <c r="F27" s="21" t="s">
        <v>498</v>
      </c>
      <c r="G27" s="8" t="str">
        <f t="shared" si="0"/>
        <v>ROBINSON KADDIBA</v>
      </c>
    </row>
    <row r="28" spans="1:7" x14ac:dyDescent="0.25">
      <c r="A28" s="8">
        <v>42740.213043981479</v>
      </c>
      <c r="B28" s="21" t="s">
        <v>316</v>
      </c>
      <c r="C28" s="21" t="s">
        <v>509</v>
      </c>
      <c r="D28" s="160">
        <v>1830000</v>
      </c>
      <c r="E28" s="21" t="s">
        <v>304</v>
      </c>
      <c r="F28" s="21" t="s">
        <v>305</v>
      </c>
      <c r="G28" s="8" t="str">
        <f t="shared" si="0"/>
        <v>YORK EDGAR</v>
      </c>
    </row>
    <row r="29" spans="1:7" x14ac:dyDescent="0.25">
      <c r="A29" s="8">
        <v>42740.217037037037</v>
      </c>
      <c r="B29" s="21" t="s">
        <v>316</v>
      </c>
      <c r="C29" s="21" t="s">
        <v>511</v>
      </c>
      <c r="D29" s="160">
        <v>1830000</v>
      </c>
      <c r="E29" s="21" t="s">
        <v>304</v>
      </c>
      <c r="F29" s="21" t="s">
        <v>305</v>
      </c>
      <c r="G29" s="8" t="str">
        <f t="shared" si="0"/>
        <v>YORK EDGAR</v>
      </c>
    </row>
    <row r="30" spans="1:7" x14ac:dyDescent="0.25">
      <c r="A30" s="8">
        <v>42740.219756944447</v>
      </c>
      <c r="B30" s="21" t="s">
        <v>299</v>
      </c>
      <c r="C30" s="21" t="s">
        <v>512</v>
      </c>
      <c r="D30" s="160">
        <v>2670000</v>
      </c>
      <c r="E30" s="21" t="s">
        <v>326</v>
      </c>
      <c r="F30" s="21" t="s">
        <v>327</v>
      </c>
      <c r="G30" s="8" t="str">
        <f t="shared" si="0"/>
        <v>COMELLA JUSTIN</v>
      </c>
    </row>
    <row r="31" spans="1:7" x14ac:dyDescent="0.25">
      <c r="A31" s="8">
        <v>42740.221168981479</v>
      </c>
      <c r="B31" s="21" t="s">
        <v>299</v>
      </c>
      <c r="C31" s="21" t="s">
        <v>510</v>
      </c>
      <c r="D31" s="160">
        <v>2670000</v>
      </c>
      <c r="E31" s="21" t="s">
        <v>326</v>
      </c>
      <c r="F31" s="21" t="s">
        <v>327</v>
      </c>
      <c r="G31" s="8" t="str">
        <f t="shared" si="0"/>
        <v>COMELLA JUSTIN</v>
      </c>
    </row>
    <row r="32" spans="1:7" x14ac:dyDescent="0.25">
      <c r="A32" s="8">
        <v>42740.223495370374</v>
      </c>
      <c r="B32" s="21" t="s">
        <v>222</v>
      </c>
      <c r="C32" s="21" t="s">
        <v>513</v>
      </c>
      <c r="D32" s="160">
        <v>2100000</v>
      </c>
      <c r="E32" s="21" t="s">
        <v>383</v>
      </c>
      <c r="F32" s="21" t="s">
        <v>384</v>
      </c>
      <c r="G32" s="8" t="str">
        <f t="shared" si="0"/>
        <v>ISHMAEL JOSEPH</v>
      </c>
    </row>
    <row r="33" spans="1:7" x14ac:dyDescent="0.25">
      <c r="A33" s="8">
        <v>42740.230069444442</v>
      </c>
      <c r="B33" s="21" t="s">
        <v>315</v>
      </c>
      <c r="C33" s="21" t="s">
        <v>512</v>
      </c>
      <c r="D33" s="160">
        <v>2670000</v>
      </c>
      <c r="E33" s="21" t="s">
        <v>326</v>
      </c>
      <c r="F33" s="21" t="s">
        <v>327</v>
      </c>
      <c r="G33" s="8" t="str">
        <f t="shared" si="0"/>
        <v>COMELLA JUSTIN</v>
      </c>
    </row>
    <row r="34" spans="1:7" x14ac:dyDescent="0.25">
      <c r="A34" s="8">
        <v>42740.230104166665</v>
      </c>
      <c r="B34" s="21" t="s">
        <v>505</v>
      </c>
      <c r="C34" s="21" t="s">
        <v>514</v>
      </c>
      <c r="D34" s="160">
        <v>2020000</v>
      </c>
      <c r="E34" s="21" t="s">
        <v>507</v>
      </c>
      <c r="F34" s="21" t="s">
        <v>496</v>
      </c>
      <c r="G34" s="8" t="str">
        <f t="shared" si="0"/>
        <v>SHOOK JOHN</v>
      </c>
    </row>
    <row r="35" spans="1:7" x14ac:dyDescent="0.25">
      <c r="A35" s="8">
        <v>42740.233773148146</v>
      </c>
      <c r="B35" s="21" t="s">
        <v>183</v>
      </c>
      <c r="C35" s="21" t="s">
        <v>465</v>
      </c>
      <c r="D35" s="160">
        <v>1360000</v>
      </c>
      <c r="E35" s="21" t="s">
        <v>356</v>
      </c>
      <c r="F35" s="21" t="s">
        <v>357</v>
      </c>
      <c r="G35" s="8" t="str">
        <f t="shared" si="0"/>
        <v>SANTIZO D. EDY</v>
      </c>
    </row>
    <row r="36" spans="1:7" x14ac:dyDescent="0.25">
      <c r="A36" s="8">
        <v>42740.235567129632</v>
      </c>
      <c r="B36" s="21" t="s">
        <v>208</v>
      </c>
      <c r="C36" s="21" t="s">
        <v>515</v>
      </c>
      <c r="D36" s="160">
        <v>2730000</v>
      </c>
      <c r="E36" s="21" t="s">
        <v>387</v>
      </c>
      <c r="F36" s="21" t="s">
        <v>388</v>
      </c>
      <c r="G36" s="8" t="str">
        <f t="shared" si="0"/>
        <v>YANG JAN</v>
      </c>
    </row>
    <row r="37" spans="1:7" x14ac:dyDescent="0.25">
      <c r="A37" s="8">
        <v>42740.245763888888</v>
      </c>
      <c r="B37" s="21" t="s">
        <v>225</v>
      </c>
      <c r="C37" s="21" t="s">
        <v>516</v>
      </c>
      <c r="D37" s="160">
        <v>1290000</v>
      </c>
      <c r="E37" s="21" t="s">
        <v>495</v>
      </c>
      <c r="F37" s="21" t="s">
        <v>496</v>
      </c>
      <c r="G37" s="8" t="str">
        <f t="shared" si="0"/>
        <v>COOLAHAN JOHN</v>
      </c>
    </row>
    <row r="38" spans="1:7" x14ac:dyDescent="0.25">
      <c r="A38" s="8">
        <v>42740.248553240737</v>
      </c>
      <c r="B38" s="21" t="s">
        <v>517</v>
      </c>
      <c r="C38" s="21" t="s">
        <v>518</v>
      </c>
      <c r="D38" s="160">
        <v>2710000</v>
      </c>
      <c r="E38" s="21" t="s">
        <v>519</v>
      </c>
      <c r="F38" s="21" t="s">
        <v>520</v>
      </c>
      <c r="G38" s="8" t="str">
        <f t="shared" si="0"/>
        <v>SIMMONS SHYHESHA</v>
      </c>
    </row>
    <row r="39" spans="1:7" x14ac:dyDescent="0.25">
      <c r="A39" s="8">
        <v>42740.253993055558</v>
      </c>
      <c r="B39" s="21" t="s">
        <v>314</v>
      </c>
      <c r="C39" s="21" t="s">
        <v>521</v>
      </c>
      <c r="D39" s="160">
        <v>1830000</v>
      </c>
      <c r="E39" s="21" t="s">
        <v>304</v>
      </c>
      <c r="F39" s="21" t="s">
        <v>305</v>
      </c>
      <c r="G39" s="8" t="str">
        <f t="shared" si="0"/>
        <v>YORK EDGAR</v>
      </c>
    </row>
    <row r="40" spans="1:7" x14ac:dyDescent="0.25">
      <c r="A40" s="8">
        <v>42740.25708333333</v>
      </c>
      <c r="B40" s="26" t="s">
        <v>483</v>
      </c>
      <c r="C40" s="21" t="s">
        <v>522</v>
      </c>
      <c r="D40" s="160">
        <v>2020000</v>
      </c>
      <c r="E40" s="21" t="s">
        <v>507</v>
      </c>
      <c r="F40" s="21" t="s">
        <v>496</v>
      </c>
      <c r="G40" s="8" t="str">
        <f t="shared" si="0"/>
        <v>SHOOK JOHN</v>
      </c>
    </row>
    <row r="41" spans="1:7" x14ac:dyDescent="0.25">
      <c r="A41" s="8">
        <v>42740.257210648146</v>
      </c>
      <c r="B41" s="21" t="s">
        <v>227</v>
      </c>
      <c r="C41" s="21" t="s">
        <v>523</v>
      </c>
      <c r="D41" s="160">
        <v>2670000</v>
      </c>
      <c r="E41" s="21" t="s">
        <v>326</v>
      </c>
      <c r="F41" s="21" t="s">
        <v>327</v>
      </c>
      <c r="G41" s="8" t="str">
        <f t="shared" si="0"/>
        <v>COMELLA JUSTIN</v>
      </c>
    </row>
    <row r="42" spans="1:7" x14ac:dyDescent="0.25">
      <c r="A42" s="8">
        <v>42740.264050925929</v>
      </c>
      <c r="B42" s="21" t="s">
        <v>252</v>
      </c>
      <c r="C42" s="21" t="s">
        <v>466</v>
      </c>
      <c r="D42" s="160">
        <v>2100000</v>
      </c>
      <c r="E42" s="21" t="s">
        <v>383</v>
      </c>
      <c r="F42" s="21" t="s">
        <v>384</v>
      </c>
      <c r="G42" s="8" t="str">
        <f t="shared" si="0"/>
        <v>ISHMAEL JOSEPH</v>
      </c>
    </row>
    <row r="43" spans="1:7" x14ac:dyDescent="0.25">
      <c r="A43" s="8">
        <v>42740.265266203707</v>
      </c>
      <c r="B43" s="21" t="s">
        <v>212</v>
      </c>
      <c r="C43" s="21" t="s">
        <v>524</v>
      </c>
      <c r="D43" s="160">
        <v>2670000</v>
      </c>
      <c r="E43" s="21" t="s">
        <v>326</v>
      </c>
      <c r="F43" s="21" t="s">
        <v>327</v>
      </c>
      <c r="G43" s="8" t="str">
        <f t="shared" si="0"/>
        <v>COMELLA JUSTIN</v>
      </c>
    </row>
    <row r="44" spans="1:7" x14ac:dyDescent="0.25">
      <c r="A44" s="8">
        <v>42740.265300925923</v>
      </c>
      <c r="B44" s="21" t="s">
        <v>262</v>
      </c>
      <c r="C44" s="21" t="s">
        <v>518</v>
      </c>
      <c r="D44" s="160">
        <v>890000</v>
      </c>
      <c r="E44" s="21" t="s">
        <v>352</v>
      </c>
      <c r="F44" s="21" t="s">
        <v>353</v>
      </c>
      <c r="G44" s="8" t="str">
        <f t="shared" si="0"/>
        <v>LOZA FIDEL</v>
      </c>
    </row>
    <row r="45" spans="1:7" x14ac:dyDescent="0.25">
      <c r="A45" s="8">
        <v>42740.273981481485</v>
      </c>
      <c r="B45" s="21" t="s">
        <v>505</v>
      </c>
      <c r="C45" s="21" t="s">
        <v>525</v>
      </c>
      <c r="D45" s="160">
        <v>2020000</v>
      </c>
      <c r="E45" s="21" t="s">
        <v>507</v>
      </c>
      <c r="F45" s="21" t="s">
        <v>496</v>
      </c>
      <c r="G45" s="8" t="str">
        <f t="shared" si="0"/>
        <v>SHOOK JOHN</v>
      </c>
    </row>
    <row r="46" spans="1:7" x14ac:dyDescent="0.25">
      <c r="A46" s="8">
        <v>42740.274675925924</v>
      </c>
      <c r="B46" s="21" t="s">
        <v>202</v>
      </c>
      <c r="C46" s="21" t="s">
        <v>526</v>
      </c>
      <c r="D46" s="160">
        <v>2730000</v>
      </c>
      <c r="E46" s="21" t="s">
        <v>387</v>
      </c>
      <c r="F46" s="21" t="s">
        <v>388</v>
      </c>
      <c r="G46" s="8" t="str">
        <f t="shared" si="0"/>
        <v>YANG JAN</v>
      </c>
    </row>
    <row r="47" spans="1:7" x14ac:dyDescent="0.25">
      <c r="A47" s="8">
        <v>42740.276261574072</v>
      </c>
      <c r="B47" s="21" t="s">
        <v>348</v>
      </c>
      <c r="C47" s="21" t="s">
        <v>527</v>
      </c>
      <c r="D47" s="160">
        <v>1360000</v>
      </c>
      <c r="E47" s="21" t="s">
        <v>356</v>
      </c>
      <c r="F47" s="21" t="s">
        <v>357</v>
      </c>
      <c r="G47" s="8" t="str">
        <f t="shared" si="0"/>
        <v>SANTIZO D. EDY</v>
      </c>
    </row>
    <row r="48" spans="1:7" x14ac:dyDescent="0.25">
      <c r="A48" s="8">
        <v>42740.27685185185</v>
      </c>
      <c r="B48" s="21" t="s">
        <v>262</v>
      </c>
      <c r="C48" s="21" t="s">
        <v>528</v>
      </c>
      <c r="D48" s="160">
        <v>890000</v>
      </c>
      <c r="E48" s="21" t="s">
        <v>352</v>
      </c>
      <c r="F48" s="21" t="s">
        <v>353</v>
      </c>
      <c r="G48" s="8" t="str">
        <f t="shared" si="0"/>
        <v>LOZA FIDEL</v>
      </c>
    </row>
    <row r="49" spans="1:7" x14ac:dyDescent="0.25">
      <c r="A49" s="8">
        <v>42740.282442129632</v>
      </c>
      <c r="B49" s="21" t="s">
        <v>382</v>
      </c>
      <c r="C49" s="21" t="s">
        <v>529</v>
      </c>
      <c r="D49" s="160">
        <v>1340000</v>
      </c>
      <c r="E49" s="21" t="s">
        <v>385</v>
      </c>
      <c r="F49" s="21" t="s">
        <v>386</v>
      </c>
      <c r="G49" s="8" t="str">
        <f t="shared" si="0"/>
        <v>BEAM ROSS</v>
      </c>
    </row>
    <row r="50" spans="1:7" x14ac:dyDescent="0.25">
      <c r="A50" s="8">
        <v>42740.28533564815</v>
      </c>
      <c r="B50" s="21" t="s">
        <v>245</v>
      </c>
      <c r="C50" s="21" t="s">
        <v>530</v>
      </c>
      <c r="D50" s="160">
        <v>1290000</v>
      </c>
      <c r="E50" s="21" t="s">
        <v>495</v>
      </c>
      <c r="F50" s="21" t="s">
        <v>496</v>
      </c>
      <c r="G50" s="8" t="str">
        <f t="shared" si="0"/>
        <v>COOLAHAN JOHN</v>
      </c>
    </row>
    <row r="51" spans="1:7" x14ac:dyDescent="0.25">
      <c r="A51" s="8">
        <v>42740.289560185185</v>
      </c>
      <c r="B51" s="21" t="s">
        <v>316</v>
      </c>
      <c r="C51" s="21" t="s">
        <v>531</v>
      </c>
      <c r="D51" s="160">
        <v>1830000</v>
      </c>
      <c r="E51" s="21" t="s">
        <v>304</v>
      </c>
      <c r="F51" s="21" t="s">
        <v>305</v>
      </c>
      <c r="G51" s="8" t="str">
        <f t="shared" si="0"/>
        <v>YORK EDGAR</v>
      </c>
    </row>
    <row r="52" spans="1:7" x14ac:dyDescent="0.25">
      <c r="A52" s="8">
        <v>42740.293807870374</v>
      </c>
      <c r="B52" s="21" t="s">
        <v>317</v>
      </c>
      <c r="C52" s="21" t="s">
        <v>532</v>
      </c>
      <c r="D52" s="160">
        <v>1090000</v>
      </c>
      <c r="E52" s="21" t="s">
        <v>306</v>
      </c>
      <c r="F52" s="21" t="s">
        <v>248</v>
      </c>
      <c r="G52" s="8" t="str">
        <f t="shared" si="0"/>
        <v>SPECTOR MICHAEL</v>
      </c>
    </row>
    <row r="53" spans="1:7" x14ac:dyDescent="0.25">
      <c r="A53" s="8">
        <v>42740.294571759259</v>
      </c>
      <c r="B53" s="21" t="s">
        <v>299</v>
      </c>
      <c r="C53" s="21" t="s">
        <v>533</v>
      </c>
      <c r="D53" s="160">
        <v>2140000</v>
      </c>
      <c r="E53" s="21" t="s">
        <v>497</v>
      </c>
      <c r="F53" s="21" t="s">
        <v>498</v>
      </c>
      <c r="G53" s="8" t="str">
        <f t="shared" si="0"/>
        <v>ROBINSON KADDIBA</v>
      </c>
    </row>
    <row r="54" spans="1:7" x14ac:dyDescent="0.25">
      <c r="A54" s="8">
        <v>42740.29959490741</v>
      </c>
      <c r="B54" s="21" t="s">
        <v>483</v>
      </c>
      <c r="C54" s="21" t="s">
        <v>534</v>
      </c>
      <c r="D54" s="160">
        <v>2020000</v>
      </c>
      <c r="E54" s="21" t="s">
        <v>507</v>
      </c>
      <c r="F54" s="21" t="s">
        <v>496</v>
      </c>
      <c r="G54" s="8" t="str">
        <f t="shared" si="0"/>
        <v>SHOOK JOHN</v>
      </c>
    </row>
    <row r="55" spans="1:7" x14ac:dyDescent="0.25">
      <c r="A55" s="8">
        <v>42740.303981481484</v>
      </c>
      <c r="B55" s="21" t="s">
        <v>261</v>
      </c>
      <c r="C55" s="21" t="s">
        <v>535</v>
      </c>
      <c r="D55" s="160">
        <v>2710000</v>
      </c>
      <c r="E55" s="21" t="s">
        <v>519</v>
      </c>
      <c r="F55" s="21" t="s">
        <v>520</v>
      </c>
      <c r="G55" s="8" t="str">
        <f t="shared" si="0"/>
        <v>SIMMONS SHYHESHA</v>
      </c>
    </row>
    <row r="56" spans="1:7" x14ac:dyDescent="0.25">
      <c r="A56" s="8">
        <v>42740.304861111108</v>
      </c>
      <c r="B56" s="21" t="s">
        <v>315</v>
      </c>
      <c r="C56" s="21" t="s">
        <v>536</v>
      </c>
      <c r="D56" s="160">
        <v>2670000</v>
      </c>
      <c r="E56" s="21" t="s">
        <v>326</v>
      </c>
      <c r="F56" s="21" t="s">
        <v>327</v>
      </c>
      <c r="G56" s="8" t="str">
        <f t="shared" si="0"/>
        <v>COMELLA JUSTIN</v>
      </c>
    </row>
    <row r="57" spans="1:7" x14ac:dyDescent="0.25">
      <c r="A57" s="8">
        <v>42740.310057870367</v>
      </c>
      <c r="B57" s="21" t="s">
        <v>183</v>
      </c>
      <c r="C57" s="21" t="s">
        <v>467</v>
      </c>
      <c r="D57" s="160">
        <v>1360000</v>
      </c>
      <c r="E57" s="21" t="s">
        <v>356</v>
      </c>
      <c r="F57" s="21" t="s">
        <v>357</v>
      </c>
      <c r="G57" s="8" t="str">
        <f t="shared" si="0"/>
        <v>SANTIZO D. EDY</v>
      </c>
    </row>
    <row r="58" spans="1:7" x14ac:dyDescent="0.25">
      <c r="A58" s="8">
        <v>42740.314560185187</v>
      </c>
      <c r="B58" s="21" t="s">
        <v>505</v>
      </c>
      <c r="C58" s="21" t="s">
        <v>537</v>
      </c>
      <c r="D58" s="160">
        <v>2020000</v>
      </c>
      <c r="E58" s="21" t="s">
        <v>507</v>
      </c>
      <c r="F58" s="21" t="s">
        <v>496</v>
      </c>
      <c r="G58" s="8" t="str">
        <f t="shared" si="0"/>
        <v>SHOOK JOHN</v>
      </c>
    </row>
    <row r="59" spans="1:7" x14ac:dyDescent="0.25">
      <c r="A59" s="8">
        <v>42740.317743055559</v>
      </c>
      <c r="B59" s="21" t="s">
        <v>208</v>
      </c>
      <c r="C59" s="21" t="s">
        <v>538</v>
      </c>
      <c r="D59" s="160">
        <v>2730000</v>
      </c>
      <c r="E59" s="21" t="s">
        <v>387</v>
      </c>
      <c r="F59" s="21" t="s">
        <v>388</v>
      </c>
      <c r="G59" s="8" t="str">
        <f t="shared" si="0"/>
        <v>YANG JAN</v>
      </c>
    </row>
    <row r="60" spans="1:7" x14ac:dyDescent="0.25">
      <c r="A60" s="8">
        <v>42740.317754629628</v>
      </c>
      <c r="B60" s="21" t="s">
        <v>262</v>
      </c>
      <c r="C60" s="21" t="s">
        <v>539</v>
      </c>
      <c r="D60" s="160">
        <v>890000</v>
      </c>
      <c r="E60" s="21" t="s">
        <v>352</v>
      </c>
      <c r="F60" s="21" t="s">
        <v>353</v>
      </c>
      <c r="G60" s="8" t="str">
        <f t="shared" si="0"/>
        <v>LOZA FIDEL</v>
      </c>
    </row>
    <row r="61" spans="1:7" x14ac:dyDescent="0.25">
      <c r="A61" s="8">
        <v>42740.318564814814</v>
      </c>
      <c r="B61" s="21" t="s">
        <v>183</v>
      </c>
      <c r="C61" s="21" t="s">
        <v>467</v>
      </c>
      <c r="D61" s="160">
        <v>1360000</v>
      </c>
      <c r="E61" s="21" t="s">
        <v>356</v>
      </c>
      <c r="F61" s="21" t="s">
        <v>357</v>
      </c>
      <c r="G61" s="8" t="str">
        <f t="shared" si="0"/>
        <v>SANTIZO D. EDY</v>
      </c>
    </row>
    <row r="62" spans="1:7" x14ac:dyDescent="0.25">
      <c r="A62" s="8">
        <v>42740.319004629629</v>
      </c>
      <c r="B62" s="21" t="s">
        <v>314</v>
      </c>
      <c r="C62" s="21" t="s">
        <v>540</v>
      </c>
      <c r="D62" s="160">
        <v>1830000</v>
      </c>
      <c r="E62" s="21" t="s">
        <v>304</v>
      </c>
      <c r="F62" s="21" t="s">
        <v>305</v>
      </c>
      <c r="G62" s="8" t="str">
        <f t="shared" si="0"/>
        <v>YORK EDGAR</v>
      </c>
    </row>
    <row r="63" spans="1:7" x14ac:dyDescent="0.25">
      <c r="A63" s="8">
        <v>42740.321064814816</v>
      </c>
      <c r="B63" s="21" t="s">
        <v>225</v>
      </c>
      <c r="C63" s="21" t="s">
        <v>541</v>
      </c>
      <c r="D63" s="160">
        <v>1290000</v>
      </c>
      <c r="E63" s="21" t="s">
        <v>495</v>
      </c>
      <c r="F63" s="21" t="s">
        <v>496</v>
      </c>
      <c r="G63" s="8" t="str">
        <f t="shared" si="0"/>
        <v>COOLAHAN JOHN</v>
      </c>
    </row>
    <row r="64" spans="1:7" x14ac:dyDescent="0.25">
      <c r="A64" s="27">
        <v>42740.330081018517</v>
      </c>
      <c r="B64" s="21" t="s">
        <v>227</v>
      </c>
      <c r="C64" s="21" t="s">
        <v>542</v>
      </c>
      <c r="D64" s="160">
        <v>2670000</v>
      </c>
      <c r="E64" s="21" t="s">
        <v>326</v>
      </c>
      <c r="F64" s="21" t="s">
        <v>327</v>
      </c>
      <c r="G64" s="8" t="str">
        <f t="shared" si="0"/>
        <v>COMELLA JUSTIN</v>
      </c>
    </row>
    <row r="65" spans="1:7" x14ac:dyDescent="0.25">
      <c r="A65" s="8">
        <v>42740.337604166663</v>
      </c>
      <c r="B65" s="21" t="s">
        <v>325</v>
      </c>
      <c r="C65" s="21" t="s">
        <v>471</v>
      </c>
      <c r="D65" s="160">
        <v>1090000</v>
      </c>
      <c r="E65" s="21" t="s">
        <v>306</v>
      </c>
      <c r="F65" s="21" t="s">
        <v>248</v>
      </c>
      <c r="G65" s="8" t="str">
        <f t="shared" si="0"/>
        <v>SPECTOR MICHAEL</v>
      </c>
    </row>
    <row r="66" spans="1:7" x14ac:dyDescent="0.25">
      <c r="A66" s="8">
        <v>42740.340509259258</v>
      </c>
      <c r="B66" s="21" t="s">
        <v>483</v>
      </c>
      <c r="C66" s="21" t="s">
        <v>543</v>
      </c>
      <c r="D66" s="160">
        <v>2020000</v>
      </c>
      <c r="E66" s="21" t="s">
        <v>507</v>
      </c>
      <c r="F66" s="21" t="s">
        <v>496</v>
      </c>
      <c r="G66" s="8" t="str">
        <f t="shared" si="0"/>
        <v>SHOOK JOHN</v>
      </c>
    </row>
    <row r="67" spans="1:7" x14ac:dyDescent="0.25">
      <c r="A67" s="8">
        <v>42740.341215277775</v>
      </c>
      <c r="B67" s="21" t="s">
        <v>212</v>
      </c>
      <c r="C67" s="21" t="s">
        <v>544</v>
      </c>
      <c r="D67" s="160">
        <v>2670000</v>
      </c>
      <c r="E67" s="21" t="s">
        <v>326</v>
      </c>
      <c r="F67" s="21" t="s">
        <v>327</v>
      </c>
      <c r="G67" s="8" t="str">
        <f t="shared" ref="G67:G130" si="1">E67&amp;" "&amp;F67</f>
        <v>COMELLA JUSTIN</v>
      </c>
    </row>
    <row r="68" spans="1:7" x14ac:dyDescent="0.25">
      <c r="A68" s="8">
        <v>42740.34207175926</v>
      </c>
      <c r="B68" s="21" t="s">
        <v>261</v>
      </c>
      <c r="C68" s="21" t="s">
        <v>470</v>
      </c>
      <c r="D68" s="160">
        <v>2710000</v>
      </c>
      <c r="E68" s="21" t="s">
        <v>519</v>
      </c>
      <c r="F68" s="21" t="s">
        <v>520</v>
      </c>
      <c r="G68" s="8" t="str">
        <f t="shared" si="1"/>
        <v>SIMMONS SHYHESHA</v>
      </c>
    </row>
    <row r="69" spans="1:7" x14ac:dyDescent="0.25">
      <c r="A69" s="8">
        <v>42740.351481481484</v>
      </c>
      <c r="B69" s="21" t="s">
        <v>202</v>
      </c>
      <c r="C69" s="21" t="s">
        <v>545</v>
      </c>
      <c r="D69" s="160">
        <v>2730000</v>
      </c>
      <c r="E69" s="21" t="s">
        <v>387</v>
      </c>
      <c r="F69" s="21" t="s">
        <v>388</v>
      </c>
      <c r="G69" s="8" t="str">
        <f t="shared" si="1"/>
        <v>YANG JAN</v>
      </c>
    </row>
    <row r="70" spans="1:7" x14ac:dyDescent="0.25">
      <c r="A70" s="8">
        <v>42740.355486111112</v>
      </c>
      <c r="B70" s="21" t="s">
        <v>505</v>
      </c>
      <c r="C70" s="21" t="s">
        <v>546</v>
      </c>
      <c r="D70" s="160">
        <v>2020000</v>
      </c>
      <c r="E70" s="21" t="s">
        <v>507</v>
      </c>
      <c r="F70" s="21" t="s">
        <v>496</v>
      </c>
      <c r="G70" s="8" t="str">
        <f t="shared" si="1"/>
        <v>SHOOK JOHN</v>
      </c>
    </row>
    <row r="71" spans="1:7" x14ac:dyDescent="0.25">
      <c r="A71" s="8">
        <v>42740.357418981483</v>
      </c>
      <c r="B71" s="21" t="s">
        <v>348</v>
      </c>
      <c r="C71" s="21" t="s">
        <v>547</v>
      </c>
      <c r="D71" s="160">
        <v>1360000</v>
      </c>
      <c r="E71" s="21" t="s">
        <v>356</v>
      </c>
      <c r="F71" s="21" t="s">
        <v>357</v>
      </c>
      <c r="G71" s="8" t="str">
        <f t="shared" si="1"/>
        <v>SANTIZO D. EDY</v>
      </c>
    </row>
    <row r="72" spans="1:7" x14ac:dyDescent="0.25">
      <c r="A72" s="8">
        <v>42740.359571759262</v>
      </c>
      <c r="B72" s="21" t="s">
        <v>262</v>
      </c>
      <c r="C72" s="21" t="s">
        <v>548</v>
      </c>
      <c r="D72" s="160">
        <v>890000</v>
      </c>
      <c r="E72" s="21" t="s">
        <v>352</v>
      </c>
      <c r="F72" s="21" t="s">
        <v>353</v>
      </c>
      <c r="G72" s="8" t="str">
        <f t="shared" si="1"/>
        <v>LOZA FIDEL</v>
      </c>
    </row>
    <row r="73" spans="1:7" x14ac:dyDescent="0.25">
      <c r="A73" s="8">
        <v>42740.362141203703</v>
      </c>
      <c r="B73" s="21" t="s">
        <v>316</v>
      </c>
      <c r="C73" s="21" t="s">
        <v>549</v>
      </c>
      <c r="D73" s="160">
        <v>1830000</v>
      </c>
      <c r="E73" s="21" t="s">
        <v>304</v>
      </c>
      <c r="F73" s="21" t="s">
        <v>305</v>
      </c>
      <c r="G73" s="8" t="str">
        <f t="shared" si="1"/>
        <v>YORK EDGAR</v>
      </c>
    </row>
    <row r="74" spans="1:7" x14ac:dyDescent="0.25">
      <c r="A74" s="8">
        <v>42740.364340277774</v>
      </c>
      <c r="B74" s="21" t="s">
        <v>245</v>
      </c>
      <c r="C74" s="21" t="s">
        <v>550</v>
      </c>
      <c r="D74" s="160">
        <v>1290000</v>
      </c>
      <c r="E74" s="21" t="s">
        <v>495</v>
      </c>
      <c r="F74" s="21" t="s">
        <v>496</v>
      </c>
      <c r="G74" s="8" t="str">
        <f t="shared" si="1"/>
        <v>COOLAHAN JOHN</v>
      </c>
    </row>
    <row r="75" spans="1:7" x14ac:dyDescent="0.25">
      <c r="A75" s="8">
        <v>42740.369895833333</v>
      </c>
      <c r="B75" s="21" t="s">
        <v>299</v>
      </c>
      <c r="C75" s="21" t="s">
        <v>551</v>
      </c>
      <c r="D75" s="160">
        <v>2140000</v>
      </c>
      <c r="E75" s="21" t="s">
        <v>497</v>
      </c>
      <c r="F75" s="21" t="s">
        <v>498</v>
      </c>
      <c r="G75" s="8" t="str">
        <f t="shared" si="1"/>
        <v>ROBINSON KADDIBA</v>
      </c>
    </row>
    <row r="76" spans="1:7" x14ac:dyDescent="0.25">
      <c r="A76" s="8">
        <v>42740.374409722222</v>
      </c>
      <c r="B76" s="21" t="s">
        <v>254</v>
      </c>
      <c r="C76" s="21" t="s">
        <v>552</v>
      </c>
      <c r="D76" s="160">
        <v>1760000</v>
      </c>
      <c r="E76" s="21" t="s">
        <v>354</v>
      </c>
      <c r="F76" s="21" t="s">
        <v>355</v>
      </c>
      <c r="G76" s="8" t="str">
        <f t="shared" si="1"/>
        <v>STRICKLAND EVAN</v>
      </c>
    </row>
    <row r="77" spans="1:7" x14ac:dyDescent="0.25">
      <c r="A77" s="8">
        <v>42740.375891203701</v>
      </c>
      <c r="B77" s="21" t="s">
        <v>315</v>
      </c>
      <c r="C77" s="21" t="s">
        <v>553</v>
      </c>
      <c r="D77" s="160">
        <v>2670000</v>
      </c>
      <c r="E77" s="21" t="s">
        <v>326</v>
      </c>
      <c r="F77" s="21" t="s">
        <v>327</v>
      </c>
      <c r="G77" s="8" t="str">
        <f t="shared" si="1"/>
        <v>COMELLA JUSTIN</v>
      </c>
    </row>
    <row r="78" spans="1:7" x14ac:dyDescent="0.25">
      <c r="A78" s="8">
        <v>42740.37903935185</v>
      </c>
      <c r="B78" s="21" t="s">
        <v>317</v>
      </c>
      <c r="C78" s="21" t="s">
        <v>554</v>
      </c>
      <c r="D78" s="160">
        <v>2100000</v>
      </c>
      <c r="E78" s="21" t="s">
        <v>383</v>
      </c>
      <c r="F78" s="21" t="s">
        <v>384</v>
      </c>
      <c r="G78" s="8" t="str">
        <f t="shared" si="1"/>
        <v>ISHMAEL JOSEPH</v>
      </c>
    </row>
    <row r="79" spans="1:7" x14ac:dyDescent="0.25">
      <c r="A79" s="8">
        <v>42740.379687499997</v>
      </c>
      <c r="B79" s="21" t="s">
        <v>317</v>
      </c>
      <c r="C79" s="21" t="s">
        <v>555</v>
      </c>
      <c r="D79" s="160">
        <v>2100000</v>
      </c>
      <c r="E79" s="21" t="s">
        <v>383</v>
      </c>
      <c r="F79" s="21" t="s">
        <v>384</v>
      </c>
      <c r="G79" s="8" t="str">
        <f t="shared" si="1"/>
        <v>ISHMAEL JOSEPH</v>
      </c>
    </row>
    <row r="80" spans="1:7" x14ac:dyDescent="0.25">
      <c r="A80" s="8">
        <v>42740.384247685186</v>
      </c>
      <c r="B80" s="21" t="s">
        <v>208</v>
      </c>
      <c r="C80" s="21" t="s">
        <v>556</v>
      </c>
      <c r="D80" s="160">
        <v>2730000</v>
      </c>
      <c r="E80" s="21" t="s">
        <v>387</v>
      </c>
      <c r="F80" s="21" t="s">
        <v>388</v>
      </c>
      <c r="G80" s="8" t="str">
        <f t="shared" si="1"/>
        <v>YANG JAN</v>
      </c>
    </row>
    <row r="81" spans="1:7" x14ac:dyDescent="0.25">
      <c r="A81" s="8">
        <v>42740.386747685188</v>
      </c>
      <c r="B81" s="21" t="s">
        <v>261</v>
      </c>
      <c r="C81" s="21" t="s">
        <v>557</v>
      </c>
      <c r="D81" s="160">
        <v>2710000</v>
      </c>
      <c r="E81" s="21" t="s">
        <v>519</v>
      </c>
      <c r="F81" s="21" t="s">
        <v>520</v>
      </c>
      <c r="G81" s="8" t="str">
        <f t="shared" si="1"/>
        <v>SIMMONS SHYHESHA</v>
      </c>
    </row>
    <row r="82" spans="1:7" x14ac:dyDescent="0.25">
      <c r="A82" s="8">
        <v>42740.389884259261</v>
      </c>
      <c r="B82" s="21" t="s">
        <v>210</v>
      </c>
      <c r="C82" s="21" t="s">
        <v>558</v>
      </c>
      <c r="D82" s="160">
        <v>1360000</v>
      </c>
      <c r="E82" s="21" t="s">
        <v>356</v>
      </c>
      <c r="F82" s="21" t="s">
        <v>357</v>
      </c>
      <c r="G82" s="8" t="str">
        <f t="shared" si="1"/>
        <v>SANTIZO D. EDY</v>
      </c>
    </row>
    <row r="83" spans="1:7" x14ac:dyDescent="0.25">
      <c r="A83" s="8">
        <v>42740.390717592592</v>
      </c>
      <c r="B83" s="21" t="s">
        <v>210</v>
      </c>
      <c r="C83" s="21" t="s">
        <v>558</v>
      </c>
      <c r="D83" s="160">
        <v>1360000</v>
      </c>
      <c r="E83" s="21" t="s">
        <v>356</v>
      </c>
      <c r="F83" s="21" t="s">
        <v>357</v>
      </c>
      <c r="G83" s="8" t="str">
        <f t="shared" si="1"/>
        <v>SANTIZO D. EDY</v>
      </c>
    </row>
    <row r="84" spans="1:7" x14ac:dyDescent="0.25">
      <c r="A84" s="8">
        <v>42740.395729166667</v>
      </c>
      <c r="B84" s="21" t="s">
        <v>314</v>
      </c>
      <c r="C84" s="21" t="s">
        <v>472</v>
      </c>
      <c r="D84" s="160">
        <v>1830000</v>
      </c>
      <c r="E84" s="21" t="s">
        <v>304</v>
      </c>
      <c r="F84" s="21" t="s">
        <v>305</v>
      </c>
      <c r="G84" s="8" t="str">
        <f t="shared" si="1"/>
        <v>YORK EDGAR</v>
      </c>
    </row>
    <row r="85" spans="1:7" x14ac:dyDescent="0.25">
      <c r="A85" s="8">
        <v>42740.39638888889</v>
      </c>
      <c r="B85" s="21" t="s">
        <v>210</v>
      </c>
      <c r="C85" s="21" t="s">
        <v>558</v>
      </c>
      <c r="D85" s="160">
        <v>1230000</v>
      </c>
      <c r="E85" s="21" t="s">
        <v>559</v>
      </c>
      <c r="F85" s="21" t="s">
        <v>560</v>
      </c>
      <c r="G85" s="8" t="str">
        <f t="shared" si="1"/>
        <v>YANAI IAN</v>
      </c>
    </row>
    <row r="86" spans="1:7" x14ac:dyDescent="0.25">
      <c r="A86" s="8">
        <v>42740.401041666664</v>
      </c>
      <c r="B86" s="21" t="s">
        <v>262</v>
      </c>
      <c r="C86" s="21" t="s">
        <v>561</v>
      </c>
      <c r="D86" s="160">
        <v>890000</v>
      </c>
      <c r="E86" s="21" t="s">
        <v>352</v>
      </c>
      <c r="F86" s="21" t="s">
        <v>353</v>
      </c>
      <c r="G86" s="8" t="str">
        <f t="shared" si="1"/>
        <v>LOZA FIDEL</v>
      </c>
    </row>
    <row r="87" spans="1:7" x14ac:dyDescent="0.25">
      <c r="A87" s="8">
        <v>42740.404340277775</v>
      </c>
      <c r="B87" s="21" t="s">
        <v>227</v>
      </c>
      <c r="C87" s="21" t="s">
        <v>562</v>
      </c>
      <c r="D87" s="160">
        <v>2670000</v>
      </c>
      <c r="E87" s="21" t="s">
        <v>326</v>
      </c>
      <c r="F87" s="21" t="s">
        <v>327</v>
      </c>
      <c r="G87" s="8" t="str">
        <f t="shared" si="1"/>
        <v>COMELLA JUSTIN</v>
      </c>
    </row>
    <row r="88" spans="1:7" x14ac:dyDescent="0.25">
      <c r="A88" s="8">
        <v>42740.409467592595</v>
      </c>
      <c r="B88" s="21" t="s">
        <v>253</v>
      </c>
      <c r="C88" s="21" t="s">
        <v>554</v>
      </c>
      <c r="D88" s="160">
        <v>1760000</v>
      </c>
      <c r="E88" s="21" t="s">
        <v>354</v>
      </c>
      <c r="F88" s="21" t="s">
        <v>355</v>
      </c>
      <c r="G88" s="8" t="str">
        <f t="shared" si="1"/>
        <v>STRICKLAND EVAN</v>
      </c>
    </row>
    <row r="89" spans="1:7" x14ac:dyDescent="0.25">
      <c r="A89" s="8">
        <v>42740.413668981484</v>
      </c>
      <c r="B89" s="21" t="s">
        <v>212</v>
      </c>
      <c r="C89" s="21" t="s">
        <v>563</v>
      </c>
      <c r="D89" s="160">
        <v>2670000</v>
      </c>
      <c r="E89" s="21" t="s">
        <v>326</v>
      </c>
      <c r="F89" s="21" t="s">
        <v>327</v>
      </c>
      <c r="G89" s="8" t="str">
        <f t="shared" si="1"/>
        <v>COMELLA JUSTIN</v>
      </c>
    </row>
    <row r="90" spans="1:7" x14ac:dyDescent="0.25">
      <c r="A90" s="8">
        <v>42740.418379629627</v>
      </c>
      <c r="B90" s="21" t="s">
        <v>325</v>
      </c>
      <c r="C90" s="21" t="s">
        <v>564</v>
      </c>
      <c r="D90" s="160">
        <v>2100000</v>
      </c>
      <c r="E90" s="21" t="s">
        <v>383</v>
      </c>
      <c r="F90" s="21" t="s">
        <v>384</v>
      </c>
      <c r="G90" s="8" t="str">
        <f t="shared" si="1"/>
        <v>ISHMAEL JOSEPH</v>
      </c>
    </row>
    <row r="91" spans="1:7" x14ac:dyDescent="0.25">
      <c r="A91" s="8">
        <v>42740.425925925927</v>
      </c>
      <c r="B91" s="21" t="s">
        <v>261</v>
      </c>
      <c r="C91" s="21" t="s">
        <v>473</v>
      </c>
      <c r="D91" s="160">
        <v>2710000</v>
      </c>
      <c r="E91" s="21" t="s">
        <v>519</v>
      </c>
      <c r="F91" s="21" t="s">
        <v>520</v>
      </c>
      <c r="G91" s="8" t="str">
        <f t="shared" si="1"/>
        <v>SIMMONS SHYHESHA</v>
      </c>
    </row>
    <row r="92" spans="1:7" x14ac:dyDescent="0.25">
      <c r="A92" s="8">
        <v>42740.426030092596</v>
      </c>
      <c r="B92" s="21" t="s">
        <v>202</v>
      </c>
      <c r="C92" s="21" t="s">
        <v>565</v>
      </c>
      <c r="D92" s="160">
        <v>2730000</v>
      </c>
      <c r="E92" s="21" t="s">
        <v>387</v>
      </c>
      <c r="F92" s="21" t="s">
        <v>388</v>
      </c>
      <c r="G92" s="8" t="str">
        <f t="shared" si="1"/>
        <v>YANG JAN</v>
      </c>
    </row>
    <row r="93" spans="1:7" x14ac:dyDescent="0.25">
      <c r="A93" s="8">
        <v>42740.426631944443</v>
      </c>
      <c r="B93" s="21" t="s">
        <v>382</v>
      </c>
      <c r="C93" s="21" t="s">
        <v>566</v>
      </c>
      <c r="D93" s="160">
        <v>1230000</v>
      </c>
      <c r="E93" s="21" t="s">
        <v>559</v>
      </c>
      <c r="F93" s="21" t="s">
        <v>560</v>
      </c>
      <c r="G93" s="8" t="str">
        <f t="shared" si="1"/>
        <v>YANAI IAN</v>
      </c>
    </row>
    <row r="94" spans="1:7" x14ac:dyDescent="0.25">
      <c r="A94" s="8">
        <v>42740.438136574077</v>
      </c>
      <c r="B94" s="21" t="s">
        <v>316</v>
      </c>
      <c r="C94" s="21" t="s">
        <v>567</v>
      </c>
      <c r="D94" s="160">
        <v>2020000</v>
      </c>
      <c r="E94" s="21" t="s">
        <v>507</v>
      </c>
      <c r="F94" s="21" t="s">
        <v>496</v>
      </c>
      <c r="G94" s="8" t="str">
        <f t="shared" si="1"/>
        <v>SHOOK JOHN</v>
      </c>
    </row>
    <row r="95" spans="1:7" x14ac:dyDescent="0.25">
      <c r="A95" s="8">
        <v>42740.443761574075</v>
      </c>
      <c r="B95" s="21" t="s">
        <v>299</v>
      </c>
      <c r="C95" s="21" t="s">
        <v>568</v>
      </c>
      <c r="D95" s="160">
        <v>2140000</v>
      </c>
      <c r="E95" s="21" t="s">
        <v>497</v>
      </c>
      <c r="F95" s="21" t="s">
        <v>498</v>
      </c>
      <c r="G95" s="8" t="str">
        <f t="shared" si="1"/>
        <v>ROBINSON KADDIBA</v>
      </c>
    </row>
    <row r="96" spans="1:7" x14ac:dyDescent="0.25">
      <c r="A96" s="8">
        <v>42740.44425925926</v>
      </c>
      <c r="B96" s="21" t="s">
        <v>262</v>
      </c>
      <c r="C96" s="21" t="s">
        <v>569</v>
      </c>
      <c r="D96" s="160">
        <v>890000</v>
      </c>
      <c r="E96" s="21" t="s">
        <v>352</v>
      </c>
      <c r="F96" s="21" t="s">
        <v>353</v>
      </c>
      <c r="G96" s="8" t="str">
        <f t="shared" si="1"/>
        <v>LOZA FIDEL</v>
      </c>
    </row>
    <row r="97" spans="1:7" x14ac:dyDescent="0.25">
      <c r="A97" s="8">
        <v>42740.447905092595</v>
      </c>
      <c r="B97" s="21" t="s">
        <v>254</v>
      </c>
      <c r="C97" s="21" t="s">
        <v>570</v>
      </c>
      <c r="D97" s="160">
        <v>1760000</v>
      </c>
      <c r="E97" s="21" t="s">
        <v>354</v>
      </c>
      <c r="F97" s="21" t="s">
        <v>355</v>
      </c>
      <c r="G97" s="8" t="str">
        <f t="shared" si="1"/>
        <v>STRICKLAND EVAN</v>
      </c>
    </row>
    <row r="98" spans="1:7" x14ac:dyDescent="0.25">
      <c r="A98" s="8">
        <v>42740.451064814813</v>
      </c>
      <c r="B98" s="21" t="s">
        <v>315</v>
      </c>
      <c r="C98" s="21" t="s">
        <v>571</v>
      </c>
      <c r="D98" s="160">
        <v>2670000</v>
      </c>
      <c r="E98" s="21" t="s">
        <v>326</v>
      </c>
      <c r="F98" s="21" t="s">
        <v>327</v>
      </c>
      <c r="G98" s="8" t="str">
        <f t="shared" si="1"/>
        <v>COMELLA JUSTIN</v>
      </c>
    </row>
    <row r="99" spans="1:7" x14ac:dyDescent="0.25">
      <c r="A99" s="8">
        <v>42740.453703703701</v>
      </c>
      <c r="B99" s="21" t="s">
        <v>395</v>
      </c>
      <c r="C99" s="21" t="s">
        <v>474</v>
      </c>
      <c r="D99" s="160">
        <v>2230000</v>
      </c>
      <c r="E99" s="21" t="s">
        <v>257</v>
      </c>
      <c r="F99" s="21" t="s">
        <v>248</v>
      </c>
      <c r="G99" s="8" t="str">
        <f t="shared" si="1"/>
        <v>SMITH MICHAEL</v>
      </c>
    </row>
    <row r="100" spans="1:7" x14ac:dyDescent="0.25">
      <c r="A100" s="8">
        <v>42740.455497685187</v>
      </c>
      <c r="B100" s="21" t="s">
        <v>317</v>
      </c>
      <c r="C100" s="21" t="s">
        <v>572</v>
      </c>
      <c r="D100" s="160">
        <v>930000</v>
      </c>
      <c r="E100" s="21" t="s">
        <v>329</v>
      </c>
      <c r="F100" s="21" t="s">
        <v>330</v>
      </c>
      <c r="G100" s="8" t="str">
        <f t="shared" si="1"/>
        <v>CLARK KATHLEEN</v>
      </c>
    </row>
    <row r="101" spans="1:7" x14ac:dyDescent="0.25">
      <c r="A101" s="8">
        <v>42740.462175925924</v>
      </c>
      <c r="B101" s="21" t="s">
        <v>261</v>
      </c>
      <c r="C101" s="21" t="s">
        <v>573</v>
      </c>
      <c r="D101" s="160">
        <v>2710000</v>
      </c>
      <c r="E101" s="21" t="s">
        <v>519</v>
      </c>
      <c r="F101" s="21" t="s">
        <v>520</v>
      </c>
      <c r="G101" s="8" t="str">
        <f t="shared" si="1"/>
        <v>SIMMONS SHYHESHA</v>
      </c>
    </row>
    <row r="102" spans="1:7" x14ac:dyDescent="0.25">
      <c r="A102" s="8">
        <v>42740.46675925926</v>
      </c>
      <c r="B102" s="21" t="s">
        <v>210</v>
      </c>
      <c r="C102" s="21" t="s">
        <v>574</v>
      </c>
      <c r="D102" s="160">
        <v>2030000</v>
      </c>
      <c r="E102" s="21" t="s">
        <v>575</v>
      </c>
      <c r="F102" s="21" t="s">
        <v>576</v>
      </c>
      <c r="G102" s="8" t="str">
        <f t="shared" si="1"/>
        <v>KILLION DAVID</v>
      </c>
    </row>
    <row r="103" spans="1:7" x14ac:dyDescent="0.25">
      <c r="A103" s="8">
        <v>42740.469236111108</v>
      </c>
      <c r="B103" s="21" t="s">
        <v>210</v>
      </c>
      <c r="C103" s="21" t="s">
        <v>577</v>
      </c>
      <c r="D103" s="160">
        <v>2030000</v>
      </c>
      <c r="E103" s="21" t="s">
        <v>575</v>
      </c>
      <c r="F103" s="21" t="s">
        <v>576</v>
      </c>
      <c r="G103" s="8" t="str">
        <f t="shared" si="1"/>
        <v>KILLION DAVID</v>
      </c>
    </row>
    <row r="104" spans="1:7" x14ac:dyDescent="0.25">
      <c r="A104" s="8">
        <v>42740.477986111109</v>
      </c>
      <c r="B104" s="21" t="s">
        <v>398</v>
      </c>
      <c r="C104" s="21" t="s">
        <v>578</v>
      </c>
      <c r="D104" s="160">
        <v>1290000</v>
      </c>
      <c r="E104" s="21" t="s">
        <v>495</v>
      </c>
      <c r="F104" s="21" t="s">
        <v>496</v>
      </c>
      <c r="G104" s="8" t="str">
        <f t="shared" si="1"/>
        <v>COOLAHAN JOHN</v>
      </c>
    </row>
    <row r="105" spans="1:7" x14ac:dyDescent="0.25">
      <c r="A105" s="8">
        <v>42740.482511574075</v>
      </c>
      <c r="B105" s="21" t="s">
        <v>208</v>
      </c>
      <c r="C105" s="21" t="s">
        <v>579</v>
      </c>
      <c r="D105" s="160">
        <v>2730000</v>
      </c>
      <c r="E105" s="21" t="s">
        <v>387</v>
      </c>
      <c r="F105" s="21" t="s">
        <v>388</v>
      </c>
      <c r="G105" s="8" t="str">
        <f t="shared" si="1"/>
        <v>YANG JAN</v>
      </c>
    </row>
    <row r="106" spans="1:7" x14ac:dyDescent="0.25">
      <c r="A106" s="8">
        <v>42740.484409722223</v>
      </c>
      <c r="B106" s="21" t="s">
        <v>262</v>
      </c>
      <c r="C106" s="21" t="s">
        <v>475</v>
      </c>
      <c r="D106" s="160">
        <v>890000</v>
      </c>
      <c r="E106" s="21" t="s">
        <v>352</v>
      </c>
      <c r="F106" s="21" t="s">
        <v>353</v>
      </c>
      <c r="G106" s="8" t="str">
        <f t="shared" si="1"/>
        <v>LOZA FIDEL</v>
      </c>
    </row>
    <row r="107" spans="1:7" x14ac:dyDescent="0.25">
      <c r="A107" s="8">
        <v>42740.487592592595</v>
      </c>
      <c r="B107" s="21" t="s">
        <v>227</v>
      </c>
      <c r="C107" s="21" t="s">
        <v>580</v>
      </c>
      <c r="D107" s="160">
        <v>1770000</v>
      </c>
      <c r="E107" s="21" t="s">
        <v>393</v>
      </c>
      <c r="F107" s="21" t="s">
        <v>394</v>
      </c>
      <c r="G107" s="8" t="str">
        <f t="shared" si="1"/>
        <v>BRUDER RICHARD</v>
      </c>
    </row>
    <row r="108" spans="1:7" x14ac:dyDescent="0.25">
      <c r="A108" s="8">
        <v>42740.488854166666</v>
      </c>
      <c r="B108" s="21" t="s">
        <v>315</v>
      </c>
      <c r="C108" s="21" t="s">
        <v>571</v>
      </c>
      <c r="D108" s="160">
        <v>2670000</v>
      </c>
      <c r="E108" s="21" t="s">
        <v>326</v>
      </c>
      <c r="F108" s="21" t="s">
        <v>327</v>
      </c>
      <c r="G108" s="8" t="str">
        <f t="shared" si="1"/>
        <v>COMELLA JUSTIN</v>
      </c>
    </row>
    <row r="109" spans="1:7" x14ac:dyDescent="0.25">
      <c r="A109" s="8">
        <v>42740.5078125</v>
      </c>
      <c r="B109" s="21" t="s">
        <v>314</v>
      </c>
      <c r="C109" s="21" t="s">
        <v>581</v>
      </c>
      <c r="D109" s="160">
        <v>2020000</v>
      </c>
      <c r="E109" s="21" t="s">
        <v>507</v>
      </c>
      <c r="F109" s="21" t="s">
        <v>496</v>
      </c>
      <c r="G109" s="8" t="str">
        <f t="shared" si="1"/>
        <v>SHOOK JOHN</v>
      </c>
    </row>
    <row r="110" spans="1:7" x14ac:dyDescent="0.25">
      <c r="A110" s="8">
        <v>42740.513657407406</v>
      </c>
      <c r="B110" s="21" t="s">
        <v>261</v>
      </c>
      <c r="C110" s="21" t="s">
        <v>476</v>
      </c>
      <c r="D110" s="160">
        <v>2710000</v>
      </c>
      <c r="E110" s="21" t="s">
        <v>519</v>
      </c>
      <c r="F110" s="21" t="s">
        <v>520</v>
      </c>
      <c r="G110" s="8" t="str">
        <f t="shared" si="1"/>
        <v>SIMMONS SHYHESHA</v>
      </c>
    </row>
    <row r="111" spans="1:7" x14ac:dyDescent="0.25">
      <c r="A111" s="8">
        <v>42740.51425925926</v>
      </c>
      <c r="B111" s="21" t="s">
        <v>208</v>
      </c>
      <c r="C111" s="21" t="s">
        <v>579</v>
      </c>
      <c r="D111" s="160">
        <v>2730000</v>
      </c>
      <c r="E111" s="21" t="s">
        <v>387</v>
      </c>
      <c r="F111" s="21" t="s">
        <v>388</v>
      </c>
      <c r="G111" s="8" t="str">
        <f t="shared" si="1"/>
        <v>YANG JAN</v>
      </c>
    </row>
    <row r="112" spans="1:7" x14ac:dyDescent="0.25">
      <c r="A112" s="8">
        <v>42740.525810185187</v>
      </c>
      <c r="B112" s="21" t="s">
        <v>227</v>
      </c>
      <c r="C112" s="21" t="s">
        <v>580</v>
      </c>
      <c r="D112" s="160">
        <v>1770000</v>
      </c>
      <c r="E112" s="21" t="s">
        <v>393</v>
      </c>
      <c r="F112" s="21" t="s">
        <v>394</v>
      </c>
      <c r="G112" s="8" t="str">
        <f t="shared" si="1"/>
        <v>BRUDER RICHARD</v>
      </c>
    </row>
    <row r="113" spans="1:7" x14ac:dyDescent="0.25">
      <c r="A113" s="8">
        <v>42740.526273148149</v>
      </c>
      <c r="B113" s="21" t="s">
        <v>210</v>
      </c>
      <c r="C113" s="21" t="s">
        <v>577</v>
      </c>
      <c r="D113" s="160">
        <v>2030000</v>
      </c>
      <c r="E113" s="21" t="s">
        <v>575</v>
      </c>
      <c r="F113" s="21" t="s">
        <v>576</v>
      </c>
      <c r="G113" s="8" t="str">
        <f t="shared" si="1"/>
        <v>KILLION DAVID</v>
      </c>
    </row>
    <row r="114" spans="1:7" x14ac:dyDescent="0.25">
      <c r="A114" s="8">
        <v>42740.526944444442</v>
      </c>
      <c r="B114" s="21" t="s">
        <v>262</v>
      </c>
      <c r="C114" s="21" t="s">
        <v>582</v>
      </c>
      <c r="D114" s="160">
        <v>890000</v>
      </c>
      <c r="E114" s="21" t="s">
        <v>352</v>
      </c>
      <c r="F114" s="21" t="s">
        <v>353</v>
      </c>
      <c r="G114" s="8" t="str">
        <f t="shared" si="1"/>
        <v>LOZA FIDEL</v>
      </c>
    </row>
    <row r="115" spans="1:7" x14ac:dyDescent="0.25">
      <c r="A115" s="8">
        <v>42740.532777777778</v>
      </c>
      <c r="B115" s="21" t="s">
        <v>325</v>
      </c>
      <c r="C115" s="21" t="s">
        <v>477</v>
      </c>
      <c r="D115" s="160">
        <v>1760000</v>
      </c>
      <c r="E115" s="21" t="s">
        <v>354</v>
      </c>
      <c r="F115" s="21" t="s">
        <v>355</v>
      </c>
      <c r="G115" s="8" t="str">
        <f t="shared" si="1"/>
        <v>STRICKLAND EVAN</v>
      </c>
    </row>
    <row r="116" spans="1:7" x14ac:dyDescent="0.25">
      <c r="A116" s="8">
        <v>42740.534629629627</v>
      </c>
      <c r="B116" s="21" t="s">
        <v>314</v>
      </c>
      <c r="C116" s="21" t="s">
        <v>581</v>
      </c>
      <c r="D116" s="160">
        <v>2020000</v>
      </c>
      <c r="E116" s="21" t="s">
        <v>507</v>
      </c>
      <c r="F116" s="21" t="s">
        <v>496</v>
      </c>
      <c r="G116" s="8" t="str">
        <f t="shared" si="1"/>
        <v>SHOOK JOHN</v>
      </c>
    </row>
    <row r="117" spans="1:7" x14ac:dyDescent="0.25">
      <c r="A117" s="8">
        <v>42740.537916666668</v>
      </c>
      <c r="B117" s="21" t="s">
        <v>202</v>
      </c>
      <c r="C117" s="21" t="s">
        <v>583</v>
      </c>
      <c r="D117" s="160">
        <v>1540000</v>
      </c>
      <c r="E117" s="21" t="s">
        <v>391</v>
      </c>
      <c r="F117" s="21" t="s">
        <v>392</v>
      </c>
      <c r="G117" s="8" t="str">
        <f t="shared" si="1"/>
        <v>HELVIE ADAM</v>
      </c>
    </row>
    <row r="118" spans="1:7" x14ac:dyDescent="0.25">
      <c r="A118" s="8">
        <v>42740.542731481481</v>
      </c>
      <c r="B118" s="21" t="s">
        <v>225</v>
      </c>
      <c r="C118" s="21" t="s">
        <v>584</v>
      </c>
      <c r="D118" s="160">
        <v>2250000</v>
      </c>
      <c r="E118" s="21" t="s">
        <v>331</v>
      </c>
      <c r="F118" s="21" t="s">
        <v>332</v>
      </c>
      <c r="G118" s="8" t="str">
        <f t="shared" si="1"/>
        <v>CRAYTON QUNTRELL</v>
      </c>
    </row>
    <row r="119" spans="1:7" x14ac:dyDescent="0.25">
      <c r="A119" s="8">
        <v>42740.544942129629</v>
      </c>
      <c r="B119" s="21" t="s">
        <v>382</v>
      </c>
      <c r="C119" s="21" t="s">
        <v>585</v>
      </c>
      <c r="D119" s="160">
        <v>2030000</v>
      </c>
      <c r="E119" s="21" t="s">
        <v>575</v>
      </c>
      <c r="F119" s="21" t="s">
        <v>576</v>
      </c>
      <c r="G119" s="8" t="str">
        <f t="shared" si="1"/>
        <v>KILLION DAVID</v>
      </c>
    </row>
    <row r="120" spans="1:7" x14ac:dyDescent="0.25">
      <c r="A120" s="8">
        <v>42740.546134259261</v>
      </c>
      <c r="B120" s="21" t="s">
        <v>261</v>
      </c>
      <c r="C120" s="21" t="s">
        <v>586</v>
      </c>
      <c r="D120" s="160">
        <v>1180000</v>
      </c>
      <c r="E120" s="21" t="s">
        <v>333</v>
      </c>
      <c r="F120" s="21" t="s">
        <v>334</v>
      </c>
      <c r="G120" s="8" t="str">
        <f t="shared" si="1"/>
        <v>LEVERE CRAIG</v>
      </c>
    </row>
    <row r="121" spans="1:7" x14ac:dyDescent="0.25">
      <c r="A121" s="8">
        <v>42740.551377314812</v>
      </c>
      <c r="B121" s="21" t="s">
        <v>299</v>
      </c>
      <c r="C121" s="21" t="s">
        <v>587</v>
      </c>
      <c r="D121" s="160">
        <v>1770000</v>
      </c>
      <c r="E121" s="21" t="s">
        <v>393</v>
      </c>
      <c r="F121" s="21" t="s">
        <v>394</v>
      </c>
      <c r="G121" s="8" t="str">
        <f t="shared" si="1"/>
        <v>BRUDER RICHARD</v>
      </c>
    </row>
    <row r="122" spans="1:7" x14ac:dyDescent="0.25">
      <c r="A122" s="8">
        <v>42740.557638888888</v>
      </c>
      <c r="B122" s="26" t="s">
        <v>316</v>
      </c>
      <c r="C122" s="21" t="s">
        <v>588</v>
      </c>
      <c r="D122" s="160">
        <v>1190000</v>
      </c>
      <c r="E122" s="21" t="s">
        <v>358</v>
      </c>
      <c r="F122" s="21" t="s">
        <v>359</v>
      </c>
      <c r="G122" s="8" t="str">
        <f t="shared" si="1"/>
        <v>BRANNON JEFFREY</v>
      </c>
    </row>
    <row r="123" spans="1:7" x14ac:dyDescent="0.25">
      <c r="A123" s="8">
        <v>42740.559189814812</v>
      </c>
      <c r="B123" s="21" t="s">
        <v>315</v>
      </c>
      <c r="C123" s="21" t="s">
        <v>589</v>
      </c>
      <c r="D123" s="160">
        <v>2230000</v>
      </c>
      <c r="E123" s="21" t="s">
        <v>257</v>
      </c>
      <c r="F123" s="21" t="s">
        <v>248</v>
      </c>
      <c r="G123" s="8" t="str">
        <f t="shared" si="1"/>
        <v>SMITH MICHAEL</v>
      </c>
    </row>
    <row r="124" spans="1:7" x14ac:dyDescent="0.25">
      <c r="A124" s="8">
        <v>42740.56590277778</v>
      </c>
      <c r="B124" s="21" t="s">
        <v>183</v>
      </c>
      <c r="C124" s="21" t="s">
        <v>590</v>
      </c>
      <c r="D124" s="160">
        <v>2360000</v>
      </c>
      <c r="E124" s="21" t="s">
        <v>591</v>
      </c>
      <c r="F124" s="21" t="s">
        <v>592</v>
      </c>
      <c r="G124" s="8" t="str">
        <f t="shared" si="1"/>
        <v>BRANDNER MELINDA</v>
      </c>
    </row>
    <row r="125" spans="1:7" x14ac:dyDescent="0.25">
      <c r="A125" s="8">
        <v>42740.568449074075</v>
      </c>
      <c r="B125" s="21" t="s">
        <v>262</v>
      </c>
      <c r="C125" s="21" t="s">
        <v>593</v>
      </c>
      <c r="D125" s="160">
        <v>1180000</v>
      </c>
      <c r="E125" s="21" t="s">
        <v>333</v>
      </c>
      <c r="F125" s="21" t="s">
        <v>334</v>
      </c>
      <c r="G125" s="8" t="str">
        <f t="shared" si="1"/>
        <v>LEVERE CRAIG</v>
      </c>
    </row>
    <row r="126" spans="1:7" x14ac:dyDescent="0.25">
      <c r="A126" s="8">
        <v>42740.573078703703</v>
      </c>
      <c r="B126" s="21" t="s">
        <v>208</v>
      </c>
      <c r="C126" s="21" t="s">
        <v>594</v>
      </c>
      <c r="D126" s="160">
        <v>1540000</v>
      </c>
      <c r="E126" s="21" t="s">
        <v>391</v>
      </c>
      <c r="F126" s="21" t="s">
        <v>392</v>
      </c>
      <c r="G126" s="8" t="str">
        <f t="shared" si="1"/>
        <v>HELVIE ADAM</v>
      </c>
    </row>
    <row r="127" spans="1:7" x14ac:dyDescent="0.25">
      <c r="A127" s="8">
        <v>42740.576562499999</v>
      </c>
      <c r="B127" s="21" t="s">
        <v>210</v>
      </c>
      <c r="C127" s="21" t="s">
        <v>595</v>
      </c>
      <c r="D127" s="160">
        <v>2030000</v>
      </c>
      <c r="E127" s="21" t="s">
        <v>575</v>
      </c>
      <c r="F127" s="21" t="s">
        <v>576</v>
      </c>
      <c r="G127" s="8" t="str">
        <f t="shared" si="1"/>
        <v>KILLION DAVID</v>
      </c>
    </row>
    <row r="128" spans="1:7" x14ac:dyDescent="0.25">
      <c r="A128" s="8">
        <v>42740.577893518515</v>
      </c>
      <c r="B128" s="21" t="s">
        <v>245</v>
      </c>
      <c r="C128" s="21" t="s">
        <v>584</v>
      </c>
      <c r="D128" s="160">
        <v>2250000</v>
      </c>
      <c r="E128" s="21" t="s">
        <v>331</v>
      </c>
      <c r="F128" s="21" t="s">
        <v>332</v>
      </c>
      <c r="G128" s="8" t="str">
        <f t="shared" si="1"/>
        <v>CRAYTON QUNTRELL</v>
      </c>
    </row>
    <row r="129" spans="1:7" x14ac:dyDescent="0.25">
      <c r="A129" s="8">
        <v>42740.578483796293</v>
      </c>
      <c r="B129" s="21" t="s">
        <v>245</v>
      </c>
      <c r="C129" s="21" t="s">
        <v>596</v>
      </c>
      <c r="D129" s="160">
        <v>2250000</v>
      </c>
      <c r="E129" s="21" t="s">
        <v>331</v>
      </c>
      <c r="F129" s="21" t="s">
        <v>332</v>
      </c>
      <c r="G129" s="8" t="str">
        <f t="shared" si="1"/>
        <v>CRAYTON QUNTRELL</v>
      </c>
    </row>
    <row r="130" spans="1:7" x14ac:dyDescent="0.25">
      <c r="A130" s="8">
        <v>42740.582384259258</v>
      </c>
      <c r="B130" s="21" t="s">
        <v>227</v>
      </c>
      <c r="C130" s="21" t="s">
        <v>597</v>
      </c>
      <c r="D130" s="160">
        <v>1770000</v>
      </c>
      <c r="E130" s="21" t="s">
        <v>393</v>
      </c>
      <c r="F130" s="21" t="s">
        <v>394</v>
      </c>
      <c r="G130" s="8" t="str">
        <f t="shared" si="1"/>
        <v>BRUDER RICHARD</v>
      </c>
    </row>
    <row r="131" spans="1:7" x14ac:dyDescent="0.25">
      <c r="A131" s="8">
        <v>42740.589745370373</v>
      </c>
      <c r="B131" s="21" t="s">
        <v>212</v>
      </c>
      <c r="C131" s="21" t="s">
        <v>598</v>
      </c>
      <c r="D131" s="160">
        <v>2230000</v>
      </c>
      <c r="E131" s="21" t="s">
        <v>257</v>
      </c>
      <c r="F131" s="21" t="s">
        <v>248</v>
      </c>
      <c r="G131" s="8" t="str">
        <f t="shared" ref="G131:G194" si="2">E131&amp;" "&amp;F131</f>
        <v>SMITH MICHAEL</v>
      </c>
    </row>
    <row r="132" spans="1:7" x14ac:dyDescent="0.25">
      <c r="A132" s="8">
        <v>42740.590046296296</v>
      </c>
      <c r="B132" s="21" t="s">
        <v>314</v>
      </c>
      <c r="C132" s="21" t="s">
        <v>599</v>
      </c>
      <c r="D132" s="160">
        <v>1190000</v>
      </c>
      <c r="E132" s="21" t="s">
        <v>358</v>
      </c>
      <c r="F132" s="21" t="s">
        <v>359</v>
      </c>
      <c r="G132" s="8" t="str">
        <f t="shared" si="2"/>
        <v>BRANNON JEFFREY</v>
      </c>
    </row>
    <row r="133" spans="1:7" x14ac:dyDescent="0.25">
      <c r="A133" s="8">
        <v>42740.590891203705</v>
      </c>
      <c r="B133" s="21" t="s">
        <v>261</v>
      </c>
      <c r="C133" s="21" t="s">
        <v>478</v>
      </c>
      <c r="D133" s="160">
        <v>1180000</v>
      </c>
      <c r="E133" s="21" t="s">
        <v>333</v>
      </c>
      <c r="F133" s="21" t="s">
        <v>334</v>
      </c>
      <c r="G133" s="8" t="str">
        <f t="shared" si="2"/>
        <v>LEVERE CRAIG</v>
      </c>
    </row>
    <row r="134" spans="1:7" x14ac:dyDescent="0.25">
      <c r="A134" s="8">
        <v>42740.600960648146</v>
      </c>
      <c r="B134" s="21" t="s">
        <v>348</v>
      </c>
      <c r="C134" s="21" t="s">
        <v>479</v>
      </c>
      <c r="D134" s="160">
        <v>2360000</v>
      </c>
      <c r="E134" s="21" t="s">
        <v>591</v>
      </c>
      <c r="F134" s="21" t="s">
        <v>592</v>
      </c>
      <c r="G134" s="8" t="str">
        <f t="shared" si="2"/>
        <v>BRANDNER MELINDA</v>
      </c>
    </row>
    <row r="135" spans="1:7" x14ac:dyDescent="0.25">
      <c r="A135" s="8">
        <v>42740.604027777779</v>
      </c>
      <c r="B135" s="21" t="s">
        <v>202</v>
      </c>
      <c r="C135" s="21" t="s">
        <v>600</v>
      </c>
      <c r="D135" s="160">
        <v>1540000</v>
      </c>
      <c r="E135" s="21" t="s">
        <v>391</v>
      </c>
      <c r="F135" s="21" t="s">
        <v>392</v>
      </c>
      <c r="G135" s="8" t="str">
        <f t="shared" si="2"/>
        <v>HELVIE ADAM</v>
      </c>
    </row>
    <row r="136" spans="1:7" x14ac:dyDescent="0.25">
      <c r="A136" s="8">
        <v>42740.61037037037</v>
      </c>
      <c r="B136" s="21" t="s">
        <v>262</v>
      </c>
      <c r="C136" s="21" t="s">
        <v>601</v>
      </c>
      <c r="D136" s="160">
        <v>1180000</v>
      </c>
      <c r="E136" s="21" t="s">
        <v>333</v>
      </c>
      <c r="F136" s="21" t="s">
        <v>334</v>
      </c>
      <c r="G136" s="8" t="str">
        <f t="shared" si="2"/>
        <v>LEVERE CRAIG</v>
      </c>
    </row>
    <row r="137" spans="1:7" x14ac:dyDescent="0.25">
      <c r="A137" s="8">
        <v>42740.610578703701</v>
      </c>
      <c r="B137" s="21" t="s">
        <v>382</v>
      </c>
      <c r="C137" s="21" t="s">
        <v>602</v>
      </c>
      <c r="D137" s="160">
        <v>2030000</v>
      </c>
      <c r="E137" s="21" t="s">
        <v>575</v>
      </c>
      <c r="F137" s="21" t="s">
        <v>576</v>
      </c>
      <c r="G137" s="8" t="str">
        <f t="shared" si="2"/>
        <v>KILLION DAVID</v>
      </c>
    </row>
    <row r="138" spans="1:7" x14ac:dyDescent="0.25">
      <c r="A138" s="8">
        <v>42740.611342592594</v>
      </c>
      <c r="B138" s="21" t="s">
        <v>225</v>
      </c>
      <c r="C138" s="21" t="s">
        <v>603</v>
      </c>
      <c r="D138" s="160">
        <v>2250000</v>
      </c>
      <c r="E138" s="21" t="s">
        <v>331</v>
      </c>
      <c r="F138" s="21" t="s">
        <v>332</v>
      </c>
      <c r="G138" s="8" t="str">
        <f t="shared" si="2"/>
        <v>CRAYTON QUNTRELL</v>
      </c>
    </row>
    <row r="139" spans="1:7" x14ac:dyDescent="0.25">
      <c r="A139" s="8">
        <v>42740.618888888886</v>
      </c>
      <c r="B139" s="21" t="s">
        <v>299</v>
      </c>
      <c r="C139" s="21" t="s">
        <v>604</v>
      </c>
      <c r="D139" s="160">
        <v>1770000</v>
      </c>
      <c r="E139" s="21" t="s">
        <v>393</v>
      </c>
      <c r="F139" s="21" t="s">
        <v>394</v>
      </c>
      <c r="G139" s="8" t="str">
        <f t="shared" si="2"/>
        <v>BRUDER RICHARD</v>
      </c>
    </row>
    <row r="140" spans="1:7" x14ac:dyDescent="0.25">
      <c r="A140" s="8">
        <v>42740.619363425925</v>
      </c>
      <c r="B140" s="21" t="s">
        <v>348</v>
      </c>
      <c r="C140" s="21" t="s">
        <v>479</v>
      </c>
      <c r="D140" s="160">
        <v>2360000</v>
      </c>
      <c r="E140" s="21" t="s">
        <v>591</v>
      </c>
      <c r="F140" s="21" t="s">
        <v>592</v>
      </c>
      <c r="G140" s="8" t="str">
        <f t="shared" si="2"/>
        <v>BRANDNER MELINDA</v>
      </c>
    </row>
    <row r="141" spans="1:7" x14ac:dyDescent="0.25">
      <c r="A141" s="8">
        <v>42740.622546296298</v>
      </c>
      <c r="B141" s="21" t="s">
        <v>316</v>
      </c>
      <c r="C141" s="21" t="s">
        <v>605</v>
      </c>
      <c r="D141" s="160">
        <v>1190000</v>
      </c>
      <c r="E141" s="21" t="s">
        <v>358</v>
      </c>
      <c r="F141" s="21" t="s">
        <v>359</v>
      </c>
      <c r="G141" s="8" t="str">
        <f t="shared" si="2"/>
        <v>BRANNON JEFFREY</v>
      </c>
    </row>
    <row r="142" spans="1:7" x14ac:dyDescent="0.25">
      <c r="A142" s="8">
        <v>42740.627118055556</v>
      </c>
      <c r="B142" s="21" t="s">
        <v>315</v>
      </c>
      <c r="C142" s="21" t="s">
        <v>606</v>
      </c>
      <c r="D142" s="160">
        <v>2230000</v>
      </c>
      <c r="E142" s="21" t="s">
        <v>257</v>
      </c>
      <c r="F142" s="21" t="s">
        <v>248</v>
      </c>
      <c r="G142" s="8" t="str">
        <f t="shared" si="2"/>
        <v>SMITH MICHAEL</v>
      </c>
    </row>
    <row r="143" spans="1:7" x14ac:dyDescent="0.25">
      <c r="A143" s="8">
        <v>42740.631412037037</v>
      </c>
      <c r="B143" s="21" t="s">
        <v>261</v>
      </c>
      <c r="C143" s="21" t="s">
        <v>607</v>
      </c>
      <c r="D143" s="160">
        <v>1180000</v>
      </c>
      <c r="E143" s="21" t="s">
        <v>333</v>
      </c>
      <c r="F143" s="21" t="s">
        <v>334</v>
      </c>
      <c r="G143" s="8" t="str">
        <f t="shared" si="2"/>
        <v>LEVERE CRAIG</v>
      </c>
    </row>
    <row r="144" spans="1:7" x14ac:dyDescent="0.25">
      <c r="A144" s="8">
        <v>42740.637303240743</v>
      </c>
      <c r="B144" s="21" t="s">
        <v>208</v>
      </c>
      <c r="C144" s="21" t="s">
        <v>481</v>
      </c>
      <c r="D144" s="160">
        <v>1540000</v>
      </c>
      <c r="E144" s="21" t="s">
        <v>391</v>
      </c>
      <c r="F144" s="21" t="s">
        <v>392</v>
      </c>
      <c r="G144" s="8" t="str">
        <f t="shared" si="2"/>
        <v>HELVIE ADAM</v>
      </c>
    </row>
    <row r="145" spans="1:7" x14ac:dyDescent="0.25">
      <c r="A145" s="8">
        <v>42740.639930555553</v>
      </c>
      <c r="B145" s="21" t="s">
        <v>183</v>
      </c>
      <c r="C145" s="21" t="s">
        <v>608</v>
      </c>
      <c r="D145" s="160">
        <v>930000</v>
      </c>
      <c r="E145" s="21" t="s">
        <v>329</v>
      </c>
      <c r="F145" s="21" t="s">
        <v>330</v>
      </c>
      <c r="G145" s="8" t="str">
        <f t="shared" si="2"/>
        <v>CLARK KATHLEEN</v>
      </c>
    </row>
    <row r="146" spans="1:7" x14ac:dyDescent="0.25">
      <c r="A146" s="8">
        <v>42740.642199074071</v>
      </c>
      <c r="B146" s="21" t="s">
        <v>483</v>
      </c>
      <c r="C146" s="21" t="s">
        <v>609</v>
      </c>
      <c r="D146" s="160">
        <v>1780000</v>
      </c>
      <c r="E146" s="21" t="s">
        <v>389</v>
      </c>
      <c r="F146" s="21" t="s">
        <v>390</v>
      </c>
      <c r="G146" s="8" t="str">
        <f t="shared" si="2"/>
        <v>DE LA ROSA ALEX</v>
      </c>
    </row>
    <row r="147" spans="1:7" x14ac:dyDescent="0.25">
      <c r="A147" s="8">
        <v>42740.64471064815</v>
      </c>
      <c r="B147" s="21" t="s">
        <v>210</v>
      </c>
      <c r="C147" s="21" t="s">
        <v>610</v>
      </c>
      <c r="D147" s="160">
        <v>2030000</v>
      </c>
      <c r="E147" s="21" t="s">
        <v>575</v>
      </c>
      <c r="F147" s="21" t="s">
        <v>576</v>
      </c>
      <c r="G147" s="8" t="str">
        <f t="shared" si="2"/>
        <v>KILLION DAVID</v>
      </c>
    </row>
    <row r="148" spans="1:7" x14ac:dyDescent="0.25">
      <c r="A148" s="8">
        <v>42740.651643518519</v>
      </c>
      <c r="B148" s="21" t="s">
        <v>262</v>
      </c>
      <c r="C148" s="21" t="s">
        <v>480</v>
      </c>
      <c r="D148" s="160">
        <v>1180000</v>
      </c>
      <c r="E148" s="21" t="s">
        <v>333</v>
      </c>
      <c r="F148" s="21" t="s">
        <v>334</v>
      </c>
      <c r="G148" s="8" t="str">
        <f t="shared" si="2"/>
        <v>LEVERE CRAIG</v>
      </c>
    </row>
    <row r="149" spans="1:7" x14ac:dyDescent="0.25">
      <c r="A149" s="8">
        <v>42740.653182870374</v>
      </c>
      <c r="B149" s="21" t="s">
        <v>227</v>
      </c>
      <c r="C149" s="21" t="s">
        <v>611</v>
      </c>
      <c r="D149" s="160">
        <v>1770000</v>
      </c>
      <c r="E149" s="21" t="s">
        <v>393</v>
      </c>
      <c r="F149" s="21" t="s">
        <v>394</v>
      </c>
      <c r="G149" s="8" t="str">
        <f t="shared" si="2"/>
        <v>BRUDER RICHARD</v>
      </c>
    </row>
    <row r="150" spans="1:7" x14ac:dyDescent="0.25">
      <c r="A150" s="8">
        <v>42740.654398148145</v>
      </c>
      <c r="B150" s="21" t="s">
        <v>245</v>
      </c>
      <c r="C150" s="21" t="s">
        <v>612</v>
      </c>
      <c r="D150" s="160">
        <v>2250000</v>
      </c>
      <c r="E150" s="21" t="s">
        <v>331</v>
      </c>
      <c r="F150" s="21" t="s">
        <v>332</v>
      </c>
      <c r="G150" s="8" t="str">
        <f t="shared" si="2"/>
        <v>CRAYTON QUNTRELL</v>
      </c>
    </row>
    <row r="151" spans="1:7" x14ac:dyDescent="0.25">
      <c r="A151" s="8">
        <v>42740.658263888887</v>
      </c>
      <c r="B151" s="21" t="s">
        <v>505</v>
      </c>
      <c r="C151" s="21" t="s">
        <v>613</v>
      </c>
      <c r="D151" s="160">
        <v>2370000</v>
      </c>
      <c r="E151" s="21" t="s">
        <v>614</v>
      </c>
      <c r="F151" s="21" t="s">
        <v>615</v>
      </c>
      <c r="G151" s="8" t="str">
        <f t="shared" si="2"/>
        <v>DELGADO DIANAH</v>
      </c>
    </row>
    <row r="152" spans="1:7" x14ac:dyDescent="0.25">
      <c r="A152" s="8">
        <v>42740.663726851853</v>
      </c>
      <c r="B152" s="21" t="s">
        <v>212</v>
      </c>
      <c r="C152" s="21" t="s">
        <v>482</v>
      </c>
      <c r="D152" s="160">
        <v>2230000</v>
      </c>
      <c r="E152" s="21" t="s">
        <v>257</v>
      </c>
      <c r="F152" s="21" t="s">
        <v>248</v>
      </c>
      <c r="G152" s="8" t="str">
        <f t="shared" si="2"/>
        <v>SMITH MICHAEL</v>
      </c>
    </row>
    <row r="153" spans="1:7" x14ac:dyDescent="0.25">
      <c r="A153" s="8">
        <v>42740.665092592593</v>
      </c>
      <c r="B153" s="21" t="s">
        <v>314</v>
      </c>
      <c r="C153" s="21" t="s">
        <v>616</v>
      </c>
      <c r="D153" s="160">
        <v>1190000</v>
      </c>
      <c r="E153" s="21" t="s">
        <v>358</v>
      </c>
      <c r="F153" s="21" t="s">
        <v>359</v>
      </c>
      <c r="G153" s="8" t="str">
        <f t="shared" si="2"/>
        <v>BRANNON JEFFREY</v>
      </c>
    </row>
    <row r="154" spans="1:7" x14ac:dyDescent="0.25">
      <c r="A154" s="8">
        <v>42740.669930555552</v>
      </c>
      <c r="B154" s="21" t="s">
        <v>261</v>
      </c>
      <c r="C154" s="21" t="s">
        <v>617</v>
      </c>
      <c r="D154" s="160">
        <v>1180000</v>
      </c>
      <c r="E154" s="21" t="s">
        <v>333</v>
      </c>
      <c r="F154" s="21" t="s">
        <v>334</v>
      </c>
      <c r="G154" s="8" t="str">
        <f t="shared" si="2"/>
        <v>LEVERE CRAIG</v>
      </c>
    </row>
    <row r="155" spans="1:7" x14ac:dyDescent="0.25">
      <c r="A155" s="8">
        <v>42740.673136574071</v>
      </c>
      <c r="B155" s="21" t="s">
        <v>483</v>
      </c>
      <c r="C155" s="21" t="s">
        <v>618</v>
      </c>
      <c r="D155" s="160">
        <v>2370000</v>
      </c>
      <c r="E155" s="21" t="s">
        <v>614</v>
      </c>
      <c r="F155" s="21" t="s">
        <v>615</v>
      </c>
      <c r="G155" s="8" t="str">
        <f t="shared" si="2"/>
        <v>DELGADO DIANAH</v>
      </c>
    </row>
    <row r="156" spans="1:7" x14ac:dyDescent="0.25">
      <c r="A156" s="8">
        <v>42740.676145833335</v>
      </c>
      <c r="B156" s="21" t="s">
        <v>202</v>
      </c>
      <c r="C156" s="21" t="s">
        <v>619</v>
      </c>
      <c r="D156" s="160">
        <v>1540000</v>
      </c>
      <c r="E156" s="21" t="s">
        <v>391</v>
      </c>
      <c r="F156" s="21" t="s">
        <v>392</v>
      </c>
      <c r="G156" s="8" t="str">
        <f t="shared" si="2"/>
        <v>HELVIE ADAM</v>
      </c>
    </row>
    <row r="157" spans="1:7" x14ac:dyDescent="0.25">
      <c r="A157" s="8">
        <v>42740.678217592591</v>
      </c>
      <c r="B157" s="21" t="s">
        <v>212</v>
      </c>
      <c r="C157" s="21" t="s">
        <v>482</v>
      </c>
      <c r="D157" s="160">
        <v>2230000</v>
      </c>
      <c r="E157" s="21" t="s">
        <v>257</v>
      </c>
      <c r="F157" s="21" t="s">
        <v>248</v>
      </c>
      <c r="G157" s="8" t="str">
        <f t="shared" si="2"/>
        <v>SMITH MICHAEL</v>
      </c>
    </row>
    <row r="158" spans="1:7" x14ac:dyDescent="0.25">
      <c r="A158" s="8">
        <v>42740.678252314814</v>
      </c>
      <c r="B158" s="21" t="s">
        <v>348</v>
      </c>
      <c r="C158" s="21" t="s">
        <v>620</v>
      </c>
      <c r="D158" s="160">
        <v>930000</v>
      </c>
      <c r="E158" s="21" t="s">
        <v>329</v>
      </c>
      <c r="F158" s="21" t="s">
        <v>330</v>
      </c>
      <c r="G158" s="8" t="str">
        <f t="shared" si="2"/>
        <v>CLARK KATHLEEN</v>
      </c>
    </row>
    <row r="159" spans="1:7" x14ac:dyDescent="0.25">
      <c r="A159" s="8">
        <v>42740.685752314814</v>
      </c>
      <c r="B159" s="21" t="s">
        <v>225</v>
      </c>
      <c r="C159" s="21" t="s">
        <v>621</v>
      </c>
      <c r="D159" s="160">
        <v>2250000</v>
      </c>
      <c r="E159" s="21" t="s">
        <v>331</v>
      </c>
      <c r="F159" s="21" t="s">
        <v>332</v>
      </c>
      <c r="G159" s="8" t="str">
        <f t="shared" si="2"/>
        <v>CRAYTON QUNTRELL</v>
      </c>
    </row>
    <row r="160" spans="1:7" x14ac:dyDescent="0.25">
      <c r="A160" s="8">
        <v>42740.685960648145</v>
      </c>
      <c r="B160" s="21" t="s">
        <v>382</v>
      </c>
      <c r="C160" s="21" t="s">
        <v>622</v>
      </c>
      <c r="D160" s="160">
        <v>2030000</v>
      </c>
      <c r="E160" s="21" t="s">
        <v>575</v>
      </c>
      <c r="F160" s="21" t="s">
        <v>576</v>
      </c>
      <c r="G160" s="8" t="str">
        <f t="shared" si="2"/>
        <v>KILLION DAVID</v>
      </c>
    </row>
    <row r="161" spans="1:7" x14ac:dyDescent="0.25">
      <c r="A161" s="8">
        <v>42740.69</v>
      </c>
      <c r="B161" s="21" t="s">
        <v>299</v>
      </c>
      <c r="C161" s="21" t="s">
        <v>623</v>
      </c>
      <c r="D161" s="160">
        <v>1770000</v>
      </c>
      <c r="E161" s="21" t="s">
        <v>393</v>
      </c>
      <c r="F161" s="21" t="s">
        <v>394</v>
      </c>
      <c r="G161" s="8" t="str">
        <f t="shared" si="2"/>
        <v>BRUDER RICHARD</v>
      </c>
    </row>
    <row r="162" spans="1:7" x14ac:dyDescent="0.25">
      <c r="A162" s="8">
        <v>42740.694085648145</v>
      </c>
      <c r="B162" s="21" t="s">
        <v>262</v>
      </c>
      <c r="C162" s="21" t="s">
        <v>624</v>
      </c>
      <c r="D162" s="160">
        <v>1180000</v>
      </c>
      <c r="E162" s="21" t="s">
        <v>333</v>
      </c>
      <c r="F162" s="21" t="s">
        <v>334</v>
      </c>
      <c r="G162" s="8" t="str">
        <f t="shared" si="2"/>
        <v>LEVERE CRAIG</v>
      </c>
    </row>
    <row r="163" spans="1:7" x14ac:dyDescent="0.25">
      <c r="A163" s="8">
        <v>42740.696388888886</v>
      </c>
      <c r="B163" s="21" t="s">
        <v>395</v>
      </c>
      <c r="C163" s="21" t="s">
        <v>625</v>
      </c>
      <c r="D163" s="160">
        <v>1800000</v>
      </c>
      <c r="E163" s="21" t="s">
        <v>230</v>
      </c>
      <c r="F163" s="21" t="s">
        <v>242</v>
      </c>
      <c r="G163" s="8" t="str">
        <f t="shared" si="2"/>
        <v>CHANDLER KELVIN</v>
      </c>
    </row>
    <row r="164" spans="1:7" x14ac:dyDescent="0.25">
      <c r="A164" s="8">
        <v>42740.697870370372</v>
      </c>
      <c r="B164" s="21" t="s">
        <v>316</v>
      </c>
      <c r="C164" s="21" t="s">
        <v>626</v>
      </c>
      <c r="D164" s="160">
        <v>1190000</v>
      </c>
      <c r="E164" s="21" t="s">
        <v>358</v>
      </c>
      <c r="F164" s="21" t="s">
        <v>359</v>
      </c>
      <c r="G164" s="8" t="str">
        <f t="shared" si="2"/>
        <v>BRANNON JEFFREY</v>
      </c>
    </row>
    <row r="165" spans="1:7" x14ac:dyDescent="0.25">
      <c r="A165" s="8">
        <v>42740.698159722226</v>
      </c>
      <c r="B165" s="21" t="s">
        <v>315</v>
      </c>
      <c r="C165" s="21" t="s">
        <v>627</v>
      </c>
      <c r="D165" s="160">
        <v>2230000</v>
      </c>
      <c r="E165" s="21" t="s">
        <v>257</v>
      </c>
      <c r="F165" s="21" t="s">
        <v>248</v>
      </c>
      <c r="G165" s="8" t="str">
        <f t="shared" si="2"/>
        <v>SMITH MICHAEL</v>
      </c>
    </row>
    <row r="166" spans="1:7" x14ac:dyDescent="0.25">
      <c r="A166" s="8">
        <v>42740.700844907406</v>
      </c>
      <c r="B166" s="21" t="s">
        <v>505</v>
      </c>
      <c r="C166" s="21" t="s">
        <v>628</v>
      </c>
      <c r="D166" s="160">
        <v>2370000</v>
      </c>
      <c r="E166" s="21" t="s">
        <v>614</v>
      </c>
      <c r="F166" s="21" t="s">
        <v>615</v>
      </c>
      <c r="G166" s="8" t="str">
        <f t="shared" si="2"/>
        <v>DELGADO DIANAH</v>
      </c>
    </row>
    <row r="167" spans="1:7" x14ac:dyDescent="0.25">
      <c r="A167" s="8">
        <v>42740.704305555555</v>
      </c>
      <c r="B167" s="21" t="s">
        <v>254</v>
      </c>
      <c r="C167" s="21" t="s">
        <v>629</v>
      </c>
      <c r="D167" s="160">
        <v>2360000</v>
      </c>
      <c r="E167" s="21" t="s">
        <v>591</v>
      </c>
      <c r="F167" s="21" t="s">
        <v>592</v>
      </c>
      <c r="G167" s="8" t="str">
        <f t="shared" si="2"/>
        <v>BRANDNER MELINDA</v>
      </c>
    </row>
    <row r="168" spans="1:7" x14ac:dyDescent="0.25">
      <c r="A168" s="8">
        <v>42740.711192129631</v>
      </c>
      <c r="B168" s="21" t="s">
        <v>261</v>
      </c>
      <c r="C168" s="21" t="s">
        <v>630</v>
      </c>
      <c r="D168" s="160">
        <v>1180000</v>
      </c>
      <c r="E168" s="21" t="s">
        <v>333</v>
      </c>
      <c r="F168" s="21" t="s">
        <v>334</v>
      </c>
      <c r="G168" s="8" t="str">
        <f t="shared" si="2"/>
        <v>LEVERE CRAIG</v>
      </c>
    </row>
    <row r="169" spans="1:7" x14ac:dyDescent="0.25">
      <c r="A169" s="8">
        <v>42740.712685185186</v>
      </c>
      <c r="B169" s="21" t="s">
        <v>208</v>
      </c>
      <c r="C169" s="21" t="s">
        <v>631</v>
      </c>
      <c r="D169" s="160">
        <v>1540000</v>
      </c>
      <c r="E169" s="21" t="s">
        <v>391</v>
      </c>
      <c r="F169" s="21" t="s">
        <v>392</v>
      </c>
      <c r="G169" s="8" t="str">
        <f t="shared" si="2"/>
        <v>HELVIE ADAM</v>
      </c>
    </row>
    <row r="170" spans="1:7" x14ac:dyDescent="0.25">
      <c r="A170" s="8">
        <v>42740.715601851851</v>
      </c>
      <c r="B170" s="21" t="s">
        <v>483</v>
      </c>
      <c r="C170" s="21" t="s">
        <v>632</v>
      </c>
      <c r="D170" s="160">
        <v>2370000</v>
      </c>
      <c r="E170" s="21" t="s">
        <v>614</v>
      </c>
      <c r="F170" s="21" t="s">
        <v>615</v>
      </c>
      <c r="G170" s="8" t="str">
        <f t="shared" si="2"/>
        <v>DELGADO DIANAH</v>
      </c>
    </row>
    <row r="171" spans="1:7" x14ac:dyDescent="0.25">
      <c r="A171" s="8">
        <v>42740.716620370367</v>
      </c>
      <c r="B171" s="21" t="s">
        <v>483</v>
      </c>
      <c r="C171" s="21" t="s">
        <v>484</v>
      </c>
      <c r="D171" s="160">
        <v>2370000</v>
      </c>
      <c r="E171" s="21" t="s">
        <v>614</v>
      </c>
      <c r="F171" s="21" t="s">
        <v>615</v>
      </c>
      <c r="G171" s="8" t="str">
        <f t="shared" si="2"/>
        <v>DELGADO DIANAH</v>
      </c>
    </row>
    <row r="172" spans="1:7" x14ac:dyDescent="0.25">
      <c r="A172" s="8">
        <v>42740.719953703701</v>
      </c>
      <c r="B172" s="21" t="s">
        <v>210</v>
      </c>
      <c r="C172" s="21" t="s">
        <v>633</v>
      </c>
      <c r="D172" s="160">
        <v>1800000</v>
      </c>
      <c r="E172" s="21" t="s">
        <v>230</v>
      </c>
      <c r="F172" s="21" t="s">
        <v>242</v>
      </c>
      <c r="G172" s="8" t="str">
        <f t="shared" si="2"/>
        <v>CHANDLER KELVIN</v>
      </c>
    </row>
    <row r="173" spans="1:7" x14ac:dyDescent="0.25">
      <c r="A173" s="8">
        <v>42740.722986111112</v>
      </c>
      <c r="B173" s="21" t="s">
        <v>245</v>
      </c>
      <c r="C173" s="21" t="s">
        <v>634</v>
      </c>
      <c r="D173" s="160">
        <v>2250000</v>
      </c>
      <c r="E173" s="21" t="s">
        <v>331</v>
      </c>
      <c r="F173" s="21" t="s">
        <v>332</v>
      </c>
      <c r="G173" s="8" t="str">
        <f t="shared" si="2"/>
        <v>CRAYTON QUNTRELL</v>
      </c>
    </row>
    <row r="174" spans="1:7" x14ac:dyDescent="0.25">
      <c r="A174" s="8">
        <v>42740.724386574075</v>
      </c>
      <c r="B174" s="21" t="s">
        <v>183</v>
      </c>
      <c r="C174" s="21" t="s">
        <v>635</v>
      </c>
      <c r="D174" s="160">
        <v>930000</v>
      </c>
      <c r="E174" s="21" t="s">
        <v>329</v>
      </c>
      <c r="F174" s="21" t="s">
        <v>330</v>
      </c>
      <c r="G174" s="8" t="str">
        <f t="shared" si="2"/>
        <v>CLARK KATHLEEN</v>
      </c>
    </row>
    <row r="175" spans="1:7" x14ac:dyDescent="0.25">
      <c r="A175" s="8">
        <v>42740.726331018515</v>
      </c>
      <c r="B175" s="21" t="s">
        <v>227</v>
      </c>
      <c r="C175" s="21" t="s">
        <v>636</v>
      </c>
      <c r="D175" s="160">
        <v>2540000</v>
      </c>
      <c r="E175" s="21" t="s">
        <v>396</v>
      </c>
      <c r="F175" s="21" t="s">
        <v>397</v>
      </c>
      <c r="G175" s="8" t="str">
        <f t="shared" si="2"/>
        <v>MCREYNOLDS KYLE</v>
      </c>
    </row>
    <row r="176" spans="1:7" x14ac:dyDescent="0.25">
      <c r="A176" s="8">
        <v>42740.727210648147</v>
      </c>
      <c r="B176" s="21" t="s">
        <v>314</v>
      </c>
      <c r="C176" s="21" t="s">
        <v>637</v>
      </c>
      <c r="D176" s="160">
        <v>1190000</v>
      </c>
      <c r="E176" s="21" t="s">
        <v>358</v>
      </c>
      <c r="F176" s="21" t="s">
        <v>359</v>
      </c>
      <c r="G176" s="8" t="str">
        <f t="shared" si="2"/>
        <v>BRANNON JEFFREY</v>
      </c>
    </row>
    <row r="177" spans="1:7" x14ac:dyDescent="0.25">
      <c r="A177" s="8">
        <v>42740.730613425927</v>
      </c>
      <c r="B177" s="21" t="s">
        <v>398</v>
      </c>
      <c r="C177" s="21" t="s">
        <v>638</v>
      </c>
      <c r="D177" s="160">
        <v>1770000</v>
      </c>
      <c r="E177" s="21" t="s">
        <v>393</v>
      </c>
      <c r="F177" s="21" t="s">
        <v>394</v>
      </c>
      <c r="G177" s="8" t="str">
        <f t="shared" si="2"/>
        <v>BRUDER RICHARD</v>
      </c>
    </row>
    <row r="178" spans="1:7" x14ac:dyDescent="0.25">
      <c r="A178" s="8">
        <v>42740.732939814814</v>
      </c>
      <c r="B178" s="21" t="s">
        <v>505</v>
      </c>
      <c r="C178" s="21" t="s">
        <v>632</v>
      </c>
      <c r="D178" s="160">
        <v>2370000</v>
      </c>
      <c r="E178" s="21" t="s">
        <v>614</v>
      </c>
      <c r="F178" s="21" t="s">
        <v>615</v>
      </c>
      <c r="G178" s="8" t="str">
        <f t="shared" si="2"/>
        <v>DELGADO DIANAH</v>
      </c>
    </row>
    <row r="179" spans="1:7" x14ac:dyDescent="0.25">
      <c r="A179" s="8">
        <v>42740.735937500001</v>
      </c>
      <c r="B179" s="21" t="s">
        <v>262</v>
      </c>
      <c r="C179" s="21" t="s">
        <v>639</v>
      </c>
      <c r="D179" s="160">
        <v>1180000</v>
      </c>
      <c r="E179" s="21" t="s">
        <v>333</v>
      </c>
      <c r="F179" s="21" t="s">
        <v>334</v>
      </c>
      <c r="G179" s="8" t="str">
        <f t="shared" si="2"/>
        <v>LEVERE CRAIG</v>
      </c>
    </row>
    <row r="180" spans="1:7" x14ac:dyDescent="0.25">
      <c r="A180" s="8">
        <v>42740.73810185185</v>
      </c>
      <c r="B180" s="21" t="s">
        <v>212</v>
      </c>
      <c r="C180" s="21" t="s">
        <v>640</v>
      </c>
      <c r="D180" s="160">
        <v>1810000</v>
      </c>
      <c r="E180" s="21" t="s">
        <v>258</v>
      </c>
      <c r="F180" s="21" t="s">
        <v>239</v>
      </c>
      <c r="G180" s="8" t="str">
        <f t="shared" si="2"/>
        <v>NEWELL JAMES</v>
      </c>
    </row>
    <row r="181" spans="1:7" x14ac:dyDescent="0.25">
      <c r="A181" s="8">
        <v>42740.740752314814</v>
      </c>
      <c r="B181" s="21" t="s">
        <v>517</v>
      </c>
      <c r="C181" s="21" t="s">
        <v>641</v>
      </c>
      <c r="D181" s="160">
        <v>2270000</v>
      </c>
      <c r="E181" s="21" t="s">
        <v>284</v>
      </c>
      <c r="F181" s="21" t="s">
        <v>285</v>
      </c>
      <c r="G181" s="8" t="str">
        <f t="shared" si="2"/>
        <v>BROWN JACOB</v>
      </c>
    </row>
    <row r="182" spans="1:7" x14ac:dyDescent="0.25">
      <c r="A182" s="8">
        <v>42740.746064814812</v>
      </c>
      <c r="B182" s="21" t="s">
        <v>253</v>
      </c>
      <c r="C182" s="21" t="s">
        <v>642</v>
      </c>
      <c r="D182" s="160">
        <v>2360000</v>
      </c>
      <c r="E182" s="21" t="s">
        <v>591</v>
      </c>
      <c r="F182" s="21" t="s">
        <v>592</v>
      </c>
      <c r="G182" s="8" t="str">
        <f t="shared" si="2"/>
        <v>BRANDNER MELINDA</v>
      </c>
    </row>
    <row r="183" spans="1:7" x14ac:dyDescent="0.25">
      <c r="A183" s="8">
        <v>42740.748645833337</v>
      </c>
      <c r="B183" s="21" t="s">
        <v>202</v>
      </c>
      <c r="C183" s="21" t="s">
        <v>643</v>
      </c>
      <c r="D183" s="160">
        <v>2230000</v>
      </c>
      <c r="E183" s="21" t="s">
        <v>257</v>
      </c>
      <c r="F183" s="21" t="s">
        <v>248</v>
      </c>
      <c r="G183" s="8" t="str">
        <f t="shared" si="2"/>
        <v>SMITH MICHAEL</v>
      </c>
    </row>
    <row r="184" spans="1:7" x14ac:dyDescent="0.25">
      <c r="A184" s="8">
        <v>42740.756539351853</v>
      </c>
      <c r="B184" s="21" t="s">
        <v>483</v>
      </c>
      <c r="C184" s="21" t="s">
        <v>644</v>
      </c>
      <c r="D184" s="160">
        <v>2370000</v>
      </c>
      <c r="E184" s="21" t="s">
        <v>614</v>
      </c>
      <c r="F184" s="21" t="s">
        <v>615</v>
      </c>
      <c r="G184" s="8" t="str">
        <f t="shared" si="2"/>
        <v>DELGADO DIANAH</v>
      </c>
    </row>
    <row r="185" spans="1:7" x14ac:dyDescent="0.25">
      <c r="A185" s="8">
        <v>42740.756724537037</v>
      </c>
      <c r="B185" s="21" t="s">
        <v>382</v>
      </c>
      <c r="C185" s="21" t="s">
        <v>645</v>
      </c>
      <c r="D185" s="160">
        <v>1800000</v>
      </c>
      <c r="E185" s="21" t="s">
        <v>230</v>
      </c>
      <c r="F185" s="21" t="s">
        <v>242</v>
      </c>
      <c r="G185" s="8" t="str">
        <f t="shared" si="2"/>
        <v>CHANDLER KELVIN</v>
      </c>
    </row>
    <row r="186" spans="1:7" x14ac:dyDescent="0.25">
      <c r="A186" s="8">
        <v>42740.756990740738</v>
      </c>
      <c r="B186" s="21" t="s">
        <v>261</v>
      </c>
      <c r="C186" s="21" t="s">
        <v>646</v>
      </c>
      <c r="D186" s="160">
        <v>1180000</v>
      </c>
      <c r="E186" s="21" t="s">
        <v>333</v>
      </c>
      <c r="F186" s="21" t="s">
        <v>334</v>
      </c>
      <c r="G186" s="8" t="str">
        <f t="shared" si="2"/>
        <v>LEVERE CRAIG</v>
      </c>
    </row>
    <row r="187" spans="1:7" x14ac:dyDescent="0.25">
      <c r="A187" s="8">
        <v>42740.760092592594</v>
      </c>
      <c r="B187" s="21" t="s">
        <v>225</v>
      </c>
      <c r="C187" s="21" t="s">
        <v>647</v>
      </c>
      <c r="D187" s="160">
        <v>2270000</v>
      </c>
      <c r="E187" s="21" t="s">
        <v>284</v>
      </c>
      <c r="F187" s="21" t="s">
        <v>285</v>
      </c>
      <c r="G187" s="8" t="str">
        <f t="shared" si="2"/>
        <v>BROWN JACOB</v>
      </c>
    </row>
    <row r="188" spans="1:7" x14ac:dyDescent="0.25">
      <c r="A188" s="8">
        <v>42740.762106481481</v>
      </c>
      <c r="B188" s="21" t="s">
        <v>299</v>
      </c>
      <c r="C188" s="21" t="s">
        <v>648</v>
      </c>
      <c r="D188" s="160">
        <v>2540000</v>
      </c>
      <c r="E188" s="21" t="s">
        <v>396</v>
      </c>
      <c r="F188" s="21" t="s">
        <v>397</v>
      </c>
      <c r="G188" s="8" t="str">
        <f t="shared" si="2"/>
        <v>MCREYNOLDS KYLE</v>
      </c>
    </row>
    <row r="189" spans="1:7" x14ac:dyDescent="0.25">
      <c r="A189" s="8">
        <v>42740.768240740741</v>
      </c>
      <c r="B189" s="21" t="s">
        <v>649</v>
      </c>
      <c r="C189" s="21" t="s">
        <v>650</v>
      </c>
      <c r="D189" s="160">
        <v>2250000</v>
      </c>
      <c r="E189" s="21" t="s">
        <v>331</v>
      </c>
      <c r="F189" s="21" t="s">
        <v>332</v>
      </c>
      <c r="G189" s="8" t="str">
        <f t="shared" si="2"/>
        <v>CRAYTON QUNTRELL</v>
      </c>
    </row>
    <row r="190" spans="1:7" x14ac:dyDescent="0.25">
      <c r="A190" s="8">
        <v>42740.770219907405</v>
      </c>
      <c r="B190" s="21" t="s">
        <v>316</v>
      </c>
      <c r="C190" s="21" t="s">
        <v>651</v>
      </c>
      <c r="D190" s="160">
        <v>2220000</v>
      </c>
      <c r="E190" s="21" t="s">
        <v>282</v>
      </c>
      <c r="F190" s="21" t="s">
        <v>283</v>
      </c>
      <c r="G190" s="8" t="str">
        <f t="shared" si="2"/>
        <v>HILLS DUSTIN</v>
      </c>
    </row>
    <row r="191" spans="1:7" x14ac:dyDescent="0.25">
      <c r="A191" s="8">
        <v>42740.770416666666</v>
      </c>
      <c r="B191" s="21" t="s">
        <v>315</v>
      </c>
      <c r="C191" s="21" t="s">
        <v>652</v>
      </c>
      <c r="D191" s="160">
        <v>1810000</v>
      </c>
      <c r="E191" s="21" t="s">
        <v>258</v>
      </c>
      <c r="F191" s="21" t="s">
        <v>239</v>
      </c>
      <c r="G191" s="8" t="str">
        <f t="shared" si="2"/>
        <v>NEWELL JAMES</v>
      </c>
    </row>
    <row r="192" spans="1:7" x14ac:dyDescent="0.25">
      <c r="A192" s="8">
        <v>42740.774687500001</v>
      </c>
      <c r="B192" s="21" t="s">
        <v>505</v>
      </c>
      <c r="C192" s="21" t="s">
        <v>653</v>
      </c>
      <c r="D192" s="160">
        <v>2370000</v>
      </c>
      <c r="E192" s="21" t="s">
        <v>614</v>
      </c>
      <c r="F192" s="21" t="s">
        <v>615</v>
      </c>
      <c r="G192" s="8" t="str">
        <f t="shared" si="2"/>
        <v>DELGADO DIANAH</v>
      </c>
    </row>
    <row r="193" spans="1:7" x14ac:dyDescent="0.25">
      <c r="A193" s="8">
        <v>42740.777430555558</v>
      </c>
      <c r="B193" s="21" t="s">
        <v>262</v>
      </c>
      <c r="C193" s="21" t="s">
        <v>654</v>
      </c>
      <c r="D193" s="160">
        <v>1180000</v>
      </c>
      <c r="E193" s="21" t="s">
        <v>333</v>
      </c>
      <c r="F193" s="21" t="s">
        <v>334</v>
      </c>
      <c r="G193" s="8" t="str">
        <f t="shared" si="2"/>
        <v>LEVERE CRAIG</v>
      </c>
    </row>
    <row r="194" spans="1:7" x14ac:dyDescent="0.25">
      <c r="A194" s="8">
        <v>42740.781805555554</v>
      </c>
      <c r="B194" s="21" t="s">
        <v>208</v>
      </c>
      <c r="C194" s="21" t="s">
        <v>655</v>
      </c>
      <c r="D194" s="160">
        <v>2230000</v>
      </c>
      <c r="E194" s="21" t="s">
        <v>257</v>
      </c>
      <c r="F194" s="21" t="s">
        <v>248</v>
      </c>
      <c r="G194" s="8" t="str">
        <f t="shared" si="2"/>
        <v>SMITH MICHAEL</v>
      </c>
    </row>
    <row r="195" spans="1:7" x14ac:dyDescent="0.25">
      <c r="A195" s="8">
        <v>42740.786249999997</v>
      </c>
      <c r="B195" s="21" t="s">
        <v>296</v>
      </c>
      <c r="C195" s="21" t="s">
        <v>656</v>
      </c>
      <c r="D195" s="160">
        <v>2360000</v>
      </c>
      <c r="E195" s="21" t="s">
        <v>591</v>
      </c>
      <c r="F195" s="21" t="s">
        <v>592</v>
      </c>
      <c r="G195" s="8" t="str">
        <f t="shared" ref="G195:G258" si="3">E195&amp;" "&amp;F195</f>
        <v>BRANDNER MELINDA</v>
      </c>
    </row>
    <row r="196" spans="1:7" x14ac:dyDescent="0.25">
      <c r="A196" s="8">
        <v>42740.790439814817</v>
      </c>
      <c r="B196" s="21" t="s">
        <v>210</v>
      </c>
      <c r="C196" s="21" t="s">
        <v>657</v>
      </c>
      <c r="D196" s="160">
        <v>1800000</v>
      </c>
      <c r="E196" s="21" t="s">
        <v>230</v>
      </c>
      <c r="F196" s="21" t="s">
        <v>242</v>
      </c>
      <c r="G196" s="8" t="str">
        <f t="shared" si="3"/>
        <v>CHANDLER KELVIN</v>
      </c>
    </row>
    <row r="197" spans="1:7" x14ac:dyDescent="0.25">
      <c r="A197" s="8">
        <v>42740.794004629628</v>
      </c>
      <c r="B197" s="21" t="s">
        <v>261</v>
      </c>
      <c r="C197" s="21" t="s">
        <v>658</v>
      </c>
      <c r="D197" s="160">
        <v>1180000</v>
      </c>
      <c r="E197" s="21" t="s">
        <v>333</v>
      </c>
      <c r="F197" s="21" t="s">
        <v>334</v>
      </c>
      <c r="G197" s="8" t="str">
        <f t="shared" si="3"/>
        <v>LEVERE CRAIG</v>
      </c>
    </row>
    <row r="198" spans="1:7" x14ac:dyDescent="0.25">
      <c r="A198" s="8">
        <v>42740.795393518521</v>
      </c>
      <c r="B198" s="21" t="s">
        <v>245</v>
      </c>
      <c r="C198" s="21" t="s">
        <v>659</v>
      </c>
      <c r="D198" s="160">
        <v>2270000</v>
      </c>
      <c r="E198" s="21" t="s">
        <v>284</v>
      </c>
      <c r="F198" s="21" t="s">
        <v>285</v>
      </c>
      <c r="G198" s="8" t="str">
        <f t="shared" si="3"/>
        <v>BROWN JACOB</v>
      </c>
    </row>
    <row r="199" spans="1:7" x14ac:dyDescent="0.25">
      <c r="A199" s="8">
        <v>42740.798657407409</v>
      </c>
      <c r="B199" s="21" t="s">
        <v>483</v>
      </c>
      <c r="C199" s="21" t="s">
        <v>660</v>
      </c>
      <c r="D199" s="160">
        <v>2370000</v>
      </c>
      <c r="E199" s="21" t="s">
        <v>614</v>
      </c>
      <c r="F199" s="21" t="s">
        <v>615</v>
      </c>
      <c r="G199" s="8" t="str">
        <f t="shared" si="3"/>
        <v>DELGADO DIANAH</v>
      </c>
    </row>
    <row r="200" spans="1:7" x14ac:dyDescent="0.25">
      <c r="A200" s="8">
        <v>42740.80269675926</v>
      </c>
      <c r="B200" s="21" t="s">
        <v>227</v>
      </c>
      <c r="C200" s="21" t="s">
        <v>661</v>
      </c>
      <c r="D200" s="160">
        <v>2540000</v>
      </c>
      <c r="E200" s="21" t="s">
        <v>396</v>
      </c>
      <c r="F200" s="21" t="s">
        <v>397</v>
      </c>
      <c r="G200" s="8" t="str">
        <f t="shared" si="3"/>
        <v>MCREYNOLDS KYLE</v>
      </c>
    </row>
    <row r="201" spans="1:7" x14ac:dyDescent="0.25">
      <c r="A201" s="8">
        <v>42740.808761574073</v>
      </c>
      <c r="B201" s="21" t="s">
        <v>314</v>
      </c>
      <c r="C201" s="21" t="s">
        <v>485</v>
      </c>
      <c r="D201" s="160">
        <v>2220000</v>
      </c>
      <c r="E201" s="21" t="s">
        <v>282</v>
      </c>
      <c r="F201" s="21" t="s">
        <v>283</v>
      </c>
      <c r="G201" s="8" t="str">
        <f t="shared" si="3"/>
        <v>HILLS DUSTIN</v>
      </c>
    </row>
    <row r="202" spans="1:7" x14ac:dyDescent="0.25">
      <c r="A202" s="27">
        <v>42740.811041666668</v>
      </c>
      <c r="B202" s="21" t="s">
        <v>212</v>
      </c>
      <c r="C202" s="21" t="s">
        <v>662</v>
      </c>
      <c r="D202" s="160">
        <v>1810000</v>
      </c>
      <c r="E202" s="21" t="s">
        <v>258</v>
      </c>
      <c r="F202" s="21" t="s">
        <v>239</v>
      </c>
      <c r="G202" s="8" t="str">
        <f t="shared" si="3"/>
        <v>NEWELL JAMES</v>
      </c>
    </row>
    <row r="203" spans="1:7" x14ac:dyDescent="0.25">
      <c r="A203" s="8">
        <v>42740.818425925929</v>
      </c>
      <c r="B203" s="21" t="s">
        <v>262</v>
      </c>
      <c r="C203" s="21" t="s">
        <v>663</v>
      </c>
      <c r="D203" s="160">
        <v>1180000</v>
      </c>
      <c r="E203" s="21" t="s">
        <v>333</v>
      </c>
      <c r="F203" s="21" t="s">
        <v>334</v>
      </c>
      <c r="G203" s="8" t="str">
        <f t="shared" si="3"/>
        <v>LEVERE CRAIG</v>
      </c>
    </row>
    <row r="204" spans="1:7" x14ac:dyDescent="0.25">
      <c r="A204" s="8">
        <v>42740.828125</v>
      </c>
      <c r="B204" s="21" t="s">
        <v>382</v>
      </c>
      <c r="C204" s="21" t="s">
        <v>664</v>
      </c>
      <c r="D204" s="160">
        <v>1800000</v>
      </c>
      <c r="E204" s="21" t="s">
        <v>230</v>
      </c>
      <c r="F204" s="21" t="s">
        <v>242</v>
      </c>
      <c r="G204" s="8" t="str">
        <f t="shared" si="3"/>
        <v>CHANDLER KELVIN</v>
      </c>
    </row>
    <row r="205" spans="1:7" x14ac:dyDescent="0.25">
      <c r="A205" s="8">
        <v>42740.830763888887</v>
      </c>
      <c r="B205" s="21" t="s">
        <v>225</v>
      </c>
      <c r="C205" s="21" t="s">
        <v>665</v>
      </c>
      <c r="D205" s="160">
        <v>2270000</v>
      </c>
      <c r="E205" s="21" t="s">
        <v>284</v>
      </c>
      <c r="F205" s="21" t="s">
        <v>285</v>
      </c>
      <c r="G205" s="8" t="str">
        <f t="shared" si="3"/>
        <v>BROWN JACOB</v>
      </c>
    </row>
    <row r="206" spans="1:7" x14ac:dyDescent="0.25">
      <c r="A206" s="8">
        <v>42740.836192129631</v>
      </c>
      <c r="B206" s="21" t="s">
        <v>261</v>
      </c>
      <c r="C206" s="21" t="s">
        <v>666</v>
      </c>
      <c r="D206" s="160">
        <v>1180000</v>
      </c>
      <c r="E206" s="21" t="s">
        <v>333</v>
      </c>
      <c r="F206" s="21" t="s">
        <v>334</v>
      </c>
      <c r="G206" s="8" t="str">
        <f t="shared" si="3"/>
        <v>LEVERE CRAIG</v>
      </c>
    </row>
    <row r="207" spans="1:7" x14ac:dyDescent="0.25">
      <c r="A207" s="8">
        <v>42740.840358796297</v>
      </c>
      <c r="B207" s="21" t="s">
        <v>315</v>
      </c>
      <c r="C207" s="21" t="s">
        <v>486</v>
      </c>
      <c r="D207" s="160">
        <v>1810000</v>
      </c>
      <c r="E207" s="21" t="s">
        <v>258</v>
      </c>
      <c r="F207" s="21" t="s">
        <v>239</v>
      </c>
      <c r="G207" s="8" t="str">
        <f t="shared" si="3"/>
        <v>NEWELL JAMES</v>
      </c>
    </row>
    <row r="208" spans="1:7" x14ac:dyDescent="0.25">
      <c r="A208" s="8">
        <v>42740.844224537039</v>
      </c>
      <c r="B208" s="21" t="s">
        <v>316</v>
      </c>
      <c r="C208" s="21" t="s">
        <v>667</v>
      </c>
      <c r="D208" s="160">
        <v>2540000</v>
      </c>
      <c r="E208" s="21" t="s">
        <v>396</v>
      </c>
      <c r="F208" s="21" t="s">
        <v>397</v>
      </c>
      <c r="G208" s="8" t="str">
        <f t="shared" si="3"/>
        <v>MCREYNOLDS KYLE</v>
      </c>
    </row>
    <row r="209" spans="1:7" x14ac:dyDescent="0.25">
      <c r="A209" s="8">
        <v>42740.844513888886</v>
      </c>
      <c r="B209" s="21" t="s">
        <v>202</v>
      </c>
      <c r="C209" s="21" t="s">
        <v>668</v>
      </c>
      <c r="D209" s="160">
        <v>2220000</v>
      </c>
      <c r="E209" s="21" t="s">
        <v>282</v>
      </c>
      <c r="F209" s="21" t="s">
        <v>283</v>
      </c>
      <c r="G209" s="8" t="str">
        <f t="shared" si="3"/>
        <v>HILLS DUSTIN</v>
      </c>
    </row>
    <row r="210" spans="1:7" x14ac:dyDescent="0.25">
      <c r="A210" s="8">
        <v>42740.860520833332</v>
      </c>
      <c r="B210" s="21" t="s">
        <v>262</v>
      </c>
      <c r="C210" s="21" t="s">
        <v>669</v>
      </c>
      <c r="D210" s="160">
        <v>1180000</v>
      </c>
      <c r="E210" s="21" t="s">
        <v>333</v>
      </c>
      <c r="F210" s="21" t="s">
        <v>334</v>
      </c>
      <c r="G210" s="8" t="str">
        <f t="shared" si="3"/>
        <v>LEVERE CRAIG</v>
      </c>
    </row>
    <row r="211" spans="1:7" x14ac:dyDescent="0.25">
      <c r="A211" s="8">
        <v>42740.864652777775</v>
      </c>
      <c r="B211" s="21" t="s">
        <v>245</v>
      </c>
      <c r="C211" s="21" t="s">
        <v>670</v>
      </c>
      <c r="D211" s="160">
        <v>2270000</v>
      </c>
      <c r="E211" s="21" t="s">
        <v>284</v>
      </c>
      <c r="F211" s="21" t="s">
        <v>285</v>
      </c>
      <c r="G211" s="8" t="str">
        <f t="shared" si="3"/>
        <v>BROWN JACOB</v>
      </c>
    </row>
    <row r="212" spans="1:7" x14ac:dyDescent="0.25">
      <c r="A212" s="8">
        <v>42740.874293981484</v>
      </c>
      <c r="B212" s="21" t="s">
        <v>210</v>
      </c>
      <c r="C212" s="21" t="s">
        <v>671</v>
      </c>
      <c r="D212" s="160">
        <v>1800000</v>
      </c>
      <c r="E212" s="21" t="s">
        <v>230</v>
      </c>
      <c r="F212" s="21" t="s">
        <v>242</v>
      </c>
      <c r="G212" s="8" t="str">
        <f t="shared" si="3"/>
        <v>CHANDLER KELVIN</v>
      </c>
    </row>
    <row r="213" spans="1:7" x14ac:dyDescent="0.25">
      <c r="A213" s="8">
        <v>42740.879942129628</v>
      </c>
      <c r="B213" s="21" t="s">
        <v>261</v>
      </c>
      <c r="C213" s="21" t="s">
        <v>672</v>
      </c>
      <c r="D213" s="160">
        <v>2550000</v>
      </c>
      <c r="E213" s="21" t="s">
        <v>211</v>
      </c>
      <c r="F213" s="21" t="s">
        <v>673</v>
      </c>
      <c r="G213" s="8" t="str">
        <f t="shared" si="3"/>
        <v>BADERTSCHER DIANE</v>
      </c>
    </row>
    <row r="214" spans="1:7" x14ac:dyDescent="0.25">
      <c r="A214" s="8">
        <v>42740.881631944445</v>
      </c>
      <c r="B214" s="21" t="s">
        <v>208</v>
      </c>
      <c r="C214" s="21" t="s">
        <v>487</v>
      </c>
      <c r="D214" s="160">
        <v>2220000</v>
      </c>
      <c r="E214" s="21" t="s">
        <v>282</v>
      </c>
      <c r="F214" s="21" t="s">
        <v>283</v>
      </c>
      <c r="G214" s="8" t="str">
        <f t="shared" si="3"/>
        <v>HILLS DUSTIN</v>
      </c>
    </row>
    <row r="215" spans="1:7" x14ac:dyDescent="0.25">
      <c r="A215" s="8">
        <v>42740.888113425928</v>
      </c>
      <c r="B215" s="21" t="s">
        <v>303</v>
      </c>
      <c r="C215" s="21" t="s">
        <v>674</v>
      </c>
      <c r="D215" s="160">
        <v>1810000</v>
      </c>
      <c r="E215" s="21" t="s">
        <v>258</v>
      </c>
      <c r="F215" s="21" t="s">
        <v>239</v>
      </c>
      <c r="G215" s="8" t="str">
        <f t="shared" si="3"/>
        <v>NEWELL JAMES</v>
      </c>
    </row>
    <row r="216" spans="1:7" x14ac:dyDescent="0.25">
      <c r="A216" s="8">
        <v>42740.890185185184</v>
      </c>
      <c r="B216" s="21" t="s">
        <v>303</v>
      </c>
      <c r="C216" s="21" t="s">
        <v>674</v>
      </c>
      <c r="D216" s="160">
        <v>1810000</v>
      </c>
      <c r="E216" s="21" t="s">
        <v>258</v>
      </c>
      <c r="F216" s="21" t="s">
        <v>239</v>
      </c>
      <c r="G216" s="8" t="str">
        <f t="shared" si="3"/>
        <v>NEWELL JAMES</v>
      </c>
    </row>
    <row r="217" spans="1:7" x14ac:dyDescent="0.25">
      <c r="A217" s="8">
        <v>42740.903553240743</v>
      </c>
      <c r="B217" s="21" t="s">
        <v>262</v>
      </c>
      <c r="C217" s="21" t="s">
        <v>675</v>
      </c>
      <c r="D217" s="160">
        <v>2550000</v>
      </c>
      <c r="E217" s="21" t="s">
        <v>211</v>
      </c>
      <c r="F217" s="21" t="s">
        <v>673</v>
      </c>
      <c r="G217" s="8" t="str">
        <f t="shared" si="3"/>
        <v>BADERTSCHER DIANE</v>
      </c>
    </row>
    <row r="218" spans="1:7" x14ac:dyDescent="0.25">
      <c r="A218" s="8">
        <v>42740.911145833335</v>
      </c>
      <c r="B218" s="21" t="s">
        <v>225</v>
      </c>
      <c r="C218" s="21" t="s">
        <v>676</v>
      </c>
      <c r="D218" s="160">
        <v>2270000</v>
      </c>
      <c r="E218" s="21" t="s">
        <v>284</v>
      </c>
      <c r="F218" s="21" t="s">
        <v>285</v>
      </c>
      <c r="G218" s="8" t="str">
        <f t="shared" si="3"/>
        <v>BROWN JACOB</v>
      </c>
    </row>
    <row r="219" spans="1:7" x14ac:dyDescent="0.25">
      <c r="A219" s="8">
        <v>42740.912592592591</v>
      </c>
      <c r="B219" s="21" t="s">
        <v>382</v>
      </c>
      <c r="C219" s="21" t="s">
        <v>677</v>
      </c>
      <c r="D219" s="160">
        <v>1800000</v>
      </c>
      <c r="E219" s="21" t="s">
        <v>230</v>
      </c>
      <c r="F219" s="21" t="s">
        <v>242</v>
      </c>
      <c r="G219" s="8" t="str">
        <f t="shared" si="3"/>
        <v>CHANDLER KELVIN</v>
      </c>
    </row>
    <row r="220" spans="1:7" x14ac:dyDescent="0.25">
      <c r="A220" s="8">
        <v>42740.920763888891</v>
      </c>
      <c r="B220" s="21" t="s">
        <v>261</v>
      </c>
      <c r="C220" s="21" t="s">
        <v>488</v>
      </c>
      <c r="D220" s="160">
        <v>2550000</v>
      </c>
      <c r="E220" s="21" t="s">
        <v>211</v>
      </c>
      <c r="F220" s="21" t="s">
        <v>673</v>
      </c>
      <c r="G220" s="8" t="str">
        <f t="shared" si="3"/>
        <v>BADERTSCHER DIANE</v>
      </c>
    </row>
    <row r="221" spans="1:7" x14ac:dyDescent="0.25">
      <c r="A221" s="8">
        <v>42740.929016203707</v>
      </c>
      <c r="B221" s="21" t="s">
        <v>212</v>
      </c>
      <c r="C221" s="21" t="s">
        <v>489</v>
      </c>
      <c r="D221" s="160">
        <v>2220000</v>
      </c>
      <c r="E221" s="21" t="s">
        <v>282</v>
      </c>
      <c r="F221" s="21" t="s">
        <v>283</v>
      </c>
      <c r="G221" s="8" t="str">
        <f t="shared" si="3"/>
        <v>HILLS DUSTIN</v>
      </c>
    </row>
    <row r="222" spans="1:7" x14ac:dyDescent="0.25">
      <c r="A222" s="8">
        <v>42740.932870370372</v>
      </c>
      <c r="B222" s="21" t="s">
        <v>302</v>
      </c>
      <c r="C222" s="21" t="s">
        <v>678</v>
      </c>
      <c r="D222" s="160">
        <v>1810000</v>
      </c>
      <c r="E222" s="21" t="s">
        <v>258</v>
      </c>
      <c r="F222" s="21" t="s">
        <v>239</v>
      </c>
      <c r="G222" s="8" t="str">
        <f t="shared" si="3"/>
        <v>NEWELL JAMES</v>
      </c>
    </row>
    <row r="223" spans="1:7" x14ac:dyDescent="0.25">
      <c r="A223" s="8">
        <v>42740.944120370368</v>
      </c>
      <c r="B223" s="21" t="s">
        <v>262</v>
      </c>
      <c r="C223" s="21" t="s">
        <v>679</v>
      </c>
      <c r="D223" s="160">
        <v>2550000</v>
      </c>
      <c r="E223" s="21" t="s">
        <v>211</v>
      </c>
      <c r="F223" s="21" t="s">
        <v>673</v>
      </c>
      <c r="G223" s="8" t="str">
        <f t="shared" si="3"/>
        <v>BADERTSCHER DIANE</v>
      </c>
    </row>
    <row r="224" spans="1:7" x14ac:dyDescent="0.25">
      <c r="A224" s="8">
        <v>42740.951215277775</v>
      </c>
      <c r="B224" t="s">
        <v>245</v>
      </c>
      <c r="C224" t="s">
        <v>680</v>
      </c>
      <c r="D224" s="160">
        <v>2270000</v>
      </c>
      <c r="E224" t="s">
        <v>284</v>
      </c>
      <c r="F224" s="21" t="s">
        <v>285</v>
      </c>
      <c r="G224" s="8" t="str">
        <f t="shared" si="3"/>
        <v>BROWN JACOB</v>
      </c>
    </row>
    <row r="225" spans="1:7" x14ac:dyDescent="0.25">
      <c r="A225" s="8">
        <v>42740.952291666668</v>
      </c>
      <c r="B225" t="s">
        <v>245</v>
      </c>
      <c r="C225" t="s">
        <v>680</v>
      </c>
      <c r="D225" s="160">
        <v>2270000</v>
      </c>
      <c r="E225" t="s">
        <v>284</v>
      </c>
      <c r="F225" s="21" t="s">
        <v>285</v>
      </c>
      <c r="G225" s="8" t="str">
        <f t="shared" si="3"/>
        <v>BROWN JACOB</v>
      </c>
    </row>
    <row r="226" spans="1:7" x14ac:dyDescent="0.25">
      <c r="A226" s="8">
        <v>42740.953101851854</v>
      </c>
      <c r="B226" t="s">
        <v>261</v>
      </c>
      <c r="C226" t="s">
        <v>679</v>
      </c>
      <c r="D226" s="160">
        <v>2550000</v>
      </c>
      <c r="E226" t="s">
        <v>211</v>
      </c>
      <c r="F226" s="21" t="s">
        <v>673</v>
      </c>
      <c r="G226" s="8" t="str">
        <f t="shared" si="3"/>
        <v>BADERTSCHER DIANE</v>
      </c>
    </row>
    <row r="227" spans="1:7" x14ac:dyDescent="0.25">
      <c r="A227" s="8">
        <v>42740.953773148147</v>
      </c>
      <c r="B227" t="s">
        <v>261</v>
      </c>
      <c r="C227" t="s">
        <v>679</v>
      </c>
      <c r="D227" s="160">
        <v>2550000</v>
      </c>
      <c r="E227" t="s">
        <v>211</v>
      </c>
      <c r="F227" s="21" t="s">
        <v>673</v>
      </c>
      <c r="G227" s="8" t="str">
        <f t="shared" si="3"/>
        <v>BADERTSCHER DIANE</v>
      </c>
    </row>
    <row r="228" spans="1:7" x14ac:dyDescent="0.25">
      <c r="A228" s="8">
        <v>42740.958310185182</v>
      </c>
      <c r="B228" t="s">
        <v>210</v>
      </c>
      <c r="C228" t="s">
        <v>681</v>
      </c>
      <c r="D228" s="160">
        <v>1800000</v>
      </c>
      <c r="E228" t="s">
        <v>230</v>
      </c>
      <c r="F228" s="21" t="s">
        <v>242</v>
      </c>
      <c r="G228" s="8" t="str">
        <f t="shared" si="3"/>
        <v>CHANDLER KELVIN</v>
      </c>
    </row>
    <row r="229" spans="1:7" x14ac:dyDescent="0.25">
      <c r="A229" s="8">
        <v>42740.967326388891</v>
      </c>
      <c r="B229" t="s">
        <v>315</v>
      </c>
      <c r="C229" t="s">
        <v>491</v>
      </c>
      <c r="D229" s="160">
        <v>2220000</v>
      </c>
      <c r="E229" t="s">
        <v>282</v>
      </c>
      <c r="F229" s="21" t="s">
        <v>283</v>
      </c>
      <c r="G229" s="8" t="str">
        <f t="shared" si="3"/>
        <v>HILLS DUSTIN</v>
      </c>
    </row>
    <row r="230" spans="1:7" x14ac:dyDescent="0.25">
      <c r="A230" s="8">
        <v>42740.974074074074</v>
      </c>
      <c r="B230" t="s">
        <v>202</v>
      </c>
      <c r="C230" t="s">
        <v>490</v>
      </c>
      <c r="D230" s="160">
        <v>1810000</v>
      </c>
      <c r="E230" t="s">
        <v>258</v>
      </c>
      <c r="F230" s="21" t="s">
        <v>239</v>
      </c>
      <c r="G230" s="8" t="str">
        <f t="shared" si="3"/>
        <v>NEWELL JAMES</v>
      </c>
    </row>
    <row r="231" spans="1:7" x14ac:dyDescent="0.25">
      <c r="A231" s="8">
        <v>42740.995856481481</v>
      </c>
      <c r="B231" t="s">
        <v>382</v>
      </c>
      <c r="C231" t="s">
        <v>682</v>
      </c>
      <c r="D231" s="160">
        <v>1800000</v>
      </c>
      <c r="E231" t="s">
        <v>230</v>
      </c>
      <c r="F231" s="21" t="s">
        <v>242</v>
      </c>
      <c r="G231" s="8" t="str">
        <f t="shared" si="3"/>
        <v>CHANDLER KELVIN</v>
      </c>
    </row>
    <row r="232" spans="1:7" x14ac:dyDescent="0.25">
      <c r="A232" s="8">
        <v>42740.998900462961</v>
      </c>
      <c r="B232" t="s">
        <v>225</v>
      </c>
      <c r="C232" t="s">
        <v>683</v>
      </c>
      <c r="D232" s="160">
        <v>2270000</v>
      </c>
      <c r="E232" t="s">
        <v>284</v>
      </c>
      <c r="F232" s="21" t="s">
        <v>285</v>
      </c>
      <c r="G232" s="8" t="str">
        <f t="shared" si="3"/>
        <v>BROWN JACOB</v>
      </c>
    </row>
    <row r="233" spans="1:7" x14ac:dyDescent="0.25">
      <c r="A233" s="8">
        <v>42741.006111111114</v>
      </c>
      <c r="B233" t="s">
        <v>212</v>
      </c>
      <c r="C233" t="s">
        <v>684</v>
      </c>
      <c r="D233" s="160">
        <v>2220000</v>
      </c>
      <c r="E233" t="s">
        <v>282</v>
      </c>
      <c r="F233" s="21" t="s">
        <v>283</v>
      </c>
      <c r="G233" s="8" t="str">
        <f t="shared" si="3"/>
        <v>HILLS DUSTIN</v>
      </c>
    </row>
    <row r="234" spans="1:7" x14ac:dyDescent="0.25">
      <c r="A234" s="8">
        <v>42741.01666666667</v>
      </c>
      <c r="B234" t="s">
        <v>208</v>
      </c>
      <c r="C234" t="s">
        <v>685</v>
      </c>
      <c r="D234" s="160">
        <v>1810000</v>
      </c>
      <c r="E234" t="s">
        <v>258</v>
      </c>
      <c r="F234" s="21" t="s">
        <v>239</v>
      </c>
      <c r="G234" s="8" t="str">
        <f t="shared" si="3"/>
        <v>NEWELL JAMES</v>
      </c>
    </row>
    <row r="235" spans="1:7" x14ac:dyDescent="0.25">
      <c r="A235" s="8">
        <v>42741.02820601852</v>
      </c>
      <c r="B235" t="s">
        <v>210</v>
      </c>
      <c r="C235" t="s">
        <v>686</v>
      </c>
      <c r="D235" s="160">
        <v>1800000</v>
      </c>
      <c r="E235" t="s">
        <v>230</v>
      </c>
      <c r="F235" s="21" t="s">
        <v>242</v>
      </c>
      <c r="G235" s="8" t="str">
        <f t="shared" si="3"/>
        <v>CHANDLER KELVIN</v>
      </c>
    </row>
    <row r="236" spans="1:7" x14ac:dyDescent="0.25">
      <c r="A236" s="8">
        <v>42741.028275462966</v>
      </c>
      <c r="B236" t="s">
        <v>303</v>
      </c>
      <c r="C236" t="s">
        <v>687</v>
      </c>
      <c r="D236" s="160">
        <v>2560000</v>
      </c>
      <c r="E236" t="s">
        <v>688</v>
      </c>
      <c r="F236" s="21" t="s">
        <v>689</v>
      </c>
      <c r="G236" s="8" t="str">
        <f t="shared" si="3"/>
        <v>MACDONALD THOMAS</v>
      </c>
    </row>
    <row r="237" spans="1:7" x14ac:dyDescent="0.25">
      <c r="A237" s="8">
        <v>42741.033402777779</v>
      </c>
      <c r="B237" t="s">
        <v>245</v>
      </c>
      <c r="C237" t="s">
        <v>690</v>
      </c>
      <c r="D237" s="160">
        <v>2270000</v>
      </c>
      <c r="E237" t="s">
        <v>284</v>
      </c>
      <c r="F237" s="21" t="s">
        <v>285</v>
      </c>
      <c r="G237" s="8" t="str">
        <f t="shared" si="3"/>
        <v>BROWN JACOB</v>
      </c>
    </row>
    <row r="238" spans="1:7" x14ac:dyDescent="0.25">
      <c r="A238" s="8">
        <v>42741.046944444446</v>
      </c>
      <c r="B238" t="s">
        <v>202</v>
      </c>
      <c r="C238" t="s">
        <v>691</v>
      </c>
      <c r="D238" s="160">
        <v>1810000</v>
      </c>
      <c r="E238" t="s">
        <v>258</v>
      </c>
      <c r="F238" s="21" t="s">
        <v>239</v>
      </c>
      <c r="G238" s="8" t="str">
        <f t="shared" si="3"/>
        <v>NEWELL JAMES</v>
      </c>
    </row>
    <row r="239" spans="1:7" x14ac:dyDescent="0.25">
      <c r="A239" s="8">
        <v>42741.048819444448</v>
      </c>
      <c r="B239" t="s">
        <v>315</v>
      </c>
      <c r="C239" t="s">
        <v>692</v>
      </c>
      <c r="D239" s="160">
        <v>2220000</v>
      </c>
      <c r="E239" t="s">
        <v>282</v>
      </c>
      <c r="F239" s="21" t="s">
        <v>283</v>
      </c>
      <c r="G239" s="8" t="str">
        <f t="shared" si="3"/>
        <v>HILLS DUSTIN</v>
      </c>
    </row>
    <row r="240" spans="1:7" x14ac:dyDescent="0.25">
      <c r="A240" s="8">
        <v>42741.071840277778</v>
      </c>
      <c r="B240" t="s">
        <v>225</v>
      </c>
      <c r="C240" t="s">
        <v>693</v>
      </c>
      <c r="D240" s="160">
        <v>2270000</v>
      </c>
      <c r="E240" t="s">
        <v>284</v>
      </c>
      <c r="F240" s="21" t="s">
        <v>285</v>
      </c>
      <c r="G240" s="8" t="str">
        <f t="shared" si="3"/>
        <v>BROWN JACOB</v>
      </c>
    </row>
    <row r="241" spans="1:7" x14ac:dyDescent="0.25">
      <c r="A241" s="8">
        <v>42741.087812500002</v>
      </c>
      <c r="B241" t="s">
        <v>302</v>
      </c>
      <c r="C241" t="s">
        <v>694</v>
      </c>
      <c r="D241" s="160">
        <v>2560000</v>
      </c>
      <c r="E241" t="s">
        <v>688</v>
      </c>
      <c r="F241" s="21" t="s">
        <v>689</v>
      </c>
      <c r="G241" s="8" t="str">
        <f t="shared" si="3"/>
        <v>MACDONALD THOMAS</v>
      </c>
    </row>
    <row r="242" spans="1:7" x14ac:dyDescent="0.25">
      <c r="A242" s="8">
        <v>42741.089606481481</v>
      </c>
      <c r="B242" t="s">
        <v>212</v>
      </c>
      <c r="C242" t="s">
        <v>695</v>
      </c>
      <c r="D242" s="160">
        <v>2220000</v>
      </c>
      <c r="E242" t="s">
        <v>282</v>
      </c>
      <c r="F242" s="21" t="s">
        <v>283</v>
      </c>
      <c r="G242" s="8" t="str">
        <f t="shared" si="3"/>
        <v>HILLS DUSTIN</v>
      </c>
    </row>
    <row r="243" spans="1:7" x14ac:dyDescent="0.25">
      <c r="A243" s="8">
        <v>42741.092245370368</v>
      </c>
      <c r="B243" t="s">
        <v>212</v>
      </c>
      <c r="C243" t="s">
        <v>695</v>
      </c>
      <c r="D243" s="160">
        <v>2220000</v>
      </c>
      <c r="E243" t="s">
        <v>282</v>
      </c>
      <c r="F243" s="21" t="s">
        <v>283</v>
      </c>
      <c r="G243" s="8" t="str">
        <f t="shared" si="3"/>
        <v>HILLS DUSTIN</v>
      </c>
    </row>
    <row r="244" spans="1:7" x14ac:dyDescent="0.25">
      <c r="A244" s="8">
        <v>42740.089398148149</v>
      </c>
      <c r="B244" t="s">
        <v>303</v>
      </c>
      <c r="C244" t="s">
        <v>407</v>
      </c>
      <c r="D244" s="160">
        <v>2680000</v>
      </c>
      <c r="E244" t="s">
        <v>360</v>
      </c>
      <c r="F244" s="21" t="s">
        <v>361</v>
      </c>
      <c r="G244" s="8" t="str">
        <f t="shared" si="3"/>
        <v>DUNCAN SHEILA</v>
      </c>
    </row>
    <row r="245" spans="1:7" x14ac:dyDescent="0.25">
      <c r="A245" s="8">
        <v>42728.111944444441</v>
      </c>
      <c r="B245" t="s">
        <v>289</v>
      </c>
      <c r="C245" t="s">
        <v>290</v>
      </c>
      <c r="D245" s="160">
        <v>2270000</v>
      </c>
      <c r="E245" t="s">
        <v>284</v>
      </c>
      <c r="F245" s="21" t="s">
        <v>285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262</v>
      </c>
      <c r="C246" t="s">
        <v>265</v>
      </c>
      <c r="D246" s="160">
        <v>2000000</v>
      </c>
      <c r="E246" t="s">
        <v>207</v>
      </c>
      <c r="F246" s="21" t="s">
        <v>239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254</v>
      </c>
      <c r="C247" t="s">
        <v>266</v>
      </c>
      <c r="D247" s="160">
        <v>1810000</v>
      </c>
      <c r="E247" t="s">
        <v>258</v>
      </c>
      <c r="F247" s="21" t="s">
        <v>239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222</v>
      </c>
      <c r="C248" t="s">
        <v>267</v>
      </c>
      <c r="D248" s="160">
        <v>2230000</v>
      </c>
      <c r="E248" t="s">
        <v>257</v>
      </c>
      <c r="F248" s="21" t="s">
        <v>248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205</v>
      </c>
      <c r="C249" t="s">
        <v>268</v>
      </c>
      <c r="D249" s="160">
        <v>1800000</v>
      </c>
      <c r="E249" t="s">
        <v>230</v>
      </c>
      <c r="F249" s="21" t="s">
        <v>242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253</v>
      </c>
      <c r="C250" t="s">
        <v>269</v>
      </c>
      <c r="D250" s="160">
        <v>1810000</v>
      </c>
      <c r="E250" t="s">
        <v>258</v>
      </c>
      <c r="F250" s="21" t="s">
        <v>239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261</v>
      </c>
      <c r="C251" t="s">
        <v>270</v>
      </c>
      <c r="D251" s="160">
        <v>2000000</v>
      </c>
      <c r="E251" t="s">
        <v>207</v>
      </c>
      <c r="F251" s="21" t="s">
        <v>239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271</v>
      </c>
      <c r="D252" s="160">
        <v>1800000</v>
      </c>
      <c r="E252" t="s">
        <v>230</v>
      </c>
      <c r="F252" s="21" t="s">
        <v>242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252</v>
      </c>
      <c r="C253" t="s">
        <v>272</v>
      </c>
      <c r="D253" s="160">
        <v>2230000</v>
      </c>
      <c r="E253" t="s">
        <v>257</v>
      </c>
      <c r="F253" s="21" t="s">
        <v>248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254</v>
      </c>
      <c r="C254" t="s">
        <v>273</v>
      </c>
      <c r="D254" s="160">
        <v>1810000</v>
      </c>
      <c r="E254" t="s">
        <v>258</v>
      </c>
      <c r="F254" s="21" t="s">
        <v>239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262</v>
      </c>
      <c r="C255" t="s">
        <v>274</v>
      </c>
      <c r="D255" s="160">
        <v>2000000</v>
      </c>
      <c r="E255" t="s">
        <v>207</v>
      </c>
      <c r="F255" s="21" t="s">
        <v>239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222</v>
      </c>
      <c r="C256" t="s">
        <v>275</v>
      </c>
      <c r="D256" s="160">
        <v>2230000</v>
      </c>
      <c r="E256" t="s">
        <v>257</v>
      </c>
      <c r="F256" s="21" t="s">
        <v>248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261</v>
      </c>
      <c r="C257" t="s">
        <v>276</v>
      </c>
      <c r="D257" s="160">
        <v>2000000</v>
      </c>
      <c r="E257" t="s">
        <v>207</v>
      </c>
      <c r="F257" s="21" t="s">
        <v>239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277</v>
      </c>
      <c r="D258" s="160">
        <v>2110000</v>
      </c>
      <c r="E258" t="s">
        <v>263</v>
      </c>
      <c r="F258" s="21" t="s">
        <v>264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277</v>
      </c>
      <c r="D259" s="160">
        <v>2110000</v>
      </c>
      <c r="E259" t="s">
        <v>263</v>
      </c>
      <c r="F259" s="21" t="s">
        <v>264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227</v>
      </c>
      <c r="C260" t="s">
        <v>233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232</v>
      </c>
      <c r="D261" s="160">
        <v>2530000</v>
      </c>
      <c r="E261" t="s">
        <v>231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234</v>
      </c>
      <c r="D262" s="160">
        <v>2600000</v>
      </c>
      <c r="E262" t="s">
        <v>228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362</v>
      </c>
      <c r="I1" s="175" t="s">
        <v>171</v>
      </c>
      <c r="J1" s="175" t="s">
        <v>172</v>
      </c>
      <c r="K1" s="175" t="s">
        <v>363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5.29</v>
      </c>
      <c r="B2" s="165">
        <v>1</v>
      </c>
      <c r="C2" s="165">
        <v>0.81</v>
      </c>
      <c r="D2" s="8">
        <v>42740</v>
      </c>
      <c r="E2" s="165">
        <v>0.81</v>
      </c>
      <c r="F2" s="165" t="s">
        <v>364</v>
      </c>
      <c r="G2" s="165">
        <v>320.97000000000003</v>
      </c>
      <c r="H2" s="165">
        <v>0.55900000000000005</v>
      </c>
      <c r="I2" s="165">
        <v>2.9399999999999999E-2</v>
      </c>
      <c r="J2" s="165">
        <v>0.56000000000000005</v>
      </c>
      <c r="K2" s="165" t="s">
        <v>364</v>
      </c>
      <c r="L2" s="165">
        <v>1022.17</v>
      </c>
      <c r="M2" s="165" t="s">
        <v>408</v>
      </c>
      <c r="N2" s="165">
        <v>5.29</v>
      </c>
      <c r="O2" s="165">
        <v>1483599600</v>
      </c>
      <c r="P2" s="165">
        <v>1</v>
      </c>
      <c r="Q2" s="165">
        <v>24</v>
      </c>
      <c r="R2" s="165">
        <v>2.67</v>
      </c>
    </row>
    <row r="3" spans="1:18" x14ac:dyDescent="0.25">
      <c r="A3" s="165">
        <v>4.8499999999999996</v>
      </c>
      <c r="B3" s="165">
        <v>1</v>
      </c>
      <c r="C3" s="165">
        <v>0.45</v>
      </c>
      <c r="D3" s="8">
        <v>42740.041666666664</v>
      </c>
      <c r="E3" s="165">
        <v>0.81</v>
      </c>
      <c r="F3" s="165" t="s">
        <v>364</v>
      </c>
      <c r="G3" s="165">
        <v>319.55</v>
      </c>
      <c r="H3" s="165">
        <v>0.64200000000000002</v>
      </c>
      <c r="I3" s="165">
        <v>3.3799999999999997E-2</v>
      </c>
      <c r="J3" s="165">
        <v>0.56999999999999995</v>
      </c>
      <c r="K3" s="165" t="s">
        <v>364</v>
      </c>
      <c r="L3" s="165">
        <v>1022.17</v>
      </c>
      <c r="M3" s="165" t="s">
        <v>409</v>
      </c>
      <c r="N3" s="165">
        <v>4.8499999999999996</v>
      </c>
      <c r="O3" s="165">
        <v>1483603200</v>
      </c>
      <c r="P3" s="165">
        <v>0.71</v>
      </c>
      <c r="Q3" s="165">
        <v>16</v>
      </c>
      <c r="R3" s="165">
        <v>2.75</v>
      </c>
    </row>
    <row r="4" spans="1:18" x14ac:dyDescent="0.25">
      <c r="A4" s="165">
        <v>4.78</v>
      </c>
      <c r="B4" s="165">
        <v>1</v>
      </c>
      <c r="C4" s="165">
        <v>0.48</v>
      </c>
      <c r="D4" s="8">
        <v>42740.083333333336</v>
      </c>
      <c r="E4" s="165">
        <v>0.82</v>
      </c>
      <c r="F4" s="165" t="s">
        <v>364</v>
      </c>
      <c r="G4" s="165">
        <v>318.13</v>
      </c>
      <c r="H4" s="165">
        <v>0.871</v>
      </c>
      <c r="I4" s="165">
        <v>4.58E-2</v>
      </c>
      <c r="J4" s="165">
        <v>0.6</v>
      </c>
      <c r="K4" s="165" t="s">
        <v>364</v>
      </c>
      <c r="L4" s="165">
        <v>1022.2</v>
      </c>
      <c r="M4" s="165" t="s">
        <v>409</v>
      </c>
      <c r="N4" s="165">
        <v>4.78</v>
      </c>
      <c r="O4" s="165">
        <v>1483606800</v>
      </c>
      <c r="P4" s="165">
        <v>0.73</v>
      </c>
      <c r="Q4" s="165">
        <v>14</v>
      </c>
      <c r="R4" s="165">
        <v>2.61</v>
      </c>
    </row>
    <row r="5" spans="1:18" x14ac:dyDescent="0.25">
      <c r="A5" s="165">
        <v>4.96</v>
      </c>
      <c r="B5" s="165">
        <v>1</v>
      </c>
      <c r="C5" s="165">
        <v>0.57999999999999996</v>
      </c>
      <c r="D5" s="8">
        <v>42740.125</v>
      </c>
      <c r="E5" s="165">
        <v>0.82</v>
      </c>
      <c r="F5" s="165" t="s">
        <v>364</v>
      </c>
      <c r="G5" s="165">
        <v>316</v>
      </c>
      <c r="H5" s="165">
        <v>0.75600000000000001</v>
      </c>
      <c r="I5" s="165">
        <v>3.9800000000000002E-2</v>
      </c>
      <c r="J5" s="165">
        <v>0.59</v>
      </c>
      <c r="K5" s="165" t="s">
        <v>364</v>
      </c>
      <c r="L5" s="165">
        <v>1022.79</v>
      </c>
      <c r="M5" s="165" t="s">
        <v>409</v>
      </c>
      <c r="N5" s="165">
        <v>4.96</v>
      </c>
      <c r="O5" s="165">
        <v>1483610400</v>
      </c>
      <c r="P5" s="165">
        <v>0.96</v>
      </c>
      <c r="Q5" s="165">
        <v>14</v>
      </c>
      <c r="R5" s="165">
        <v>2.34</v>
      </c>
    </row>
    <row r="6" spans="1:18" x14ac:dyDescent="0.25">
      <c r="A6" s="165">
        <v>4.84</v>
      </c>
      <c r="B6" s="165">
        <v>1</v>
      </c>
      <c r="C6" s="165">
        <v>0.75</v>
      </c>
      <c r="D6" s="8">
        <v>42740.166666666664</v>
      </c>
      <c r="E6" s="165">
        <v>0.83</v>
      </c>
      <c r="F6" s="165" t="s">
        <v>364</v>
      </c>
      <c r="G6" s="165">
        <v>313.76</v>
      </c>
      <c r="H6" s="165">
        <v>0.746</v>
      </c>
      <c r="I6" s="165">
        <v>3.9300000000000002E-2</v>
      </c>
      <c r="J6" s="165">
        <v>0.59</v>
      </c>
      <c r="K6" s="165" t="s">
        <v>364</v>
      </c>
      <c r="L6" s="165">
        <v>1023.59</v>
      </c>
      <c r="M6" s="165" t="s">
        <v>409</v>
      </c>
      <c r="N6" s="165">
        <v>4.84</v>
      </c>
      <c r="O6" s="165">
        <v>1483614000</v>
      </c>
      <c r="P6" s="165">
        <v>0.57999999999999996</v>
      </c>
      <c r="Q6" s="165">
        <v>25</v>
      </c>
      <c r="R6" s="165">
        <v>2.0299999999999998</v>
      </c>
    </row>
    <row r="7" spans="1:18" x14ac:dyDescent="0.25">
      <c r="A7" s="165">
        <v>4.25</v>
      </c>
      <c r="B7" s="165">
        <v>1</v>
      </c>
      <c r="C7" s="165">
        <v>0.14000000000000001</v>
      </c>
      <c r="D7" s="8">
        <v>42740.208333333336</v>
      </c>
      <c r="E7" s="165">
        <v>0.83</v>
      </c>
      <c r="F7" s="165" t="s">
        <v>364</v>
      </c>
      <c r="G7" s="165">
        <v>312.88</v>
      </c>
      <c r="H7" s="165">
        <v>0.7</v>
      </c>
      <c r="I7" s="165">
        <v>3.6799999999999999E-2</v>
      </c>
      <c r="J7" s="165">
        <v>0.57999999999999996</v>
      </c>
      <c r="K7" s="165" t="s">
        <v>364</v>
      </c>
      <c r="L7" s="165">
        <v>1024.24</v>
      </c>
      <c r="M7" s="165" t="s">
        <v>409</v>
      </c>
      <c r="N7" s="165">
        <v>4.25</v>
      </c>
      <c r="O7" s="165">
        <v>1483617600</v>
      </c>
      <c r="P7" s="165">
        <v>0.96</v>
      </c>
      <c r="Q7" s="165">
        <v>10</v>
      </c>
      <c r="R7" s="165">
        <v>2.2200000000000002</v>
      </c>
    </row>
    <row r="8" spans="1:18" x14ac:dyDescent="0.25">
      <c r="A8" s="165">
        <v>4.17</v>
      </c>
      <c r="B8" s="165">
        <v>0.69</v>
      </c>
      <c r="C8" s="165">
        <v>-0.1</v>
      </c>
      <c r="D8" s="8">
        <v>42740.25</v>
      </c>
      <c r="E8" s="165">
        <v>0.82</v>
      </c>
      <c r="F8" s="165" t="s">
        <v>364</v>
      </c>
      <c r="G8" s="165">
        <v>314.49</v>
      </c>
      <c r="H8" s="165">
        <v>0.67900000000000005</v>
      </c>
      <c r="I8" s="165">
        <v>3.5700000000000003E-2</v>
      </c>
      <c r="J8" s="165">
        <v>0.57999999999999996</v>
      </c>
      <c r="K8" s="165" t="s">
        <v>364</v>
      </c>
      <c r="L8" s="165">
        <v>1025.26</v>
      </c>
      <c r="M8" s="165" t="s">
        <v>409</v>
      </c>
      <c r="N8" s="165">
        <v>4.17</v>
      </c>
      <c r="O8" s="165">
        <v>1483621200</v>
      </c>
      <c r="P8" s="165">
        <v>1</v>
      </c>
      <c r="Q8" s="165">
        <v>9</v>
      </c>
      <c r="R8" s="165">
        <v>2.08</v>
      </c>
    </row>
    <row r="9" spans="1:18" x14ac:dyDescent="0.25">
      <c r="A9" s="165">
        <v>5.0199999999999996</v>
      </c>
      <c r="B9" s="165">
        <v>0.5</v>
      </c>
      <c r="C9" s="165">
        <v>0.87</v>
      </c>
      <c r="D9" s="8">
        <v>42740.291666666664</v>
      </c>
      <c r="E9" s="165">
        <v>0.82</v>
      </c>
      <c r="F9" s="165" t="s">
        <v>364</v>
      </c>
      <c r="G9" s="165">
        <v>317.47000000000003</v>
      </c>
      <c r="H9" s="165">
        <v>0.66800000000000004</v>
      </c>
      <c r="I9" s="165">
        <v>3.5200000000000002E-2</v>
      </c>
      <c r="J9" s="165">
        <v>0.56999999999999995</v>
      </c>
      <c r="K9" s="165" t="s">
        <v>364</v>
      </c>
      <c r="L9" s="165">
        <v>1026.23</v>
      </c>
      <c r="M9" s="165" t="s">
        <v>409</v>
      </c>
      <c r="N9" s="165">
        <v>5.0199999999999996</v>
      </c>
      <c r="O9" s="165">
        <v>1483624800</v>
      </c>
      <c r="P9" s="165">
        <v>0.73</v>
      </c>
      <c r="Q9" s="165">
        <v>39</v>
      </c>
      <c r="R9" s="165">
        <v>2.2400000000000002</v>
      </c>
    </row>
    <row r="10" spans="1:18" x14ac:dyDescent="0.25">
      <c r="A10" s="165">
        <v>4.37</v>
      </c>
      <c r="B10" s="165">
        <v>0.44</v>
      </c>
      <c r="C10" s="165">
        <v>0.38</v>
      </c>
      <c r="D10" s="8">
        <v>42740.333333333336</v>
      </c>
      <c r="E10" s="165">
        <v>0.83</v>
      </c>
      <c r="F10" s="165" t="s">
        <v>364</v>
      </c>
      <c r="G10" s="165">
        <v>319.89</v>
      </c>
      <c r="H10" s="165">
        <v>0.53700000000000003</v>
      </c>
      <c r="I10" s="165">
        <v>2.8199999999999999E-2</v>
      </c>
      <c r="J10" s="165">
        <v>0.55000000000000004</v>
      </c>
      <c r="K10" s="165" t="s">
        <v>364</v>
      </c>
      <c r="L10" s="165">
        <v>1026.76</v>
      </c>
      <c r="M10" s="165" t="s">
        <v>408</v>
      </c>
      <c r="N10" s="165">
        <v>4.37</v>
      </c>
      <c r="O10" s="165">
        <v>1483628400</v>
      </c>
      <c r="P10" s="165">
        <v>1.1599999999999999</v>
      </c>
      <c r="Q10" s="165">
        <v>49</v>
      </c>
      <c r="R10" s="165">
        <v>1.72</v>
      </c>
    </row>
    <row r="11" spans="1:18" x14ac:dyDescent="0.25">
      <c r="A11" s="165">
        <v>4.9400000000000004</v>
      </c>
      <c r="B11" s="165">
        <v>0.47</v>
      </c>
      <c r="C11" s="165">
        <v>0.63</v>
      </c>
      <c r="D11" s="8">
        <v>42740.375</v>
      </c>
      <c r="E11" s="165">
        <v>0.82</v>
      </c>
      <c r="F11" s="165" t="s">
        <v>364</v>
      </c>
      <c r="G11" s="165">
        <v>321.02</v>
      </c>
      <c r="H11" s="165">
        <v>0.434</v>
      </c>
      <c r="I11" s="165">
        <v>2.2800000000000001E-2</v>
      </c>
      <c r="J11" s="165">
        <v>0.53</v>
      </c>
      <c r="K11" s="165" t="s">
        <v>364</v>
      </c>
      <c r="L11" s="165">
        <v>1027.1400000000001</v>
      </c>
      <c r="M11" s="165" t="s">
        <v>408</v>
      </c>
      <c r="N11" s="165">
        <v>4.9400000000000004</v>
      </c>
      <c r="O11" s="165">
        <v>1483632000</v>
      </c>
      <c r="P11" s="165">
        <v>1.18</v>
      </c>
      <c r="Q11" s="165">
        <v>64</v>
      </c>
      <c r="R11" s="165">
        <v>2.02</v>
      </c>
    </row>
    <row r="12" spans="1:18" x14ac:dyDescent="0.25">
      <c r="A12" s="165">
        <v>6.72</v>
      </c>
      <c r="B12" s="165">
        <v>0.62</v>
      </c>
      <c r="C12" s="165">
        <v>2.09</v>
      </c>
      <c r="D12" s="8">
        <v>42740.416666666664</v>
      </c>
      <c r="E12" s="165">
        <v>0.81</v>
      </c>
      <c r="F12" s="165" t="s">
        <v>364</v>
      </c>
      <c r="G12" s="165">
        <v>321.58999999999997</v>
      </c>
      <c r="H12" s="165">
        <v>0.35099999999999998</v>
      </c>
      <c r="I12" s="165">
        <v>1.8499999999999999E-2</v>
      </c>
      <c r="J12" s="165">
        <v>0.5</v>
      </c>
      <c r="K12" s="165" t="s">
        <v>364</v>
      </c>
      <c r="L12" s="165">
        <v>1027.28</v>
      </c>
      <c r="M12" s="165" t="s">
        <v>408</v>
      </c>
      <c r="N12" s="165">
        <v>6.72</v>
      </c>
      <c r="O12" s="165">
        <v>1483635600</v>
      </c>
      <c r="P12" s="165">
        <v>1.2</v>
      </c>
      <c r="Q12" s="165">
        <v>68</v>
      </c>
      <c r="R12" s="165">
        <v>2.74</v>
      </c>
    </row>
    <row r="13" spans="1:18" x14ac:dyDescent="0.25">
      <c r="A13" s="165">
        <v>8.09</v>
      </c>
      <c r="B13" s="165">
        <v>0.69</v>
      </c>
      <c r="C13" s="165">
        <v>2.72</v>
      </c>
      <c r="D13" s="8">
        <v>42740.458333333336</v>
      </c>
      <c r="E13" s="165">
        <v>0.78</v>
      </c>
      <c r="F13" s="165" t="s">
        <v>364</v>
      </c>
      <c r="G13" s="165">
        <v>321.89999999999998</v>
      </c>
      <c r="H13" s="165">
        <v>0.32400000000000001</v>
      </c>
      <c r="I13" s="165">
        <v>1.7100000000000001E-2</v>
      </c>
      <c r="J13" s="165">
        <v>0.5</v>
      </c>
      <c r="K13" s="165" t="s">
        <v>364</v>
      </c>
      <c r="L13" s="165">
        <v>1027.19</v>
      </c>
      <c r="M13" s="165" t="s">
        <v>408</v>
      </c>
      <c r="N13" s="165">
        <v>8.09</v>
      </c>
      <c r="O13" s="165">
        <v>1483639200</v>
      </c>
      <c r="P13" s="165">
        <v>1.3</v>
      </c>
      <c r="Q13" s="165">
        <v>100</v>
      </c>
      <c r="R13" s="165">
        <v>2.38</v>
      </c>
    </row>
    <row r="14" spans="1:18" x14ac:dyDescent="0.25">
      <c r="A14" s="165">
        <v>9.07</v>
      </c>
      <c r="B14" s="165">
        <v>0.62</v>
      </c>
      <c r="C14" s="165">
        <v>3.53</v>
      </c>
      <c r="D14" s="8">
        <v>42740.5</v>
      </c>
      <c r="E14" s="165">
        <v>0.78</v>
      </c>
      <c r="F14" s="165" t="s">
        <v>364</v>
      </c>
      <c r="G14" s="165">
        <v>322.17</v>
      </c>
      <c r="H14" s="165">
        <v>0.27600000000000002</v>
      </c>
      <c r="I14" s="165">
        <v>1.4500000000000001E-2</v>
      </c>
      <c r="J14" s="165">
        <v>0.48</v>
      </c>
      <c r="K14" s="165" t="s">
        <v>364</v>
      </c>
      <c r="L14" s="165">
        <v>1026.83</v>
      </c>
      <c r="M14" s="165" t="s">
        <v>408</v>
      </c>
      <c r="N14" s="165">
        <v>9.07</v>
      </c>
      <c r="O14" s="165">
        <v>1483642800</v>
      </c>
      <c r="P14" s="165">
        <v>1.64</v>
      </c>
      <c r="Q14" s="165">
        <v>100</v>
      </c>
      <c r="R14" s="165">
        <v>2.25</v>
      </c>
    </row>
    <row r="15" spans="1:18" x14ac:dyDescent="0.25">
      <c r="A15" s="165">
        <v>9.92</v>
      </c>
      <c r="B15" s="165">
        <v>0.47</v>
      </c>
      <c r="C15" s="165">
        <v>4.1500000000000004</v>
      </c>
      <c r="D15" s="8">
        <v>42740.541666666664</v>
      </c>
      <c r="E15" s="165">
        <v>0.77</v>
      </c>
      <c r="F15" s="165" t="s">
        <v>364</v>
      </c>
      <c r="G15" s="165">
        <v>322.18</v>
      </c>
      <c r="H15" s="165">
        <v>0.22700000000000001</v>
      </c>
      <c r="I15" s="165">
        <v>1.2E-2</v>
      </c>
      <c r="J15" s="165">
        <v>0.46</v>
      </c>
      <c r="K15" s="165" t="s">
        <v>364</v>
      </c>
      <c r="L15" s="165">
        <v>1026.1300000000001</v>
      </c>
      <c r="M15" s="165" t="s">
        <v>408</v>
      </c>
      <c r="N15" s="165">
        <v>9.92</v>
      </c>
      <c r="O15" s="165">
        <v>1483646400</v>
      </c>
      <c r="P15" s="165">
        <v>2.11</v>
      </c>
      <c r="Q15" s="165">
        <v>105</v>
      </c>
      <c r="R15" s="165">
        <v>2.61</v>
      </c>
    </row>
    <row r="16" spans="1:18" x14ac:dyDescent="0.25">
      <c r="A16" s="165">
        <v>11.11</v>
      </c>
      <c r="B16" s="165">
        <v>0.41</v>
      </c>
      <c r="C16" s="165">
        <v>5.27</v>
      </c>
      <c r="D16" s="8">
        <v>42740.583333333336</v>
      </c>
      <c r="E16" s="165">
        <v>0.77</v>
      </c>
      <c r="F16" s="165" t="s">
        <v>364</v>
      </c>
      <c r="G16" s="165">
        <v>321.66000000000003</v>
      </c>
      <c r="H16" s="165">
        <v>0.111</v>
      </c>
      <c r="I16" s="165">
        <v>5.8999999999999999E-3</v>
      </c>
      <c r="J16" s="165">
        <v>0.24</v>
      </c>
      <c r="K16" s="165" t="s">
        <v>364</v>
      </c>
      <c r="L16" s="165">
        <v>1025.6300000000001</v>
      </c>
      <c r="M16" s="165" t="s">
        <v>366</v>
      </c>
      <c r="N16" s="165">
        <v>11.11</v>
      </c>
      <c r="O16" s="165">
        <v>1483650000</v>
      </c>
      <c r="P16" s="165">
        <v>2.89</v>
      </c>
      <c r="Q16" s="165">
        <v>117</v>
      </c>
      <c r="R16" s="165">
        <v>2.38</v>
      </c>
    </row>
    <row r="17" spans="1:18" x14ac:dyDescent="0.25">
      <c r="A17" s="165">
        <v>9.65</v>
      </c>
      <c r="B17" s="165">
        <v>0.48</v>
      </c>
      <c r="C17" s="165">
        <v>4.04</v>
      </c>
      <c r="D17" s="8">
        <v>42740.625</v>
      </c>
      <c r="E17" s="165">
        <v>0.77</v>
      </c>
      <c r="F17" s="165" t="s">
        <v>364</v>
      </c>
      <c r="G17" s="165">
        <v>319.91000000000003</v>
      </c>
      <c r="H17" s="165">
        <v>0.13100000000000001</v>
      </c>
      <c r="I17" s="165">
        <v>6.8999999999999999E-3</v>
      </c>
      <c r="J17" s="165">
        <v>0.28999999999999998</v>
      </c>
      <c r="K17" s="165" t="s">
        <v>364</v>
      </c>
      <c r="L17" s="165">
        <v>1026</v>
      </c>
      <c r="M17" s="165" t="s">
        <v>366</v>
      </c>
      <c r="N17" s="165">
        <v>9.65</v>
      </c>
      <c r="O17" s="165">
        <v>1483653600</v>
      </c>
      <c r="P17" s="165">
        <v>2.87</v>
      </c>
      <c r="Q17" s="165">
        <v>59</v>
      </c>
      <c r="R17" s="165">
        <v>1.67</v>
      </c>
    </row>
    <row r="18" spans="1:18" x14ac:dyDescent="0.25">
      <c r="A18" s="165">
        <v>8.5399999999999991</v>
      </c>
      <c r="B18" s="165">
        <v>0.65</v>
      </c>
      <c r="C18" s="165">
        <v>3.2</v>
      </c>
      <c r="D18" s="8">
        <v>42740.666666666664</v>
      </c>
      <c r="E18" s="165">
        <v>0.78</v>
      </c>
      <c r="F18" s="165" t="s">
        <v>364</v>
      </c>
      <c r="G18" s="165">
        <v>317.63</v>
      </c>
      <c r="H18" s="165">
        <v>0.10100000000000001</v>
      </c>
      <c r="I18" s="165">
        <v>5.3E-3</v>
      </c>
      <c r="J18" s="165">
        <v>0.21</v>
      </c>
      <c r="K18" s="165" t="s">
        <v>364</v>
      </c>
      <c r="L18" s="165">
        <v>1026.8499999999999</v>
      </c>
      <c r="M18" s="165" t="s">
        <v>366</v>
      </c>
      <c r="N18" s="165">
        <v>8.5399999999999991</v>
      </c>
      <c r="O18" s="165">
        <v>1483657200</v>
      </c>
      <c r="P18" s="165">
        <v>2.5499999999999998</v>
      </c>
      <c r="Q18" s="165">
        <v>31</v>
      </c>
      <c r="R18" s="165">
        <v>1.2</v>
      </c>
    </row>
    <row r="19" spans="1:18" x14ac:dyDescent="0.25">
      <c r="A19" s="165">
        <v>8.11</v>
      </c>
      <c r="B19" s="165">
        <v>0.82</v>
      </c>
      <c r="C19" s="165">
        <v>3.18</v>
      </c>
      <c r="D19" s="8">
        <v>42740.708333333336</v>
      </c>
      <c r="E19" s="165">
        <v>0.8</v>
      </c>
      <c r="F19" s="165" t="s">
        <v>364</v>
      </c>
      <c r="G19" s="165">
        <v>316.66000000000003</v>
      </c>
      <c r="H19" s="165">
        <v>8.7999999999999995E-2</v>
      </c>
      <c r="I19" s="165">
        <v>4.5999999999999999E-3</v>
      </c>
      <c r="J19" s="165">
        <v>0.17</v>
      </c>
      <c r="K19" s="165" t="s">
        <v>364</v>
      </c>
      <c r="L19" s="165">
        <v>1027.52</v>
      </c>
      <c r="M19" s="165" t="s">
        <v>366</v>
      </c>
      <c r="N19" s="165">
        <v>8.11</v>
      </c>
      <c r="O19" s="165">
        <v>1483660800</v>
      </c>
      <c r="P19" s="165">
        <v>2.63</v>
      </c>
      <c r="Q19" s="165">
        <v>15</v>
      </c>
      <c r="R19" s="165">
        <v>1.31</v>
      </c>
    </row>
    <row r="20" spans="1:18" x14ac:dyDescent="0.25">
      <c r="A20" s="165">
        <v>6.56</v>
      </c>
      <c r="B20" s="165">
        <v>0.89</v>
      </c>
      <c r="C20" s="165">
        <v>1.96</v>
      </c>
      <c r="D20" s="8">
        <v>42740.75</v>
      </c>
      <c r="E20" s="165">
        <v>0.81</v>
      </c>
      <c r="F20" s="165" t="s">
        <v>364</v>
      </c>
      <c r="G20" s="165">
        <v>318.01</v>
      </c>
      <c r="H20" s="165">
        <v>4.2000000000000003E-2</v>
      </c>
      <c r="I20" s="165">
        <v>2.2000000000000001E-3</v>
      </c>
      <c r="J20" s="165">
        <v>0.06</v>
      </c>
      <c r="K20" s="165" t="s">
        <v>364</v>
      </c>
      <c r="L20" s="165">
        <v>1028.06</v>
      </c>
      <c r="M20" s="165" t="s">
        <v>366</v>
      </c>
      <c r="N20" s="165">
        <v>6.56</v>
      </c>
      <c r="O20" s="165">
        <v>1483664400</v>
      </c>
      <c r="P20" s="165">
        <v>3.28</v>
      </c>
      <c r="Q20" s="165">
        <v>5</v>
      </c>
      <c r="R20" s="165">
        <v>1.1299999999999999</v>
      </c>
    </row>
    <row r="21" spans="1:18" x14ac:dyDescent="0.25">
      <c r="A21" s="165">
        <v>6.64</v>
      </c>
      <c r="B21" s="165">
        <v>0.76</v>
      </c>
      <c r="C21" s="165">
        <v>2.09</v>
      </c>
      <c r="D21" s="8">
        <v>42740.791666666664</v>
      </c>
      <c r="E21" s="165">
        <v>0.81</v>
      </c>
      <c r="F21" s="165" t="s">
        <v>364</v>
      </c>
      <c r="G21" s="165">
        <v>320.67</v>
      </c>
      <c r="H21" s="165">
        <v>0.05</v>
      </c>
      <c r="I21" s="165">
        <v>2.5999999999999999E-3</v>
      </c>
      <c r="J21" s="165">
        <v>7.0000000000000007E-2</v>
      </c>
      <c r="K21" s="165" t="s">
        <v>364</v>
      </c>
      <c r="L21" s="165">
        <v>1028.25</v>
      </c>
      <c r="M21" s="165" t="s">
        <v>366</v>
      </c>
      <c r="N21" s="165">
        <v>6.64</v>
      </c>
      <c r="O21" s="165">
        <v>1483668000</v>
      </c>
      <c r="P21" s="165">
        <v>3.08</v>
      </c>
      <c r="Q21" s="165">
        <v>262</v>
      </c>
      <c r="R21" s="165">
        <v>0.17</v>
      </c>
    </row>
    <row r="22" spans="1:18" x14ac:dyDescent="0.25">
      <c r="A22" s="165">
        <v>6.92</v>
      </c>
      <c r="B22" s="165">
        <v>0.69</v>
      </c>
      <c r="C22" s="165">
        <v>2.58</v>
      </c>
      <c r="D22" s="8">
        <v>42740.833333333336</v>
      </c>
      <c r="E22" s="165">
        <v>0.82</v>
      </c>
      <c r="F22" s="165" t="s">
        <v>364</v>
      </c>
      <c r="G22" s="165">
        <v>323.37</v>
      </c>
      <c r="H22" s="165">
        <v>1.7999999999999999E-2</v>
      </c>
      <c r="I22" s="165">
        <v>1E-3</v>
      </c>
      <c r="J22" s="165">
        <v>0.01</v>
      </c>
      <c r="K22" s="165" t="s">
        <v>364</v>
      </c>
      <c r="L22" s="165">
        <v>1028.19</v>
      </c>
      <c r="M22" s="165" t="s">
        <v>365</v>
      </c>
      <c r="N22" s="165">
        <v>6.92</v>
      </c>
      <c r="O22" s="165">
        <v>1483671600</v>
      </c>
      <c r="P22" s="165">
        <v>4.5199999999999996</v>
      </c>
      <c r="Q22" s="165">
        <v>190</v>
      </c>
      <c r="R22" s="165">
        <v>0.75</v>
      </c>
    </row>
    <row r="23" spans="1:18" x14ac:dyDescent="0.25">
      <c r="A23" s="165">
        <v>7.34</v>
      </c>
      <c r="B23" s="165">
        <v>0.77</v>
      </c>
      <c r="C23" s="165">
        <v>2.85</v>
      </c>
      <c r="D23" s="8">
        <v>42740.875</v>
      </c>
      <c r="E23" s="165">
        <v>0.81</v>
      </c>
      <c r="F23" s="165" t="s">
        <v>235</v>
      </c>
      <c r="G23" s="165">
        <v>325.69</v>
      </c>
      <c r="H23" s="165"/>
      <c r="I23" s="165">
        <v>0</v>
      </c>
      <c r="J23" s="165">
        <v>0</v>
      </c>
      <c r="K23" s="165"/>
      <c r="L23" s="165">
        <v>1027.78</v>
      </c>
      <c r="M23" s="165" t="s">
        <v>696</v>
      </c>
      <c r="N23" s="165">
        <v>7.34</v>
      </c>
      <c r="O23" s="165">
        <v>1483675200</v>
      </c>
      <c r="P23" s="165">
        <v>3.82</v>
      </c>
      <c r="Q23" s="165">
        <v>231</v>
      </c>
      <c r="R23" s="165">
        <v>1.1399999999999999</v>
      </c>
    </row>
    <row r="24" spans="1:18" x14ac:dyDescent="0.25">
      <c r="A24" s="165">
        <v>6.87</v>
      </c>
      <c r="B24" s="165">
        <v>0.82</v>
      </c>
      <c r="C24" s="165">
        <v>2.59</v>
      </c>
      <c r="D24" s="8">
        <v>42740.916666666664</v>
      </c>
      <c r="E24" s="165">
        <v>0.82</v>
      </c>
      <c r="F24" s="165" t="s">
        <v>235</v>
      </c>
      <c r="G24" s="165">
        <v>328.06</v>
      </c>
      <c r="H24" s="165"/>
      <c r="I24" s="165">
        <v>0</v>
      </c>
      <c r="J24" s="165">
        <v>0</v>
      </c>
      <c r="K24" s="165"/>
      <c r="L24" s="165">
        <v>1027.17</v>
      </c>
      <c r="M24" s="165" t="s">
        <v>696</v>
      </c>
      <c r="N24" s="165">
        <v>6.87</v>
      </c>
      <c r="O24" s="165">
        <v>1483678800</v>
      </c>
      <c r="P24" s="165">
        <v>7.27</v>
      </c>
      <c r="Q24" s="165">
        <v>211</v>
      </c>
      <c r="R24" s="165">
        <v>0.38</v>
      </c>
    </row>
    <row r="25" spans="1:18" x14ac:dyDescent="0.25">
      <c r="A25" s="165">
        <v>7.2</v>
      </c>
      <c r="B25" s="165">
        <v>0.83</v>
      </c>
      <c r="C25" s="165">
        <v>3</v>
      </c>
      <c r="D25" s="8">
        <v>42740.958333333336</v>
      </c>
      <c r="E25" s="165">
        <v>0.82</v>
      </c>
      <c r="F25" s="165" t="s">
        <v>235</v>
      </c>
      <c r="G25" s="165">
        <v>330.54</v>
      </c>
      <c r="H25" s="165"/>
      <c r="I25" s="165">
        <v>0</v>
      </c>
      <c r="J25" s="165">
        <v>0</v>
      </c>
      <c r="K25" s="165"/>
      <c r="L25" s="165">
        <v>1026.8499999999999</v>
      </c>
      <c r="M25" s="165" t="s">
        <v>696</v>
      </c>
      <c r="N25" s="165">
        <v>7.2</v>
      </c>
      <c r="O25" s="165">
        <v>1483682400</v>
      </c>
      <c r="P25" s="165">
        <v>3.51</v>
      </c>
      <c r="Q25" s="165">
        <v>179</v>
      </c>
      <c r="R25" s="165">
        <v>1.69</v>
      </c>
    </row>
    <row r="26" spans="1:18" x14ac:dyDescent="0.25">
      <c r="A26" s="165">
        <v>5.88</v>
      </c>
      <c r="B26" s="165">
        <v>0.81</v>
      </c>
      <c r="C26" s="165">
        <v>1.56</v>
      </c>
      <c r="D26" s="8">
        <v>42741</v>
      </c>
      <c r="E26" s="165">
        <v>0.82</v>
      </c>
      <c r="F26" s="165" t="s">
        <v>235</v>
      </c>
      <c r="G26" s="165">
        <v>333.26</v>
      </c>
      <c r="H26" s="165"/>
      <c r="I26" s="165">
        <v>0</v>
      </c>
      <c r="J26" s="165">
        <v>0</v>
      </c>
      <c r="K26" s="165"/>
      <c r="L26" s="165">
        <v>1027.24</v>
      </c>
      <c r="M26" s="165" t="s">
        <v>696</v>
      </c>
      <c r="N26" s="165">
        <v>5.88</v>
      </c>
      <c r="O26" s="165">
        <v>1483686000</v>
      </c>
      <c r="P26" s="165">
        <v>3.5</v>
      </c>
      <c r="Q26" s="165">
        <v>306</v>
      </c>
      <c r="R26" s="165">
        <v>0.64</v>
      </c>
    </row>
    <row r="27" spans="1:18" x14ac:dyDescent="0.25">
      <c r="A27" s="165">
        <v>4.72</v>
      </c>
      <c r="B27" s="165">
        <v>0.8</v>
      </c>
      <c r="C27" s="165">
        <v>0.62</v>
      </c>
      <c r="D27" s="8">
        <v>42741.041666666664</v>
      </c>
      <c r="E27" s="165">
        <v>0.83</v>
      </c>
      <c r="F27" s="165" t="s">
        <v>235</v>
      </c>
      <c r="G27" s="165">
        <v>335.97</v>
      </c>
      <c r="H27" s="165"/>
      <c r="I27" s="165">
        <v>0</v>
      </c>
      <c r="J27" s="165">
        <v>0</v>
      </c>
      <c r="K27" s="165"/>
      <c r="L27" s="165">
        <v>1027.5899999999999</v>
      </c>
      <c r="M27" s="165" t="s">
        <v>696</v>
      </c>
      <c r="N27" s="165">
        <v>4.72</v>
      </c>
      <c r="O27" s="165">
        <v>1483689600</v>
      </c>
      <c r="P27" s="165">
        <v>3.35</v>
      </c>
      <c r="Q27" s="165">
        <v>241</v>
      </c>
      <c r="R27" s="165">
        <v>0.93</v>
      </c>
    </row>
    <row r="28" spans="1:18" x14ac:dyDescent="0.25">
      <c r="A28" s="165">
        <v>4.93</v>
      </c>
      <c r="B28" s="165">
        <v>0.8</v>
      </c>
      <c r="C28" s="165">
        <v>0.45</v>
      </c>
      <c r="D28" s="8">
        <v>42741.083333333336</v>
      </c>
      <c r="E28" s="165">
        <v>0.81</v>
      </c>
      <c r="F28" s="165" t="s">
        <v>235</v>
      </c>
      <c r="G28" s="165">
        <v>338.68</v>
      </c>
      <c r="H28" s="165"/>
      <c r="I28" s="165">
        <v>0</v>
      </c>
      <c r="J28" s="165">
        <v>0</v>
      </c>
      <c r="K28" s="165"/>
      <c r="L28" s="165">
        <v>1027.93</v>
      </c>
      <c r="M28" s="165" t="s">
        <v>696</v>
      </c>
      <c r="N28" s="165">
        <v>4.93</v>
      </c>
      <c r="O28" s="165">
        <v>1483693200</v>
      </c>
      <c r="P28" s="165">
        <v>2.62</v>
      </c>
      <c r="Q28" s="165">
        <v>321</v>
      </c>
      <c r="R28" s="165">
        <v>1.22</v>
      </c>
    </row>
    <row r="29" spans="1:18" x14ac:dyDescent="0.25">
      <c r="A29" s="165">
        <v>1.9</v>
      </c>
      <c r="B29" s="165">
        <v>0.76</v>
      </c>
      <c r="C29" s="165">
        <v>-2.83</v>
      </c>
      <c r="D29" s="8">
        <v>42741.125</v>
      </c>
      <c r="E29" s="165">
        <v>0.8</v>
      </c>
      <c r="F29" s="165" t="s">
        <v>235</v>
      </c>
      <c r="G29" s="165">
        <v>341.28</v>
      </c>
      <c r="H29" s="165"/>
      <c r="I29" s="165">
        <v>0</v>
      </c>
      <c r="J29" s="165">
        <v>0</v>
      </c>
      <c r="K29" s="165"/>
      <c r="L29" s="165">
        <v>1028.18</v>
      </c>
      <c r="M29" s="165" t="s">
        <v>696</v>
      </c>
      <c r="N29" s="165">
        <v>1.9</v>
      </c>
      <c r="O29" s="165">
        <v>1483696800</v>
      </c>
      <c r="P29" s="165">
        <v>5.05</v>
      </c>
      <c r="Q29" s="165">
        <v>259</v>
      </c>
      <c r="R29" s="165">
        <v>1.78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5"/>
  <sheetViews>
    <sheetView workbookViewId="0">
      <selection activeCell="Q7" sqref="Q7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42740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872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460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873</v>
      </c>
      <c r="J20" s="165" t="s">
        <v>87</v>
      </c>
      <c r="M20" s="165" t="s">
        <v>313</v>
      </c>
    </row>
    <row r="21" spans="3:13" x14ac:dyDescent="0.25">
      <c r="C21" t="s">
        <v>874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875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876</v>
      </c>
      <c r="J23" s="188" t="s">
        <v>95</v>
      </c>
      <c r="M23" s="165">
        <v>-7</v>
      </c>
    </row>
    <row r="24" spans="3:13" x14ac:dyDescent="0.25">
      <c r="C24" t="s">
        <v>877</v>
      </c>
      <c r="J24" s="165" t="s">
        <v>108</v>
      </c>
      <c r="M24" s="165" t="s">
        <v>110</v>
      </c>
    </row>
    <row r="25" spans="3:13" x14ac:dyDescent="0.25">
      <c r="C25" t="s">
        <v>459</v>
      </c>
      <c r="J25" s="165" t="s">
        <v>151</v>
      </c>
      <c r="M25" s="165" t="b">
        <v>1</v>
      </c>
    </row>
    <row r="26" spans="3:13" x14ac:dyDescent="0.25">
      <c r="C26" t="s">
        <v>878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C:\Users\stu\Documents\GitHub\eaglep3-reporting\EC\2017-01-05-refined-times.txt</v>
      </c>
    </row>
    <row r="27" spans="3:13" x14ac:dyDescent="0.25">
      <c r="C27" t="s">
        <v>458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C:\Users\stu\Documents\GitHub\eaglep3-reporting\EC\2017-01-05-Enforcements.txt</v>
      </c>
    </row>
    <row r="28" spans="3:13" x14ac:dyDescent="0.25">
      <c r="C28" t="s">
        <v>879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C:\Users\stu\Documents\GitHub\eaglep3-reporting\EC\2017-01-05-Runs-refined.txt</v>
      </c>
    </row>
    <row r="29" spans="3:13" x14ac:dyDescent="0.25">
      <c r="C29" t="s">
        <v>880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C:\Users\stu\Documents\GitHub\eaglep3-reporting\EC\2017-01-05-Trips.txt</v>
      </c>
    </row>
    <row r="30" spans="3:13" x14ac:dyDescent="0.25">
      <c r="C30" t="s">
        <v>881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C:\Users\stu\Documents\GitHub\eaglep3-reporting\EC\2017-01-05-Weather.txt</v>
      </c>
    </row>
    <row r="31" spans="3:13" x14ac:dyDescent="0.25">
      <c r="C31" t="s">
        <v>456</v>
      </c>
      <c r="J31" s="165" t="s">
        <v>311</v>
      </c>
      <c r="M31" s="165" t="s">
        <v>312</v>
      </c>
    </row>
    <row r="32" spans="3:13" x14ac:dyDescent="0.25">
      <c r="C32" t="s">
        <v>882</v>
      </c>
    </row>
    <row r="33" spans="3:3" x14ac:dyDescent="0.25">
      <c r="C33" t="s">
        <v>455</v>
      </c>
    </row>
    <row r="34" spans="3:3" x14ac:dyDescent="0.25">
      <c r="C34" t="s">
        <v>883</v>
      </c>
    </row>
    <row r="35" spans="3:3" x14ac:dyDescent="0.25">
      <c r="C35" t="s">
        <v>884</v>
      </c>
    </row>
    <row r="36" spans="3:3" x14ac:dyDescent="0.25">
      <c r="C36" t="s">
        <v>885</v>
      </c>
    </row>
    <row r="37" spans="3:3" x14ac:dyDescent="0.25">
      <c r="C37" t="s">
        <v>886</v>
      </c>
    </row>
    <row r="38" spans="3:3" x14ac:dyDescent="0.25">
      <c r="C38" t="s">
        <v>887</v>
      </c>
    </row>
    <row r="39" spans="3:3" x14ac:dyDescent="0.25">
      <c r="C39" t="s">
        <v>888</v>
      </c>
    </row>
    <row r="40" spans="3:3" x14ac:dyDescent="0.25">
      <c r="C40" t="s">
        <v>889</v>
      </c>
    </row>
    <row r="41" spans="3:3" x14ac:dyDescent="0.25">
      <c r="C41" t="s">
        <v>890</v>
      </c>
    </row>
    <row r="42" spans="3:3" x14ac:dyDescent="0.25">
      <c r="C42" t="s">
        <v>891</v>
      </c>
    </row>
    <row r="43" spans="3:3" x14ac:dyDescent="0.25">
      <c r="C43" t="s">
        <v>457</v>
      </c>
    </row>
    <row r="44" spans="3:3" x14ac:dyDescent="0.25">
      <c r="C44" t="s">
        <v>892</v>
      </c>
    </row>
    <row r="45" spans="3:3" x14ac:dyDescent="0.25">
      <c r="C45" t="s">
        <v>893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A58" sqref="A58:XFD91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909</v>
      </c>
      <c r="B1" t="str">
        <f t="shared" ref="B1:B52" si="0">MID(A1,6,23)</f>
        <v>2017/01/05 13:20:54.918</v>
      </c>
      <c r="C1" t="e">
        <f>ABS(B1-#REF!)</f>
        <v>#REF!</v>
      </c>
    </row>
    <row r="2" spans="1:3" x14ac:dyDescent="0.25">
      <c r="A2" t="s">
        <v>910</v>
      </c>
      <c r="B2" s="21" t="str">
        <f t="shared" si="0"/>
        <v>2017/01/05 13:20:55.031</v>
      </c>
      <c r="C2">
        <f>ABS(B2-B1)</f>
        <v>1.3078679330646992E-6</v>
      </c>
    </row>
    <row r="3" spans="1:3" x14ac:dyDescent="0.25">
      <c r="A3" t="s">
        <v>911</v>
      </c>
      <c r="B3" s="21" t="str">
        <f t="shared" si="0"/>
        <v>2017/01/05 14:11:03.004</v>
      </c>
      <c r="C3" s="21">
        <f t="shared" ref="C3:C52" si="1">ABS(B3-B2)</f>
        <v>3.4814502316294238E-2</v>
      </c>
    </row>
    <row r="4" spans="1:3" x14ac:dyDescent="0.25">
      <c r="A4" t="s">
        <v>912</v>
      </c>
      <c r="B4" s="21" t="str">
        <f t="shared" si="0"/>
        <v>2017/01/05 14:11:03.118</v>
      </c>
      <c r="C4" s="21">
        <f t="shared" si="1"/>
        <v>1.319443981628865E-6</v>
      </c>
    </row>
    <row r="5" spans="1:3" x14ac:dyDescent="0.25">
      <c r="A5" t="s">
        <v>913</v>
      </c>
      <c r="B5" s="21" t="str">
        <f t="shared" si="0"/>
        <v>2017/01/05 14:11:03.856</v>
      </c>
      <c r="C5" s="21">
        <f t="shared" si="1"/>
        <v>8.5416686488315463E-6</v>
      </c>
    </row>
    <row r="6" spans="1:3" x14ac:dyDescent="0.25">
      <c r="A6" t="s">
        <v>914</v>
      </c>
      <c r="B6" s="21" t="str">
        <f t="shared" si="0"/>
        <v>2017/01/05 14:12:31.116</v>
      </c>
      <c r="C6" s="21">
        <f t="shared" si="1"/>
        <v>1.0099537030328065E-3</v>
      </c>
    </row>
    <row r="7" spans="1:3" x14ac:dyDescent="0.25">
      <c r="A7" t="s">
        <v>915</v>
      </c>
      <c r="B7" s="21" t="str">
        <f t="shared" si="0"/>
        <v>2017/01/05 14:12:31.857</v>
      </c>
      <c r="C7" s="21">
        <f t="shared" si="1"/>
        <v>8.5763895185664296E-6</v>
      </c>
    </row>
    <row r="8" spans="1:3" x14ac:dyDescent="0.25">
      <c r="A8" t="s">
        <v>916</v>
      </c>
      <c r="B8" s="21" t="str">
        <f t="shared" si="0"/>
        <v>2017/01/05 14:13:05.119</v>
      </c>
      <c r="C8" s="21">
        <f t="shared" si="1"/>
        <v>3.8497684727190062E-4</v>
      </c>
    </row>
    <row r="9" spans="1:3" x14ac:dyDescent="0.25">
      <c r="A9" t="s">
        <v>917</v>
      </c>
      <c r="B9" s="21" t="str">
        <f t="shared" si="0"/>
        <v>2017/01/05 14:13:05.865</v>
      </c>
      <c r="C9" s="21">
        <f t="shared" si="1"/>
        <v>8.6342624854296446E-6</v>
      </c>
    </row>
    <row r="10" spans="1:3" x14ac:dyDescent="0.25">
      <c r="A10" t="s">
        <v>918</v>
      </c>
      <c r="B10" s="21" t="str">
        <f t="shared" si="0"/>
        <v>2017/01/05 15:25:38.927</v>
      </c>
      <c r="C10" s="21">
        <f t="shared" si="1"/>
        <v>5.0382662040647119E-2</v>
      </c>
    </row>
    <row r="11" spans="1:3" x14ac:dyDescent="0.25">
      <c r="A11" t="s">
        <v>919</v>
      </c>
      <c r="B11" s="21" t="str">
        <f t="shared" si="0"/>
        <v>2017/01/05 15:25:39.036</v>
      </c>
      <c r="C11" s="21">
        <f t="shared" si="1"/>
        <v>1.26157101476565E-6</v>
      </c>
    </row>
    <row r="12" spans="1:3" x14ac:dyDescent="0.25">
      <c r="A12" t="s">
        <v>920</v>
      </c>
      <c r="B12" s="21" t="str">
        <f t="shared" si="0"/>
        <v>2017/01/05 15:25:39.300</v>
      </c>
      <c r="C12" s="21">
        <f t="shared" si="1"/>
        <v>3.0555529519915581E-6</v>
      </c>
    </row>
    <row r="13" spans="1:3" x14ac:dyDescent="0.25">
      <c r="A13" t="s">
        <v>921</v>
      </c>
      <c r="B13" s="21" t="str">
        <f t="shared" si="0"/>
        <v>2017/01/05 15:35:02.170</v>
      </c>
      <c r="C13" s="21">
        <f t="shared" si="1"/>
        <v>6.5146990746143274E-3</v>
      </c>
    </row>
    <row r="14" spans="1:3" x14ac:dyDescent="0.25">
      <c r="A14" t="s">
        <v>922</v>
      </c>
      <c r="B14" s="21" t="str">
        <f t="shared" si="0"/>
        <v>2017/01/05 15:35:02.858</v>
      </c>
      <c r="C14" s="21">
        <f t="shared" si="1"/>
        <v>7.9629680840298533E-6</v>
      </c>
    </row>
    <row r="15" spans="1:3" x14ac:dyDescent="0.25">
      <c r="A15" t="s">
        <v>923</v>
      </c>
      <c r="B15" s="21" t="str">
        <f t="shared" si="0"/>
        <v>2017/01/05 15:35:02.925</v>
      </c>
      <c r="C15" s="21">
        <f t="shared" si="1"/>
        <v>7.7545701060444117E-7</v>
      </c>
    </row>
    <row r="16" spans="1:3" x14ac:dyDescent="0.25">
      <c r="A16" t="s">
        <v>924</v>
      </c>
      <c r="B16" s="21" t="str">
        <f t="shared" si="0"/>
        <v>2017/01/05 17:25:28.858</v>
      </c>
      <c r="C16" s="21">
        <f t="shared" si="1"/>
        <v>7.668903935700655E-2</v>
      </c>
    </row>
    <row r="17" spans="1:3" x14ac:dyDescent="0.25">
      <c r="A17" t="s">
        <v>925</v>
      </c>
      <c r="B17" s="21" t="str">
        <f t="shared" si="0"/>
        <v>2017/01/05 17:25:29.371</v>
      </c>
      <c r="C17" s="21">
        <f t="shared" si="1"/>
        <v>5.9374942793510854E-6</v>
      </c>
    </row>
    <row r="18" spans="1:3" x14ac:dyDescent="0.25">
      <c r="A18" t="s">
        <v>926</v>
      </c>
      <c r="B18" s="21" t="str">
        <f t="shared" si="0"/>
        <v>2017/01/05 17:25:29.430</v>
      </c>
      <c r="C18" s="21">
        <f t="shared" si="1"/>
        <v>6.8287044996395707E-7</v>
      </c>
    </row>
    <row r="19" spans="1:3" x14ac:dyDescent="0.25">
      <c r="A19" t="s">
        <v>927</v>
      </c>
      <c r="B19" s="21" t="str">
        <f t="shared" si="0"/>
        <v>2017/01/05 17:35:48.160</v>
      </c>
      <c r="C19" s="21">
        <f t="shared" si="1"/>
        <v>7.1612268584431149E-3</v>
      </c>
    </row>
    <row r="20" spans="1:3" x14ac:dyDescent="0.25">
      <c r="A20" t="s">
        <v>928</v>
      </c>
      <c r="B20" s="21" t="str">
        <f t="shared" si="0"/>
        <v>2017/01/05 17:35:48.855</v>
      </c>
      <c r="C20" s="21">
        <f t="shared" si="1"/>
        <v>8.0439785961061716E-6</v>
      </c>
    </row>
    <row r="21" spans="1:3" x14ac:dyDescent="0.25">
      <c r="A21" t="s">
        <v>929</v>
      </c>
      <c r="B21" s="21" t="str">
        <f t="shared" si="0"/>
        <v>2017/01/05 17:35:48.925</v>
      </c>
      <c r="C21" s="21">
        <f t="shared" si="1"/>
        <v>8.1018515629693866E-7</v>
      </c>
    </row>
    <row r="22" spans="1:3" x14ac:dyDescent="0.25">
      <c r="A22" t="s">
        <v>930</v>
      </c>
      <c r="B22" s="21" t="str">
        <f t="shared" si="0"/>
        <v>2017/01/05 18:56:53.974</v>
      </c>
      <c r="C22" s="21">
        <f t="shared" si="1"/>
        <v>5.6308437502593733E-2</v>
      </c>
    </row>
    <row r="23" spans="1:3" x14ac:dyDescent="0.25">
      <c r="A23" t="s">
        <v>931</v>
      </c>
      <c r="B23" s="21" t="str">
        <f t="shared" si="0"/>
        <v>2017/01/05 18:56:54.238</v>
      </c>
      <c r="C23" s="21">
        <f t="shared" si="1"/>
        <v>3.0555529519915581E-6</v>
      </c>
    </row>
    <row r="24" spans="1:3" x14ac:dyDescent="0.25">
      <c r="A24" t="s">
        <v>932</v>
      </c>
      <c r="B24" s="21" t="str">
        <f t="shared" si="0"/>
        <v>2017/01/05 18:56:54.379</v>
      </c>
      <c r="C24" s="21">
        <f t="shared" si="1"/>
        <v>1.6319463611580431E-6</v>
      </c>
    </row>
    <row r="25" spans="1:3" x14ac:dyDescent="0.25">
      <c r="A25" t="s">
        <v>933</v>
      </c>
      <c r="B25" s="21" t="str">
        <f t="shared" si="0"/>
        <v>2017/01/05 19:26:02.941</v>
      </c>
      <c r="C25" s="21">
        <f t="shared" si="1"/>
        <v>2.0237986107531469E-2</v>
      </c>
    </row>
    <row r="26" spans="1:3" x14ac:dyDescent="0.25">
      <c r="A26" t="s">
        <v>934</v>
      </c>
      <c r="B26" s="21" t="str">
        <f t="shared" si="0"/>
        <v>2017/01/05 19:26:03.870</v>
      </c>
      <c r="C26" s="21">
        <f t="shared" si="1"/>
        <v>1.0752315574791282E-5</v>
      </c>
    </row>
    <row r="27" spans="1:3" x14ac:dyDescent="0.25">
      <c r="A27" t="s">
        <v>935</v>
      </c>
      <c r="B27" s="21" t="str">
        <f t="shared" si="0"/>
        <v>2017/01/05 19:26:04.184</v>
      </c>
      <c r="C27" s="21">
        <f t="shared" si="1"/>
        <v>3.6342607927508652E-6</v>
      </c>
    </row>
    <row r="28" spans="1:3" x14ac:dyDescent="0.25">
      <c r="A28" t="s">
        <v>936</v>
      </c>
      <c r="B28" s="21" t="str">
        <f t="shared" si="0"/>
        <v>2017/01/05 21:35:49.173</v>
      </c>
      <c r="C28" s="21">
        <f t="shared" si="1"/>
        <v>9.0104039350990206E-2</v>
      </c>
    </row>
    <row r="29" spans="1:3" x14ac:dyDescent="0.25">
      <c r="A29" t="s">
        <v>937</v>
      </c>
      <c r="B29" s="21" t="str">
        <f t="shared" si="0"/>
        <v>2017/01/05 21:35:49.859</v>
      </c>
      <c r="C29" s="21">
        <f t="shared" si="1"/>
        <v>7.9398159869015217E-6</v>
      </c>
    </row>
    <row r="30" spans="1:3" x14ac:dyDescent="0.25">
      <c r="A30" t="s">
        <v>938</v>
      </c>
      <c r="B30" s="21" t="str">
        <f t="shared" si="0"/>
        <v>2017/01/05 21:35:49.922</v>
      </c>
      <c r="C30" s="21">
        <f t="shared" si="1"/>
        <v>7.2916736826300621E-7</v>
      </c>
    </row>
    <row r="31" spans="1:3" x14ac:dyDescent="0.25">
      <c r="A31" t="s">
        <v>939</v>
      </c>
      <c r="B31" s="21" t="str">
        <f t="shared" si="0"/>
        <v>2017/01/05 21:36:50.858</v>
      </c>
      <c r="C31" s="21">
        <f t="shared" si="1"/>
        <v>7.052777727949433E-4</v>
      </c>
    </row>
    <row r="32" spans="1:3" x14ac:dyDescent="0.25">
      <c r="A32" t="s">
        <v>940</v>
      </c>
      <c r="B32" s="21" t="str">
        <f t="shared" si="0"/>
        <v>2017/01/05 21:46:15.352</v>
      </c>
      <c r="C32" s="21">
        <f t="shared" si="1"/>
        <v>6.5334953760611825E-3</v>
      </c>
    </row>
    <row r="33" spans="1:3" x14ac:dyDescent="0.25">
      <c r="A33" t="s">
        <v>941</v>
      </c>
      <c r="B33" s="21" t="str">
        <f t="shared" si="0"/>
        <v>2017/01/05 21:46:15.585</v>
      </c>
      <c r="C33" s="21">
        <f t="shared" si="1"/>
        <v>2.6967536541633308E-6</v>
      </c>
    </row>
    <row r="34" spans="1:3" x14ac:dyDescent="0.25">
      <c r="A34" t="s">
        <v>942</v>
      </c>
      <c r="B34" s="21" t="str">
        <f t="shared" si="0"/>
        <v>2017/01/05 21:46:15.714</v>
      </c>
      <c r="C34" s="21">
        <f t="shared" si="1"/>
        <v>1.4930556062608957E-6</v>
      </c>
    </row>
    <row r="35" spans="1:3" x14ac:dyDescent="0.25">
      <c r="A35" t="s">
        <v>943</v>
      </c>
      <c r="B35" s="21" t="str">
        <f t="shared" si="0"/>
        <v>2017/01/05 22:06:11.327</v>
      </c>
      <c r="C35" s="21">
        <f t="shared" si="1"/>
        <v>1.3838113431120291E-2</v>
      </c>
    </row>
    <row r="36" spans="1:3" x14ac:dyDescent="0.25">
      <c r="A36" t="s">
        <v>944</v>
      </c>
      <c r="B36" s="21" t="str">
        <f t="shared" si="0"/>
        <v>2017/01/05 22:06:11.573</v>
      </c>
      <c r="C36" s="21">
        <f t="shared" si="1"/>
        <v>2.847220457624644E-6</v>
      </c>
    </row>
    <row r="37" spans="1:3" x14ac:dyDescent="0.25">
      <c r="A37" t="s">
        <v>945</v>
      </c>
      <c r="B37" s="21" t="str">
        <f t="shared" si="0"/>
        <v>2017/01/05 22:06:12.633</v>
      </c>
      <c r="C37" s="21">
        <f t="shared" si="1"/>
        <v>1.2268516002222896E-5</v>
      </c>
    </row>
    <row r="38" spans="1:3" x14ac:dyDescent="0.25">
      <c r="A38" t="s">
        <v>946</v>
      </c>
      <c r="B38" s="21" t="str">
        <f t="shared" si="0"/>
        <v>2017/01/05 22:46:41.263</v>
      </c>
      <c r="C38" s="21">
        <f t="shared" si="1"/>
        <v>2.8109143517212942E-2</v>
      </c>
    </row>
    <row r="39" spans="1:3" x14ac:dyDescent="0.25">
      <c r="A39" t="s">
        <v>947</v>
      </c>
      <c r="B39" s="21" t="str">
        <f t="shared" si="0"/>
        <v>2017/01/05 22:46:41.375</v>
      </c>
      <c r="C39" s="21">
        <f t="shared" si="1"/>
        <v>1.2962991604581475E-6</v>
      </c>
    </row>
    <row r="40" spans="1:3" x14ac:dyDescent="0.25">
      <c r="A40" t="s">
        <v>948</v>
      </c>
      <c r="B40" s="21" t="str">
        <f t="shared" si="0"/>
        <v>2017/01/05 22:46:41.994</v>
      </c>
      <c r="C40" s="21">
        <f t="shared" si="1"/>
        <v>7.1643517003394663E-6</v>
      </c>
    </row>
    <row r="41" spans="1:3" x14ac:dyDescent="0.25">
      <c r="A41" t="s">
        <v>949</v>
      </c>
      <c r="B41" s="21" t="str">
        <f t="shared" si="0"/>
        <v>2017/01/05 23:12:37.580</v>
      </c>
      <c r="C41" s="21">
        <f t="shared" si="1"/>
        <v>1.8004467594437301E-2</v>
      </c>
    </row>
    <row r="42" spans="1:3" x14ac:dyDescent="0.25">
      <c r="A42" t="s">
        <v>950</v>
      </c>
      <c r="B42" s="21" t="str">
        <f t="shared" si="0"/>
        <v>2017/01/05 23:12:37.880</v>
      </c>
      <c r="C42" s="21">
        <f t="shared" si="1"/>
        <v>3.4722179407253861E-6</v>
      </c>
    </row>
    <row r="43" spans="1:3" x14ac:dyDescent="0.25">
      <c r="A43" t="s">
        <v>951</v>
      </c>
      <c r="B43" s="21" t="str">
        <f t="shared" si="0"/>
        <v>2017/01/05 23:12:38.348</v>
      </c>
      <c r="C43" s="21">
        <f t="shared" si="1"/>
        <v>5.4166666814126074E-6</v>
      </c>
    </row>
    <row r="44" spans="1:3" x14ac:dyDescent="0.25">
      <c r="A44" t="s">
        <v>952</v>
      </c>
      <c r="B44" s="21" t="str">
        <f t="shared" si="0"/>
        <v>2017/01/06 00:29:11.501</v>
      </c>
      <c r="C44" s="21">
        <f t="shared" si="1"/>
        <v>5.3161493058723863E-2</v>
      </c>
    </row>
    <row r="45" spans="1:3" x14ac:dyDescent="0.25">
      <c r="A45" t="s">
        <v>953</v>
      </c>
      <c r="B45" s="21" t="str">
        <f t="shared" si="0"/>
        <v>2017/01/06 00:29:11.674</v>
      </c>
      <c r="C45" s="21">
        <f t="shared" si="1"/>
        <v>2.0023144315928221E-6</v>
      </c>
    </row>
    <row r="46" spans="1:3" x14ac:dyDescent="0.25">
      <c r="A46" t="s">
        <v>954</v>
      </c>
      <c r="B46" s="21" t="str">
        <f t="shared" si="0"/>
        <v>2017/01/06 00:29:11.912</v>
      </c>
      <c r="C46" s="21">
        <f t="shared" si="1"/>
        <v>2.7546266210265458E-6</v>
      </c>
    </row>
    <row r="47" spans="1:3" x14ac:dyDescent="0.25">
      <c r="A47" t="s">
        <v>955</v>
      </c>
      <c r="B47" s="21" t="str">
        <f t="shared" si="0"/>
        <v>2017/01/06 03:05:07.856</v>
      </c>
      <c r="C47" s="21">
        <f t="shared" si="1"/>
        <v>0.10828638889506692</v>
      </c>
    </row>
    <row r="48" spans="1:3" x14ac:dyDescent="0.25">
      <c r="A48" t="s">
        <v>956</v>
      </c>
      <c r="B48" s="21" t="str">
        <f t="shared" si="0"/>
        <v>2017/01/06 03:05:47.857</v>
      </c>
      <c r="C48" s="21">
        <f t="shared" si="1"/>
        <v>4.6297453081933782E-4</v>
      </c>
    </row>
    <row r="49" spans="1:3" x14ac:dyDescent="0.25">
      <c r="A49" t="s">
        <v>957</v>
      </c>
      <c r="B49" s="21" t="str">
        <f t="shared" si="0"/>
        <v>2017/01/06 05:11:17.091</v>
      </c>
      <c r="C49" s="21">
        <f t="shared" si="1"/>
        <v>8.7143912038300186E-2</v>
      </c>
    </row>
    <row r="50" spans="1:3" x14ac:dyDescent="0.25">
      <c r="A50" t="s">
        <v>958</v>
      </c>
      <c r="B50" s="21" t="str">
        <f t="shared" si="0"/>
        <v>2017/01/06 05:11:17.650</v>
      </c>
      <c r="C50" s="21">
        <f t="shared" si="1"/>
        <v>6.4699124777689576E-6</v>
      </c>
    </row>
    <row r="51" spans="1:3" x14ac:dyDescent="0.25">
      <c r="A51" t="s">
        <v>959</v>
      </c>
      <c r="B51" s="21" t="str">
        <f t="shared" si="0"/>
        <v>2017/01/06 05:11:17.774</v>
      </c>
      <c r="C51" s="21">
        <f t="shared" si="1"/>
        <v>1.4351826393976808E-6</v>
      </c>
    </row>
    <row r="52" spans="1:3" x14ac:dyDescent="0.25">
      <c r="A52" t="s">
        <v>960</v>
      </c>
      <c r="B52" s="21" t="str">
        <f t="shared" si="0"/>
        <v>2017/01/06 05:36:41.859</v>
      </c>
      <c r="C52" s="21">
        <f t="shared" si="1"/>
        <v>1.7639872683503199E-2</v>
      </c>
    </row>
    <row r="53" spans="1:3" x14ac:dyDescent="0.25">
      <c r="A53" t="s">
        <v>961</v>
      </c>
      <c r="B53" s="21" t="str">
        <f t="shared" ref="B53:B55" si="2">MID(A53,6,23)</f>
        <v>2017/01/06 05:36:41.922</v>
      </c>
      <c r="C53" s="21">
        <f t="shared" ref="C53:C55" si="3">ABS(B53-B52)</f>
        <v>7.2916736826300621E-7</v>
      </c>
    </row>
    <row r="54" spans="1:3" x14ac:dyDescent="0.25">
      <c r="A54" t="s">
        <v>962</v>
      </c>
      <c r="B54" s="21" t="str">
        <f t="shared" si="2"/>
        <v>2017/01/06 05:36:42.172</v>
      </c>
      <c r="C54" s="21">
        <f t="shared" si="3"/>
        <v>2.8935173759236932E-6</v>
      </c>
    </row>
    <row r="55" spans="1:3" x14ac:dyDescent="0.25">
      <c r="A55" t="s">
        <v>963</v>
      </c>
      <c r="B55" s="21" t="str">
        <f t="shared" si="2"/>
        <v>2017/01/06 06:31:01.167</v>
      </c>
      <c r="C55" s="21">
        <f t="shared" si="3"/>
        <v>3.7719849540735595E-2</v>
      </c>
    </row>
    <row r="56" spans="1:3" x14ac:dyDescent="0.25">
      <c r="A56" t="s">
        <v>964</v>
      </c>
      <c r="B56" s="21" t="str">
        <f t="shared" ref="B56:B57" si="4">MID(A56,6,23)</f>
        <v>2017/01/06 06:31:01.426</v>
      </c>
      <c r="C56" s="21">
        <f t="shared" ref="C56:C57" si="5">ABS(B56-B55)</f>
        <v>2.9976799851283431E-6</v>
      </c>
    </row>
    <row r="57" spans="1:3" x14ac:dyDescent="0.25">
      <c r="A57" t="s">
        <v>965</v>
      </c>
      <c r="B57" s="21" t="str">
        <f t="shared" si="4"/>
        <v>2017/01/06 06:31:01.575</v>
      </c>
      <c r="C57" s="21">
        <f t="shared" si="5"/>
        <v>1.7245401977561414E-6</v>
      </c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2017-01-10T18:24:19Z</dcterms:modified>
</cp:coreProperties>
</file>