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Enforcements!$A$6:$AC$56</definedName>
    <definedName name="_xlnm._FilterDatabase" localSheetId="2" hidden="1">'Missing Trips'!$A$2:$J$31</definedName>
    <definedName name="_xlnm._FilterDatabase" localSheetId="0" hidden="1">'Train Runs'!$A$12:$AG$254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Runs'!$A$12:$J$78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10" i="1" l="1"/>
  <c r="X211" i="1"/>
  <c r="X212" i="1"/>
  <c r="X213" i="1"/>
  <c r="K210" i="1"/>
  <c r="L210" i="1"/>
  <c r="M210" i="1"/>
  <c r="N210" i="1" s="1"/>
  <c r="T210" i="1"/>
  <c r="V210" i="1"/>
  <c r="AA210" i="1"/>
  <c r="AB210" i="1"/>
  <c r="AC210" i="1"/>
  <c r="AD210" i="1"/>
  <c r="AE210" i="1"/>
  <c r="AF210" i="1"/>
  <c r="AH210" i="1"/>
  <c r="AM210" i="1"/>
  <c r="AN210" i="1"/>
  <c r="AG210" i="1"/>
  <c r="U210" i="1" l="1"/>
  <c r="S210" i="1" s="1"/>
  <c r="AI210" i="1"/>
  <c r="W210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T17" i="1"/>
  <c r="V17" i="1"/>
  <c r="S19" i="3" s="1"/>
  <c r="X17" i="1"/>
  <c r="Y17" i="1"/>
  <c r="Z17" i="1"/>
  <c r="AA17" i="1" s="1"/>
  <c r="AB17" i="1"/>
  <c r="AC17" i="1"/>
  <c r="AD17" i="1"/>
  <c r="AE17" i="1"/>
  <c r="R19" i="3" s="1"/>
  <c r="AF17" i="1"/>
  <c r="AH17" i="1"/>
  <c r="AM17" i="1"/>
  <c r="AN17" i="1"/>
  <c r="K18" i="1"/>
  <c r="L18" i="1"/>
  <c r="M18" i="1"/>
  <c r="N18" i="1" s="1"/>
  <c r="V18" i="1"/>
  <c r="Y18" i="1"/>
  <c r="Z18" i="1"/>
  <c r="AA18" i="1" s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T21" i="1"/>
  <c r="V21" i="1"/>
  <c r="X21" i="1"/>
  <c r="Y21" i="1"/>
  <c r="Z21" i="1"/>
  <c r="AB21" i="1"/>
  <c r="AC21" i="1"/>
  <c r="AD21" i="1"/>
  <c r="AE21" i="1"/>
  <c r="AF21" i="1"/>
  <c r="AH21" i="1"/>
  <c r="AM21" i="1"/>
  <c r="AN21" i="1"/>
  <c r="K22" i="1"/>
  <c r="L22" i="1"/>
  <c r="M22" i="1"/>
  <c r="N22" i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A23" i="1"/>
  <c r="AB23" i="1"/>
  <c r="AC23" i="1"/>
  <c r="AD23" i="1"/>
  <c r="AE23" i="1"/>
  <c r="AF23" i="1"/>
  <c r="AH23" i="1"/>
  <c r="AM23" i="1"/>
  <c r="AN23" i="1"/>
  <c r="K24" i="1"/>
  <c r="L24" i="1"/>
  <c r="M24" i="1"/>
  <c r="N24" i="1" s="1"/>
  <c r="V24" i="1"/>
  <c r="Y24" i="1"/>
  <c r="Z24" i="1"/>
  <c r="AA24" i="1" s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S13" i="3" s="1"/>
  <c r="Y26" i="1"/>
  <c r="Z26" i="1"/>
  <c r="AA26" i="1" s="1"/>
  <c r="AB26" i="1"/>
  <c r="AC26" i="1"/>
  <c r="AD26" i="1"/>
  <c r="T26" i="1" s="1"/>
  <c r="AE26" i="1"/>
  <c r="R13" i="3" s="1"/>
  <c r="AF26" i="1"/>
  <c r="AH26" i="1"/>
  <c r="AM26" i="1"/>
  <c r="AN26" i="1"/>
  <c r="K27" i="1"/>
  <c r="L27" i="1"/>
  <c r="M27" i="1"/>
  <c r="N27" i="1" s="1"/>
  <c r="V27" i="1"/>
  <c r="Y27" i="1"/>
  <c r="Z27" i="1"/>
  <c r="AA27" i="1" s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A28" i="1" s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T29" i="1"/>
  <c r="V29" i="1"/>
  <c r="X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AA31" i="1" s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X32" i="1"/>
  <c r="Y32" i="1"/>
  <c r="Z32" i="1"/>
  <c r="AA32" i="1" s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X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A34" i="1" s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X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A42" i="1" s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S8" i="3" s="1"/>
  <c r="Y44" i="1"/>
  <c r="Z44" i="1"/>
  <c r="AB44" i="1"/>
  <c r="AC44" i="1"/>
  <c r="AD44" i="1"/>
  <c r="T44" i="1" s="1"/>
  <c r="AE44" i="1"/>
  <c r="R8" i="3" s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R20" i="3" s="1"/>
  <c r="AF45" i="1"/>
  <c r="AH45" i="1"/>
  <c r="AM45" i="1"/>
  <c r="AN45" i="1"/>
  <c r="K46" i="1"/>
  <c r="L46" i="1"/>
  <c r="M46" i="1"/>
  <c r="N46" i="1" s="1"/>
  <c r="V46" i="1"/>
  <c r="Y46" i="1"/>
  <c r="Z46" i="1"/>
  <c r="AA46" i="1" s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A47" i="1" s="1"/>
  <c r="AB47" i="1"/>
  <c r="AC47" i="1"/>
  <c r="AD47" i="1"/>
  <c r="X47" i="1" s="1"/>
  <c r="AE47" i="1"/>
  <c r="AF47" i="1"/>
  <c r="AH47" i="1"/>
  <c r="AM47" i="1"/>
  <c r="AN47" i="1"/>
  <c r="K48" i="1"/>
  <c r="L48" i="1"/>
  <c r="M48" i="1"/>
  <c r="N48" i="1" s="1"/>
  <c r="T48" i="1"/>
  <c r="V48" i="1"/>
  <c r="Y48" i="1"/>
  <c r="Z48" i="1"/>
  <c r="AB48" i="1"/>
  <c r="AC48" i="1"/>
  <c r="AD48" i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A51" i="1" s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X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V54" i="1"/>
  <c r="X54" i="1"/>
  <c r="Y54" i="1"/>
  <c r="AA54" i="1" s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E55" i="1"/>
  <c r="R17" i="3" s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Y57" i="1"/>
  <c r="AA57" i="1" s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S21" i="3" s="1"/>
  <c r="Y59" i="1"/>
  <c r="Z59" i="1"/>
  <c r="AA59" i="1" s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/>
  <c r="V60" i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Y61" i="1"/>
  <c r="AA61" i="1" s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AA62" i="1" s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P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T69" i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X70" i="1"/>
  <c r="Y70" i="1"/>
  <c r="AA70" i="1" s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V73" i="1"/>
  <c r="Y73" i="1"/>
  <c r="AA73" i="1" s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T75" i="1"/>
  <c r="V75" i="1"/>
  <c r="Y75" i="1"/>
  <c r="Z75" i="1"/>
  <c r="AB75" i="1"/>
  <c r="AC75" i="1"/>
  <c r="AD75" i="1"/>
  <c r="AE75" i="1"/>
  <c r="AF75" i="1"/>
  <c r="AH75" i="1"/>
  <c r="AM75" i="1"/>
  <c r="AN75" i="1"/>
  <c r="K76" i="1"/>
  <c r="L76" i="1"/>
  <c r="M76" i="1"/>
  <c r="P76" i="1" s="1"/>
  <c r="V76" i="1"/>
  <c r="S14" i="3" s="1"/>
  <c r="Y76" i="1"/>
  <c r="Z76" i="1"/>
  <c r="AB76" i="1"/>
  <c r="AC76" i="1"/>
  <c r="AD76" i="1"/>
  <c r="AE76" i="1"/>
  <c r="R14" i="3" s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K80" i="1"/>
  <c r="L80" i="1"/>
  <c r="M80" i="1"/>
  <c r="N80" i="1" s="1"/>
  <c r="V80" i="1"/>
  <c r="Y80" i="1"/>
  <c r="Z80" i="1"/>
  <c r="AA80" i="1" s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T81" i="1"/>
  <c r="V81" i="1"/>
  <c r="Y81" i="1"/>
  <c r="AA81" i="1" s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X82" i="1"/>
  <c r="Y82" i="1"/>
  <c r="Z82" i="1"/>
  <c r="AA82" i="1" s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X83" i="1" s="1"/>
  <c r="AE83" i="1"/>
  <c r="AF83" i="1"/>
  <c r="AH83" i="1"/>
  <c r="AM83" i="1"/>
  <c r="AN83" i="1"/>
  <c r="K84" i="1"/>
  <c r="L84" i="1"/>
  <c r="M84" i="1"/>
  <c r="N84" i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T85" i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X86" i="1"/>
  <c r="Y86" i="1"/>
  <c r="AA86" i="1" s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A92" i="1" s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S16" i="3" s="1"/>
  <c r="Y105" i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V112" i="1"/>
  <c r="X112" i="1"/>
  <c r="Y112" i="1"/>
  <c r="Z112" i="1"/>
  <c r="AA112" i="1" s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AA120" i="1" s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P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P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X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S22" i="3" s="1"/>
  <c r="Y131" i="1"/>
  <c r="Z131" i="1"/>
  <c r="AA131" i="1" s="1"/>
  <c r="AB131" i="1"/>
  <c r="AC131" i="1"/>
  <c r="AD131" i="1"/>
  <c r="T131" i="1" s="1"/>
  <c r="AE131" i="1"/>
  <c r="R22" i="3" s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R9" i="3" s="1"/>
  <c r="AF134" i="1"/>
  <c r="AH134" i="1"/>
  <c r="AM134" i="1"/>
  <c r="AN134" i="1"/>
  <c r="K135" i="1"/>
  <c r="L135" i="1"/>
  <c r="M135" i="1"/>
  <c r="N135" i="1" s="1"/>
  <c r="V135" i="1"/>
  <c r="Y135" i="1"/>
  <c r="Z135" i="1"/>
  <c r="AA135" i="1" s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S15" i="3" s="1"/>
  <c r="Y136" i="1"/>
  <c r="Z136" i="1"/>
  <c r="AB136" i="1"/>
  <c r="AC136" i="1"/>
  <c r="AD136" i="1"/>
  <c r="T136" i="1" s="1"/>
  <c r="AE136" i="1"/>
  <c r="R15" i="3" s="1"/>
  <c r="AF136" i="1"/>
  <c r="AH136" i="1"/>
  <c r="AM136" i="1"/>
  <c r="AN136" i="1"/>
  <c r="K137" i="1"/>
  <c r="L137" i="1"/>
  <c r="M137" i="1"/>
  <c r="V137" i="1"/>
  <c r="Y137" i="1"/>
  <c r="Z137" i="1"/>
  <c r="AB137" i="1"/>
  <c r="AC137" i="1"/>
  <c r="AD137" i="1"/>
  <c r="T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A139" i="1" s="1"/>
  <c r="AB139" i="1"/>
  <c r="AC139" i="1"/>
  <c r="AD139" i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A143" i="1" s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A147" i="1" s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A148" i="1" s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X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AE153" i="1"/>
  <c r="R11" i="3" s="1"/>
  <c r="AF153" i="1"/>
  <c r="AH153" i="1"/>
  <c r="AM153" i="1"/>
  <c r="AN153" i="1"/>
  <c r="K154" i="1"/>
  <c r="L154" i="1"/>
  <c r="M154" i="1"/>
  <c r="N154" i="1" s="1"/>
  <c r="V154" i="1"/>
  <c r="Y154" i="1"/>
  <c r="Z154" i="1"/>
  <c r="AA154" i="1" s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 s="1"/>
  <c r="T156" i="1"/>
  <c r="V156" i="1"/>
  <c r="Y156" i="1"/>
  <c r="Z156" i="1"/>
  <c r="AB156" i="1"/>
  <c r="AC156" i="1"/>
  <c r="AD156" i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58" i="1"/>
  <c r="AM158" i="1"/>
  <c r="AN158" i="1"/>
  <c r="K159" i="1"/>
  <c r="L159" i="1"/>
  <c r="M159" i="1"/>
  <c r="P159" i="1" s="1"/>
  <c r="V159" i="1"/>
  <c r="Y159" i="1"/>
  <c r="Z159" i="1"/>
  <c r="AB159" i="1"/>
  <c r="AC159" i="1"/>
  <c r="AD159" i="1"/>
  <c r="T159" i="1" s="1"/>
  <c r="AE159" i="1"/>
  <c r="AF159" i="1"/>
  <c r="AH159" i="1"/>
  <c r="AM159" i="1"/>
  <c r="AN159" i="1"/>
  <c r="K160" i="1"/>
  <c r="L160" i="1"/>
  <c r="M160" i="1"/>
  <c r="V160" i="1"/>
  <c r="Y160" i="1"/>
  <c r="Z160" i="1"/>
  <c r="AB160" i="1"/>
  <c r="AC160" i="1"/>
  <c r="AD160" i="1"/>
  <c r="AE160" i="1"/>
  <c r="AF160" i="1"/>
  <c r="AH160" i="1"/>
  <c r="AM160" i="1"/>
  <c r="AN160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61" i="1"/>
  <c r="AM161" i="1"/>
  <c r="AN161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62" i="1"/>
  <c r="AM162" i="1"/>
  <c r="AN162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3" i="1"/>
  <c r="AM163" i="1"/>
  <c r="AN163" i="1"/>
  <c r="K213" i="1"/>
  <c r="L213" i="1"/>
  <c r="M213" i="1"/>
  <c r="N213" i="1" s="1"/>
  <c r="T213" i="1"/>
  <c r="V213" i="1"/>
  <c r="Y213" i="1"/>
  <c r="Z213" i="1"/>
  <c r="AB213" i="1"/>
  <c r="AC213" i="1"/>
  <c r="AD213" i="1"/>
  <c r="AE213" i="1"/>
  <c r="AF213" i="1"/>
  <c r="AH164" i="1"/>
  <c r="AM164" i="1"/>
  <c r="AN164" i="1"/>
  <c r="K214" i="1"/>
  <c r="L214" i="1"/>
  <c r="M214" i="1"/>
  <c r="N214" i="1"/>
  <c r="V214" i="1"/>
  <c r="Y214" i="1"/>
  <c r="Z214" i="1"/>
  <c r="AB214" i="1"/>
  <c r="AC214" i="1"/>
  <c r="AD214" i="1"/>
  <c r="AE214" i="1"/>
  <c r="AF214" i="1"/>
  <c r="AH165" i="1"/>
  <c r="AM165" i="1"/>
  <c r="AN165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6" i="1"/>
  <c r="AM166" i="1"/>
  <c r="AN166" i="1"/>
  <c r="K216" i="1"/>
  <c r="L216" i="1"/>
  <c r="M216" i="1"/>
  <c r="N216" i="1" s="1"/>
  <c r="V216" i="1"/>
  <c r="Y216" i="1"/>
  <c r="AA216" i="1" s="1"/>
  <c r="Z216" i="1"/>
  <c r="AB216" i="1"/>
  <c r="AC216" i="1"/>
  <c r="AD216" i="1"/>
  <c r="T216" i="1" s="1"/>
  <c r="AE216" i="1"/>
  <c r="AF216" i="1"/>
  <c r="AH167" i="1"/>
  <c r="AM167" i="1"/>
  <c r="AN167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68" i="1"/>
  <c r="AM168" i="1"/>
  <c r="AN168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69" i="1"/>
  <c r="AM169" i="1"/>
  <c r="AN169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70" i="1"/>
  <c r="AM170" i="1"/>
  <c r="AN170" i="1"/>
  <c r="K220" i="1"/>
  <c r="L220" i="1"/>
  <c r="M220" i="1"/>
  <c r="N220" i="1" s="1"/>
  <c r="V220" i="1"/>
  <c r="Y220" i="1"/>
  <c r="AA220" i="1" s="1"/>
  <c r="Z220" i="1"/>
  <c r="AB220" i="1"/>
  <c r="AC220" i="1"/>
  <c r="AD220" i="1"/>
  <c r="T220" i="1" s="1"/>
  <c r="AE220" i="1"/>
  <c r="AF220" i="1"/>
  <c r="AH171" i="1"/>
  <c r="AM171" i="1"/>
  <c r="AN171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172" i="1"/>
  <c r="AM172" i="1"/>
  <c r="AN172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173" i="1"/>
  <c r="AM173" i="1"/>
  <c r="AN173" i="1"/>
  <c r="K223" i="1"/>
  <c r="L223" i="1"/>
  <c r="M223" i="1"/>
  <c r="N223" i="1" s="1"/>
  <c r="V223" i="1"/>
  <c r="Y223" i="1"/>
  <c r="Z223" i="1"/>
  <c r="AA223" i="1" s="1"/>
  <c r="AB223" i="1"/>
  <c r="AC223" i="1"/>
  <c r="AD223" i="1"/>
  <c r="AE223" i="1"/>
  <c r="AF223" i="1"/>
  <c r="AH174" i="1"/>
  <c r="AM174" i="1"/>
  <c r="AN174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5" i="1"/>
  <c r="AM175" i="1"/>
  <c r="AN175" i="1"/>
  <c r="K232" i="1"/>
  <c r="L232" i="1"/>
  <c r="M232" i="1"/>
  <c r="N232" i="1" s="1"/>
  <c r="V232" i="1"/>
  <c r="Y232" i="1"/>
  <c r="Z232" i="1"/>
  <c r="AA232" i="1" s="1"/>
  <c r="AB232" i="1"/>
  <c r="AC232" i="1"/>
  <c r="AD232" i="1"/>
  <c r="T232" i="1" s="1"/>
  <c r="AE232" i="1"/>
  <c r="AF232" i="1"/>
  <c r="AH176" i="1"/>
  <c r="AM176" i="1"/>
  <c r="AN176" i="1"/>
  <c r="K233" i="1"/>
  <c r="L233" i="1"/>
  <c r="M233" i="1"/>
  <c r="N233" i="1" s="1"/>
  <c r="V233" i="1"/>
  <c r="Y233" i="1"/>
  <c r="Z233" i="1"/>
  <c r="AB233" i="1"/>
  <c r="AC233" i="1"/>
  <c r="AD233" i="1"/>
  <c r="AE233" i="1"/>
  <c r="R39" i="3" s="1"/>
  <c r="AF233" i="1"/>
  <c r="AH177" i="1"/>
  <c r="AM177" i="1"/>
  <c r="AN177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178" i="1"/>
  <c r="AM178" i="1"/>
  <c r="AN178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79" i="1"/>
  <c r="AM179" i="1"/>
  <c r="AN179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0" i="1"/>
  <c r="AM180" i="1"/>
  <c r="AN180" i="1"/>
  <c r="K237" i="1"/>
  <c r="L237" i="1"/>
  <c r="M237" i="1"/>
  <c r="N237" i="1" s="1"/>
  <c r="V237" i="1"/>
  <c r="Y237" i="1"/>
  <c r="Z237" i="1"/>
  <c r="AA237" i="1" s="1"/>
  <c r="AB237" i="1"/>
  <c r="AC237" i="1"/>
  <c r="AD237" i="1"/>
  <c r="X237" i="1" s="1"/>
  <c r="AE237" i="1"/>
  <c r="AF237" i="1"/>
  <c r="AH181" i="1"/>
  <c r="AM181" i="1"/>
  <c r="AN181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H182" i="1"/>
  <c r="AM182" i="1"/>
  <c r="AN182" i="1"/>
  <c r="K239" i="1"/>
  <c r="L239" i="1"/>
  <c r="M239" i="1"/>
  <c r="N239" i="1" s="1"/>
  <c r="V239" i="1"/>
  <c r="Y239" i="1"/>
  <c r="Z239" i="1"/>
  <c r="AB239" i="1"/>
  <c r="AC239" i="1"/>
  <c r="AD239" i="1"/>
  <c r="T239" i="1" s="1"/>
  <c r="AE239" i="1"/>
  <c r="AF239" i="1"/>
  <c r="AH183" i="1"/>
  <c r="AM183" i="1"/>
  <c r="AN183" i="1"/>
  <c r="K240" i="1"/>
  <c r="L240" i="1"/>
  <c r="M240" i="1"/>
  <c r="N240" i="1" s="1"/>
  <c r="V240" i="1"/>
  <c r="Y240" i="1"/>
  <c r="Z240" i="1"/>
  <c r="AB240" i="1"/>
  <c r="AC240" i="1"/>
  <c r="AD240" i="1"/>
  <c r="T240" i="1" s="1"/>
  <c r="AE240" i="1"/>
  <c r="AF240" i="1"/>
  <c r="AH184" i="1"/>
  <c r="AM184" i="1"/>
  <c r="AN184" i="1"/>
  <c r="K241" i="1"/>
  <c r="L241" i="1"/>
  <c r="M241" i="1"/>
  <c r="N241" i="1"/>
  <c r="V241" i="1"/>
  <c r="Y241" i="1"/>
  <c r="AA241" i="1" s="1"/>
  <c r="Z241" i="1"/>
  <c r="AB241" i="1"/>
  <c r="AC241" i="1"/>
  <c r="AD241" i="1"/>
  <c r="X241" i="1" s="1"/>
  <c r="AE241" i="1"/>
  <c r="AF241" i="1"/>
  <c r="AH185" i="1"/>
  <c r="AM185" i="1"/>
  <c r="AN185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186" i="1"/>
  <c r="AM186" i="1"/>
  <c r="AN186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87" i="1"/>
  <c r="AM187" i="1"/>
  <c r="AN187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88" i="1"/>
  <c r="AM188" i="1"/>
  <c r="AN188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89" i="1"/>
  <c r="AM189" i="1"/>
  <c r="AN189" i="1"/>
  <c r="K167" i="1"/>
  <c r="L167" i="1"/>
  <c r="M167" i="1"/>
  <c r="N167" i="1" s="1"/>
  <c r="V167" i="1"/>
  <c r="Y167" i="1"/>
  <c r="Z167" i="1"/>
  <c r="AA167" i="1" s="1"/>
  <c r="AB167" i="1"/>
  <c r="AC167" i="1"/>
  <c r="AD167" i="1"/>
  <c r="T167" i="1" s="1"/>
  <c r="AE167" i="1"/>
  <c r="AF167" i="1"/>
  <c r="AH190" i="1"/>
  <c r="AM190" i="1"/>
  <c r="AN190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91" i="1"/>
  <c r="AM191" i="1"/>
  <c r="AN191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92" i="1"/>
  <c r="AM192" i="1"/>
  <c r="AN192" i="1"/>
  <c r="K170" i="1"/>
  <c r="L170" i="1"/>
  <c r="M170" i="1"/>
  <c r="N170" i="1" s="1"/>
  <c r="V170" i="1"/>
  <c r="Y170" i="1"/>
  <c r="Z170" i="1"/>
  <c r="AA170" i="1" s="1"/>
  <c r="AB170" i="1"/>
  <c r="AC170" i="1"/>
  <c r="AD170" i="1"/>
  <c r="AE170" i="1"/>
  <c r="R28" i="3" s="1"/>
  <c r="AF170" i="1"/>
  <c r="AH193" i="1"/>
  <c r="AM193" i="1"/>
  <c r="AN193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94" i="1"/>
  <c r="AM194" i="1"/>
  <c r="AN194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95" i="1"/>
  <c r="AM195" i="1"/>
  <c r="AN195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96" i="1"/>
  <c r="AM196" i="1"/>
  <c r="AN196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97" i="1"/>
  <c r="AM197" i="1"/>
  <c r="AN197" i="1"/>
  <c r="K175" i="1"/>
  <c r="L175" i="1"/>
  <c r="M175" i="1"/>
  <c r="N175" i="1" s="1"/>
  <c r="V175" i="1"/>
  <c r="Y175" i="1"/>
  <c r="Z175" i="1"/>
  <c r="AA175" i="1" s="1"/>
  <c r="AB175" i="1"/>
  <c r="AC175" i="1"/>
  <c r="AD175" i="1"/>
  <c r="T175" i="1" s="1"/>
  <c r="AE175" i="1"/>
  <c r="AF175" i="1"/>
  <c r="AH198" i="1"/>
  <c r="AM198" i="1"/>
  <c r="AN198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99" i="1"/>
  <c r="AM199" i="1"/>
  <c r="AN199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00" i="1"/>
  <c r="AM200" i="1"/>
  <c r="AN200" i="1"/>
  <c r="K178" i="1"/>
  <c r="L178" i="1"/>
  <c r="M178" i="1"/>
  <c r="N178" i="1" s="1"/>
  <c r="V178" i="1"/>
  <c r="Y178" i="1"/>
  <c r="Z178" i="1"/>
  <c r="AA178" i="1" s="1"/>
  <c r="AB178" i="1"/>
  <c r="AC178" i="1"/>
  <c r="AD178" i="1"/>
  <c r="AE178" i="1"/>
  <c r="AF178" i="1"/>
  <c r="AH201" i="1"/>
  <c r="AM201" i="1"/>
  <c r="AN201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02" i="1"/>
  <c r="AM202" i="1"/>
  <c r="AN202" i="1"/>
  <c r="K180" i="1"/>
  <c r="L180" i="1"/>
  <c r="M180" i="1"/>
  <c r="N180" i="1" s="1"/>
  <c r="V180" i="1"/>
  <c r="Y180" i="1"/>
  <c r="Z180" i="1"/>
  <c r="AB180" i="1"/>
  <c r="AC180" i="1"/>
  <c r="AD180" i="1"/>
  <c r="X180" i="1" s="1"/>
  <c r="AE180" i="1"/>
  <c r="AF180" i="1"/>
  <c r="AH203" i="1"/>
  <c r="AM203" i="1"/>
  <c r="AN203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04" i="1"/>
  <c r="AM204" i="1"/>
  <c r="AN204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205" i="1"/>
  <c r="AM205" i="1"/>
  <c r="AN205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06" i="1"/>
  <c r="AM206" i="1"/>
  <c r="AN206" i="1"/>
  <c r="K184" i="1"/>
  <c r="L184" i="1"/>
  <c r="M184" i="1"/>
  <c r="N184" i="1" s="1"/>
  <c r="V184" i="1"/>
  <c r="S23" i="3" s="1"/>
  <c r="Y184" i="1"/>
  <c r="Z184" i="1"/>
  <c r="AB184" i="1"/>
  <c r="AC184" i="1"/>
  <c r="AD184" i="1"/>
  <c r="AE184" i="1"/>
  <c r="AF184" i="1"/>
  <c r="AH207" i="1"/>
  <c r="AM207" i="1"/>
  <c r="AN207" i="1"/>
  <c r="K185" i="1"/>
  <c r="L185" i="1"/>
  <c r="M185" i="1"/>
  <c r="N185" i="1" s="1"/>
  <c r="V185" i="1"/>
  <c r="S25" i="3" s="1"/>
  <c r="Y185" i="1"/>
  <c r="Z185" i="1"/>
  <c r="AB185" i="1"/>
  <c r="AC185" i="1"/>
  <c r="AD185" i="1"/>
  <c r="T185" i="1" s="1"/>
  <c r="AE185" i="1"/>
  <c r="AF185" i="1"/>
  <c r="AH208" i="1"/>
  <c r="AM208" i="1"/>
  <c r="AN208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09" i="1"/>
  <c r="AM209" i="1"/>
  <c r="AN209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11" i="1"/>
  <c r="AM211" i="1"/>
  <c r="AN211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212" i="1"/>
  <c r="AM212" i="1"/>
  <c r="AN212" i="1"/>
  <c r="K189" i="1"/>
  <c r="L189" i="1"/>
  <c r="M189" i="1"/>
  <c r="N189" i="1" s="1"/>
  <c r="V189" i="1"/>
  <c r="S30" i="3" s="1"/>
  <c r="Y189" i="1"/>
  <c r="Z189" i="1"/>
  <c r="AB189" i="1"/>
  <c r="AC189" i="1"/>
  <c r="AD189" i="1"/>
  <c r="T189" i="1" s="1"/>
  <c r="AE189" i="1"/>
  <c r="AF189" i="1"/>
  <c r="AH213" i="1"/>
  <c r="AM213" i="1"/>
  <c r="AN213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214" i="1"/>
  <c r="AM214" i="1"/>
  <c r="AN214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15" i="1"/>
  <c r="AM215" i="1"/>
  <c r="AN215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16" i="1"/>
  <c r="AM216" i="1"/>
  <c r="AN216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17" i="1"/>
  <c r="AM217" i="1"/>
  <c r="AN217" i="1"/>
  <c r="K194" i="1"/>
  <c r="L194" i="1"/>
  <c r="M194" i="1"/>
  <c r="N194" i="1" s="1"/>
  <c r="V194" i="1"/>
  <c r="Y194" i="1"/>
  <c r="Z194" i="1"/>
  <c r="AB194" i="1"/>
  <c r="AC194" i="1"/>
  <c r="AD194" i="1"/>
  <c r="AE194" i="1"/>
  <c r="R33" i="3" s="1"/>
  <c r="AF194" i="1"/>
  <c r="AH218" i="1"/>
  <c r="AM218" i="1"/>
  <c r="AN218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19" i="1"/>
  <c r="AM219" i="1"/>
  <c r="AN219" i="1"/>
  <c r="K196" i="1"/>
  <c r="L196" i="1"/>
  <c r="M196" i="1"/>
  <c r="N196" i="1" s="1"/>
  <c r="V196" i="1"/>
  <c r="S34" i="3" s="1"/>
  <c r="Y196" i="1"/>
  <c r="Z196" i="1"/>
  <c r="AB196" i="1"/>
  <c r="AC196" i="1"/>
  <c r="AD196" i="1"/>
  <c r="X196" i="1" s="1"/>
  <c r="AE196" i="1"/>
  <c r="AF196" i="1"/>
  <c r="AH220" i="1"/>
  <c r="AM220" i="1"/>
  <c r="AN220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21" i="1"/>
  <c r="AM221" i="1"/>
  <c r="AN221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22" i="1"/>
  <c r="AM222" i="1"/>
  <c r="AN222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23" i="1"/>
  <c r="AM223" i="1"/>
  <c r="AN223" i="1"/>
  <c r="K200" i="1"/>
  <c r="L200" i="1"/>
  <c r="M200" i="1"/>
  <c r="N200" i="1" s="1"/>
  <c r="V200" i="1"/>
  <c r="S29" i="3" s="1"/>
  <c r="Y200" i="1"/>
  <c r="Z200" i="1"/>
  <c r="AB200" i="1"/>
  <c r="AC200" i="1"/>
  <c r="AD200" i="1"/>
  <c r="T200" i="1" s="1"/>
  <c r="AE200" i="1"/>
  <c r="AF200" i="1"/>
  <c r="AH224" i="1"/>
  <c r="AM224" i="1"/>
  <c r="AN224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25" i="1"/>
  <c r="AM225" i="1"/>
  <c r="AN225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26" i="1"/>
  <c r="AM226" i="1"/>
  <c r="AN226" i="1"/>
  <c r="K203" i="1"/>
  <c r="L203" i="1"/>
  <c r="M203" i="1"/>
  <c r="N203" i="1" s="1"/>
  <c r="V203" i="1"/>
  <c r="S31" i="3" s="1"/>
  <c r="Y203" i="1"/>
  <c r="Z203" i="1"/>
  <c r="AB203" i="1"/>
  <c r="AC203" i="1"/>
  <c r="AD203" i="1"/>
  <c r="T203" i="1" s="1"/>
  <c r="AE203" i="1"/>
  <c r="AF203" i="1"/>
  <c r="AH227" i="1"/>
  <c r="AM227" i="1"/>
  <c r="AN227" i="1"/>
  <c r="K204" i="1"/>
  <c r="L204" i="1"/>
  <c r="M204" i="1"/>
  <c r="N204" i="1"/>
  <c r="V204" i="1"/>
  <c r="Y204" i="1"/>
  <c r="Z204" i="1"/>
  <c r="AB204" i="1"/>
  <c r="AC204" i="1"/>
  <c r="AD204" i="1"/>
  <c r="AE204" i="1"/>
  <c r="AF204" i="1"/>
  <c r="AH228" i="1"/>
  <c r="AM228" i="1"/>
  <c r="AN228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29" i="1"/>
  <c r="AM229" i="1"/>
  <c r="AN229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30" i="1"/>
  <c r="AM230" i="1"/>
  <c r="AN230" i="1"/>
  <c r="K207" i="1"/>
  <c r="L207" i="1"/>
  <c r="M207" i="1"/>
  <c r="N207" i="1" s="1"/>
  <c r="V207" i="1"/>
  <c r="Y207" i="1"/>
  <c r="Z207" i="1"/>
  <c r="AA207" i="1" s="1"/>
  <c r="AB207" i="1"/>
  <c r="AC207" i="1"/>
  <c r="AD207" i="1"/>
  <c r="T207" i="1" s="1"/>
  <c r="AE207" i="1"/>
  <c r="AF207" i="1"/>
  <c r="AH231" i="1"/>
  <c r="AM231" i="1"/>
  <c r="AN231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32" i="1"/>
  <c r="AM232" i="1"/>
  <c r="AN232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33" i="1"/>
  <c r="AM233" i="1"/>
  <c r="AN233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234" i="1"/>
  <c r="AM234" i="1"/>
  <c r="AN234" i="1"/>
  <c r="K224" i="1"/>
  <c r="L224" i="1"/>
  <c r="M224" i="1"/>
  <c r="N224" i="1" s="1"/>
  <c r="V224" i="1"/>
  <c r="S37" i="3" s="1"/>
  <c r="Y224" i="1"/>
  <c r="Z224" i="1"/>
  <c r="AB224" i="1"/>
  <c r="AC224" i="1"/>
  <c r="AD224" i="1"/>
  <c r="T224" i="1" s="1"/>
  <c r="AE224" i="1"/>
  <c r="R37" i="3" s="1"/>
  <c r="AF224" i="1"/>
  <c r="AH235" i="1"/>
  <c r="AM235" i="1"/>
  <c r="AN235" i="1"/>
  <c r="K225" i="1"/>
  <c r="L225" i="1"/>
  <c r="M225" i="1"/>
  <c r="N225" i="1" s="1"/>
  <c r="V225" i="1"/>
  <c r="Y225" i="1"/>
  <c r="Z225" i="1"/>
  <c r="AB225" i="1"/>
  <c r="AC225" i="1"/>
  <c r="AD225" i="1"/>
  <c r="X225" i="1" s="1"/>
  <c r="AE225" i="1"/>
  <c r="AF225" i="1"/>
  <c r="AH236" i="1"/>
  <c r="AM236" i="1"/>
  <c r="AN236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237" i="1"/>
  <c r="AM237" i="1"/>
  <c r="AN237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238" i="1"/>
  <c r="AM238" i="1"/>
  <c r="AN238" i="1"/>
  <c r="K228" i="1"/>
  <c r="L228" i="1"/>
  <c r="M228" i="1"/>
  <c r="N228" i="1" s="1"/>
  <c r="V228" i="1"/>
  <c r="Y228" i="1"/>
  <c r="Z228" i="1"/>
  <c r="AA228" i="1" s="1"/>
  <c r="AB228" i="1"/>
  <c r="AC228" i="1"/>
  <c r="AD228" i="1"/>
  <c r="T228" i="1" s="1"/>
  <c r="AE228" i="1"/>
  <c r="AF228" i="1"/>
  <c r="AH239" i="1"/>
  <c r="AM239" i="1"/>
  <c r="AN239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240" i="1"/>
  <c r="AM240" i="1"/>
  <c r="AN240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241" i="1"/>
  <c r="AM241" i="1"/>
  <c r="AN241" i="1"/>
  <c r="M19" i="3"/>
  <c r="U19" i="3"/>
  <c r="T19" i="3" s="1"/>
  <c r="V19" i="3"/>
  <c r="X19" i="3"/>
  <c r="M36" i="3"/>
  <c r="S36" i="3"/>
  <c r="U36" i="3"/>
  <c r="T36" i="3" s="1"/>
  <c r="V36" i="3"/>
  <c r="X36" i="3"/>
  <c r="AC36" i="3"/>
  <c r="M37" i="3"/>
  <c r="U37" i="3"/>
  <c r="V37" i="3"/>
  <c r="X37" i="3"/>
  <c r="AC37" i="3"/>
  <c r="M24" i="3"/>
  <c r="R24" i="3"/>
  <c r="S24" i="3"/>
  <c r="U24" i="3"/>
  <c r="AC24" i="3" s="1"/>
  <c r="V24" i="3"/>
  <c r="X24" i="3"/>
  <c r="M13" i="3"/>
  <c r="T13" i="3"/>
  <c r="U13" i="3"/>
  <c r="V13" i="3"/>
  <c r="X13" i="3"/>
  <c r="AC13" i="3"/>
  <c r="M26" i="3"/>
  <c r="R26" i="3"/>
  <c r="S26" i="3"/>
  <c r="U26" i="3"/>
  <c r="T26" i="3" s="1"/>
  <c r="V26" i="3"/>
  <c r="X26" i="3"/>
  <c r="AC26" i="3"/>
  <c r="AD13" i="3"/>
  <c r="M27" i="3"/>
  <c r="R27" i="3"/>
  <c r="S27" i="3"/>
  <c r="U27" i="3"/>
  <c r="V27" i="3"/>
  <c r="X27" i="3"/>
  <c r="M28" i="3"/>
  <c r="S28" i="3"/>
  <c r="U28" i="3"/>
  <c r="AC28" i="3" s="1"/>
  <c r="V28" i="3"/>
  <c r="X28" i="3"/>
  <c r="M32" i="3"/>
  <c r="S32" i="3"/>
  <c r="U32" i="3"/>
  <c r="T32" i="3" s="1"/>
  <c r="V32" i="3"/>
  <c r="X32" i="3"/>
  <c r="M20" i="3"/>
  <c r="S20" i="3"/>
  <c r="U20" i="3"/>
  <c r="T20" i="3" s="1"/>
  <c r="V20" i="3"/>
  <c r="X20" i="3"/>
  <c r="M8" i="3"/>
  <c r="U8" i="3"/>
  <c r="V8" i="3"/>
  <c r="X8" i="3"/>
  <c r="M10" i="3"/>
  <c r="R10" i="3"/>
  <c r="S10" i="3"/>
  <c r="U10" i="3"/>
  <c r="AC10" i="3" s="1"/>
  <c r="V10" i="3"/>
  <c r="X10" i="3"/>
  <c r="M12" i="3"/>
  <c r="R12" i="3"/>
  <c r="S12" i="3"/>
  <c r="U12" i="3"/>
  <c r="AD12" i="3" s="1"/>
  <c r="V12" i="3"/>
  <c r="X12" i="3"/>
  <c r="AD20" i="3"/>
  <c r="M7" i="3"/>
  <c r="R7" i="3"/>
  <c r="S7" i="3"/>
  <c r="U7" i="3"/>
  <c r="T7" i="3" s="1"/>
  <c r="V7" i="3"/>
  <c r="X7" i="3"/>
  <c r="AC7" i="3"/>
  <c r="M17" i="3"/>
  <c r="S17" i="3"/>
  <c r="U17" i="3"/>
  <c r="V17" i="3"/>
  <c r="X17" i="3"/>
  <c r="M21" i="3"/>
  <c r="R21" i="3"/>
  <c r="U21" i="3"/>
  <c r="AC21" i="3" s="1"/>
  <c r="V21" i="3"/>
  <c r="X21" i="3"/>
  <c r="M39" i="3"/>
  <c r="S39" i="3"/>
  <c r="U39" i="3"/>
  <c r="AE24" i="3" s="1"/>
  <c r="V39" i="3"/>
  <c r="X39" i="3"/>
  <c r="AD24" i="3"/>
  <c r="M40" i="3"/>
  <c r="R40" i="3"/>
  <c r="S40" i="3"/>
  <c r="U40" i="3"/>
  <c r="T40" i="3" s="1"/>
  <c r="V40" i="3"/>
  <c r="X40" i="3"/>
  <c r="M14" i="3"/>
  <c r="U14" i="3"/>
  <c r="AD26" i="3" s="1"/>
  <c r="V14" i="3"/>
  <c r="X14" i="3"/>
  <c r="AC14" i="3"/>
  <c r="M23" i="3"/>
  <c r="R23" i="3"/>
  <c r="U23" i="3"/>
  <c r="AC23" i="3" s="1"/>
  <c r="V23" i="3"/>
  <c r="X23" i="3"/>
  <c r="M25" i="3"/>
  <c r="R25" i="3"/>
  <c r="T25" i="3"/>
  <c r="U25" i="3"/>
  <c r="AD25" i="3" s="1"/>
  <c r="V25" i="3"/>
  <c r="X25" i="3"/>
  <c r="AC25" i="3"/>
  <c r="AD28" i="3"/>
  <c r="AE28" i="3"/>
  <c r="M30" i="3"/>
  <c r="R30" i="3"/>
  <c r="U30" i="3"/>
  <c r="T30" i="3" s="1"/>
  <c r="V30" i="3"/>
  <c r="X30" i="3"/>
  <c r="AC30" i="3"/>
  <c r="M16" i="3"/>
  <c r="R16" i="3"/>
  <c r="U16" i="3"/>
  <c r="AD30" i="3" s="1"/>
  <c r="V16" i="3"/>
  <c r="X16" i="3"/>
  <c r="M33" i="3"/>
  <c r="S33" i="3"/>
  <c r="U33" i="3"/>
  <c r="AC33" i="3" s="1"/>
  <c r="V33" i="3"/>
  <c r="X33" i="3"/>
  <c r="M34" i="3"/>
  <c r="R34" i="3"/>
  <c r="U34" i="3"/>
  <c r="T34" i="3" s="1"/>
  <c r="V34" i="3"/>
  <c r="X34" i="3"/>
  <c r="AD32" i="3"/>
  <c r="M29" i="3"/>
  <c r="R29" i="3"/>
  <c r="U29" i="3"/>
  <c r="T29" i="3" s="1"/>
  <c r="V29" i="3"/>
  <c r="X29" i="3"/>
  <c r="AD33" i="3"/>
  <c r="M18" i="3"/>
  <c r="R18" i="3"/>
  <c r="S18" i="3"/>
  <c r="U18" i="3"/>
  <c r="AD34" i="3" s="1"/>
  <c r="V18" i="3"/>
  <c r="X18" i="3"/>
  <c r="AC18" i="3"/>
  <c r="M22" i="3"/>
  <c r="U22" i="3"/>
  <c r="AC22" i="3" s="1"/>
  <c r="V22" i="3"/>
  <c r="X22" i="3"/>
  <c r="M31" i="3"/>
  <c r="R31" i="3"/>
  <c r="T31" i="3"/>
  <c r="U31" i="3"/>
  <c r="V31" i="3"/>
  <c r="X31" i="3"/>
  <c r="AC31" i="3"/>
  <c r="AD36" i="3"/>
  <c r="AE36" i="3"/>
  <c r="M9" i="3"/>
  <c r="S9" i="3"/>
  <c r="U9" i="3"/>
  <c r="T9" i="3" s="1"/>
  <c r="V9" i="3"/>
  <c r="X9" i="3"/>
  <c r="AD37" i="3"/>
  <c r="M15" i="3"/>
  <c r="U15" i="3"/>
  <c r="V15" i="3"/>
  <c r="X15" i="3"/>
  <c r="M35" i="3"/>
  <c r="R35" i="3"/>
  <c r="S35" i="3"/>
  <c r="U35" i="3"/>
  <c r="AC35" i="3" s="1"/>
  <c r="V35" i="3"/>
  <c r="X35" i="3"/>
  <c r="M11" i="3"/>
  <c r="S11" i="3"/>
  <c r="U11" i="3"/>
  <c r="AE40" i="3" s="1"/>
  <c r="V11" i="3"/>
  <c r="X11" i="3"/>
  <c r="AD40" i="3"/>
  <c r="W36" i="3"/>
  <c r="W40" i="3"/>
  <c r="W8" i="3"/>
  <c r="W18" i="3"/>
  <c r="W25" i="3"/>
  <c r="W10" i="3"/>
  <c r="W39" i="3"/>
  <c r="W32" i="3"/>
  <c r="W30" i="3"/>
  <c r="W20" i="3"/>
  <c r="W37" i="3"/>
  <c r="W14" i="3"/>
  <c r="W23" i="3"/>
  <c r="W24" i="3"/>
  <c r="W22" i="3"/>
  <c r="W19" i="3"/>
  <c r="W34" i="3"/>
  <c r="W26" i="3"/>
  <c r="W29" i="3"/>
  <c r="W17" i="3"/>
  <c r="W15" i="3"/>
  <c r="W9" i="3"/>
  <c r="W21" i="3"/>
  <c r="W31" i="3"/>
  <c r="W12" i="3"/>
  <c r="W7" i="3"/>
  <c r="W27" i="3"/>
  <c r="W16" i="3"/>
  <c r="W33" i="3"/>
  <c r="W28" i="3"/>
  <c r="W35" i="3"/>
  <c r="W13" i="3"/>
  <c r="W11" i="3"/>
  <c r="AG19" i="1"/>
  <c r="AG42" i="1"/>
  <c r="AG70" i="1"/>
  <c r="AG56" i="1"/>
  <c r="AG83" i="1"/>
  <c r="AG99" i="1"/>
  <c r="AG114" i="1"/>
  <c r="AG125" i="1"/>
  <c r="AG152" i="1"/>
  <c r="AG154" i="1"/>
  <c r="AG192" i="1"/>
  <c r="AG187" i="1"/>
  <c r="AG186" i="1"/>
  <c r="AG185" i="1"/>
  <c r="AG101" i="1"/>
  <c r="AG188" i="1"/>
  <c r="AG205" i="1"/>
  <c r="AG43" i="1"/>
  <c r="AG49" i="1"/>
  <c r="AG60" i="1"/>
  <c r="AG112" i="1"/>
  <c r="AG94" i="1"/>
  <c r="AG129" i="1"/>
  <c r="AG148" i="1"/>
  <c r="AG172" i="1"/>
  <c r="AG191" i="1"/>
  <c r="AG211" i="1"/>
  <c r="AG71" i="1"/>
  <c r="AG143" i="1"/>
  <c r="AG195" i="1"/>
  <c r="AG32" i="1"/>
  <c r="AG34" i="1"/>
  <c r="AG82" i="1"/>
  <c r="AG55" i="1"/>
  <c r="AG91" i="1"/>
  <c r="AG126" i="1"/>
  <c r="AG214" i="1"/>
  <c r="AG147" i="1"/>
  <c r="AG204" i="1"/>
  <c r="AG237" i="1"/>
  <c r="AG177" i="1"/>
  <c r="AG15" i="1"/>
  <c r="AG25" i="1"/>
  <c r="AG69" i="1"/>
  <c r="AG79" i="1"/>
  <c r="AG51" i="1"/>
  <c r="AG54" i="1"/>
  <c r="AG72" i="1"/>
  <c r="AG120" i="1"/>
  <c r="AG98" i="1"/>
  <c r="AG146" i="1"/>
  <c r="AG155" i="1"/>
  <c r="AG176" i="1"/>
  <c r="AG203" i="1"/>
  <c r="AG232" i="1"/>
  <c r="AG108" i="1"/>
  <c r="AG163" i="1"/>
  <c r="AG40" i="1"/>
  <c r="AG29" i="1"/>
  <c r="AG80" i="1"/>
  <c r="AG103" i="1"/>
  <c r="AG105" i="1"/>
  <c r="AG216" i="1"/>
  <c r="AG229" i="1"/>
  <c r="AG190" i="1"/>
  <c r="AG102" i="1"/>
  <c r="AG180" i="1"/>
  <c r="AG193" i="1"/>
  <c r="AG17" i="1"/>
  <c r="AG85" i="1"/>
  <c r="AG124" i="1"/>
  <c r="AG97" i="1"/>
  <c r="AG213" i="1"/>
  <c r="AG184" i="1"/>
  <c r="AG178" i="1"/>
  <c r="AG16" i="1"/>
  <c r="AG38" i="1"/>
  <c r="AG89" i="1"/>
  <c r="AG95" i="1"/>
  <c r="AG134" i="1"/>
  <c r="AG150" i="1"/>
  <c r="AG207" i="1"/>
  <c r="AG24" i="1"/>
  <c r="AG30" i="1"/>
  <c r="AG78" i="1"/>
  <c r="AG84" i="1"/>
  <c r="AG107" i="1"/>
  <c r="AG113" i="1"/>
  <c r="AG162" i="1"/>
  <c r="AG194" i="1"/>
  <c r="AG26" i="1"/>
  <c r="AG136" i="1"/>
  <c r="AG161" i="1"/>
  <c r="AG208" i="1"/>
  <c r="AG169" i="1"/>
  <c r="AG241" i="1"/>
  <c r="AG63" i="1"/>
  <c r="AG153" i="1"/>
  <c r="AG165" i="1"/>
  <c r="AG52" i="1"/>
  <c r="AG111" i="1"/>
  <c r="AG159" i="1"/>
  <c r="AG198" i="1"/>
  <c r="AG76" i="1"/>
  <c r="AG121" i="1"/>
  <c r="AG48" i="1"/>
  <c r="AG57" i="1"/>
  <c r="AG157" i="1"/>
  <c r="AG173" i="1"/>
  <c r="AG44" i="1"/>
  <c r="AG21" i="1"/>
  <c r="AG61" i="1"/>
  <c r="AG67" i="1"/>
  <c r="AG115" i="1"/>
  <c r="AG93" i="1"/>
  <c r="AG137" i="1"/>
  <c r="AG219" i="1"/>
  <c r="AG234" i="1"/>
  <c r="AG170" i="1"/>
  <c r="AG201" i="1"/>
  <c r="AG212" i="1"/>
  <c r="AG240" i="1"/>
  <c r="AG22" i="1"/>
  <c r="AG53" i="1"/>
  <c r="AG92" i="1"/>
  <c r="AG118" i="1"/>
  <c r="AG222" i="1"/>
  <c r="AG231" i="1"/>
  <c r="AG224" i="1"/>
  <c r="AG189" i="1"/>
  <c r="AG141" i="1"/>
  <c r="AG174" i="1"/>
  <c r="AG31" i="1"/>
  <c r="AG62" i="1"/>
  <c r="AG75" i="1"/>
  <c r="AG135" i="1"/>
  <c r="AG142" i="1"/>
  <c r="AG215" i="1"/>
  <c r="AG179" i="1"/>
  <c r="AG236" i="1"/>
  <c r="AG39" i="1"/>
  <c r="AG66" i="1"/>
  <c r="AG59" i="1"/>
  <c r="AG139" i="1"/>
  <c r="AG149" i="1"/>
  <c r="AG225" i="1"/>
  <c r="AG206" i="1"/>
  <c r="AG27" i="1"/>
  <c r="AG33" i="1"/>
  <c r="AG81" i="1"/>
  <c r="AG116" i="1"/>
  <c r="AG122" i="1"/>
  <c r="AG160" i="1"/>
  <c r="AG175" i="1"/>
  <c r="AG226" i="1"/>
  <c r="AG156" i="1"/>
  <c r="AG100" i="1"/>
  <c r="AG199" i="1"/>
  <c r="AG18" i="1"/>
  <c r="AG128" i="1"/>
  <c r="AG144" i="1"/>
  <c r="AG181" i="1"/>
  <c r="AG58" i="1"/>
  <c r="AG140" i="1"/>
  <c r="AG87" i="1"/>
  <c r="AG228" i="1"/>
  <c r="AG74" i="1"/>
  <c r="AG167" i="1"/>
  <c r="AG221" i="1"/>
  <c r="AG68" i="1"/>
  <c r="AG238" i="1"/>
  <c r="AG45" i="1"/>
  <c r="AG119" i="1"/>
  <c r="AG182" i="1"/>
  <c r="AG50" i="1"/>
  <c r="AG127" i="1"/>
  <c r="AG35" i="1"/>
  <c r="AG37" i="1"/>
  <c r="AG77" i="1"/>
  <c r="AG104" i="1"/>
  <c r="AG131" i="1"/>
  <c r="AG109" i="1"/>
  <c r="AG217" i="1"/>
  <c r="AG239" i="1"/>
  <c r="AG171" i="1"/>
  <c r="AG202" i="1"/>
  <c r="AG230" i="1"/>
  <c r="AG223" i="1"/>
  <c r="AG20" i="1"/>
  <c r="AG46" i="1"/>
  <c r="AG73" i="1"/>
  <c r="AG132" i="1"/>
  <c r="AG138" i="1"/>
  <c r="AG196" i="1"/>
  <c r="AG166" i="1"/>
  <c r="AG209" i="1"/>
  <c r="AG235" i="1"/>
  <c r="AG227" i="1"/>
  <c r="AG14" i="1"/>
  <c r="AG65" i="1"/>
  <c r="AG106" i="1"/>
  <c r="AG145" i="1"/>
  <c r="AG164" i="1"/>
  <c r="AG197" i="1"/>
  <c r="AG90" i="1"/>
  <c r="AG110" i="1"/>
  <c r="AG183" i="1"/>
  <c r="AG47" i="1"/>
  <c r="AG64" i="1"/>
  <c r="AG151" i="1"/>
  <c r="AG28" i="1"/>
  <c r="AG86" i="1"/>
  <c r="AG88" i="1"/>
  <c r="AG130" i="1"/>
  <c r="AG220" i="1"/>
  <c r="AG233" i="1"/>
  <c r="AG218" i="1"/>
  <c r="AG23" i="1"/>
  <c r="AG123" i="1"/>
  <c r="AG158" i="1"/>
  <c r="AG133" i="1"/>
  <c r="AG41" i="1"/>
  <c r="AG117" i="1"/>
  <c r="AG36" i="1"/>
  <c r="AG168" i="1"/>
  <c r="AG96" i="1"/>
  <c r="AG200" i="1"/>
  <c r="T151" i="1" l="1"/>
  <c r="X151" i="1"/>
  <c r="AA197" i="1"/>
  <c r="AA162" i="1"/>
  <c r="W162" i="1" s="1"/>
  <c r="X160" i="1"/>
  <c r="T196" i="1"/>
  <c r="X204" i="1"/>
  <c r="AA161" i="1"/>
  <c r="W161" i="1" s="1"/>
  <c r="X152" i="1"/>
  <c r="T150" i="1"/>
  <c r="X150" i="1"/>
  <c r="AA150" i="1"/>
  <c r="X71" i="1"/>
  <c r="T71" i="1"/>
  <c r="X234" i="1"/>
  <c r="T234" i="1"/>
  <c r="U234" i="1" s="1"/>
  <c r="S234" i="1" s="1"/>
  <c r="X87" i="1"/>
  <c r="T87" i="1"/>
  <c r="U87" i="1" s="1"/>
  <c r="S87" i="1" s="1"/>
  <c r="X121" i="1"/>
  <c r="T121" i="1"/>
  <c r="U121" i="1" s="1"/>
  <c r="S121" i="1" s="1"/>
  <c r="R36" i="3"/>
  <c r="X188" i="1"/>
  <c r="T188" i="1"/>
  <c r="U188" i="1" s="1"/>
  <c r="S188" i="1" s="1"/>
  <c r="T184" i="1"/>
  <c r="X184" i="1"/>
  <c r="X55" i="1"/>
  <c r="T55" i="1"/>
  <c r="U55" i="1" s="1"/>
  <c r="S55" i="1" s="1"/>
  <c r="R32" i="3"/>
  <c r="X163" i="1"/>
  <c r="T163" i="1"/>
  <c r="U163" i="1" s="1"/>
  <c r="S163" i="1" s="1"/>
  <c r="AA226" i="1"/>
  <c r="W226" i="1" s="1"/>
  <c r="AA224" i="1"/>
  <c r="W224" i="1" s="1"/>
  <c r="X221" i="1"/>
  <c r="X63" i="1"/>
  <c r="AA211" i="1"/>
  <c r="W211" i="1" s="1"/>
  <c r="AA204" i="1"/>
  <c r="W204" i="1" s="1"/>
  <c r="AA194" i="1"/>
  <c r="AA188" i="1"/>
  <c r="AA181" i="1"/>
  <c r="W181" i="1" s="1"/>
  <c r="AA179" i="1"/>
  <c r="W179" i="1" s="1"/>
  <c r="AA171" i="1"/>
  <c r="AA165" i="1"/>
  <c r="W165" i="1" s="1"/>
  <c r="AA236" i="1"/>
  <c r="AA218" i="1"/>
  <c r="W218" i="1" s="1"/>
  <c r="AA159" i="1"/>
  <c r="AA152" i="1"/>
  <c r="AA145" i="1"/>
  <c r="AA142" i="1"/>
  <c r="AA140" i="1"/>
  <c r="X137" i="1"/>
  <c r="AA127" i="1"/>
  <c r="AA123" i="1"/>
  <c r="AA121" i="1"/>
  <c r="AA116" i="1"/>
  <c r="W116" i="1" s="1"/>
  <c r="X113" i="1"/>
  <c r="AA108" i="1"/>
  <c r="X105" i="1"/>
  <c r="AA91" i="1"/>
  <c r="W91" i="1" s="1"/>
  <c r="AA89" i="1"/>
  <c r="W89" i="1" s="1"/>
  <c r="X79" i="1"/>
  <c r="AA77" i="1"/>
  <c r="X66" i="1"/>
  <c r="AA64" i="1"/>
  <c r="W64" i="1" s="1"/>
  <c r="AA44" i="1"/>
  <c r="AA36" i="1"/>
  <c r="AA20" i="1"/>
  <c r="AA195" i="1"/>
  <c r="W195" i="1" s="1"/>
  <c r="AA191" i="1"/>
  <c r="AA219" i="1"/>
  <c r="AA160" i="1"/>
  <c r="W160" i="1" s="1"/>
  <c r="AA151" i="1"/>
  <c r="W151" i="1" s="1"/>
  <c r="X144" i="1"/>
  <c r="AA113" i="1"/>
  <c r="W113" i="1" s="1"/>
  <c r="AA105" i="1"/>
  <c r="AA104" i="1"/>
  <c r="AA97" i="1"/>
  <c r="X93" i="1"/>
  <c r="AA90" i="1"/>
  <c r="W90" i="1" s="1"/>
  <c r="AA88" i="1"/>
  <c r="AA78" i="1"/>
  <c r="AA74" i="1"/>
  <c r="W74" i="1" s="1"/>
  <c r="AA72" i="1"/>
  <c r="W72" i="1" s="1"/>
  <c r="AA66" i="1"/>
  <c r="AA65" i="1"/>
  <c r="AA58" i="1"/>
  <c r="AA56" i="1"/>
  <c r="W56" i="1" s="1"/>
  <c r="AA52" i="1"/>
  <c r="AA50" i="1"/>
  <c r="AA16" i="1"/>
  <c r="W16" i="1" s="1"/>
  <c r="X200" i="1"/>
  <c r="T180" i="1"/>
  <c r="AA225" i="1"/>
  <c r="AA205" i="1"/>
  <c r="W205" i="1" s="1"/>
  <c r="T204" i="1"/>
  <c r="U204" i="1" s="1"/>
  <c r="S204" i="1" s="1"/>
  <c r="AA202" i="1"/>
  <c r="W202" i="1" s="1"/>
  <c r="AA199" i="1"/>
  <c r="X192" i="1"/>
  <c r="AA187" i="1"/>
  <c r="W187" i="1" s="1"/>
  <c r="AA180" i="1"/>
  <c r="W180" i="1" s="1"/>
  <c r="AA173" i="1"/>
  <c r="X238" i="1"/>
  <c r="X233" i="1"/>
  <c r="AA233" i="1"/>
  <c r="T221" i="1"/>
  <c r="X217" i="1"/>
  <c r="AA217" i="1"/>
  <c r="W217" i="1" s="1"/>
  <c r="X216" i="1"/>
  <c r="AA214" i="1"/>
  <c r="X159" i="1"/>
  <c r="AA157" i="1"/>
  <c r="W157" i="1" s="1"/>
  <c r="AA153" i="1"/>
  <c r="W153" i="1" s="1"/>
  <c r="AA149" i="1"/>
  <c r="AA146" i="1"/>
  <c r="AA144" i="1"/>
  <c r="AA136" i="1"/>
  <c r="X132" i="1"/>
  <c r="AA128" i="1"/>
  <c r="X124" i="1"/>
  <c r="X120" i="1"/>
  <c r="AA118" i="1"/>
  <c r="X117" i="1"/>
  <c r="X104" i="1"/>
  <c r="AA102" i="1"/>
  <c r="X101" i="1"/>
  <c r="AA85" i="1"/>
  <c r="W85" i="1" s="1"/>
  <c r="T83" i="1"/>
  <c r="U83" i="1" s="1"/>
  <c r="S83" i="1" s="1"/>
  <c r="X78" i="1"/>
  <c r="AA76" i="1"/>
  <c r="X75" i="1"/>
  <c r="AA69" i="1"/>
  <c r="W69" i="1" s="1"/>
  <c r="X62" i="1"/>
  <c r="AA60" i="1"/>
  <c r="X59" i="1"/>
  <c r="AA53" i="1"/>
  <c r="X48" i="1"/>
  <c r="X36" i="1"/>
  <c r="T160" i="1"/>
  <c r="T152" i="1"/>
  <c r="U152" i="1" s="1"/>
  <c r="S152" i="1" s="1"/>
  <c r="X133" i="1"/>
  <c r="X125" i="1"/>
  <c r="AA100" i="1"/>
  <c r="T79" i="1"/>
  <c r="U79" i="1" s="1"/>
  <c r="S79" i="1" s="1"/>
  <c r="X74" i="1"/>
  <c r="T63" i="1"/>
  <c r="X58" i="1"/>
  <c r="X51" i="1"/>
  <c r="AA49" i="1"/>
  <c r="AA43" i="1"/>
  <c r="T40" i="1"/>
  <c r="U40" i="1" s="1"/>
  <c r="S40" i="1" s="1"/>
  <c r="AA39" i="1"/>
  <c r="W39" i="1" s="1"/>
  <c r="AA35" i="1"/>
  <c r="X20" i="1"/>
  <c r="X19" i="1"/>
  <c r="X16" i="1"/>
  <c r="X15" i="1"/>
  <c r="X229" i="1"/>
  <c r="X208" i="1"/>
  <c r="AA203" i="1"/>
  <c r="AA196" i="1"/>
  <c r="W196" i="1" s="1"/>
  <c r="AA189" i="1"/>
  <c r="AA186" i="1"/>
  <c r="AA183" i="1"/>
  <c r="X176" i="1"/>
  <c r="X172" i="1"/>
  <c r="AA169" i="1"/>
  <c r="W169" i="1" s="1"/>
  <c r="AA166" i="1"/>
  <c r="W166" i="1" s="1"/>
  <c r="AA240" i="1"/>
  <c r="X220" i="1"/>
  <c r="AA215" i="1"/>
  <c r="AA212" i="1"/>
  <c r="W212" i="1" s="1"/>
  <c r="AA158" i="1"/>
  <c r="W158" i="1" s="1"/>
  <c r="AA155" i="1"/>
  <c r="X148" i="1"/>
  <c r="X136" i="1"/>
  <c r="AA132" i="1"/>
  <c r="X128" i="1"/>
  <c r="AA124" i="1"/>
  <c r="W124" i="1" s="1"/>
  <c r="AA110" i="1"/>
  <c r="W110" i="1" s="1"/>
  <c r="X109" i="1"/>
  <c r="AA98" i="1"/>
  <c r="AA96" i="1"/>
  <c r="AA84" i="1"/>
  <c r="W84" i="1" s="1"/>
  <c r="AA68" i="1"/>
  <c r="X67" i="1"/>
  <c r="T225" i="1"/>
  <c r="U225" i="1" s="1"/>
  <c r="S225" i="1" s="1"/>
  <c r="AA41" i="1"/>
  <c r="W41" i="1" s="1"/>
  <c r="AA38" i="1"/>
  <c r="X35" i="1"/>
  <c r="AA33" i="1"/>
  <c r="W33" i="1" s="1"/>
  <c r="AA25" i="1"/>
  <c r="W25" i="1" s="1"/>
  <c r="X23" i="1"/>
  <c r="AA19" i="1"/>
  <c r="AA15" i="1"/>
  <c r="W15" i="1" s="1"/>
  <c r="AA229" i="1"/>
  <c r="W229" i="1" s="1"/>
  <c r="X228" i="1"/>
  <c r="X207" i="1"/>
  <c r="X199" i="1"/>
  <c r="X191" i="1"/>
  <c r="X183" i="1"/>
  <c r="X175" i="1"/>
  <c r="AA172" i="1"/>
  <c r="W172" i="1" s="1"/>
  <c r="T172" i="1"/>
  <c r="U172" i="1" s="1"/>
  <c r="S172" i="1" s="1"/>
  <c r="X168" i="1"/>
  <c r="X167" i="1"/>
  <c r="AA164" i="1"/>
  <c r="W164" i="1" s="1"/>
  <c r="AA163" i="1"/>
  <c r="W163" i="1" s="1"/>
  <c r="T241" i="1"/>
  <c r="U241" i="1" s="1"/>
  <c r="S241" i="1" s="1"/>
  <c r="AA239" i="1"/>
  <c r="AA238" i="1"/>
  <c r="W238" i="1" s="1"/>
  <c r="T237" i="1"/>
  <c r="U237" i="1" s="1"/>
  <c r="S237" i="1" s="1"/>
  <c r="AA235" i="1"/>
  <c r="AA234" i="1"/>
  <c r="T233" i="1"/>
  <c r="U233" i="1" s="1"/>
  <c r="S233" i="1" s="1"/>
  <c r="AA231" i="1"/>
  <c r="X156" i="1"/>
  <c r="AA156" i="1"/>
  <c r="T149" i="1"/>
  <c r="U149" i="1" s="1"/>
  <c r="S149" i="1" s="1"/>
  <c r="AA209" i="1"/>
  <c r="AA201" i="1"/>
  <c r="W201" i="1" s="1"/>
  <c r="AA193" i="1"/>
  <c r="W193" i="1" s="1"/>
  <c r="AA185" i="1"/>
  <c r="AA177" i="1"/>
  <c r="T217" i="1"/>
  <c r="U217" i="1" s="1"/>
  <c r="S217" i="1" s="1"/>
  <c r="X155" i="1"/>
  <c r="AA230" i="1"/>
  <c r="W230" i="1" s="1"/>
  <c r="X224" i="1"/>
  <c r="AA208" i="1"/>
  <c r="X203" i="1"/>
  <c r="AA200" i="1"/>
  <c r="X195" i="1"/>
  <c r="AA192" i="1"/>
  <c r="W192" i="1" s="1"/>
  <c r="X187" i="1"/>
  <c r="AA184" i="1"/>
  <c r="W184" i="1" s="1"/>
  <c r="X179" i="1"/>
  <c r="AA176" i="1"/>
  <c r="X171" i="1"/>
  <c r="AA168" i="1"/>
  <c r="AA222" i="1"/>
  <c r="AA221" i="1"/>
  <c r="AA213" i="1"/>
  <c r="W213" i="1" s="1"/>
  <c r="T141" i="1"/>
  <c r="U141" i="1" s="1"/>
  <c r="S141" i="1" s="1"/>
  <c r="X141" i="1"/>
  <c r="AA227" i="1"/>
  <c r="W227" i="1" s="1"/>
  <c r="AA206" i="1"/>
  <c r="AA198" i="1"/>
  <c r="AA190" i="1"/>
  <c r="W190" i="1" s="1"/>
  <c r="AA182" i="1"/>
  <c r="W182" i="1" s="1"/>
  <c r="AA174" i="1"/>
  <c r="T145" i="1"/>
  <c r="X145" i="1"/>
  <c r="T52" i="1"/>
  <c r="AA48" i="1"/>
  <c r="T47" i="1"/>
  <c r="U47" i="1" s="1"/>
  <c r="S47" i="1" s="1"/>
  <c r="AA45" i="1"/>
  <c r="X44" i="1"/>
  <c r="X39" i="1"/>
  <c r="T36" i="1"/>
  <c r="U36" i="1" s="1"/>
  <c r="S36" i="1" s="1"/>
  <c r="T33" i="1"/>
  <c r="U33" i="1" s="1"/>
  <c r="S33" i="1" s="1"/>
  <c r="X31" i="1"/>
  <c r="X28" i="1"/>
  <c r="X25" i="1"/>
  <c r="T23" i="1"/>
  <c r="U23" i="1" s="1"/>
  <c r="S23" i="1" s="1"/>
  <c r="AA22" i="1"/>
  <c r="W22" i="1" s="1"/>
  <c r="AA21" i="1"/>
  <c r="T20" i="1"/>
  <c r="U20" i="1" s="1"/>
  <c r="S20" i="1" s="1"/>
  <c r="T16" i="1"/>
  <c r="X219" i="1"/>
  <c r="X215" i="1"/>
  <c r="X162" i="1"/>
  <c r="X158" i="1"/>
  <c r="X154" i="1"/>
  <c r="X147" i="1"/>
  <c r="X143" i="1"/>
  <c r="AA137" i="1"/>
  <c r="W137" i="1" s="1"/>
  <c r="AA133" i="1"/>
  <c r="AA129" i="1"/>
  <c r="AA125" i="1"/>
  <c r="W125" i="1" s="1"/>
  <c r="AA119" i="1"/>
  <c r="W119" i="1" s="1"/>
  <c r="X116" i="1"/>
  <c r="AA111" i="1"/>
  <c r="X108" i="1"/>
  <c r="AA103" i="1"/>
  <c r="W103" i="1" s="1"/>
  <c r="X97" i="1"/>
  <c r="AA93" i="1"/>
  <c r="X90" i="1"/>
  <c r="AA87" i="1"/>
  <c r="W87" i="1" s="1"/>
  <c r="AA83" i="1"/>
  <c r="AA79" i="1"/>
  <c r="AA75" i="1"/>
  <c r="W75" i="1" s="1"/>
  <c r="AA71" i="1"/>
  <c r="AA67" i="1"/>
  <c r="AA63" i="1"/>
  <c r="AA55" i="1"/>
  <c r="X43" i="1"/>
  <c r="X27" i="1"/>
  <c r="X24" i="1"/>
  <c r="AA14" i="1"/>
  <c r="W14" i="1" s="1"/>
  <c r="AA138" i="1"/>
  <c r="AA134" i="1"/>
  <c r="AA130" i="1"/>
  <c r="AA126" i="1"/>
  <c r="W126" i="1" s="1"/>
  <c r="AA122" i="1"/>
  <c r="W122" i="1" s="1"/>
  <c r="AA117" i="1"/>
  <c r="AA114" i="1"/>
  <c r="AA109" i="1"/>
  <c r="AA106" i="1"/>
  <c r="W106" i="1" s="1"/>
  <c r="AA101" i="1"/>
  <c r="AA99" i="1"/>
  <c r="AA94" i="1"/>
  <c r="W94" i="1" s="1"/>
  <c r="X85" i="1"/>
  <c r="X81" i="1"/>
  <c r="X77" i="1"/>
  <c r="X73" i="1"/>
  <c r="X69" i="1"/>
  <c r="X65" i="1"/>
  <c r="X61" i="1"/>
  <c r="X57" i="1"/>
  <c r="X53" i="1"/>
  <c r="AA40" i="1"/>
  <c r="AA37" i="1"/>
  <c r="AA30" i="1"/>
  <c r="AA29" i="1"/>
  <c r="AA141" i="1"/>
  <c r="X140" i="1"/>
  <c r="AA115" i="1"/>
  <c r="W115" i="1" s="1"/>
  <c r="AA107" i="1"/>
  <c r="W107" i="1" s="1"/>
  <c r="AA95" i="1"/>
  <c r="AI241" i="1"/>
  <c r="U230" i="1"/>
  <c r="S230" i="1" s="1"/>
  <c r="AI237" i="1"/>
  <c r="U226" i="1"/>
  <c r="S226" i="1" s="1"/>
  <c r="AI233" i="1"/>
  <c r="U209" i="1"/>
  <c r="S209" i="1" s="1"/>
  <c r="AI229" i="1"/>
  <c r="U205" i="1"/>
  <c r="S205" i="1" s="1"/>
  <c r="AI225" i="1"/>
  <c r="U201" i="1"/>
  <c r="S201" i="1" s="1"/>
  <c r="AI221" i="1"/>
  <c r="U197" i="1"/>
  <c r="S197" i="1" s="1"/>
  <c r="AI217" i="1"/>
  <c r="U193" i="1"/>
  <c r="S193" i="1" s="1"/>
  <c r="AI213" i="1"/>
  <c r="U189" i="1"/>
  <c r="S189" i="1" s="1"/>
  <c r="AI208" i="1"/>
  <c r="U185" i="1"/>
  <c r="S185" i="1" s="1"/>
  <c r="AI204" i="1"/>
  <c r="U181" i="1"/>
  <c r="S181" i="1" s="1"/>
  <c r="AI200" i="1"/>
  <c r="U177" i="1"/>
  <c r="S177" i="1" s="1"/>
  <c r="AI196" i="1"/>
  <c r="U173" i="1"/>
  <c r="S173" i="1" s="1"/>
  <c r="AI192" i="1"/>
  <c r="U169" i="1"/>
  <c r="S169" i="1" s="1"/>
  <c r="AI188" i="1"/>
  <c r="U165" i="1"/>
  <c r="S165" i="1" s="1"/>
  <c r="AI184" i="1"/>
  <c r="U240" i="1"/>
  <c r="S240" i="1" s="1"/>
  <c r="AI180" i="1"/>
  <c r="U236" i="1"/>
  <c r="S236" i="1" s="1"/>
  <c r="AI176" i="1"/>
  <c r="U232" i="1"/>
  <c r="S232" i="1" s="1"/>
  <c r="AI238" i="1"/>
  <c r="AI234" i="1"/>
  <c r="AI230" i="1"/>
  <c r="AI226" i="1"/>
  <c r="AI222" i="1"/>
  <c r="AI218" i="1"/>
  <c r="AI214" i="1"/>
  <c r="AI209" i="1"/>
  <c r="AI205" i="1"/>
  <c r="AI201" i="1"/>
  <c r="AI197" i="1"/>
  <c r="AI193" i="1"/>
  <c r="AI189" i="1"/>
  <c r="AI185" i="1"/>
  <c r="AI181" i="1"/>
  <c r="AI177" i="1"/>
  <c r="U228" i="1"/>
  <c r="S228" i="1" s="1"/>
  <c r="AI239" i="1"/>
  <c r="U224" i="1"/>
  <c r="S224" i="1" s="1"/>
  <c r="AI235" i="1"/>
  <c r="U207" i="1"/>
  <c r="S207" i="1" s="1"/>
  <c r="AI231" i="1"/>
  <c r="U203" i="1"/>
  <c r="S203" i="1" s="1"/>
  <c r="AI227" i="1"/>
  <c r="U199" i="1"/>
  <c r="S199" i="1" s="1"/>
  <c r="AI223" i="1"/>
  <c r="U195" i="1"/>
  <c r="S195" i="1" s="1"/>
  <c r="AI219" i="1"/>
  <c r="U191" i="1"/>
  <c r="S191" i="1" s="1"/>
  <c r="AI215" i="1"/>
  <c r="U187" i="1"/>
  <c r="S187" i="1"/>
  <c r="AI211" i="1"/>
  <c r="U183" i="1"/>
  <c r="S183" i="1" s="1"/>
  <c r="AI206" i="1"/>
  <c r="U179" i="1"/>
  <c r="S179" i="1" s="1"/>
  <c r="AI202" i="1"/>
  <c r="U175" i="1"/>
  <c r="S175" i="1" s="1"/>
  <c r="AI198" i="1"/>
  <c r="U171" i="1"/>
  <c r="S171" i="1" s="1"/>
  <c r="AI194" i="1"/>
  <c r="U167" i="1"/>
  <c r="S167" i="1" s="1"/>
  <c r="AI190" i="1"/>
  <c r="AI186" i="1"/>
  <c r="U238" i="1"/>
  <c r="S238" i="1" s="1"/>
  <c r="AI182" i="1"/>
  <c r="AI178" i="1"/>
  <c r="AI172" i="1"/>
  <c r="U221" i="1"/>
  <c r="S221" i="1" s="1"/>
  <c r="U229" i="1"/>
  <c r="S229" i="1" s="1"/>
  <c r="AI240" i="1"/>
  <c r="AI236" i="1"/>
  <c r="U208" i="1"/>
  <c r="S208" i="1" s="1"/>
  <c r="AI232" i="1"/>
  <c r="AI228" i="1"/>
  <c r="U200" i="1"/>
  <c r="S200" i="1" s="1"/>
  <c r="AI224" i="1"/>
  <c r="U196" i="1"/>
  <c r="S196" i="1" s="1"/>
  <c r="AI220" i="1"/>
  <c r="U192" i="1"/>
  <c r="S192" i="1" s="1"/>
  <c r="AI216" i="1"/>
  <c r="AI212" i="1"/>
  <c r="U184" i="1"/>
  <c r="S184" i="1" s="1"/>
  <c r="AI207" i="1"/>
  <c r="U180" i="1"/>
  <c r="S180" i="1" s="1"/>
  <c r="AI203" i="1"/>
  <c r="U176" i="1"/>
  <c r="S176" i="1" s="1"/>
  <c r="AI199" i="1"/>
  <c r="AI195" i="1"/>
  <c r="U168" i="1"/>
  <c r="S168" i="1" s="1"/>
  <c r="AI191" i="1"/>
  <c r="U164" i="1"/>
  <c r="S164" i="1" s="1"/>
  <c r="AI187" i="1"/>
  <c r="U239" i="1"/>
  <c r="S239" i="1" s="1"/>
  <c r="AI183" i="1"/>
  <c r="U235" i="1"/>
  <c r="S235" i="1"/>
  <c r="AI179" i="1"/>
  <c r="U231" i="1"/>
  <c r="S231" i="1" s="1"/>
  <c r="AI175" i="1"/>
  <c r="AI174" i="1"/>
  <c r="U219" i="1"/>
  <c r="S219" i="1" s="1"/>
  <c r="AI170" i="1"/>
  <c r="AI166" i="1"/>
  <c r="U215" i="1"/>
  <c r="S215" i="1" s="1"/>
  <c r="AI162" i="1"/>
  <c r="U162" i="1"/>
  <c r="S162" i="1" s="1"/>
  <c r="AI158" i="1"/>
  <c r="U158" i="1"/>
  <c r="S158" i="1" s="1"/>
  <c r="AI154" i="1"/>
  <c r="U154" i="1"/>
  <c r="S154" i="1" s="1"/>
  <c r="AI150" i="1"/>
  <c r="U150" i="1"/>
  <c r="S150" i="1" s="1"/>
  <c r="AI147" i="1"/>
  <c r="U147" i="1"/>
  <c r="S147" i="1" s="1"/>
  <c r="AI143" i="1"/>
  <c r="U143" i="1"/>
  <c r="S143" i="1" s="1"/>
  <c r="AI171" i="1"/>
  <c r="U220" i="1"/>
  <c r="S220" i="1" s="1"/>
  <c r="AI167" i="1"/>
  <c r="U216" i="1"/>
  <c r="S216" i="1" s="1"/>
  <c r="AI163" i="1"/>
  <c r="U212" i="1"/>
  <c r="S212" i="1" s="1"/>
  <c r="AI159" i="1"/>
  <c r="U159" i="1"/>
  <c r="S159" i="1" s="1"/>
  <c r="AI155" i="1"/>
  <c r="U155" i="1"/>
  <c r="S155" i="1" s="1"/>
  <c r="AI151" i="1"/>
  <c r="U151" i="1"/>
  <c r="S151" i="1" s="1"/>
  <c r="AI148" i="1"/>
  <c r="U148" i="1"/>
  <c r="S148" i="1" s="1"/>
  <c r="AI144" i="1"/>
  <c r="U144" i="1"/>
  <c r="S144" i="1" s="1"/>
  <c r="AI168" i="1"/>
  <c r="U213" i="1"/>
  <c r="S213" i="1" s="1"/>
  <c r="AI164" i="1"/>
  <c r="U160" i="1"/>
  <c r="AI160" i="1"/>
  <c r="U156" i="1"/>
  <c r="S156" i="1" s="1"/>
  <c r="AI156" i="1"/>
  <c r="AI152" i="1"/>
  <c r="AI149" i="1"/>
  <c r="U145" i="1"/>
  <c r="S145" i="1" s="1"/>
  <c r="AI145" i="1"/>
  <c r="AI141" i="1"/>
  <c r="AI137" i="1"/>
  <c r="U137" i="1"/>
  <c r="AI173" i="1"/>
  <c r="AI169" i="1"/>
  <c r="AI165" i="1"/>
  <c r="AI161" i="1"/>
  <c r="AI157" i="1"/>
  <c r="AI153" i="1"/>
  <c r="AI146" i="1"/>
  <c r="AI142" i="1"/>
  <c r="AI133" i="1"/>
  <c r="U133" i="1"/>
  <c r="S133" i="1" s="1"/>
  <c r="AI129" i="1"/>
  <c r="U129" i="1"/>
  <c r="S129" i="1" s="1"/>
  <c r="AI125" i="1"/>
  <c r="U125" i="1"/>
  <c r="S125" i="1" s="1"/>
  <c r="AI121" i="1"/>
  <c r="AI117" i="1"/>
  <c r="U117" i="1"/>
  <c r="S117" i="1" s="1"/>
  <c r="AI113" i="1"/>
  <c r="U113" i="1"/>
  <c r="S113" i="1" s="1"/>
  <c r="AI109" i="1"/>
  <c r="U109" i="1"/>
  <c r="S109" i="1" s="1"/>
  <c r="AI105" i="1"/>
  <c r="U105" i="1"/>
  <c r="S105" i="1" s="1"/>
  <c r="AI101" i="1"/>
  <c r="U101" i="1"/>
  <c r="S101" i="1" s="1"/>
  <c r="AI97" i="1"/>
  <c r="U97" i="1"/>
  <c r="S97" i="1" s="1"/>
  <c r="AI93" i="1"/>
  <c r="U93" i="1"/>
  <c r="S93" i="1" s="1"/>
  <c r="AI87" i="1"/>
  <c r="AI138" i="1"/>
  <c r="AI134" i="1"/>
  <c r="U134" i="1"/>
  <c r="S134" i="1" s="1"/>
  <c r="AI130" i="1"/>
  <c r="U130" i="1"/>
  <c r="S130" i="1" s="1"/>
  <c r="AI126" i="1"/>
  <c r="U126" i="1"/>
  <c r="S126" i="1" s="1"/>
  <c r="AI122" i="1"/>
  <c r="U122" i="1"/>
  <c r="S122" i="1" s="1"/>
  <c r="AI118" i="1"/>
  <c r="U118" i="1"/>
  <c r="S118" i="1" s="1"/>
  <c r="AI114" i="1"/>
  <c r="U114" i="1"/>
  <c r="S114" i="1" s="1"/>
  <c r="AI110" i="1"/>
  <c r="U110" i="1"/>
  <c r="S110" i="1" s="1"/>
  <c r="AI106" i="1"/>
  <c r="U106" i="1"/>
  <c r="S106" i="1" s="1"/>
  <c r="AI102" i="1"/>
  <c r="U102" i="1"/>
  <c r="S102" i="1" s="1"/>
  <c r="AI98" i="1"/>
  <c r="U98" i="1"/>
  <c r="S98" i="1" s="1"/>
  <c r="AI94" i="1"/>
  <c r="U94" i="1"/>
  <c r="S94" i="1" s="1"/>
  <c r="AI139" i="1"/>
  <c r="U135" i="1"/>
  <c r="S135" i="1" s="1"/>
  <c r="AI135" i="1"/>
  <c r="U131" i="1"/>
  <c r="S131" i="1" s="1"/>
  <c r="AI131" i="1"/>
  <c r="U127" i="1"/>
  <c r="S127" i="1" s="1"/>
  <c r="AI127" i="1"/>
  <c r="U123" i="1"/>
  <c r="S123" i="1" s="1"/>
  <c r="AI123" i="1"/>
  <c r="U119" i="1"/>
  <c r="S119" i="1" s="1"/>
  <c r="AI119" i="1"/>
  <c r="U115" i="1"/>
  <c r="S115" i="1" s="1"/>
  <c r="AI115" i="1"/>
  <c r="U111" i="1"/>
  <c r="S111" i="1" s="1"/>
  <c r="AI111" i="1"/>
  <c r="U107" i="1"/>
  <c r="S107" i="1" s="1"/>
  <c r="AI107" i="1"/>
  <c r="U103" i="1"/>
  <c r="S103" i="1" s="1"/>
  <c r="AI103" i="1"/>
  <c r="U99" i="1"/>
  <c r="S99" i="1" s="1"/>
  <c r="AI99" i="1"/>
  <c r="U95" i="1"/>
  <c r="S95" i="1" s="1"/>
  <c r="AI95" i="1"/>
  <c r="U91" i="1"/>
  <c r="S91" i="1" s="1"/>
  <c r="AI91" i="1"/>
  <c r="U140" i="1"/>
  <c r="S140" i="1" s="1"/>
  <c r="AI140" i="1"/>
  <c r="U136" i="1"/>
  <c r="S136" i="1" s="1"/>
  <c r="AI136" i="1"/>
  <c r="U132" i="1"/>
  <c r="S132" i="1" s="1"/>
  <c r="AI132" i="1"/>
  <c r="U128" i="1"/>
  <c r="AI128" i="1"/>
  <c r="U124" i="1"/>
  <c r="S124" i="1" s="1"/>
  <c r="AI124" i="1"/>
  <c r="U120" i="1"/>
  <c r="S120" i="1" s="1"/>
  <c r="AI120" i="1"/>
  <c r="U116" i="1"/>
  <c r="S116" i="1" s="1"/>
  <c r="AI116" i="1"/>
  <c r="U112" i="1"/>
  <c r="S112" i="1" s="1"/>
  <c r="AI112" i="1"/>
  <c r="U108" i="1"/>
  <c r="S108" i="1" s="1"/>
  <c r="AI108" i="1"/>
  <c r="U104" i="1"/>
  <c r="S104" i="1"/>
  <c r="AI104" i="1"/>
  <c r="U100" i="1"/>
  <c r="S100" i="1" s="1"/>
  <c r="AI100" i="1"/>
  <c r="U96" i="1"/>
  <c r="S96" i="1" s="1"/>
  <c r="AI96" i="1"/>
  <c r="U92" i="1"/>
  <c r="S92" i="1" s="1"/>
  <c r="AI92" i="1"/>
  <c r="AI83" i="1"/>
  <c r="AI79" i="1"/>
  <c r="AI75" i="1"/>
  <c r="U75" i="1"/>
  <c r="S75" i="1" s="1"/>
  <c r="AI71" i="1"/>
  <c r="U71" i="1"/>
  <c r="S71" i="1" s="1"/>
  <c r="AI67" i="1"/>
  <c r="U67" i="1"/>
  <c r="S67" i="1" s="1"/>
  <c r="AI63" i="1"/>
  <c r="U63" i="1"/>
  <c r="S63" i="1" s="1"/>
  <c r="AI59" i="1"/>
  <c r="U59" i="1"/>
  <c r="S59" i="1" s="1"/>
  <c r="AI55" i="1"/>
  <c r="AI88" i="1"/>
  <c r="AI84" i="1"/>
  <c r="AI80" i="1"/>
  <c r="AI76" i="1"/>
  <c r="AI72" i="1"/>
  <c r="AI68" i="1"/>
  <c r="AI64" i="1"/>
  <c r="AI60" i="1"/>
  <c r="AI56" i="1"/>
  <c r="U89" i="1"/>
  <c r="S89" i="1" s="1"/>
  <c r="AI89" i="1"/>
  <c r="U85" i="1"/>
  <c r="S85" i="1" s="1"/>
  <c r="AI85" i="1"/>
  <c r="U81" i="1"/>
  <c r="S81" i="1" s="1"/>
  <c r="AI81" i="1"/>
  <c r="U77" i="1"/>
  <c r="S77" i="1" s="1"/>
  <c r="AI77" i="1"/>
  <c r="U73" i="1"/>
  <c r="S73" i="1" s="1"/>
  <c r="AI73" i="1"/>
  <c r="U69" i="1"/>
  <c r="AI69" i="1"/>
  <c r="U65" i="1"/>
  <c r="S65" i="1" s="1"/>
  <c r="AI65" i="1"/>
  <c r="U61" i="1"/>
  <c r="S61" i="1" s="1"/>
  <c r="AI61" i="1"/>
  <c r="U57" i="1"/>
  <c r="S57" i="1"/>
  <c r="AI57" i="1"/>
  <c r="AI53" i="1"/>
  <c r="U90" i="1"/>
  <c r="S90" i="1" s="1"/>
  <c r="AI90" i="1"/>
  <c r="U86" i="1"/>
  <c r="S86" i="1" s="1"/>
  <c r="AI86" i="1"/>
  <c r="U82" i="1"/>
  <c r="S82" i="1" s="1"/>
  <c r="AI82" i="1"/>
  <c r="U78" i="1"/>
  <c r="S78" i="1" s="1"/>
  <c r="AI78" i="1"/>
  <c r="U74" i="1"/>
  <c r="S74" i="1" s="1"/>
  <c r="AI74" i="1"/>
  <c r="U70" i="1"/>
  <c r="S70" i="1" s="1"/>
  <c r="AI70" i="1"/>
  <c r="U66" i="1"/>
  <c r="S66" i="1" s="1"/>
  <c r="AI66" i="1"/>
  <c r="U62" i="1"/>
  <c r="S62" i="1" s="1"/>
  <c r="AI62" i="1"/>
  <c r="U58" i="1"/>
  <c r="S58" i="1" s="1"/>
  <c r="AI58" i="1"/>
  <c r="U54" i="1"/>
  <c r="S54" i="1" s="1"/>
  <c r="AI54" i="1"/>
  <c r="AI49" i="1"/>
  <c r="U49" i="1"/>
  <c r="S49" i="1" s="1"/>
  <c r="AI45" i="1"/>
  <c r="U45" i="1"/>
  <c r="S45" i="1" s="1"/>
  <c r="AI41" i="1"/>
  <c r="U41" i="1"/>
  <c r="S41" i="1" s="1"/>
  <c r="AI37" i="1"/>
  <c r="U37" i="1"/>
  <c r="S37" i="1" s="1"/>
  <c r="AI33" i="1"/>
  <c r="AI29" i="1"/>
  <c r="U29" i="1"/>
  <c r="S29" i="1" s="1"/>
  <c r="AI25" i="1"/>
  <c r="U25" i="1"/>
  <c r="S25" i="1" s="1"/>
  <c r="AI21" i="1"/>
  <c r="U21" i="1"/>
  <c r="S21" i="1" s="1"/>
  <c r="AI17" i="1"/>
  <c r="U17" i="1"/>
  <c r="S17" i="1" s="1"/>
  <c r="AI50" i="1"/>
  <c r="U50" i="1"/>
  <c r="S50" i="1" s="1"/>
  <c r="AI46" i="1"/>
  <c r="U46" i="1"/>
  <c r="S46" i="1" s="1"/>
  <c r="AI42" i="1"/>
  <c r="U42" i="1"/>
  <c r="S42" i="1" s="1"/>
  <c r="AI38" i="1"/>
  <c r="U38" i="1"/>
  <c r="S38" i="1" s="1"/>
  <c r="AI34" i="1"/>
  <c r="U34" i="1"/>
  <c r="S34" i="1" s="1"/>
  <c r="AI30" i="1"/>
  <c r="U30" i="1"/>
  <c r="S30" i="1" s="1"/>
  <c r="AI26" i="1"/>
  <c r="U26" i="1"/>
  <c r="S26" i="1" s="1"/>
  <c r="AI22" i="1"/>
  <c r="U22" i="1"/>
  <c r="S22" i="1" s="1"/>
  <c r="AI18" i="1"/>
  <c r="U18" i="1"/>
  <c r="S18" i="1" s="1"/>
  <c r="AI14" i="1"/>
  <c r="U14" i="1"/>
  <c r="S14" i="1" s="1"/>
  <c r="U51" i="1"/>
  <c r="S51" i="1" s="1"/>
  <c r="AI51" i="1"/>
  <c r="AI47" i="1"/>
  <c r="U43" i="1"/>
  <c r="S43" i="1" s="1"/>
  <c r="AI43" i="1"/>
  <c r="U39" i="1"/>
  <c r="S39" i="1" s="1"/>
  <c r="AI39" i="1"/>
  <c r="U35" i="1"/>
  <c r="S35" i="1" s="1"/>
  <c r="AI35" i="1"/>
  <c r="U31" i="1"/>
  <c r="S31" i="1" s="1"/>
  <c r="AI31" i="1"/>
  <c r="U27" i="1"/>
  <c r="S27" i="1" s="1"/>
  <c r="AI27" i="1"/>
  <c r="AI23" i="1"/>
  <c r="U19" i="1"/>
  <c r="S19" i="1" s="1"/>
  <c r="AI19" i="1"/>
  <c r="U15" i="1"/>
  <c r="S15" i="1" s="1"/>
  <c r="AI15" i="1"/>
  <c r="U52" i="1"/>
  <c r="S52" i="1" s="1"/>
  <c r="AI52" i="1"/>
  <c r="U48" i="1"/>
  <c r="S48" i="1" s="1"/>
  <c r="AI48" i="1"/>
  <c r="U44" i="1"/>
  <c r="S44" i="1" s="1"/>
  <c r="AI44" i="1"/>
  <c r="AI40" i="1"/>
  <c r="AI36" i="1"/>
  <c r="U32" i="1"/>
  <c r="S32" i="1" s="1"/>
  <c r="AI32" i="1"/>
  <c r="U28" i="1"/>
  <c r="S28" i="1" s="1"/>
  <c r="AI28" i="1"/>
  <c r="U24" i="1"/>
  <c r="S24" i="1" s="1"/>
  <c r="AI24" i="1"/>
  <c r="AI20" i="1"/>
  <c r="U16" i="1"/>
  <c r="S16" i="1" s="1"/>
  <c r="AI16" i="1"/>
  <c r="W209" i="1"/>
  <c r="W203" i="1"/>
  <c r="W194" i="1"/>
  <c r="W186" i="1"/>
  <c r="W185" i="1"/>
  <c r="W178" i="1"/>
  <c r="W177" i="1"/>
  <c r="W171" i="1"/>
  <c r="W170" i="1"/>
  <c r="W240" i="1"/>
  <c r="W236" i="1"/>
  <c r="W232" i="1"/>
  <c r="W208" i="1"/>
  <c r="W200" i="1"/>
  <c r="W176" i="1"/>
  <c r="W168" i="1"/>
  <c r="W223" i="1"/>
  <c r="W219" i="1"/>
  <c r="W228" i="1"/>
  <c r="W207" i="1"/>
  <c r="W206" i="1"/>
  <c r="W199" i="1"/>
  <c r="W198" i="1"/>
  <c r="W197" i="1"/>
  <c r="W191" i="1"/>
  <c r="W189" i="1"/>
  <c r="W183" i="1"/>
  <c r="W175" i="1"/>
  <c r="W174" i="1"/>
  <c r="W173" i="1"/>
  <c r="W167" i="1"/>
  <c r="W241" i="1"/>
  <c r="W237" i="1"/>
  <c r="W233" i="1"/>
  <c r="W225" i="1"/>
  <c r="W188" i="1"/>
  <c r="W239" i="1"/>
  <c r="W235" i="1"/>
  <c r="W234" i="1"/>
  <c r="W231" i="1"/>
  <c r="X164" i="1"/>
  <c r="X239" i="1"/>
  <c r="X235" i="1"/>
  <c r="X231" i="1"/>
  <c r="W222" i="1"/>
  <c r="W215" i="1"/>
  <c r="W214" i="1"/>
  <c r="W156" i="1"/>
  <c r="W154" i="1"/>
  <c r="W152" i="1"/>
  <c r="W150" i="1"/>
  <c r="W149" i="1"/>
  <c r="W147" i="1"/>
  <c r="W146" i="1"/>
  <c r="W145" i="1"/>
  <c r="W143" i="1"/>
  <c r="W142" i="1"/>
  <c r="X230" i="1"/>
  <c r="X226" i="1"/>
  <c r="X209" i="1"/>
  <c r="X205" i="1"/>
  <c r="X201" i="1"/>
  <c r="X197" i="1"/>
  <c r="X193" i="1"/>
  <c r="X189" i="1"/>
  <c r="X185" i="1"/>
  <c r="X181" i="1"/>
  <c r="X177" i="1"/>
  <c r="X173" i="1"/>
  <c r="X169" i="1"/>
  <c r="X165" i="1"/>
  <c r="X240" i="1"/>
  <c r="X236" i="1"/>
  <c r="X232" i="1"/>
  <c r="T222" i="1"/>
  <c r="U222" i="1" s="1"/>
  <c r="S222" i="1" s="1"/>
  <c r="X222" i="1"/>
  <c r="W221" i="1"/>
  <c r="W220" i="1"/>
  <c r="X227" i="1"/>
  <c r="T227" i="1"/>
  <c r="U227" i="1" s="1"/>
  <c r="S227" i="1" s="1"/>
  <c r="T211" i="1"/>
  <c r="U211" i="1" s="1"/>
  <c r="S211" i="1" s="1"/>
  <c r="X206" i="1"/>
  <c r="T206" i="1"/>
  <c r="U206" i="1" s="1"/>
  <c r="S206" i="1" s="1"/>
  <c r="X202" i="1"/>
  <c r="T202" i="1"/>
  <c r="U202" i="1" s="1"/>
  <c r="S202" i="1" s="1"/>
  <c r="X198" i="1"/>
  <c r="T198" i="1"/>
  <c r="U198" i="1" s="1"/>
  <c r="S198" i="1" s="1"/>
  <c r="X194" i="1"/>
  <c r="T194" i="1"/>
  <c r="U194" i="1" s="1"/>
  <c r="S194" i="1" s="1"/>
  <c r="X190" i="1"/>
  <c r="T190" i="1"/>
  <c r="U190" i="1" s="1"/>
  <c r="S190" i="1" s="1"/>
  <c r="X186" i="1"/>
  <c r="T186" i="1"/>
  <c r="U186" i="1" s="1"/>
  <c r="S186" i="1" s="1"/>
  <c r="X182" i="1"/>
  <c r="T182" i="1"/>
  <c r="U182" i="1" s="1"/>
  <c r="S182" i="1" s="1"/>
  <c r="X178" i="1"/>
  <c r="T178" i="1"/>
  <c r="U178" i="1" s="1"/>
  <c r="S178" i="1" s="1"/>
  <c r="X174" i="1"/>
  <c r="T174" i="1"/>
  <c r="U174" i="1" s="1"/>
  <c r="S174" i="1" s="1"/>
  <c r="X170" i="1"/>
  <c r="T170" i="1"/>
  <c r="U170" i="1" s="1"/>
  <c r="S170" i="1" s="1"/>
  <c r="X166" i="1"/>
  <c r="T166" i="1"/>
  <c r="U166" i="1" s="1"/>
  <c r="S166" i="1" s="1"/>
  <c r="W140" i="1"/>
  <c r="W139" i="1"/>
  <c r="T223" i="1"/>
  <c r="U223" i="1" s="1"/>
  <c r="S223" i="1" s="1"/>
  <c r="X223" i="1"/>
  <c r="W216" i="1"/>
  <c r="W159" i="1"/>
  <c r="W155" i="1"/>
  <c r="W148" i="1"/>
  <c r="W144" i="1"/>
  <c r="X218" i="1"/>
  <c r="T218" i="1"/>
  <c r="U218" i="1" s="1"/>
  <c r="S218" i="1" s="1"/>
  <c r="X214" i="1"/>
  <c r="T214" i="1"/>
  <c r="U214" i="1" s="1"/>
  <c r="S214" i="1" s="1"/>
  <c r="X161" i="1"/>
  <c r="T161" i="1"/>
  <c r="U161" i="1" s="1"/>
  <c r="S161" i="1" s="1"/>
  <c r="X157" i="1"/>
  <c r="T157" i="1"/>
  <c r="U157" i="1" s="1"/>
  <c r="S157" i="1" s="1"/>
  <c r="X153" i="1"/>
  <c r="T153" i="1"/>
  <c r="U153" i="1" s="1"/>
  <c r="S153" i="1" s="1"/>
  <c r="X146" i="1"/>
  <c r="T146" i="1"/>
  <c r="U146" i="1" s="1"/>
  <c r="S146" i="1" s="1"/>
  <c r="X142" i="1"/>
  <c r="T142" i="1"/>
  <c r="U142" i="1" s="1"/>
  <c r="S142" i="1" s="1"/>
  <c r="W141" i="1"/>
  <c r="W138" i="1"/>
  <c r="W121" i="1"/>
  <c r="W120" i="1"/>
  <c r="W118" i="1"/>
  <c r="W112" i="1"/>
  <c r="W105" i="1"/>
  <c r="W104" i="1"/>
  <c r="W102" i="1"/>
  <c r="W97" i="1"/>
  <c r="W92" i="1"/>
  <c r="T138" i="1"/>
  <c r="U138" i="1" s="1"/>
  <c r="S138" i="1" s="1"/>
  <c r="X138" i="1"/>
  <c r="W136" i="1"/>
  <c r="W133" i="1"/>
  <c r="W132" i="1"/>
  <c r="W129" i="1"/>
  <c r="W128" i="1"/>
  <c r="W111" i="1"/>
  <c r="W98" i="1"/>
  <c r="W93" i="1"/>
  <c r="W135" i="1"/>
  <c r="W134" i="1"/>
  <c r="W131" i="1"/>
  <c r="W130" i="1"/>
  <c r="W127" i="1"/>
  <c r="W123" i="1"/>
  <c r="W117" i="1"/>
  <c r="W114" i="1"/>
  <c r="W109" i="1"/>
  <c r="W108" i="1"/>
  <c r="W101" i="1"/>
  <c r="W100" i="1"/>
  <c r="W99" i="1"/>
  <c r="T139" i="1"/>
  <c r="U139" i="1" s="1"/>
  <c r="S139" i="1" s="1"/>
  <c r="X139" i="1"/>
  <c r="W96" i="1"/>
  <c r="W95" i="1"/>
  <c r="X100" i="1"/>
  <c r="X96" i="1"/>
  <c r="X92" i="1"/>
  <c r="W82" i="1"/>
  <c r="W78" i="1"/>
  <c r="W70" i="1"/>
  <c r="W66" i="1"/>
  <c r="W62" i="1"/>
  <c r="W59" i="1"/>
  <c r="W58" i="1"/>
  <c r="W54" i="1"/>
  <c r="W83" i="1"/>
  <c r="W81" i="1"/>
  <c r="W80" i="1"/>
  <c r="W79" i="1"/>
  <c r="W77" i="1"/>
  <c r="W76" i="1"/>
  <c r="W73" i="1"/>
  <c r="W71" i="1"/>
  <c r="W68" i="1"/>
  <c r="W67" i="1"/>
  <c r="W65" i="1"/>
  <c r="W63" i="1"/>
  <c r="W61" i="1"/>
  <c r="W60" i="1"/>
  <c r="W57" i="1"/>
  <c r="W55" i="1"/>
  <c r="X134" i="1"/>
  <c r="X130" i="1"/>
  <c r="X126" i="1"/>
  <c r="X122" i="1"/>
  <c r="X118" i="1"/>
  <c r="X114" i="1"/>
  <c r="X110" i="1"/>
  <c r="X106" i="1"/>
  <c r="X102" i="1"/>
  <c r="X98" i="1"/>
  <c r="X94" i="1"/>
  <c r="W88" i="1"/>
  <c r="X135" i="1"/>
  <c r="X131" i="1"/>
  <c r="X127" i="1"/>
  <c r="X123" i="1"/>
  <c r="X119" i="1"/>
  <c r="X115" i="1"/>
  <c r="X111" i="1"/>
  <c r="X107" i="1"/>
  <c r="X103" i="1"/>
  <c r="X99" i="1"/>
  <c r="X95" i="1"/>
  <c r="X91" i="1"/>
  <c r="T88" i="1"/>
  <c r="U88" i="1" s="1"/>
  <c r="S88" i="1" s="1"/>
  <c r="X88" i="1"/>
  <c r="W86" i="1"/>
  <c r="W53" i="1"/>
  <c r="W51" i="1"/>
  <c r="W48" i="1"/>
  <c r="W46" i="1"/>
  <c r="W45" i="1"/>
  <c r="W35" i="1"/>
  <c r="W32" i="1"/>
  <c r="W21" i="1"/>
  <c r="W19" i="1"/>
  <c r="W52" i="1"/>
  <c r="W50" i="1"/>
  <c r="W49" i="1"/>
  <c r="W36" i="1"/>
  <c r="W34" i="1"/>
  <c r="W31" i="1"/>
  <c r="W28" i="1"/>
  <c r="W18" i="1"/>
  <c r="X84" i="1"/>
  <c r="T84" i="1"/>
  <c r="U84" i="1" s="1"/>
  <c r="S84" i="1" s="1"/>
  <c r="X80" i="1"/>
  <c r="T80" i="1"/>
  <c r="U80" i="1" s="1"/>
  <c r="S80" i="1" s="1"/>
  <c r="X76" i="1"/>
  <c r="T76" i="1"/>
  <c r="U76" i="1" s="1"/>
  <c r="S76" i="1" s="1"/>
  <c r="X72" i="1"/>
  <c r="T72" i="1"/>
  <c r="U72" i="1" s="1"/>
  <c r="S72" i="1" s="1"/>
  <c r="X68" i="1"/>
  <c r="T68" i="1"/>
  <c r="U68" i="1" s="1"/>
  <c r="S68" i="1" s="1"/>
  <c r="X64" i="1"/>
  <c r="T64" i="1"/>
  <c r="U64" i="1" s="1"/>
  <c r="S64" i="1" s="1"/>
  <c r="X60" i="1"/>
  <c r="T60" i="1"/>
  <c r="U60" i="1" s="1"/>
  <c r="S60" i="1" s="1"/>
  <c r="X56" i="1"/>
  <c r="T56" i="1"/>
  <c r="U56" i="1" s="1"/>
  <c r="S56" i="1" s="1"/>
  <c r="T53" i="1"/>
  <c r="U53" i="1" s="1"/>
  <c r="S53" i="1" s="1"/>
  <c r="W43" i="1"/>
  <c r="W40" i="1"/>
  <c r="W38" i="1"/>
  <c r="W37" i="1"/>
  <c r="W30" i="1"/>
  <c r="W29" i="1"/>
  <c r="W27" i="1"/>
  <c r="W24" i="1"/>
  <c r="X89" i="1"/>
  <c r="W47" i="1"/>
  <c r="W44" i="1"/>
  <c r="W42" i="1"/>
  <c r="W26" i="1"/>
  <c r="W23" i="1"/>
  <c r="W20" i="1"/>
  <c r="W17" i="1"/>
  <c r="X49" i="1"/>
  <c r="X45" i="1"/>
  <c r="X41" i="1"/>
  <c r="X37" i="1"/>
  <c r="X50" i="1"/>
  <c r="X46" i="1"/>
  <c r="X42" i="1"/>
  <c r="X38" i="1"/>
  <c r="X34" i="1"/>
  <c r="X30" i="1"/>
  <c r="X26" i="1"/>
  <c r="X22" i="1"/>
  <c r="X18" i="1"/>
  <c r="AD18" i="3"/>
  <c r="AE12" i="3"/>
  <c r="AD8" i="3"/>
  <c r="AC9" i="3"/>
  <c r="AD29" i="3"/>
  <c r="AD22" i="3"/>
  <c r="AC12" i="3"/>
  <c r="T12" i="3"/>
  <c r="AC8" i="3"/>
  <c r="AD17" i="3"/>
  <c r="AD16" i="3"/>
  <c r="AD10" i="3"/>
  <c r="AD21" i="3"/>
  <c r="AD14" i="3"/>
  <c r="AD9" i="3"/>
  <c r="AE20" i="3"/>
  <c r="AE8" i="3"/>
  <c r="AC11" i="3"/>
  <c r="T11" i="3"/>
  <c r="AC15" i="3"/>
  <c r="AC29" i="3"/>
  <c r="AE32" i="3"/>
  <c r="AC39" i="3"/>
  <c r="T39" i="3"/>
  <c r="AC17" i="3"/>
  <c r="AC20" i="3"/>
  <c r="AE16" i="3"/>
  <c r="AC19" i="3"/>
  <c r="AC34" i="3"/>
  <c r="AC16" i="3"/>
  <c r="AC40" i="3"/>
  <c r="AC32" i="3"/>
  <c r="AC27" i="3"/>
  <c r="Y30" i="3"/>
  <c r="Y11" i="3"/>
  <c r="Y34" i="3"/>
  <c r="Y12" i="3"/>
  <c r="Y32" i="3"/>
  <c r="Y13" i="3"/>
  <c r="Y19" i="3"/>
  <c r="Y31" i="3"/>
  <c r="Y39" i="3"/>
  <c r="Y35" i="3"/>
  <c r="Y22" i="3"/>
  <c r="Y21" i="3"/>
  <c r="Y10" i="3"/>
  <c r="Y28" i="3"/>
  <c r="Y24" i="3"/>
  <c r="Y9" i="3"/>
  <c r="Y25" i="3"/>
  <c r="Y33" i="3"/>
  <c r="Y23" i="3"/>
  <c r="Y15" i="3"/>
  <c r="Y18" i="3"/>
  <c r="Y16" i="3"/>
  <c r="Y14" i="3"/>
  <c r="Y17" i="3"/>
  <c r="Y8" i="3"/>
  <c r="Y27" i="3"/>
  <c r="Y37" i="3"/>
  <c r="Y29" i="3"/>
  <c r="Y40" i="3"/>
  <c r="Y7" i="3"/>
  <c r="Y20" i="3"/>
  <c r="Y26" i="3"/>
  <c r="Y36" i="3"/>
  <c r="AE27" i="3"/>
  <c r="T23" i="3"/>
  <c r="AE23" i="3"/>
  <c r="T21" i="3"/>
  <c r="AE19" i="3"/>
  <c r="T10" i="3"/>
  <c r="AE15" i="3"/>
  <c r="T28" i="3"/>
  <c r="AE11" i="3"/>
  <c r="T24" i="3"/>
  <c r="AE39" i="3"/>
  <c r="T35" i="3"/>
  <c r="AE35" i="3"/>
  <c r="T22" i="3"/>
  <c r="AE31" i="3"/>
  <c r="T33" i="3"/>
  <c r="AD39" i="3"/>
  <c r="T15" i="3"/>
  <c r="AD35" i="3"/>
  <c r="T14" i="3"/>
  <c r="AD23" i="3"/>
  <c r="AE22" i="3"/>
  <c r="T17" i="3"/>
  <c r="AD19" i="3"/>
  <c r="AE18" i="3"/>
  <c r="T8" i="3"/>
  <c r="AD15" i="3"/>
  <c r="AE14" i="3"/>
  <c r="T27" i="3"/>
  <c r="AD11" i="3"/>
  <c r="AE10" i="3"/>
  <c r="T37" i="3"/>
  <c r="AE34" i="3"/>
  <c r="T18" i="3"/>
  <c r="AD31" i="3"/>
  <c r="AE30" i="3"/>
  <c r="T16" i="3"/>
  <c r="AD27" i="3"/>
  <c r="AE26" i="3"/>
  <c r="AE37" i="3"/>
  <c r="AE33" i="3"/>
  <c r="AE29" i="3"/>
  <c r="AE25" i="3"/>
  <c r="AE21" i="3"/>
  <c r="AE17" i="3"/>
  <c r="AE13" i="3"/>
  <c r="AE9" i="3"/>
  <c r="M38" i="3"/>
  <c r="R38" i="3"/>
  <c r="S38" i="3"/>
  <c r="U38" i="3"/>
  <c r="T38" i="3" s="1"/>
  <c r="V38" i="3"/>
  <c r="X38" i="3"/>
  <c r="W38" i="3"/>
  <c r="AE38" i="3" l="1"/>
  <c r="AD38" i="3"/>
  <c r="AC38" i="3"/>
  <c r="Y38" i="3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N35" i="3" s="1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N11" i="3" l="1"/>
  <c r="K13" i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G13" i="1"/>
  <c r="AA13" i="1" l="1"/>
  <c r="T13" i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N33" i="3" l="1"/>
  <c r="N18" i="3"/>
  <c r="N40" i="3"/>
  <c r="N8" i="3"/>
  <c r="N19" i="3"/>
  <c r="N25" i="3"/>
  <c r="N14" i="3"/>
  <c r="N12" i="3"/>
  <c r="N13" i="3"/>
  <c r="N24" i="3"/>
  <c r="N36" i="3"/>
  <c r="N37" i="3"/>
  <c r="N31" i="3"/>
  <c r="N22" i="3"/>
  <c r="N34" i="3"/>
  <c r="N16" i="3"/>
  <c r="N23" i="3"/>
  <c r="N39" i="3"/>
  <c r="N21" i="3"/>
  <c r="N7" i="3"/>
  <c r="N10" i="3"/>
  <c r="N20" i="3"/>
  <c r="N32" i="3"/>
  <c r="N28" i="3"/>
  <c r="N26" i="3"/>
  <c r="N15" i="3"/>
  <c r="N9" i="3"/>
  <c r="N29" i="3"/>
  <c r="N30" i="3"/>
  <c r="N17" i="3"/>
  <c r="N27" i="3"/>
  <c r="N38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V5" i="1" l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B3" i="6" l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4" i="6" l="1"/>
  <c r="F4" i="6" s="1"/>
  <c r="F3" i="6"/>
  <c r="G3" i="6"/>
  <c r="I3" i="6"/>
  <c r="H3" i="6"/>
  <c r="J3" i="6"/>
  <c r="J8" i="1"/>
  <c r="J4" i="1"/>
  <c r="S8" i="1"/>
  <c r="S4" i="1"/>
  <c r="J4" i="6" l="1"/>
  <c r="I4" i="6"/>
  <c r="G4" i="6"/>
  <c r="H4" i="6"/>
  <c r="B5" i="6"/>
  <c r="S9" i="1"/>
  <c r="J9" i="1"/>
  <c r="B6" i="6" l="1"/>
  <c r="H5" i="6"/>
  <c r="J5" i="6"/>
  <c r="F5" i="6"/>
  <c r="G5" i="6"/>
  <c r="I5" i="6"/>
  <c r="S11" i="1"/>
  <c r="A11" i="1"/>
  <c r="F6" i="6" l="1"/>
  <c r="I6" i="6"/>
  <c r="J6" i="6"/>
  <c r="G6" i="6"/>
  <c r="H6" i="6"/>
  <c r="B1" i="6"/>
  <c r="A5" i="3"/>
  <c r="B7" i="6" l="1"/>
  <c r="H7" i="6" l="1"/>
  <c r="F7" i="6"/>
  <c r="G7" i="6"/>
  <c r="I7" i="6"/>
  <c r="J7" i="6"/>
  <c r="B8" i="6"/>
  <c r="B9" i="6" l="1"/>
  <c r="G8" i="6"/>
  <c r="H8" i="6"/>
  <c r="I8" i="6"/>
  <c r="J8" i="6"/>
  <c r="F8" i="6"/>
  <c r="B10" i="6" l="1"/>
  <c r="I9" i="6"/>
  <c r="G9" i="6"/>
  <c r="F9" i="6"/>
  <c r="H9" i="6"/>
  <c r="J9" i="6"/>
  <c r="G10" i="6" l="1"/>
  <c r="F10" i="6"/>
  <c r="H10" i="6"/>
  <c r="I10" i="6"/>
  <c r="J10" i="6"/>
  <c r="B11" i="6"/>
  <c r="H11" i="6" l="1"/>
  <c r="J11" i="6"/>
  <c r="F11" i="6"/>
  <c r="G11" i="6"/>
  <c r="I11" i="6"/>
  <c r="B12" i="6"/>
  <c r="B13" i="6" l="1"/>
  <c r="F12" i="6"/>
  <c r="G12" i="6"/>
  <c r="I12" i="6"/>
  <c r="H12" i="6"/>
  <c r="J12" i="6"/>
  <c r="F13" i="6" l="1"/>
  <c r="G13" i="6"/>
  <c r="J13" i="6"/>
  <c r="H13" i="6"/>
  <c r="I13" i="6"/>
  <c r="B14" i="6"/>
  <c r="G14" i="6" l="1"/>
  <c r="J14" i="6"/>
  <c r="F14" i="6"/>
  <c r="H14" i="6"/>
  <c r="I14" i="6"/>
  <c r="B15" i="6"/>
  <c r="B16" i="6" l="1"/>
  <c r="F15" i="6"/>
  <c r="G15" i="6"/>
  <c r="H15" i="6"/>
  <c r="I15" i="6"/>
  <c r="J15" i="6"/>
  <c r="B17" i="6" l="1"/>
  <c r="J16" i="6"/>
  <c r="F16" i="6"/>
  <c r="I16" i="6"/>
  <c r="G16" i="6"/>
  <c r="H16" i="6"/>
  <c r="B18" i="6" l="1"/>
  <c r="G17" i="6"/>
  <c r="H17" i="6"/>
  <c r="F17" i="6"/>
  <c r="I17" i="6"/>
  <c r="J17" i="6"/>
  <c r="G18" i="6" l="1"/>
  <c r="I18" i="6"/>
  <c r="J18" i="6"/>
  <c r="F18" i="6"/>
  <c r="H18" i="6"/>
  <c r="B19" i="6"/>
  <c r="B20" i="6" l="1"/>
  <c r="J19" i="6"/>
  <c r="F19" i="6"/>
  <c r="H19" i="6"/>
  <c r="G19" i="6"/>
  <c r="I19" i="6"/>
  <c r="B21" i="6" l="1"/>
  <c r="H20" i="6"/>
  <c r="F20" i="6"/>
  <c r="I20" i="6"/>
  <c r="J20" i="6"/>
  <c r="G20" i="6"/>
  <c r="B23" i="6" l="1"/>
  <c r="B22" i="6"/>
  <c r="G21" i="6"/>
  <c r="H21" i="6"/>
  <c r="F21" i="6"/>
  <c r="I21" i="6"/>
  <c r="J21" i="6"/>
  <c r="G22" i="6" l="1"/>
  <c r="H22" i="6"/>
  <c r="I22" i="6"/>
  <c r="J22" i="6"/>
  <c r="F22" i="6"/>
  <c r="H23" i="6"/>
  <c r="J23" i="6"/>
  <c r="G23" i="6"/>
  <c r="I23" i="6"/>
  <c r="F23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<sst xmlns="http://schemas.openxmlformats.org/spreadsheetml/2006/main" count="2670" uniqueCount="997">
  <si>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</si>
  <si>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</si>
  <si>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</si>
  <si>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</si>
  <si>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</si>
  <si>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</si>
  <si>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</si>
  <si>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</si>
  <si>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</si>
  <si>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</si>
  <si>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</si>
  <si>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</si>
  <si>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</si>
  <si>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</si>
  <si>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</si>
  <si>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</si>
  <si>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</si>
  <si>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</si>
  <si>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</si>
  <si>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</si>
  <si>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</si>
  <si>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</si>
  <si>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</si>
  <si>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</si>
  <si>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</si>
  <si>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</si>
  <si>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</si>
  <si>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</si>
  <si>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</si>
  <si>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</si>
  <si>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</si>
  <si>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</si>
  <si>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</si>
  <si>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</si>
  <si>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</si>
  <si>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</si>
  <si>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</si>
  <si>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</si>
  <si>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</si>
  <si>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</si>
  <si>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</si>
  <si>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</si>
  <si>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</si>
  <si>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</si>
  <si>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</si>
  <si>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</si>
  <si>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</si>
  <si>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</si>
  <si>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</si>
  <si>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</si>
  <si>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</si>
  <si>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</si>
  <si>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</si>
  <si>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</si>
  <si>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</si>
  <si>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</si>
  <si>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</si>
  <si>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</si>
  <si>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</si>
  <si>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</si>
  <si>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</si>
  <si>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</si>
  <si>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</si>
  <si>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</si>
  <si>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</si>
  <si>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</si>
  <si>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</si>
  <si>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</si>
  <si>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</si>
  <si>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</si>
  <si>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</si>
  <si>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</si>
  <si>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</si>
  <si>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</si>
  <si>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</si>
  <si>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</si>
  <si>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</si>
  <si>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</si>
  <si>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</si>
  <si>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</si>
  <si>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</si>
  <si>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</si>
  <si>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</si>
  <si>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</si>
  <si>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</si>
  <si>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</si>
  <si>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</si>
  <si>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</si>
  <si>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</si>
  <si>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</si>
  <si>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</si>
  <si>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</si>
  <si>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</si>
  <si>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</si>
  <si>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</si>
  <si>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</si>
  <si>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</si>
  <si>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</si>
  <si>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</si>
  <si>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</si>
  <si>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</si>
  <si>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</si>
  <si>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</si>
  <si>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</si>
  <si>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</si>
  <si>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</si>
  <si>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</si>
  <si>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</si>
  <si>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</si>
  <si>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</si>
  <si>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</si>
  <si>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</si>
  <si>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</si>
  <si>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</si>
  <si>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</si>
  <si>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</si>
  <si>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</si>
  <si>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</si>
  <si>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</si>
  <si>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</si>
  <si>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</si>
  <si>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</si>
  <si>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</si>
  <si>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</si>
  <si>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</si>
  <si>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</si>
  <si>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</si>
  <si>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</si>
  <si>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</si>
  <si>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</si>
  <si>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</si>
  <si>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</si>
  <si>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</si>
  <si>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</si>
  <si>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</si>
  <si>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</si>
  <si>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</si>
  <si>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</si>
  <si>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</si>
  <si>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</si>
  <si>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</si>
  <si>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</si>
  <si>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</si>
  <si>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</si>
  <si>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</si>
  <si>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</si>
  <si>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</si>
  <si>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</si>
  <si>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</si>
  <si>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</si>
  <si>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</si>
  <si>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</si>
  <si>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</si>
  <si>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</si>
  <si>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</si>
  <si>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</si>
  <si>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</si>
  <si>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</si>
  <si>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</si>
  <si>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</si>
  <si>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</si>
  <si>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</si>
  <si>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</si>
  <si>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</si>
  <si>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</si>
  <si>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</si>
  <si>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</si>
  <si>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</si>
  <si>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</si>
  <si>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</si>
  <si>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</si>
  <si>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</si>
  <si>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</si>
  <si>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</si>
  <si>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</si>
  <si>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</si>
  <si>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</si>
  <si>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</si>
  <si>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</si>
  <si>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</si>
  <si>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</si>
  <si>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</si>
  <si>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</si>
  <si>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</si>
  <si>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</si>
  <si>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</si>
  <si>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</si>
  <si>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</si>
  <si>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</si>
  <si>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</si>
  <si>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</si>
  <si>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</si>
  <si>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</si>
  <si>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</si>
  <si>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</si>
  <si>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</si>
  <si>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</si>
  <si>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</si>
  <si>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</si>
  <si>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</si>
  <si>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</si>
  <si>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</si>
  <si>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</si>
  <si>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</si>
  <si>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</si>
  <si>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</si>
  <si>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</si>
  <si>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</si>
  <si>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</si>
  <si>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</si>
  <si>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</si>
  <si>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</si>
  <si>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</si>
  <si>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</si>
  <si>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</si>
  <si>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</si>
  <si>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</si>
  <si>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</si>
  <si>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</si>
  <si>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</si>
  <si>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</si>
  <si>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</si>
  <si>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</si>
  <si>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</si>
  <si>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</si>
  <si>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</si>
  <si>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</si>
  <si>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</si>
  <si>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</si>
  <si>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</si>
  <si>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</si>
  <si>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</si>
  <si>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</si>
  <si>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</si>
  <si>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</si>
  <si>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</si>
  <si>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</si>
  <si>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</si>
  <si>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</si>
  <si>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</si>
  <si>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</si>
  <si>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</si>
  <si>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</si>
  <si>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</si>
  <si>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</si>
  <si>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</si>
  <si>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</si>
  <si>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</si>
  <si>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</si>
  <si>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</si>
  <si>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</si>
  <si>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</si>
  <si>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</si>
  <si>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</si>
  <si>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</si>
  <si>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</si>
  <si>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</si>
  <si>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</si>
  <si>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</si>
  <si>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</si>
  <si>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</si>
  <si>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</si>
  <si>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</si>
  <si>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</si>
  <si>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</si>
  <si>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</si>
  <si>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</si>
  <si>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</si>
  <si>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</si>
  <si>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</si>
  <si>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</si>
  <si>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</si>
  <si>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</si>
  <si>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</si>
  <si>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</si>
  <si>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</si>
  <si>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</si>
  <si>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</si>
  <si>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</si>
  <si>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</si>
  <si>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</si>
  <si>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</si>
  <si>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</si>
  <si>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</si>
  <si>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</si>
  <si>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</si>
  <si>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</si>
  <si>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</si>
  <si>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</si>
  <si>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</si>
  <si>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</si>
  <si>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</si>
  <si>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</si>
  <si>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</si>
  <si>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</si>
  <si>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</si>
  <si>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</si>
  <si>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</si>
  <si>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</si>
  <si>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</si>
  <si>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</si>
  <si>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</si>
  <si>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</si>
  <si>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</si>
  <si>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</si>
  <si>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</si>
  <si>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</si>
  <si>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</si>
  <si>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</si>
  <si>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</si>
  <si>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</si>
  <si>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</si>
  <si>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</si>
  <si>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</si>
  <si>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</si>
  <si>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</si>
  <si>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</si>
  <si>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</si>
  <si>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</si>
  <si>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</si>
  <si>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</si>
  <si>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</si>
  <si>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</si>
  <si>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</si>
  <si>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</si>
  <si>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</si>
  <si>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</si>
  <si>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</si>
  <si>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</si>
  <si>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</si>
  <si>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</si>
  <si>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</si>
  <si>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</si>
  <si>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</si>
  <si>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</si>
  <si>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</si>
  <si>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</si>
  <si>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</si>
  <si>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</si>
  <si>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</si>
  <si>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</si>
  <si>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204:451</t>
  </si>
  <si>
    <t>204:453</t>
  </si>
  <si>
    <t>204:447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</si>
  <si>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</si>
  <si>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</si>
  <si>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</si>
  <si>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204:462</t>
  </si>
  <si>
    <t>204:154</t>
  </si>
  <si>
    <t>DAVIS</t>
  </si>
  <si>
    <t>M - F = 49 trips</t>
  </si>
  <si>
    <t>Sat - Sun = 35 Trips</t>
  </si>
  <si>
    <t>204:232996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</si>
  <si>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</si>
  <si>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</si>
  <si>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</si>
  <si>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</si>
  <si>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</si>
  <si>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</si>
  <si>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</si>
  <si>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</si>
  <si>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</si>
  <si>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</si>
  <si>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</si>
  <si>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</si>
  <si>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204:152</t>
  </si>
  <si>
    <t>204:449</t>
  </si>
  <si>
    <t>204:457</t>
  </si>
  <si>
    <t>SIGNAL</t>
  </si>
  <si>
    <t>Signal based authority (5)</t>
  </si>
  <si>
    <t>204:464</t>
  </si>
  <si>
    <t>Y</t>
  </si>
  <si>
    <t>204:145</t>
  </si>
  <si>
    <t>204:138</t>
  </si>
  <si>
    <t>clear-day</t>
  </si>
  <si>
    <t>Clear</t>
  </si>
  <si>
    <t>clear-night</t>
  </si>
  <si>
    <t>204:444</t>
  </si>
  <si>
    <t>204:471</t>
  </si>
  <si>
    <t>204:466</t>
  </si>
  <si>
    <t>204:233293</t>
  </si>
  <si>
    <t>Early Arrival</t>
  </si>
  <si>
    <t>204:156</t>
  </si>
  <si>
    <t>204:467</t>
  </si>
  <si>
    <t>rtdc.l.rtdc.4027:itc</t>
  </si>
  <si>
    <t>rtdc.l.rtdc.4028:itc</t>
  </si>
  <si>
    <t>rtdc.l.rtdc.4042:itc</t>
  </si>
  <si>
    <t>LOZA</t>
  </si>
  <si>
    <t>FIDEL</t>
  </si>
  <si>
    <t>BARRON</t>
  </si>
  <si>
    <t>PERLA</t>
  </si>
  <si>
    <t>WEST</t>
  </si>
  <si>
    <t>BRYAN</t>
  </si>
  <si>
    <t>204:232977</t>
  </si>
  <si>
    <t>204:232980</t>
  </si>
  <si>
    <t>204:473</t>
  </si>
  <si>
    <t>204:136</t>
  </si>
  <si>
    <t>204:139</t>
  </si>
  <si>
    <t>rtdc.l.rtdc.4030:itc</t>
  </si>
  <si>
    <t>rtdc.l.rtdc.4029:itc</t>
  </si>
  <si>
    <t>YANG</t>
  </si>
  <si>
    <t>JAN</t>
  </si>
  <si>
    <t>FORTUNATO</t>
  </si>
  <si>
    <t>FRANK</t>
  </si>
  <si>
    <t>204:233306</t>
  </si>
  <si>
    <t>204:469</t>
  </si>
  <si>
    <t>204:161</t>
  </si>
  <si>
    <t>204:233323</t>
  </si>
  <si>
    <t>204:233297</t>
  </si>
  <si>
    <t>204:233295</t>
  </si>
  <si>
    <t>rtdc.l.rtdc.4013:itc</t>
  </si>
  <si>
    <t>rtdc.l.rtdc.4041:itc</t>
  </si>
  <si>
    <t>rtdc.l.rtdc.4014:itc</t>
  </si>
  <si>
    <t>RESPASS</t>
  </si>
  <si>
    <t>AARON</t>
  </si>
  <si>
    <t>LAMAR</t>
  </si>
  <si>
    <t>NEKESHA</t>
  </si>
  <si>
    <t>239-23</t>
  </si>
  <si>
    <t>238-23</t>
  </si>
  <si>
    <t>241-23</t>
  </si>
  <si>
    <t>240-23</t>
  </si>
  <si>
    <t>243-23</t>
  </si>
  <si>
    <t>307-23</t>
  </si>
  <si>
    <t>242-23</t>
  </si>
  <si>
    <t>309-23</t>
  </si>
  <si>
    <t>244-23</t>
  </si>
  <si>
    <t>311-23</t>
  </si>
  <si>
    <t>313-23</t>
  </si>
  <si>
    <t>204:232983</t>
  </si>
  <si>
    <t>rtdc.l.rtdc.4006:itc</t>
  </si>
  <si>
    <t>WILLIAMS</t>
  </si>
  <si>
    <t>DONTE</t>
  </si>
  <si>
    <t>PERKINS</t>
  </si>
  <si>
    <t>DARREN</t>
  </si>
  <si>
    <t>204:232993</t>
  </si>
  <si>
    <t>204:232991</t>
  </si>
  <si>
    <t>204:232992</t>
  </si>
  <si>
    <t>204:477</t>
  </si>
  <si>
    <t>204:233305</t>
  </si>
  <si>
    <t>204:232988</t>
  </si>
  <si>
    <t>204:438</t>
  </si>
  <si>
    <t>204:167</t>
  </si>
  <si>
    <t>300:23310</t>
  </si>
  <si>
    <t>rtdc.l.rtdc.4062:itc</t>
  </si>
  <si>
    <t>204:232982</t>
  </si>
  <si>
    <t>204:233303</t>
  </si>
  <si>
    <t>204:233291</t>
  </si>
  <si>
    <t>204:437</t>
  </si>
  <si>
    <t>204:232981</t>
  </si>
  <si>
    <t>SPECTOR</t>
  </si>
  <si>
    <t>BONDS</t>
  </si>
  <si>
    <t>REYNALDO</t>
  </si>
  <si>
    <t>YORK</t>
  </si>
  <si>
    <t>EDGAR</t>
  </si>
  <si>
    <t>STARKS</t>
  </si>
  <si>
    <t>ANGELINA</t>
  </si>
  <si>
    <t>LEVIN</t>
  </si>
  <si>
    <t>SCOTT</t>
  </si>
  <si>
    <t>TOUSIGNAUT</t>
  </si>
  <si>
    <t>CARL</t>
  </si>
  <si>
    <t>GUNTHIER</t>
  </si>
  <si>
    <t>ERIC</t>
  </si>
  <si>
    <t>204:232969</t>
  </si>
  <si>
    <t>204:233304</t>
  </si>
  <si>
    <t>204:442</t>
  </si>
  <si>
    <t>204:132</t>
  </si>
  <si>
    <t>204:233017</t>
  </si>
  <si>
    <t>204:232965</t>
  </si>
  <si>
    <t>204:232989</t>
  </si>
  <si>
    <t>300:58623</t>
  </si>
  <si>
    <t>300:58626</t>
  </si>
  <si>
    <t>300:58624</t>
  </si>
  <si>
    <t>204:978</t>
  </si>
  <si>
    <t>300:58937</t>
  </si>
  <si>
    <t>300:58617</t>
  </si>
  <si>
    <t>300:58634</t>
  </si>
  <si>
    <t>SWITCH UNKNOWN</t>
  </si>
  <si>
    <t>Track device (7)</t>
  </si>
  <si>
    <t>rtdc.l.rtdc.4019:itc</t>
  </si>
  <si>
    <t>rtdc.l.rtdc.4020:itc</t>
  </si>
  <si>
    <t>BRUDER</t>
  </si>
  <si>
    <t>RICHARD</t>
  </si>
  <si>
    <t>NEWELL</t>
  </si>
  <si>
    <t>JAMES</t>
  </si>
  <si>
    <t>HART</t>
  </si>
  <si>
    <t>KEVIN</t>
  </si>
  <si>
    <t>BIRKHOLZ</t>
  </si>
  <si>
    <t>NADINE</t>
  </si>
  <si>
    <t>204:160</t>
  </si>
  <si>
    <t>204:233278</t>
  </si>
  <si>
    <t>204:460</t>
  </si>
  <si>
    <t>204:233013</t>
  </si>
  <si>
    <t>204:233316</t>
  </si>
  <si>
    <t>204:440</t>
  </si>
  <si>
    <t>300:23312</t>
  </si>
  <si>
    <t>300:23306</t>
  </si>
  <si>
    <t>300:23301</t>
  </si>
  <si>
    <t>204:969</t>
  </si>
  <si>
    <t>204:684</t>
  </si>
  <si>
    <t>204:685</t>
  </si>
  <si>
    <t>300:58943</t>
  </si>
  <si>
    <t>300:58628</t>
  </si>
  <si>
    <t>300:58621</t>
  </si>
  <si>
    <t>204:692</t>
  </si>
  <si>
    <t>300:58619</t>
  </si>
  <si>
    <t>300:58944</t>
  </si>
  <si>
    <t>204:967</t>
  </si>
  <si>
    <t>204:976</t>
  </si>
  <si>
    <t>204:661</t>
  </si>
  <si>
    <t>300:28786</t>
  </si>
  <si>
    <t>rtdc.l.rtdc.4012:itc</t>
  </si>
  <si>
    <t>rtdc.l.rtdc.4011:itc</t>
  </si>
  <si>
    <t>rtdc.l.rtdc.4017:itc</t>
  </si>
  <si>
    <t>rtdc.l.rtdc.4024:itc</t>
  </si>
  <si>
    <t>rtdc.l.rtdc.4023:itc</t>
  </si>
  <si>
    <t>244-31</t>
  </si>
  <si>
    <t>rtdc.l.rtdc.4040:itc</t>
  </si>
  <si>
    <t>MAELZER</t>
  </si>
  <si>
    <t>KURT</t>
  </si>
  <si>
    <t>WENDY</t>
  </si>
  <si>
    <t>HUFFSMITH</t>
  </si>
  <si>
    <t>MONTY</t>
  </si>
  <si>
    <t>MOSES</t>
  </si>
  <si>
    <t>BRADLEY</t>
  </si>
  <si>
    <t>GONZALEZ</t>
  </si>
  <si>
    <t>ARMANDO</t>
  </si>
  <si>
    <t>DELGADO</t>
  </si>
  <si>
    <t>DIANAH</t>
  </si>
  <si>
    <t>STORY</t>
  </si>
  <si>
    <t>SAMANTHA</t>
  </si>
  <si>
    <t>ZEWDU</t>
  </si>
  <si>
    <t>DEREJE</t>
  </si>
  <si>
    <t>NICHOLSON</t>
  </si>
  <si>
    <t>WESLEY</t>
  </si>
  <si>
    <t>rtdc.l.rtdc.4022:itc</t>
  </si>
  <si>
    <t>309-31</t>
  </si>
  <si>
    <t>311-31</t>
  </si>
  <si>
    <t>313-31</t>
  </si>
  <si>
    <t>precipType</t>
  </si>
  <si>
    <t>rain</t>
  </si>
  <si>
    <t>partly-cloudy-day</t>
  </si>
  <si>
    <t>Partly Cloudy</t>
  </si>
  <si>
    <t>partly-cloudy-night</t>
  </si>
  <si>
    <t>204:233363</t>
  </si>
  <si>
    <t>204:495</t>
  </si>
  <si>
    <t>204:475</t>
  </si>
  <si>
    <t>204:158</t>
  </si>
  <si>
    <t>204:233274</t>
  </si>
  <si>
    <t>204:232955</t>
  </si>
  <si>
    <t>204:232959</t>
  </si>
  <si>
    <t>204:233315</t>
  </si>
  <si>
    <t>204:232987</t>
  </si>
  <si>
    <t>204:232984</t>
  </si>
  <si>
    <t>204:233004</t>
  </si>
  <si>
    <t>204:232978</t>
  </si>
  <si>
    <t>204:233046</t>
  </si>
  <si>
    <t>204:233298</t>
  </si>
  <si>
    <t>204:233364</t>
  </si>
  <si>
    <t>204:233339</t>
  </si>
  <si>
    <t>204:233005</t>
  </si>
  <si>
    <t>204:233057</t>
  </si>
  <si>
    <t>204:478</t>
  </si>
  <si>
    <t>204:482</t>
  </si>
  <si>
    <t>204:233299</t>
  </si>
  <si>
    <t>300:23571</t>
  </si>
  <si>
    <t>300:58649</t>
  </si>
  <si>
    <t>204:974</t>
  </si>
  <si>
    <t>300:58961</t>
  </si>
  <si>
    <t>204:656</t>
  </si>
  <si>
    <t>204:964</t>
  </si>
  <si>
    <t>300:58656</t>
  </si>
  <si>
    <t>300:58954</t>
  </si>
  <si>
    <t>204:698</t>
  </si>
  <si>
    <t>204:678</t>
  </si>
  <si>
    <t>204:990</t>
  </si>
  <si>
    <t>start /low /b %USERPROFILE%\Documents\GitHub\eaglep3\Utilities\DownloadLogsFromS3.py --loco 4011 --day 2017-09-01</t>
  </si>
  <si>
    <t>start /low /b %USERPROFILE%\Documents\GitHub\eaglep3\Utilities\DownloadLogsFromS3.py --loco 4012 --day 2017-09-01</t>
  </si>
  <si>
    <t>rtdc.l.rtdc.4049:itc</t>
  </si>
  <si>
    <t>300-01</t>
  </si>
  <si>
    <t>rtdc.l.rtdc.4026:itc</t>
  </si>
  <si>
    <t>105-01</t>
  </si>
  <si>
    <t>rtdc.l.rtdc.4056:itc</t>
  </si>
  <si>
    <t>901-01</t>
  </si>
  <si>
    <t>SWITCH ALIGNMENT</t>
  </si>
  <si>
    <t>rtdc.l.rtdc.4055:itc</t>
  </si>
  <si>
    <t>800-01</t>
  </si>
  <si>
    <t>114-01</t>
  </si>
  <si>
    <t>rtdc.l.rtdc.4044:itc</t>
  </si>
  <si>
    <t>803-01</t>
  </si>
  <si>
    <t>805-01</t>
  </si>
  <si>
    <t>807-01</t>
  </si>
  <si>
    <t>133-01</t>
  </si>
  <si>
    <t>rtdc.l.rtdc.4057:itc</t>
  </si>
  <si>
    <t>132-01</t>
  </si>
  <si>
    <t>136-01</t>
  </si>
  <si>
    <t>141-01</t>
  </si>
  <si>
    <t>143-01</t>
  </si>
  <si>
    <t>147-01</t>
  </si>
  <si>
    <t>58-01</t>
  </si>
  <si>
    <t>rtdc.l.rtdc.4031:itc</t>
  </si>
  <si>
    <t>64-01</t>
  </si>
  <si>
    <t>163-01</t>
  </si>
  <si>
    <t>821-01</t>
  </si>
  <si>
    <t>822-01</t>
  </si>
  <si>
    <t>826-01</t>
  </si>
  <si>
    <t>192-01</t>
  </si>
  <si>
    <t>831-01</t>
  </si>
  <si>
    <t>833-01</t>
  </si>
  <si>
    <t>837-01</t>
  </si>
  <si>
    <t>213-01</t>
  </si>
  <si>
    <t>217-01</t>
  </si>
  <si>
    <t>840-01</t>
  </si>
  <si>
    <t>220-01</t>
  </si>
  <si>
    <t>rtdc.l.rtdc.4039:itc</t>
  </si>
  <si>
    <t>222-01</t>
  </si>
  <si>
    <t>847-01</t>
  </si>
  <si>
    <t>238-01</t>
  </si>
  <si>
    <t>rtdc.l.rtdc.4050:itc</t>
  </si>
  <si>
    <t>51-01</t>
  </si>
  <si>
    <t>101-01</t>
  </si>
  <si>
    <t>302-01</t>
  </si>
  <si>
    <t>52-01</t>
  </si>
  <si>
    <t>103-01</t>
  </si>
  <si>
    <t>102-01</t>
  </si>
  <si>
    <t>rtdc.l.rtdc.4025:itc</t>
  </si>
  <si>
    <t>304-01</t>
  </si>
  <si>
    <t>306-01</t>
  </si>
  <si>
    <t>rtdc.l.rtdc.4005:itc</t>
  </si>
  <si>
    <t>308-01</t>
  </si>
  <si>
    <t>107-01</t>
  </si>
  <si>
    <t>104-01</t>
  </si>
  <si>
    <t>109-01</t>
  </si>
  <si>
    <t>111-01</t>
  </si>
  <si>
    <t>310-01</t>
  </si>
  <si>
    <t>MACDONALD</t>
  </si>
  <si>
    <t>THOMAS</t>
  </si>
  <si>
    <t>106-01</t>
  </si>
  <si>
    <t>108-01</t>
  </si>
  <si>
    <t>113-01</t>
  </si>
  <si>
    <t>312-01</t>
  </si>
  <si>
    <t>115-01</t>
  </si>
  <si>
    <t>110-01</t>
  </si>
  <si>
    <t>801-01</t>
  </si>
  <si>
    <t>112-01</t>
  </si>
  <si>
    <t>rtdc.l.rtdc.4058:itc</t>
  </si>
  <si>
    <t>117-01</t>
  </si>
  <si>
    <t>rtdc.l.rtdc.4043:itc</t>
  </si>
  <si>
    <t>902-01</t>
  </si>
  <si>
    <t>119-01</t>
  </si>
  <si>
    <t>LANGERAK</t>
  </si>
  <si>
    <t>WILLIAM</t>
  </si>
  <si>
    <t>802-01</t>
  </si>
  <si>
    <t>121-01</t>
  </si>
  <si>
    <t>116-01</t>
  </si>
  <si>
    <t>118-01</t>
  </si>
  <si>
    <t>804-01</t>
  </si>
  <si>
    <t>123-01</t>
  </si>
  <si>
    <t>PAGE</t>
  </si>
  <si>
    <t>MARCUS</t>
  </si>
  <si>
    <t>125-01</t>
  </si>
  <si>
    <t>120-01</t>
  </si>
  <si>
    <t>122-01</t>
  </si>
  <si>
    <t>127-01</t>
  </si>
  <si>
    <t>806-01</t>
  </si>
  <si>
    <t>129-01</t>
  </si>
  <si>
    <t>126-01</t>
  </si>
  <si>
    <t>124-01</t>
  </si>
  <si>
    <t>131-01</t>
  </si>
  <si>
    <t>808-01</t>
  </si>
  <si>
    <t>809-01</t>
  </si>
  <si>
    <t>128-01</t>
  </si>
  <si>
    <t>135-01</t>
  </si>
  <si>
    <t>810-01</t>
  </si>
  <si>
    <t>130-01</t>
  </si>
  <si>
    <t>811-01</t>
  </si>
  <si>
    <t>61-01</t>
  </si>
  <si>
    <t>137-01</t>
  </si>
  <si>
    <t>139-01</t>
  </si>
  <si>
    <t>134-01</t>
  </si>
  <si>
    <t>812-01</t>
  </si>
  <si>
    <t>903-01</t>
  </si>
  <si>
    <t>BIRENBAUM</t>
  </si>
  <si>
    <t>813-01</t>
  </si>
  <si>
    <t>LALONDE</t>
  </si>
  <si>
    <t>GREGORY</t>
  </si>
  <si>
    <t>140-01</t>
  </si>
  <si>
    <t>145-01</t>
  </si>
  <si>
    <t>138-01</t>
  </si>
  <si>
    <t>814-01</t>
  </si>
  <si>
    <t>142-01</t>
  </si>
  <si>
    <t>149-01</t>
  </si>
  <si>
    <t>146-01</t>
  </si>
  <si>
    <t>144-01</t>
  </si>
  <si>
    <t>151-01</t>
  </si>
  <si>
    <t>815-01</t>
  </si>
  <si>
    <t>153-01</t>
  </si>
  <si>
    <t>150-01</t>
  </si>
  <si>
    <t>148-01</t>
  </si>
  <si>
    <t>816-01</t>
  </si>
  <si>
    <t>155-01</t>
  </si>
  <si>
    <t>157-01</t>
  </si>
  <si>
    <t>152-01</t>
  </si>
  <si>
    <t>159-01</t>
  </si>
  <si>
    <t>817-01</t>
  </si>
  <si>
    <t>154-01</t>
  </si>
  <si>
    <t>161-01</t>
  </si>
  <si>
    <t>SAFIEF</t>
  </si>
  <si>
    <t>AEIMEN</t>
  </si>
  <si>
    <t>158-01</t>
  </si>
  <si>
    <t>156-01</t>
  </si>
  <si>
    <t>818-01</t>
  </si>
  <si>
    <t>160-01</t>
  </si>
  <si>
    <t>165-01</t>
  </si>
  <si>
    <t>LEVERE</t>
  </si>
  <si>
    <t>CRAIG</t>
  </si>
  <si>
    <t>167-01</t>
  </si>
  <si>
    <t>162-01</t>
  </si>
  <si>
    <t>rtdc.l.rtdc.4032:itc</t>
  </si>
  <si>
    <t>65-01</t>
  </si>
  <si>
    <t>819-01</t>
  </si>
  <si>
    <t>169-01</t>
  </si>
  <si>
    <t>171-01</t>
  </si>
  <si>
    <t>164-01</t>
  </si>
  <si>
    <t>820-01</t>
  </si>
  <si>
    <t>166-01</t>
  </si>
  <si>
    <t>168-01</t>
  </si>
  <si>
    <t>173-01</t>
  </si>
  <si>
    <t>175-01</t>
  </si>
  <si>
    <t>170-01</t>
  </si>
  <si>
    <t>177-01</t>
  </si>
  <si>
    <t>172-01</t>
  </si>
  <si>
    <t>174-01</t>
  </si>
  <si>
    <t>179-01</t>
  </si>
  <si>
    <t>181-01</t>
  </si>
  <si>
    <t>176-01</t>
  </si>
  <si>
    <t>183-01</t>
  </si>
  <si>
    <t>823-01</t>
  </si>
  <si>
    <t>178-01</t>
  </si>
  <si>
    <t>185-01</t>
  </si>
  <si>
    <t>180-01</t>
  </si>
  <si>
    <t>187-01</t>
  </si>
  <si>
    <t>HOLCOMB</t>
  </si>
  <si>
    <t>KAMDEN</t>
  </si>
  <si>
    <t>182-01</t>
  </si>
  <si>
    <t>824-01</t>
  </si>
  <si>
    <t>189-01</t>
  </si>
  <si>
    <t>184-01</t>
  </si>
  <si>
    <t>186-01</t>
  </si>
  <si>
    <t>191-01</t>
  </si>
  <si>
    <t>825-01</t>
  </si>
  <si>
    <t>193-01</t>
  </si>
  <si>
    <t>904-01</t>
  </si>
  <si>
    <t>188-01</t>
  </si>
  <si>
    <t>195-01</t>
  </si>
  <si>
    <t>190-01</t>
  </si>
  <si>
    <t>827-01</t>
  </si>
  <si>
    <t>197-01</t>
  </si>
  <si>
    <t>199-01</t>
  </si>
  <si>
    <t>829-01</t>
  </si>
  <si>
    <t>194-01</t>
  </si>
  <si>
    <t>828-01</t>
  </si>
  <si>
    <t>201-01</t>
  </si>
  <si>
    <t>196-01</t>
  </si>
  <si>
    <t>203-01</t>
  </si>
  <si>
    <t>830-01</t>
  </si>
  <si>
    <t>198-01</t>
  </si>
  <si>
    <t>200-01</t>
  </si>
  <si>
    <t>205-01</t>
  </si>
  <si>
    <t>207-01</t>
  </si>
  <si>
    <t>67-01</t>
  </si>
  <si>
    <t>832-01</t>
  </si>
  <si>
    <t>202-01</t>
  </si>
  <si>
    <t>209-01</t>
  </si>
  <si>
    <t>204-01</t>
  </si>
  <si>
    <t>211-01</t>
  </si>
  <si>
    <t>834-01</t>
  </si>
  <si>
    <t>835-01</t>
  </si>
  <si>
    <t>71-01</t>
  </si>
  <si>
    <t>206-01</t>
  </si>
  <si>
    <t>80-01</t>
  </si>
  <si>
    <t>ELBAUM</t>
  </si>
  <si>
    <t>MIKE</t>
  </si>
  <si>
    <t>208-01</t>
  </si>
  <si>
    <t>215-01</t>
  </si>
  <si>
    <t>210-01</t>
  </si>
  <si>
    <t>836-01</t>
  </si>
  <si>
    <t>212-01</t>
  </si>
  <si>
    <t>219-01</t>
  </si>
  <si>
    <t>838-01</t>
  </si>
  <si>
    <t>839-01</t>
  </si>
  <si>
    <t>214-01</t>
  </si>
  <si>
    <t>301-01</t>
  </si>
  <si>
    <t>216-01</t>
  </si>
  <si>
    <t>221-01</t>
  </si>
  <si>
    <t>906-01</t>
  </si>
  <si>
    <t>218-01</t>
  </si>
  <si>
    <t>841-01</t>
  </si>
  <si>
    <t>303-01</t>
  </si>
  <si>
    <t>223-01</t>
  </si>
  <si>
    <t>305-01</t>
  </si>
  <si>
    <t>225-01</t>
  </si>
  <si>
    <t>843-01</t>
  </si>
  <si>
    <t>224-01</t>
  </si>
  <si>
    <t>227-01</t>
  </si>
  <si>
    <t>842-01</t>
  </si>
  <si>
    <t>226-01</t>
  </si>
  <si>
    <t>229-01</t>
  </si>
  <si>
    <t>845-01</t>
  </si>
  <si>
    <t>231-01</t>
  </si>
  <si>
    <t>228-01</t>
  </si>
  <si>
    <t>844-01</t>
  </si>
  <si>
    <t>230-01</t>
  </si>
  <si>
    <t>233-01</t>
  </si>
  <si>
    <t>235-01</t>
  </si>
  <si>
    <t>232-01</t>
  </si>
  <si>
    <t>846-01</t>
  </si>
  <si>
    <t>237-01</t>
  </si>
  <si>
    <t>234-01</t>
  </si>
  <si>
    <t>849-01</t>
  </si>
  <si>
    <t>236-01</t>
  </si>
  <si>
    <t>239-01</t>
  </si>
  <si>
    <t>908-01</t>
  </si>
  <si>
    <t>241-01</t>
  </si>
  <si>
    <t>243-01</t>
  </si>
  <si>
    <t>240-01</t>
  </si>
  <si>
    <t>245-01</t>
  </si>
  <si>
    <t>242-01</t>
  </si>
  <si>
    <t>307-01</t>
  </si>
  <si>
    <t>244-01</t>
  </si>
  <si>
    <t>309-01</t>
  </si>
  <si>
    <t>246-01</t>
  </si>
  <si>
    <t>313-01</t>
  </si>
  <si>
    <t>204:768</t>
  </si>
  <si>
    <t>204:233401</t>
  </si>
  <si>
    <t>204:233092</t>
  </si>
  <si>
    <t>204:233300</t>
  </si>
  <si>
    <t>204:233272</t>
  </si>
  <si>
    <t>204:232964</t>
  </si>
  <si>
    <t>204:233276</t>
  </si>
  <si>
    <t>204:233325</t>
  </si>
  <si>
    <t>204:233312</t>
  </si>
  <si>
    <t>204:232986</t>
  </si>
  <si>
    <t>204:233307</t>
  </si>
  <si>
    <t>204:232994</t>
  </si>
  <si>
    <t>204:233336</t>
  </si>
  <si>
    <t>204:233028</t>
  </si>
  <si>
    <t>204:232975</t>
  </si>
  <si>
    <t>204:233302</t>
  </si>
  <si>
    <t>204:232966</t>
  </si>
  <si>
    <t>204:232974</t>
  </si>
  <si>
    <t>204:129</t>
  </si>
  <si>
    <t>204:233059</t>
  </si>
  <si>
    <t>204:233284</t>
  </si>
  <si>
    <t>204:233259</t>
  </si>
  <si>
    <t>204:178424</t>
  </si>
  <si>
    <t>204:127871</t>
  </si>
  <si>
    <t>204:431</t>
  </si>
  <si>
    <t>204:232979</t>
  </si>
  <si>
    <t>204:233314</t>
  </si>
  <si>
    <t>204:233000</t>
  </si>
  <si>
    <t>204:164547</t>
  </si>
  <si>
    <t>204:233309</t>
  </si>
  <si>
    <t>204:233347</t>
  </si>
  <si>
    <t>204:233027</t>
  </si>
  <si>
    <t>204:233332</t>
  </si>
  <si>
    <t>204:233340</t>
  </si>
  <si>
    <t>204:233047</t>
  </si>
  <si>
    <t>204:232971</t>
  </si>
  <si>
    <t>204:233319</t>
  </si>
  <si>
    <t>204:233326</t>
  </si>
  <si>
    <t>204:233026</t>
  </si>
  <si>
    <t>204:233032</t>
  </si>
  <si>
    <t>204:128</t>
  </si>
  <si>
    <t>204:217888</t>
  </si>
  <si>
    <t>204:127863</t>
  </si>
  <si>
    <t>204:233397</t>
  </si>
  <si>
    <t>204:233065</t>
  </si>
  <si>
    <t>204:233008</t>
  </si>
  <si>
    <t>204:232990</t>
  </si>
  <si>
    <t>204:177260</t>
  </si>
  <si>
    <t>204:177258</t>
  </si>
  <si>
    <t>204:426</t>
  </si>
  <si>
    <t>204:233286</t>
  </si>
  <si>
    <t>204:170</t>
  </si>
  <si>
    <t>204:422</t>
  </si>
  <si>
    <t>204:130</t>
  </si>
  <si>
    <t>204:233261</t>
  </si>
  <si>
    <t>204:232967</t>
  </si>
  <si>
    <t>204:233360</t>
  </si>
  <si>
    <t>204:122436</t>
  </si>
  <si>
    <t>204:86353</t>
  </si>
  <si>
    <t>300:22980</t>
  </si>
  <si>
    <t>300:19761</t>
  </si>
  <si>
    <t>300:23355</t>
  </si>
  <si>
    <t>300:23398</t>
  </si>
  <si>
    <t>300:23302</t>
  </si>
  <si>
    <t>300:23633</t>
  </si>
  <si>
    <t>300:22745</t>
  </si>
  <si>
    <t>204:3560</t>
  </si>
  <si>
    <t>204:3223</t>
  </si>
  <si>
    <t>204:1173</t>
  </si>
  <si>
    <t>300:22098</t>
  </si>
  <si>
    <t>204:1164</t>
  </si>
  <si>
    <t>204:1484</t>
  </si>
  <si>
    <t>300:5637</t>
  </si>
  <si>
    <t>300:5240</t>
  </si>
  <si>
    <t>204:1471</t>
  </si>
  <si>
    <t>300:5555</t>
  </si>
  <si>
    <t>204:1235</t>
  </si>
  <si>
    <t>300:24229</t>
  </si>
  <si>
    <t>204:1145</t>
  </si>
  <si>
    <t>300:24222</t>
  </si>
  <si>
    <t>204:1486</t>
  </si>
  <si>
    <t>300:23346</t>
  </si>
  <si>
    <t>204:1143</t>
  </si>
  <si>
    <t>300:23510</t>
  </si>
  <si>
    <t>204:2455</t>
  </si>
  <si>
    <t>300:58598</t>
  </si>
  <si>
    <t>300:58927</t>
  </si>
  <si>
    <t>300:58600</t>
  </si>
  <si>
    <t>300:58969</t>
  </si>
  <si>
    <t>300:58655</t>
  </si>
  <si>
    <t>204:986</t>
  </si>
  <si>
    <t>300:58986</t>
  </si>
  <si>
    <t>300:58666</t>
  </si>
  <si>
    <t>204:668</t>
  </si>
  <si>
    <t>204:703</t>
  </si>
  <si>
    <t>204:962</t>
  </si>
  <si>
    <t>300:58931</t>
  </si>
  <si>
    <t>204:1301</t>
  </si>
  <si>
    <t>204:459</t>
  </si>
  <si>
    <t>204:687</t>
  </si>
  <si>
    <t>300:58963</t>
  </si>
  <si>
    <t>300:58653</t>
  </si>
  <si>
    <t>204:911</t>
  </si>
  <si>
    <t>204:1721</t>
  </si>
  <si>
    <t>300:58660</t>
  </si>
  <si>
    <t>300:58960</t>
  </si>
  <si>
    <t>300:58643</t>
  </si>
  <si>
    <t>204:696</t>
  </si>
  <si>
    <t>204:635</t>
  </si>
  <si>
    <t>204:939</t>
  </si>
  <si>
    <t>204:944</t>
  </si>
  <si>
    <t>204:610</t>
  </si>
  <si>
    <t>204:979</t>
  </si>
  <si>
    <t>300:58933</t>
  </si>
  <si>
    <t>300:58615</t>
  </si>
  <si>
    <t>204:883</t>
  </si>
  <si>
    <t>204:694</t>
  </si>
  <si>
    <t>204:717</t>
  </si>
  <si>
    <t>300:58924</t>
  </si>
  <si>
    <t>204:657</t>
  </si>
  <si>
    <t>204:983</t>
  </si>
  <si>
    <t>300:58935</t>
  </si>
  <si>
    <t>300:58926</t>
  </si>
  <si>
    <t>204:720</t>
  </si>
  <si>
    <t>300:58939</t>
  </si>
  <si>
    <t>204:706</t>
  </si>
  <si>
    <t>204:1049</t>
  </si>
  <si>
    <t>300:58708</t>
  </si>
  <si>
    <t>204:715</t>
  </si>
  <si>
    <t>300:28998</t>
  </si>
  <si>
    <t>300:29455</t>
  </si>
  <si>
    <t>300:58905</t>
  </si>
  <si>
    <t>300:58907</t>
  </si>
  <si>
    <t>300:23497</t>
  </si>
  <si>
    <t>300:22301</t>
  </si>
  <si>
    <t>204:712</t>
  </si>
  <si>
    <t>300:58611</t>
  </si>
  <si>
    <t>300:28776</t>
  </si>
  <si>
    <t>start /low /b %USERPROFILE%\Documents\GitHub\eaglep3\Utilities\DownloadLogsFromS3.py --loco 4023 --day 2017-09-01</t>
  </si>
  <si>
    <t>start /low /b %USERPROFILE%\Documents\GitHub\eaglep3\Utilities\DownloadLogsFromS3.py --loco 4020 --day 2017-09-01</t>
  </si>
  <si>
    <t>start /low /b %USERPROFILE%\Documents\GitHub\eaglep3\Utilities\DownloadLogsFromS3.py --loco 4019 --day 2017-09-01</t>
  </si>
  <si>
    <t>start /low /b %USERPROFILE%\Documents\GitHub\eaglep3\Utilities\DownloadLogsFromS3.py --loco 4039 --day 2017-09-01</t>
  </si>
  <si>
    <t>start /low /b %USERPROFILE%\Documents\GitHub\eaglep3\Utilities\DownloadLogsFromS3.py --loco 4011 --day 1969-12-31</t>
  </si>
  <si>
    <t>start /low /b %USERPROFILE%\Documents\GitHub\eaglep3\Utilities\DownloadLogsFromS3.py --loco 4057 --day 2017-09-01</t>
  </si>
  <si>
    <t>start /low /b %USERPROFILE%\Documents\GitHub\eaglep3\Utilities\DownloadLogsFromS3.py --loco 4011 --day 2017-09-02</t>
  </si>
  <si>
    <t>start /low /b %USERPROFILE%\Documents\GitHub\eaglep3\Utilities\DownloadLogsFromS3.py --loco 4039 --day 2017-09-02</t>
  </si>
  <si>
    <t>start /low /b %USERPROFILE%\Documents\GitHub\eaglep3\Utilities\DownloadLogsFromS3.py --loco 4024 --day 2017-09-01</t>
  </si>
  <si>
    <t>start /low /b %USERPROFILE%\Documents\GitHub\eaglep3\Utilities\DownloadLogsFromS3.py --loco 4020 --day 2017-09-02</t>
  </si>
  <si>
    <t>start /low /b %USERPROFILE%\Documents\GitHub\eaglep3\Utilities\DownloadLogsFromS3.py --loco 4026 --day 2017-09-01</t>
  </si>
  <si>
    <t>start /low /b %USERPROFILE%\Documents\GitHub\eaglep3\Utilities\DownloadLogsFromS3.py --loco 4026 --day 2017-09-02</t>
  </si>
  <si>
    <t>start /low /b %USERPROFILE%\Documents\GitHub\eaglep3\Utilities\DownloadLogsFromS3.py --loco 4056 --day 2017-09-01</t>
  </si>
  <si>
    <t>start /low /b %USERPROFILE%\Documents\GitHub\eaglep3\Utilities\DownloadLogsFromS3.py --loco 4055 --day 2017-09-01</t>
  </si>
  <si>
    <t>start /low /b %USERPROFILE%\Documents\GitHub\eaglep3\Utilities\DownloadLogsFromS3.py --loco 4044 --day 2017-09-01</t>
  </si>
  <si>
    <t>start /low /b %USERPROFILE%\Documents\GitHub\eaglep3\Utilities\DownloadLogsFromS3.py --loco 4056 --day 2017-09-02</t>
  </si>
  <si>
    <t>start /low /b %USERPROFILE%\Documents\GitHub\eaglep3\Utilities\DownloadLogsFromS3.py --loco 4055 --day 2017-09-02</t>
  </si>
  <si>
    <t>False occupancy @ ML1680</t>
  </si>
  <si>
    <t>Wi-MAX data drop</t>
  </si>
  <si>
    <t>Onboard in-route failure</t>
  </si>
  <si>
    <t>Cut out command from TMDS</t>
  </si>
  <si>
    <t>Premature downgrade at EC1827RH 183-1T 1S</t>
  </si>
  <si>
    <t>16:03:10 - signal dropped from 270 to 0, do logs show anything unusual?</t>
  </si>
  <si>
    <t>Banner without braking at 07:49:55</t>
  </si>
  <si>
    <t>Unhealthy at Chambers due to train stop</t>
  </si>
  <si>
    <t>Unhealthy at Holly due to prior enforcement</t>
  </si>
  <si>
    <t>RESTRICTING aspect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</si>
</sst>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0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0" fontId="1" fillId="0" borderId="5" xfId="0" applyNumberFormat="1" applyFont="1" applyBorder="1" applyAlignment="1">
      <alignment horizontal="left" vertical="center" wrapText="1"/>
    </xf>
    <xf numFmtId="0" fontId="0" fillId="0" borderId="5" xfId="0" applyNumberFormat="1" applyFill="1" applyBorder="1" applyAlignment="1">
      <alignment horizontal="left"/>
    </xf>
    <xf numFmtId="0" fontId="12" fillId="0" borderId="0" xfId="0" applyNumberFormat="1" applyFont="1"/>
    <xf numFmtId="0" fontId="0" fillId="0" borderId="0" xfId="3" applyNumberFormat="1" applyFont="1"/>
    <xf numFmtId="0" fontId="10" fillId="0" borderId="0" xfId="3" applyNumberForma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59"/>
  <sheetViews>
    <sheetView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71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1" customWidth="1"/>
    <col min="19" max="19" width="6" style="207" customWidth="1"/>
    <col min="20" max="20" width="3.85546875" style="169" customWidth="1"/>
    <col min="21" max="21" width="5" style="169" customWidth="1"/>
    <col min="22" max="22" width="5.7109375" style="195" customWidth="1"/>
    <col min="23" max="23" width="3.85546875" style="188" customWidth="1"/>
    <col min="24" max="24" width="6.5703125" style="188" customWidth="1"/>
    <col min="25" max="25" width="11.5703125" style="188" bestFit="1" customWidth="1"/>
    <col min="26" max="26" width="7.28515625" style="188" customWidth="1"/>
    <col min="27" max="27" width="9.140625" style="188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9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69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171"/>
      <c r="M1" s="35"/>
      <c r="N1" s="36"/>
      <c r="O1" s="2"/>
      <c r="P1" s="2"/>
      <c r="R1" s="160" t="s">
        <v>104</v>
      </c>
      <c r="S1" s="170"/>
      <c r="T1" s="171"/>
      <c r="U1" s="171"/>
      <c r="V1" s="172"/>
      <c r="W1" s="171"/>
      <c r="X1" s="169"/>
      <c r="Y1" s="188"/>
      <c r="Z1" s="188"/>
      <c r="AA1" s="188"/>
      <c r="AB1" s="52"/>
      <c r="AC1" s="49"/>
      <c r="AD1" s="2"/>
      <c r="AE1" s="1"/>
      <c r="AF1" s="1"/>
      <c r="AG1" s="206"/>
      <c r="AH1" s="47"/>
      <c r="AI1" s="1"/>
      <c r="AM1" s="142"/>
      <c r="AO1" s="169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42979</v>
      </c>
      <c r="J2" s="58"/>
      <c r="K2" s="59"/>
      <c r="L2" s="174"/>
      <c r="M2" s="60" t="s">
        <v>8</v>
      </c>
      <c r="N2" s="61"/>
      <c r="O2" s="62"/>
      <c r="P2" s="2"/>
      <c r="R2" s="57">
        <f>Variables!$A$2</f>
        <v>42979</v>
      </c>
      <c r="S2" s="173"/>
      <c r="T2" s="174"/>
      <c r="U2" s="174"/>
      <c r="V2" s="175" t="s">
        <v>8</v>
      </c>
      <c r="W2" s="176"/>
      <c r="X2" s="177"/>
      <c r="Y2" s="188"/>
      <c r="Z2" s="188"/>
      <c r="AA2" s="188"/>
      <c r="AB2" s="52"/>
      <c r="AC2" s="49"/>
      <c r="AD2" s="2"/>
      <c r="AE2" s="1"/>
      <c r="AF2" s="1"/>
      <c r="AG2" s="206"/>
      <c r="AH2" s="47"/>
      <c r="AI2" s="1"/>
      <c r="AM2" s="142"/>
      <c r="AO2" s="169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9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178"/>
      <c r="T3" s="179"/>
      <c r="U3" s="179"/>
      <c r="V3" s="180" t="s">
        <v>11</v>
      </c>
      <c r="W3" s="181" t="s">
        <v>12</v>
      </c>
      <c r="X3" s="182" t="s">
        <v>13</v>
      </c>
      <c r="Y3" s="188"/>
      <c r="Z3" s="188"/>
      <c r="AA3" s="188"/>
      <c r="AB3" s="52"/>
      <c r="AC3" s="49"/>
      <c r="AD3" s="2"/>
      <c r="AE3" s="1"/>
      <c r="AF3" s="1"/>
      <c r="AG3" s="206"/>
      <c r="AH3" s="47"/>
      <c r="AI3" s="1"/>
      <c r="AM3" s="142"/>
      <c r="AO3" s="169"/>
    </row>
    <row r="4" spans="1:91" s="20" customFormat="1" ht="15.75" thickBot="1" x14ac:dyDescent="0.3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146</v>
      </c>
      <c r="K4" s="39"/>
      <c r="L4" s="184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183">
        <f>SUM(S5:S7)</f>
        <v>49</v>
      </c>
      <c r="T4" s="184"/>
      <c r="U4" s="184"/>
      <c r="V4" s="180" t="s">
        <v>15</v>
      </c>
      <c r="W4" s="181" t="s">
        <v>15</v>
      </c>
      <c r="X4" s="182" t="s">
        <v>15</v>
      </c>
      <c r="Y4" s="188"/>
      <c r="Z4" s="188"/>
      <c r="AA4" s="188"/>
      <c r="AB4" s="52"/>
      <c r="AC4" s="49"/>
      <c r="AD4" s="2"/>
      <c r="AE4" s="1"/>
      <c r="AF4" s="1"/>
      <c r="AG4" s="206"/>
      <c r="AH4" s="47"/>
      <c r="AI4" s="1"/>
      <c r="AM4" s="142"/>
      <c r="AO4" s="169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COUNTIFS($N$13:$N$9302,"&gt;0",$AG$13:$AG$9302,I1)</f>
        <v>141</v>
      </c>
      <c r="K5" s="39"/>
      <c r="L5" s="184"/>
      <c r="M5" s="40">
        <f>AVERAGEIFS($N$13:$N$9302,$AG$13:$AG$9302,I1)</f>
        <v>37.244562648157491</v>
      </c>
      <c r="N5" s="38">
        <f t="array" ref="N5">MIN(IF($AG$13:$AG$9302=I1,IF(ISNUMBER($N$13:$N$9302),IF($N$13:$N$9302&gt;0,$N$13:$N$9302))))</f>
        <v>34.233333341544494</v>
      </c>
      <c r="O5" s="3">
        <f t="array" ref="O5">MAX(IF($AG$13:$AG$9302=I1,IF(ISNUMBER($N$13:$N$9302),IF($N$13:$N$9302&gt;0,$N$13:$N$9302))))</f>
        <v>48.683333335211501</v>
      </c>
      <c r="P5" s="2"/>
      <c r="R5" s="163" t="s">
        <v>17</v>
      </c>
      <c r="S5" s="183">
        <f>COUNTIFS($N$13:$N$9302,"&gt;0",$AG$13:$AG$9302,R1)</f>
        <v>49</v>
      </c>
      <c r="T5" s="184"/>
      <c r="U5" s="184"/>
      <c r="V5" s="180">
        <f>AVERAGEIFS($N$13:$N$9302,$AG$13:$AG$9302,R1)</f>
        <v>15.536394557198129</v>
      </c>
      <c r="W5" s="181">
        <f t="array" ref="W5">MIN(IF($AG$13:$AG$9302=R1,IF(ISNUMBER($N$13:$N$9302),IF($N$13:$N$9302&gt;0,$N$13:$N$9302))))</f>
        <v>11.233333329437301</v>
      </c>
      <c r="X5" s="182">
        <f t="array" ref="X5">MAX(IF($AG$13:$AG$9302=R1,IF(ISNUMBER($N$13:$N$9302),IF($N$13:$N$9302&gt;0,$N$13:$N$9302))))</f>
        <v>24.649999999674037</v>
      </c>
      <c r="Y5" s="188"/>
      <c r="Z5" s="188"/>
      <c r="AA5" s="188"/>
      <c r="AB5" s="52"/>
      <c r="AC5" s="49"/>
      <c r="AD5" s="2"/>
      <c r="AE5" s="1"/>
      <c r="AF5" s="1"/>
      <c r="AG5" s="206"/>
      <c r="AH5" s="47"/>
      <c r="AI5" s="1"/>
      <c r="AM5" s="142"/>
      <c r="AO5" s="169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COUNT($O$13:$O$129)</f>
        <v>0</v>
      </c>
      <c r="K6" s="39"/>
      <c r="L6" s="184"/>
      <c r="M6" s="40">
        <f>IFERROR(AVERAGE($O$13:$O$129),0)</f>
        <v>0</v>
      </c>
      <c r="N6" s="38">
        <f>MIN($O$13:$O$129)</f>
        <v>0</v>
      </c>
      <c r="O6" s="3">
        <f>MAX($O$13:$O$129)</f>
        <v>0</v>
      </c>
      <c r="P6" s="2"/>
      <c r="R6" s="164" t="s">
        <v>43</v>
      </c>
      <c r="S6" s="183">
        <f>COUNT($O$13:$O$129)</f>
        <v>0</v>
      </c>
      <c r="T6" s="184"/>
      <c r="U6" s="184"/>
      <c r="V6" s="180">
        <f>IFERROR(AVERAGE($O$13:$O$129),0)</f>
        <v>0</v>
      </c>
      <c r="W6" s="181">
        <f>MIN($O$13:$O$129)</f>
        <v>0</v>
      </c>
      <c r="X6" s="182">
        <f>MAX($O$13:$O$129)</f>
        <v>0</v>
      </c>
      <c r="Y6" s="188"/>
      <c r="Z6" s="188"/>
      <c r="AA6" s="188"/>
      <c r="AB6" s="52"/>
      <c r="AC6" s="49"/>
      <c r="AD6" s="2"/>
      <c r="AE6" s="1"/>
      <c r="AF6" s="1"/>
      <c r="AG6" s="206"/>
      <c r="AH6" s="47"/>
      <c r="AI6" s="1"/>
      <c r="AM6" s="142"/>
      <c r="AO6" s="169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COUNTIFS($P$13:$P$9302,"&gt;0",$AG$13:$AG$9302,I1)</f>
        <v>5</v>
      </c>
      <c r="K7" s="39"/>
      <c r="L7" s="184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183">
        <f>COUNTIFS($P$13:$P$9302,"&gt;0",$AG$13:$AG$9302,R1)</f>
        <v>0</v>
      </c>
      <c r="T7" s="184"/>
      <c r="U7" s="184"/>
      <c r="V7" s="180" t="s">
        <v>15</v>
      </c>
      <c r="W7" s="181" t="s">
        <v>15</v>
      </c>
      <c r="X7" s="182" t="s">
        <v>15</v>
      </c>
      <c r="Y7" s="188"/>
      <c r="Z7" s="188"/>
      <c r="AA7" s="188"/>
      <c r="AB7" s="52"/>
      <c r="AC7" s="49"/>
      <c r="AD7" s="2"/>
      <c r="AE7" s="1"/>
      <c r="AF7" s="1"/>
      <c r="AG7" s="206"/>
      <c r="AH7" s="47"/>
      <c r="AI7" s="1"/>
      <c r="AM7" s="142"/>
      <c r="AO7" s="169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141</v>
      </c>
      <c r="K8" s="39"/>
      <c r="L8" s="184"/>
      <c r="M8" s="40">
        <f>M5</f>
        <v>37.244562648157491</v>
      </c>
      <c r="N8" s="38">
        <f>N5</f>
        <v>34.233333341544494</v>
      </c>
      <c r="O8" s="3">
        <f>O5</f>
        <v>48.683333335211501</v>
      </c>
      <c r="P8" s="2"/>
      <c r="R8" s="163" t="s">
        <v>16</v>
      </c>
      <c r="S8" s="183">
        <f>S5</f>
        <v>49</v>
      </c>
      <c r="T8" s="184"/>
      <c r="U8" s="184"/>
      <c r="V8" s="180">
        <f>V5</f>
        <v>15.536394557198129</v>
      </c>
      <c r="W8" s="181">
        <f>W5</f>
        <v>11.233333329437301</v>
      </c>
      <c r="X8" s="182">
        <f>X5</f>
        <v>24.649999999674037</v>
      </c>
      <c r="Y8" s="188"/>
      <c r="Z8" s="188"/>
      <c r="AA8" s="188"/>
      <c r="AB8" s="52"/>
      <c r="AC8" s="49"/>
      <c r="AD8" s="2"/>
      <c r="AE8" s="1"/>
      <c r="AF8" s="1"/>
      <c r="AG8" s="206"/>
      <c r="AH8" s="47"/>
      <c r="AI8" s="1"/>
      <c r="AM8" s="142"/>
      <c r="AO8" s="169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0.96575342465753422</v>
      </c>
      <c r="K9" s="41"/>
      <c r="L9" s="171"/>
      <c r="M9" s="69"/>
      <c r="N9" s="36"/>
      <c r="O9" s="70"/>
      <c r="P9" s="2"/>
      <c r="R9" s="163" t="s">
        <v>19</v>
      </c>
      <c r="S9" s="211">
        <f>S8/S4</f>
        <v>1</v>
      </c>
      <c r="T9" s="171"/>
      <c r="U9" s="171"/>
      <c r="V9" s="185"/>
      <c r="W9" s="171"/>
      <c r="X9" s="186"/>
      <c r="Y9" s="188"/>
      <c r="Z9" s="188"/>
      <c r="AA9" s="188"/>
      <c r="AB9" s="52"/>
      <c r="AC9" s="49"/>
      <c r="AD9" s="2"/>
      <c r="AE9" s="1"/>
      <c r="AF9" s="1"/>
      <c r="AG9" s="206"/>
      <c r="AH9" s="47"/>
      <c r="AI9" s="1"/>
      <c r="AM9" s="142"/>
      <c r="AO9" s="169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71"/>
      <c r="M10" s="35"/>
      <c r="N10" s="36"/>
      <c r="O10" s="2"/>
      <c r="P10" s="2"/>
      <c r="R10" s="161"/>
      <c r="S10" s="207"/>
      <c r="T10" s="169"/>
      <c r="U10" s="169"/>
      <c r="V10" s="187"/>
      <c r="W10" s="188"/>
      <c r="X10" s="188"/>
      <c r="Y10" s="188"/>
      <c r="Z10" s="188"/>
      <c r="AA10" s="188"/>
      <c r="AB10" s="52"/>
      <c r="AC10" s="49"/>
      <c r="AD10" s="2"/>
      <c r="AE10" s="1"/>
      <c r="AF10" s="1"/>
      <c r="AG10" s="206"/>
      <c r="AH10" s="47"/>
      <c r="AI10" s="1"/>
      <c r="AM10" s="142"/>
      <c r="AO10" s="169"/>
    </row>
    <row r="11" spans="1:91" ht="16.5" thickBot="1" x14ac:dyDescent="0.3">
      <c r="A11" s="218" t="str">
        <f>"Eagle P3 System Performance - "&amp;TEXT(Variables!A2,"yyyy-mm-dd")</f>
        <v>Eagle P3 System Performance - 2017-09-01</v>
      </c>
      <c r="B11" s="218"/>
      <c r="C11" s="218"/>
      <c r="D11" s="218"/>
      <c r="E11" s="218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S11" s="208">
        <f>AVERAGE(S13:S103)</f>
        <v>1</v>
      </c>
      <c r="V11" s="187"/>
      <c r="AE11" s="1"/>
      <c r="AF11" s="1"/>
      <c r="AG11" s="206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21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09" t="s">
        <v>63</v>
      </c>
      <c r="T12" s="189" t="s">
        <v>64</v>
      </c>
      <c r="U12" s="189" t="s">
        <v>65</v>
      </c>
      <c r="V12" s="190" t="s">
        <v>45</v>
      </c>
      <c r="W12" s="191" t="s">
        <v>23</v>
      </c>
      <c r="X12" s="191" t="s">
        <v>48</v>
      </c>
      <c r="Y12" s="191" t="s">
        <v>20</v>
      </c>
      <c r="Z12" s="191" t="s">
        <v>21</v>
      </c>
      <c r="AA12" s="191" t="s">
        <v>22</v>
      </c>
      <c r="AB12" s="53" t="s">
        <v>39</v>
      </c>
      <c r="AC12" s="50" t="s">
        <v>40</v>
      </c>
      <c r="AD12" s="202" t="s">
        <v>82</v>
      </c>
      <c r="AE12" s="76" t="s">
        <v>89</v>
      </c>
      <c r="AF12" s="73" t="s">
        <v>94</v>
      </c>
      <c r="AG12" s="201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192</v>
      </c>
      <c r="AN12" s="46" t="s">
        <v>334</v>
      </c>
      <c r="AO12" s="201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619</v>
      </c>
      <c r="B13" s="7">
        <v>4040</v>
      </c>
      <c r="C13" s="21" t="s">
        <v>197</v>
      </c>
      <c r="D13" s="21" t="s">
        <v>832</v>
      </c>
      <c r="E13" s="13">
        <v>42979.127905092595</v>
      </c>
      <c r="F13" s="13">
        <v>42979.135601851849</v>
      </c>
      <c r="G13" s="7">
        <v>65</v>
      </c>
      <c r="H13" s="21" t="s">
        <v>409</v>
      </c>
      <c r="I13" s="13">
        <v>42979.159375000003</v>
      </c>
      <c r="J13" s="7">
        <v>0</v>
      </c>
      <c r="K13" s="89" t="str">
        <f t="shared" ref="K13:K76" si="0">IF(ISEVEN(B13),(B13-1)&amp;"/"&amp;B13,B13&amp;"/"&amp;(B13+1))</f>
        <v>4039/4040</v>
      </c>
      <c r="L13" s="214" t="str">
        <f>VLOOKUP(A13,'Trips&amp;Operators'!$C$1:$G$99911,5,FALSE)</f>
        <v>YORK EDGAR</v>
      </c>
      <c r="M13" s="6">
        <f t="shared" ref="M13:M76" si="1">I13-F13</f>
        <v>2.3773148153850343E-2</v>
      </c>
      <c r="N13" s="7">
        <f t="shared" ref="N13:P76" si="2">24*60*SUM($M13:$M13)</f>
        <v>34.233333341544494</v>
      </c>
      <c r="O13" s="7"/>
      <c r="P13" s="7"/>
      <c r="Q13" s="22"/>
      <c r="R13" s="167"/>
      <c r="S13" s="210">
        <f t="shared" ref="S13:S76" si="3">1/IF(AG13="EC",12,1)*SUM(U13:U13)</f>
        <v>1</v>
      </c>
      <c r="T13" s="192" t="str">
        <f t="shared" ref="T13:T76" si="4">IF(ISEVEN(LEFT(AD13,4)),"Southbound","NorthBound")</f>
        <v>NorthBound</v>
      </c>
      <c r="U13" s="192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3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-09-01T02:04:11-0600',mode:absolute,to:'2017-09-01T04:49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" s="194" t="str">
        <f>IF(AA13&lt;VLOOKUP(AG13,Variables!$AC$3:$AD$8,2,FALSE),"Y","N")</f>
        <v>N</v>
      </c>
      <c r="X13" s="194" t="e">
        <f t="shared" ref="X13:X76" si="6">VALUE(LEFT(AD13,4))-VALUE(LEFT(AD12,4))</f>
        <v>#VALUE!</v>
      </c>
      <c r="Y13" s="194">
        <f t="shared" ref="Y13:Y76" si="7">RIGHT(D13,LEN(D13)-4)/10000</f>
        <v>7.6799999999999993E-2</v>
      </c>
      <c r="Z13" s="194">
        <f t="shared" ref="Z13:Z76" si="8">RIGHT(H13,LEN(H13)-4)/10000</f>
        <v>23.329499999999999</v>
      </c>
      <c r="AA13" s="194">
        <f t="shared" ref="AA13:AA76" si="9">ABS(Z13-Y13)</f>
        <v>23.252700000000001</v>
      </c>
      <c r="AB13" s="54" t="e">
        <f>VLOOKUP(A13,Enforcements!$C$7:$K$11,8,0)</f>
        <v>#N/A</v>
      </c>
      <c r="AC13" s="51" t="e">
        <f>VLOOKUP(A13,Enforcements!$C$7:$E$11,3,0)</f>
        <v>#N/A</v>
      </c>
      <c r="AD13" s="203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s3://rtdc.mdm.uploadarchive.raw/RTDC4040/ "%USERPROFILE%\AppData\Local\Temp\OnboardLogs"\RTDC4040\2017-09-01 --exclude "*" --recursive --include "*20170901*" &amp; "%USERPROFILE%\Documents\GitHub\mrs-test-scripts\Headless Mode &amp; Sideloading\WalkAndUnGZ.bat" "%USERPROFILE%\AppData\Local\Temp\OnboardLogs"\RTDC4040\2017-09-01 &amp; aws s3 cp s3://rtdc.mdm.uploadarchive.raw/RTDC4040/ "%USERPROFILE%\AppData\Local\Temp\OnboardLogs"\RTDC4040\2017-09-02 --exclude "*" --recursive --include "*20170902*" &amp; "%USERPROFILE%\Documents\GitHub\mrs-test-scripts\Headless Mode &amp; Sideloading\WalkAndUnGZ.bat" "%USERPROFILE%\AppData\Local\Temp\OnboardLogs"\RTDC4040\2017-09-02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/stypes="app*4040*20170901*" /stext=" 09:.+((SYSTEM_STATE.+slice.+state.+changed )|(ment ac)|(multiple cpu faults)|(system.+state.+changed )|(\[timeout)|(PRM\|1\|D)|(kpr)|(kdp)|(train st.+moving)|(\|lc)|(penalty))"</v>
      </c>
      <c r="AG13" s="206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101-01 --locoid 4040 --swversion DE.1.0.9.0 --startMP 204:768 --initTime 2017-09-01T03:04:11 --startdatetime 2017-09-01T03:15:16 --delay 65 --endMP 204:233295 --enddatetime 2017-09-01T03:49:30 --enforcementcount 0 &gt;&gt;C:\Users\stu\Documents\GitHub\eaglep3-reporting\EC\2017-09-01-refined-times.txt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{"issue":{"subject":"","project_id":79,"tracker_id":40,"status_id":1,"priority_id":2,"assigned_to_id":338,"start_date":"2017-09-01","description":"","custom_fields":[{"id":1,"name":"Subdivision","value":"EC"},{"id":4,"name":"Milepost","value":"23.3295"},{"id":17,"name":"Train ID","value":"101-01"},{"id":16,"name":"Locomotive ID","value":"4040"},{"id":130,"name":"Impact","value":""},{"id":150,"name":"Time of Event (Mountain Time)","value":"03:49:30"},{"id":151,"name":"Denver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4040 --day 2017-09-01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09:49:30"},{"id":29,"name":"Sharepoint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9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623</v>
      </c>
      <c r="B14" s="7">
        <v>4039</v>
      </c>
      <c r="C14" s="21" t="s">
        <v>197</v>
      </c>
      <c r="D14" s="21" t="s">
        <v>467</v>
      </c>
      <c r="E14" s="13">
        <v>42979.160300925927</v>
      </c>
      <c r="F14" s="13">
        <v>42979.175150462965</v>
      </c>
      <c r="G14" s="7">
        <v>52</v>
      </c>
      <c r="H14" s="21" t="s">
        <v>338</v>
      </c>
      <c r="I14" s="13">
        <v>42979.200312499997</v>
      </c>
      <c r="J14" s="7">
        <v>0</v>
      </c>
      <c r="K14" s="89" t="str">
        <f t="shared" si="0"/>
        <v>4039/4040</v>
      </c>
      <c r="L14" s="214" t="str">
        <f>VLOOKUP(A14,'Trips&amp;Operators'!$C$1:$G$99911,5,FALSE)</f>
        <v>YORK EDGAR</v>
      </c>
      <c r="M14" s="6">
        <f t="shared" si="1"/>
        <v>2.5162037032714579E-2</v>
      </c>
      <c r="N14" s="7">
        <f t="shared" si="2"/>
        <v>36.233333327108994</v>
      </c>
      <c r="O14" s="7"/>
      <c r="P14" s="7"/>
      <c r="Q14" s="22"/>
      <c r="R14" s="167"/>
      <c r="S14" s="210">
        <f t="shared" si="3"/>
        <v>1</v>
      </c>
      <c r="T14" s="192" t="str">
        <f t="shared" si="4"/>
        <v>Southbound</v>
      </c>
      <c r="U14" s="192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3" t="str">
        <f t="shared" si="5"/>
        <v>https://d0f6bd738d7f1b3e5a7ca70fe4ff75f0.us-east-1.aws.found.io/app/kibana#/discover/Steve-Slow-Train-Analysis-(2080s-and-2083s)?_g=(refreshInterval:(display:Off,pause:!f,section:0,value:0),time:(from:'2017-09-01T02:50:50-0600',mode:absolute,to:'2017-09-01T05:48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" s="194" t="str">
        <f>IF(AA14&lt;VLOOKUP(AG14,Variables!$AC$3:$AD$8,2,FALSE),"Y","N")</f>
        <v>N</v>
      </c>
      <c r="X14" s="194">
        <f t="shared" si="6"/>
        <v>1</v>
      </c>
      <c r="Y14" s="194">
        <f t="shared" si="7"/>
        <v>23.296500000000002</v>
      </c>
      <c r="Z14" s="194">
        <f t="shared" si="8"/>
        <v>1.4999999999999999E-2</v>
      </c>
      <c r="AA14" s="194">
        <f t="shared" si="9"/>
        <v>23.281500000000001</v>
      </c>
      <c r="AB14" s="54" t="e">
        <f>VLOOKUP(A14,Enforcements!$C$7:$K$11,8,0)</f>
        <v>#N/A</v>
      </c>
      <c r="AC14" s="51" t="e">
        <f>VLOOKUP(A14,Enforcements!$C$7:$E$11,3,0)</f>
        <v>#N/A</v>
      </c>
      <c r="AD14" s="203">
        <f t="shared" si="10"/>
        <v>102</v>
      </c>
      <c r="AE14" s="77" t="str">
        <f t="shared" si="11"/>
        <v>aws s3 cp s3://rtdc.mdm.uploadarchive.raw/RTDC4039/ "%USERPROFILE%\AppData\Local\Temp\OnboardLogs"\RTDC4039\2017-09-01 --exclude "*" --recursive --include "*20170901*" &amp; "%USERPROFILE%\Documents\GitHub\mrs-test-scripts\Headless Mode &amp; Sideloading\WalkAndUnGZ.bat" "%USERPROFILE%\AppData\Local\Temp\OnboardLogs"\RTDC4039\2017-09-01 &amp; aws s3 cp s3://rtdc.mdm.uploadarchive.raw/RTDC4039/ "%USERPROFILE%\AppData\Local\Temp\OnboardLogs"\RTDC4039\2017-09-02 --exclude "*" --recursive --include "*20170902*" &amp; "%USERPROFILE%\Documents\GitHub\mrs-test-scripts\Headless Mode &amp; Sideloading\WalkAndUnGZ.bat" "%USERPROFILE%\AppData\Local\Temp\OnboardLogs"\RTDC4039\2017-09-02</v>
      </c>
      <c r="AF14" s="74" t="str">
        <f t="shared" si="12"/>
        <v>"C:\Program Files (x86)\AstroGrep\AstroGrep.exe" /e /r /s /spath="%USERPROFILE%\AppData\Local\Temp\OnboardLogs" /stypes="app*4039*20170901*" /stext=" 10:.+((SYSTEM_STATE.+slice.+state.+changed )|(ment ac)|(multiple cpu faults)|(system.+state.+changed )|(\[timeout)|(PRM\|1\|D)|(kpr)|(kdp)|(train st.+moving)|(\|lc)|(penalty))"</v>
      </c>
      <c r="AG14" s="206" t="str">
        <f t="shared" si="13"/>
        <v>EC</v>
      </c>
      <c r="AH14" s="78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102-01 --locoid 4039 --swversion DE.1.0.9.0 --startMP 204:232965 --initTime 2017-09-01T03:50:50 --startdatetime 2017-09-01T04:12:13 --delay 52 --endMP 204:150 --enddatetime 2017-09-01T04:48:27 --enforcementcount 0 &gt;&gt;C:\Users\stu\Documents\GitHub\eaglep3-reporting\EC\2017-09-01-refined-times.txt</v>
      </c>
      <c r="AI14" s="96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{"issue":{"subject":"","project_id":79,"tracker_id":40,"status_id":1,"priority_id":2,"assigned_to_id":338,"start_date":"2017-09-01","description":"","custom_fields":[{"id":1,"name":"Subdivision","value":"EC"},{"id":4,"name":"Milepost","value":"0.015"},{"id":17,"name":"Train ID","value":"102-01"},{"id":16,"name":"Locomotive ID","value":"4039"},{"id":130,"name":"Impact","value":""},{"id":150,"name":"Time of Event (Mountain Time)","value":"04:48:27"},{"id":151,"name":"Denver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7" si="20">"start /low /b "&amp;dls3logs&amp;" --loco "&amp;B14&amp;" --day "&amp;TEXT(F14,"YYYY-MM-DD")</f>
        <v>start /low /b %USERPROFILE%\Documents\GitHub\eaglep3\Utilities\DownloadLogsFromS3.py --loco 4039 --day 2017-09-01</v>
      </c>
      <c r="AN14" s="151" t="str">
        <f t="shared" ref="AN14:AN77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10:48:27"},{"id":29,"name":"Sharepoint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622</v>
      </c>
      <c r="B15" s="7">
        <v>4020</v>
      </c>
      <c r="C15" s="21" t="s">
        <v>197</v>
      </c>
      <c r="D15" s="21" t="s">
        <v>377</v>
      </c>
      <c r="E15" s="13">
        <v>42979.146412037036</v>
      </c>
      <c r="F15" s="13">
        <v>42979.156435185185</v>
      </c>
      <c r="G15" s="7">
        <v>74</v>
      </c>
      <c r="H15" s="21" t="s">
        <v>557</v>
      </c>
      <c r="I15" s="13">
        <v>42979.181817129633</v>
      </c>
      <c r="J15" s="7">
        <v>0</v>
      </c>
      <c r="K15" s="89" t="str">
        <f t="shared" si="0"/>
        <v>4019/4020</v>
      </c>
      <c r="L15" s="214" t="str">
        <f>VLOOKUP(A15,'Trips&amp;Operators'!$C$1:$G$99911,5,FALSE)</f>
        <v>MAELZER KURT</v>
      </c>
      <c r="M15" s="6">
        <f t="shared" si="1"/>
        <v>2.5381944447872229E-2</v>
      </c>
      <c r="N15" s="7">
        <f t="shared" si="2"/>
        <v>36.55000000493601</v>
      </c>
      <c r="O15" s="7"/>
      <c r="P15" s="7"/>
      <c r="Q15" s="22"/>
      <c r="R15" s="167"/>
      <c r="S15" s="210">
        <f t="shared" si="3"/>
        <v>1</v>
      </c>
      <c r="T15" s="192" t="str">
        <f t="shared" si="4"/>
        <v>NorthBound</v>
      </c>
      <c r="U15" s="192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3" t="str">
        <f t="shared" si="5"/>
        <v>https://d0f6bd738d7f1b3e5a7ca70fe4ff75f0.us-east-1.aws.found.io/app/kibana#/discover/Steve-Slow-Train-Analysis-(2080s-and-2083s)?_g=(refreshInterval:(display:Off,pause:!f,section:0,value:0),time:(from:'2017-09-01T02:30:50-0600',mode:absolute,to:'2017-09-01T05:21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" s="194" t="str">
        <f>IF(AA15&lt;VLOOKUP(AG15,Variables!$AC$3:$AD$8,2,FALSE),"Y","N")</f>
        <v>N</v>
      </c>
      <c r="X15" s="194">
        <f t="shared" si="6"/>
        <v>1</v>
      </c>
      <c r="Y15" s="194">
        <f t="shared" si="7"/>
        <v>4.4400000000000002E-2</v>
      </c>
      <c r="Z15" s="194">
        <f t="shared" si="8"/>
        <v>23.336400000000001</v>
      </c>
      <c r="AA15" s="194">
        <f t="shared" si="9"/>
        <v>23.292000000000002</v>
      </c>
      <c r="AB15" s="54" t="e">
        <f>VLOOKUP(A15,Enforcements!$C$7:$K$11,8,0)</f>
        <v>#N/A</v>
      </c>
      <c r="AC15" s="51" t="e">
        <f>VLOOKUP(A15,Enforcements!$C$7:$E$11,3,0)</f>
        <v>#N/A</v>
      </c>
      <c r="AD15" s="203">
        <f t="shared" si="10"/>
        <v>103</v>
      </c>
      <c r="AE15" s="77" t="str">
        <f t="shared" si="11"/>
        <v>aws s3 cp s3://rtdc.mdm.uploadarchive.raw/RTDC4020/ "%USERPROFILE%\AppData\Local\Temp\OnboardLogs"\RTDC4020\2017-09-01 --exclude "*" --recursive --include "*20170901*" &amp; "%USERPROFILE%\Documents\GitHub\mrs-test-scripts\Headless Mode &amp; Sideloading\WalkAndUnGZ.bat" "%USERPROFILE%\AppData\Local\Temp\OnboardLogs"\RTDC4020\2017-09-01 &amp; aws s3 cp s3://rtdc.mdm.uploadarchive.raw/RTDC4020/ "%USERPROFILE%\AppData\Local\Temp\OnboardLogs"\RTDC4020\2017-09-02 --exclude "*" --recursive --include "*20170902*" &amp; "%USERPROFILE%\Documents\GitHub\mrs-test-scripts\Headless Mode &amp; Sideloading\WalkAndUnGZ.bat" "%USERPROFILE%\AppData\Local\Temp\OnboardLogs"\RTDC4020\2017-09-02</v>
      </c>
      <c r="AF15" s="74" t="str">
        <f t="shared" si="12"/>
        <v>"C:\Program Files (x86)\AstroGrep\AstroGrep.exe" /e /r /s /spath="%USERPROFILE%\AppData\Local\Temp\OnboardLogs" /stypes="app*4020*20170901*" /stext=" 10:.+((SYSTEM_STATE.+slice.+state.+changed )|(ment ac)|(multiple cpu faults)|(system.+state.+changed )|(\[timeout)|(PRM\|1\|D)|(kpr)|(kdp)|(train st.+moving)|(\|lc)|(penalty))"</v>
      </c>
      <c r="AG15" s="206" t="str">
        <f t="shared" si="13"/>
        <v>EC</v>
      </c>
      <c r="AH15" s="78" t="str">
        <f t="shared" si="18"/>
        <v>"%USERPROFILE%\Documents\GitHub\eaglep3\Utilities\RefineRTDCRunTimes.py" --tripid 103-01 --locoid 4020 --swversion DE.1.0.9.0 --startMP 204:444 --initTime 2017-09-01T03:30:50 --startdatetime 2017-09-01T03:45:16 --delay 74 --endMP 204:233364 --enddatetime 2017-09-01T04:21:49 --enforcementcount 0 &gt;&gt;C:\Users\stu\Documents\GitHub\eaglep3-reporting\EC\2017-09-01-refined-times.txt</v>
      </c>
      <c r="AI15" s="96" t="str">
        <f t="shared" si="19"/>
        <v>echo {"issue":{"subject":"","project_id":79,"tracker_id":40,"status_id":1,"priority_id":2,"assigned_to_id":338,"start_date":"2017-09-01","description":"","custom_fields":[{"id":1,"name":"Subdivision","value":"EC"},{"id":4,"name":"Milepost","value":"23.3364"},{"id":17,"name":"Train ID","value":"103-01"},{"id":16,"name":"Locomotive ID","value":"4020"},{"id":130,"name":"Impact","value":""},{"id":150,"name":"Time of Event (Mountain Time)","value":"04:21:49"},{"id":151,"name":"Denver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4020 --day 2017-09-01</v>
      </c>
      <c r="AN15" s="151" t="str">
        <f t="shared" si="2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10:21:49"},{"id":29,"name":"Sharepoint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630</v>
      </c>
      <c r="B16" s="7">
        <v>4019</v>
      </c>
      <c r="C16" s="21" t="s">
        <v>197</v>
      </c>
      <c r="D16" s="21" t="s">
        <v>560</v>
      </c>
      <c r="E16" s="13">
        <v>42979.189780092594</v>
      </c>
      <c r="F16" s="13">
        <v>42979.196053240739</v>
      </c>
      <c r="G16" s="7">
        <v>45</v>
      </c>
      <c r="H16" s="21" t="s">
        <v>340</v>
      </c>
      <c r="I16" s="13">
        <v>42979.222534722219</v>
      </c>
      <c r="J16" s="7">
        <v>0</v>
      </c>
      <c r="K16" s="89" t="str">
        <f t="shared" si="0"/>
        <v>4019/4020</v>
      </c>
      <c r="L16" s="214" t="str">
        <f>VLOOKUP(A16,'Trips&amp;Operators'!$C$1:$G$99911,5,FALSE)</f>
        <v>MAELZER KURT</v>
      </c>
      <c r="M16" s="6">
        <f t="shared" si="1"/>
        <v>2.6481481480004732E-2</v>
      </c>
      <c r="N16" s="7">
        <f t="shared" si="2"/>
        <v>38.133333331206813</v>
      </c>
      <c r="O16" s="7"/>
      <c r="P16" s="7"/>
      <c r="Q16" s="22"/>
      <c r="R16" s="167"/>
      <c r="S16" s="210">
        <f t="shared" si="3"/>
        <v>1</v>
      </c>
      <c r="T16" s="192" t="str">
        <f t="shared" si="4"/>
        <v>Southbound</v>
      </c>
      <c r="U16" s="192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3" t="str">
        <f t="shared" si="5"/>
        <v>https://d0f6bd738d7f1b3e5a7ca70fe4ff75f0.us-east-1.aws.found.io/app/kibana#/discover/Steve-Slow-Train-Analysis-(2080s-and-2083s)?_g=(refreshInterval:(display:Off,pause:!f,section:0,value:0),time:(from:'2017-09-01T03:33:17-0600',mode:absolute,to:'2017-09-01T06:20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" s="194" t="str">
        <f>IF(AA16&lt;VLOOKUP(AG16,Variables!$AC$3:$AD$8,2,FALSE),"Y","N")</f>
        <v>N</v>
      </c>
      <c r="X16" s="194">
        <f t="shared" si="6"/>
        <v>1</v>
      </c>
      <c r="Y16" s="194">
        <f t="shared" si="7"/>
        <v>23.305700000000002</v>
      </c>
      <c r="Z16" s="194">
        <f t="shared" si="8"/>
        <v>1.43E-2</v>
      </c>
      <c r="AA16" s="194">
        <f t="shared" si="9"/>
        <v>23.291400000000003</v>
      </c>
      <c r="AB16" s="54" t="e">
        <f>VLOOKUP(A16,Enforcements!$C$7:$K$11,8,0)</f>
        <v>#N/A</v>
      </c>
      <c r="AC16" s="51" t="e">
        <f>VLOOKUP(A16,Enforcements!$C$7:$E$11,3,0)</f>
        <v>#N/A</v>
      </c>
      <c r="AD16" s="203">
        <f t="shared" si="10"/>
        <v>104</v>
      </c>
      <c r="AE16" s="77" t="str">
        <f t="shared" si="11"/>
        <v>aws s3 cp s3://rtdc.mdm.uploadarchive.raw/RTDC4019/ "%USERPROFILE%\AppData\Local\Temp\OnboardLogs"\RTDC4019\2017-09-01 --exclude "*" --recursive --include "*20170901*" &amp; "%USERPROFILE%\Documents\GitHub\mrs-test-scripts\Headless Mode &amp; Sideloading\WalkAndUnGZ.bat" "%USERPROFILE%\AppData\Local\Temp\OnboardLogs"\RTDC4019\2017-09-01 &amp; aws s3 cp s3://rtdc.mdm.uploadarchive.raw/RTDC4019/ "%USERPROFILE%\AppData\Local\Temp\OnboardLogs"\RTDC4019\2017-09-02 --exclude "*" --recursive --include "*20170902*" &amp; "%USERPROFILE%\Documents\GitHub\mrs-test-scripts\Headless Mode &amp; Sideloading\WalkAndUnGZ.bat" "%USERPROFILE%\AppData\Local\Temp\OnboardLogs"\RTDC4019\2017-09-02</v>
      </c>
      <c r="AF16" s="74" t="str">
        <f t="shared" si="12"/>
        <v>"C:\Program Files (x86)\AstroGrep\AstroGrep.exe" /e /r /s /spath="%USERPROFILE%\AppData\Local\Temp\OnboardLogs" /stypes="app*4019*20170901*" /stext=" 11:.+((SYSTEM_STATE.+slice.+state.+changed )|(ment ac)|(multiple cpu faults)|(system.+state.+changed )|(\[timeout)|(PRM\|1\|D)|(kpr)|(kdp)|(train st.+moving)|(\|lc)|(penalty))"</v>
      </c>
      <c r="AG16" s="206" t="str">
        <f t="shared" si="13"/>
        <v>EC</v>
      </c>
      <c r="AH16" s="78" t="str">
        <f t="shared" si="18"/>
        <v>"%USERPROFILE%\Documents\GitHub\eaglep3\Utilities\RefineRTDCRunTimes.py" --tripid 104-01 --locoid 4019 --swversion DE.1.0.9.0 --startMP 204:233057 --initTime 2017-09-01T04:33:17 --startdatetime 2017-09-01T04:42:19 --delay 45 --endMP 204:143 --enddatetime 2017-09-01T05:20:27 --enforcementcount 0 &gt;&gt;C:\Users\stu\Documents\GitHub\eaglep3-reporting\EC\2017-09-01-refined-times.txt</v>
      </c>
      <c r="AI16" s="96" t="str">
        <f t="shared" si="19"/>
        <v>echo {"issue":{"subject":"","project_id":79,"tracker_id":40,"status_id":1,"priority_id":2,"assigned_to_id":338,"start_date":"2017-09-01","description":"","custom_fields":[{"id":1,"name":"Subdivision","value":"EC"},{"id":4,"name":"Milepost","value":"0.0143"},{"id":17,"name":"Train ID","value":"104-01"},{"id":16,"name":"Locomotive ID","value":"4019"},{"id":130,"name":"Impact","value":""},{"id":150,"name":"Time of Event (Mountain Time)","value":"05:20:27"},{"id":151,"name":"Denver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4019 --day 2017-09-01</v>
      </c>
      <c r="AN16" s="151" t="str">
        <f t="shared" si="2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11:20:27"},{"id":29,"name":"Sharepoint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580</v>
      </c>
      <c r="B17" s="7">
        <v>4026</v>
      </c>
      <c r="C17" s="21" t="s">
        <v>197</v>
      </c>
      <c r="D17" s="21" t="s">
        <v>367</v>
      </c>
      <c r="E17" s="13">
        <v>42979.173298611109</v>
      </c>
      <c r="F17" s="13">
        <v>42979.177523148152</v>
      </c>
      <c r="G17" s="7">
        <v>107</v>
      </c>
      <c r="H17" s="21" t="s">
        <v>833</v>
      </c>
      <c r="I17" s="13">
        <v>42979.202951388892</v>
      </c>
      <c r="J17" s="7">
        <v>0</v>
      </c>
      <c r="K17" s="89" t="str">
        <f t="shared" si="0"/>
        <v>4025/4026</v>
      </c>
      <c r="L17" s="214" t="str">
        <f>VLOOKUP(A17,'Trips&amp;Operators'!$C$1:$G$99911,5,FALSE)</f>
        <v>BONDS REYNALDO</v>
      </c>
      <c r="M17" s="6">
        <f t="shared" si="1"/>
        <v>2.5428240740438923E-2</v>
      </c>
      <c r="N17" s="7">
        <f t="shared" si="2"/>
        <v>36.616666666232049</v>
      </c>
      <c r="O17" s="7"/>
      <c r="P17" s="7"/>
      <c r="Q17" s="22"/>
      <c r="R17" s="167"/>
      <c r="S17" s="210">
        <f t="shared" si="3"/>
        <v>1</v>
      </c>
      <c r="T17" s="192" t="str">
        <f t="shared" si="4"/>
        <v>NorthBound</v>
      </c>
      <c r="U17" s="192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3" t="str">
        <f t="shared" si="5"/>
        <v>https://d0f6bd738d7f1b3e5a7ca70fe4ff75f0.us-east-1.aws.found.io/app/kibana#/discover/Steve-Slow-Train-Analysis-(2080s-and-2083s)?_g=(refreshInterval:(display:Off,pause:!f,section:0,value:0),time:(from:'2017-09-01T03:09:33-0600',mode:absolute,to:'2017-09-01T05:52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" s="194" t="str">
        <f>IF(AA17&lt;VLOOKUP(AG17,Variables!$AC$3:$AD$8,2,FALSE),"Y","N")</f>
        <v>N</v>
      </c>
      <c r="X17" s="194">
        <f t="shared" si="6"/>
        <v>1</v>
      </c>
      <c r="Y17" s="194">
        <f t="shared" si="7"/>
        <v>4.5699999999999998E-2</v>
      </c>
      <c r="Z17" s="194">
        <f t="shared" si="8"/>
        <v>23.3401</v>
      </c>
      <c r="AA17" s="194">
        <f t="shared" si="9"/>
        <v>23.2944</v>
      </c>
      <c r="AB17" s="54" t="e">
        <f>VLOOKUP(A17,Enforcements!$C$7:$K$11,8,0)</f>
        <v>#N/A</v>
      </c>
      <c r="AC17" s="51" t="e">
        <f>VLOOKUP(A17,Enforcements!$C$7:$E$11,3,0)</f>
        <v>#N/A</v>
      </c>
      <c r="AD17" s="203">
        <f t="shared" si="10"/>
        <v>105</v>
      </c>
      <c r="AE17" s="77" t="str">
        <f t="shared" si="11"/>
        <v>aws s3 cp s3://rtdc.mdm.uploadarchive.raw/RTDC4026/ "%USERPROFILE%\AppData\Local\Temp\OnboardLogs"\RTDC4026\2017-09-01 --exclude "*" --recursive --include "*20170901*" &amp; "%USERPROFILE%\Documents\GitHub\mrs-test-scripts\Headless Mode &amp; Sideloading\WalkAndUnGZ.bat" "%USERPROFILE%\AppData\Local\Temp\OnboardLogs"\RTDC4026\2017-09-01 &amp; aws s3 cp s3://rtdc.mdm.uploadarchive.raw/RTDC4026/ "%USERPROFILE%\AppData\Local\Temp\OnboardLogs"\RTDC4026\2017-09-02 --exclude "*" --recursive --include "*20170902*" &amp; "%USERPROFILE%\Documents\GitHub\mrs-test-scripts\Headless Mode &amp; Sideloading\WalkAndUnGZ.bat" "%USERPROFILE%\AppData\Local\Temp\OnboardLogs"\RTDC4026\2017-09-02</v>
      </c>
      <c r="AF17" s="74" t="str">
        <f t="shared" si="12"/>
        <v>"C:\Program Files (x86)\AstroGrep\AstroGrep.exe" /e /r /s /spath="%USERPROFILE%\AppData\Local\Temp\OnboardLogs" /stypes="app*4026*20170901*" /stext=" 10:.+((SYSTEM_STATE.+slice.+state.+changed )|(ment ac)|(multiple cpu faults)|(system.+state.+changed )|(\[timeout)|(PRM\|1\|D)|(kpr)|(kdp)|(train st.+moving)|(\|lc)|(penalty))"</v>
      </c>
      <c r="AG17" s="206" t="str">
        <f t="shared" si="13"/>
        <v>EC</v>
      </c>
      <c r="AH17" s="78" t="str">
        <f t="shared" si="18"/>
        <v>"%USERPROFILE%\Documents\GitHub\eaglep3\Utilities\RefineRTDCRunTimes.py" --tripid 105-01 --locoid 4026 --swversion DE.1.0.9.0 --startMP 204:457 --initTime 2017-09-01T04:09:33 --startdatetime 2017-09-01T04:15:38 --delay 107 --endMP 204:233401 --enddatetime 2017-09-01T04:52:15 --enforcementcount 0 &gt;&gt;C:\Users\stu\Documents\GitHub\eaglep3-reporting\EC\2017-09-01-refined-times.txt</v>
      </c>
      <c r="AI17" s="96" t="str">
        <f t="shared" si="19"/>
        <v>echo {"issue":{"subject":"","project_id":79,"tracker_id":40,"status_id":1,"priority_id":2,"assigned_to_id":338,"start_date":"2017-09-01","description":"","custom_fields":[{"id":1,"name":"Subdivision","value":"EC"},{"id":4,"name":"Milepost","value":"23.3401"},{"id":17,"name":"Train ID","value":"105-01"},{"id":16,"name":"Locomotive ID","value":"4026"},{"id":130,"name":"Impact","value":""},{"id":150,"name":"Time of Event (Mountain Time)","value":"04:52:15"},{"id":151,"name":"Denver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4026 --day 2017-09-01</v>
      </c>
      <c r="AN17" s="151" t="str">
        <f t="shared" si="2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10:52:15"},{"id":29,"name":"Sharepoint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636</v>
      </c>
      <c r="B18" s="7">
        <v>4025</v>
      </c>
      <c r="C18" s="21" t="s">
        <v>197</v>
      </c>
      <c r="D18" s="21" t="s">
        <v>834</v>
      </c>
      <c r="E18" s="13">
        <v>42979.211354166669</v>
      </c>
      <c r="F18" s="13">
        <v>42979.216840277775</v>
      </c>
      <c r="G18" s="7">
        <v>60</v>
      </c>
      <c r="H18" s="21" t="s">
        <v>345</v>
      </c>
      <c r="I18" s="13">
        <v>42979.244351851848</v>
      </c>
      <c r="J18" s="7">
        <v>0</v>
      </c>
      <c r="K18" s="89" t="str">
        <f t="shared" si="0"/>
        <v>4025/4026</v>
      </c>
      <c r="L18" s="214" t="str">
        <f>VLOOKUP(A18,'Trips&amp;Operators'!$C$1:$G$99911,5,FALSE)</f>
        <v>BONDS REYNALDO</v>
      </c>
      <c r="M18" s="6">
        <f t="shared" si="1"/>
        <v>2.7511574073287193E-2</v>
      </c>
      <c r="N18" s="7">
        <f t="shared" si="2"/>
        <v>39.616666665533558</v>
      </c>
      <c r="O18" s="7"/>
      <c r="P18" s="7"/>
      <c r="Q18" s="22"/>
      <c r="R18" s="167"/>
      <c r="S18" s="210">
        <f t="shared" si="3"/>
        <v>1</v>
      </c>
      <c r="T18" s="192" t="str">
        <f t="shared" si="4"/>
        <v>Southbound</v>
      </c>
      <c r="U18" s="192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3" t="str">
        <f t="shared" si="5"/>
        <v>https://d0f6bd738d7f1b3e5a7ca70fe4ff75f0.us-east-1.aws.found.io/app/kibana#/discover/Steve-Slow-Train-Analysis-(2080s-and-2083s)?_g=(refreshInterval:(display:Off,pause:!f,section:0,value:0),time:(from:'2017-09-01T04:04:21-0600',mode:absolute,to:'2017-09-01T06:51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" s="194" t="str">
        <f>IF(AA18&lt;VLOOKUP(AG18,Variables!$AC$3:$AD$8,2,FALSE),"Y","N")</f>
        <v>N</v>
      </c>
      <c r="X18" s="194">
        <f t="shared" si="6"/>
        <v>1</v>
      </c>
      <c r="Y18" s="194">
        <f t="shared" si="7"/>
        <v>23.309200000000001</v>
      </c>
      <c r="Z18" s="194">
        <f t="shared" si="8"/>
        <v>1.47E-2</v>
      </c>
      <c r="AA18" s="194">
        <f t="shared" si="9"/>
        <v>23.294499999999999</v>
      </c>
      <c r="AB18" s="54" t="e">
        <f>VLOOKUP(A18,Enforcements!$C$7:$K$11,8,0)</f>
        <v>#N/A</v>
      </c>
      <c r="AC18" s="51" t="e">
        <f>VLOOKUP(A18,Enforcements!$C$7:$E$11,3,0)</f>
        <v>#N/A</v>
      </c>
      <c r="AD18" s="203">
        <f t="shared" si="10"/>
        <v>106</v>
      </c>
      <c r="AE18" s="77" t="str">
        <f t="shared" si="11"/>
        <v>aws s3 cp s3://rtdc.mdm.uploadarchive.raw/RTDC4025/ "%USERPROFILE%\AppData\Local\Temp\OnboardLogs"\RTDC4025\2017-09-01 --exclude "*" --recursive --include "*20170901*" &amp; "%USERPROFILE%\Documents\GitHub\mrs-test-scripts\Headless Mode &amp; Sideloading\WalkAndUnGZ.bat" "%USERPROFILE%\AppData\Local\Temp\OnboardLogs"\RTDC4025\2017-09-01 &amp; aws s3 cp s3://rtdc.mdm.uploadarchive.raw/RTDC4025/ "%USERPROFILE%\AppData\Local\Temp\OnboardLogs"\RTDC4025\2017-09-02 --exclude "*" --recursive --include "*20170902*" &amp; "%USERPROFILE%\Documents\GitHub\mrs-test-scripts\Headless Mode &amp; Sideloading\WalkAndUnGZ.bat" "%USERPROFILE%\AppData\Local\Temp\OnboardLogs"\RTDC4025\2017-09-02</v>
      </c>
      <c r="AF18" s="74" t="str">
        <f t="shared" si="12"/>
        <v>"C:\Program Files (x86)\AstroGrep\AstroGrep.exe" /e /r /s /spath="%USERPROFILE%\AppData\Local\Temp\OnboardLogs" /stypes="app*4025*20170901*" /stext=" 11:.+((SYSTEM_STATE.+slice.+state.+changed )|(ment ac)|(multiple cpu faults)|(system.+state.+changed )|(\[timeout)|(PRM\|1\|D)|(kpr)|(kdp)|(train st.+moving)|(\|lc)|(penalty))"</v>
      </c>
      <c r="AG18" s="206" t="str">
        <f t="shared" si="13"/>
        <v>EC</v>
      </c>
      <c r="AH18" s="78" t="str">
        <f t="shared" si="18"/>
        <v>"%USERPROFILE%\Documents\GitHub\eaglep3\Utilities\RefineRTDCRunTimes.py" --tripid 106-01 --locoid 4025 --swversion DE.1.0.9.0 --startMP 204:233092 --initTime 2017-09-01T05:04:21 --startdatetime 2017-09-01T05:12:15 --delay 60 --endMP 204:147 --enddatetime 2017-09-01T05:51:52 --enforcementcount 0 &gt;&gt;C:\Users\stu\Documents\GitHub\eaglep3-reporting\EC\2017-09-01-refined-times.txt</v>
      </c>
      <c r="AI18" s="96" t="str">
        <f t="shared" si="19"/>
        <v>echo {"issue":{"subject":"","project_id":79,"tracker_id":40,"status_id":1,"priority_id":2,"assigned_to_id":338,"start_date":"2017-09-01","description":"","custom_fields":[{"id":1,"name":"Subdivision","value":"EC"},{"id":4,"name":"Milepost","value":"0.0147"},{"id":17,"name":"Train ID","value":"106-01"},{"id":16,"name":"Locomotive ID","value":"4025"},{"id":130,"name":"Impact","value":""},{"id":150,"name":"Time of Event (Mountain Time)","value":"05:51:52"},{"id":151,"name":"Denver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4025 --day 2017-09-01</v>
      </c>
      <c r="AN18" s="151" t="str">
        <f t="shared" si="2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11:51:52"},{"id":29,"name":"Sharepoint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629</v>
      </c>
      <c r="B19" s="7">
        <v>4012</v>
      </c>
      <c r="C19" s="21" t="s">
        <v>197</v>
      </c>
      <c r="D19" s="21" t="s">
        <v>437</v>
      </c>
      <c r="E19" s="13">
        <v>42979.18346064815</v>
      </c>
      <c r="F19" s="13">
        <v>42979.187708333331</v>
      </c>
      <c r="G19" s="7">
        <v>78</v>
      </c>
      <c r="H19" s="21" t="s">
        <v>835</v>
      </c>
      <c r="I19" s="13">
        <v>42979.211944444447</v>
      </c>
      <c r="J19" s="7">
        <v>0</v>
      </c>
      <c r="K19" s="89" t="str">
        <f t="shared" si="0"/>
        <v>4011/4012</v>
      </c>
      <c r="L19" s="214" t="str">
        <f>VLOOKUP(A19,'Trips&amp;Operators'!$C$1:$G$99911,5,FALSE)</f>
        <v>WEST BRYAN</v>
      </c>
      <c r="M19" s="6">
        <f t="shared" si="1"/>
        <v>2.4236111115897074E-2</v>
      </c>
      <c r="N19" s="7">
        <f t="shared" si="2"/>
        <v>34.900000006891787</v>
      </c>
      <c r="O19" s="7"/>
      <c r="P19" s="7"/>
      <c r="Q19" s="22"/>
      <c r="R19" s="167"/>
      <c r="S19" s="210">
        <f t="shared" si="3"/>
        <v>1</v>
      </c>
      <c r="T19" s="192" t="str">
        <f t="shared" si="4"/>
        <v>NorthBound</v>
      </c>
      <c r="U19" s="192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3" t="str">
        <f t="shared" si="5"/>
        <v>https://d0f6bd738d7f1b3e5a7ca70fe4ff75f0.us-east-1.aws.found.io/app/kibana#/discover/Steve-Slow-Train-Analysis-(2080s-and-2083s)?_g=(refreshInterval:(display:Off,pause:!f,section:0,value:0),time:(from:'2017-09-01T03:24:11-0600',mode:absolute,to:'2017-09-01T06:05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" s="194" t="str">
        <f>IF(AA19&lt;VLOOKUP(AG19,Variables!$AC$3:$AD$8,2,FALSE),"Y","N")</f>
        <v>N</v>
      </c>
      <c r="X19" s="194">
        <f t="shared" si="6"/>
        <v>1</v>
      </c>
      <c r="Y19" s="194">
        <f t="shared" si="7"/>
        <v>4.7699999999999999E-2</v>
      </c>
      <c r="Z19" s="194">
        <f t="shared" si="8"/>
        <v>23.33</v>
      </c>
      <c r="AA19" s="194">
        <f t="shared" si="9"/>
        <v>23.282299999999999</v>
      </c>
      <c r="AB19" s="54" t="e">
        <f>VLOOKUP(A19,Enforcements!$C$7:$K$11,8,0)</f>
        <v>#N/A</v>
      </c>
      <c r="AC19" s="51" t="e">
        <f>VLOOKUP(A19,Enforcements!$C$7:$E$11,3,0)</f>
        <v>#N/A</v>
      </c>
      <c r="AD19" s="203">
        <f t="shared" si="10"/>
        <v>107</v>
      </c>
      <c r="AE19" s="77" t="str">
        <f t="shared" si="11"/>
        <v>aws s3 cp s3://rtdc.mdm.uploadarchive.raw/RTDC4012/ "%USERPROFILE%\AppData\Local\Temp\OnboardLogs"\RTDC4012\2017-09-01 --exclude "*" --recursive --include "*20170901*" &amp; "%USERPROFILE%\Documents\GitHub\mrs-test-scripts\Headless Mode &amp; Sideloading\WalkAndUnGZ.bat" "%USERPROFILE%\AppData\Local\Temp\OnboardLogs"\RTDC4012\2017-09-01 &amp; aws s3 cp s3://rtdc.mdm.uploadarchive.raw/RTDC4012/ "%USERPROFILE%\AppData\Local\Temp\OnboardLogs"\RTDC4012\2017-09-02 --exclude "*" --recursive --include "*20170902*" &amp; "%USERPROFILE%\Documents\GitHub\mrs-test-scripts\Headless Mode &amp; Sideloading\WalkAndUnGZ.bat" "%USERPROFILE%\AppData\Local\Temp\OnboardLogs"\RTDC4012\2017-09-02</v>
      </c>
      <c r="AF19" s="74" t="str">
        <f t="shared" si="12"/>
        <v>"C:\Program Files (x86)\AstroGrep\AstroGrep.exe" /e /r /s /spath="%USERPROFILE%\AppData\Local\Temp\OnboardLogs" /stypes="app*4012*20170901*" /stext=" 11:.+((SYSTEM_STATE.+slice.+state.+changed )|(ment ac)|(multiple cpu faults)|(system.+state.+changed )|(\[timeout)|(PRM\|1\|D)|(kpr)|(kdp)|(train st.+moving)|(\|lc)|(penalty))"</v>
      </c>
      <c r="AG19" s="206" t="str">
        <f t="shared" si="13"/>
        <v>EC</v>
      </c>
      <c r="AH19" s="78" t="str">
        <f t="shared" si="18"/>
        <v>"%USERPROFILE%\Documents\GitHub\eaglep3\Utilities\RefineRTDCRunTimes.py" --tripid 107-01 --locoid 4012 --swversion DE.1.0.9.0 --startMP 204:477 --initTime 2017-09-01T04:24:11 --startdatetime 2017-09-01T04:30:18 --delay 78 --endMP 204:233300 --enddatetime 2017-09-01T05:05:12 --enforcementcount 0 &gt;&gt;C:\Users\stu\Documents\GitHub\eaglep3-reporting\EC\2017-09-01-refined-times.txt</v>
      </c>
      <c r="AI19" s="96" t="str">
        <f t="shared" si="19"/>
        <v>echo {"issue":{"subject":"","project_id":79,"tracker_id":40,"status_id":1,"priority_id":2,"assigned_to_id":338,"start_date":"2017-09-01","description":"","custom_fields":[{"id":1,"name":"Subdivision","value":"EC"},{"id":4,"name":"Milepost","value":"23.33"},{"id":17,"name":"Train ID","value":"107-01"},{"id":16,"name":"Locomotive ID","value":"4012"},{"id":130,"name":"Impact","value":""},{"id":150,"name":"Time of Event (Mountain Time)","value":"05:05:12"},{"id":151,"name":"Denver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4012 --day 2017-09-01</v>
      </c>
      <c r="AN19" s="151" t="str">
        <f t="shared" si="2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11:05:12"},{"id":29,"name":"Sharepoint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637</v>
      </c>
      <c r="B20" s="7">
        <v>4011</v>
      </c>
      <c r="C20" s="21" t="s">
        <v>197</v>
      </c>
      <c r="D20" s="21" t="s">
        <v>448</v>
      </c>
      <c r="E20" s="13">
        <v>42979.213136574072</v>
      </c>
      <c r="F20" s="13">
        <v>42979.227280092593</v>
      </c>
      <c r="G20" s="7">
        <v>84</v>
      </c>
      <c r="H20" s="21" t="s">
        <v>365</v>
      </c>
      <c r="I20" s="13">
        <v>42979.252835648149</v>
      </c>
      <c r="J20" s="7">
        <v>0</v>
      </c>
      <c r="K20" s="89" t="str">
        <f t="shared" si="0"/>
        <v>4011/4012</v>
      </c>
      <c r="L20" s="214" t="str">
        <f>VLOOKUP(A20,'Trips&amp;Operators'!$C$1:$G$99911,5,FALSE)</f>
        <v>WEST BRYAN</v>
      </c>
      <c r="M20" s="6">
        <f t="shared" si="1"/>
        <v>2.5555555555911269E-2</v>
      </c>
      <c r="N20" s="7">
        <f t="shared" si="2"/>
        <v>36.800000000512227</v>
      </c>
      <c r="O20" s="7"/>
      <c r="P20" s="7"/>
      <c r="Q20" s="22"/>
      <c r="R20" s="167"/>
      <c r="S20" s="210">
        <f t="shared" si="3"/>
        <v>1</v>
      </c>
      <c r="T20" s="192" t="str">
        <f t="shared" si="4"/>
        <v>Southbound</v>
      </c>
      <c r="U20" s="192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3" t="str">
        <f t="shared" si="5"/>
        <v>https://d0f6bd738d7f1b3e5a7ca70fe4ff75f0.us-east-1.aws.found.io/app/kibana#/discover/Steve-Slow-Train-Analysis-(2080s-and-2083s)?_g=(refreshInterval:(display:Off,pause:!f,section:0,value:0),time:(from:'2017-09-01T04:06:55-0600',mode:absolute,to:'2017-09-01T07:04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" s="194" t="str">
        <f>IF(AA20&lt;VLOOKUP(AG20,Variables!$AC$3:$AD$8,2,FALSE),"Y","N")</f>
        <v>N</v>
      </c>
      <c r="X20" s="194">
        <f t="shared" si="6"/>
        <v>1</v>
      </c>
      <c r="Y20" s="194">
        <f t="shared" si="7"/>
        <v>23.298100000000002</v>
      </c>
      <c r="Z20" s="194">
        <f t="shared" si="8"/>
        <v>1.52E-2</v>
      </c>
      <c r="AA20" s="194">
        <f t="shared" si="9"/>
        <v>23.282900000000001</v>
      </c>
      <c r="AB20" s="54" t="e">
        <f>VLOOKUP(A20,Enforcements!$C$7:$K$11,8,0)</f>
        <v>#N/A</v>
      </c>
      <c r="AC20" s="51" t="e">
        <f>VLOOKUP(A20,Enforcements!$C$7:$E$11,3,0)</f>
        <v>#N/A</v>
      </c>
      <c r="AD20" s="203">
        <f t="shared" si="10"/>
        <v>108</v>
      </c>
      <c r="AE20" s="77" t="str">
        <f t="shared" si="11"/>
        <v>aws s3 cp s3://rtdc.mdm.uploadarchive.raw/RTDC4011/ "%USERPROFILE%\AppData\Local\Temp\OnboardLogs"\RTDC4011\2017-09-01 --exclude "*" --recursive --include "*20170901*" &amp; "%USERPROFILE%\Documents\GitHub\mrs-test-scripts\Headless Mode &amp; Sideloading\WalkAndUnGZ.bat" "%USERPROFILE%\AppData\Local\Temp\OnboardLogs"\RTDC4011\2017-09-01 &amp; aws s3 cp s3://rtdc.mdm.uploadarchive.raw/RTDC4011/ "%USERPROFILE%\AppData\Local\Temp\OnboardLogs"\RTDC4011\2017-09-02 --exclude "*" --recursive --include "*20170902*" &amp; "%USERPROFILE%\Documents\GitHub\mrs-test-scripts\Headless Mode &amp; Sideloading\WalkAndUnGZ.bat" "%USERPROFILE%\AppData\Local\Temp\OnboardLogs"\RTDC4011\2017-09-02</v>
      </c>
      <c r="AF20" s="74" t="str">
        <f t="shared" si="12"/>
        <v>"C:\Program Files (x86)\AstroGrep\AstroGrep.exe" /e /r /s /spath="%USERPROFILE%\AppData\Local\Temp\OnboardLogs" /stypes="app*4011*20170901*" /stext=" 12:.+((SYSTEM_STATE.+slice.+state.+changed )|(ment ac)|(multiple cpu faults)|(system.+state.+changed )|(\[timeout)|(PRM\|1\|D)|(kpr)|(kdp)|(train st.+moving)|(\|lc)|(penalty))"</v>
      </c>
      <c r="AG20" s="206" t="str">
        <f t="shared" si="13"/>
        <v>EC</v>
      </c>
      <c r="AH20" s="78" t="str">
        <f t="shared" si="18"/>
        <v>"%USERPROFILE%\Documents\GitHub\eaglep3\Utilities\RefineRTDCRunTimes.py" --tripid 108-01 --locoid 4011 --swversion DE.1.0.9.0 --startMP 204:232981 --initTime 2017-09-01T05:06:55 --startdatetime 2017-09-01T05:27:17 --delay 84 --endMP 204:152 --enddatetime 2017-09-01T06:04:05 --enforcementcount 0 &gt;&gt;C:\Users\stu\Documents\GitHub\eaglep3-reporting\EC\2017-09-01-refined-times.txt</v>
      </c>
      <c r="AI20" s="96" t="str">
        <f t="shared" si="19"/>
        <v>echo {"issue":{"subject":"","project_id":79,"tracker_id":40,"status_id":1,"priority_id":2,"assigned_to_id":338,"start_date":"2017-09-01","description":"","custom_fields":[{"id":1,"name":"Subdivision","value":"EC"},{"id":4,"name":"Milepost","value":"0.0152"},{"id":17,"name":"Train ID","value":"108-01"},{"id":16,"name":"Locomotive ID","value":"4011"},{"id":130,"name":"Impact","value":""},{"id":150,"name":"Time of Event (Mountain Time)","value":"06:04:05"},{"id":151,"name":"Denver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4011 --day 2017-09-01</v>
      </c>
      <c r="AN20" s="151" t="str">
        <f t="shared" si="2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12:04:05"},{"id":29,"name":"Sharepoint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631</v>
      </c>
      <c r="B21" s="7">
        <v>4006</v>
      </c>
      <c r="C21" s="21" t="s">
        <v>197</v>
      </c>
      <c r="D21" s="21" t="s">
        <v>379</v>
      </c>
      <c r="E21" s="13">
        <v>42979.192511574074</v>
      </c>
      <c r="F21" s="13">
        <v>42979.198159722226</v>
      </c>
      <c r="G21" s="7">
        <v>69</v>
      </c>
      <c r="H21" s="21" t="s">
        <v>438</v>
      </c>
      <c r="I21" s="13">
        <v>42979.224166666667</v>
      </c>
      <c r="J21" s="7">
        <v>0</v>
      </c>
      <c r="K21" s="89" t="str">
        <f t="shared" si="0"/>
        <v>4005/4006</v>
      </c>
      <c r="L21" s="214" t="str">
        <f>VLOOKUP(A21,'Trips&amp;Operators'!$C$1:$G$99911,5,FALSE)</f>
        <v>DAVIS WENDY</v>
      </c>
      <c r="M21" s="6">
        <f t="shared" si="1"/>
        <v>2.6006944441178348E-2</v>
      </c>
      <c r="N21" s="7">
        <f t="shared" si="2"/>
        <v>37.449999995296821</v>
      </c>
      <c r="O21" s="7"/>
      <c r="P21" s="7"/>
      <c r="Q21" s="22"/>
      <c r="R21" s="167"/>
      <c r="S21" s="210">
        <f t="shared" si="3"/>
        <v>1</v>
      </c>
      <c r="T21" s="192" t="str">
        <f t="shared" si="4"/>
        <v>NorthBound</v>
      </c>
      <c r="U21" s="192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3" t="str">
        <f t="shared" si="5"/>
        <v>https://d0f6bd738d7f1b3e5a7ca70fe4ff75f0.us-east-1.aws.found.io/app/kibana#/discover/Steve-Slow-Train-Analysis-(2080s-and-2083s)?_g=(refreshInterval:(display:Off,pause:!f,section:0,value:0),time:(from:'2017-09-01T03:37:13-0600',mode:absolute,to:'2017-09-01T06:22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" s="194" t="str">
        <f>IF(AA21&lt;VLOOKUP(AG21,Variables!$AC$3:$AD$8,2,FALSE),"Y","N")</f>
        <v>N</v>
      </c>
      <c r="X21" s="194">
        <f t="shared" si="6"/>
        <v>1</v>
      </c>
      <c r="Y21" s="194">
        <f t="shared" si="7"/>
        <v>4.6600000000000003E-2</v>
      </c>
      <c r="Z21" s="194">
        <f t="shared" si="8"/>
        <v>23.330500000000001</v>
      </c>
      <c r="AA21" s="194">
        <f t="shared" si="9"/>
        <v>23.283899999999999</v>
      </c>
      <c r="AB21" s="54" t="e">
        <f>VLOOKUP(A21,Enforcements!$C$7:$K$11,8,0)</f>
        <v>#N/A</v>
      </c>
      <c r="AC21" s="51" t="e">
        <f>VLOOKUP(A21,Enforcements!$C$7:$E$11,3,0)</f>
        <v>#N/A</v>
      </c>
      <c r="AD21" s="203">
        <f t="shared" si="10"/>
        <v>109</v>
      </c>
      <c r="AE21" s="77" t="str">
        <f t="shared" si="11"/>
        <v>aws s3 cp s3://rtdc.mdm.uploadarchive.raw/RTDC4006/ "%USERPROFILE%\AppData\Local\Temp\OnboardLogs"\RTDC4006\2017-09-01 --exclude "*" --recursive --include "*20170901*" &amp; "%USERPROFILE%\Documents\GitHub\mrs-test-scripts\Headless Mode &amp; Sideloading\WalkAndUnGZ.bat" "%USERPROFILE%\AppData\Local\Temp\OnboardLogs"\RTDC4006\2017-09-01 &amp; aws s3 cp s3://rtdc.mdm.uploadarchive.raw/RTDC4006/ "%USERPROFILE%\AppData\Local\Temp\OnboardLogs"\RTDC4006\2017-09-02 --exclude "*" --recursive --include "*20170902*" &amp; "%USERPROFILE%\Documents\GitHub\mrs-test-scripts\Headless Mode &amp; Sideloading\WalkAndUnGZ.bat" "%USERPROFILE%\AppData\Local\Temp\OnboardLogs"\RTDC4006\2017-09-02</v>
      </c>
      <c r="AF21" s="74" t="str">
        <f t="shared" si="12"/>
        <v>"C:\Program Files (x86)\AstroGrep\AstroGrep.exe" /e /r /s /spath="%USERPROFILE%\AppData\Local\Temp\OnboardLogs" /stypes="app*4006*20170901*" /stext=" 11:.+((SYSTEM_STATE.+slice.+state.+changed )|(ment ac)|(multiple cpu faults)|(system.+state.+changed )|(\[timeout)|(PRM\|1\|D)|(kpr)|(kdp)|(train st.+moving)|(\|lc)|(penalty))"</v>
      </c>
      <c r="AG21" s="206" t="str">
        <f t="shared" si="13"/>
        <v>EC</v>
      </c>
      <c r="AH21" s="78" t="str">
        <f t="shared" si="18"/>
        <v>"%USERPROFILE%\Documents\GitHub\eaglep3\Utilities\RefineRTDCRunTimes.py" --tripid 109-01 --locoid 4006 --swversion DE.1.0.9.0 --startMP 204:466 --initTime 2017-09-01T04:37:13 --startdatetime 2017-09-01T04:45:21 --delay 69 --endMP 204:233305 --enddatetime 2017-09-01T05:22:48 --enforcementcount 0 &gt;&gt;C:\Users\stu\Documents\GitHub\eaglep3-reporting\EC\2017-09-01-refined-times.txt</v>
      </c>
      <c r="AI21" s="96" t="str">
        <f t="shared" si="19"/>
        <v>echo {"issue":{"subject":"","project_id":79,"tracker_id":40,"status_id":1,"priority_id":2,"assigned_to_id":338,"start_date":"2017-09-01","description":"","custom_fields":[{"id":1,"name":"Subdivision","value":"EC"},{"id":4,"name":"Milepost","value":"23.3305"},{"id":17,"name":"Train ID","value":"109-01"},{"id":16,"name":"Locomotive ID","value":"4006"},{"id":130,"name":"Impact","value":""},{"id":150,"name":"Time of Event (Mountain Time)","value":"05:22:48"},{"id":151,"name":"Denver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4006 --day 2017-09-01</v>
      </c>
      <c r="AN21" s="151" t="str">
        <f t="shared" si="2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11:22:48"},{"id":29,"name":"Sharepoint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641</v>
      </c>
      <c r="B22" s="7">
        <v>4005</v>
      </c>
      <c r="C22" s="21" t="s">
        <v>197</v>
      </c>
      <c r="D22" s="21" t="s">
        <v>462</v>
      </c>
      <c r="E22" s="13">
        <v>42979.232777777775</v>
      </c>
      <c r="F22" s="13">
        <v>42979.237696759257</v>
      </c>
      <c r="G22" s="7">
        <v>60</v>
      </c>
      <c r="H22" s="21" t="s">
        <v>348</v>
      </c>
      <c r="I22" s="13">
        <v>42979.264837962961</v>
      </c>
      <c r="J22" s="7">
        <v>0</v>
      </c>
      <c r="K22" s="89" t="str">
        <f t="shared" si="0"/>
        <v>4005/4006</v>
      </c>
      <c r="L22" s="214" t="str">
        <f>VLOOKUP(A22,'Trips&amp;Operators'!$C$1:$G$99911,5,FALSE)</f>
        <v>DAVIS WENDY</v>
      </c>
      <c r="M22" s="6">
        <f t="shared" si="1"/>
        <v>2.7141203703649808E-2</v>
      </c>
      <c r="N22" s="7">
        <f t="shared" si="2"/>
        <v>39.083333333255723</v>
      </c>
      <c r="O22" s="7"/>
      <c r="P22" s="7"/>
      <c r="Q22" s="22"/>
      <c r="R22" s="167"/>
      <c r="S22" s="210">
        <f t="shared" si="3"/>
        <v>1</v>
      </c>
      <c r="T22" s="192" t="str">
        <f t="shared" si="4"/>
        <v>Southbound</v>
      </c>
      <c r="U22" s="192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3" t="str">
        <f t="shared" si="5"/>
        <v>https://d0f6bd738d7f1b3e5a7ca70fe4ff75f0.us-east-1.aws.found.io/app/kibana#/discover/Steve-Slow-Train-Analysis-(2080s-and-2083s)?_g=(refreshInterval:(display:Off,pause:!f,section:0,value:0),time:(from:'2017-09-01T04:35:12-0600',mode:absolute,to:'2017-09-01T07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" s="194" t="str">
        <f>IF(AA22&lt;VLOOKUP(AG22,Variables!$AC$3:$AD$8,2,FALSE),"Y","N")</f>
        <v>N</v>
      </c>
      <c r="X22" s="194">
        <f t="shared" si="6"/>
        <v>1</v>
      </c>
      <c r="Y22" s="194">
        <f t="shared" si="7"/>
        <v>23.296900000000001</v>
      </c>
      <c r="Z22" s="194">
        <f t="shared" si="8"/>
        <v>1.54E-2</v>
      </c>
      <c r="AA22" s="194">
        <f t="shared" si="9"/>
        <v>23.281500000000001</v>
      </c>
      <c r="AB22" s="54" t="e">
        <f>VLOOKUP(A22,Enforcements!$C$7:$K$11,8,0)</f>
        <v>#N/A</v>
      </c>
      <c r="AC22" s="51" t="e">
        <f>VLOOKUP(A22,Enforcements!$C$7:$E$11,3,0)</f>
        <v>#N/A</v>
      </c>
      <c r="AD22" s="203">
        <f t="shared" si="10"/>
        <v>110</v>
      </c>
      <c r="AE22" s="77" t="str">
        <f t="shared" si="11"/>
        <v>aws s3 cp s3://rtdc.mdm.uploadarchive.raw/RTDC4005/ "%USERPROFILE%\AppData\Local\Temp\OnboardLogs"\RTDC4005\2017-09-01 --exclude "*" --recursive --include "*20170901*" &amp; "%USERPROFILE%\Documents\GitHub\mrs-test-scripts\Headless Mode &amp; Sideloading\WalkAndUnGZ.bat" "%USERPROFILE%\AppData\Local\Temp\OnboardLogs"\RTDC4005\2017-09-01 &amp; aws s3 cp s3://rtdc.mdm.uploadarchive.raw/RTDC4005/ "%USERPROFILE%\AppData\Local\Temp\OnboardLogs"\RTDC4005\2017-09-02 --exclude "*" --recursive --include "*20170902*" &amp; "%USERPROFILE%\Documents\GitHub\mrs-test-scripts\Headless Mode &amp; Sideloading\WalkAndUnGZ.bat" "%USERPROFILE%\AppData\Local\Temp\OnboardLogs"\RTDC4005\2017-09-02</v>
      </c>
      <c r="AF22" s="74" t="str">
        <f t="shared" si="12"/>
        <v>"C:\Program Files (x86)\AstroGrep\AstroGrep.exe" /e /r /s /spath="%USERPROFILE%\AppData\Local\Temp\OnboardLogs" /stypes="app*4005*20170901*" /stext=" 12:.+((SYSTEM_STATE.+slice.+state.+changed )|(ment ac)|(multiple cpu faults)|(system.+state.+changed )|(\[timeout)|(PRM\|1\|D)|(kpr)|(kdp)|(train st.+moving)|(\|lc)|(penalty))"</v>
      </c>
      <c r="AG22" s="206" t="str">
        <f t="shared" si="13"/>
        <v>EC</v>
      </c>
      <c r="AH22" s="78" t="str">
        <f t="shared" si="18"/>
        <v>"%USERPROFILE%\Documents\GitHub\eaglep3\Utilities\RefineRTDCRunTimes.py" --tripid 110-01 --locoid 4005 --swversion DE.1.0.9.0 --startMP 204:232969 --initTime 2017-09-01T05:35:12 --startdatetime 2017-09-01T05:42:17 --delay 60 --endMP 204:154 --enddatetime 2017-09-01T06:21:22 --enforcementcount 0 &gt;&gt;C:\Users\stu\Documents\GitHub\eaglep3-reporting\EC\2017-09-01-refined-times.txt</v>
      </c>
      <c r="AI22" s="96" t="str">
        <f t="shared" si="19"/>
        <v>echo {"issue":{"subject":"","project_id":79,"tracker_id":40,"status_id":1,"priority_id":2,"assigned_to_id":338,"start_date":"2017-09-01","description":"","custom_fields":[{"id":1,"name":"Subdivision","value":"EC"},{"id":4,"name":"Milepost","value":"0.0154"},{"id":17,"name":"Train ID","value":"110-01"},{"id":16,"name":"Locomotive ID","value":"4005"},{"id":130,"name":"Impact","value":""},{"id":150,"name":"Time of Event (Mountain Time)","value":"06:21:22"},{"id":151,"name":"Denver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4005 --day 2017-09-01</v>
      </c>
      <c r="AN22" s="151" t="str">
        <f t="shared" si="2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12:21:22"},{"id":29,"name":"Sharepoint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632</v>
      </c>
      <c r="B23" s="7">
        <v>4040</v>
      </c>
      <c r="C23" s="21" t="s">
        <v>197</v>
      </c>
      <c r="D23" s="21" t="s">
        <v>355</v>
      </c>
      <c r="E23" s="13">
        <v>42979.20208333333</v>
      </c>
      <c r="F23" s="13">
        <v>42979.208506944444</v>
      </c>
      <c r="G23" s="7">
        <v>44</v>
      </c>
      <c r="H23" s="21" t="s">
        <v>836</v>
      </c>
      <c r="I23" s="13">
        <v>42979.233506944445</v>
      </c>
      <c r="J23" s="7">
        <v>0</v>
      </c>
      <c r="K23" s="89" t="str">
        <f t="shared" si="0"/>
        <v>4039/4040</v>
      </c>
      <c r="L23" s="214" t="str">
        <f>VLOOKUP(A23,'Trips&amp;Operators'!$C$1:$G$99911,5,FALSE)</f>
        <v>YORK EDGAR</v>
      </c>
      <c r="M23" s="6">
        <f t="shared" si="1"/>
        <v>2.5000000001455192E-2</v>
      </c>
      <c r="N23" s="7">
        <f t="shared" si="2"/>
        <v>36.000000002095476</v>
      </c>
      <c r="O23" s="7"/>
      <c r="P23" s="7"/>
      <c r="Q23" s="22"/>
      <c r="R23" s="167"/>
      <c r="S23" s="210">
        <f t="shared" si="3"/>
        <v>1</v>
      </c>
      <c r="T23" s="192" t="str">
        <f t="shared" si="4"/>
        <v>NorthBound</v>
      </c>
      <c r="U23" s="192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3" t="str">
        <f t="shared" si="5"/>
        <v>https://d0f6bd738d7f1b3e5a7ca70fe4ff75f0.us-east-1.aws.found.io/app/kibana#/discover/Steve-Slow-Train-Analysis-(2080s-and-2083s)?_g=(refreshInterval:(display:Off,pause:!f,section:0,value:0),time:(from:'2017-09-01T03:51:00-0600',mode:absolute,to:'2017-09-01T06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3" s="194" t="str">
        <f>IF(AA23&lt;VLOOKUP(AG23,Variables!$AC$3:$AD$8,2,FALSE),"Y","N")</f>
        <v>N</v>
      </c>
      <c r="X23" s="194">
        <f t="shared" si="6"/>
        <v>1</v>
      </c>
      <c r="Y23" s="194">
        <f t="shared" si="7"/>
        <v>4.5499999999999999E-2</v>
      </c>
      <c r="Z23" s="194">
        <f t="shared" si="8"/>
        <v>23.327200000000001</v>
      </c>
      <c r="AA23" s="194">
        <f t="shared" si="9"/>
        <v>23.281700000000001</v>
      </c>
      <c r="AB23" s="54" t="e">
        <f>VLOOKUP(A23,Enforcements!$C$7:$K$11,8,0)</f>
        <v>#N/A</v>
      </c>
      <c r="AC23" s="51" t="e">
        <f>VLOOKUP(A23,Enforcements!$C$7:$E$11,3,0)</f>
        <v>#N/A</v>
      </c>
      <c r="AD23" s="203">
        <f t="shared" si="10"/>
        <v>111</v>
      </c>
      <c r="AE23" s="77" t="str">
        <f t="shared" si="11"/>
        <v>aws s3 cp s3://rtdc.mdm.uploadarchive.raw/RTDC4040/ "%USERPROFILE%\AppData\Local\Temp\OnboardLogs"\RTDC4040\2017-09-01 --exclude "*" --recursive --include "*20170901*" &amp; "%USERPROFILE%\Documents\GitHub\mrs-test-scripts\Headless Mode &amp; Sideloading\WalkAndUnGZ.bat" "%USERPROFILE%\AppData\Local\Temp\OnboardLogs"\RTDC4040\2017-09-01 &amp; aws s3 cp s3://rtdc.mdm.uploadarchive.raw/RTDC4040/ "%USERPROFILE%\AppData\Local\Temp\OnboardLogs"\RTDC4040\2017-09-02 --exclude "*" --recursive --include "*20170902*" &amp; "%USERPROFILE%\Documents\GitHub\mrs-test-scripts\Headless Mode &amp; Sideloading\WalkAndUnGZ.bat" "%USERPROFILE%\AppData\Local\Temp\OnboardLogs"\RTDC4040\2017-09-02</v>
      </c>
      <c r="AF23" s="74" t="str">
        <f t="shared" si="12"/>
        <v>"C:\Program Files (x86)\AstroGrep\AstroGrep.exe" /e /r /s /spath="%USERPROFILE%\AppData\Local\Temp\OnboardLogs" /stypes="app*4040*20170901*" /stext=" 11:.+((SYSTEM_STATE.+slice.+state.+changed )|(ment ac)|(multiple cpu faults)|(system.+state.+changed )|(\[timeout)|(PRM\|1\|D)|(kpr)|(kdp)|(train st.+moving)|(\|lc)|(penalty))"</v>
      </c>
      <c r="AG23" s="206" t="str">
        <f t="shared" si="13"/>
        <v>EC</v>
      </c>
      <c r="AH23" s="78" t="str">
        <f t="shared" si="18"/>
        <v>"%USERPROFILE%\Documents\GitHub\eaglep3\Utilities\RefineRTDCRunTimes.py" --tripid 111-01 --locoid 4040 --swversion DE.1.0.9.0 --startMP 204:455 --initTime 2017-09-01T04:51:00 --startdatetime 2017-09-01T05:00:15 --delay 44 --endMP 204:233272 --enddatetime 2017-09-01T05:36:15 --enforcementcount 0 &gt;&gt;C:\Users\stu\Documents\GitHub\eaglep3-reporting\EC\2017-09-01-refined-times.txt</v>
      </c>
      <c r="AI23" s="96" t="str">
        <f t="shared" si="19"/>
        <v>echo {"issue":{"subject":"","project_id":79,"tracker_id":40,"status_id":1,"priority_id":2,"assigned_to_id":338,"start_date":"2017-09-01","description":"","custom_fields":[{"id":1,"name":"Subdivision","value":"EC"},{"id":4,"name":"Milepost","value":"23.3272"},{"id":17,"name":"Train ID","value":"111-01"},{"id":16,"name":"Locomotive ID","value":"4040"},{"id":130,"name":"Impact","value":""},{"id":150,"name":"Time of Event (Mountain Time)","value":"05:36:15"},{"id":151,"name":"Denver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4040 --day 2017-09-01</v>
      </c>
      <c r="AN23" s="151" t="str">
        <f t="shared" si="2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11:36:15"},{"id":29,"name":"Sharepoint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643</v>
      </c>
      <c r="B24" s="7">
        <v>4039</v>
      </c>
      <c r="C24" s="21" t="s">
        <v>197</v>
      </c>
      <c r="D24" s="21" t="s">
        <v>837</v>
      </c>
      <c r="E24" s="13">
        <v>42979.234409722223</v>
      </c>
      <c r="F24" s="13">
        <v>42979.248090277775</v>
      </c>
      <c r="G24" s="7">
        <v>52</v>
      </c>
      <c r="H24" s="21" t="s">
        <v>365</v>
      </c>
      <c r="I24" s="13">
        <v>42979.273240740738</v>
      </c>
      <c r="J24" s="7">
        <v>0</v>
      </c>
      <c r="K24" s="89" t="str">
        <f t="shared" si="0"/>
        <v>4039/4040</v>
      </c>
      <c r="L24" s="214" t="str">
        <f>VLOOKUP(A24,'Trips&amp;Operators'!$C$1:$G$99911,5,FALSE)</f>
        <v>YORK EDGAR</v>
      </c>
      <c r="M24" s="6">
        <f t="shared" si="1"/>
        <v>2.5150462963210884E-2</v>
      </c>
      <c r="N24" s="7">
        <f t="shared" si="2"/>
        <v>36.216666667023674</v>
      </c>
      <c r="O24" s="7"/>
      <c r="P24" s="7"/>
      <c r="Q24" s="22"/>
      <c r="R24" s="167"/>
      <c r="S24" s="210">
        <f t="shared" si="3"/>
        <v>1</v>
      </c>
      <c r="T24" s="192" t="str">
        <f t="shared" si="4"/>
        <v>Southbound</v>
      </c>
      <c r="U24" s="192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3" t="str">
        <f t="shared" si="5"/>
        <v>https://d0f6bd738d7f1b3e5a7ca70fe4ff75f0.us-east-1.aws.found.io/app/kibana#/discover/Steve-Slow-Train-Analysis-(2080s-and-2083s)?_g=(refreshInterval:(display:Off,pause:!f,section:0,value:0),time:(from:'2017-09-01T04:37:33-0600',mode:absolute,to:'2017-09-01T07:33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4" s="194" t="str">
        <f>IF(AA24&lt;VLOOKUP(AG24,Variables!$AC$3:$AD$8,2,FALSE),"Y","N")</f>
        <v>N</v>
      </c>
      <c r="X24" s="194">
        <f t="shared" si="6"/>
        <v>1</v>
      </c>
      <c r="Y24" s="194">
        <f t="shared" si="7"/>
        <v>23.296399999999998</v>
      </c>
      <c r="Z24" s="194">
        <f t="shared" si="8"/>
        <v>1.52E-2</v>
      </c>
      <c r="AA24" s="194">
        <f t="shared" si="9"/>
        <v>23.281199999999998</v>
      </c>
      <c r="AB24" s="54" t="e">
        <f>VLOOKUP(A24,Enforcements!$C$7:$K$11,8,0)</f>
        <v>#N/A</v>
      </c>
      <c r="AC24" s="51" t="e">
        <f>VLOOKUP(A24,Enforcements!$C$7:$E$11,3,0)</f>
        <v>#N/A</v>
      </c>
      <c r="AD24" s="203">
        <f t="shared" si="10"/>
        <v>112</v>
      </c>
      <c r="AE24" s="77" t="str">
        <f t="shared" si="11"/>
        <v>aws s3 cp s3://rtdc.mdm.uploadarchive.raw/RTDC4039/ "%USERPROFILE%\AppData\Local\Temp\OnboardLogs"\RTDC4039\2017-09-01 --exclude "*" --recursive --include "*20170901*" &amp; "%USERPROFILE%\Documents\GitHub\mrs-test-scripts\Headless Mode &amp; Sideloading\WalkAndUnGZ.bat" "%USERPROFILE%\AppData\Local\Temp\OnboardLogs"\RTDC4039\2017-09-01 &amp; aws s3 cp s3://rtdc.mdm.uploadarchive.raw/RTDC4039/ "%USERPROFILE%\AppData\Local\Temp\OnboardLogs"\RTDC4039\2017-09-02 --exclude "*" --recursive --include "*20170902*" &amp; "%USERPROFILE%\Documents\GitHub\mrs-test-scripts\Headless Mode &amp; Sideloading\WalkAndUnGZ.bat" "%USERPROFILE%\AppData\Local\Temp\OnboardLogs"\RTDC4039\2017-09-02</v>
      </c>
      <c r="AF24" s="74" t="str">
        <f t="shared" si="12"/>
        <v>"C:\Program Files (x86)\AstroGrep\AstroGrep.exe" /e /r /s /spath="%USERPROFILE%\AppData\Local\Temp\OnboardLogs" /stypes="app*4039*20170901*" /stext=" 12:.+((SYSTEM_STATE.+slice.+state.+changed )|(ment ac)|(multiple cpu faults)|(system.+state.+changed )|(\[timeout)|(PRM\|1\|D)|(kpr)|(kdp)|(train st.+moving)|(\|lc)|(penalty))"</v>
      </c>
      <c r="AG24" s="206" t="str">
        <f t="shared" si="13"/>
        <v>EC</v>
      </c>
      <c r="AH24" s="78" t="str">
        <f t="shared" si="18"/>
        <v>"%USERPROFILE%\Documents\GitHub\eaglep3\Utilities\RefineRTDCRunTimes.py" --tripid 112-01 --locoid 4039 --swversion DE.1.0.9.0 --startMP 204:232964 --initTime 2017-09-01T05:37:33 --startdatetime 2017-09-01T05:57:15 --delay 52 --endMP 204:152 --enddatetime 2017-09-01T06:33:28 --enforcementcount 0 &gt;&gt;C:\Users\stu\Documents\GitHub\eaglep3-reporting\EC\2017-09-01-refined-times.txt</v>
      </c>
      <c r="AI24" s="96" t="str">
        <f t="shared" si="19"/>
        <v>echo {"issue":{"subject":"","project_id":79,"tracker_id":40,"status_id":1,"priority_id":2,"assigned_to_id":338,"start_date":"2017-09-01","description":"","custom_fields":[{"id":1,"name":"Subdivision","value":"EC"},{"id":4,"name":"Milepost","value":"0.0152"},{"id":17,"name":"Train ID","value":"112-01"},{"id":16,"name":"Locomotive ID","value":"4039"},{"id":130,"name":"Impact","value":""},{"id":150,"name":"Time of Event (Mountain Time)","value":"06:33:28"},{"id":151,"name":"Denver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4039 --day 2017-09-01</v>
      </c>
      <c r="AN24" s="151" t="str">
        <f t="shared" si="2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12:33:28"},{"id":29,"name":"Sharepoint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638</v>
      </c>
      <c r="B25" s="7">
        <v>4024</v>
      </c>
      <c r="C25" s="21" t="s">
        <v>197</v>
      </c>
      <c r="D25" s="21" t="s">
        <v>370</v>
      </c>
      <c r="E25" s="13">
        <v>42979.215289351851</v>
      </c>
      <c r="F25" s="13">
        <v>42979.218981481485</v>
      </c>
      <c r="G25" s="7">
        <v>51</v>
      </c>
      <c r="H25" s="21" t="s">
        <v>838</v>
      </c>
      <c r="I25" s="13">
        <v>42979.243877314817</v>
      </c>
      <c r="J25" s="7">
        <v>0</v>
      </c>
      <c r="K25" s="89" t="str">
        <f t="shared" si="0"/>
        <v>4023/4024</v>
      </c>
      <c r="L25" s="214" t="str">
        <f>VLOOKUP(A25,'Trips&amp;Operators'!$C$1:$G$99911,5,FALSE)</f>
        <v>MACDONALD THOMAS</v>
      </c>
      <c r="M25" s="6">
        <f t="shared" si="1"/>
        <v>2.4895833332266193E-2</v>
      </c>
      <c r="N25" s="7">
        <f t="shared" si="2"/>
        <v>35.849999998463318</v>
      </c>
      <c r="O25" s="7"/>
      <c r="P25" s="7"/>
      <c r="Q25" s="22"/>
      <c r="R25" s="167"/>
      <c r="S25" s="210">
        <f t="shared" si="3"/>
        <v>1</v>
      </c>
      <c r="T25" s="192" t="str">
        <f t="shared" si="4"/>
        <v>NorthBound</v>
      </c>
      <c r="U25" s="192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3" t="str">
        <f t="shared" si="5"/>
        <v>https://d0f6bd738d7f1b3e5a7ca70fe4ff75f0.us-east-1.aws.found.io/app/kibana#/discover/Steve-Slow-Train-Analysis-(2080s-and-2083s)?_g=(refreshInterval:(display:Off,pause:!f,section:0,value:0),time:(from:'2017-09-01T04:10:01-0600',mode:absolute,to:'2017-09-01T06:51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5" s="194" t="str">
        <f>IF(AA25&lt;VLOOKUP(AG25,Variables!$AC$3:$AD$8,2,FALSE),"Y","N")</f>
        <v>N</v>
      </c>
      <c r="X25" s="194">
        <f t="shared" si="6"/>
        <v>1</v>
      </c>
      <c r="Y25" s="194">
        <f t="shared" si="7"/>
        <v>4.6399999999999997E-2</v>
      </c>
      <c r="Z25" s="194">
        <f t="shared" si="8"/>
        <v>23.3276</v>
      </c>
      <c r="AA25" s="194">
        <f t="shared" si="9"/>
        <v>23.281200000000002</v>
      </c>
      <c r="AB25" s="54" t="e">
        <f>VLOOKUP(A25,Enforcements!$C$7:$K$11,8,0)</f>
        <v>#N/A</v>
      </c>
      <c r="AC25" s="51" t="e">
        <f>VLOOKUP(A25,Enforcements!$C$7:$E$11,3,0)</f>
        <v>#N/A</v>
      </c>
      <c r="AD25" s="203">
        <f t="shared" si="10"/>
        <v>113</v>
      </c>
      <c r="AE25" s="77" t="str">
        <f t="shared" si="11"/>
        <v>aws s3 cp s3://rtdc.mdm.uploadarchive.raw/RTDC4024/ "%USERPROFILE%\AppData\Local\Temp\OnboardLogs"\RTDC4024\2017-09-01 --exclude "*" --recursive --include "*20170901*" &amp; "%USERPROFILE%\Documents\GitHub\mrs-test-scripts\Headless Mode &amp; Sideloading\WalkAndUnGZ.bat" "%USERPROFILE%\AppData\Local\Temp\OnboardLogs"\RTDC4024\2017-09-01 &amp; aws s3 cp s3://rtdc.mdm.uploadarchive.raw/RTDC4024/ "%USERPROFILE%\AppData\Local\Temp\OnboardLogs"\RTDC4024\2017-09-02 --exclude "*" --recursive --include "*20170902*" &amp; "%USERPROFILE%\Documents\GitHub\mrs-test-scripts\Headless Mode &amp; Sideloading\WalkAndUnGZ.bat" "%USERPROFILE%\AppData\Local\Temp\OnboardLogs"\RTDC4024\2017-09-02</v>
      </c>
      <c r="AF25" s="74" t="str">
        <f t="shared" si="12"/>
        <v>"C:\Program Files (x86)\AstroGrep\AstroGrep.exe" /e /r /s /spath="%USERPROFILE%\AppData\Local\Temp\OnboardLogs" /stypes="app*4024*20170901*" /stext=" 11:.+((SYSTEM_STATE.+slice.+state.+changed )|(ment ac)|(multiple cpu faults)|(system.+state.+changed )|(\[timeout)|(PRM\|1\|D)|(kpr)|(kdp)|(train st.+moving)|(\|lc)|(penalty))"</v>
      </c>
      <c r="AG25" s="206" t="str">
        <f t="shared" si="13"/>
        <v>EC</v>
      </c>
      <c r="AH25" s="78" t="str">
        <f t="shared" si="18"/>
        <v>"%USERPROFILE%\Documents\GitHub\eaglep3\Utilities\RefineRTDCRunTimes.py" --tripid 113-01 --locoid 4024 --swversion DE.1.0.9.0 --startMP 204:464 --initTime 2017-09-01T05:10:01 --startdatetime 2017-09-01T05:15:20 --delay 51 --endMP 204:233276 --enddatetime 2017-09-01T05:51:11 --enforcementcount 0 &gt;&gt;C:\Users\stu\Documents\GitHub\eaglep3-reporting\EC\2017-09-01-refined-times.txt</v>
      </c>
      <c r="AI25" s="96" t="str">
        <f t="shared" si="19"/>
        <v>echo {"issue":{"subject":"","project_id":79,"tracker_id":40,"status_id":1,"priority_id":2,"assigned_to_id":338,"start_date":"2017-09-01","description":"","custom_fields":[{"id":1,"name":"Subdivision","value":"EC"},{"id":4,"name":"Milepost","value":"23.3276"},{"id":17,"name":"Train ID","value":"113-01"},{"id":16,"name":"Locomotive ID","value":"4024"},{"id":130,"name":"Impact","value":""},{"id":150,"name":"Time of Event (Mountain Time)","value":"05:51:11"},{"id":151,"name":"Denver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4024 --day 2017-09-01</v>
      </c>
      <c r="AN25" s="151" t="str">
        <f t="shared" si="2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11:51:11"},{"id":29,"name":"Sharepoint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586</v>
      </c>
      <c r="B26" s="7">
        <v>4023</v>
      </c>
      <c r="C26" s="21" t="s">
        <v>197</v>
      </c>
      <c r="D26" s="21" t="s">
        <v>549</v>
      </c>
      <c r="E26" s="13">
        <v>42979.256701388891</v>
      </c>
      <c r="F26" s="13">
        <v>42979.258935185186</v>
      </c>
      <c r="G26" s="7">
        <v>51</v>
      </c>
      <c r="H26" s="21" t="s">
        <v>382</v>
      </c>
      <c r="I26" s="13">
        <v>42979.286435185182</v>
      </c>
      <c r="J26" s="7">
        <v>0</v>
      </c>
      <c r="K26" s="89" t="str">
        <f t="shared" si="0"/>
        <v>4023/4024</v>
      </c>
      <c r="L26" s="214" t="str">
        <f>VLOOKUP(A26,'Trips&amp;Operators'!$C$1:$G$99911,5,FALSE)</f>
        <v>MACDONALD THOMAS</v>
      </c>
      <c r="M26" s="6">
        <f t="shared" si="1"/>
        <v>2.749999999650754E-2</v>
      </c>
      <c r="N26" s="7">
        <f t="shared" si="2"/>
        <v>39.599999994970858</v>
      </c>
      <c r="O26" s="7"/>
      <c r="P26" s="7"/>
      <c r="Q26" s="22"/>
      <c r="R26" s="167"/>
      <c r="S26" s="210">
        <f t="shared" si="3"/>
        <v>1</v>
      </c>
      <c r="T26" s="192" t="str">
        <f t="shared" si="4"/>
        <v>Southbound</v>
      </c>
      <c r="U26" s="192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3" t="str">
        <f t="shared" si="5"/>
        <v>https://d0f6bd738d7f1b3e5a7ca70fe4ff75f0.us-east-1.aws.found.io/app/kibana#/discover/Steve-Slow-Train-Analysis-(2080s-and-2083s)?_g=(refreshInterval:(display:Off,pause:!f,section:0,value:0),time:(from:'2017-09-01T05:09:39-0600',mode:absolute,to:'2017-09-01T07:52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6" s="194" t="str">
        <f>IF(AA26&lt;VLOOKUP(AG26,Variables!$AC$3:$AD$8,2,FALSE),"Y","N")</f>
        <v>N</v>
      </c>
      <c r="X26" s="194">
        <f t="shared" si="6"/>
        <v>1</v>
      </c>
      <c r="Y26" s="194">
        <f t="shared" si="7"/>
        <v>23.2959</v>
      </c>
      <c r="Z26" s="194">
        <f t="shared" si="8"/>
        <v>1.5599999999999999E-2</v>
      </c>
      <c r="AA26" s="194">
        <f t="shared" si="9"/>
        <v>23.2803</v>
      </c>
      <c r="AB26" s="54" t="e">
        <f>VLOOKUP(A26,Enforcements!$C$7:$K$11,8,0)</f>
        <v>#N/A</v>
      </c>
      <c r="AC26" s="51" t="e">
        <f>VLOOKUP(A26,Enforcements!$C$7:$E$11,3,0)</f>
        <v>#N/A</v>
      </c>
      <c r="AD26" s="203">
        <f t="shared" si="10"/>
        <v>114</v>
      </c>
      <c r="AE26" s="77" t="str">
        <f t="shared" si="11"/>
        <v>aws s3 cp s3://rtdc.mdm.uploadarchive.raw/RTDC4023/ "%USERPROFILE%\AppData\Local\Temp\OnboardLogs"\RTDC4023\2017-09-01 --exclude "*" --recursive --include "*20170901*" &amp; "%USERPROFILE%\Documents\GitHub\mrs-test-scripts\Headless Mode &amp; Sideloading\WalkAndUnGZ.bat" "%USERPROFILE%\AppData\Local\Temp\OnboardLogs"\RTDC4023\2017-09-01 &amp; aws s3 cp s3://rtdc.mdm.uploadarchive.raw/RTDC4023/ "%USERPROFILE%\AppData\Local\Temp\OnboardLogs"\RTDC4023\2017-09-02 --exclude "*" --recursive --include "*20170902*" &amp; "%USERPROFILE%\Documents\GitHub\mrs-test-scripts\Headless Mode &amp; Sideloading\WalkAndUnGZ.bat" "%USERPROFILE%\AppData\Local\Temp\OnboardLogs"\RTDC4023\2017-09-02</v>
      </c>
      <c r="AF26" s="74" t="str">
        <f t="shared" si="12"/>
        <v>"C:\Program Files (x86)\AstroGrep\AstroGrep.exe" /e /r /s /spath="%USERPROFILE%\AppData\Local\Temp\OnboardLogs" /stypes="app*4023*20170901*" /stext=" 12:.+((SYSTEM_STATE.+slice.+state.+changed )|(ment ac)|(multiple cpu faults)|(system.+state.+changed )|(\[timeout)|(PRM\|1\|D)|(kpr)|(kdp)|(train st.+moving)|(\|lc)|(penalty))"</v>
      </c>
      <c r="AG26" s="206" t="str">
        <f t="shared" si="13"/>
        <v>EC</v>
      </c>
      <c r="AH26" s="78" t="str">
        <f t="shared" si="18"/>
        <v>"%USERPROFILE%\Documents\GitHub\eaglep3\Utilities\RefineRTDCRunTimes.py" --tripid 114-01 --locoid 4023 --swversion DE.1.0.9.0 --startMP 204:232959 --initTime 2017-09-01T06:09:39 --startdatetime 2017-09-01T06:12:52 --delay 51 --endMP 204:156 --enddatetime 2017-09-01T06:52:28 --enforcementcount 0 &gt;&gt;C:\Users\stu\Documents\GitHub\eaglep3-reporting\EC\2017-09-01-refined-times.txt</v>
      </c>
      <c r="AI26" s="96" t="str">
        <f t="shared" si="19"/>
        <v>echo {"issue":{"subject":"","project_id":79,"tracker_id":40,"status_id":1,"priority_id":2,"assigned_to_id":338,"start_date":"2017-09-01","description":"","custom_fields":[{"id":1,"name":"Subdivision","value":"EC"},{"id":4,"name":"Milepost","value":"0.0156"},{"id":17,"name":"Train ID","value":"114-01"},{"id":16,"name":"Locomotive ID","value":"4023"},{"id":130,"name":"Impact","value":""},{"id":150,"name":"Time of Event (Mountain Time)","value":"06:52:28"},{"id":151,"name":"Denver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4023 --day 2017-09-01</v>
      </c>
      <c r="AN26" s="151" t="str">
        <f t="shared" si="2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12:52:28"},{"id":29,"name":"Sharepoint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640</v>
      </c>
      <c r="B27" s="7">
        <v>4020</v>
      </c>
      <c r="C27" s="21" t="s">
        <v>197</v>
      </c>
      <c r="D27" s="21" t="s">
        <v>440</v>
      </c>
      <c r="E27" s="13">
        <v>42979.22451388889</v>
      </c>
      <c r="F27" s="13">
        <v>42979.229745370372</v>
      </c>
      <c r="G27" s="7">
        <v>47</v>
      </c>
      <c r="H27" s="21" t="s">
        <v>839</v>
      </c>
      <c r="I27" s="13">
        <v>42979.255347222221</v>
      </c>
      <c r="J27" s="7">
        <v>0</v>
      </c>
      <c r="K27" s="89" t="str">
        <f t="shared" si="0"/>
        <v>4019/4020</v>
      </c>
      <c r="L27" s="214" t="str">
        <f>VLOOKUP(A27,'Trips&amp;Operators'!$C$1:$G$99911,5,FALSE)</f>
        <v>MAELZER KURT</v>
      </c>
      <c r="M27" s="6">
        <f t="shared" si="1"/>
        <v>2.5601851848477963E-2</v>
      </c>
      <c r="N27" s="7">
        <f t="shared" si="2"/>
        <v>36.866666661808267</v>
      </c>
      <c r="O27" s="7"/>
      <c r="P27" s="7"/>
      <c r="Q27" s="22"/>
      <c r="R27" s="167"/>
      <c r="S27" s="210">
        <f t="shared" si="3"/>
        <v>1</v>
      </c>
      <c r="T27" s="192" t="str">
        <f t="shared" si="4"/>
        <v>NorthBound</v>
      </c>
      <c r="U27" s="192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3" t="str">
        <f t="shared" si="5"/>
        <v>https://d0f6bd738d7f1b3e5a7ca70fe4ff75f0.us-east-1.aws.found.io/app/kibana#/discover/Steve-Slow-Train-Analysis-(2080s-and-2083s)?_g=(refreshInterval:(display:Off,pause:!f,section:0,value:0),time:(from:'2017-09-01T04:23:18-0600',mode:absolute,to:'2017-09-01T07:07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7" s="194" t="str">
        <f>IF(AA27&lt;VLOOKUP(AG27,Variables!$AC$3:$AD$8,2,FALSE),"Y","N")</f>
        <v>N</v>
      </c>
      <c r="X27" s="194">
        <f t="shared" si="6"/>
        <v>1</v>
      </c>
      <c r="Y27" s="194">
        <f t="shared" si="7"/>
        <v>4.3799999999999999E-2</v>
      </c>
      <c r="Z27" s="194">
        <f t="shared" si="8"/>
        <v>23.3325</v>
      </c>
      <c r="AA27" s="194">
        <f t="shared" si="9"/>
        <v>23.288699999999999</v>
      </c>
      <c r="AB27" s="54" t="e">
        <f>VLOOKUP(A27,Enforcements!$C$7:$K$11,8,0)</f>
        <v>#N/A</v>
      </c>
      <c r="AC27" s="51" t="e">
        <f>VLOOKUP(A27,Enforcements!$C$7:$E$11,3,0)</f>
        <v>#N/A</v>
      </c>
      <c r="AD27" s="203">
        <f t="shared" si="10"/>
        <v>115</v>
      </c>
      <c r="AE27" s="77" t="str">
        <f t="shared" si="11"/>
        <v>aws s3 cp s3://rtdc.mdm.uploadarchive.raw/RTDC4020/ "%USERPROFILE%\AppData\Local\Temp\OnboardLogs"\RTDC4020\2017-09-01 --exclude "*" --recursive --include "*20170901*" &amp; "%USERPROFILE%\Documents\GitHub\mrs-test-scripts\Headless Mode &amp; Sideloading\WalkAndUnGZ.bat" "%USERPROFILE%\AppData\Local\Temp\OnboardLogs"\RTDC4020\2017-09-01 &amp; aws s3 cp s3://rtdc.mdm.uploadarchive.raw/RTDC4020/ "%USERPROFILE%\AppData\Local\Temp\OnboardLogs"\RTDC4020\2017-09-02 --exclude "*" --recursive --include "*20170902*" &amp; "%USERPROFILE%\Documents\GitHub\mrs-test-scripts\Headless Mode &amp; Sideloading\WalkAndUnGZ.bat" "%USERPROFILE%\AppData\Local\Temp\OnboardLogs"\RTDC4020\2017-09-02</v>
      </c>
      <c r="AF27" s="74" t="str">
        <f t="shared" si="12"/>
        <v>"C:\Program Files (x86)\AstroGrep\AstroGrep.exe" /e /r /s /spath="%USERPROFILE%\AppData\Local\Temp\OnboardLogs" /stypes="app*4020*20170901*" /stext=" 12:.+((SYSTEM_STATE.+slice.+state.+changed )|(ment ac)|(multiple cpu faults)|(system.+state.+changed )|(\[timeout)|(PRM\|1\|D)|(kpr)|(kdp)|(train st.+moving)|(\|lc)|(penalty))"</v>
      </c>
      <c r="AG27" s="206" t="str">
        <f t="shared" si="13"/>
        <v>EC</v>
      </c>
      <c r="AH27" s="78" t="str">
        <f t="shared" si="18"/>
        <v>"%USERPROFILE%\Documents\GitHub\eaglep3\Utilities\RefineRTDCRunTimes.py" --tripid 115-01 --locoid 4020 --swversion DE.1.0.9.0 --startMP 204:438 --initTime 2017-09-01T05:23:18 --startdatetime 2017-09-01T05:30:50 --delay 47 --endMP 204:233325 --enddatetime 2017-09-01T06:07:42 --enforcementcount 0 &gt;&gt;C:\Users\stu\Documents\GitHub\eaglep3-reporting\EC\2017-09-01-refined-times.txt</v>
      </c>
      <c r="AI27" s="96" t="str">
        <f t="shared" si="19"/>
        <v>echo {"issue":{"subject":"","project_id":79,"tracker_id":40,"status_id":1,"priority_id":2,"assigned_to_id":338,"start_date":"2017-09-01","description":"","custom_fields":[{"id":1,"name":"Subdivision","value":"EC"},{"id":4,"name":"Milepost","value":"23.3325"},{"id":17,"name":"Train ID","value":"115-01"},{"id":16,"name":"Locomotive ID","value":"4020"},{"id":130,"name":"Impact","value":""},{"id":150,"name":"Time of Event (Mountain Time)","value":"06:07:42"},{"id":151,"name":"Denver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4020 --day 2017-09-01</v>
      </c>
      <c r="AN27" s="151" t="str">
        <f t="shared" si="2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12:07:42"},{"id":29,"name":"Sharepoint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653</v>
      </c>
      <c r="B28" s="7">
        <v>4019</v>
      </c>
      <c r="C28" s="21" t="s">
        <v>197</v>
      </c>
      <c r="D28" s="21" t="s">
        <v>491</v>
      </c>
      <c r="E28" s="13">
        <v>42979.262592592589</v>
      </c>
      <c r="F28" s="13">
        <v>42979.268969907411</v>
      </c>
      <c r="G28" s="7">
        <v>48</v>
      </c>
      <c r="H28" s="21" t="s">
        <v>465</v>
      </c>
      <c r="I28" s="13">
        <v>42979.296180555553</v>
      </c>
      <c r="J28" s="7">
        <v>0</v>
      </c>
      <c r="K28" s="89" t="str">
        <f t="shared" si="0"/>
        <v>4019/4020</v>
      </c>
      <c r="L28" s="214" t="str">
        <f>VLOOKUP(A28,'Trips&amp;Operators'!$C$1:$G$99911,5,FALSE)</f>
        <v>MAELZER KURT</v>
      </c>
      <c r="M28" s="6">
        <f t="shared" si="1"/>
        <v>2.7210648142499849E-2</v>
      </c>
      <c r="N28" s="7">
        <f t="shared" si="2"/>
        <v>39.183333325199783</v>
      </c>
      <c r="O28" s="7"/>
      <c r="P28" s="7"/>
      <c r="Q28" s="22"/>
      <c r="R28" s="167"/>
      <c r="S28" s="210">
        <f t="shared" si="3"/>
        <v>1</v>
      </c>
      <c r="T28" s="192" t="str">
        <f t="shared" si="4"/>
        <v>Southbound</v>
      </c>
      <c r="U28" s="192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3" t="str">
        <f t="shared" si="5"/>
        <v>https://d0f6bd738d7f1b3e5a7ca70fe4ff75f0.us-east-1.aws.found.io/app/kibana#/discover/Steve-Slow-Train-Analysis-(2080s-and-2083s)?_g=(refreshInterval:(display:Off,pause:!f,section:0,value:0),time:(from:'2017-09-01T05:18:08-0600',mode:absolute,to:'2017-09-01T08:06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8" s="194" t="str">
        <f>IF(AA28&lt;VLOOKUP(AG28,Variables!$AC$3:$AD$8,2,FALSE),"Y","N")</f>
        <v>N</v>
      </c>
      <c r="X28" s="194">
        <f t="shared" si="6"/>
        <v>1</v>
      </c>
      <c r="Y28" s="194">
        <f t="shared" si="7"/>
        <v>23.301300000000001</v>
      </c>
      <c r="Z28" s="194">
        <f t="shared" si="8"/>
        <v>1.32E-2</v>
      </c>
      <c r="AA28" s="194">
        <f t="shared" si="9"/>
        <v>23.2881</v>
      </c>
      <c r="AB28" s="54" t="e">
        <f>VLOOKUP(A28,Enforcements!$C$7:$K$11,8,0)</f>
        <v>#N/A</v>
      </c>
      <c r="AC28" s="51" t="e">
        <f>VLOOKUP(A28,Enforcements!$C$7:$E$11,3,0)</f>
        <v>#N/A</v>
      </c>
      <c r="AD28" s="203">
        <f t="shared" si="10"/>
        <v>116</v>
      </c>
      <c r="AE28" s="77" t="str">
        <f t="shared" si="11"/>
        <v>aws s3 cp s3://rtdc.mdm.uploadarchive.raw/RTDC4019/ "%USERPROFILE%\AppData\Local\Temp\OnboardLogs"\RTDC4019\2017-09-01 --exclude "*" --recursive --include "*20170901*" &amp; "%USERPROFILE%\Documents\GitHub\mrs-test-scripts\Headless Mode &amp; Sideloading\WalkAndUnGZ.bat" "%USERPROFILE%\AppData\Local\Temp\OnboardLogs"\RTDC4019\2017-09-01 &amp; aws s3 cp s3://rtdc.mdm.uploadarchive.raw/RTDC4019/ "%USERPROFILE%\AppData\Local\Temp\OnboardLogs"\RTDC4019\2017-09-02 --exclude "*" --recursive --include "*20170902*" &amp; "%USERPROFILE%\Documents\GitHub\mrs-test-scripts\Headless Mode &amp; Sideloading\WalkAndUnGZ.bat" "%USERPROFILE%\AppData\Local\Temp\OnboardLogs"\RTDC4019\2017-09-02</v>
      </c>
      <c r="AF28" s="74" t="str">
        <f t="shared" si="12"/>
        <v>"C:\Program Files (x86)\AstroGrep\AstroGrep.exe" /e /r /s /spath="%USERPROFILE%\AppData\Local\Temp\OnboardLogs" /stypes="app*4019*20170901*" /stext=" 13:.+((SYSTEM_STATE.+slice.+state.+changed )|(ment ac)|(multiple cpu faults)|(system.+state.+changed )|(\[timeout)|(PRM\|1\|D)|(kpr)|(kdp)|(train st.+moving)|(\|lc)|(penalty))"</v>
      </c>
      <c r="AG28" s="206" t="str">
        <f t="shared" si="13"/>
        <v>EC</v>
      </c>
      <c r="AH28" s="78" t="str">
        <f t="shared" si="18"/>
        <v>"%USERPROFILE%\Documents\GitHub\eaglep3\Utilities\RefineRTDCRunTimes.py" --tripid 116-01 --locoid 4019 --swversion DE.1.0.9.0 --startMP 204:233013 --initTime 2017-09-01T06:18:08 --startdatetime 2017-09-01T06:27:19 --delay 48 --endMP 204:132 --enddatetime 2017-09-01T07:06:30 --enforcementcount 0 &gt;&gt;C:\Users\stu\Documents\GitHub\eaglep3-reporting\EC\2017-09-01-refined-times.txt</v>
      </c>
      <c r="AI28" s="96" t="str">
        <f t="shared" si="19"/>
        <v>echo {"issue":{"subject":"","project_id":79,"tracker_id":40,"status_id":1,"priority_id":2,"assigned_to_id":338,"start_date":"2017-09-01","description":"","custom_fields":[{"id":1,"name":"Subdivision","value":"EC"},{"id":4,"name":"Milepost","value":"0.0132"},{"id":17,"name":"Train ID","value":"116-01"},{"id":16,"name":"Locomotive ID","value":"4019"},{"id":130,"name":"Impact","value":""},{"id":150,"name":"Time of Event (Mountain Time)","value":"07:06:30"},{"id":151,"name":"Denver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4019 --day 2017-09-01</v>
      </c>
      <c r="AN28" s="151" t="str">
        <f t="shared" si="2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13:06:30"},{"id":29,"name":"Sharepoint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645</v>
      </c>
      <c r="B29" s="7">
        <v>4058</v>
      </c>
      <c r="C29" s="21" t="s">
        <v>197</v>
      </c>
      <c r="D29" s="21" t="s">
        <v>370</v>
      </c>
      <c r="E29" s="13">
        <v>42979.236250000002</v>
      </c>
      <c r="F29" s="13">
        <v>42979.239745370367</v>
      </c>
      <c r="G29" s="7">
        <v>77</v>
      </c>
      <c r="H29" s="21" t="s">
        <v>840</v>
      </c>
      <c r="I29" s="13">
        <v>42979.264293981483</v>
      </c>
      <c r="J29" s="7">
        <v>0</v>
      </c>
      <c r="K29" s="89" t="str">
        <f t="shared" si="0"/>
        <v>4057/4058</v>
      </c>
      <c r="L29" s="214" t="str">
        <f>VLOOKUP(A29,'Trips&amp;Operators'!$C$1:$G$99911,5,FALSE)</f>
        <v>BARRON PERLA</v>
      </c>
      <c r="M29" s="6">
        <f t="shared" si="1"/>
        <v>2.4548611116188113E-2</v>
      </c>
      <c r="N29" s="7">
        <f t="shared" si="2"/>
        <v>35.350000007310882</v>
      </c>
      <c r="O29" s="7"/>
      <c r="P29" s="7"/>
      <c r="Q29" s="22"/>
      <c r="R29" s="167"/>
      <c r="S29" s="210">
        <f t="shared" si="3"/>
        <v>1</v>
      </c>
      <c r="T29" s="192" t="str">
        <f t="shared" si="4"/>
        <v>NorthBound</v>
      </c>
      <c r="U29" s="192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3" t="str">
        <f t="shared" si="5"/>
        <v>https://d0f6bd738d7f1b3e5a7ca70fe4ff75f0.us-east-1.aws.found.io/app/kibana#/discover/Steve-Slow-Train-Analysis-(2080s-and-2083s)?_g=(refreshInterval:(display:Off,pause:!f,section:0,value:0),time:(from:'2017-09-01T04:40:12-0600',mode:absolute,to:'2017-09-01T07:20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9" s="194" t="str">
        <f>IF(AA29&lt;VLOOKUP(AG29,Variables!$AC$3:$AD$8,2,FALSE),"Y","N")</f>
        <v>N</v>
      </c>
      <c r="X29" s="194">
        <f t="shared" si="6"/>
        <v>1</v>
      </c>
      <c r="Y29" s="194">
        <f t="shared" si="7"/>
        <v>4.6399999999999997E-2</v>
      </c>
      <c r="Z29" s="194">
        <f t="shared" si="8"/>
        <v>23.331199999999999</v>
      </c>
      <c r="AA29" s="194">
        <f t="shared" si="9"/>
        <v>23.284800000000001</v>
      </c>
      <c r="AB29" s="54" t="e">
        <f>VLOOKUP(A29,Enforcements!$C$7:$K$11,8,0)</f>
        <v>#N/A</v>
      </c>
      <c r="AC29" s="51" t="e">
        <f>VLOOKUP(A29,Enforcements!$C$7:$E$11,3,0)</f>
        <v>#N/A</v>
      </c>
      <c r="AD29" s="203">
        <f t="shared" si="10"/>
        <v>117</v>
      </c>
      <c r="AE29" s="77" t="str">
        <f t="shared" si="11"/>
        <v>aws s3 cp s3://rtdc.mdm.uploadarchive.raw/RTDC4058/ "%USERPROFILE%\AppData\Local\Temp\OnboardLogs"\RTDC4058\2017-09-01 --exclude "*" --recursive --include "*20170901*" &amp; "%USERPROFILE%\Documents\GitHub\mrs-test-scripts\Headless Mode &amp; Sideloading\WalkAndUnGZ.bat" "%USERPROFILE%\AppData\Local\Temp\OnboardLogs"\RTDC4058\2017-09-01 &amp; aws s3 cp s3://rtdc.mdm.uploadarchive.raw/RTDC4058/ "%USERPROFILE%\AppData\Local\Temp\OnboardLogs"\RTDC4058\2017-09-02 --exclude "*" --recursive --include "*20170902*" &amp; "%USERPROFILE%\Documents\GitHub\mrs-test-scripts\Headless Mode &amp; Sideloading\WalkAndUnGZ.bat" "%USERPROFILE%\AppData\Local\Temp\OnboardLogs"\RTDC4058\2017-09-02</v>
      </c>
      <c r="AF29" s="74" t="str">
        <f t="shared" si="12"/>
        <v>"C:\Program Files (x86)\AstroGrep\AstroGrep.exe" /e /r /s /spath="%USERPROFILE%\AppData\Local\Temp\OnboardLogs" /stypes="app*4058*20170901*" /stext=" 12:.+((SYSTEM_STATE.+slice.+state.+changed )|(ment ac)|(multiple cpu faults)|(system.+state.+changed )|(\[timeout)|(PRM\|1\|D)|(kpr)|(kdp)|(train st.+moving)|(\|lc)|(penalty))"</v>
      </c>
      <c r="AG29" s="206" t="str">
        <f t="shared" si="13"/>
        <v>EC</v>
      </c>
      <c r="AH29" s="78" t="str">
        <f t="shared" si="18"/>
        <v>"%USERPROFILE%\Documents\GitHub\eaglep3\Utilities\RefineRTDCRunTimes.py" --tripid 117-01 --locoid 4058 --swversion DE.1.0.9.0 --startMP 204:464 --initTime 2017-09-01T05:40:12 --startdatetime 2017-09-01T05:45:14 --delay 77 --endMP 204:233312 --enddatetime 2017-09-01T06:20:35 --enforcementcount 0 &gt;&gt;C:\Users\stu\Documents\GitHub\eaglep3-reporting\EC\2017-09-01-refined-times.txt</v>
      </c>
      <c r="AI29" s="96" t="str">
        <f t="shared" si="19"/>
        <v>echo {"issue":{"subject":"","project_id":79,"tracker_id":40,"status_id":1,"priority_id":2,"assigned_to_id":338,"start_date":"2017-09-01","description":"","custom_fields":[{"id":1,"name":"Subdivision","value":"EC"},{"id":4,"name":"Milepost","value":"23.3312"},{"id":17,"name":"Train ID","value":"117-01"},{"id":16,"name":"Locomotive ID","value":"4058"},{"id":130,"name":"Impact","value":""},{"id":150,"name":"Time of Event (Mountain Time)","value":"06:20:35"},{"id":151,"name":"Denver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4058 --day 2017-09-01</v>
      </c>
      <c r="AN29" s="151" t="str">
        <f t="shared" si="2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12:20:35"},{"id":29,"name":"Sharepoint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654</v>
      </c>
      <c r="B30" s="7">
        <v>4057</v>
      </c>
      <c r="C30" s="21" t="s">
        <v>197</v>
      </c>
      <c r="D30" s="21" t="s">
        <v>841</v>
      </c>
      <c r="E30" s="13">
        <v>42979.265428240738</v>
      </c>
      <c r="F30" s="13">
        <v>42979.279351851852</v>
      </c>
      <c r="G30" s="7">
        <v>46</v>
      </c>
      <c r="H30" s="21" t="s">
        <v>372</v>
      </c>
      <c r="I30" s="13">
        <v>42979.306597222225</v>
      </c>
      <c r="J30" s="7">
        <v>0</v>
      </c>
      <c r="K30" s="89" t="str">
        <f t="shared" si="0"/>
        <v>4057/4058</v>
      </c>
      <c r="L30" s="214" t="str">
        <f>VLOOKUP(A30,'Trips&amp;Operators'!$C$1:$G$99911,5,FALSE)</f>
        <v>BARRON PERLA</v>
      </c>
      <c r="M30" s="6">
        <f t="shared" si="1"/>
        <v>2.7245370372838806E-2</v>
      </c>
      <c r="N30" s="7">
        <f t="shared" si="2"/>
        <v>39.233333336887881</v>
      </c>
      <c r="O30" s="7"/>
      <c r="P30" s="7"/>
      <c r="Q30" s="22"/>
      <c r="R30" s="167"/>
      <c r="S30" s="210">
        <f t="shared" si="3"/>
        <v>1</v>
      </c>
      <c r="T30" s="192" t="str">
        <f t="shared" si="4"/>
        <v>Southbound</v>
      </c>
      <c r="U30" s="192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3" t="str">
        <f t="shared" si="5"/>
        <v>https://d0f6bd738d7f1b3e5a7ca70fe4ff75f0.us-east-1.aws.found.io/app/kibana#/discover/Steve-Slow-Train-Analysis-(2080s-and-2083s)?_g=(refreshInterval:(display:Off,pause:!f,section:0,value:0),time:(from:'2017-09-01T05:22:13-0600',mode:absolute,to:'2017-09-01T08:21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30" s="194" t="str">
        <f>IF(AA30&lt;VLOOKUP(AG30,Variables!$AC$3:$AD$8,2,FALSE),"Y","N")</f>
        <v>N</v>
      </c>
      <c r="X30" s="194">
        <f t="shared" si="6"/>
        <v>1</v>
      </c>
      <c r="Y30" s="194">
        <f t="shared" si="7"/>
        <v>23.2986</v>
      </c>
      <c r="Z30" s="194">
        <f t="shared" si="8"/>
        <v>1.4500000000000001E-2</v>
      </c>
      <c r="AA30" s="194">
        <f t="shared" si="9"/>
        <v>23.284099999999999</v>
      </c>
      <c r="AB30" s="54" t="e">
        <f>VLOOKUP(A30,Enforcements!$C$7:$K$11,8,0)</f>
        <v>#N/A</v>
      </c>
      <c r="AC30" s="51" t="e">
        <f>VLOOKUP(A30,Enforcements!$C$7:$E$11,3,0)</f>
        <v>#N/A</v>
      </c>
      <c r="AD30" s="203">
        <f t="shared" si="10"/>
        <v>118</v>
      </c>
      <c r="AE30" s="77" t="str">
        <f t="shared" si="11"/>
        <v>aws s3 cp s3://rtdc.mdm.uploadarchive.raw/RTDC4057/ "%USERPROFILE%\AppData\Local\Temp\OnboardLogs"\RTDC4057\2017-09-01 --exclude "*" --recursive --include "*20170901*" &amp; "%USERPROFILE%\Documents\GitHub\mrs-test-scripts\Headless Mode &amp; Sideloading\WalkAndUnGZ.bat" "%USERPROFILE%\AppData\Local\Temp\OnboardLogs"\RTDC4057\2017-09-01 &amp; aws s3 cp s3://rtdc.mdm.uploadarchive.raw/RTDC4057/ "%USERPROFILE%\AppData\Local\Temp\OnboardLogs"\RTDC4057\2017-09-02 --exclude "*" --recursive --include "*20170902*" &amp; "%USERPROFILE%\Documents\GitHub\mrs-test-scripts\Headless Mode &amp; Sideloading\WalkAndUnGZ.bat" "%USERPROFILE%\AppData\Local\Temp\OnboardLogs"\RTDC4057\2017-09-02</v>
      </c>
      <c r="AF30" s="74" t="str">
        <f t="shared" si="12"/>
        <v>"C:\Program Files (x86)\AstroGrep\AstroGrep.exe" /e /r /s /spath="%USERPROFILE%\AppData\Local\Temp\OnboardLogs" /stypes="app*4057*20170901*" /stext=" 13:.+((SYSTEM_STATE.+slice.+state.+changed )|(ment ac)|(multiple cpu faults)|(system.+state.+changed )|(\[timeout)|(PRM\|1\|D)|(kpr)|(kdp)|(train st.+moving)|(\|lc)|(penalty))"</v>
      </c>
      <c r="AG30" s="206" t="str">
        <f t="shared" si="13"/>
        <v>EC</v>
      </c>
      <c r="AH30" s="78" t="str">
        <f t="shared" si="18"/>
        <v>"%USERPROFILE%\Documents\GitHub\eaglep3\Utilities\RefineRTDCRunTimes.py" --tripid 118-01 --locoid 4057 --swversion DE.1.0.9.0 --startMP 204:232986 --initTime 2017-09-01T06:22:13 --startdatetime 2017-09-01T06:42:16 --delay 46 --endMP 204:145 --enddatetime 2017-09-01T07:21:30 --enforcementcount 0 &gt;&gt;C:\Users\stu\Documents\GitHub\eaglep3-reporting\EC\2017-09-01-refined-times.txt</v>
      </c>
      <c r="AI30" s="96" t="str">
        <f t="shared" si="19"/>
        <v>echo {"issue":{"subject":"","project_id":79,"tracker_id":40,"status_id":1,"priority_id":2,"assigned_to_id":338,"start_date":"2017-09-01","description":"","custom_fields":[{"id":1,"name":"Subdivision","value":"EC"},{"id":4,"name":"Milepost","value":"0.0145"},{"id":17,"name":"Train ID","value":"118-01"},{"id":16,"name":"Locomotive ID","value":"4057"},{"id":130,"name":"Impact","value":""},{"id":150,"name":"Time of Event (Mountain Time)","value":"07:21:30"},{"id":151,"name":"Denver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4057 --day 2017-09-01</v>
      </c>
      <c r="AN30" s="151" t="str">
        <f t="shared" si="2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13:21:30"},{"id":29,"name":"Sharepoint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648</v>
      </c>
      <c r="B31" s="7">
        <v>4026</v>
      </c>
      <c r="C31" s="21" t="s">
        <v>197</v>
      </c>
      <c r="D31" s="21" t="s">
        <v>337</v>
      </c>
      <c r="E31" s="13">
        <v>42979.246111111112</v>
      </c>
      <c r="F31" s="13">
        <v>42979.250185185185</v>
      </c>
      <c r="G31" s="7">
        <v>72</v>
      </c>
      <c r="H31" s="21" t="s">
        <v>463</v>
      </c>
      <c r="I31" s="13">
        <v>42979.275497685187</v>
      </c>
      <c r="J31" s="7">
        <v>0</v>
      </c>
      <c r="K31" s="89" t="str">
        <f t="shared" si="0"/>
        <v>4025/4026</v>
      </c>
      <c r="L31" s="214" t="str">
        <f>VLOOKUP(A31,'Trips&amp;Operators'!$C$1:$G$99911,5,FALSE)</f>
        <v>LANGERAK WILLIAM</v>
      </c>
      <c r="M31" s="6">
        <f t="shared" si="1"/>
        <v>2.531250000174623E-2</v>
      </c>
      <c r="N31" s="7">
        <f t="shared" si="2"/>
        <v>36.450000002514571</v>
      </c>
      <c r="O31" s="7"/>
      <c r="P31" s="7"/>
      <c r="Q31" s="22"/>
      <c r="R31" s="167"/>
      <c r="S31" s="210">
        <f t="shared" si="3"/>
        <v>1</v>
      </c>
      <c r="T31" s="192" t="str">
        <f t="shared" si="4"/>
        <v>NorthBound</v>
      </c>
      <c r="U31" s="192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3" t="str">
        <f t="shared" si="5"/>
        <v>https://d0f6bd738d7f1b3e5a7ca70fe4ff75f0.us-east-1.aws.found.io/app/kibana#/discover/Steve-Slow-Train-Analysis-(2080s-and-2083s)?_g=(refreshInterval:(display:Off,pause:!f,section:0,value:0),time:(from:'2017-09-01T04:54:24-0600',mode:absolute,to:'2017-09-01T07:36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1" s="194" t="str">
        <f>IF(AA31&lt;VLOOKUP(AG31,Variables!$AC$3:$AD$8,2,FALSE),"Y","N")</f>
        <v>N</v>
      </c>
      <c r="X31" s="194">
        <f t="shared" si="6"/>
        <v>1</v>
      </c>
      <c r="Y31" s="194">
        <f t="shared" si="7"/>
        <v>4.4600000000000001E-2</v>
      </c>
      <c r="Z31" s="194">
        <f t="shared" si="8"/>
        <v>23.330400000000001</v>
      </c>
      <c r="AA31" s="194">
        <f t="shared" si="9"/>
        <v>23.285800000000002</v>
      </c>
      <c r="AB31" s="54" t="e">
        <f>VLOOKUP(A31,Enforcements!$C$7:$K$11,8,0)</f>
        <v>#N/A</v>
      </c>
      <c r="AC31" s="51" t="e">
        <f>VLOOKUP(A31,Enforcements!$C$7:$E$11,3,0)</f>
        <v>#N/A</v>
      </c>
      <c r="AD31" s="203">
        <f t="shared" si="10"/>
        <v>119</v>
      </c>
      <c r="AE31" s="77" t="str">
        <f t="shared" si="11"/>
        <v>aws s3 cp s3://rtdc.mdm.uploadarchive.raw/RTDC4026/ "%USERPROFILE%\AppData\Local\Temp\OnboardLogs"\RTDC4026\2017-09-01 --exclude "*" --recursive --include "*20170901*" &amp; "%USERPROFILE%\Documents\GitHub\mrs-test-scripts\Headless Mode &amp; Sideloading\WalkAndUnGZ.bat" "%USERPROFILE%\AppData\Local\Temp\OnboardLogs"\RTDC4026\2017-09-01 &amp; aws s3 cp s3://rtdc.mdm.uploadarchive.raw/RTDC4026/ "%USERPROFILE%\AppData\Local\Temp\OnboardLogs"\RTDC4026\2017-09-02 --exclude "*" --recursive --include "*20170902*" &amp; "%USERPROFILE%\Documents\GitHub\mrs-test-scripts\Headless Mode &amp; Sideloading\WalkAndUnGZ.bat" "%USERPROFILE%\AppData\Local\Temp\OnboardLogs"\RTDC4026\2017-09-02</v>
      </c>
      <c r="AF31" s="74" t="str">
        <f t="shared" si="12"/>
        <v>"C:\Program Files (x86)\AstroGrep\AstroGrep.exe" /e /r /s /spath="%USERPROFILE%\AppData\Local\Temp\OnboardLogs" /stypes="app*4026*20170901*" /stext=" 12:.+((SYSTEM_STATE.+slice.+state.+changed )|(ment ac)|(multiple cpu faults)|(system.+state.+changed )|(\[timeout)|(PRM\|1\|D)|(kpr)|(kdp)|(train st.+moving)|(\|lc)|(penalty))"</v>
      </c>
      <c r="AG31" s="206" t="str">
        <f t="shared" si="13"/>
        <v>EC</v>
      </c>
      <c r="AH31" s="78" t="str">
        <f t="shared" si="18"/>
        <v>"%USERPROFILE%\Documents\GitHub\eaglep3\Utilities\RefineRTDCRunTimes.py" --tripid 119-01 --locoid 4026 --swversion DE.1.0.9.0 --startMP 204:446 --initTime 2017-09-01T05:54:24 --startdatetime 2017-09-01T06:00:16 --delay 72 --endMP 204:233304 --enddatetime 2017-09-01T06:36:43 --enforcementcount 0 &gt;&gt;C:\Users\stu\Documents\GitHub\eaglep3-reporting\EC\2017-09-01-refined-times.txt</v>
      </c>
      <c r="AI31" s="96" t="str">
        <f t="shared" si="19"/>
        <v>echo {"issue":{"subject":"","project_id":79,"tracker_id":40,"status_id":1,"priority_id":2,"assigned_to_id":338,"start_date":"2017-09-01","description":"","custom_fields":[{"id":1,"name":"Subdivision","value":"EC"},{"id":4,"name":"Milepost","value":"23.3304"},{"id":17,"name":"Train ID","value":"119-01"},{"id":16,"name":"Locomotive ID","value":"4026"},{"id":130,"name":"Impact","value":""},{"id":150,"name":"Time of Event (Mountain Time)","value":"06:36:43"},{"id":151,"name":"Denver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4026 --day 2017-09-01</v>
      </c>
      <c r="AN31" s="151" t="str">
        <f t="shared" si="2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12:36:43"},{"id":29,"name":"Sharepoint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660</v>
      </c>
      <c r="B32" s="7">
        <v>4025</v>
      </c>
      <c r="C32" s="21" t="s">
        <v>197</v>
      </c>
      <c r="D32" s="21" t="s">
        <v>551</v>
      </c>
      <c r="E32" s="13">
        <v>42979.278298611112</v>
      </c>
      <c r="F32" s="13">
        <v>42979.289976851855</v>
      </c>
      <c r="G32" s="7">
        <v>83</v>
      </c>
      <c r="H32" s="21" t="s">
        <v>339</v>
      </c>
      <c r="I32" s="13">
        <v>42979.317037037035</v>
      </c>
      <c r="J32" s="7">
        <v>0</v>
      </c>
      <c r="K32" s="89" t="str">
        <f t="shared" si="0"/>
        <v>4025/4026</v>
      </c>
      <c r="L32" s="214" t="str">
        <f>VLOOKUP(A32,'Trips&amp;Operators'!$C$1:$G$99911,5,FALSE)</f>
        <v>LANGERAK WILLIAM</v>
      </c>
      <c r="M32" s="6">
        <f t="shared" si="1"/>
        <v>2.7060185180744156E-2</v>
      </c>
      <c r="N32" s="7">
        <f t="shared" si="2"/>
        <v>38.966666660271585</v>
      </c>
      <c r="O32" s="7"/>
      <c r="P32" s="7"/>
      <c r="Q32" s="22"/>
      <c r="R32" s="167"/>
      <c r="S32" s="210">
        <f t="shared" si="3"/>
        <v>1</v>
      </c>
      <c r="T32" s="192" t="str">
        <f t="shared" si="4"/>
        <v>Southbound</v>
      </c>
      <c r="U32" s="192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3" t="str">
        <f t="shared" si="5"/>
        <v>https://d0f6bd738d7f1b3e5a7ca70fe4ff75f0.us-east-1.aws.found.io/app/kibana#/discover/Steve-Slow-Train-Analysis-(2080s-and-2083s)?_g=(refreshInterval:(display:Off,pause:!f,section:0,value:0),time:(from:'2017-09-01T05:40:45-0600',mode:absolute,to:'2017-09-01T08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2" s="194" t="str">
        <f>IF(AA32&lt;VLOOKUP(AG32,Variables!$AC$3:$AD$8,2,FALSE),"Y","N")</f>
        <v>N</v>
      </c>
      <c r="X32" s="194">
        <f t="shared" si="6"/>
        <v>1</v>
      </c>
      <c r="Y32" s="194">
        <f t="shared" si="7"/>
        <v>23.2987</v>
      </c>
      <c r="Z32" s="194">
        <f t="shared" si="8"/>
        <v>1.49E-2</v>
      </c>
      <c r="AA32" s="194">
        <f t="shared" si="9"/>
        <v>23.283799999999999</v>
      </c>
      <c r="AB32" s="54" t="e">
        <f>VLOOKUP(A32,Enforcements!$C$7:$K$11,8,0)</f>
        <v>#N/A</v>
      </c>
      <c r="AC32" s="51" t="e">
        <f>VLOOKUP(A32,Enforcements!$C$7:$E$11,3,0)</f>
        <v>#N/A</v>
      </c>
      <c r="AD32" s="203">
        <f t="shared" si="10"/>
        <v>120</v>
      </c>
      <c r="AE32" s="77" t="str">
        <f t="shared" si="11"/>
        <v>aws s3 cp s3://rtdc.mdm.uploadarchive.raw/RTDC4025/ "%USERPROFILE%\AppData\Local\Temp\OnboardLogs"\RTDC4025\2017-09-01 --exclude "*" --recursive --include "*20170901*" &amp; "%USERPROFILE%\Documents\GitHub\mrs-test-scripts\Headless Mode &amp; Sideloading\WalkAndUnGZ.bat" "%USERPROFILE%\AppData\Local\Temp\OnboardLogs"\RTDC4025\2017-09-01 &amp; aws s3 cp s3://rtdc.mdm.uploadarchive.raw/RTDC4025/ "%USERPROFILE%\AppData\Local\Temp\OnboardLogs"\RTDC4025\2017-09-02 --exclude "*" --recursive --include "*20170902*" &amp; "%USERPROFILE%\Documents\GitHub\mrs-test-scripts\Headless Mode &amp; Sideloading\WalkAndUnGZ.bat" "%USERPROFILE%\AppData\Local\Temp\OnboardLogs"\RTDC4025\2017-09-02</v>
      </c>
      <c r="AF32" s="74" t="str">
        <f t="shared" si="12"/>
        <v>"C:\Program Files (x86)\AstroGrep\AstroGrep.exe" /e /r /s /spath="%USERPROFILE%\AppData\Local\Temp\OnboardLogs" /stypes="app*4025*20170901*" /stext=" 13:.+((SYSTEM_STATE.+slice.+state.+changed )|(ment ac)|(multiple cpu faults)|(system.+state.+changed )|(\[timeout)|(PRM\|1\|D)|(kpr)|(kdp)|(train st.+moving)|(\|lc)|(penalty))"</v>
      </c>
      <c r="AG32" s="206" t="str">
        <f t="shared" si="13"/>
        <v>EC</v>
      </c>
      <c r="AH32" s="78" t="str">
        <f t="shared" si="18"/>
        <v>"%USERPROFILE%\Documents\GitHub\eaglep3\Utilities\RefineRTDCRunTimes.py" --tripid 120-01 --locoid 4025 --swversion DE.1.0.9.0 --startMP 204:232987 --initTime 2017-09-01T06:40:45 --startdatetime 2017-09-01T06:57:34 --delay 83 --endMP 204:149 --enddatetime 2017-09-01T07:36:32 --enforcementcount 0 &gt;&gt;C:\Users\stu\Documents\GitHub\eaglep3-reporting\EC\2017-09-01-refined-times.txt</v>
      </c>
      <c r="AI32" s="96" t="str">
        <f t="shared" si="19"/>
        <v>echo {"issue":{"subject":"","project_id":79,"tracker_id":40,"status_id":1,"priority_id":2,"assigned_to_id":338,"start_date":"2017-09-01","description":"","custom_fields":[{"id":1,"name":"Subdivision","value":"EC"},{"id":4,"name":"Milepost","value":"0.0149"},{"id":17,"name":"Train ID","value":"120-01"},{"id":16,"name":"Locomotive ID","value":"4025"},{"id":130,"name":"Impact","value":""},{"id":150,"name":"Time of Event (Mountain Time)","value":"07:36:32"},{"id":151,"name":"Denver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4025 --day 2017-09-01</v>
      </c>
      <c r="AN32" s="151" t="str">
        <f t="shared" si="2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13:36:32"},{"id":29,"name":"Sharepoint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652</v>
      </c>
      <c r="B33" s="7">
        <v>4012</v>
      </c>
      <c r="C33" s="21" t="s">
        <v>197</v>
      </c>
      <c r="D33" s="21" t="s">
        <v>367</v>
      </c>
      <c r="E33" s="13">
        <v>42979.255104166667</v>
      </c>
      <c r="F33" s="13">
        <v>42979.260717592595</v>
      </c>
      <c r="G33" s="7">
        <v>65</v>
      </c>
      <c r="H33" s="21" t="s">
        <v>842</v>
      </c>
      <c r="I33" s="13">
        <v>42979.285370370373</v>
      </c>
      <c r="J33" s="7">
        <v>0</v>
      </c>
      <c r="K33" s="89" t="str">
        <f t="shared" si="0"/>
        <v>4011/4012</v>
      </c>
      <c r="L33" s="214" t="str">
        <f>VLOOKUP(A33,'Trips&amp;Operators'!$C$1:$G$99911,5,FALSE)</f>
        <v>WEST BRYAN</v>
      </c>
      <c r="M33" s="6">
        <f t="shared" si="1"/>
        <v>2.4652777778101154E-2</v>
      </c>
      <c r="N33" s="7">
        <f t="shared" si="2"/>
        <v>35.500000000465661</v>
      </c>
      <c r="O33" s="7"/>
      <c r="P33" s="7"/>
      <c r="Q33" s="22"/>
      <c r="R33" s="167"/>
      <c r="S33" s="210">
        <f t="shared" si="3"/>
        <v>1</v>
      </c>
      <c r="T33" s="192" t="str">
        <f t="shared" si="4"/>
        <v>NorthBound</v>
      </c>
      <c r="U33" s="192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3" t="str">
        <f t="shared" si="5"/>
        <v>https://d0f6bd738d7f1b3e5a7ca70fe4ff75f0.us-east-1.aws.found.io/app/kibana#/discover/Steve-Slow-Train-Analysis-(2080s-and-2083s)?_g=(refreshInterval:(display:Off,pause:!f,section:0,value:0),time:(from:'2017-09-01T05:07:21-0600',mode:absolute,to:'2017-09-01T07:50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3" s="194" t="str">
        <f>IF(AA33&lt;VLOOKUP(AG33,Variables!$AC$3:$AD$8,2,FALSE),"Y","N")</f>
        <v>N</v>
      </c>
      <c r="X33" s="194">
        <f t="shared" si="6"/>
        <v>1</v>
      </c>
      <c r="Y33" s="194">
        <f t="shared" si="7"/>
        <v>4.5699999999999998E-2</v>
      </c>
      <c r="Z33" s="194">
        <f t="shared" si="8"/>
        <v>23.3307</v>
      </c>
      <c r="AA33" s="194">
        <f t="shared" si="9"/>
        <v>23.285</v>
      </c>
      <c r="AB33" s="54" t="e">
        <f>VLOOKUP(A33,Enforcements!$C$7:$K$11,8,0)</f>
        <v>#N/A</v>
      </c>
      <c r="AC33" s="51" t="e">
        <f>VLOOKUP(A33,Enforcements!$C$7:$E$11,3,0)</f>
        <v>#N/A</v>
      </c>
      <c r="AD33" s="203">
        <f t="shared" si="10"/>
        <v>121</v>
      </c>
      <c r="AE33" s="77" t="str">
        <f t="shared" si="11"/>
        <v>aws s3 cp s3://rtdc.mdm.uploadarchive.raw/RTDC4012/ "%USERPROFILE%\AppData\Local\Temp\OnboardLogs"\RTDC4012\2017-09-01 --exclude "*" --recursive --include "*20170901*" &amp; "%USERPROFILE%\Documents\GitHub\mrs-test-scripts\Headless Mode &amp; Sideloading\WalkAndUnGZ.bat" "%USERPROFILE%\AppData\Local\Temp\OnboardLogs"\RTDC4012\2017-09-01 &amp; aws s3 cp s3://rtdc.mdm.uploadarchive.raw/RTDC4012/ "%USERPROFILE%\AppData\Local\Temp\OnboardLogs"\RTDC4012\2017-09-02 --exclude "*" --recursive --include "*20170902*" &amp; "%USERPROFILE%\Documents\GitHub\mrs-test-scripts\Headless Mode &amp; Sideloading\WalkAndUnGZ.bat" "%USERPROFILE%\AppData\Local\Temp\OnboardLogs"\RTDC4012\2017-09-02</v>
      </c>
      <c r="AF33" s="74" t="str">
        <f t="shared" si="12"/>
        <v>"C:\Program Files (x86)\AstroGrep\AstroGrep.exe" /e /r /s /spath="%USERPROFILE%\AppData\Local\Temp\OnboardLogs" /stypes="app*4012*20170901*" /stext=" 12:.+((SYSTEM_STATE.+slice.+state.+changed )|(ment ac)|(multiple cpu faults)|(system.+state.+changed )|(\[timeout)|(PRM\|1\|D)|(kpr)|(kdp)|(train st.+moving)|(\|lc)|(penalty))"</v>
      </c>
      <c r="AG33" s="206" t="str">
        <f t="shared" si="13"/>
        <v>EC</v>
      </c>
      <c r="AH33" s="78" t="str">
        <f t="shared" si="18"/>
        <v>"%USERPROFILE%\Documents\GitHub\eaglep3\Utilities\RefineRTDCRunTimes.py" --tripid 121-01 --locoid 4012 --swversion DE.1.0.9.0 --startMP 204:457 --initTime 2017-09-01T06:07:21 --startdatetime 2017-09-01T06:15:26 --delay 65 --endMP 204:233307 --enddatetime 2017-09-01T06:50:56 --enforcementcount 0 &gt;&gt;C:\Users\stu\Documents\GitHub\eaglep3-reporting\EC\2017-09-01-refined-times.txt</v>
      </c>
      <c r="AI33" s="96" t="str">
        <f t="shared" si="19"/>
        <v>echo {"issue":{"subject":"","project_id":79,"tracker_id":40,"status_id":1,"priority_id":2,"assigned_to_id":338,"start_date":"2017-09-01","description":"","custom_fields":[{"id":1,"name":"Subdivision","value":"EC"},{"id":4,"name":"Milepost","value":"23.3307"},{"id":17,"name":"Train ID","value":"121-01"},{"id":16,"name":"Locomotive ID","value":"4012"},{"id":130,"name":"Impact","value":""},{"id":150,"name":"Time of Event (Mountain Time)","value":"06:50:56"},{"id":151,"name":"Denver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4012 --day 2017-09-01</v>
      </c>
      <c r="AN33" s="151" t="str">
        <f t="shared" si="2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12:50:56"},{"id":29,"name":"Sharepoint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661</v>
      </c>
      <c r="B34" s="7">
        <v>4011</v>
      </c>
      <c r="C34" s="21" t="s">
        <v>197</v>
      </c>
      <c r="D34" s="21" t="s">
        <v>554</v>
      </c>
      <c r="E34" s="13">
        <v>42979.286851851852</v>
      </c>
      <c r="F34" s="13">
        <v>42979.300324074073</v>
      </c>
      <c r="G34" s="7">
        <v>62</v>
      </c>
      <c r="H34" s="21" t="s">
        <v>344</v>
      </c>
      <c r="I34" s="13">
        <v>42979.326770833337</v>
      </c>
      <c r="J34" s="7">
        <v>0</v>
      </c>
      <c r="K34" s="89" t="str">
        <f t="shared" si="0"/>
        <v>4011/4012</v>
      </c>
      <c r="L34" s="214" t="str">
        <f>VLOOKUP(A34,'Trips&amp;Operators'!$C$1:$G$99911,5,FALSE)</f>
        <v>WEST BRYAN</v>
      </c>
      <c r="M34" s="6">
        <f t="shared" si="1"/>
        <v>2.644675926421769E-2</v>
      </c>
      <c r="N34" s="7">
        <f t="shared" si="2"/>
        <v>38.083333340473473</v>
      </c>
      <c r="O34" s="7"/>
      <c r="P34" s="7"/>
      <c r="Q34" s="22"/>
      <c r="R34" s="167"/>
      <c r="S34" s="210">
        <f t="shared" si="3"/>
        <v>1</v>
      </c>
      <c r="T34" s="192" t="str">
        <f t="shared" si="4"/>
        <v>Southbound</v>
      </c>
      <c r="U34" s="192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3" t="str">
        <f t="shared" si="5"/>
        <v>https://d0f6bd738d7f1b3e5a7ca70fe4ff75f0.us-east-1.aws.found.io/app/kibana#/discover/Steve-Slow-Train-Analysis-(2080s-and-2083s)?_g=(refreshInterval:(display:Off,pause:!f,section:0,value:0),time:(from:'2017-09-01T05:53:04-0600',mode:absolute,to:'2017-09-01T08:50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4" s="194" t="str">
        <f>IF(AA34&lt;VLOOKUP(AG34,Variables!$AC$3:$AD$8,2,FALSE),"Y","N")</f>
        <v>N</v>
      </c>
      <c r="X34" s="194">
        <f t="shared" si="6"/>
        <v>1</v>
      </c>
      <c r="Y34" s="194">
        <f t="shared" si="7"/>
        <v>23.297799999999999</v>
      </c>
      <c r="Z34" s="194">
        <f t="shared" si="8"/>
        <v>1.41E-2</v>
      </c>
      <c r="AA34" s="194">
        <f t="shared" si="9"/>
        <v>23.2837</v>
      </c>
      <c r="AB34" s="54" t="e">
        <f>VLOOKUP(A34,Enforcements!$C$7:$K$11,8,0)</f>
        <v>#N/A</v>
      </c>
      <c r="AC34" s="51" t="e">
        <f>VLOOKUP(A34,Enforcements!$C$7:$E$11,3,0)</f>
        <v>#N/A</v>
      </c>
      <c r="AD34" s="203">
        <f t="shared" si="10"/>
        <v>122</v>
      </c>
      <c r="AE34" s="77" t="str">
        <f t="shared" si="11"/>
        <v>aws s3 cp s3://rtdc.mdm.uploadarchive.raw/RTDC4011/ "%USERPROFILE%\AppData\Local\Temp\OnboardLogs"\RTDC4011\2017-09-01 --exclude "*" --recursive --include "*20170901*" &amp; "%USERPROFILE%\Documents\GitHub\mrs-test-scripts\Headless Mode &amp; Sideloading\WalkAndUnGZ.bat" "%USERPROFILE%\AppData\Local\Temp\OnboardLogs"\RTDC4011\2017-09-01 &amp; aws s3 cp s3://rtdc.mdm.uploadarchive.raw/RTDC4011/ "%USERPROFILE%\AppData\Local\Temp\OnboardLogs"\RTDC4011\2017-09-02 --exclude "*" --recursive --include "*20170902*" &amp; "%USERPROFILE%\Documents\GitHub\mrs-test-scripts\Headless Mode &amp; Sideloading\WalkAndUnGZ.bat" "%USERPROFILE%\AppData\Local\Temp\OnboardLogs"\RTDC4011\2017-09-02</v>
      </c>
      <c r="AF34" s="74" t="str">
        <f t="shared" si="12"/>
        <v>"C:\Program Files (x86)\AstroGrep\AstroGrep.exe" /e /r /s /spath="%USERPROFILE%\AppData\Local\Temp\OnboardLogs" /stypes="app*4011*20170901*" /stext=" 13:.+((SYSTEM_STATE.+slice.+state.+changed )|(ment ac)|(multiple cpu faults)|(system.+state.+changed )|(\[timeout)|(PRM\|1\|D)|(kpr)|(kdp)|(train st.+moving)|(\|lc)|(penalty))"</v>
      </c>
      <c r="AG34" s="206" t="str">
        <f t="shared" si="13"/>
        <v>EC</v>
      </c>
      <c r="AH34" s="78" t="str">
        <f t="shared" si="18"/>
        <v>"%USERPROFILE%\Documents\GitHub\eaglep3\Utilities\RefineRTDCRunTimes.py" --tripid 122-01 --locoid 4011 --swversion DE.1.0.9.0 --startMP 204:232978 --initTime 2017-09-01T06:53:04 --startdatetime 2017-09-01T07:12:28 --delay 62 --endMP 204:141 --enddatetime 2017-09-01T07:50:33 --enforcementcount 0 &gt;&gt;C:\Users\stu\Documents\GitHub\eaglep3-reporting\EC\2017-09-01-refined-times.txt</v>
      </c>
      <c r="AI34" s="96" t="str">
        <f t="shared" si="19"/>
        <v>echo {"issue":{"subject":"","project_id":79,"tracker_id":40,"status_id":1,"priority_id":2,"assigned_to_id":338,"start_date":"2017-09-01","description":"","custom_fields":[{"id":1,"name":"Subdivision","value":"EC"},{"id":4,"name":"Milepost","value":"0.0141"},{"id":17,"name":"Train ID","value":"122-01"},{"id":16,"name":"Locomotive ID","value":"4011"},{"id":130,"name":"Impact","value":""},{"id":150,"name":"Time of Event (Mountain Time)","value":"07:50:33"},{"id":151,"name":"Denver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4011 --day 2017-09-01</v>
      </c>
      <c r="AN34" s="151" t="str">
        <f t="shared" si="2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13:50:33"},{"id":29,"name":"Sharepoint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656</v>
      </c>
      <c r="B35" s="7">
        <v>4006</v>
      </c>
      <c r="C35" s="21" t="s">
        <v>197</v>
      </c>
      <c r="D35" s="21" t="s">
        <v>367</v>
      </c>
      <c r="E35" s="13">
        <v>42979.267777777779</v>
      </c>
      <c r="F35" s="13">
        <v>42979.27107638889</v>
      </c>
      <c r="G35" s="7">
        <v>102</v>
      </c>
      <c r="H35" s="21" t="s">
        <v>556</v>
      </c>
      <c r="I35" s="13">
        <v>42979.297048611108</v>
      </c>
      <c r="J35" s="7">
        <v>0</v>
      </c>
      <c r="K35" s="89" t="str">
        <f t="shared" si="0"/>
        <v>4005/4006</v>
      </c>
      <c r="L35" s="214" t="str">
        <f>VLOOKUP(A35,'Trips&amp;Operators'!$C$1:$G$99911,5,FALSE)</f>
        <v>PAGE MARCUS</v>
      </c>
      <c r="M35" s="6">
        <f t="shared" si="1"/>
        <v>2.5972222218115348E-2</v>
      </c>
      <c r="N35" s="7">
        <f t="shared" si="2"/>
        <v>37.399999994086102</v>
      </c>
      <c r="O35" s="7"/>
      <c r="P35" s="7"/>
      <c r="Q35" s="22"/>
      <c r="R35" s="167"/>
      <c r="S35" s="210">
        <f t="shared" si="3"/>
        <v>1</v>
      </c>
      <c r="T35" s="192" t="str">
        <f t="shared" si="4"/>
        <v>NorthBound</v>
      </c>
      <c r="U35" s="192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3" t="str">
        <f t="shared" si="5"/>
        <v>https://d0f6bd738d7f1b3e5a7ca70fe4ff75f0.us-east-1.aws.found.io/app/kibana#/discover/Steve-Slow-Train-Analysis-(2080s-and-2083s)?_g=(refreshInterval:(display:Off,pause:!f,section:0,value:0),time:(from:'2017-09-01T05:25:36-0600',mode:absolute,to:'2017-09-01T08:07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5" s="194" t="str">
        <f>IF(AA35&lt;VLOOKUP(AG35,Variables!$AC$3:$AD$8,2,FALSE),"Y","N")</f>
        <v>N</v>
      </c>
      <c r="X35" s="194">
        <f t="shared" si="6"/>
        <v>1</v>
      </c>
      <c r="Y35" s="194">
        <f t="shared" si="7"/>
        <v>4.5699999999999998E-2</v>
      </c>
      <c r="Z35" s="194">
        <f t="shared" si="8"/>
        <v>23.329799999999999</v>
      </c>
      <c r="AA35" s="194">
        <f t="shared" si="9"/>
        <v>23.284099999999999</v>
      </c>
      <c r="AB35" s="54" t="e">
        <f>VLOOKUP(A35,Enforcements!$C$7:$K$11,8,0)</f>
        <v>#N/A</v>
      </c>
      <c r="AC35" s="51" t="e">
        <f>VLOOKUP(A35,Enforcements!$C$7:$E$11,3,0)</f>
        <v>#N/A</v>
      </c>
      <c r="AD35" s="203">
        <f t="shared" si="10"/>
        <v>123</v>
      </c>
      <c r="AE35" s="77" t="str">
        <f t="shared" si="11"/>
        <v>aws s3 cp s3://rtdc.mdm.uploadarchive.raw/RTDC4006/ "%USERPROFILE%\AppData\Local\Temp\OnboardLogs"\RTDC4006\2017-09-01 --exclude "*" --recursive --include "*20170901*" &amp; "%USERPROFILE%\Documents\GitHub\mrs-test-scripts\Headless Mode &amp; Sideloading\WalkAndUnGZ.bat" "%USERPROFILE%\AppData\Local\Temp\OnboardLogs"\RTDC4006\2017-09-01 &amp; aws s3 cp s3://rtdc.mdm.uploadarchive.raw/RTDC4006/ "%USERPROFILE%\AppData\Local\Temp\OnboardLogs"\RTDC4006\2017-09-02 --exclude "*" --recursive --include "*20170902*" &amp; "%USERPROFILE%\Documents\GitHub\mrs-test-scripts\Headless Mode &amp; Sideloading\WalkAndUnGZ.bat" "%USERPROFILE%\AppData\Local\Temp\OnboardLogs"\RTDC4006\2017-09-02</v>
      </c>
      <c r="AF35" s="74" t="str">
        <f t="shared" si="12"/>
        <v>"C:\Program Files (x86)\AstroGrep\AstroGrep.exe" /e /r /s /spath="%USERPROFILE%\AppData\Local\Temp\OnboardLogs" /stypes="app*4006*20170901*" /stext=" 13:.+((SYSTEM_STATE.+slice.+state.+changed )|(ment ac)|(multiple cpu faults)|(system.+state.+changed )|(\[timeout)|(PRM\|1\|D)|(kpr)|(kdp)|(train st.+moving)|(\|lc)|(penalty))"</v>
      </c>
      <c r="AG35" s="206" t="str">
        <f t="shared" si="13"/>
        <v>EC</v>
      </c>
      <c r="AH35" s="78" t="str">
        <f t="shared" si="18"/>
        <v>"%USERPROFILE%\Documents\GitHub\eaglep3\Utilities\RefineRTDCRunTimes.py" --tripid 123-01 --locoid 4006 --swversion DE.1.0.9.0 --startMP 204:457 --initTime 2017-09-01T06:25:36 --startdatetime 2017-09-01T06:30:21 --delay 102 --endMP 204:233298 --enddatetime 2017-09-01T07:07:45 --enforcementcount 0 &gt;&gt;C:\Users\stu\Documents\GitHub\eaglep3-reporting\EC\2017-09-01-refined-times.txt</v>
      </c>
      <c r="AI35" s="96" t="str">
        <f t="shared" si="19"/>
        <v>echo {"issue":{"subject":"","project_id":79,"tracker_id":40,"status_id":1,"priority_id":2,"assigned_to_id":338,"start_date":"2017-09-01","description":"","custom_fields":[{"id":1,"name":"Subdivision","value":"EC"},{"id":4,"name":"Milepost","value":"23.3298"},{"id":17,"name":"Train ID","value":"123-01"},{"id":16,"name":"Locomotive ID","value":"4006"},{"id":130,"name":"Impact","value":""},{"id":150,"name":"Time of Event (Mountain Time)","value":"07:07:45"},{"id":151,"name":"Denver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4006 --day 2017-09-01</v>
      </c>
      <c r="AN35" s="151" t="str">
        <f t="shared" si="2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13:07:45"},{"id":29,"name":"Sharepoint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666</v>
      </c>
      <c r="B36" s="7">
        <v>4005</v>
      </c>
      <c r="C36" s="21" t="s">
        <v>197</v>
      </c>
      <c r="D36" s="21" t="s">
        <v>551</v>
      </c>
      <c r="E36" s="13">
        <v>42979.306493055556</v>
      </c>
      <c r="F36" s="13">
        <v>42979.310590277775</v>
      </c>
      <c r="G36" s="7">
        <v>79</v>
      </c>
      <c r="H36" s="21" t="s">
        <v>382</v>
      </c>
      <c r="I36" s="13">
        <v>42979.336469907408</v>
      </c>
      <c r="J36" s="7">
        <v>0</v>
      </c>
      <c r="K36" s="89" t="str">
        <f t="shared" si="0"/>
        <v>4005/4006</v>
      </c>
      <c r="L36" s="214" t="str">
        <f>VLOOKUP(A36,'Trips&amp;Operators'!$C$1:$G$99911,5,FALSE)</f>
        <v>PAGE MARCUS</v>
      </c>
      <c r="M36" s="6">
        <f t="shared" si="1"/>
        <v>2.587962963298196E-2</v>
      </c>
      <c r="N36" s="7">
        <f t="shared" si="2"/>
        <v>37.266666671494022</v>
      </c>
      <c r="O36" s="7"/>
      <c r="P36" s="7"/>
      <c r="Q36" s="22"/>
      <c r="R36" s="167"/>
      <c r="S36" s="210">
        <f t="shared" si="3"/>
        <v>1</v>
      </c>
      <c r="T36" s="192" t="str">
        <f t="shared" si="4"/>
        <v>Southbound</v>
      </c>
      <c r="U36" s="192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3" t="str">
        <f t="shared" si="5"/>
        <v>https://d0f6bd738d7f1b3e5a7ca70fe4ff75f0.us-east-1.aws.found.io/app/kibana#/discover/Steve-Slow-Train-Analysis-(2080s-and-2083s)?_g=(refreshInterval:(display:Off,pause:!f,section:0,value:0),time:(from:'2017-09-01T06:21:21-0600',mode:absolute,to:'2017-09-01T09:04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6" s="194" t="str">
        <f>IF(AA36&lt;VLOOKUP(AG36,Variables!$AC$3:$AD$8,2,FALSE),"Y","N")</f>
        <v>N</v>
      </c>
      <c r="X36" s="194">
        <f t="shared" si="6"/>
        <v>1</v>
      </c>
      <c r="Y36" s="194">
        <f t="shared" si="7"/>
        <v>23.2987</v>
      </c>
      <c r="Z36" s="194">
        <f t="shared" si="8"/>
        <v>1.5599999999999999E-2</v>
      </c>
      <c r="AA36" s="194">
        <f t="shared" si="9"/>
        <v>23.283100000000001</v>
      </c>
      <c r="AB36" s="54" t="e">
        <f>VLOOKUP(A36,Enforcements!$C$7:$K$11,8,0)</f>
        <v>#N/A</v>
      </c>
      <c r="AC36" s="51" t="e">
        <f>VLOOKUP(A36,Enforcements!$C$7:$E$11,3,0)</f>
        <v>#N/A</v>
      </c>
      <c r="AD36" s="203">
        <f t="shared" si="10"/>
        <v>124</v>
      </c>
      <c r="AE36" s="77" t="str">
        <f t="shared" si="11"/>
        <v>aws s3 cp s3://rtdc.mdm.uploadarchive.raw/RTDC4005/ "%USERPROFILE%\AppData\Local\Temp\OnboardLogs"\RTDC4005\2017-09-01 --exclude "*" --recursive --include "*20170901*" &amp; "%USERPROFILE%\Documents\GitHub\mrs-test-scripts\Headless Mode &amp; Sideloading\WalkAndUnGZ.bat" "%USERPROFILE%\AppData\Local\Temp\OnboardLogs"\RTDC4005\2017-09-01 &amp; aws s3 cp s3://rtdc.mdm.uploadarchive.raw/RTDC4005/ "%USERPROFILE%\AppData\Local\Temp\OnboardLogs"\RTDC4005\2017-09-02 --exclude "*" --recursive --include "*20170902*" &amp; "%USERPROFILE%\Documents\GitHub\mrs-test-scripts\Headless Mode &amp; Sideloading\WalkAndUnGZ.bat" "%USERPROFILE%\AppData\Local\Temp\OnboardLogs"\RTDC4005\2017-09-02</v>
      </c>
      <c r="AF36" s="74" t="str">
        <f t="shared" si="12"/>
        <v>"C:\Program Files (x86)\AstroGrep\AstroGrep.exe" /e /r /s /spath="%USERPROFILE%\AppData\Local\Temp\OnboardLogs" /stypes="app*4005*20170901*" /stext=" 14:.+((SYSTEM_STATE.+slice.+state.+changed )|(ment ac)|(multiple cpu faults)|(system.+state.+changed )|(\[timeout)|(PRM\|1\|D)|(kpr)|(kdp)|(train st.+moving)|(\|lc)|(penalty))"</v>
      </c>
      <c r="AG36" s="206" t="str">
        <f t="shared" si="13"/>
        <v>EC</v>
      </c>
      <c r="AH36" s="78" t="str">
        <f t="shared" si="18"/>
        <v>"%USERPROFILE%\Documents\GitHub\eaglep3\Utilities\RefineRTDCRunTimes.py" --tripid 124-01 --locoid 4005 --swversion DE.1.0.9.0 --startMP 204:232987 --initTime 2017-09-01T07:21:21 --startdatetime 2017-09-01T07:27:15 --delay 79 --endMP 204:156 --enddatetime 2017-09-01T08:04:31 --enforcementcount 0 &gt;&gt;C:\Users\stu\Documents\GitHub\eaglep3-reporting\EC\2017-09-01-refined-times.txt</v>
      </c>
      <c r="AI36" s="96" t="str">
        <f t="shared" si="19"/>
        <v>echo {"issue":{"subject":"","project_id":79,"tracker_id":40,"status_id":1,"priority_id":2,"assigned_to_id":338,"start_date":"2017-09-01","description":"","custom_fields":[{"id":1,"name":"Subdivision","value":"EC"},{"id":4,"name":"Milepost","value":"0.0156"},{"id":17,"name":"Train ID","value":"124-01"},{"id":16,"name":"Locomotive ID","value":"4005"},{"id":130,"name":"Impact","value":""},{"id":150,"name":"Time of Event (Mountain Time)","value":"08:04:31"},{"id":151,"name":"Denver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4005 --day 2017-09-01</v>
      </c>
      <c r="AN36" s="151" t="str">
        <f t="shared" si="2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14:04:31"},{"id":29,"name":"Sharepoint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659</v>
      </c>
      <c r="B37" s="7">
        <v>4040</v>
      </c>
      <c r="C37" s="21" t="s">
        <v>197</v>
      </c>
      <c r="D37" s="21" t="s">
        <v>561</v>
      </c>
      <c r="E37" s="13">
        <v>42979.274421296293</v>
      </c>
      <c r="F37" s="13">
        <v>42979.281412037039</v>
      </c>
      <c r="G37" s="7">
        <v>44</v>
      </c>
      <c r="H37" s="21" t="s">
        <v>408</v>
      </c>
      <c r="I37" s="13">
        <v>42979.305277777778</v>
      </c>
      <c r="J37" s="7">
        <v>0</v>
      </c>
      <c r="K37" s="89" t="str">
        <f t="shared" si="0"/>
        <v>4039/4040</v>
      </c>
      <c r="L37" s="214" t="str">
        <f>VLOOKUP(A37,'Trips&amp;Operators'!$C$1:$G$99911,5,FALSE)</f>
        <v>YORK EDGAR</v>
      </c>
      <c r="M37" s="6">
        <f t="shared" si="1"/>
        <v>2.3865740738983732E-2</v>
      </c>
      <c r="N37" s="7">
        <f t="shared" si="2"/>
        <v>34.366666664136574</v>
      </c>
      <c r="O37" s="7"/>
      <c r="P37" s="7"/>
      <c r="Q37" s="22"/>
      <c r="R37" s="167"/>
      <c r="S37" s="210">
        <f t="shared" si="3"/>
        <v>1</v>
      </c>
      <c r="T37" s="192" t="str">
        <f t="shared" si="4"/>
        <v>NorthBound</v>
      </c>
      <c r="U37" s="192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3" t="str">
        <f t="shared" si="5"/>
        <v>https://d0f6bd738d7f1b3e5a7ca70fe4ff75f0.us-east-1.aws.found.io/app/kibana#/discover/Steve-Slow-Train-Analysis-(2080s-and-2083s)?_g=(refreshInterval:(display:Off,pause:!f,section:0,value:0),time:(from:'2017-09-01T05:35:10-0600',mode:absolute,to:'2017-09-01T08:19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7" s="194" t="str">
        <f>IF(AA37&lt;VLOOKUP(AG37,Variables!$AC$3:$AD$8,2,FALSE),"Y","N")</f>
        <v>N</v>
      </c>
      <c r="X37" s="194">
        <f t="shared" si="6"/>
        <v>1</v>
      </c>
      <c r="Y37" s="194">
        <f t="shared" si="7"/>
        <v>4.7800000000000002E-2</v>
      </c>
      <c r="Z37" s="194">
        <f t="shared" si="8"/>
        <v>23.329699999999999</v>
      </c>
      <c r="AA37" s="194">
        <f t="shared" si="9"/>
        <v>23.2819</v>
      </c>
      <c r="AB37" s="54" t="e">
        <f>VLOOKUP(A37,Enforcements!$C$7:$K$11,8,0)</f>
        <v>#N/A</v>
      </c>
      <c r="AC37" s="51" t="e">
        <f>VLOOKUP(A37,Enforcements!$C$7:$E$11,3,0)</f>
        <v>#N/A</v>
      </c>
      <c r="AD37" s="203">
        <f t="shared" si="10"/>
        <v>125</v>
      </c>
      <c r="AE37" s="77" t="str">
        <f t="shared" si="11"/>
        <v>aws s3 cp s3://rtdc.mdm.uploadarchive.raw/RTDC4040/ "%USERPROFILE%\AppData\Local\Temp\OnboardLogs"\RTDC4040\2017-09-01 --exclude "*" --recursive --include "*20170901*" &amp; "%USERPROFILE%\Documents\GitHub\mrs-test-scripts\Headless Mode &amp; Sideloading\WalkAndUnGZ.bat" "%USERPROFILE%\AppData\Local\Temp\OnboardLogs"\RTDC4040\2017-09-01 &amp; aws s3 cp s3://rtdc.mdm.uploadarchive.raw/RTDC4040/ "%USERPROFILE%\AppData\Local\Temp\OnboardLogs"\RTDC4040\2017-09-02 --exclude "*" --recursive --include "*20170902*" &amp; "%USERPROFILE%\Documents\GitHub\mrs-test-scripts\Headless Mode &amp; Sideloading\WalkAndUnGZ.bat" "%USERPROFILE%\AppData\Local\Temp\OnboardLogs"\RTDC4040\2017-09-02</v>
      </c>
      <c r="AF37" s="74" t="str">
        <f t="shared" si="12"/>
        <v>"C:\Program Files (x86)\AstroGrep\AstroGrep.exe" /e /r /s /spath="%USERPROFILE%\AppData\Local\Temp\OnboardLogs" /stypes="app*4040*20170901*" /stext=" 13:.+((SYSTEM_STATE.+slice.+state.+changed )|(ment ac)|(multiple cpu faults)|(system.+state.+changed )|(\[timeout)|(PRM\|1\|D)|(kpr)|(kdp)|(train st.+moving)|(\|lc)|(penalty))"</v>
      </c>
      <c r="AG37" s="206" t="str">
        <f t="shared" si="13"/>
        <v>EC</v>
      </c>
      <c r="AH37" s="78" t="str">
        <f t="shared" si="18"/>
        <v>"%USERPROFILE%\Documents\GitHub\eaglep3\Utilities\RefineRTDCRunTimes.py" --tripid 125-01 --locoid 4040 --swversion DE.1.0.9.0 --startMP 204:478 --initTime 2017-09-01T06:35:10 --startdatetime 2017-09-01T06:45:14 --delay 44 --endMP 204:233297 --enddatetime 2017-09-01T07:19:36 --enforcementcount 0 &gt;&gt;C:\Users\stu\Documents\GitHub\eaglep3-reporting\EC\2017-09-01-refined-times.txt</v>
      </c>
      <c r="AI37" s="96" t="str">
        <f t="shared" si="19"/>
        <v>echo {"issue":{"subject":"","project_id":79,"tracker_id":40,"status_id":1,"priority_id":2,"assigned_to_id":338,"start_date":"2017-09-01","description":"","custom_fields":[{"id":1,"name":"Subdivision","value":"EC"},{"id":4,"name":"Milepost","value":"23.3297"},{"id":17,"name":"Train ID","value":"125-01"},{"id":16,"name":"Locomotive ID","value":"4040"},{"id":130,"name":"Impact","value":""},{"id":150,"name":"Time of Event (Mountain Time)","value":"07:19:36"},{"id":151,"name":"Denver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4040 --day 2017-09-01</v>
      </c>
      <c r="AN37" s="151" t="str">
        <f t="shared" si="2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13:19:36"},{"id":29,"name":"Sharepoint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665</v>
      </c>
      <c r="B38" s="7">
        <v>4039</v>
      </c>
      <c r="C38" s="21" t="s">
        <v>197</v>
      </c>
      <c r="D38" s="21" t="s">
        <v>548</v>
      </c>
      <c r="E38" s="13">
        <v>42979.306168981479</v>
      </c>
      <c r="F38" s="13">
        <v>42979.321099537039</v>
      </c>
      <c r="G38" s="7">
        <v>54</v>
      </c>
      <c r="H38" s="21" t="s">
        <v>340</v>
      </c>
      <c r="I38" s="13">
        <v>42979.34679398148</v>
      </c>
      <c r="J38" s="7">
        <v>0</v>
      </c>
      <c r="K38" s="89" t="str">
        <f t="shared" si="0"/>
        <v>4039/4040</v>
      </c>
      <c r="L38" s="214" t="str">
        <f>VLOOKUP(A38,'Trips&amp;Operators'!$C$1:$G$99911,5,FALSE)</f>
        <v>YORK EDGAR</v>
      </c>
      <c r="M38" s="6">
        <f t="shared" si="1"/>
        <v>2.569444444088731E-2</v>
      </c>
      <c r="N38" s="7">
        <f t="shared" si="2"/>
        <v>36.999999994877726</v>
      </c>
      <c r="O38" s="7"/>
      <c r="P38" s="7"/>
      <c r="Q38" s="22"/>
      <c r="R38" s="167"/>
      <c r="S38" s="210">
        <f t="shared" si="3"/>
        <v>1</v>
      </c>
      <c r="T38" s="192" t="str">
        <f t="shared" si="4"/>
        <v>Southbound</v>
      </c>
      <c r="U38" s="192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3" t="str">
        <f t="shared" si="5"/>
        <v>https://d0f6bd738d7f1b3e5a7ca70fe4ff75f0.us-east-1.aws.found.io/app/kibana#/discover/Steve-Slow-Train-Analysis-(2080s-and-2083s)?_g=(refreshInterval:(display:Off,pause:!f,section:0,value:0),time:(from:'2017-09-01T06:20:53-0600',mode:absolute,to:'2017-09-01T09:19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8" s="194" t="str">
        <f>IF(AA38&lt;VLOOKUP(AG38,Variables!$AC$3:$AD$8,2,FALSE),"Y","N")</f>
        <v>N</v>
      </c>
      <c r="X38" s="194">
        <f t="shared" si="6"/>
        <v>1</v>
      </c>
      <c r="Y38" s="194">
        <f t="shared" si="7"/>
        <v>23.295500000000001</v>
      </c>
      <c r="Z38" s="194">
        <f t="shared" si="8"/>
        <v>1.43E-2</v>
      </c>
      <c r="AA38" s="194">
        <f t="shared" si="9"/>
        <v>23.281200000000002</v>
      </c>
      <c r="AB38" s="54" t="e">
        <f>VLOOKUP(A38,Enforcements!$C$7:$K$11,8,0)</f>
        <v>#N/A</v>
      </c>
      <c r="AC38" s="51" t="e">
        <f>VLOOKUP(A38,Enforcements!$C$7:$E$11,3,0)</f>
        <v>#N/A</v>
      </c>
      <c r="AD38" s="203">
        <f t="shared" si="10"/>
        <v>126</v>
      </c>
      <c r="AE38" s="77" t="str">
        <f t="shared" si="11"/>
        <v>aws s3 cp s3://rtdc.mdm.uploadarchive.raw/RTDC4039/ "%USERPROFILE%\AppData\Local\Temp\OnboardLogs"\RTDC4039\2017-09-01 --exclude "*" --recursive --include "*20170901*" &amp; "%USERPROFILE%\Documents\GitHub\mrs-test-scripts\Headless Mode &amp; Sideloading\WalkAndUnGZ.bat" "%USERPROFILE%\AppData\Local\Temp\OnboardLogs"\RTDC4039\2017-09-01 &amp; aws s3 cp s3://rtdc.mdm.uploadarchive.raw/RTDC4039/ "%USERPROFILE%\AppData\Local\Temp\OnboardLogs"\RTDC4039\2017-09-02 --exclude "*" --recursive --include "*20170902*" &amp; "%USERPROFILE%\Documents\GitHub\mrs-test-scripts\Headless Mode &amp; Sideloading\WalkAndUnGZ.bat" "%USERPROFILE%\AppData\Local\Temp\OnboardLogs"\RTDC4039\2017-09-02</v>
      </c>
      <c r="AF38" s="74" t="str">
        <f t="shared" si="12"/>
        <v>"C:\Program Files (x86)\AstroGrep\AstroGrep.exe" /e /r /s /spath="%USERPROFILE%\AppData\Local\Temp\OnboardLogs" /stypes="app*4039*20170901*" /stext=" 14:.+((SYSTEM_STATE.+slice.+state.+changed )|(ment ac)|(multiple cpu faults)|(system.+state.+changed )|(\[timeout)|(PRM\|1\|D)|(kpr)|(kdp)|(train st.+moving)|(\|lc)|(penalty))"</v>
      </c>
      <c r="AG38" s="206" t="str">
        <f t="shared" si="13"/>
        <v>EC</v>
      </c>
      <c r="AH38" s="78" t="str">
        <f t="shared" si="18"/>
        <v>"%USERPROFILE%\Documents\GitHub\eaglep3\Utilities\RefineRTDCRunTimes.py" --tripid 126-01 --locoid 4039 --swversion DE.1.0.9.0 --startMP 204:232955 --initTime 2017-09-01T07:20:53 --startdatetime 2017-09-01T07:42:23 --delay 54 --endMP 204:143 --enddatetime 2017-09-01T08:19:23 --enforcementcount 0 &gt;&gt;C:\Users\stu\Documents\GitHub\eaglep3-reporting\EC\2017-09-01-refined-times.txt</v>
      </c>
      <c r="AI38" s="96" t="str">
        <f t="shared" si="19"/>
        <v>echo {"issue":{"subject":"","project_id":79,"tracker_id":40,"status_id":1,"priority_id":2,"assigned_to_id":338,"start_date":"2017-09-01","description":"","custom_fields":[{"id":1,"name":"Subdivision","value":"EC"},{"id":4,"name":"Milepost","value":"0.0143"},{"id":17,"name":"Train ID","value":"126-01"},{"id":16,"name":"Locomotive ID","value":"4039"},{"id":130,"name":"Impact","value":""},{"id":150,"name":"Time of Event (Mountain Time)","value":"08:19:23"},{"id":151,"name":"Denver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4039 --day 2017-09-01</v>
      </c>
      <c r="AN38" s="151" t="str">
        <f t="shared" si="2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14:19:23"},{"id":29,"name":"Sharepoint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662</v>
      </c>
      <c r="B39" s="7">
        <v>4024</v>
      </c>
      <c r="C39" s="21" t="s">
        <v>197</v>
      </c>
      <c r="D39" s="21" t="s">
        <v>383</v>
      </c>
      <c r="E39" s="13">
        <v>42979.288321759261</v>
      </c>
      <c r="F39" s="13">
        <v>42979.291886574072</v>
      </c>
      <c r="G39" s="7">
        <v>99</v>
      </c>
      <c r="H39" s="21" t="s">
        <v>409</v>
      </c>
      <c r="I39" s="13">
        <v>42979.317152777781</v>
      </c>
      <c r="J39" s="7">
        <v>0</v>
      </c>
      <c r="K39" s="89" t="str">
        <f t="shared" si="0"/>
        <v>4023/4024</v>
      </c>
      <c r="L39" s="214" t="str">
        <f>VLOOKUP(A39,'Trips&amp;Operators'!$C$1:$G$99911,5,FALSE)</f>
        <v>STARKS ANGELINA</v>
      </c>
      <c r="M39" s="6">
        <f t="shared" si="1"/>
        <v>2.5266203709179536E-2</v>
      </c>
      <c r="N39" s="7">
        <f t="shared" si="2"/>
        <v>36.383333341218531</v>
      </c>
      <c r="O39" s="7"/>
      <c r="P39" s="7"/>
      <c r="Q39" s="22"/>
      <c r="R39" s="167"/>
      <c r="S39" s="210">
        <f t="shared" si="3"/>
        <v>1</v>
      </c>
      <c r="T39" s="192" t="str">
        <f t="shared" si="4"/>
        <v>NorthBound</v>
      </c>
      <c r="U39" s="192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3" t="str">
        <f t="shared" si="5"/>
        <v>https://d0f6bd738d7f1b3e5a7ca70fe4ff75f0.us-east-1.aws.found.io/app/kibana#/discover/Steve-Slow-Train-Analysis-(2080s-and-2083s)?_g=(refreshInterval:(display:Off,pause:!f,section:0,value:0),time:(from:'2017-09-01T05:55:11-0600',mode:absolute,to:'2017-09-01T08:36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39" s="194" t="str">
        <f>IF(AA39&lt;VLOOKUP(AG39,Variables!$AC$3:$AD$8,2,FALSE),"Y","N")</f>
        <v>N</v>
      </c>
      <c r="X39" s="194">
        <f t="shared" si="6"/>
        <v>1</v>
      </c>
      <c r="Y39" s="194">
        <f t="shared" si="7"/>
        <v>4.6699999999999998E-2</v>
      </c>
      <c r="Z39" s="194">
        <f t="shared" si="8"/>
        <v>23.329499999999999</v>
      </c>
      <c r="AA39" s="194">
        <f t="shared" si="9"/>
        <v>23.282799999999998</v>
      </c>
      <c r="AB39" s="54" t="e">
        <f>VLOOKUP(A39,Enforcements!$C$7:$K$11,8,0)</f>
        <v>#N/A</v>
      </c>
      <c r="AC39" s="51" t="e">
        <f>VLOOKUP(A39,Enforcements!$C$7:$E$11,3,0)</f>
        <v>#N/A</v>
      </c>
      <c r="AD39" s="203">
        <f t="shared" si="10"/>
        <v>127</v>
      </c>
      <c r="AE39" s="77" t="str">
        <f t="shared" si="11"/>
        <v>aws s3 cp s3://rtdc.mdm.uploadarchive.raw/RTDC4024/ "%USERPROFILE%\AppData\Local\Temp\OnboardLogs"\RTDC4024\2017-09-01 --exclude "*" --recursive --include "*20170901*" &amp; "%USERPROFILE%\Documents\GitHub\mrs-test-scripts\Headless Mode &amp; Sideloading\WalkAndUnGZ.bat" "%USERPROFILE%\AppData\Local\Temp\OnboardLogs"\RTDC4024\2017-09-01 &amp; aws s3 cp s3://rtdc.mdm.uploadarchive.raw/RTDC4024/ "%USERPROFILE%\AppData\Local\Temp\OnboardLogs"\RTDC4024\2017-09-02 --exclude "*" --recursive --include "*20170902*" &amp; "%USERPROFILE%\Documents\GitHub\mrs-test-scripts\Headless Mode &amp; Sideloading\WalkAndUnGZ.bat" "%USERPROFILE%\AppData\Local\Temp\OnboardLogs"\RTDC4024\2017-09-02</v>
      </c>
      <c r="AF39" s="74" t="str">
        <f t="shared" si="12"/>
        <v>"C:\Program Files (x86)\AstroGrep\AstroGrep.exe" /e /r /s /spath="%USERPROFILE%\AppData\Local\Temp\OnboardLogs" /stypes="app*4024*20170901*" /stext=" 13:.+((SYSTEM_STATE.+slice.+state.+changed )|(ment ac)|(multiple cpu faults)|(system.+state.+changed )|(\[timeout)|(PRM\|1\|D)|(kpr)|(kdp)|(train st.+moving)|(\|lc)|(penalty))"</v>
      </c>
      <c r="AG39" s="206" t="str">
        <f t="shared" si="13"/>
        <v>EC</v>
      </c>
      <c r="AH39" s="78" t="str">
        <f t="shared" si="18"/>
        <v>"%USERPROFILE%\Documents\GitHub\eaglep3\Utilities\RefineRTDCRunTimes.py" --tripid 127-01 --locoid 4024 --swversion DE.1.0.9.0 --startMP 204:467 --initTime 2017-09-01T06:55:11 --startdatetime 2017-09-01T07:00:19 --delay 99 --endMP 204:233295 --enddatetime 2017-09-01T07:36:42 --enforcementcount 0 &gt;&gt;C:\Users\stu\Documents\GitHub\eaglep3-reporting\EC\2017-09-01-refined-times.txt</v>
      </c>
      <c r="AI39" s="96" t="str">
        <f t="shared" si="19"/>
        <v>echo {"issue":{"subject":"","project_id":79,"tracker_id":40,"status_id":1,"priority_id":2,"assigned_to_id":338,"start_date":"2017-09-01","description":"","custom_fields":[{"id":1,"name":"Subdivision","value":"EC"},{"id":4,"name":"Milepost","value":"23.3295"},{"id":17,"name":"Train ID","value":"127-01"},{"id":16,"name":"Locomotive ID","value":"4024"},{"id":130,"name":"Impact","value":""},{"id":150,"name":"Time of Event (Mountain Time)","value":"07:36:42"},{"id":151,"name":"Denver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4024 --day 2017-09-01</v>
      </c>
      <c r="AN39" s="151" t="str">
        <f t="shared" si="2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13:36:42"},{"id":29,"name":"Sharepoint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670</v>
      </c>
      <c r="B40" s="7">
        <v>4023</v>
      </c>
      <c r="C40" s="21" t="s">
        <v>197</v>
      </c>
      <c r="D40" s="21" t="s">
        <v>843</v>
      </c>
      <c r="E40" s="13">
        <v>42979.328067129631</v>
      </c>
      <c r="F40" s="13">
        <v>42979.331597222219</v>
      </c>
      <c r="G40" s="7">
        <v>99</v>
      </c>
      <c r="H40" s="21" t="s">
        <v>372</v>
      </c>
      <c r="I40" s="13">
        <v>42979.357824074075</v>
      </c>
      <c r="J40" s="7">
        <v>0</v>
      </c>
      <c r="K40" s="89" t="str">
        <f t="shared" si="0"/>
        <v>4023/4024</v>
      </c>
      <c r="L40" s="214" t="str">
        <f>VLOOKUP(A40,'Trips&amp;Operators'!$C$1:$G$99911,5,FALSE)</f>
        <v>STARKS ANGELINA</v>
      </c>
      <c r="M40" s="6">
        <f t="shared" si="1"/>
        <v>2.6226851856335998E-2</v>
      </c>
      <c r="N40" s="7">
        <f t="shared" si="2"/>
        <v>37.766666673123837</v>
      </c>
      <c r="O40" s="7"/>
      <c r="P40" s="7"/>
      <c r="Q40" s="22"/>
      <c r="R40" s="167"/>
      <c r="S40" s="210">
        <f t="shared" si="3"/>
        <v>1</v>
      </c>
      <c r="T40" s="192" t="str">
        <f t="shared" si="4"/>
        <v>Southbound</v>
      </c>
      <c r="U40" s="192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3" t="str">
        <f t="shared" si="5"/>
        <v>https://d0f6bd738d7f1b3e5a7ca70fe4ff75f0.us-east-1.aws.found.io/app/kibana#/discover/Steve-Slow-Train-Analysis-(2080s-and-2083s)?_g=(refreshInterval:(display:Off,pause:!f,section:0,value:0),time:(from:'2017-09-01T06:52:25-0600',mode:absolute,to:'2017-09-01T09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40" s="194" t="str">
        <f>IF(AA40&lt;VLOOKUP(AG40,Variables!$AC$3:$AD$8,2,FALSE),"Y","N")</f>
        <v>N</v>
      </c>
      <c r="X40" s="194">
        <f t="shared" si="6"/>
        <v>1</v>
      </c>
      <c r="Y40" s="194">
        <f t="shared" si="7"/>
        <v>23.299399999999999</v>
      </c>
      <c r="Z40" s="194">
        <f t="shared" si="8"/>
        <v>1.4500000000000001E-2</v>
      </c>
      <c r="AA40" s="194">
        <f t="shared" si="9"/>
        <v>23.284899999999997</v>
      </c>
      <c r="AB40" s="54" t="e">
        <f>VLOOKUP(A40,Enforcements!$C$7:$K$11,8,0)</f>
        <v>#N/A</v>
      </c>
      <c r="AC40" s="51" t="e">
        <f>VLOOKUP(A40,Enforcements!$C$7:$E$11,3,0)</f>
        <v>#N/A</v>
      </c>
      <c r="AD40" s="203">
        <f t="shared" si="10"/>
        <v>128</v>
      </c>
      <c r="AE40" s="77" t="str">
        <f t="shared" si="11"/>
        <v>aws s3 cp s3://rtdc.mdm.uploadarchive.raw/RTDC4023/ "%USERPROFILE%\AppData\Local\Temp\OnboardLogs"\RTDC4023\2017-09-01 --exclude "*" --recursive --include "*20170901*" &amp; "%USERPROFILE%\Documents\GitHub\mrs-test-scripts\Headless Mode &amp; Sideloading\WalkAndUnGZ.bat" "%USERPROFILE%\AppData\Local\Temp\OnboardLogs"\RTDC4023\2017-09-01 &amp; aws s3 cp s3://rtdc.mdm.uploadarchive.raw/RTDC4023/ "%USERPROFILE%\AppData\Local\Temp\OnboardLogs"\RTDC4023\2017-09-02 --exclude "*" --recursive --include "*20170902*" &amp; "%USERPROFILE%\Documents\GitHub\mrs-test-scripts\Headless Mode &amp; Sideloading\WalkAndUnGZ.bat" "%USERPROFILE%\AppData\Local\Temp\OnboardLogs"\RTDC4023\2017-09-02</v>
      </c>
      <c r="AF40" s="74" t="str">
        <f t="shared" si="12"/>
        <v>"C:\Program Files (x86)\AstroGrep\AstroGrep.exe" /e /r /s /spath="%USERPROFILE%\AppData\Local\Temp\OnboardLogs" /stypes="app*4023*20170901*" /stext=" 14:.+((SYSTEM_STATE.+slice.+state.+changed )|(ment ac)|(multiple cpu faults)|(system.+state.+changed )|(\[timeout)|(PRM\|1\|D)|(kpr)|(kdp)|(train st.+moving)|(\|lc)|(penalty))"</v>
      </c>
      <c r="AG40" s="206" t="str">
        <f t="shared" si="13"/>
        <v>EC</v>
      </c>
      <c r="AH40" s="78" t="str">
        <f t="shared" si="18"/>
        <v>"%USERPROFILE%\Documents\GitHub\eaglep3\Utilities\RefineRTDCRunTimes.py" --tripid 128-01 --locoid 4023 --swversion DE.1.0.9.0 --startMP 204:232994 --initTime 2017-09-01T07:52:25 --startdatetime 2017-09-01T07:57:30 --delay 99 --endMP 204:145 --enddatetime 2017-09-01T08:35:16 --enforcementcount 0 &gt;&gt;C:\Users\stu\Documents\GitHub\eaglep3-reporting\EC\2017-09-01-refined-times.txt</v>
      </c>
      <c r="AI40" s="96" t="str">
        <f t="shared" si="19"/>
        <v>echo {"issue":{"subject":"","project_id":79,"tracker_id":40,"status_id":1,"priority_id":2,"assigned_to_id":338,"start_date":"2017-09-01","description":"","custom_fields":[{"id":1,"name":"Subdivision","value":"EC"},{"id":4,"name":"Milepost","value":"0.0145"},{"id":17,"name":"Train ID","value":"128-01"},{"id":16,"name":"Locomotive ID","value":"4023"},{"id":130,"name":"Impact","value":""},{"id":150,"name":"Time of Event (Mountain Time)","value":"08:35:16"},{"id":151,"name":"Denver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4023 --day 2017-09-01</v>
      </c>
      <c r="AN40" s="151" t="str">
        <f t="shared" si="2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14:35:16"},{"id":29,"name":"Sharepoint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664</v>
      </c>
      <c r="B41" s="7">
        <v>4020</v>
      </c>
      <c r="C41" s="21" t="s">
        <v>197</v>
      </c>
      <c r="D41" s="21" t="s">
        <v>493</v>
      </c>
      <c r="E41" s="13">
        <v>42979.298263888886</v>
      </c>
      <c r="F41" s="13">
        <v>42979.302337962959</v>
      </c>
      <c r="G41" s="7">
        <v>47</v>
      </c>
      <c r="H41" s="21" t="s">
        <v>492</v>
      </c>
      <c r="I41" s="13">
        <v>42979.326585648145</v>
      </c>
      <c r="J41" s="7">
        <v>0</v>
      </c>
      <c r="K41" s="89" t="str">
        <f t="shared" si="0"/>
        <v>4019/4020</v>
      </c>
      <c r="L41" s="214" t="str">
        <f>VLOOKUP(A41,'Trips&amp;Operators'!$C$1:$G$99911,5,FALSE)</f>
        <v>MAELZER KURT</v>
      </c>
      <c r="M41" s="6">
        <f t="shared" si="1"/>
        <v>2.4247685185400769E-2</v>
      </c>
      <c r="N41" s="7">
        <f t="shared" si="2"/>
        <v>34.916666666977108</v>
      </c>
      <c r="O41" s="7"/>
      <c r="P41" s="7"/>
      <c r="Q41" s="22"/>
      <c r="R41" s="167"/>
      <c r="S41" s="210">
        <f t="shared" si="3"/>
        <v>1</v>
      </c>
      <c r="T41" s="192" t="str">
        <f t="shared" si="4"/>
        <v>NorthBound</v>
      </c>
      <c r="U41" s="192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3" t="str">
        <f t="shared" si="5"/>
        <v>https://d0f6bd738d7f1b3e5a7ca70fe4ff75f0.us-east-1.aws.found.io/app/kibana#/discover/Steve-Slow-Train-Analysis-(2080s-and-2083s)?_g=(refreshInterval:(display:Off,pause:!f,section:0,value:0),time:(from:'2017-09-01T06:09:30-0600',mode:absolute,to:'2017-09-01T08:50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1" s="194" t="str">
        <f>IF(AA41&lt;VLOOKUP(AG41,Variables!$AC$3:$AD$8,2,FALSE),"Y","N")</f>
        <v>N</v>
      </c>
      <c r="X41" s="194">
        <f t="shared" si="6"/>
        <v>1</v>
      </c>
      <c r="Y41" s="194">
        <f t="shared" si="7"/>
        <v>4.3999999999999997E-2</v>
      </c>
      <c r="Z41" s="194">
        <f t="shared" si="8"/>
        <v>23.331600000000002</v>
      </c>
      <c r="AA41" s="194">
        <f t="shared" si="9"/>
        <v>23.287600000000001</v>
      </c>
      <c r="AB41" s="54" t="e">
        <f>VLOOKUP(A41,Enforcements!$C$7:$K$11,8,0)</f>
        <v>#N/A</v>
      </c>
      <c r="AC41" s="51" t="e">
        <f>VLOOKUP(A41,Enforcements!$C$7:$E$11,3,0)</f>
        <v>#N/A</v>
      </c>
      <c r="AD41" s="203">
        <f t="shared" si="10"/>
        <v>129</v>
      </c>
      <c r="AE41" s="77" t="str">
        <f t="shared" si="11"/>
        <v>aws s3 cp s3://rtdc.mdm.uploadarchive.raw/RTDC4020/ "%USERPROFILE%\AppData\Local\Temp\OnboardLogs"\RTDC4020\2017-09-01 --exclude "*" --recursive --include "*20170901*" &amp; "%USERPROFILE%\Documents\GitHub\mrs-test-scripts\Headless Mode &amp; Sideloading\WalkAndUnGZ.bat" "%USERPROFILE%\AppData\Local\Temp\OnboardLogs"\RTDC4020\2017-09-01 &amp; aws s3 cp s3://rtdc.mdm.uploadarchive.raw/RTDC4020/ "%USERPROFILE%\AppData\Local\Temp\OnboardLogs"\RTDC4020\2017-09-02 --exclude "*" --recursive --include "*20170902*" &amp; "%USERPROFILE%\Documents\GitHub\mrs-test-scripts\Headless Mode &amp; Sideloading\WalkAndUnGZ.bat" "%USERPROFILE%\AppData\Local\Temp\OnboardLogs"\RTDC4020\2017-09-02</v>
      </c>
      <c r="AF41" s="74" t="str">
        <f t="shared" si="12"/>
        <v>"C:\Program Files (x86)\AstroGrep\AstroGrep.exe" /e /r /s /spath="%USERPROFILE%\AppData\Local\Temp\OnboardLogs" /stypes="app*4020*20170901*" /stext=" 13:.+((SYSTEM_STATE.+slice.+state.+changed )|(ment ac)|(multiple cpu faults)|(system.+state.+changed )|(\[timeout)|(PRM\|1\|D)|(kpr)|(kdp)|(train st.+moving)|(\|lc)|(penalty))"</v>
      </c>
      <c r="AG41" s="206" t="str">
        <f t="shared" si="13"/>
        <v>EC</v>
      </c>
      <c r="AH41" s="78" t="str">
        <f t="shared" si="18"/>
        <v>"%USERPROFILE%\Documents\GitHub\eaglep3\Utilities\RefineRTDCRunTimes.py" --tripid 129-01 --locoid 4020 --swversion DE.1.0.9.0 --startMP 204:440 --initTime 2017-09-01T07:09:30 --startdatetime 2017-09-01T07:15:22 --delay 47 --endMP 204:233316 --enddatetime 2017-09-01T07:50:17 --enforcementcount 0 &gt;&gt;C:\Users\stu\Documents\GitHub\eaglep3-reporting\EC\2017-09-01-refined-times.txt</v>
      </c>
      <c r="AI41" s="96" t="str">
        <f t="shared" si="19"/>
        <v>echo {"issue":{"subject":"","project_id":79,"tracker_id":40,"status_id":1,"priority_id":2,"assigned_to_id":338,"start_date":"2017-09-01","description":"","custom_fields":[{"id":1,"name":"Subdivision","value":"EC"},{"id":4,"name":"Milepost","value":"23.3316"},{"id":17,"name":"Train ID","value":"129-01"},{"id":16,"name":"Locomotive ID","value":"4020"},{"id":130,"name":"Impact","value":""},{"id":150,"name":"Time of Event (Mountain Time)","value":"07:50:17"},{"id":151,"name":"Denver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4020 --day 2017-09-01</v>
      </c>
      <c r="AN41" s="151" t="str">
        <f t="shared" si="2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13:50:17"},{"id":29,"name":"Sharepoint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673</v>
      </c>
      <c r="B42" s="7">
        <v>4019</v>
      </c>
      <c r="C42" s="21" t="s">
        <v>197</v>
      </c>
      <c r="D42" s="21" t="s">
        <v>559</v>
      </c>
      <c r="E42" s="13">
        <v>42979.334374999999</v>
      </c>
      <c r="F42" s="13">
        <v>42979.341886574075</v>
      </c>
      <c r="G42" s="7">
        <v>48</v>
      </c>
      <c r="H42" s="21" t="s">
        <v>345</v>
      </c>
      <c r="I42" s="13">
        <v>42979.368425925924</v>
      </c>
      <c r="J42" s="7">
        <v>0</v>
      </c>
      <c r="K42" s="89" t="str">
        <f t="shared" si="0"/>
        <v>4019/4020</v>
      </c>
      <c r="L42" s="214" t="str">
        <f>VLOOKUP(A42,'Trips&amp;Operators'!$C$1:$G$99911,5,FALSE)</f>
        <v>MAELZER KURT</v>
      </c>
      <c r="M42" s="6">
        <f t="shared" si="1"/>
        <v>2.6539351849351078E-2</v>
      </c>
      <c r="N42" s="7">
        <f t="shared" si="2"/>
        <v>38.216666663065553</v>
      </c>
      <c r="O42" s="7"/>
      <c r="P42" s="7"/>
      <c r="Q42" s="22"/>
      <c r="R42" s="167"/>
      <c r="S42" s="210">
        <f t="shared" si="3"/>
        <v>1</v>
      </c>
      <c r="T42" s="192" t="str">
        <f t="shared" si="4"/>
        <v>Southbound</v>
      </c>
      <c r="U42" s="192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3" t="str">
        <f t="shared" si="5"/>
        <v>https://d0f6bd738d7f1b3e5a7ca70fe4ff75f0.us-east-1.aws.found.io/app/kibana#/discover/Steve-Slow-Train-Analysis-(2080s-and-2083s)?_g=(refreshInterval:(display:Off,pause:!f,section:0,value:0),time:(from:'2017-09-01T07:01:30-0600',mode:absolute,to:'2017-09-01T09:50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2" s="194" t="str">
        <f>IF(AA42&lt;VLOOKUP(AG42,Variables!$AC$3:$AD$8,2,FALSE),"Y","N")</f>
        <v>N</v>
      </c>
      <c r="X42" s="194">
        <f t="shared" si="6"/>
        <v>1</v>
      </c>
      <c r="Y42" s="194">
        <f t="shared" si="7"/>
        <v>23.3005</v>
      </c>
      <c r="Z42" s="194">
        <f t="shared" si="8"/>
        <v>1.47E-2</v>
      </c>
      <c r="AA42" s="194">
        <f t="shared" si="9"/>
        <v>23.285799999999998</v>
      </c>
      <c r="AB42" s="54" t="e">
        <f>VLOOKUP(A42,Enforcements!$C$7:$K$11,8,0)</f>
        <v>#N/A</v>
      </c>
      <c r="AC42" s="51" t="e">
        <f>VLOOKUP(A42,Enforcements!$C$7:$E$11,3,0)</f>
        <v>#N/A</v>
      </c>
      <c r="AD42" s="203">
        <f t="shared" si="10"/>
        <v>130</v>
      </c>
      <c r="AE42" s="77" t="str">
        <f t="shared" si="11"/>
        <v>aws s3 cp s3://rtdc.mdm.uploadarchive.raw/RTDC4019/ "%USERPROFILE%\AppData\Local\Temp\OnboardLogs"\RTDC4019\2017-09-01 --exclude "*" --recursive --include "*20170901*" &amp; "%USERPROFILE%\Documents\GitHub\mrs-test-scripts\Headless Mode &amp; Sideloading\WalkAndUnGZ.bat" "%USERPROFILE%\AppData\Local\Temp\OnboardLogs"\RTDC4019\2017-09-01 &amp; aws s3 cp s3://rtdc.mdm.uploadarchive.raw/RTDC4019/ "%USERPROFILE%\AppData\Local\Temp\OnboardLogs"\RTDC4019\2017-09-02 --exclude "*" --recursive --include "*20170902*" &amp; "%USERPROFILE%\Documents\GitHub\mrs-test-scripts\Headless Mode &amp; Sideloading\WalkAndUnGZ.bat" "%USERPROFILE%\AppData\Local\Temp\OnboardLogs"\RTDC4019\2017-09-02</v>
      </c>
      <c r="AF42" s="74" t="str">
        <f t="shared" si="12"/>
        <v>"C:\Program Files (x86)\AstroGrep\AstroGrep.exe" /e /r /s /spath="%USERPROFILE%\AppData\Local\Temp\OnboardLogs" /stypes="app*4019*20170901*" /stext=" 14:.+((SYSTEM_STATE.+slice.+state.+changed )|(ment ac)|(multiple cpu faults)|(system.+state.+changed )|(\[timeout)|(PRM\|1\|D)|(kpr)|(kdp)|(train st.+moving)|(\|lc)|(penalty))"</v>
      </c>
      <c r="AG42" s="206" t="str">
        <f t="shared" si="13"/>
        <v>EC</v>
      </c>
      <c r="AH42" s="78" t="str">
        <f t="shared" si="18"/>
        <v>"%USERPROFILE%\Documents\GitHub\eaglep3\Utilities\RefineRTDCRunTimes.py" --tripid 130-01 --locoid 4019 --swversion DE.1.0.9.0 --startMP 204:233005 --initTime 2017-09-01T08:01:30 --startdatetime 2017-09-01T08:12:19 --delay 48 --endMP 204:147 --enddatetime 2017-09-01T08:50:32 --enforcementcount 0 &gt;&gt;C:\Users\stu\Documents\GitHub\eaglep3-reporting\EC\2017-09-01-refined-times.txt</v>
      </c>
      <c r="AI42" s="96" t="str">
        <f t="shared" si="19"/>
        <v>echo {"issue":{"subject":"","project_id":79,"tracker_id":40,"status_id":1,"priority_id":2,"assigned_to_id":338,"start_date":"2017-09-01","description":"","custom_fields":[{"id":1,"name":"Subdivision","value":"EC"},{"id":4,"name":"Milepost","value":"0.0147"},{"id":17,"name":"Train ID","value":"130-01"},{"id":16,"name":"Locomotive ID","value":"4019"},{"id":130,"name":"Impact","value":""},{"id":150,"name":"Time of Event (Mountain Time)","value":"08:50:32"},{"id":151,"name":"Denver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4019 --day 2017-09-01</v>
      </c>
      <c r="AN42" s="151" t="str">
        <f t="shared" si="2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14:50:32"},{"id":29,"name":"Sharepoint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667</v>
      </c>
      <c r="B43" s="7">
        <v>4058</v>
      </c>
      <c r="C43" s="21" t="s">
        <v>197</v>
      </c>
      <c r="D43" s="21" t="s">
        <v>337</v>
      </c>
      <c r="E43" s="13">
        <v>42979.30809027778</v>
      </c>
      <c r="F43" s="13">
        <v>42979.312928240739</v>
      </c>
      <c r="G43" s="7">
        <v>69</v>
      </c>
      <c r="H43" s="21" t="s">
        <v>556</v>
      </c>
      <c r="I43" s="13">
        <v>42979.33829861111</v>
      </c>
      <c r="J43" s="7">
        <v>0</v>
      </c>
      <c r="K43" s="89" t="str">
        <f t="shared" si="0"/>
        <v>4057/4058</v>
      </c>
      <c r="L43" s="214" t="str">
        <f>VLOOKUP(A43,'Trips&amp;Operators'!$C$1:$G$99911,5,FALSE)</f>
        <v>BARRON PERLA</v>
      </c>
      <c r="M43" s="6">
        <f t="shared" si="1"/>
        <v>2.5370370371092577E-2</v>
      </c>
      <c r="N43" s="7">
        <f t="shared" si="2"/>
        <v>36.53333333437331</v>
      </c>
      <c r="O43" s="7"/>
      <c r="P43" s="7"/>
      <c r="Q43" s="22"/>
      <c r="R43" s="167"/>
      <c r="S43" s="210">
        <f t="shared" si="3"/>
        <v>1</v>
      </c>
      <c r="T43" s="192" t="str">
        <f t="shared" si="4"/>
        <v>NorthBound</v>
      </c>
      <c r="U43" s="192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3" t="str">
        <f t="shared" si="5"/>
        <v>https://d0f6bd738d7f1b3e5a7ca70fe4ff75f0.us-east-1.aws.found.io/app/kibana#/discover/Steve-Slow-Train-Analysis-(2080s-and-2083s)?_g=(refreshInterval:(display:Off,pause:!f,section:0,value:0),time:(from:'2017-09-01T06:23:39-0600',mode:absolute,to:'2017-09-01T09:07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43" s="194" t="str">
        <f>IF(AA43&lt;VLOOKUP(AG43,Variables!$AC$3:$AD$8,2,FALSE),"Y","N")</f>
        <v>N</v>
      </c>
      <c r="X43" s="194">
        <f t="shared" si="6"/>
        <v>1</v>
      </c>
      <c r="Y43" s="194">
        <f t="shared" si="7"/>
        <v>4.4600000000000001E-2</v>
      </c>
      <c r="Z43" s="194">
        <f t="shared" si="8"/>
        <v>23.329799999999999</v>
      </c>
      <c r="AA43" s="194">
        <f t="shared" si="9"/>
        <v>23.2852</v>
      </c>
      <c r="AB43" s="54" t="e">
        <f>VLOOKUP(A43,Enforcements!$C$7:$K$11,8,0)</f>
        <v>#N/A</v>
      </c>
      <c r="AC43" s="51" t="e">
        <f>VLOOKUP(A43,Enforcements!$C$7:$E$11,3,0)</f>
        <v>#N/A</v>
      </c>
      <c r="AD43" s="203">
        <f t="shared" si="10"/>
        <v>131</v>
      </c>
      <c r="AE43" s="77" t="str">
        <f t="shared" si="11"/>
        <v>aws s3 cp s3://rtdc.mdm.uploadarchive.raw/RTDC4058/ "%USERPROFILE%\AppData\Local\Temp\OnboardLogs"\RTDC4058\2017-09-01 --exclude "*" --recursive --include "*20170901*" &amp; "%USERPROFILE%\Documents\GitHub\mrs-test-scripts\Headless Mode &amp; Sideloading\WalkAndUnGZ.bat" "%USERPROFILE%\AppData\Local\Temp\OnboardLogs"\RTDC4058\2017-09-01 &amp; aws s3 cp s3://rtdc.mdm.uploadarchive.raw/RTDC4058/ "%USERPROFILE%\AppData\Local\Temp\OnboardLogs"\RTDC4058\2017-09-02 --exclude "*" --recursive --include "*20170902*" &amp; "%USERPROFILE%\Documents\GitHub\mrs-test-scripts\Headless Mode &amp; Sideloading\WalkAndUnGZ.bat" "%USERPROFILE%\AppData\Local\Temp\OnboardLogs"\RTDC4058\2017-09-02</v>
      </c>
      <c r="AF43" s="74" t="str">
        <f t="shared" si="12"/>
        <v>"C:\Program Files (x86)\AstroGrep\AstroGrep.exe" /e /r /s /spath="%USERPROFILE%\AppData\Local\Temp\OnboardLogs" /stypes="app*4058*20170901*" /stext=" 14:.+((SYSTEM_STATE.+slice.+state.+changed )|(ment ac)|(multiple cpu faults)|(system.+state.+changed )|(\[timeout)|(PRM\|1\|D)|(kpr)|(kdp)|(train st.+moving)|(\|lc)|(penalty))"</v>
      </c>
      <c r="AG43" s="206" t="str">
        <f t="shared" si="13"/>
        <v>EC</v>
      </c>
      <c r="AH43" s="78" t="str">
        <f t="shared" si="18"/>
        <v>"%USERPROFILE%\Documents\GitHub\eaglep3\Utilities\RefineRTDCRunTimes.py" --tripid 131-01 --locoid 4058 --swversion DE.1.0.9.0 --startMP 204:446 --initTime 2017-09-01T07:23:39 --startdatetime 2017-09-01T07:30:37 --delay 69 --endMP 204:233298 --enddatetime 2017-09-01T08:07:09 --enforcementcount 0 &gt;&gt;C:\Users\stu\Documents\GitHub\eaglep3-reporting\EC\2017-09-01-refined-times.txt</v>
      </c>
      <c r="AI43" s="96" t="str">
        <f t="shared" si="19"/>
        <v>echo {"issue":{"subject":"","project_id":79,"tracker_id":40,"status_id":1,"priority_id":2,"assigned_to_id":338,"start_date":"2017-09-01","description":"","custom_fields":[{"id":1,"name":"Subdivision","value":"EC"},{"id":4,"name":"Milepost","value":"23.3298"},{"id":17,"name":"Train ID","value":"131-01"},{"id":16,"name":"Locomotive ID","value":"4058"},{"id":130,"name":"Impact","value":""},{"id":150,"name":"Time of Event (Mountain Time)","value":"08:07:09"},{"id":151,"name":"Denver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4058 --day 2017-09-01</v>
      </c>
      <c r="AN43" s="151" t="str">
        <f t="shared" si="2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14:07:09"},{"id":29,"name":"Sharepoint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593</v>
      </c>
      <c r="B44" s="7">
        <v>4057</v>
      </c>
      <c r="C44" s="21" t="s">
        <v>197</v>
      </c>
      <c r="D44" s="21" t="s">
        <v>428</v>
      </c>
      <c r="E44" s="13">
        <v>42979.339444444442</v>
      </c>
      <c r="F44" s="13">
        <v>42979.352268518516</v>
      </c>
      <c r="G44" s="7">
        <v>63</v>
      </c>
      <c r="H44" s="21" t="s">
        <v>382</v>
      </c>
      <c r="I44" s="13">
        <v>42979.379421296297</v>
      </c>
      <c r="J44" s="7">
        <v>0</v>
      </c>
      <c r="K44" s="89" t="str">
        <f t="shared" si="0"/>
        <v>4057/4058</v>
      </c>
      <c r="L44" s="214" t="str">
        <f>VLOOKUP(A44,'Trips&amp;Operators'!$C$1:$G$99911,5,FALSE)</f>
        <v>BARRON PERLA</v>
      </c>
      <c r="M44" s="6">
        <f t="shared" si="1"/>
        <v>2.715277778042946E-2</v>
      </c>
      <c r="N44" s="7">
        <f t="shared" si="2"/>
        <v>39.100000003818423</v>
      </c>
      <c r="O44" s="7"/>
      <c r="P44" s="7"/>
      <c r="Q44" s="22"/>
      <c r="R44" s="167"/>
      <c r="S44" s="210">
        <f t="shared" si="3"/>
        <v>1</v>
      </c>
      <c r="T44" s="192" t="str">
        <f t="shared" si="4"/>
        <v>Southbound</v>
      </c>
      <c r="U44" s="192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3" t="str">
        <f t="shared" si="5"/>
        <v>https://d0f6bd738d7f1b3e5a7ca70fe4ff75f0.us-east-1.aws.found.io/app/kibana#/discover/Steve-Slow-Train-Analysis-(2080s-and-2083s)?_g=(refreshInterval:(display:Off,pause:!f,section:0,value:0),time:(from:'2017-09-01T07:08:48-0600',mode:absolute,to:'2017-09-01T10:06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44" s="194" t="str">
        <f>IF(AA44&lt;VLOOKUP(AG44,Variables!$AC$3:$AD$8,2,FALSE),"Y","N")</f>
        <v>N</v>
      </c>
      <c r="X44" s="194">
        <f t="shared" si="6"/>
        <v>1</v>
      </c>
      <c r="Y44" s="194">
        <f t="shared" si="7"/>
        <v>23.298300000000001</v>
      </c>
      <c r="Z44" s="194">
        <f t="shared" si="8"/>
        <v>1.5599999999999999E-2</v>
      </c>
      <c r="AA44" s="194">
        <f t="shared" si="9"/>
        <v>23.282700000000002</v>
      </c>
      <c r="AB44" s="54" t="str">
        <f>VLOOKUP(A44,Enforcements!$C$7:$K$11,8,0)</f>
        <v>Bulletin (2)</v>
      </c>
      <c r="AC44" s="51" t="str">
        <f>VLOOKUP(A44,Enforcements!$C$7:$E$11,3,0)</f>
        <v>GRADE CROSSING</v>
      </c>
      <c r="AD44" s="203">
        <f t="shared" si="10"/>
        <v>132</v>
      </c>
      <c r="AE44" s="77" t="str">
        <f t="shared" si="11"/>
        <v>aws s3 cp s3://rtdc.mdm.uploadarchive.raw/RTDC4057/ "%USERPROFILE%\AppData\Local\Temp\OnboardLogs"\RTDC4057\2017-09-01 --exclude "*" --recursive --include "*20170901*" &amp; "%USERPROFILE%\Documents\GitHub\mrs-test-scripts\Headless Mode &amp; Sideloading\WalkAndUnGZ.bat" "%USERPROFILE%\AppData\Local\Temp\OnboardLogs"\RTDC4057\2017-09-01 &amp; aws s3 cp s3://rtdc.mdm.uploadarchive.raw/RTDC4057/ "%USERPROFILE%\AppData\Local\Temp\OnboardLogs"\RTDC4057\2017-09-02 --exclude "*" --recursive --include "*20170902*" &amp; "%USERPROFILE%\Documents\GitHub\mrs-test-scripts\Headless Mode &amp; Sideloading\WalkAndUnGZ.bat" "%USERPROFILE%\AppData\Local\Temp\OnboardLogs"\RTDC4057\2017-09-02</v>
      </c>
      <c r="AF44" s="74" t="str">
        <f t="shared" si="12"/>
        <v>"C:\Program Files (x86)\AstroGrep\AstroGrep.exe" /e /r /s /spath="%USERPROFILE%\AppData\Local\Temp\OnboardLogs" /stypes="app*4057*20170901*" /stext=" 15:.+((SYSTEM_STATE.+slice.+state.+changed )|(ment ac)|(multiple cpu faults)|(system.+state.+changed )|(\[timeout)|(PRM\|1\|D)|(kpr)|(kdp)|(train st.+moving)|(\|lc)|(penalty))"</v>
      </c>
      <c r="AG44" s="206" t="str">
        <f t="shared" si="13"/>
        <v>EC</v>
      </c>
      <c r="AH44" s="78" t="str">
        <f t="shared" si="18"/>
        <v>"%USERPROFILE%\Documents\GitHub\eaglep3\Utilities\RefineRTDCRunTimes.py" --tripid 132-01 --locoid 4057 --swversion DE.1.0.9.0 --startMP 204:232983 --initTime 2017-09-01T08:08:48 --startdatetime 2017-09-01T08:27:16 --delay 63 --endMP 204:156 --enddatetime 2017-09-01T09:06:22 --enforcementcount 0 &gt;&gt;C:\Users\stu\Documents\GitHub\eaglep3-reporting\EC\2017-09-01-refined-times.txt</v>
      </c>
      <c r="AI44" s="96" t="str">
        <f t="shared" si="19"/>
        <v>echo {"issue":{"subject":"","project_id":79,"tracker_id":40,"status_id":1,"priority_id":2,"assigned_to_id":338,"start_date":"2017-09-01","description":"","custom_fields":[{"id":1,"name":"Subdivision","value":"EC"},{"id":4,"name":"Milepost","value":"0.0156"},{"id":17,"name":"Train ID","value":"132-01"},{"id":16,"name":"Locomotive ID","value":"4057"},{"id":130,"name":"Impact","value":""},{"id":150,"name":"Time of Event (Mountain Time)","value":"09:06:22"},{"id":151,"name":"Denver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4057 --day 2017-09-01</v>
      </c>
      <c r="AN44" s="151" t="str">
        <f t="shared" si="2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15:06:22"},{"id":29,"name":"Sharepoint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591</v>
      </c>
      <c r="B45" s="7">
        <v>4026</v>
      </c>
      <c r="C45" s="21" t="s">
        <v>197</v>
      </c>
      <c r="D45" s="21" t="s">
        <v>347</v>
      </c>
      <c r="E45" s="13">
        <v>42979.318553240744</v>
      </c>
      <c r="F45" s="13">
        <v>42979.32309027778</v>
      </c>
      <c r="G45" s="7">
        <v>124</v>
      </c>
      <c r="H45" s="21" t="s">
        <v>844</v>
      </c>
      <c r="I45" s="13">
        <v>42979.348136574074</v>
      </c>
      <c r="J45" s="7">
        <v>0</v>
      </c>
      <c r="K45" s="89" t="str">
        <f t="shared" si="0"/>
        <v>4025/4026</v>
      </c>
      <c r="L45" s="214" t="str">
        <f>VLOOKUP(A45,'Trips&amp;Operators'!$C$1:$G$99911,5,FALSE)</f>
        <v>BONDS REYNALDO</v>
      </c>
      <c r="M45" s="6">
        <f t="shared" si="1"/>
        <v>2.5046296294021886E-2</v>
      </c>
      <c r="N45" s="7">
        <f t="shared" si="2"/>
        <v>36.066666663391516</v>
      </c>
      <c r="O45" s="7"/>
      <c r="P45" s="7"/>
      <c r="Q45" s="22"/>
      <c r="R45" s="167"/>
      <c r="S45" s="210">
        <f t="shared" si="3"/>
        <v>1</v>
      </c>
      <c r="T45" s="192" t="str">
        <f t="shared" si="4"/>
        <v>NorthBound</v>
      </c>
      <c r="U45" s="192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3" t="str">
        <f t="shared" si="5"/>
        <v>https://d0f6bd738d7f1b3e5a7ca70fe4ff75f0.us-east-1.aws.found.io/app/kibana#/discover/Steve-Slow-Train-Analysis-(2080s-and-2083s)?_g=(refreshInterval:(display:Off,pause:!f,section:0,value:0),time:(from:'2017-09-01T06:38:43-0600',mode:absolute,to:'2017-09-01T09:21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5" s="194" t="str">
        <f>IF(AA45&lt;VLOOKUP(AG45,Variables!$AC$3:$AD$8,2,FALSE),"Y","N")</f>
        <v>N</v>
      </c>
      <c r="X45" s="194">
        <f t="shared" si="6"/>
        <v>1</v>
      </c>
      <c r="Y45" s="194">
        <f t="shared" si="7"/>
        <v>4.6199999999999998E-2</v>
      </c>
      <c r="Z45" s="194">
        <f t="shared" si="8"/>
        <v>23.333600000000001</v>
      </c>
      <c r="AA45" s="194">
        <f t="shared" si="9"/>
        <v>23.287400000000002</v>
      </c>
      <c r="AB45" s="54" t="e">
        <f>VLOOKUP(A45,Enforcements!$C$7:$K$11,8,0)</f>
        <v>#N/A</v>
      </c>
      <c r="AC45" s="51" t="e">
        <f>VLOOKUP(A45,Enforcements!$C$7:$E$11,3,0)</f>
        <v>#N/A</v>
      </c>
      <c r="AD45" s="203">
        <f t="shared" si="10"/>
        <v>133</v>
      </c>
      <c r="AE45" s="77" t="str">
        <f t="shared" si="11"/>
        <v>aws s3 cp s3://rtdc.mdm.uploadarchive.raw/RTDC4026/ "%USERPROFILE%\AppData\Local\Temp\OnboardLogs"\RTDC4026\2017-09-01 --exclude "*" --recursive --include "*20170901*" &amp; "%USERPROFILE%\Documents\GitHub\mrs-test-scripts\Headless Mode &amp; Sideloading\WalkAndUnGZ.bat" "%USERPROFILE%\AppData\Local\Temp\OnboardLogs"\RTDC4026\2017-09-01 &amp; aws s3 cp s3://rtdc.mdm.uploadarchive.raw/RTDC4026/ "%USERPROFILE%\AppData\Local\Temp\OnboardLogs"\RTDC4026\2017-09-02 --exclude "*" --recursive --include "*20170902*" &amp; "%USERPROFILE%\Documents\GitHub\mrs-test-scripts\Headless Mode &amp; Sideloading\WalkAndUnGZ.bat" "%USERPROFILE%\AppData\Local\Temp\OnboardLogs"\RTDC4026\2017-09-02</v>
      </c>
      <c r="AF45" s="74" t="str">
        <f t="shared" si="12"/>
        <v>"C:\Program Files (x86)\AstroGrep\AstroGrep.exe" /e /r /s /spath="%USERPROFILE%\AppData\Local\Temp\OnboardLogs" /stypes="app*4026*20170901*" /stext=" 14:.+((SYSTEM_STATE.+slice.+state.+changed )|(ment ac)|(multiple cpu faults)|(system.+state.+changed )|(\[timeout)|(PRM\|1\|D)|(kpr)|(kdp)|(train st.+moving)|(\|lc)|(penalty))"</v>
      </c>
      <c r="AG45" s="206" t="str">
        <f t="shared" si="13"/>
        <v>EC</v>
      </c>
      <c r="AH45" s="78" t="str">
        <f t="shared" si="18"/>
        <v>"%USERPROFILE%\Documents\GitHub\eaglep3\Utilities\RefineRTDCRunTimes.py" --tripid 133-01 --locoid 4026 --swversion DE.1.0.9.0 --startMP 204:462 --initTime 2017-09-01T07:38:43 --startdatetime 2017-09-01T07:45:15 --delay 124 --endMP 204:233336 --enddatetime 2017-09-01T08:21:19 --enforcementcount 0 &gt;&gt;C:\Users\stu\Documents\GitHub\eaglep3-reporting\EC\2017-09-01-refined-times.txt</v>
      </c>
      <c r="AI45" s="96" t="str">
        <f t="shared" si="19"/>
        <v>echo {"issue":{"subject":"","project_id":79,"tracker_id":40,"status_id":1,"priority_id":2,"assigned_to_id":338,"start_date":"2017-09-01","description":"","custom_fields":[{"id":1,"name":"Subdivision","value":"EC"},{"id":4,"name":"Milepost","value":"23.3336"},{"id":17,"name":"Train ID","value":"133-01"},{"id":16,"name":"Locomotive ID","value":"4026"},{"id":130,"name":"Impact","value":""},{"id":150,"name":"Time of Event (Mountain Time)","value":"08:21:19"},{"id":151,"name":"Denver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4026 --day 2017-09-01</v>
      </c>
      <c r="AN45" s="151" t="str">
        <f t="shared" si="2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14:21:19"},{"id":29,"name":"Sharepoint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678</v>
      </c>
      <c r="B46" s="7">
        <v>4025</v>
      </c>
      <c r="C46" s="21" t="s">
        <v>197</v>
      </c>
      <c r="D46" s="21" t="s">
        <v>845</v>
      </c>
      <c r="E46" s="13">
        <v>42979.358460648145</v>
      </c>
      <c r="F46" s="13">
        <v>42979.363009259258</v>
      </c>
      <c r="G46" s="7">
        <v>91</v>
      </c>
      <c r="H46" s="21" t="s">
        <v>339</v>
      </c>
      <c r="I46" s="13">
        <v>42979.389976851853</v>
      </c>
      <c r="J46" s="7">
        <v>0</v>
      </c>
      <c r="K46" s="89" t="str">
        <f t="shared" si="0"/>
        <v>4025/4026</v>
      </c>
      <c r="L46" s="214" t="str">
        <f>VLOOKUP(A46,'Trips&amp;Operators'!$C$1:$G$99911,5,FALSE)</f>
        <v>BONDS REYNALDO</v>
      </c>
      <c r="M46" s="6">
        <f t="shared" si="1"/>
        <v>2.6967592595610768E-2</v>
      </c>
      <c r="N46" s="7">
        <f t="shared" si="2"/>
        <v>38.833333337679505</v>
      </c>
      <c r="O46" s="7"/>
      <c r="P46" s="7"/>
      <c r="Q46" s="22"/>
      <c r="R46" s="167"/>
      <c r="S46" s="210">
        <f t="shared" si="3"/>
        <v>1</v>
      </c>
      <c r="T46" s="192" t="str">
        <f t="shared" si="4"/>
        <v>Southbound</v>
      </c>
      <c r="U46" s="192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3" t="str">
        <f t="shared" si="5"/>
        <v>https://d0f6bd738d7f1b3e5a7ca70fe4ff75f0.us-east-1.aws.found.io/app/kibana#/discover/Steve-Slow-Train-Analysis-(2080s-and-2083s)?_g=(refreshInterval:(display:Off,pause:!f,section:0,value:0),time:(from:'2017-09-01T07:36:11-0600',mode:absolute,to:'2017-09-01T10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6" s="194" t="str">
        <f>IF(AA46&lt;VLOOKUP(AG46,Variables!$AC$3:$AD$8,2,FALSE),"Y","N")</f>
        <v>N</v>
      </c>
      <c r="X46" s="194">
        <f t="shared" si="6"/>
        <v>1</v>
      </c>
      <c r="Y46" s="194">
        <f t="shared" si="7"/>
        <v>23.302800000000001</v>
      </c>
      <c r="Z46" s="194">
        <f t="shared" si="8"/>
        <v>1.49E-2</v>
      </c>
      <c r="AA46" s="194">
        <f t="shared" si="9"/>
        <v>23.2879</v>
      </c>
      <c r="AB46" s="54" t="e">
        <f>VLOOKUP(A46,Enforcements!$C$7:$K$11,8,0)</f>
        <v>#N/A</v>
      </c>
      <c r="AC46" s="51" t="e">
        <f>VLOOKUP(A46,Enforcements!$C$7:$E$11,3,0)</f>
        <v>#N/A</v>
      </c>
      <c r="AD46" s="203">
        <f t="shared" si="10"/>
        <v>134</v>
      </c>
      <c r="AE46" s="77" t="str">
        <f t="shared" si="11"/>
        <v>aws s3 cp s3://rtdc.mdm.uploadarchive.raw/RTDC4025/ "%USERPROFILE%\AppData\Local\Temp\OnboardLogs"\RTDC4025\2017-09-01 --exclude "*" --recursive --include "*20170901*" &amp; "%USERPROFILE%\Documents\GitHub\mrs-test-scripts\Headless Mode &amp; Sideloading\WalkAndUnGZ.bat" "%USERPROFILE%\AppData\Local\Temp\OnboardLogs"\RTDC4025\2017-09-01 &amp; aws s3 cp s3://rtdc.mdm.uploadarchive.raw/RTDC4025/ "%USERPROFILE%\AppData\Local\Temp\OnboardLogs"\RTDC4025\2017-09-02 --exclude "*" --recursive --include "*20170902*" &amp; "%USERPROFILE%\Documents\GitHub\mrs-test-scripts\Headless Mode &amp; Sideloading\WalkAndUnGZ.bat" "%USERPROFILE%\AppData\Local\Temp\OnboardLogs"\RTDC4025\2017-09-02</v>
      </c>
      <c r="AF46" s="74" t="str">
        <f t="shared" si="12"/>
        <v>"C:\Program Files (x86)\AstroGrep\AstroGrep.exe" /e /r /s /spath="%USERPROFILE%\AppData\Local\Temp\OnboardLogs" /stypes="app*4025*20170901*" /stext=" 15:.+((SYSTEM_STATE.+slice.+state.+changed )|(ment ac)|(multiple cpu faults)|(system.+state.+changed )|(\[timeout)|(PRM\|1\|D)|(kpr)|(kdp)|(train st.+moving)|(\|lc)|(penalty))"</v>
      </c>
      <c r="AG46" s="206" t="str">
        <f t="shared" si="13"/>
        <v>EC</v>
      </c>
      <c r="AH46" s="78" t="str">
        <f t="shared" si="18"/>
        <v>"%USERPROFILE%\Documents\GitHub\eaglep3\Utilities\RefineRTDCRunTimes.py" --tripid 134-01 --locoid 4025 --swversion DE.1.0.9.0 --startMP 204:233028 --initTime 2017-09-01T08:36:11 --startdatetime 2017-09-01T08:42:44 --delay 91 --endMP 204:149 --enddatetime 2017-09-01T09:21:34 --enforcementcount 0 &gt;&gt;C:\Users\stu\Documents\GitHub\eaglep3-reporting\EC\2017-09-01-refined-times.txt</v>
      </c>
      <c r="AI46" s="96" t="str">
        <f t="shared" si="19"/>
        <v>echo {"issue":{"subject":"","project_id":79,"tracker_id":40,"status_id":1,"priority_id":2,"assigned_to_id":338,"start_date":"2017-09-01","description":"","custom_fields":[{"id":1,"name":"Subdivision","value":"EC"},{"id":4,"name":"Milepost","value":"0.0149"},{"id":17,"name":"Train ID","value":"134-01"},{"id":16,"name":"Locomotive ID","value":"4025"},{"id":130,"name":"Impact","value":""},{"id":150,"name":"Time of Event (Mountain Time)","value":"09:21:34"},{"id":151,"name":"Denver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4025 --day 2017-09-01</v>
      </c>
      <c r="AN46" s="151" t="str">
        <f t="shared" si="2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15:21:34"},{"id":29,"name":"Sharepoint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671</v>
      </c>
      <c r="B47" s="7">
        <v>4012</v>
      </c>
      <c r="C47" s="21" t="s">
        <v>197</v>
      </c>
      <c r="D47" s="21" t="s">
        <v>342</v>
      </c>
      <c r="E47" s="13">
        <v>42979.329409722224</v>
      </c>
      <c r="F47" s="13">
        <v>42979.333564814813</v>
      </c>
      <c r="G47" s="7">
        <v>56</v>
      </c>
      <c r="H47" s="21" t="s">
        <v>547</v>
      </c>
      <c r="I47" s="13">
        <v>42979.35832175926</v>
      </c>
      <c r="J47" s="7">
        <v>0</v>
      </c>
      <c r="K47" s="89" t="str">
        <f t="shared" si="0"/>
        <v>4011/4012</v>
      </c>
      <c r="L47" s="214" t="str">
        <f>VLOOKUP(A47,'Trips&amp;Operators'!$C$1:$G$99911,5,FALSE)</f>
        <v>WEST BRYAN</v>
      </c>
      <c r="M47" s="6">
        <f t="shared" si="1"/>
        <v>2.4756944447290152E-2</v>
      </c>
      <c r="N47" s="7">
        <f t="shared" si="2"/>
        <v>35.650000004097819</v>
      </c>
      <c r="O47" s="7"/>
      <c r="P47" s="7"/>
      <c r="Q47" s="22"/>
      <c r="R47" s="167"/>
      <c r="S47" s="210">
        <f t="shared" si="3"/>
        <v>1</v>
      </c>
      <c r="T47" s="192" t="str">
        <f t="shared" si="4"/>
        <v>NorthBound</v>
      </c>
      <c r="U47" s="192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3" t="str">
        <f t="shared" si="5"/>
        <v>https://d0f6bd738d7f1b3e5a7ca70fe4ff75f0.us-east-1.aws.found.io/app/kibana#/discover/Steve-Slow-Train-Analysis-(2080s-and-2083s)?_g=(refreshInterval:(display:Off,pause:!f,section:0,value:0),time:(from:'2017-09-01T06:54:21-0600',mode:absolute,to:'2017-09-01T09:35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7" s="194" t="str">
        <f>IF(AA47&lt;VLOOKUP(AG47,Variables!$AC$3:$AD$8,2,FALSE),"Y","N")</f>
        <v>N</v>
      </c>
      <c r="X47" s="194">
        <f t="shared" si="6"/>
        <v>1</v>
      </c>
      <c r="Y47" s="194">
        <f t="shared" si="7"/>
        <v>4.53E-2</v>
      </c>
      <c r="Z47" s="194">
        <f t="shared" si="8"/>
        <v>23.327400000000001</v>
      </c>
      <c r="AA47" s="194">
        <f t="shared" si="9"/>
        <v>23.2821</v>
      </c>
      <c r="AB47" s="54" t="e">
        <f>VLOOKUP(A47,Enforcements!$C$7:$K$11,8,0)</f>
        <v>#N/A</v>
      </c>
      <c r="AC47" s="51" t="e">
        <f>VLOOKUP(A47,Enforcements!$C$7:$E$11,3,0)</f>
        <v>#N/A</v>
      </c>
      <c r="AD47" s="203">
        <f t="shared" si="10"/>
        <v>135</v>
      </c>
      <c r="AE47" s="77" t="str">
        <f t="shared" si="11"/>
        <v>aws s3 cp s3://rtdc.mdm.uploadarchive.raw/RTDC4012/ "%USERPROFILE%\AppData\Local\Temp\OnboardLogs"\RTDC4012\2017-09-01 --exclude "*" --recursive --include "*20170901*" &amp; "%USERPROFILE%\Documents\GitHub\mrs-test-scripts\Headless Mode &amp; Sideloading\WalkAndUnGZ.bat" "%USERPROFILE%\AppData\Local\Temp\OnboardLogs"\RTDC4012\2017-09-01 &amp; aws s3 cp s3://rtdc.mdm.uploadarchive.raw/RTDC4012/ "%USERPROFILE%\AppData\Local\Temp\OnboardLogs"\RTDC4012\2017-09-02 --exclude "*" --recursive --include "*20170902*" &amp; "%USERPROFILE%\Documents\GitHub\mrs-test-scripts\Headless Mode &amp; Sideloading\WalkAndUnGZ.bat" "%USERPROFILE%\AppData\Local\Temp\OnboardLogs"\RTDC4012\2017-09-02</v>
      </c>
      <c r="AF47" s="74" t="str">
        <f t="shared" si="12"/>
        <v>"C:\Program Files (x86)\AstroGrep\AstroGrep.exe" /e /r /s /spath="%USERPROFILE%\AppData\Local\Temp\OnboardLogs" /stypes="app*4012*20170901*" /stext=" 14:.+((SYSTEM_STATE.+slice.+state.+changed )|(ment ac)|(multiple cpu faults)|(system.+state.+changed )|(\[timeout)|(PRM\|1\|D)|(kpr)|(kdp)|(train st.+moving)|(\|lc)|(penalty))"</v>
      </c>
      <c r="AG47" s="206" t="str">
        <f t="shared" si="13"/>
        <v>EC</v>
      </c>
      <c r="AH47" s="78" t="str">
        <f t="shared" si="18"/>
        <v>"%USERPROFILE%\Documents\GitHub\eaglep3\Utilities\RefineRTDCRunTimes.py" --tripid 135-01 --locoid 4012 --swversion DE.1.0.9.0 --startMP 204:453 --initTime 2017-09-01T07:54:21 --startdatetime 2017-09-01T08:00:20 --delay 56 --endMP 204:233274 --enddatetime 2017-09-01T08:35:59 --enforcementcount 0 &gt;&gt;C:\Users\stu\Documents\GitHub\eaglep3-reporting\EC\2017-09-01-refined-times.txt</v>
      </c>
      <c r="AI47" s="96" t="str">
        <f t="shared" si="19"/>
        <v>echo {"issue":{"subject":"","project_id":79,"tracker_id":40,"status_id":1,"priority_id":2,"assigned_to_id":338,"start_date":"2017-09-01","description":"","custom_fields":[{"id":1,"name":"Subdivision","value":"EC"},{"id":4,"name":"Milepost","value":"23.3274"},{"id":17,"name":"Train ID","value":"135-01"},{"id":16,"name":"Locomotive ID","value":"4012"},{"id":130,"name":"Impact","value":""},{"id":150,"name":"Time of Event (Mountain Time)","value":"08:35:59"},{"id":151,"name":"Denver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4012 --day 2017-09-01</v>
      </c>
      <c r="AN47" s="151" t="str">
        <f t="shared" si="2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14:35:59"},{"id":29,"name":"Sharepoint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594</v>
      </c>
      <c r="B48" s="7">
        <v>4011</v>
      </c>
      <c r="C48" s="21" t="s">
        <v>197</v>
      </c>
      <c r="D48" s="21" t="s">
        <v>837</v>
      </c>
      <c r="E48" s="13">
        <v>42979.359884259262</v>
      </c>
      <c r="F48" s="13">
        <v>42979.373113425929</v>
      </c>
      <c r="G48" s="7">
        <v>82</v>
      </c>
      <c r="H48" s="21" t="s">
        <v>397</v>
      </c>
      <c r="I48" s="13">
        <v>42979.400208333333</v>
      </c>
      <c r="J48" s="7">
        <v>0</v>
      </c>
      <c r="K48" s="89" t="str">
        <f t="shared" si="0"/>
        <v>4011/4012</v>
      </c>
      <c r="L48" s="214" t="str">
        <f>VLOOKUP(A48,'Trips&amp;Operators'!$C$1:$G$99911,5,FALSE)</f>
        <v>WEST BRYAN</v>
      </c>
      <c r="M48" s="6">
        <f t="shared" si="1"/>
        <v>2.7094907403807156E-2</v>
      </c>
      <c r="N48" s="7">
        <f t="shared" si="2"/>
        <v>39.016666661482304</v>
      </c>
      <c r="O48" s="7"/>
      <c r="P48" s="7"/>
      <c r="Q48" s="22"/>
      <c r="R48" s="167"/>
      <c r="S48" s="210">
        <f t="shared" si="3"/>
        <v>1</v>
      </c>
      <c r="T48" s="192" t="str">
        <f t="shared" si="4"/>
        <v>Southbound</v>
      </c>
      <c r="U48" s="192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3" t="str">
        <f t="shared" si="5"/>
        <v>https://d0f6bd738d7f1b3e5a7ca70fe4ff75f0.us-east-1.aws.found.io/app/kibana#/discover/Steve-Slow-Train-Analysis-(2080s-and-2083s)?_g=(refreshInterval:(display:Off,pause:!f,section:0,value:0),time:(from:'2017-09-01T07:38:14-0600',mode:absolute,to:'2017-09-01T10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8" s="194" t="str">
        <f>IF(AA48&lt;VLOOKUP(AG48,Variables!$AC$3:$AD$8,2,FALSE),"Y","N")</f>
        <v>N</v>
      </c>
      <c r="X48" s="194">
        <f t="shared" si="6"/>
        <v>1</v>
      </c>
      <c r="Y48" s="194">
        <f t="shared" si="7"/>
        <v>23.296399999999998</v>
      </c>
      <c r="Z48" s="194">
        <f t="shared" si="8"/>
        <v>1.3899999999999999E-2</v>
      </c>
      <c r="AA48" s="194">
        <f t="shared" si="9"/>
        <v>23.282499999999999</v>
      </c>
      <c r="AB48" s="54" t="str">
        <f>VLOOKUP(A48,Enforcements!$C$7:$K$11,8,0)</f>
        <v>Bulletin (2)</v>
      </c>
      <c r="AC48" s="51" t="str">
        <f>VLOOKUP(A48,Enforcements!$C$7:$E$11,3,0)</f>
        <v>GRADE CROSSING</v>
      </c>
      <c r="AD48" s="203">
        <f t="shared" si="10"/>
        <v>136</v>
      </c>
      <c r="AE48" s="77" t="str">
        <f t="shared" si="11"/>
        <v>aws s3 cp s3://rtdc.mdm.uploadarchive.raw/RTDC4011/ "%USERPROFILE%\AppData\Local\Temp\OnboardLogs"\RTDC4011\2017-09-01 --exclude "*" --recursive --include "*20170901*" &amp; "%USERPROFILE%\Documents\GitHub\mrs-test-scripts\Headless Mode &amp; Sideloading\WalkAndUnGZ.bat" "%USERPROFILE%\AppData\Local\Temp\OnboardLogs"\RTDC4011\2017-09-01 &amp; aws s3 cp s3://rtdc.mdm.uploadarchive.raw/RTDC4011/ "%USERPROFILE%\AppData\Local\Temp\OnboardLogs"\RTDC4011\2017-09-02 --exclude "*" --recursive --include "*20170902*" &amp; "%USERPROFILE%\Documents\GitHub\mrs-test-scripts\Headless Mode &amp; Sideloading\WalkAndUnGZ.bat" "%USERPROFILE%\AppData\Local\Temp\OnboardLogs"\RTDC4011\2017-09-02</v>
      </c>
      <c r="AF48" s="74" t="str">
        <f t="shared" si="12"/>
        <v>"C:\Program Files (x86)\AstroGrep\AstroGrep.exe" /e /r /s /spath="%USERPROFILE%\AppData\Local\Temp\OnboardLogs" /stypes="app*4011*20170901*" /stext=" 15:.+((SYSTEM_STATE.+slice.+state.+changed )|(ment ac)|(multiple cpu faults)|(system.+state.+changed )|(\[timeout)|(PRM\|1\|D)|(kpr)|(kdp)|(train st.+moving)|(\|lc)|(penalty))"</v>
      </c>
      <c r="AG48" s="206" t="str">
        <f t="shared" si="13"/>
        <v>EC</v>
      </c>
      <c r="AH48" s="78" t="str">
        <f t="shared" si="18"/>
        <v>"%USERPROFILE%\Documents\GitHub\eaglep3\Utilities\RefineRTDCRunTimes.py" --tripid 136-01 --locoid 4011 --swversion DE.1.0.9.0 --startMP 204:232964 --initTime 2017-09-01T08:38:14 --startdatetime 2017-09-01T08:57:17 --delay 82 --endMP 204:139 --enddatetime 2017-09-01T09:36:18 --enforcementcount 0 &gt;&gt;C:\Users\stu\Documents\GitHub\eaglep3-reporting\EC\2017-09-01-refined-times.txt</v>
      </c>
      <c r="AI48" s="96" t="str">
        <f t="shared" si="19"/>
        <v>echo {"issue":{"subject":"","project_id":79,"tracker_id":40,"status_id":1,"priority_id":2,"assigned_to_id":338,"start_date":"2017-09-01","description":"","custom_fields":[{"id":1,"name":"Subdivision","value":"EC"},{"id":4,"name":"Milepost","value":"0.0139"},{"id":17,"name":"Train ID","value":"136-01"},{"id":16,"name":"Locomotive ID","value":"4011"},{"id":130,"name":"Impact","value":""},{"id":150,"name":"Time of Event (Mountain Time)","value":"09:36:18"},{"id":151,"name":"Denver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4011 --day 2017-09-01</v>
      </c>
      <c r="AN48" s="151" t="str">
        <f t="shared" si="2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15:36:18"},{"id":29,"name":"Sharepoint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676</v>
      </c>
      <c r="B49" s="7">
        <v>4006</v>
      </c>
      <c r="C49" s="21" t="s">
        <v>197</v>
      </c>
      <c r="D49" s="21" t="s">
        <v>342</v>
      </c>
      <c r="E49" s="13">
        <v>42979.338530092595</v>
      </c>
      <c r="F49" s="13">
        <v>42979.343912037039</v>
      </c>
      <c r="G49" s="7">
        <v>79</v>
      </c>
      <c r="H49" s="21" t="s">
        <v>838</v>
      </c>
      <c r="I49" s="13">
        <v>42979.369375000002</v>
      </c>
      <c r="J49" s="7">
        <v>0</v>
      </c>
      <c r="K49" s="89" t="str">
        <f t="shared" si="0"/>
        <v>4005/4006</v>
      </c>
      <c r="L49" s="214" t="str">
        <f>VLOOKUP(A49,'Trips&amp;Operators'!$C$1:$G$99911,5,FALSE)</f>
        <v>DAVIS WENDY</v>
      </c>
      <c r="M49" s="6">
        <f t="shared" si="1"/>
        <v>2.5462962963501923E-2</v>
      </c>
      <c r="N49" s="7">
        <f t="shared" si="2"/>
        <v>36.666666667442769</v>
      </c>
      <c r="O49" s="7"/>
      <c r="P49" s="7"/>
      <c r="Q49" s="22"/>
      <c r="R49" s="167"/>
      <c r="S49" s="210">
        <f t="shared" si="3"/>
        <v>1</v>
      </c>
      <c r="T49" s="192" t="str">
        <f t="shared" si="4"/>
        <v>NorthBound</v>
      </c>
      <c r="U49" s="192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3" t="str">
        <f t="shared" si="5"/>
        <v>https://d0f6bd738d7f1b3e5a7ca70fe4ff75f0.us-east-1.aws.found.io/app/kibana#/discover/Steve-Slow-Train-Analysis-(2080s-and-2083s)?_g=(refreshInterval:(display:Off,pause:!f,section:0,value:0),time:(from:'2017-09-01T07:07:29-0600',mode:absolute,to:'2017-09-01T09:51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9" s="194" t="str">
        <f>IF(AA49&lt;VLOOKUP(AG49,Variables!$AC$3:$AD$8,2,FALSE),"Y","N")</f>
        <v>N</v>
      </c>
      <c r="X49" s="194">
        <f t="shared" si="6"/>
        <v>1</v>
      </c>
      <c r="Y49" s="194">
        <f t="shared" si="7"/>
        <v>4.53E-2</v>
      </c>
      <c r="Z49" s="194">
        <f t="shared" si="8"/>
        <v>23.3276</v>
      </c>
      <c r="AA49" s="194">
        <f t="shared" si="9"/>
        <v>23.282299999999999</v>
      </c>
      <c r="AB49" s="54" t="e">
        <f>VLOOKUP(A49,Enforcements!$C$7:$K$11,8,0)</f>
        <v>#N/A</v>
      </c>
      <c r="AC49" s="51" t="e">
        <f>VLOOKUP(A49,Enforcements!$C$7:$E$11,3,0)</f>
        <v>#N/A</v>
      </c>
      <c r="AD49" s="203">
        <f t="shared" si="10"/>
        <v>137</v>
      </c>
      <c r="AE49" s="77" t="str">
        <f t="shared" si="11"/>
        <v>aws s3 cp s3://rtdc.mdm.uploadarchive.raw/RTDC4006/ "%USERPROFILE%\AppData\Local\Temp\OnboardLogs"\RTDC4006\2017-09-01 --exclude "*" --recursive --include "*20170901*" &amp; "%USERPROFILE%\Documents\GitHub\mrs-test-scripts\Headless Mode &amp; Sideloading\WalkAndUnGZ.bat" "%USERPROFILE%\AppData\Local\Temp\OnboardLogs"\RTDC4006\2017-09-01 &amp; aws s3 cp s3://rtdc.mdm.uploadarchive.raw/RTDC4006/ "%USERPROFILE%\AppData\Local\Temp\OnboardLogs"\RTDC4006\2017-09-02 --exclude "*" --recursive --include "*20170902*" &amp; "%USERPROFILE%\Documents\GitHub\mrs-test-scripts\Headless Mode &amp; Sideloading\WalkAndUnGZ.bat" "%USERPROFILE%\AppData\Local\Temp\OnboardLogs"\RTDC4006\2017-09-02</v>
      </c>
      <c r="AF49" s="74" t="str">
        <f t="shared" si="12"/>
        <v>"C:\Program Files (x86)\AstroGrep\AstroGrep.exe" /e /r /s /spath="%USERPROFILE%\AppData\Local\Temp\OnboardLogs" /stypes="app*4006*20170901*" /stext=" 14:.+((SYSTEM_STATE.+slice.+state.+changed )|(ment ac)|(multiple cpu faults)|(system.+state.+changed )|(\[timeout)|(PRM\|1\|D)|(kpr)|(kdp)|(train st.+moving)|(\|lc)|(penalty))"</v>
      </c>
      <c r="AG49" s="206" t="str">
        <f t="shared" si="13"/>
        <v>EC</v>
      </c>
      <c r="AH49" s="78" t="str">
        <f t="shared" si="18"/>
        <v>"%USERPROFILE%\Documents\GitHub\eaglep3\Utilities\RefineRTDCRunTimes.py" --tripid 137-01 --locoid 4006 --swversion DE.1.0.9.0 --startMP 204:453 --initTime 2017-09-01T08:07:29 --startdatetime 2017-09-01T08:15:14 --delay 79 --endMP 204:233276 --enddatetime 2017-09-01T08:51:54 --enforcementcount 0 &gt;&gt;C:\Users\stu\Documents\GitHub\eaglep3-reporting\EC\2017-09-01-refined-times.txt</v>
      </c>
      <c r="AI49" s="96" t="str">
        <f t="shared" si="19"/>
        <v>echo {"issue":{"subject":"","project_id":79,"tracker_id":40,"status_id":1,"priority_id":2,"assigned_to_id":338,"start_date":"2017-09-01","description":"","custom_fields":[{"id":1,"name":"Subdivision","value":"EC"},{"id":4,"name":"Milepost","value":"23.3276"},{"id":17,"name":"Train ID","value":"137-01"},{"id":16,"name":"Locomotive ID","value":"4006"},{"id":130,"name":"Impact","value":""},{"id":150,"name":"Time of Event (Mountain Time)","value":"08:51:54"},{"id":151,"name":"Denver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4006 --day 2017-09-01</v>
      </c>
      <c r="AN49" s="151" t="str">
        <f t="shared" si="2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14:51:54"},{"id":29,"name":"Sharepoint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687</v>
      </c>
      <c r="B50" s="7">
        <v>4005</v>
      </c>
      <c r="C50" s="21" t="s">
        <v>197</v>
      </c>
      <c r="D50" s="21" t="s">
        <v>846</v>
      </c>
      <c r="E50" s="13">
        <v>42979.381585648145</v>
      </c>
      <c r="F50" s="13">
        <v>42979.38349537037</v>
      </c>
      <c r="G50" s="7">
        <v>93</v>
      </c>
      <c r="H50" s="21" t="s">
        <v>372</v>
      </c>
      <c r="I50" s="13">
        <v>42979.410462962966</v>
      </c>
      <c r="J50" s="7">
        <v>0</v>
      </c>
      <c r="K50" s="89" t="str">
        <f t="shared" si="0"/>
        <v>4005/4006</v>
      </c>
      <c r="L50" s="214" t="str">
        <f>VLOOKUP(A50,'Trips&amp;Operators'!$C$1:$G$99911,5,FALSE)</f>
        <v>DAVIS WENDY</v>
      </c>
      <c r="M50" s="6">
        <f t="shared" si="1"/>
        <v>2.6967592595610768E-2</v>
      </c>
      <c r="N50" s="7">
        <f t="shared" si="2"/>
        <v>38.833333337679505</v>
      </c>
      <c r="O50" s="7"/>
      <c r="P50" s="7"/>
      <c r="Q50" s="22"/>
      <c r="R50" s="167"/>
      <c r="S50" s="210">
        <f t="shared" si="3"/>
        <v>1</v>
      </c>
      <c r="T50" s="192" t="str">
        <f t="shared" si="4"/>
        <v>Southbound</v>
      </c>
      <c r="U50" s="192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3" t="str">
        <f t="shared" si="5"/>
        <v>https://d0f6bd738d7f1b3e5a7ca70fe4ff75f0.us-east-1.aws.found.io/app/kibana#/discover/Steve-Slow-Train-Analysis-(2080s-and-2083s)?_g=(refreshInterval:(display:Off,pause:!f,section:0,value:0),time:(from:'2017-09-01T08:09:29-0600',mode:absolute,to:'2017-09-01T10:51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0" s="194" t="str">
        <f>IF(AA50&lt;VLOOKUP(AG50,Variables!$AC$3:$AD$8,2,FALSE),"Y","N")</f>
        <v>N</v>
      </c>
      <c r="X50" s="194">
        <f t="shared" si="6"/>
        <v>1</v>
      </c>
      <c r="Y50" s="194">
        <f t="shared" si="7"/>
        <v>23.297499999999999</v>
      </c>
      <c r="Z50" s="194">
        <f t="shared" si="8"/>
        <v>1.4500000000000001E-2</v>
      </c>
      <c r="AA50" s="194">
        <f t="shared" si="9"/>
        <v>23.282999999999998</v>
      </c>
      <c r="AB50" s="54" t="e">
        <f>VLOOKUP(A50,Enforcements!$C$7:$K$11,8,0)</f>
        <v>#N/A</v>
      </c>
      <c r="AC50" s="51" t="e">
        <f>VLOOKUP(A50,Enforcements!$C$7:$E$11,3,0)</f>
        <v>#N/A</v>
      </c>
      <c r="AD50" s="203">
        <f t="shared" si="10"/>
        <v>138</v>
      </c>
      <c r="AE50" s="77" t="str">
        <f t="shared" si="11"/>
        <v>aws s3 cp s3://rtdc.mdm.uploadarchive.raw/RTDC4005/ "%USERPROFILE%\AppData\Local\Temp\OnboardLogs"\RTDC4005\2017-09-01 --exclude "*" --recursive --include "*20170901*" &amp; "%USERPROFILE%\Documents\GitHub\mrs-test-scripts\Headless Mode &amp; Sideloading\WalkAndUnGZ.bat" "%USERPROFILE%\AppData\Local\Temp\OnboardLogs"\RTDC4005\2017-09-01 &amp; aws s3 cp s3://rtdc.mdm.uploadarchive.raw/RTDC4005/ "%USERPROFILE%\AppData\Local\Temp\OnboardLogs"\RTDC4005\2017-09-02 --exclude "*" --recursive --include "*20170902*" &amp; "%USERPROFILE%\Documents\GitHub\mrs-test-scripts\Headless Mode &amp; Sideloading\WalkAndUnGZ.bat" "%USERPROFILE%\AppData\Local\Temp\OnboardLogs"\RTDC4005\2017-09-02</v>
      </c>
      <c r="AF50" s="74" t="str">
        <f t="shared" si="12"/>
        <v>"C:\Program Files (x86)\AstroGrep\AstroGrep.exe" /e /r /s /spath="%USERPROFILE%\AppData\Local\Temp\OnboardLogs" /stypes="app*4005*20170901*" /stext=" 15:.+((SYSTEM_STATE.+slice.+state.+changed )|(ment ac)|(multiple cpu faults)|(system.+state.+changed )|(\[timeout)|(PRM\|1\|D)|(kpr)|(kdp)|(train st.+moving)|(\|lc)|(penalty))"</v>
      </c>
      <c r="AG50" s="206" t="str">
        <f t="shared" si="13"/>
        <v>EC</v>
      </c>
      <c r="AH50" s="78" t="str">
        <f t="shared" si="18"/>
        <v>"%USERPROFILE%\Documents\GitHub\eaglep3\Utilities\RefineRTDCRunTimes.py" --tripid 138-01 --locoid 4005 --swversion DE.1.0.9.0 --startMP 204:232975 --initTime 2017-09-01T09:09:29 --startdatetime 2017-09-01T09:12:14 --delay 93 --endMP 204:145 --enddatetime 2017-09-01T09:51:04 --enforcementcount 0 &gt;&gt;C:\Users\stu\Documents\GitHub\eaglep3-reporting\EC\2017-09-01-refined-times.txt</v>
      </c>
      <c r="AI50" s="96" t="str">
        <f t="shared" si="19"/>
        <v>echo {"issue":{"subject":"","project_id":79,"tracker_id":40,"status_id":1,"priority_id":2,"assigned_to_id":338,"start_date":"2017-09-01","description":"","custom_fields":[{"id":1,"name":"Subdivision","value":"EC"},{"id":4,"name":"Milepost","value":"0.0145"},{"id":17,"name":"Train ID","value":"138-01"},{"id":16,"name":"Locomotive ID","value":"4005"},{"id":130,"name":"Impact","value":""},{"id":150,"name":"Time of Event (Mountain Time)","value":"09:51:04"},{"id":151,"name":"Denver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4005 --day 2017-09-01</v>
      </c>
      <c r="AN50" s="151" t="str">
        <f t="shared" si="2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15:51:04"},{"id":29,"name":"Sharepoint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677</v>
      </c>
      <c r="B51" s="7">
        <v>4040</v>
      </c>
      <c r="C51" s="21" t="s">
        <v>197</v>
      </c>
      <c r="D51" s="21" t="s">
        <v>370</v>
      </c>
      <c r="E51" s="13">
        <v>42979.34783564815</v>
      </c>
      <c r="F51" s="13">
        <v>42979.354444444441</v>
      </c>
      <c r="G51" s="7">
        <v>46</v>
      </c>
      <c r="H51" s="21" t="s">
        <v>847</v>
      </c>
      <c r="I51" s="13">
        <v>42979.378657407404</v>
      </c>
      <c r="J51" s="7">
        <v>0</v>
      </c>
      <c r="K51" s="89" t="str">
        <f t="shared" si="0"/>
        <v>4039/4040</v>
      </c>
      <c r="L51" s="214" t="str">
        <f>VLOOKUP(A51,'Trips&amp;Operators'!$C$1:$G$99911,5,FALSE)</f>
        <v>YORK EDGAR</v>
      </c>
      <c r="M51" s="6">
        <f t="shared" si="1"/>
        <v>2.421296296233777E-2</v>
      </c>
      <c r="N51" s="7">
        <f t="shared" si="2"/>
        <v>34.866666665766388</v>
      </c>
      <c r="O51" s="7"/>
      <c r="P51" s="7"/>
      <c r="Q51" s="22"/>
      <c r="R51" s="167"/>
      <c r="S51" s="210">
        <f t="shared" si="3"/>
        <v>1</v>
      </c>
      <c r="T51" s="192" t="str">
        <f t="shared" si="4"/>
        <v>NorthBound</v>
      </c>
      <c r="U51" s="192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3" t="str">
        <f t="shared" si="5"/>
        <v>https://d0f6bd738d7f1b3e5a7ca70fe4ff75f0.us-east-1.aws.found.io/app/kibana#/discover/Steve-Slow-Train-Analysis-(2080s-and-2083s)?_g=(refreshInterval:(display:Off,pause:!f,section:0,value:0),time:(from:'2017-09-01T07:20:53-0600',mode:absolute,to:'2017-09-01T10:05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1" s="194" t="str">
        <f>IF(AA51&lt;VLOOKUP(AG51,Variables!$AC$3:$AD$8,2,FALSE),"Y","N")</f>
        <v>N</v>
      </c>
      <c r="X51" s="194">
        <f t="shared" si="6"/>
        <v>1</v>
      </c>
      <c r="Y51" s="194">
        <f t="shared" si="7"/>
        <v>4.6399999999999997E-2</v>
      </c>
      <c r="Z51" s="194">
        <f t="shared" si="8"/>
        <v>23.330200000000001</v>
      </c>
      <c r="AA51" s="194">
        <f t="shared" si="9"/>
        <v>23.283800000000003</v>
      </c>
      <c r="AB51" s="54" t="e">
        <f>VLOOKUP(A51,Enforcements!$C$7:$K$11,8,0)</f>
        <v>#N/A</v>
      </c>
      <c r="AC51" s="51" t="e">
        <f>VLOOKUP(A51,Enforcements!$C$7:$E$11,3,0)</f>
        <v>#N/A</v>
      </c>
      <c r="AD51" s="203">
        <f t="shared" si="10"/>
        <v>139</v>
      </c>
      <c r="AE51" s="77" t="str">
        <f t="shared" si="11"/>
        <v>aws s3 cp s3://rtdc.mdm.uploadarchive.raw/RTDC4040/ "%USERPROFILE%\AppData\Local\Temp\OnboardLogs"\RTDC4040\2017-09-01 --exclude "*" --recursive --include "*20170901*" &amp; "%USERPROFILE%\Documents\GitHub\mrs-test-scripts\Headless Mode &amp; Sideloading\WalkAndUnGZ.bat" "%USERPROFILE%\AppData\Local\Temp\OnboardLogs"\RTDC4040\2017-09-01 &amp; aws s3 cp s3://rtdc.mdm.uploadarchive.raw/RTDC4040/ "%USERPROFILE%\AppData\Local\Temp\OnboardLogs"\RTDC4040\2017-09-02 --exclude "*" --recursive --include "*20170902*" &amp; "%USERPROFILE%\Documents\GitHub\mrs-test-scripts\Headless Mode &amp; Sideloading\WalkAndUnGZ.bat" "%USERPROFILE%\AppData\Local\Temp\OnboardLogs"\RTDC4040\2017-09-02</v>
      </c>
      <c r="AF51" s="74" t="str">
        <f t="shared" si="12"/>
        <v>"C:\Program Files (x86)\AstroGrep\AstroGrep.exe" /e /r /s /spath="%USERPROFILE%\AppData\Local\Temp\OnboardLogs" /stypes="app*4040*20170901*" /stext=" 15:.+((SYSTEM_STATE.+slice.+state.+changed )|(ment ac)|(multiple cpu faults)|(system.+state.+changed )|(\[timeout)|(PRM\|1\|D)|(kpr)|(kdp)|(train st.+moving)|(\|lc)|(penalty))"</v>
      </c>
      <c r="AG51" s="206" t="str">
        <f t="shared" si="13"/>
        <v>EC</v>
      </c>
      <c r="AH51" s="78" t="str">
        <f t="shared" si="18"/>
        <v>"%USERPROFILE%\Documents\GitHub\eaglep3\Utilities\RefineRTDCRunTimes.py" --tripid 139-01 --locoid 4040 --swversion DE.1.0.9.0 --startMP 204:464 --initTime 2017-09-01T08:20:53 --startdatetime 2017-09-01T08:30:24 --delay 46 --endMP 204:233302 --enddatetime 2017-09-01T09:05:16 --enforcementcount 0 &gt;&gt;C:\Users\stu\Documents\GitHub\eaglep3-reporting\EC\2017-09-01-refined-times.txt</v>
      </c>
      <c r="AI51" s="96" t="str">
        <f t="shared" si="19"/>
        <v>echo {"issue":{"subject":"","project_id":79,"tracker_id":40,"status_id":1,"priority_id":2,"assigned_to_id":338,"start_date":"2017-09-01","description":"","custom_fields":[{"id":1,"name":"Subdivision","value":"EC"},{"id":4,"name":"Milepost","value":"23.3302"},{"id":17,"name":"Train ID","value":"139-01"},{"id":16,"name":"Locomotive ID","value":"4040"},{"id":130,"name":"Impact","value":""},{"id":150,"name":"Time of Event (Mountain Time)","value":"09:05:16"},{"id":151,"name":"Denver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4040 --day 2017-09-01</v>
      </c>
      <c r="AN51" s="151" t="str">
        <f t="shared" si="2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15:05:16"},{"id":29,"name":"Sharepoint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685</v>
      </c>
      <c r="B52" s="7">
        <v>4039</v>
      </c>
      <c r="C52" s="21" t="s">
        <v>197</v>
      </c>
      <c r="D52" s="21" t="s">
        <v>848</v>
      </c>
      <c r="E52" s="13">
        <v>42979.379513888889</v>
      </c>
      <c r="F52" s="13">
        <v>42979.394293981481</v>
      </c>
      <c r="G52" s="7">
        <v>55</v>
      </c>
      <c r="H52" s="21" t="s">
        <v>546</v>
      </c>
      <c r="I52" s="13">
        <v>42979.419108796297</v>
      </c>
      <c r="J52" s="7">
        <v>0</v>
      </c>
      <c r="K52" s="89" t="str">
        <f t="shared" si="0"/>
        <v>4039/4040</v>
      </c>
      <c r="L52" s="214" t="str">
        <f>VLOOKUP(A52,'Trips&amp;Operators'!$C$1:$G$99911,5,FALSE)</f>
        <v>YORK EDGAR</v>
      </c>
      <c r="M52" s="6">
        <f t="shared" si="1"/>
        <v>2.4814814816636499E-2</v>
      </c>
      <c r="N52" s="7">
        <f t="shared" si="2"/>
        <v>35.733333335956559</v>
      </c>
      <c r="O52" s="7"/>
      <c r="P52" s="7"/>
      <c r="Q52" s="22"/>
      <c r="R52" s="167"/>
      <c r="S52" s="210">
        <f t="shared" si="3"/>
        <v>1</v>
      </c>
      <c r="T52" s="192" t="str">
        <f t="shared" si="4"/>
        <v>Southbound</v>
      </c>
      <c r="U52" s="192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3" t="str">
        <f t="shared" si="5"/>
        <v>https://d0f6bd738d7f1b3e5a7ca70fe4ff75f0.us-east-1.aws.found.io/app/kibana#/discover/Steve-Slow-Train-Analysis-(2080s-and-2083s)?_g=(refreshInterval:(display:Off,pause:!f,section:0,value:0),time:(from:'2017-09-01T08:06:30-0600',mode:absolute,to:'2017-09-01T11:03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2" s="194" t="str">
        <f>IF(AA52&lt;VLOOKUP(AG52,Variables!$AC$3:$AD$8,2,FALSE),"Y","N")</f>
        <v>N</v>
      </c>
      <c r="X52" s="194">
        <f t="shared" si="6"/>
        <v>1</v>
      </c>
      <c r="Y52" s="194">
        <f t="shared" si="7"/>
        <v>23.296600000000002</v>
      </c>
      <c r="Z52" s="194">
        <f t="shared" si="8"/>
        <v>1.5800000000000002E-2</v>
      </c>
      <c r="AA52" s="194">
        <f t="shared" si="9"/>
        <v>23.280800000000003</v>
      </c>
      <c r="AB52" s="54" t="e">
        <f>VLOOKUP(A52,Enforcements!$C$7:$K$11,8,0)</f>
        <v>#N/A</v>
      </c>
      <c r="AC52" s="51" t="e">
        <f>VLOOKUP(A52,Enforcements!$C$7:$E$11,3,0)</f>
        <v>#N/A</v>
      </c>
      <c r="AD52" s="203">
        <f t="shared" si="10"/>
        <v>140</v>
      </c>
      <c r="AE52" s="77" t="str">
        <f t="shared" si="11"/>
        <v>aws s3 cp s3://rtdc.mdm.uploadarchive.raw/RTDC4039/ "%USERPROFILE%\AppData\Local\Temp\OnboardLogs"\RTDC4039\2017-09-01 --exclude "*" --recursive --include "*20170901*" &amp; "%USERPROFILE%\Documents\GitHub\mrs-test-scripts\Headless Mode &amp; Sideloading\WalkAndUnGZ.bat" "%USERPROFILE%\AppData\Local\Temp\OnboardLogs"\RTDC4039\2017-09-01 &amp; aws s3 cp s3://rtdc.mdm.uploadarchive.raw/RTDC4039/ "%USERPROFILE%\AppData\Local\Temp\OnboardLogs"\RTDC4039\2017-09-02 --exclude "*" --recursive --include "*20170902*" &amp; "%USERPROFILE%\Documents\GitHub\mrs-test-scripts\Headless Mode &amp; Sideloading\WalkAndUnGZ.bat" "%USERPROFILE%\AppData\Local\Temp\OnboardLogs"\RTDC4039\2017-09-02</v>
      </c>
      <c r="AF52" s="74" t="str">
        <f t="shared" si="12"/>
        <v>"C:\Program Files (x86)\AstroGrep\AstroGrep.exe" /e /r /s /spath="%USERPROFILE%\AppData\Local\Temp\OnboardLogs" /stypes="app*4039*20170901*" /stext=" 16:.+((SYSTEM_STATE.+slice.+state.+changed )|(ment ac)|(multiple cpu faults)|(system.+state.+changed )|(\[timeout)|(PRM\|1\|D)|(kpr)|(kdp)|(train st.+moving)|(\|lc)|(penalty))"</v>
      </c>
      <c r="AG52" s="206" t="str">
        <f t="shared" si="13"/>
        <v>EC</v>
      </c>
      <c r="AH52" s="78" t="str">
        <f t="shared" si="18"/>
        <v>"%USERPROFILE%\Documents\GitHub\eaglep3\Utilities\RefineRTDCRunTimes.py" --tripid 140-01 --locoid 4039 --swversion DE.1.0.9.0 --startMP 204:232966 --initTime 2017-09-01T09:06:30 --startdatetime 2017-09-01T09:27:47 --delay 55 --endMP 204:158 --enddatetime 2017-09-01T10:03:31 --enforcementcount 0 &gt;&gt;C:\Users\stu\Documents\GitHub\eaglep3-reporting\EC\2017-09-01-refined-times.txt</v>
      </c>
      <c r="AI52" s="96" t="str">
        <f t="shared" si="19"/>
        <v>echo {"issue":{"subject":"","project_id":79,"tracker_id":40,"status_id":1,"priority_id":2,"assigned_to_id":338,"start_date":"2017-09-01","description":"","custom_fields":[{"id":1,"name":"Subdivision","value":"EC"},{"id":4,"name":"Milepost","value":"0.0158"},{"id":17,"name":"Train ID","value":"140-01"},{"id":16,"name":"Locomotive ID","value":"4039"},{"id":130,"name":"Impact","value":""},{"id":150,"name":"Time of Event (Mountain Time)","value":"10:03:31"},{"id":151,"name":"Denver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4039 --day 2017-09-01</v>
      </c>
      <c r="AN52" s="151" t="str">
        <f t="shared" si="2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16:03:31"},{"id":29,"name":"Sharepoint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595</v>
      </c>
      <c r="B53" s="7">
        <v>4024</v>
      </c>
      <c r="C53" s="21" t="s">
        <v>197</v>
      </c>
      <c r="D53" s="21" t="s">
        <v>378</v>
      </c>
      <c r="E53" s="13">
        <v>42979.361481481479</v>
      </c>
      <c r="F53" s="13">
        <v>42979.364756944444</v>
      </c>
      <c r="G53" s="7">
        <v>70</v>
      </c>
      <c r="H53" s="21" t="s">
        <v>408</v>
      </c>
      <c r="I53" s="13">
        <v>42979.390879629631</v>
      </c>
      <c r="J53" s="7">
        <v>0</v>
      </c>
      <c r="K53" s="89" t="str">
        <f t="shared" si="0"/>
        <v>4023/4024</v>
      </c>
      <c r="L53" s="214" t="str">
        <f>VLOOKUP(A53,'Trips&amp;Operators'!$C$1:$G$99911,5,FALSE)</f>
        <v>MACDONALD THOMAS</v>
      </c>
      <c r="M53" s="6">
        <f t="shared" si="1"/>
        <v>2.6122685187146999E-2</v>
      </c>
      <c r="N53" s="7">
        <f t="shared" si="2"/>
        <v>37.616666669491678</v>
      </c>
      <c r="O53" s="7"/>
      <c r="P53" s="7"/>
      <c r="Q53" s="22"/>
      <c r="R53" s="167"/>
      <c r="S53" s="210">
        <f t="shared" si="3"/>
        <v>1</v>
      </c>
      <c r="T53" s="192" t="str">
        <f t="shared" si="4"/>
        <v>NorthBound</v>
      </c>
      <c r="U53" s="192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3" t="str">
        <f t="shared" si="5"/>
        <v>https://d0f6bd738d7f1b3e5a7ca70fe4ff75f0.us-east-1.aws.found.io/app/kibana#/discover/Steve-Slow-Train-Analysis-(2080s-and-2083s)?_g=(refreshInterval:(display:Off,pause:!f,section:0,value:0),time:(from:'2017-09-01T07:40:32-0600',mode:absolute,to:'2017-09-01T10:22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53" s="194" t="str">
        <f>IF(AA53&lt;VLOOKUP(AG53,Variables!$AC$3:$AD$8,2,FALSE),"Y","N")</f>
        <v>N</v>
      </c>
      <c r="X53" s="194">
        <f t="shared" si="6"/>
        <v>1</v>
      </c>
      <c r="Y53" s="194">
        <f t="shared" si="7"/>
        <v>4.7100000000000003E-2</v>
      </c>
      <c r="Z53" s="194">
        <f t="shared" si="8"/>
        <v>23.329699999999999</v>
      </c>
      <c r="AA53" s="194">
        <f t="shared" si="9"/>
        <v>23.282599999999999</v>
      </c>
      <c r="AB53" s="54" t="e">
        <f>VLOOKUP(A53,Enforcements!$C$7:$K$11,8,0)</f>
        <v>#N/A</v>
      </c>
      <c r="AC53" s="51" t="e">
        <f>VLOOKUP(A53,Enforcements!$C$7:$E$11,3,0)</f>
        <v>#N/A</v>
      </c>
      <c r="AD53" s="203">
        <f t="shared" si="10"/>
        <v>141</v>
      </c>
      <c r="AE53" s="77" t="str">
        <f t="shared" si="11"/>
        <v>aws s3 cp s3://rtdc.mdm.uploadarchive.raw/RTDC4024/ "%USERPROFILE%\AppData\Local\Temp\OnboardLogs"\RTDC4024\2017-09-01 --exclude "*" --recursive --include "*20170901*" &amp; "%USERPROFILE%\Documents\GitHub\mrs-test-scripts\Headless Mode &amp; Sideloading\WalkAndUnGZ.bat" "%USERPROFILE%\AppData\Local\Temp\OnboardLogs"\RTDC4024\2017-09-01 &amp; aws s3 cp s3://rtdc.mdm.uploadarchive.raw/RTDC4024/ "%USERPROFILE%\AppData\Local\Temp\OnboardLogs"\RTDC4024\2017-09-02 --exclude "*" --recursive --include "*20170902*" &amp; "%USERPROFILE%\Documents\GitHub\mrs-test-scripts\Headless Mode &amp; Sideloading\WalkAndUnGZ.bat" "%USERPROFILE%\AppData\Local\Temp\OnboardLogs"\RTDC4024\2017-09-02</v>
      </c>
      <c r="AF53" s="74" t="str">
        <f t="shared" si="12"/>
        <v>"C:\Program Files (x86)\AstroGrep\AstroGrep.exe" /e /r /s /spath="%USERPROFILE%\AppData\Local\Temp\OnboardLogs" /stypes="app*4024*20170901*" /stext=" 15:.+((SYSTEM_STATE.+slice.+state.+changed )|(ment ac)|(multiple cpu faults)|(system.+state.+changed )|(\[timeout)|(PRM\|1\|D)|(kpr)|(kdp)|(train st.+moving)|(\|lc)|(penalty))"</v>
      </c>
      <c r="AG53" s="206" t="str">
        <f t="shared" si="13"/>
        <v>EC</v>
      </c>
      <c r="AH53" s="78" t="str">
        <f t="shared" si="18"/>
        <v>"%USERPROFILE%\Documents\GitHub\eaglep3\Utilities\RefineRTDCRunTimes.py" --tripid 141-01 --locoid 4024 --swversion DE.1.0.9.0 --startMP 204:471 --initTime 2017-09-01T08:40:32 --startdatetime 2017-09-01T08:45:15 --delay 70 --endMP 204:233297 --enddatetime 2017-09-01T09:22:52 --enforcementcount 0 &gt;&gt;C:\Users\stu\Documents\GitHub\eaglep3-reporting\EC\2017-09-01-refined-times.txt</v>
      </c>
      <c r="AI53" s="96" t="str">
        <f t="shared" si="19"/>
        <v>echo {"issue":{"subject":"","project_id":79,"tracker_id":40,"status_id":1,"priority_id":2,"assigned_to_id":338,"start_date":"2017-09-01","description":"","custom_fields":[{"id":1,"name":"Subdivision","value":"EC"},{"id":4,"name":"Milepost","value":"23.3297"},{"id":17,"name":"Train ID","value":"141-01"},{"id":16,"name":"Locomotive ID","value":"4024"},{"id":130,"name":"Impact","value":""},{"id":150,"name":"Time of Event (Mountain Time)","value":"09:22:52"},{"id":151,"name":"Denver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4024 --day 2017-09-01</v>
      </c>
      <c r="AN53" s="151" t="str">
        <f t="shared" si="2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15:22:52"},{"id":29,"name":"Sharepoint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689</v>
      </c>
      <c r="B54" s="7">
        <v>4023</v>
      </c>
      <c r="C54" s="21" t="s">
        <v>197</v>
      </c>
      <c r="D54" s="21" t="s">
        <v>462</v>
      </c>
      <c r="E54" s="13">
        <v>42979.399861111109</v>
      </c>
      <c r="F54" s="13">
        <v>42979.40483796296</v>
      </c>
      <c r="G54" s="7">
        <v>89</v>
      </c>
      <c r="H54" s="21" t="s">
        <v>488</v>
      </c>
      <c r="I54" s="13">
        <v>42979.432662037034</v>
      </c>
      <c r="J54" s="7">
        <v>0</v>
      </c>
      <c r="K54" s="89" t="str">
        <f t="shared" si="0"/>
        <v>4023/4024</v>
      </c>
      <c r="L54" s="214" t="str">
        <f>VLOOKUP(A54,'Trips&amp;Operators'!$C$1:$G$99911,5,FALSE)</f>
        <v>MACDONALD THOMAS</v>
      </c>
      <c r="M54" s="6">
        <f t="shared" si="1"/>
        <v>2.7824074073578231E-2</v>
      </c>
      <c r="N54" s="7">
        <f t="shared" si="2"/>
        <v>40.066666665952653</v>
      </c>
      <c r="O54" s="7"/>
      <c r="P54" s="7"/>
      <c r="Q54" s="22"/>
      <c r="R54" s="167"/>
      <c r="S54" s="210">
        <f t="shared" si="3"/>
        <v>1</v>
      </c>
      <c r="T54" s="192" t="str">
        <f t="shared" si="4"/>
        <v>Southbound</v>
      </c>
      <c r="U54" s="192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3" t="str">
        <f t="shared" si="5"/>
        <v>https://d0f6bd738d7f1b3e5a7ca70fe4ff75f0.us-east-1.aws.found.io/app/kibana#/discover/Steve-Slow-Train-Analysis-(2080s-and-2083s)?_g=(refreshInterval:(display:Off,pause:!f,section:0,value:0),time:(from:'2017-09-01T08:35:48-0600',mode:absolute,to:'2017-09-01T11:23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54" s="194" t="str">
        <f>IF(AA54&lt;VLOOKUP(AG54,Variables!$AC$3:$AD$8,2,FALSE),"Y","N")</f>
        <v>N</v>
      </c>
      <c r="X54" s="194">
        <f t="shared" si="6"/>
        <v>1</v>
      </c>
      <c r="Y54" s="194">
        <f t="shared" si="7"/>
        <v>23.296900000000001</v>
      </c>
      <c r="Z54" s="194">
        <f t="shared" si="8"/>
        <v>1.6E-2</v>
      </c>
      <c r="AA54" s="194">
        <f t="shared" si="9"/>
        <v>23.280900000000003</v>
      </c>
      <c r="AB54" s="54" t="e">
        <f>VLOOKUP(A54,Enforcements!$C$7:$K$11,8,0)</f>
        <v>#N/A</v>
      </c>
      <c r="AC54" s="51" t="e">
        <f>VLOOKUP(A54,Enforcements!$C$7:$E$11,3,0)</f>
        <v>#N/A</v>
      </c>
      <c r="AD54" s="203">
        <f t="shared" si="10"/>
        <v>142</v>
      </c>
      <c r="AE54" s="77" t="str">
        <f t="shared" si="11"/>
        <v>aws s3 cp s3://rtdc.mdm.uploadarchive.raw/RTDC4023/ "%USERPROFILE%\AppData\Local\Temp\OnboardLogs"\RTDC4023\2017-09-01 --exclude "*" --recursive --include "*20170901*" &amp; "%USERPROFILE%\Documents\GitHub\mrs-test-scripts\Headless Mode &amp; Sideloading\WalkAndUnGZ.bat" "%USERPROFILE%\AppData\Local\Temp\OnboardLogs"\RTDC4023\2017-09-01 &amp; aws s3 cp s3://rtdc.mdm.uploadarchive.raw/RTDC4023/ "%USERPROFILE%\AppData\Local\Temp\OnboardLogs"\RTDC4023\2017-09-02 --exclude "*" --recursive --include "*20170902*" &amp; "%USERPROFILE%\Documents\GitHub\mrs-test-scripts\Headless Mode &amp; Sideloading\WalkAndUnGZ.bat" "%USERPROFILE%\AppData\Local\Temp\OnboardLogs"\RTDC4023\2017-09-02</v>
      </c>
      <c r="AF54" s="74" t="str">
        <f t="shared" si="12"/>
        <v>"C:\Program Files (x86)\AstroGrep\AstroGrep.exe" /e /r /s /spath="%USERPROFILE%\AppData\Local\Temp\OnboardLogs" /stypes="app*4023*20170901*" /stext=" 16:.+((SYSTEM_STATE.+slice.+state.+changed )|(ment ac)|(multiple cpu faults)|(system.+state.+changed )|(\[timeout)|(PRM\|1\|D)|(kpr)|(kdp)|(train st.+moving)|(\|lc)|(penalty))"</v>
      </c>
      <c r="AG54" s="206" t="str">
        <f t="shared" si="13"/>
        <v>EC</v>
      </c>
      <c r="AH54" s="78" t="str">
        <f t="shared" si="18"/>
        <v>"%USERPROFILE%\Documents\GitHub\eaglep3\Utilities\RefineRTDCRunTimes.py" --tripid 142-01 --locoid 4023 --swversion DE.1.0.9.0 --startMP 204:232969 --initTime 2017-09-01T09:35:48 --startdatetime 2017-09-01T09:42:58 --delay 89 --endMP 204:160 --enddatetime 2017-09-01T10:23:02 --enforcementcount 0 &gt;&gt;C:\Users\stu\Documents\GitHub\eaglep3-reporting\EC\2017-09-01-refined-times.txt</v>
      </c>
      <c r="AI54" s="96" t="str">
        <f t="shared" si="19"/>
        <v>echo {"issue":{"subject":"","project_id":79,"tracker_id":40,"status_id":1,"priority_id":2,"assigned_to_id":338,"start_date":"2017-09-01","description":"","custom_fields":[{"id":1,"name":"Subdivision","value":"EC"},{"id":4,"name":"Milepost","value":"0.016"},{"id":17,"name":"Train ID","value":"142-01"},{"id":16,"name":"Locomotive ID","value":"4023"},{"id":130,"name":"Impact","value":""},{"id":150,"name":"Time of Event (Mountain Time)","value":"10:23:02"},{"id":151,"name":"Denver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4023 --day 2017-09-01</v>
      </c>
      <c r="AN54" s="151" t="str">
        <f t="shared" si="2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16:23:02"},{"id":29,"name":"Sharepoint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596</v>
      </c>
      <c r="B55" s="7">
        <v>4020</v>
      </c>
      <c r="C55" s="21" t="s">
        <v>197</v>
      </c>
      <c r="D55" s="21" t="s">
        <v>377</v>
      </c>
      <c r="E55" s="13">
        <v>42979.370300925926</v>
      </c>
      <c r="F55" s="13">
        <v>42979.375231481485</v>
      </c>
      <c r="G55" s="7">
        <v>68</v>
      </c>
      <c r="H55" s="21" t="s">
        <v>380</v>
      </c>
      <c r="I55" s="13">
        <v>42979.39984953704</v>
      </c>
      <c r="J55" s="7">
        <v>0</v>
      </c>
      <c r="K55" s="89" t="str">
        <f t="shared" si="0"/>
        <v>4019/4020</v>
      </c>
      <c r="L55" s="214" t="str">
        <f>VLOOKUP(A55,'Trips&amp;Operators'!$C$1:$G$99911,5,FALSE)</f>
        <v>BIRENBAUM THOMAS</v>
      </c>
      <c r="M55" s="6">
        <f t="shared" si="1"/>
        <v>2.4618055555038154E-2</v>
      </c>
      <c r="N55" s="7">
        <f t="shared" si="2"/>
        <v>35.449999999254942</v>
      </c>
      <c r="O55" s="7"/>
      <c r="P55" s="7"/>
      <c r="Q55" s="22"/>
      <c r="R55" s="167"/>
      <c r="S55" s="210">
        <f t="shared" si="3"/>
        <v>1</v>
      </c>
      <c r="T55" s="192" t="str">
        <f t="shared" si="4"/>
        <v>NorthBound</v>
      </c>
      <c r="U55" s="192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3" t="str">
        <f t="shared" si="5"/>
        <v>https://d0f6bd738d7f1b3e5a7ca70fe4ff75f0.us-east-1.aws.found.io/app/kibana#/discover/Steve-Slow-Train-Analysis-(2080s-and-2083s)?_g=(refreshInterval:(display:Off,pause:!f,section:0,value:0),time:(from:'2017-09-01T07:53:14-0600',mode:absolute,to:'2017-09-01T10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5" s="194" t="str">
        <f>IF(AA55&lt;VLOOKUP(AG55,Variables!$AC$3:$AD$8,2,FALSE),"Y","N")</f>
        <v>N</v>
      </c>
      <c r="X55" s="194">
        <f t="shared" si="6"/>
        <v>1</v>
      </c>
      <c r="Y55" s="194">
        <f t="shared" si="7"/>
        <v>4.4400000000000002E-2</v>
      </c>
      <c r="Z55" s="194">
        <f t="shared" si="8"/>
        <v>23.3293</v>
      </c>
      <c r="AA55" s="194">
        <f t="shared" si="9"/>
        <v>23.2849</v>
      </c>
      <c r="AB55" s="54" t="e">
        <f>VLOOKUP(A55,Enforcements!$C$7:$K$11,8,0)</f>
        <v>#N/A</v>
      </c>
      <c r="AC55" s="51" t="e">
        <f>VLOOKUP(A55,Enforcements!$C$7:$E$11,3,0)</f>
        <v>#N/A</v>
      </c>
      <c r="AD55" s="203">
        <f t="shared" si="10"/>
        <v>143</v>
      </c>
      <c r="AE55" s="77" t="str">
        <f t="shared" si="11"/>
        <v>aws s3 cp s3://rtdc.mdm.uploadarchive.raw/RTDC4020/ "%USERPROFILE%\AppData\Local\Temp\OnboardLogs"\RTDC4020\2017-09-01 --exclude "*" --recursive --include "*20170901*" &amp; "%USERPROFILE%\Documents\GitHub\mrs-test-scripts\Headless Mode &amp; Sideloading\WalkAndUnGZ.bat" "%USERPROFILE%\AppData\Local\Temp\OnboardLogs"\RTDC4020\2017-09-01 &amp; aws s3 cp s3://rtdc.mdm.uploadarchive.raw/RTDC4020/ "%USERPROFILE%\AppData\Local\Temp\OnboardLogs"\RTDC4020\2017-09-02 --exclude "*" --recursive --include "*20170902*" &amp; "%USERPROFILE%\Documents\GitHub\mrs-test-scripts\Headless Mode &amp; Sideloading\WalkAndUnGZ.bat" "%USERPROFILE%\AppData\Local\Temp\OnboardLogs"\RTDC4020\2017-09-02</v>
      </c>
      <c r="AF55" s="74" t="str">
        <f t="shared" si="12"/>
        <v>"C:\Program Files (x86)\AstroGrep\AstroGrep.exe" /e /r /s /spath="%USERPROFILE%\AppData\Local\Temp\OnboardLogs" /stypes="app*4020*20170901*" /stext=" 15:.+((SYSTEM_STATE.+slice.+state.+changed )|(ment ac)|(multiple cpu faults)|(system.+state.+changed )|(\[timeout)|(PRM\|1\|D)|(kpr)|(kdp)|(train st.+moving)|(\|lc)|(penalty))"</v>
      </c>
      <c r="AG55" s="206" t="str">
        <f t="shared" si="13"/>
        <v>EC</v>
      </c>
      <c r="AH55" s="78" t="str">
        <f t="shared" si="18"/>
        <v>"%USERPROFILE%\Documents\GitHub\eaglep3\Utilities\RefineRTDCRunTimes.py" --tripid 143-01 --locoid 4020 --swversion DE.1.0.9.0 --startMP 204:444 --initTime 2017-09-01T08:53:14 --startdatetime 2017-09-01T09:00:20 --delay 68 --endMP 204:233293 --enddatetime 2017-09-01T09:35:47 --enforcementcount 0 &gt;&gt;C:\Users\stu\Documents\GitHub\eaglep3-reporting\EC\2017-09-01-refined-times.txt</v>
      </c>
      <c r="AI55" s="96" t="str">
        <f t="shared" si="19"/>
        <v>echo {"issue":{"subject":"","project_id":79,"tracker_id":40,"status_id":1,"priority_id":2,"assigned_to_id":338,"start_date":"2017-09-01","description":"","custom_fields":[{"id":1,"name":"Subdivision","value":"EC"},{"id":4,"name":"Milepost","value":"23.3293"},{"id":17,"name":"Train ID","value":"143-01"},{"id":16,"name":"Locomotive ID","value":"4020"},{"id":130,"name":"Impact","value":""},{"id":150,"name":"Time of Event (Mountain Time)","value":"09:35:47"},{"id":151,"name":"Denver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4020 --day 2017-09-01</v>
      </c>
      <c r="AN55" s="151" t="str">
        <f t="shared" si="2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15:35:47"},{"id":29,"name":"Sharepoint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692</v>
      </c>
      <c r="B56" s="7">
        <v>4019</v>
      </c>
      <c r="C56" s="21" t="s">
        <v>197</v>
      </c>
      <c r="D56" s="21" t="s">
        <v>849</v>
      </c>
      <c r="E56" s="13">
        <v>42979.411215277774</v>
      </c>
      <c r="F56" s="13">
        <v>42979.414918981478</v>
      </c>
      <c r="G56" s="7">
        <v>60</v>
      </c>
      <c r="H56" s="21" t="s">
        <v>365</v>
      </c>
      <c r="I56" s="13">
        <v>42979.439826388887</v>
      </c>
      <c r="J56" s="7">
        <v>0</v>
      </c>
      <c r="K56" s="89" t="str">
        <f t="shared" si="0"/>
        <v>4019/4020</v>
      </c>
      <c r="L56" s="214" t="str">
        <f>VLOOKUP(A56,'Trips&amp;Operators'!$C$1:$G$99911,5,FALSE)</f>
        <v>BIRENBAUM THOMAS</v>
      </c>
      <c r="M56" s="6">
        <f t="shared" si="1"/>
        <v>2.4907407409045845E-2</v>
      </c>
      <c r="N56" s="7">
        <f t="shared" si="2"/>
        <v>35.866666669026017</v>
      </c>
      <c r="O56" s="7"/>
      <c r="P56" s="7"/>
      <c r="Q56" s="22"/>
      <c r="R56" s="167"/>
      <c r="S56" s="210">
        <f t="shared" si="3"/>
        <v>1</v>
      </c>
      <c r="T56" s="192" t="str">
        <f t="shared" si="4"/>
        <v>Southbound</v>
      </c>
      <c r="U56" s="192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3" t="str">
        <f t="shared" si="5"/>
        <v>https://d0f6bd738d7f1b3e5a7ca70fe4ff75f0.us-east-1.aws.found.io/app/kibana#/discover/Steve-Slow-Train-Analysis-(2080s-and-2083s)?_g=(refreshInterval:(display:Off,pause:!f,section:0,value:0),time:(from:'2017-09-01T08:52:09-0600',mode:absolute,to:'2017-09-01T11:33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6" s="194" t="str">
        <f>IF(AA56&lt;VLOOKUP(AG56,Variables!$AC$3:$AD$8,2,FALSE),"Y","N")</f>
        <v>N</v>
      </c>
      <c r="X56" s="194">
        <f t="shared" si="6"/>
        <v>1</v>
      </c>
      <c r="Y56" s="194">
        <f t="shared" si="7"/>
        <v>23.2974</v>
      </c>
      <c r="Z56" s="194">
        <f t="shared" si="8"/>
        <v>1.52E-2</v>
      </c>
      <c r="AA56" s="194">
        <f t="shared" si="9"/>
        <v>23.2822</v>
      </c>
      <c r="AB56" s="54" t="e">
        <f>VLOOKUP(A56,Enforcements!$C$7:$K$11,8,0)</f>
        <v>#N/A</v>
      </c>
      <c r="AC56" s="51" t="e">
        <f>VLOOKUP(A56,Enforcements!$C$7:$E$11,3,0)</f>
        <v>#N/A</v>
      </c>
      <c r="AD56" s="203">
        <f t="shared" si="10"/>
        <v>144</v>
      </c>
      <c r="AE56" s="77" t="str">
        <f t="shared" si="11"/>
        <v>aws s3 cp s3://rtdc.mdm.uploadarchive.raw/RTDC4019/ "%USERPROFILE%\AppData\Local\Temp\OnboardLogs"\RTDC4019\2017-09-01 --exclude "*" --recursive --include "*20170901*" &amp; "%USERPROFILE%\Documents\GitHub\mrs-test-scripts\Headless Mode &amp; Sideloading\WalkAndUnGZ.bat" "%USERPROFILE%\AppData\Local\Temp\OnboardLogs"\RTDC4019\2017-09-01 &amp; aws s3 cp s3://rtdc.mdm.uploadarchive.raw/RTDC4019/ "%USERPROFILE%\AppData\Local\Temp\OnboardLogs"\RTDC4019\2017-09-02 --exclude "*" --recursive --include "*20170902*" &amp; "%USERPROFILE%\Documents\GitHub\mrs-test-scripts\Headless Mode &amp; Sideloading\WalkAndUnGZ.bat" "%USERPROFILE%\AppData\Local\Temp\OnboardLogs"\RTDC4019\2017-09-02</v>
      </c>
      <c r="AF56" s="74" t="str">
        <f t="shared" si="12"/>
        <v>"C:\Program Files (x86)\AstroGrep\AstroGrep.exe" /e /r /s /spath="%USERPROFILE%\AppData\Local\Temp\OnboardLogs" /stypes="app*4019*20170901*" /stext=" 16:.+((SYSTEM_STATE.+slice.+state.+changed )|(ment ac)|(multiple cpu faults)|(system.+state.+changed )|(\[timeout)|(PRM\|1\|D)|(kpr)|(kdp)|(train st.+moving)|(\|lc)|(penalty))"</v>
      </c>
      <c r="AG56" s="206" t="str">
        <f t="shared" si="13"/>
        <v>EC</v>
      </c>
      <c r="AH56" s="78" t="str">
        <f t="shared" si="18"/>
        <v>"%USERPROFILE%\Documents\GitHub\eaglep3\Utilities\RefineRTDCRunTimes.py" --tripid 144-01 --locoid 4019 --swversion DE.1.0.9.0 --startMP 204:232974 --initTime 2017-09-01T09:52:09 --startdatetime 2017-09-01T09:57:29 --delay 60 --endMP 204:152 --enddatetime 2017-09-01T10:33:21 --enforcementcount 0 &gt;&gt;C:\Users\stu\Documents\GitHub\eaglep3-reporting\EC\2017-09-01-refined-times.txt</v>
      </c>
      <c r="AI56" s="96" t="str">
        <f t="shared" si="19"/>
        <v>echo {"issue":{"subject":"","project_id":79,"tracker_id":40,"status_id":1,"priority_id":2,"assigned_to_id":338,"start_date":"2017-09-01","description":"","custom_fields":[{"id":1,"name":"Subdivision","value":"EC"},{"id":4,"name":"Milepost","value":"0.0152"},{"id":17,"name":"Train ID","value":"144-01"},{"id":16,"name":"Locomotive ID","value":"4019"},{"id":130,"name":"Impact","value":""},{"id":150,"name":"Time of Event (Mountain Time)","value":"10:33:21"},{"id":151,"name":"Denver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4019 --day 2017-09-01</v>
      </c>
      <c r="AN56" s="151" t="str">
        <f t="shared" si="2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16:33:21"},{"id":29,"name":"Sharepoint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686</v>
      </c>
      <c r="B57" s="7">
        <v>4058</v>
      </c>
      <c r="C57" s="21" t="s">
        <v>197</v>
      </c>
      <c r="D57" s="21" t="s">
        <v>343</v>
      </c>
      <c r="E57" s="13">
        <v>42979.381168981483</v>
      </c>
      <c r="F57" s="13">
        <v>42979.385601851849</v>
      </c>
      <c r="G57" s="7">
        <v>55</v>
      </c>
      <c r="H57" s="21" t="s">
        <v>409</v>
      </c>
      <c r="I57" s="13">
        <v>42979.409386574072</v>
      </c>
      <c r="J57" s="7">
        <v>0</v>
      </c>
      <c r="K57" s="89" t="str">
        <f t="shared" si="0"/>
        <v>4057/4058</v>
      </c>
      <c r="L57" s="214" t="str">
        <f>VLOOKUP(A57,'Trips&amp;Operators'!$C$1:$G$99911,5,FALSE)</f>
        <v>BARRON PERLA</v>
      </c>
      <c r="M57" s="6">
        <f t="shared" si="1"/>
        <v>2.3784722223354038E-2</v>
      </c>
      <c r="N57" s="7">
        <f t="shared" si="2"/>
        <v>34.250000001629815</v>
      </c>
      <c r="O57" s="7"/>
      <c r="P57" s="7"/>
      <c r="Q57" s="22"/>
      <c r="R57" s="167"/>
      <c r="S57" s="210">
        <f t="shared" si="3"/>
        <v>1</v>
      </c>
      <c r="T57" s="192" t="str">
        <f t="shared" si="4"/>
        <v>NorthBound</v>
      </c>
      <c r="U57" s="192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3" t="str">
        <f t="shared" si="5"/>
        <v>https://d0f6bd738d7f1b3e5a7ca70fe4ff75f0.us-east-1.aws.found.io/app/kibana#/discover/Steve-Slow-Train-Analysis-(2080s-and-2083s)?_g=(refreshInterval:(display:Off,pause:!f,section:0,value:0),time:(from:'2017-09-01T08:08:53-0600',mode:absolute,to:'2017-09-01T10:49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57" s="194" t="str">
        <f>IF(AA57&lt;VLOOKUP(AG57,Variables!$AC$3:$AD$8,2,FALSE),"Y","N")</f>
        <v>N</v>
      </c>
      <c r="X57" s="194">
        <f t="shared" si="6"/>
        <v>1</v>
      </c>
      <c r="Y57" s="194">
        <f t="shared" si="7"/>
        <v>4.4699999999999997E-2</v>
      </c>
      <c r="Z57" s="194">
        <f t="shared" si="8"/>
        <v>23.329499999999999</v>
      </c>
      <c r="AA57" s="194">
        <f t="shared" si="9"/>
        <v>23.284800000000001</v>
      </c>
      <c r="AB57" s="54" t="e">
        <f>VLOOKUP(A57,Enforcements!$C$7:$K$11,8,0)</f>
        <v>#N/A</v>
      </c>
      <c r="AC57" s="51" t="e">
        <f>VLOOKUP(A57,Enforcements!$C$7:$E$11,3,0)</f>
        <v>#N/A</v>
      </c>
      <c r="AD57" s="203">
        <f t="shared" si="10"/>
        <v>145</v>
      </c>
      <c r="AE57" s="77" t="str">
        <f t="shared" si="11"/>
        <v>aws s3 cp s3://rtdc.mdm.uploadarchive.raw/RTDC4058/ "%USERPROFILE%\AppData\Local\Temp\OnboardLogs"\RTDC4058\2017-09-01 --exclude "*" --recursive --include "*20170901*" &amp; "%USERPROFILE%\Documents\GitHub\mrs-test-scripts\Headless Mode &amp; Sideloading\WalkAndUnGZ.bat" "%USERPROFILE%\AppData\Local\Temp\OnboardLogs"\RTDC4058\2017-09-01 &amp; aws s3 cp s3://rtdc.mdm.uploadarchive.raw/RTDC4058/ "%USERPROFILE%\AppData\Local\Temp\OnboardLogs"\RTDC4058\2017-09-02 --exclude "*" --recursive --include "*20170902*" &amp; "%USERPROFILE%\Documents\GitHub\mrs-test-scripts\Headless Mode &amp; Sideloading\WalkAndUnGZ.bat" "%USERPROFILE%\AppData\Local\Temp\OnboardLogs"\RTDC4058\2017-09-02</v>
      </c>
      <c r="AF57" s="74" t="str">
        <f t="shared" si="12"/>
        <v>"C:\Program Files (x86)\AstroGrep\AstroGrep.exe" /e /r /s /spath="%USERPROFILE%\AppData\Local\Temp\OnboardLogs" /stypes="app*4058*20170901*" /stext=" 15:.+((SYSTEM_STATE.+slice.+state.+changed )|(ment ac)|(multiple cpu faults)|(system.+state.+changed )|(\[timeout)|(PRM\|1\|D)|(kpr)|(kdp)|(train st.+moving)|(\|lc)|(penalty))"</v>
      </c>
      <c r="AG57" s="206" t="str">
        <f t="shared" si="13"/>
        <v>EC</v>
      </c>
      <c r="AH57" s="78" t="str">
        <f t="shared" si="18"/>
        <v>"%USERPROFILE%\Documents\GitHub\eaglep3\Utilities\RefineRTDCRunTimes.py" --tripid 145-01 --locoid 4058 --swversion DE.1.0.9.0 --startMP 204:447 --initTime 2017-09-01T09:08:53 --startdatetime 2017-09-01T09:15:16 --delay 55 --endMP 204:233295 --enddatetime 2017-09-01T09:49:31 --enforcementcount 0 &gt;&gt;C:\Users\stu\Documents\GitHub\eaglep3-reporting\EC\2017-09-01-refined-times.txt</v>
      </c>
      <c r="AI57" s="96" t="str">
        <f t="shared" si="19"/>
        <v>echo {"issue":{"subject":"","project_id":79,"tracker_id":40,"status_id":1,"priority_id":2,"assigned_to_id":338,"start_date":"2017-09-01","description":"","custom_fields":[{"id":1,"name":"Subdivision","value":"EC"},{"id":4,"name":"Milepost","value":"23.3295"},{"id":17,"name":"Train ID","value":"145-01"},{"id":16,"name":"Locomotive ID","value":"4058"},{"id":130,"name":"Impact","value":""},{"id":150,"name":"Time of Event (Mountain Time)","value":"09:49:31"},{"id":151,"name":"Denver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4058 --day 2017-09-01</v>
      </c>
      <c r="AN57" s="151" t="str">
        <f t="shared" si="2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15:49:31"},{"id":29,"name":"Sharepoint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691</v>
      </c>
      <c r="B58" s="7">
        <v>4057</v>
      </c>
      <c r="C58" s="21" t="s">
        <v>197</v>
      </c>
      <c r="D58" s="21" t="s">
        <v>444</v>
      </c>
      <c r="E58" s="13">
        <v>42979.410983796297</v>
      </c>
      <c r="F58" s="13">
        <v>42979.425185185188</v>
      </c>
      <c r="G58" s="7">
        <v>50</v>
      </c>
      <c r="H58" s="21" t="s">
        <v>850</v>
      </c>
      <c r="I58" s="13">
        <v>42979.451863425929</v>
      </c>
      <c r="J58" s="7">
        <v>0</v>
      </c>
      <c r="K58" s="89" t="str">
        <f t="shared" si="0"/>
        <v>4057/4058</v>
      </c>
      <c r="L58" s="214" t="str">
        <f>VLOOKUP(A58,'Trips&amp;Operators'!$C$1:$G$99911,5,FALSE)</f>
        <v>BARRON PERLA</v>
      </c>
      <c r="M58" s="6">
        <f t="shared" si="1"/>
        <v>2.6678240741603076E-2</v>
      </c>
      <c r="N58" s="7">
        <f t="shared" si="2"/>
        <v>38.41666666790843</v>
      </c>
      <c r="O58" s="7"/>
      <c r="P58" s="7"/>
      <c r="Q58" s="22"/>
      <c r="R58" s="167"/>
      <c r="S58" s="210">
        <f t="shared" si="3"/>
        <v>1</v>
      </c>
      <c r="T58" s="192" t="str">
        <f t="shared" si="4"/>
        <v>Southbound</v>
      </c>
      <c r="U58" s="192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3" t="str">
        <f t="shared" si="5"/>
        <v>https://d0f6bd738d7f1b3e5a7ca70fe4ff75f0.us-east-1.aws.found.io/app/kibana#/discover/Steve-Slow-Train-Analysis-(2080s-and-2083s)?_g=(refreshInterval:(display:Off,pause:!f,section:0,value:0),time:(from:'2017-09-01T08:51:49-0600',mode:absolute,to:'2017-09-01T11:50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58" s="194" t="str">
        <f>IF(AA58&lt;VLOOKUP(AG58,Variables!$AC$3:$AD$8,2,FALSE),"Y","N")</f>
        <v>N</v>
      </c>
      <c r="X58" s="194">
        <f t="shared" si="6"/>
        <v>1</v>
      </c>
      <c r="Y58" s="194">
        <f t="shared" si="7"/>
        <v>23.298200000000001</v>
      </c>
      <c r="Z58" s="194">
        <f t="shared" si="8"/>
        <v>1.29E-2</v>
      </c>
      <c r="AA58" s="194">
        <f t="shared" si="9"/>
        <v>23.285300000000003</v>
      </c>
      <c r="AB58" s="54" t="e">
        <f>VLOOKUP(A58,Enforcements!$C$7:$K$11,8,0)</f>
        <v>#N/A</v>
      </c>
      <c r="AC58" s="51" t="e">
        <f>VLOOKUP(A58,Enforcements!$C$7:$E$11,3,0)</f>
        <v>#N/A</v>
      </c>
      <c r="AD58" s="203">
        <f t="shared" si="10"/>
        <v>146</v>
      </c>
      <c r="AE58" s="77" t="str">
        <f t="shared" si="11"/>
        <v>aws s3 cp s3://rtdc.mdm.uploadarchive.raw/RTDC4057/ "%USERPROFILE%\AppData\Local\Temp\OnboardLogs"\RTDC4057\2017-09-01 --exclude "*" --recursive --include "*20170901*" &amp; "%USERPROFILE%\Documents\GitHub\mrs-test-scripts\Headless Mode &amp; Sideloading\WalkAndUnGZ.bat" "%USERPROFILE%\AppData\Local\Temp\OnboardLogs"\RTDC4057\2017-09-01 &amp; aws s3 cp s3://rtdc.mdm.uploadarchive.raw/RTDC4057/ "%USERPROFILE%\AppData\Local\Temp\OnboardLogs"\RTDC4057\2017-09-02 --exclude "*" --recursive --include "*20170902*" &amp; "%USERPROFILE%\Documents\GitHub\mrs-test-scripts\Headless Mode &amp; Sideloading\WalkAndUnGZ.bat" "%USERPROFILE%\AppData\Local\Temp\OnboardLogs"\RTDC4057\2017-09-02</v>
      </c>
      <c r="AF58" s="74" t="str">
        <f t="shared" si="12"/>
        <v>"C:\Program Files (x86)\AstroGrep\AstroGrep.exe" /e /r /s /spath="%USERPROFILE%\AppData\Local\Temp\OnboardLogs" /stypes="app*4057*20170901*" /stext=" 16:.+((SYSTEM_STATE.+slice.+state.+changed )|(ment ac)|(multiple cpu faults)|(system.+state.+changed )|(\[timeout)|(PRM\|1\|D)|(kpr)|(kdp)|(train st.+moving)|(\|lc)|(penalty))"</v>
      </c>
      <c r="AG58" s="206" t="str">
        <f t="shared" si="13"/>
        <v>EC</v>
      </c>
      <c r="AH58" s="78" t="str">
        <f t="shared" si="18"/>
        <v>"%USERPROFILE%\Documents\GitHub\eaglep3\Utilities\RefineRTDCRunTimes.py" --tripid 146-01 --locoid 4057 --swversion DE.1.0.9.0 --startMP 204:232982 --initTime 2017-09-01T09:51:49 --startdatetime 2017-09-01T10:12:16 --delay 50 --endMP 204:129 --enddatetime 2017-09-01T10:50:41 --enforcementcount 0 &gt;&gt;C:\Users\stu\Documents\GitHub\eaglep3-reporting\EC\2017-09-01-refined-times.txt</v>
      </c>
      <c r="AI58" s="96" t="str">
        <f t="shared" si="19"/>
        <v>echo {"issue":{"subject":"","project_id":79,"tracker_id":40,"status_id":1,"priority_id":2,"assigned_to_id":338,"start_date":"2017-09-01","description":"","custom_fields":[{"id":1,"name":"Subdivision","value":"EC"},{"id":4,"name":"Milepost","value":"0.0129"},{"id":17,"name":"Train ID","value":"146-01"},{"id":16,"name":"Locomotive ID","value":"4057"},{"id":130,"name":"Impact","value":""},{"id":150,"name":"Time of Event (Mountain Time)","value":"10:50:41"},{"id":151,"name":"Denver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4057 --day 2017-09-01</v>
      </c>
      <c r="AN58" s="151" t="str">
        <f t="shared" si="2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16:50:41"},{"id":29,"name":"Sharepoint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597</v>
      </c>
      <c r="B59" s="7">
        <v>4026</v>
      </c>
      <c r="C59" s="21" t="s">
        <v>197</v>
      </c>
      <c r="D59" s="21" t="s">
        <v>366</v>
      </c>
      <c r="E59" s="13">
        <v>42979.391724537039</v>
      </c>
      <c r="F59" s="13">
        <v>42979.396041666667</v>
      </c>
      <c r="G59" s="7">
        <v>49</v>
      </c>
      <c r="H59" s="21" t="s">
        <v>543</v>
      </c>
      <c r="I59" s="13">
        <v>42979.422268518516</v>
      </c>
      <c r="J59" s="7">
        <v>0</v>
      </c>
      <c r="K59" s="89" t="str">
        <f t="shared" si="0"/>
        <v>4025/4026</v>
      </c>
      <c r="L59" s="214" t="str">
        <f>VLOOKUP(A59,'Trips&amp;Operators'!$C$1:$G$99911,5,FALSE)</f>
        <v>BONDS REYNALDO</v>
      </c>
      <c r="M59" s="6">
        <f t="shared" si="1"/>
        <v>2.622685184906004E-2</v>
      </c>
      <c r="N59" s="7">
        <f t="shared" si="2"/>
        <v>37.766666662646458</v>
      </c>
      <c r="O59" s="7"/>
      <c r="P59" s="7"/>
      <c r="Q59" s="22"/>
      <c r="R59" s="167"/>
      <c r="S59" s="210">
        <f t="shared" si="3"/>
        <v>1</v>
      </c>
      <c r="T59" s="192" t="str">
        <f t="shared" si="4"/>
        <v>NorthBound</v>
      </c>
      <c r="U59" s="192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3" t="str">
        <f t="shared" si="5"/>
        <v>https://d0f6bd738d7f1b3e5a7ca70fe4ff75f0.us-east-1.aws.found.io/app/kibana#/discover/Steve-Slow-Train-Analysis-(2080s-and-2083s)?_g=(refreshInterval:(display:Off,pause:!f,section:0,value:0),time:(from:'2017-09-01T08:24:05-0600',mode:absolute,to:'2017-09-01T11:08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9" s="194" t="str">
        <f>IF(AA59&lt;VLOOKUP(AG59,Variables!$AC$3:$AD$8,2,FALSE),"Y","N")</f>
        <v>N</v>
      </c>
      <c r="X59" s="194">
        <f t="shared" si="6"/>
        <v>1</v>
      </c>
      <c r="Y59" s="194">
        <f t="shared" si="7"/>
        <v>4.4900000000000002E-2</v>
      </c>
      <c r="Z59" s="194">
        <f t="shared" si="8"/>
        <v>23.336300000000001</v>
      </c>
      <c r="AA59" s="194">
        <f t="shared" si="9"/>
        <v>23.291400000000003</v>
      </c>
      <c r="AB59" s="54" t="e">
        <f>VLOOKUP(A59,Enforcements!$C$7:$K$11,8,0)</f>
        <v>#N/A</v>
      </c>
      <c r="AC59" s="51" t="e">
        <f>VLOOKUP(A59,Enforcements!$C$7:$E$11,3,0)</f>
        <v>#N/A</v>
      </c>
      <c r="AD59" s="203">
        <f t="shared" si="10"/>
        <v>147</v>
      </c>
      <c r="AE59" s="77" t="str">
        <f t="shared" si="11"/>
        <v>aws s3 cp s3://rtdc.mdm.uploadarchive.raw/RTDC4026/ "%USERPROFILE%\AppData\Local\Temp\OnboardLogs"\RTDC4026\2017-09-01 --exclude "*" --recursive --include "*20170901*" &amp; "%USERPROFILE%\Documents\GitHub\mrs-test-scripts\Headless Mode &amp; Sideloading\WalkAndUnGZ.bat" "%USERPROFILE%\AppData\Local\Temp\OnboardLogs"\RTDC4026\2017-09-01 &amp; aws s3 cp s3://rtdc.mdm.uploadarchive.raw/RTDC4026/ "%USERPROFILE%\AppData\Local\Temp\OnboardLogs"\RTDC4026\2017-09-02 --exclude "*" --recursive --include "*20170902*" &amp; "%USERPROFILE%\Documents\GitHub\mrs-test-scripts\Headless Mode &amp; Sideloading\WalkAndUnGZ.bat" "%USERPROFILE%\AppData\Local\Temp\OnboardLogs"\RTDC4026\2017-09-02</v>
      </c>
      <c r="AF59" s="74" t="str">
        <f t="shared" si="12"/>
        <v>"C:\Program Files (x86)\AstroGrep\AstroGrep.exe" /e /r /s /spath="%USERPROFILE%\AppData\Local\Temp\OnboardLogs" /stypes="app*4026*20170901*" /stext=" 16:.+((SYSTEM_STATE.+slice.+state.+changed )|(ment ac)|(multiple cpu faults)|(system.+state.+changed )|(\[timeout)|(PRM\|1\|D)|(kpr)|(kdp)|(train st.+moving)|(\|lc)|(penalty))"</v>
      </c>
      <c r="AG59" s="206" t="str">
        <f t="shared" si="13"/>
        <v>EC</v>
      </c>
      <c r="AH59" s="78" t="str">
        <f t="shared" si="18"/>
        <v>"%USERPROFILE%\Documents\GitHub\eaglep3\Utilities\RefineRTDCRunTimes.py" --tripid 147-01 --locoid 4026 --swversion DE.1.0.9.0 --startMP 204:449 --initTime 2017-09-01T09:24:05 --startdatetime 2017-09-01T09:30:18 --delay 49 --endMP 204:233363 --enddatetime 2017-09-01T10:08:04 --enforcementcount 0 &gt;&gt;C:\Users\stu\Documents\GitHub\eaglep3-reporting\EC\2017-09-01-refined-times.txt</v>
      </c>
      <c r="AI59" s="96" t="str">
        <f t="shared" si="19"/>
        <v>echo {"issue":{"subject":"","project_id":79,"tracker_id":40,"status_id":1,"priority_id":2,"assigned_to_id":338,"start_date":"2017-09-01","description":"","custom_fields":[{"id":1,"name":"Subdivision","value":"EC"},{"id":4,"name":"Milepost","value":"23.3363"},{"id":17,"name":"Train ID","value":"147-01"},{"id":16,"name":"Locomotive ID","value":"4026"},{"id":130,"name":"Impact","value":""},{"id":150,"name":"Time of Event (Mountain Time)","value":"10:08:04"},{"id":151,"name":"Denver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4026 --day 2017-09-01</v>
      </c>
      <c r="AN59" s="151" t="str">
        <f t="shared" si="2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16:08:04"},{"id":29,"name":"Sharepoint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697</v>
      </c>
      <c r="B60" s="7">
        <v>4025</v>
      </c>
      <c r="C60" s="21" t="s">
        <v>197</v>
      </c>
      <c r="D60" s="21" t="s">
        <v>851</v>
      </c>
      <c r="E60" s="13">
        <v>42979.432604166665</v>
      </c>
      <c r="F60" s="13">
        <v>42979.435694444444</v>
      </c>
      <c r="G60" s="7">
        <v>68</v>
      </c>
      <c r="H60" s="21" t="s">
        <v>340</v>
      </c>
      <c r="I60" s="13">
        <v>42979.462314814817</v>
      </c>
      <c r="J60" s="7">
        <v>0</v>
      </c>
      <c r="K60" s="89" t="str">
        <f t="shared" si="0"/>
        <v>4025/4026</v>
      </c>
      <c r="L60" s="214" t="str">
        <f>VLOOKUP(A60,'Trips&amp;Operators'!$C$1:$G$99911,5,FALSE)</f>
        <v>BONDS REYNALDO</v>
      </c>
      <c r="M60" s="6">
        <f t="shared" si="1"/>
        <v>2.662037037225673E-2</v>
      </c>
      <c r="N60" s="7">
        <f t="shared" si="2"/>
        <v>38.333333336049691</v>
      </c>
      <c r="O60" s="7"/>
      <c r="P60" s="7"/>
      <c r="Q60" s="22"/>
      <c r="R60" s="167"/>
      <c r="S60" s="210">
        <f t="shared" si="3"/>
        <v>1</v>
      </c>
      <c r="T60" s="192" t="str">
        <f t="shared" si="4"/>
        <v>Southbound</v>
      </c>
      <c r="U60" s="192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3" t="str">
        <f t="shared" si="5"/>
        <v>https://d0f6bd738d7f1b3e5a7ca70fe4ff75f0.us-east-1.aws.found.io/app/kibana#/discover/Steve-Slow-Train-Analysis-(2080s-and-2083s)?_g=(refreshInterval:(display:Off,pause:!f,section:0,value:0),time:(from:'2017-09-01T09:22:57-0600',mode:absolute,to:'2017-09-01T12:05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0" s="194" t="str">
        <f>IF(AA60&lt;VLOOKUP(AG60,Variables!$AC$3:$AD$8,2,FALSE),"Y","N")</f>
        <v>N</v>
      </c>
      <c r="X60" s="194">
        <f t="shared" si="6"/>
        <v>1</v>
      </c>
      <c r="Y60" s="194">
        <f t="shared" si="7"/>
        <v>23.305900000000001</v>
      </c>
      <c r="Z60" s="194">
        <f t="shared" si="8"/>
        <v>1.43E-2</v>
      </c>
      <c r="AA60" s="194">
        <f t="shared" si="9"/>
        <v>23.291600000000003</v>
      </c>
      <c r="AB60" s="54" t="e">
        <f>VLOOKUP(A60,Enforcements!$C$7:$K$11,8,0)</f>
        <v>#N/A</v>
      </c>
      <c r="AC60" s="51" t="e">
        <f>VLOOKUP(A60,Enforcements!$C$7:$E$11,3,0)</f>
        <v>#N/A</v>
      </c>
      <c r="AD60" s="203">
        <f t="shared" si="10"/>
        <v>148</v>
      </c>
      <c r="AE60" s="77" t="str">
        <f t="shared" si="11"/>
        <v>aws s3 cp s3://rtdc.mdm.uploadarchive.raw/RTDC4025/ "%USERPROFILE%\AppData\Local\Temp\OnboardLogs"\RTDC4025\2017-09-01 --exclude "*" --recursive --include "*20170901*" &amp; "%USERPROFILE%\Documents\GitHub\mrs-test-scripts\Headless Mode &amp; Sideloading\WalkAndUnGZ.bat" "%USERPROFILE%\AppData\Local\Temp\OnboardLogs"\RTDC4025\2017-09-01 &amp; aws s3 cp s3://rtdc.mdm.uploadarchive.raw/RTDC4025/ "%USERPROFILE%\AppData\Local\Temp\OnboardLogs"\RTDC4025\2017-09-02 --exclude "*" --recursive --include "*20170902*" &amp; "%USERPROFILE%\Documents\GitHub\mrs-test-scripts\Headless Mode &amp; Sideloading\WalkAndUnGZ.bat" "%USERPROFILE%\AppData\Local\Temp\OnboardLogs"\RTDC4025\2017-09-02</v>
      </c>
      <c r="AF60" s="74" t="str">
        <f t="shared" si="12"/>
        <v>"C:\Program Files (x86)\AstroGrep\AstroGrep.exe" /e /r /s /spath="%USERPROFILE%\AppData\Local\Temp\OnboardLogs" /stypes="app*4025*20170901*" /stext=" 17:.+((SYSTEM_STATE.+slice.+state.+changed )|(ment ac)|(multiple cpu faults)|(system.+state.+changed )|(\[timeout)|(PRM\|1\|D)|(kpr)|(kdp)|(train st.+moving)|(\|lc)|(penalty))"</v>
      </c>
      <c r="AG60" s="206" t="str">
        <f t="shared" si="13"/>
        <v>EC</v>
      </c>
      <c r="AH60" s="78" t="str">
        <f t="shared" si="18"/>
        <v>"%USERPROFILE%\Documents\GitHub\eaglep3\Utilities\RefineRTDCRunTimes.py" --tripid 148-01 --locoid 4025 --swversion DE.1.0.9.0 --startMP 204:233059 --initTime 2017-09-01T10:22:57 --startdatetime 2017-09-01T10:27:24 --delay 68 --endMP 204:143 --enddatetime 2017-09-01T11:05:44 --enforcementcount 0 &gt;&gt;C:\Users\stu\Documents\GitHub\eaglep3-reporting\EC\2017-09-01-refined-times.txt</v>
      </c>
      <c r="AI60" s="96" t="str">
        <f t="shared" si="19"/>
        <v>echo {"issue":{"subject":"","project_id":79,"tracker_id":40,"status_id":1,"priority_id":2,"assigned_to_id":338,"start_date":"2017-09-01","description":"","custom_fields":[{"id":1,"name":"Subdivision","value":"EC"},{"id":4,"name":"Milepost","value":"0.0143"},{"id":17,"name":"Train ID","value":"148-01"},{"id":16,"name":"Locomotive ID","value":"4025"},{"id":130,"name":"Impact","value":""},{"id":150,"name":"Time of Event (Mountain Time)","value":"11:05:44"},{"id":151,"name":"Denver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4025 --day 2017-09-01</v>
      </c>
      <c r="AN60" s="151" t="str">
        <f t="shared" si="2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17:05:44"},{"id":29,"name":"Sharepoint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690</v>
      </c>
      <c r="B61" s="7">
        <v>4012</v>
      </c>
      <c r="C61" s="21" t="s">
        <v>197</v>
      </c>
      <c r="D61" s="21" t="s">
        <v>367</v>
      </c>
      <c r="E61" s="13">
        <v>42979.402060185188</v>
      </c>
      <c r="F61" s="13">
        <v>42979.406458333331</v>
      </c>
      <c r="G61" s="7">
        <v>58</v>
      </c>
      <c r="H61" s="21" t="s">
        <v>852</v>
      </c>
      <c r="I61" s="13">
        <v>42979.430821759262</v>
      </c>
      <c r="J61" s="7">
        <v>0</v>
      </c>
      <c r="K61" s="89" t="str">
        <f t="shared" si="0"/>
        <v>4011/4012</v>
      </c>
      <c r="L61" s="214" t="str">
        <f>VLOOKUP(A61,'Trips&amp;Operators'!$C$1:$G$99911,5,FALSE)</f>
        <v>WEST BRYAN</v>
      </c>
      <c r="M61" s="6">
        <f t="shared" si="1"/>
        <v>2.436342593136942E-2</v>
      </c>
      <c r="N61" s="7">
        <f t="shared" si="2"/>
        <v>35.083333341171965</v>
      </c>
      <c r="O61" s="7"/>
      <c r="P61" s="7"/>
      <c r="Q61" s="22"/>
      <c r="R61" s="167"/>
      <c r="S61" s="210">
        <f t="shared" si="3"/>
        <v>1</v>
      </c>
      <c r="T61" s="192" t="str">
        <f t="shared" si="4"/>
        <v>NorthBound</v>
      </c>
      <c r="U61" s="192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3" t="str">
        <f t="shared" si="5"/>
        <v>https://d0f6bd738d7f1b3e5a7ca70fe4ff75f0.us-east-1.aws.found.io/app/kibana#/discover/Steve-Slow-Train-Analysis-(2080s-and-2083s)?_g=(refreshInterval:(display:Off,pause:!f,section:0,value:0),time:(from:'2017-09-01T08:38:58-0600',mode:absolute,to:'2017-09-01T11:20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1" s="194" t="str">
        <f>IF(AA61&lt;VLOOKUP(AG61,Variables!$AC$3:$AD$8,2,FALSE),"Y","N")</f>
        <v>N</v>
      </c>
      <c r="X61" s="194">
        <f t="shared" si="6"/>
        <v>1</v>
      </c>
      <c r="Y61" s="194">
        <f t="shared" si="7"/>
        <v>4.5699999999999998E-2</v>
      </c>
      <c r="Z61" s="194">
        <f t="shared" si="8"/>
        <v>23.328399999999998</v>
      </c>
      <c r="AA61" s="194">
        <f t="shared" si="9"/>
        <v>23.282699999999998</v>
      </c>
      <c r="AB61" s="54" t="e">
        <f>VLOOKUP(A61,Enforcements!$C$7:$K$11,8,0)</f>
        <v>#N/A</v>
      </c>
      <c r="AC61" s="51" t="e">
        <f>VLOOKUP(A61,Enforcements!$C$7:$E$11,3,0)</f>
        <v>#N/A</v>
      </c>
      <c r="AD61" s="203">
        <f t="shared" si="10"/>
        <v>149</v>
      </c>
      <c r="AE61" s="77" t="str">
        <f t="shared" si="11"/>
        <v>aws s3 cp s3://rtdc.mdm.uploadarchive.raw/RTDC4012/ "%USERPROFILE%\AppData\Local\Temp\OnboardLogs"\RTDC4012\2017-09-01 --exclude "*" --recursive --include "*20170901*" &amp; "%USERPROFILE%\Documents\GitHub\mrs-test-scripts\Headless Mode &amp; Sideloading\WalkAndUnGZ.bat" "%USERPROFILE%\AppData\Local\Temp\OnboardLogs"\RTDC4012\2017-09-01 &amp; aws s3 cp s3://rtdc.mdm.uploadarchive.raw/RTDC4012/ "%USERPROFILE%\AppData\Local\Temp\OnboardLogs"\RTDC4012\2017-09-02 --exclude "*" --recursive --include "*20170902*" &amp; "%USERPROFILE%\Documents\GitHub\mrs-test-scripts\Headless Mode &amp; Sideloading\WalkAndUnGZ.bat" "%USERPROFILE%\AppData\Local\Temp\OnboardLogs"\RTDC4012\2017-09-02</v>
      </c>
      <c r="AF61" s="74" t="str">
        <f t="shared" si="12"/>
        <v>"C:\Program Files (x86)\AstroGrep\AstroGrep.exe" /e /r /s /spath="%USERPROFILE%\AppData\Local\Temp\OnboardLogs" /stypes="app*4012*20170901*" /stext=" 16:.+((SYSTEM_STATE.+slice.+state.+changed )|(ment ac)|(multiple cpu faults)|(system.+state.+changed )|(\[timeout)|(PRM\|1\|D)|(kpr)|(kdp)|(train st.+moving)|(\|lc)|(penalty))"</v>
      </c>
      <c r="AG61" s="206" t="str">
        <f t="shared" si="13"/>
        <v>EC</v>
      </c>
      <c r="AH61" s="78" t="str">
        <f t="shared" si="18"/>
        <v>"%USERPROFILE%\Documents\GitHub\eaglep3\Utilities\RefineRTDCRunTimes.py" --tripid 149-01 --locoid 4012 --swversion DE.1.0.9.0 --startMP 204:457 --initTime 2017-09-01T09:38:58 --startdatetime 2017-09-01T09:45:18 --delay 58 --endMP 204:233284 --enddatetime 2017-09-01T10:20:23 --enforcementcount 0 &gt;&gt;C:\Users\stu\Documents\GitHub\eaglep3-reporting\EC\2017-09-01-refined-times.txt</v>
      </c>
      <c r="AI61" s="96" t="str">
        <f t="shared" si="19"/>
        <v>echo {"issue":{"subject":"","project_id":79,"tracker_id":40,"status_id":1,"priority_id":2,"assigned_to_id":338,"start_date":"2017-09-01","description":"","custom_fields":[{"id":1,"name":"Subdivision","value":"EC"},{"id":4,"name":"Milepost","value":"23.3284"},{"id":17,"name":"Train ID","value":"149-01"},{"id":16,"name":"Locomotive ID","value":"4012"},{"id":130,"name":"Impact","value":""},{"id":150,"name":"Time of Event (Mountain Time)","value":"10:20:23"},{"id":151,"name":"Denver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4012 --day 2017-09-01</v>
      </c>
      <c r="AN61" s="151" t="str">
        <f t="shared" si="2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16:20:23"},{"id":29,"name":"Sharepoint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696</v>
      </c>
      <c r="B62" s="7">
        <v>4011</v>
      </c>
      <c r="C62" s="21" t="s">
        <v>197</v>
      </c>
      <c r="D62" s="21" t="s">
        <v>467</v>
      </c>
      <c r="E62" s="13">
        <v>42979.432118055556</v>
      </c>
      <c r="F62" s="13">
        <v>42979.446076388886</v>
      </c>
      <c r="G62" s="7">
        <v>53</v>
      </c>
      <c r="H62" s="21" t="s">
        <v>382</v>
      </c>
      <c r="I62" s="13">
        <v>42979.472187500003</v>
      </c>
      <c r="J62" s="7">
        <v>0</v>
      </c>
      <c r="K62" s="89" t="str">
        <f t="shared" si="0"/>
        <v>4011/4012</v>
      </c>
      <c r="L62" s="214" t="str">
        <f>VLOOKUP(A62,'Trips&amp;Operators'!$C$1:$G$99911,5,FALSE)</f>
        <v>WEST BRYAN</v>
      </c>
      <c r="M62" s="6">
        <f t="shared" si="1"/>
        <v>2.6111111117643304E-2</v>
      </c>
      <c r="N62" s="7">
        <f t="shared" si="2"/>
        <v>37.600000009406358</v>
      </c>
      <c r="O62" s="7"/>
      <c r="P62" s="7"/>
      <c r="Q62" s="22"/>
      <c r="R62" s="167"/>
      <c r="S62" s="210">
        <f t="shared" si="3"/>
        <v>1</v>
      </c>
      <c r="T62" s="192" t="str">
        <f t="shared" si="4"/>
        <v>Southbound</v>
      </c>
      <c r="U62" s="192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3" t="str">
        <f t="shared" si="5"/>
        <v>https://d0f6bd738d7f1b3e5a7ca70fe4ff75f0.us-east-1.aws.found.io/app/kibana#/discover/Steve-Slow-Train-Analysis-(2080s-and-2083s)?_g=(refreshInterval:(display:Off,pause:!f,section:0,value:0),time:(from:'2017-09-01T09:22:15-0600',mode:absolute,to:'2017-09-01T12:19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2" s="194" t="str">
        <f>IF(AA62&lt;VLOOKUP(AG62,Variables!$AC$3:$AD$8,2,FALSE),"Y","N")</f>
        <v>N</v>
      </c>
      <c r="X62" s="194">
        <f t="shared" si="6"/>
        <v>1</v>
      </c>
      <c r="Y62" s="194">
        <f t="shared" si="7"/>
        <v>23.296500000000002</v>
      </c>
      <c r="Z62" s="194">
        <f t="shared" si="8"/>
        <v>1.5599999999999999E-2</v>
      </c>
      <c r="AA62" s="194">
        <f t="shared" si="9"/>
        <v>23.280900000000003</v>
      </c>
      <c r="AB62" s="54" t="e">
        <f>VLOOKUP(A62,Enforcements!$C$7:$K$11,8,0)</f>
        <v>#N/A</v>
      </c>
      <c r="AC62" s="51" t="e">
        <f>VLOOKUP(A62,Enforcements!$C$7:$E$11,3,0)</f>
        <v>#N/A</v>
      </c>
      <c r="AD62" s="203">
        <f t="shared" si="10"/>
        <v>150</v>
      </c>
      <c r="AE62" s="77" t="str">
        <f t="shared" si="11"/>
        <v>aws s3 cp s3://rtdc.mdm.uploadarchive.raw/RTDC4011/ "%USERPROFILE%\AppData\Local\Temp\OnboardLogs"\RTDC4011\2017-09-01 --exclude "*" --recursive --include "*20170901*" &amp; "%USERPROFILE%\Documents\GitHub\mrs-test-scripts\Headless Mode &amp; Sideloading\WalkAndUnGZ.bat" "%USERPROFILE%\AppData\Local\Temp\OnboardLogs"\RTDC4011\2017-09-01 &amp; aws s3 cp s3://rtdc.mdm.uploadarchive.raw/RTDC4011/ "%USERPROFILE%\AppData\Local\Temp\OnboardLogs"\RTDC4011\2017-09-02 --exclude "*" --recursive --include "*20170902*" &amp; "%USERPROFILE%\Documents\GitHub\mrs-test-scripts\Headless Mode &amp; Sideloading\WalkAndUnGZ.bat" "%USERPROFILE%\AppData\Local\Temp\OnboardLogs"\RTDC4011\2017-09-02</v>
      </c>
      <c r="AF62" s="74" t="str">
        <f t="shared" si="12"/>
        <v>"C:\Program Files (x86)\AstroGrep\AstroGrep.exe" /e /r /s /spath="%USERPROFILE%\AppData\Local\Temp\OnboardLogs" /stypes="app*4011*20170901*" /stext=" 17:.+((SYSTEM_STATE.+slice.+state.+changed )|(ment ac)|(multiple cpu faults)|(system.+state.+changed )|(\[timeout)|(PRM\|1\|D)|(kpr)|(kdp)|(train st.+moving)|(\|lc)|(penalty))"</v>
      </c>
      <c r="AG62" s="206" t="str">
        <f t="shared" si="13"/>
        <v>EC</v>
      </c>
      <c r="AH62" s="78" t="str">
        <f t="shared" si="18"/>
        <v>"%USERPROFILE%\Documents\GitHub\eaglep3\Utilities\RefineRTDCRunTimes.py" --tripid 150-01 --locoid 4011 --swversion DE.1.0.9.0 --startMP 204:232965 --initTime 2017-09-01T10:22:15 --startdatetime 2017-09-01T10:42:21 --delay 53 --endMP 204:156 --enddatetime 2017-09-01T11:19:57 --enforcementcount 0 &gt;&gt;C:\Users\stu\Documents\GitHub\eaglep3-reporting\EC\2017-09-01-refined-times.txt</v>
      </c>
      <c r="AI62" s="96" t="str">
        <f t="shared" si="19"/>
        <v>echo {"issue":{"subject":"","project_id":79,"tracker_id":40,"status_id":1,"priority_id":2,"assigned_to_id":338,"start_date":"2017-09-01","description":"","custom_fields":[{"id":1,"name":"Subdivision","value":"EC"},{"id":4,"name":"Milepost","value":"0.0156"},{"id":17,"name":"Train ID","value":"150-01"},{"id":16,"name":"Locomotive ID","value":"4011"},{"id":130,"name":"Impact","value":""},{"id":150,"name":"Time of Event (Mountain Time)","value":"11:19:57"},{"id":151,"name":"Denver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4011 --day 2017-09-01</v>
      </c>
      <c r="AN62" s="151" t="str">
        <f t="shared" si="2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17:19:57"},{"id":29,"name":"Sharepoint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693</v>
      </c>
      <c r="B63" s="7">
        <v>4006</v>
      </c>
      <c r="C63" s="21" t="s">
        <v>197</v>
      </c>
      <c r="D63" s="21" t="s">
        <v>493</v>
      </c>
      <c r="E63" s="13">
        <v>42979.412997685184</v>
      </c>
      <c r="F63" s="13">
        <v>42979.416817129626</v>
      </c>
      <c r="G63" s="7">
        <v>67</v>
      </c>
      <c r="H63" s="21" t="s">
        <v>550</v>
      </c>
      <c r="I63" s="13">
        <v>42979.44222222222</v>
      </c>
      <c r="J63" s="7">
        <v>0</v>
      </c>
      <c r="K63" s="89" t="str">
        <f t="shared" si="0"/>
        <v>4005/4006</v>
      </c>
      <c r="L63" s="214" t="str">
        <f>VLOOKUP(A63,'Trips&amp;Operators'!$C$1:$G$99911,5,FALSE)</f>
        <v>DAVIS WENDY</v>
      </c>
      <c r="M63" s="6">
        <f t="shared" si="1"/>
        <v>2.5405092594155576E-2</v>
      </c>
      <c r="N63" s="7">
        <f t="shared" si="2"/>
        <v>36.58333333558403</v>
      </c>
      <c r="O63" s="7"/>
      <c r="P63" s="7"/>
      <c r="Q63" s="22"/>
      <c r="R63" s="167"/>
      <c r="S63" s="210">
        <f t="shared" si="3"/>
        <v>1</v>
      </c>
      <c r="T63" s="192" t="str">
        <f t="shared" si="4"/>
        <v>NorthBound</v>
      </c>
      <c r="U63" s="192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3" t="str">
        <f t="shared" si="5"/>
        <v>https://d0f6bd738d7f1b3e5a7ca70fe4ff75f0.us-east-1.aws.found.io/app/kibana#/discover/Steve-Slow-Train-Analysis-(2080s-and-2083s)?_g=(refreshInterval:(display:Off,pause:!f,section:0,value:0),time:(from:'2017-09-01T08:54:43-0600',mode:absolute,to:'2017-09-01T11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3" s="194" t="str">
        <f>IF(AA63&lt;VLOOKUP(AG63,Variables!$AC$3:$AD$8,2,FALSE),"Y","N")</f>
        <v>N</v>
      </c>
      <c r="X63" s="194">
        <f t="shared" si="6"/>
        <v>1</v>
      </c>
      <c r="Y63" s="194">
        <f t="shared" si="7"/>
        <v>4.3999999999999997E-2</v>
      </c>
      <c r="Z63" s="194">
        <f t="shared" si="8"/>
        <v>23.331499999999998</v>
      </c>
      <c r="AA63" s="194">
        <f t="shared" si="9"/>
        <v>23.287499999999998</v>
      </c>
      <c r="AB63" s="54" t="e">
        <f>VLOOKUP(A63,Enforcements!$C$7:$K$11,8,0)</f>
        <v>#N/A</v>
      </c>
      <c r="AC63" s="51" t="e">
        <f>VLOOKUP(A63,Enforcements!$C$7:$E$11,3,0)</f>
        <v>#N/A</v>
      </c>
      <c r="AD63" s="203">
        <f t="shared" si="10"/>
        <v>151</v>
      </c>
      <c r="AE63" s="77" t="str">
        <f t="shared" si="11"/>
        <v>aws s3 cp s3://rtdc.mdm.uploadarchive.raw/RTDC4006/ "%USERPROFILE%\AppData\Local\Temp\OnboardLogs"\RTDC4006\2017-09-01 --exclude "*" --recursive --include "*20170901*" &amp; "%USERPROFILE%\Documents\GitHub\mrs-test-scripts\Headless Mode &amp; Sideloading\WalkAndUnGZ.bat" "%USERPROFILE%\AppData\Local\Temp\OnboardLogs"\RTDC4006\2017-09-01 &amp; aws s3 cp s3://rtdc.mdm.uploadarchive.raw/RTDC4006/ "%USERPROFILE%\AppData\Local\Temp\OnboardLogs"\RTDC4006\2017-09-02 --exclude "*" --recursive --include "*20170902*" &amp; "%USERPROFILE%\Documents\GitHub\mrs-test-scripts\Headless Mode &amp; Sideloading\WalkAndUnGZ.bat" "%USERPROFILE%\AppData\Local\Temp\OnboardLogs"\RTDC4006\2017-09-02</v>
      </c>
      <c r="AF63" s="74" t="str">
        <f t="shared" si="12"/>
        <v>"C:\Program Files (x86)\AstroGrep\AstroGrep.exe" /e /r /s /spath="%USERPROFILE%\AppData\Local\Temp\OnboardLogs" /stypes="app*4006*20170901*" /stext=" 16:.+((SYSTEM_STATE.+slice.+state.+changed )|(ment ac)|(multiple cpu faults)|(system.+state.+changed )|(\[timeout)|(PRM\|1\|D)|(kpr)|(kdp)|(train st.+moving)|(\|lc)|(penalty))"</v>
      </c>
      <c r="AG63" s="206" t="str">
        <f t="shared" si="13"/>
        <v>EC</v>
      </c>
      <c r="AH63" s="78" t="str">
        <f t="shared" si="18"/>
        <v>"%USERPROFILE%\Documents\GitHub\eaglep3\Utilities\RefineRTDCRunTimes.py" --tripid 151-01 --locoid 4006 --swversion DE.1.0.9.0 --startMP 204:440 --initTime 2017-09-01T09:54:43 --startdatetime 2017-09-01T10:00:13 --delay 67 --endMP 204:233315 --enddatetime 2017-09-01T10:36:48 --enforcementcount 0 &gt;&gt;C:\Users\stu\Documents\GitHub\eaglep3-reporting\EC\2017-09-01-refined-times.txt</v>
      </c>
      <c r="AI63" s="96" t="str">
        <f t="shared" si="19"/>
        <v>echo {"issue":{"subject":"","project_id":79,"tracker_id":40,"status_id":1,"priority_id":2,"assigned_to_id":338,"start_date":"2017-09-01","description":"","custom_fields":[{"id":1,"name":"Subdivision","value":"EC"},{"id":4,"name":"Milepost","value":"23.3315"},{"id":17,"name":"Train ID","value":"151-01"},{"id":16,"name":"Locomotive ID","value":"4006"},{"id":130,"name":"Impact","value":""},{"id":150,"name":"Time of Event (Mountain Time)","value":"10:36:48"},{"id":151,"name":"Denver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4006 --day 2017-09-01</v>
      </c>
      <c r="AN63" s="151" t="str">
        <f t="shared" si="2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16:36:48"},{"id":29,"name":"Sharepoint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701</v>
      </c>
      <c r="B64" s="7">
        <v>4005</v>
      </c>
      <c r="C64" s="21" t="s">
        <v>197</v>
      </c>
      <c r="D64" s="21" t="s">
        <v>434</v>
      </c>
      <c r="E64" s="13">
        <v>42979.454386574071</v>
      </c>
      <c r="F64" s="13">
        <v>42979.456435185188</v>
      </c>
      <c r="G64" s="7">
        <v>58</v>
      </c>
      <c r="H64" s="21" t="s">
        <v>338</v>
      </c>
      <c r="I64" s="13">
        <v>42979.483263888891</v>
      </c>
      <c r="J64" s="7">
        <v>0</v>
      </c>
      <c r="K64" s="89" t="str">
        <f t="shared" si="0"/>
        <v>4005/4006</v>
      </c>
      <c r="L64" s="214" t="str">
        <f>VLOOKUP(A64,'Trips&amp;Operators'!$C$1:$G$99911,5,FALSE)</f>
        <v>DAVIS WENDY</v>
      </c>
      <c r="M64" s="6">
        <f t="shared" si="1"/>
        <v>2.6828703703358769E-2</v>
      </c>
      <c r="N64" s="7">
        <f t="shared" si="2"/>
        <v>38.633333332836628</v>
      </c>
      <c r="O64" s="7"/>
      <c r="P64" s="7"/>
      <c r="Q64" s="22"/>
      <c r="R64" s="167"/>
      <c r="S64" s="210">
        <f t="shared" si="3"/>
        <v>1</v>
      </c>
      <c r="T64" s="192" t="str">
        <f t="shared" si="4"/>
        <v>Southbound</v>
      </c>
      <c r="U64" s="192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3" t="str">
        <f t="shared" si="5"/>
        <v>https://d0f6bd738d7f1b3e5a7ca70fe4ff75f0.us-east-1.aws.found.io/app/kibana#/discover/Steve-Slow-Train-Analysis-(2080s-and-2083s)?_g=(refreshInterval:(display:Off,pause:!f,section:0,value:0),time:(from:'2017-09-01T09:54:19-0600',mode:absolute,to:'2017-09-01T12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4" s="194" t="str">
        <f>IF(AA64&lt;VLOOKUP(AG64,Variables!$AC$3:$AD$8,2,FALSE),"Y","N")</f>
        <v>N</v>
      </c>
      <c r="X64" s="194">
        <f t="shared" si="6"/>
        <v>1</v>
      </c>
      <c r="Y64" s="194">
        <f t="shared" si="7"/>
        <v>23.299299999999999</v>
      </c>
      <c r="Z64" s="194">
        <f t="shared" si="8"/>
        <v>1.4999999999999999E-2</v>
      </c>
      <c r="AA64" s="194">
        <f t="shared" si="9"/>
        <v>23.284299999999998</v>
      </c>
      <c r="AB64" s="54" t="e">
        <f>VLOOKUP(A64,Enforcements!$C$7:$K$11,8,0)</f>
        <v>#N/A</v>
      </c>
      <c r="AC64" s="51" t="e">
        <f>VLOOKUP(A64,Enforcements!$C$7:$E$11,3,0)</f>
        <v>#N/A</v>
      </c>
      <c r="AD64" s="203">
        <f t="shared" si="10"/>
        <v>152</v>
      </c>
      <c r="AE64" s="77" t="str">
        <f t="shared" si="11"/>
        <v>aws s3 cp s3://rtdc.mdm.uploadarchive.raw/RTDC4005/ "%USERPROFILE%\AppData\Local\Temp\OnboardLogs"\RTDC4005\2017-09-01 --exclude "*" --recursive --include "*20170901*" &amp; "%USERPROFILE%\Documents\GitHub\mrs-test-scripts\Headless Mode &amp; Sideloading\WalkAndUnGZ.bat" "%USERPROFILE%\AppData\Local\Temp\OnboardLogs"\RTDC4005\2017-09-01 &amp; aws s3 cp s3://rtdc.mdm.uploadarchive.raw/RTDC4005/ "%USERPROFILE%\AppData\Local\Temp\OnboardLogs"\RTDC4005\2017-09-02 --exclude "*" --recursive --include "*20170902*" &amp; "%USERPROFILE%\Documents\GitHub\mrs-test-scripts\Headless Mode &amp; Sideloading\WalkAndUnGZ.bat" "%USERPROFILE%\AppData\Local\Temp\OnboardLogs"\RTDC4005\2017-09-02</v>
      </c>
      <c r="AF64" s="74" t="str">
        <f t="shared" si="12"/>
        <v>"C:\Program Files (x86)\AstroGrep\AstroGrep.exe" /e /r /s /spath="%USERPROFILE%\AppData\Local\Temp\OnboardLogs" /stypes="app*4005*20170901*" /stext=" 17:.+((SYSTEM_STATE.+slice.+state.+changed )|(ment ac)|(multiple cpu faults)|(system.+state.+changed )|(\[timeout)|(PRM\|1\|D)|(kpr)|(kdp)|(train st.+moving)|(\|lc)|(penalty))"</v>
      </c>
      <c r="AG64" s="206" t="str">
        <f t="shared" si="13"/>
        <v>EC</v>
      </c>
      <c r="AH64" s="78" t="str">
        <f t="shared" si="18"/>
        <v>"%USERPROFILE%\Documents\GitHub\eaglep3\Utilities\RefineRTDCRunTimes.py" --tripid 152-01 --locoid 4005 --swversion DE.1.0.9.0 --startMP 204:232993 --initTime 2017-09-01T10:54:19 --startdatetime 2017-09-01T10:57:16 --delay 58 --endMP 204:150 --enddatetime 2017-09-01T11:35:54 --enforcementcount 0 &gt;&gt;C:\Users\stu\Documents\GitHub\eaglep3-reporting\EC\2017-09-01-refined-times.txt</v>
      </c>
      <c r="AI64" s="96" t="str">
        <f t="shared" si="19"/>
        <v>echo {"issue":{"subject":"","project_id":79,"tracker_id":40,"status_id":1,"priority_id":2,"assigned_to_id":338,"start_date":"2017-09-01","description":"","custom_fields":[{"id":1,"name":"Subdivision","value":"EC"},{"id":4,"name":"Milepost","value":"0.015"},{"id":17,"name":"Train ID","value":"152-01"},{"id":16,"name":"Locomotive ID","value":"4005"},{"id":130,"name":"Impact","value":""},{"id":150,"name":"Time of Event (Mountain Time)","value":"11:35:54"},{"id":151,"name":"Denver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4005 --day 2017-09-01</v>
      </c>
      <c r="AN64" s="151" t="str">
        <f t="shared" si="2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17:35:54"},{"id":29,"name":"Sharepoint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695</v>
      </c>
      <c r="B65" s="7">
        <v>4040</v>
      </c>
      <c r="C65" s="21" t="s">
        <v>197</v>
      </c>
      <c r="D65" s="21" t="s">
        <v>370</v>
      </c>
      <c r="E65" s="13">
        <v>42979.421412037038</v>
      </c>
      <c r="F65" s="13">
        <v>42979.427361111113</v>
      </c>
      <c r="G65" s="7">
        <v>73</v>
      </c>
      <c r="H65" s="21" t="s">
        <v>853</v>
      </c>
      <c r="I65" s="13">
        <v>42979.452048611114</v>
      </c>
      <c r="J65" s="7">
        <v>0</v>
      </c>
      <c r="K65" s="89" t="str">
        <f t="shared" si="0"/>
        <v>4039/4040</v>
      </c>
      <c r="L65" s="214" t="str">
        <f>VLOOKUP(A65,'Trips&amp;Operators'!$C$1:$G$99911,5,FALSE)</f>
        <v>WILLIAMS DONTE</v>
      </c>
      <c r="M65" s="6">
        <f t="shared" si="1"/>
        <v>2.4687500001164153E-2</v>
      </c>
      <c r="N65" s="7">
        <f t="shared" si="2"/>
        <v>35.550000001676381</v>
      </c>
      <c r="O65" s="7"/>
      <c r="P65" s="7"/>
      <c r="Q65" s="22"/>
      <c r="R65" s="167"/>
      <c r="S65" s="210">
        <f t="shared" si="3"/>
        <v>1</v>
      </c>
      <c r="T65" s="192" t="str">
        <f t="shared" si="4"/>
        <v>NorthBound</v>
      </c>
      <c r="U65" s="192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3" t="str">
        <f t="shared" si="5"/>
        <v>https://d0f6bd738d7f1b3e5a7ca70fe4ff75f0.us-east-1.aws.found.io/app/kibana#/discover/Steve-Slow-Train-Analysis-(2080s-and-2083s)?_g=(refreshInterval:(display:Off,pause:!f,section:0,value:0),time:(from:'2017-09-01T09:06:50-0600',mode:absolute,to:'2017-09-01T11:50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5" s="194" t="str">
        <f>IF(AA65&lt;VLOOKUP(AG65,Variables!$AC$3:$AD$8,2,FALSE),"Y","N")</f>
        <v>N</v>
      </c>
      <c r="X65" s="194">
        <f t="shared" si="6"/>
        <v>1</v>
      </c>
      <c r="Y65" s="194">
        <f t="shared" si="7"/>
        <v>4.6399999999999997E-2</v>
      </c>
      <c r="Z65" s="194">
        <f t="shared" si="8"/>
        <v>23.325900000000001</v>
      </c>
      <c r="AA65" s="194">
        <f t="shared" si="9"/>
        <v>23.279500000000002</v>
      </c>
      <c r="AB65" s="54" t="e">
        <f>VLOOKUP(A65,Enforcements!$C$7:$K$11,8,0)</f>
        <v>#N/A</v>
      </c>
      <c r="AC65" s="51" t="e">
        <f>VLOOKUP(A65,Enforcements!$C$7:$E$11,3,0)</f>
        <v>#N/A</v>
      </c>
      <c r="AD65" s="203">
        <f t="shared" si="10"/>
        <v>153</v>
      </c>
      <c r="AE65" s="77" t="str">
        <f t="shared" si="11"/>
        <v>aws s3 cp s3://rtdc.mdm.uploadarchive.raw/RTDC4040/ "%USERPROFILE%\AppData\Local\Temp\OnboardLogs"\RTDC4040\2017-09-01 --exclude "*" --recursive --include "*20170901*" &amp; "%USERPROFILE%\Documents\GitHub\mrs-test-scripts\Headless Mode &amp; Sideloading\WalkAndUnGZ.bat" "%USERPROFILE%\AppData\Local\Temp\OnboardLogs"\RTDC4040\2017-09-01 &amp; aws s3 cp s3://rtdc.mdm.uploadarchive.raw/RTDC4040/ "%USERPROFILE%\AppData\Local\Temp\OnboardLogs"\RTDC4040\2017-09-02 --exclude "*" --recursive --include "*20170902*" &amp; "%USERPROFILE%\Documents\GitHub\mrs-test-scripts\Headless Mode &amp; Sideloading\WalkAndUnGZ.bat" "%USERPROFILE%\AppData\Local\Temp\OnboardLogs"\RTDC4040\2017-09-02</v>
      </c>
      <c r="AF65" s="74" t="str">
        <f t="shared" si="12"/>
        <v>"C:\Program Files (x86)\AstroGrep\AstroGrep.exe" /e /r /s /spath="%USERPROFILE%\AppData\Local\Temp\OnboardLogs" /stypes="app*4040*20170901*" /stext=" 16:.+((SYSTEM_STATE.+slice.+state.+changed )|(ment ac)|(multiple cpu faults)|(system.+state.+changed )|(\[timeout)|(PRM\|1\|D)|(kpr)|(kdp)|(train st.+moving)|(\|lc)|(penalty))"</v>
      </c>
      <c r="AG65" s="206" t="str">
        <f t="shared" si="13"/>
        <v>EC</v>
      </c>
      <c r="AH65" s="78" t="str">
        <f t="shared" si="18"/>
        <v>"%USERPROFILE%\Documents\GitHub\eaglep3\Utilities\RefineRTDCRunTimes.py" --tripid 153-01 --locoid 4040 --swversion DE.1.0.9.0 --startMP 204:464 --initTime 2017-09-01T10:06:50 --startdatetime 2017-09-01T10:15:24 --delay 73 --endMP 204:233259 --enddatetime 2017-09-01T10:50:57 --enforcementcount 0 &gt;&gt;C:\Users\stu\Documents\GitHub\eaglep3-reporting\EC\2017-09-01-refined-times.txt</v>
      </c>
      <c r="AI65" s="96" t="str">
        <f t="shared" si="19"/>
        <v>echo {"issue":{"subject":"","project_id":79,"tracker_id":40,"status_id":1,"priority_id":2,"assigned_to_id":338,"start_date":"2017-09-01","description":"","custom_fields":[{"id":1,"name":"Subdivision","value":"EC"},{"id":4,"name":"Milepost","value":"23.3259"},{"id":17,"name":"Train ID","value":"153-01"},{"id":16,"name":"Locomotive ID","value":"4040"},{"id":130,"name":"Impact","value":""},{"id":150,"name":"Time of Event (Mountain Time)","value":"10:50:57"},{"id":151,"name":"Denver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4040 --day 2017-09-01</v>
      </c>
      <c r="AN65" s="151" t="str">
        <f t="shared" si="2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16:50:57"},{"id":29,"name":"Sharepoint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704</v>
      </c>
      <c r="B66" s="7">
        <v>4039</v>
      </c>
      <c r="C66" s="21" t="s">
        <v>197</v>
      </c>
      <c r="D66" s="21" t="s">
        <v>352</v>
      </c>
      <c r="E66" s="13">
        <v>42979.463287037041</v>
      </c>
      <c r="F66" s="13">
        <v>42979.466921296298</v>
      </c>
      <c r="G66" s="7">
        <v>99</v>
      </c>
      <c r="H66" s="21" t="s">
        <v>546</v>
      </c>
      <c r="I66" s="13">
        <v>42979.493576388886</v>
      </c>
      <c r="J66" s="7">
        <v>0</v>
      </c>
      <c r="K66" s="89" t="str">
        <f t="shared" si="0"/>
        <v>4039/4040</v>
      </c>
      <c r="L66" s="214" t="str">
        <f>VLOOKUP(A66,'Trips&amp;Operators'!$C$1:$G$99911,5,FALSE)</f>
        <v>WILLIAMS DONTE</v>
      </c>
      <c r="M66" s="6">
        <f t="shared" si="1"/>
        <v>2.6655092588043772E-2</v>
      </c>
      <c r="N66" s="7">
        <f t="shared" si="2"/>
        <v>38.383333326783031</v>
      </c>
      <c r="O66" s="7"/>
      <c r="P66" s="7"/>
      <c r="Q66" s="22"/>
      <c r="R66" s="167"/>
      <c r="S66" s="210">
        <f t="shared" si="3"/>
        <v>1</v>
      </c>
      <c r="T66" s="192" t="str">
        <f t="shared" si="4"/>
        <v>Southbound</v>
      </c>
      <c r="U66" s="192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3" t="str">
        <f t="shared" si="5"/>
        <v>https://d0f6bd738d7f1b3e5a7ca70fe4ff75f0.us-east-1.aws.found.io/app/kibana#/discover/Steve-Slow-Train-Analysis-(2080s-and-2083s)?_g=(refreshInterval:(display:Off,pause:!f,section:0,value:0),time:(from:'2017-09-01T10:07:08-0600',mode:absolute,to:'2017-09-01T12:50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6" s="194" t="str">
        <f>IF(AA66&lt;VLOOKUP(AG66,Variables!$AC$3:$AD$8,2,FALSE),"Y","N")</f>
        <v>N</v>
      </c>
      <c r="X66" s="194">
        <f t="shared" si="6"/>
        <v>1</v>
      </c>
      <c r="Y66" s="194">
        <f t="shared" si="7"/>
        <v>23.299600000000002</v>
      </c>
      <c r="Z66" s="194">
        <f t="shared" si="8"/>
        <v>1.5800000000000002E-2</v>
      </c>
      <c r="AA66" s="194">
        <f t="shared" si="9"/>
        <v>23.283800000000003</v>
      </c>
      <c r="AB66" s="54" t="e">
        <f>VLOOKUP(A66,Enforcements!$C$7:$K$11,8,0)</f>
        <v>#N/A</v>
      </c>
      <c r="AC66" s="51" t="e">
        <f>VLOOKUP(A66,Enforcements!$C$7:$E$11,3,0)</f>
        <v>#N/A</v>
      </c>
      <c r="AD66" s="203">
        <f t="shared" si="10"/>
        <v>154</v>
      </c>
      <c r="AE66" s="77" t="str">
        <f t="shared" si="11"/>
        <v>aws s3 cp s3://rtdc.mdm.uploadarchive.raw/RTDC4039/ "%USERPROFILE%\AppData\Local\Temp\OnboardLogs"\RTDC4039\2017-09-01 --exclude "*" --recursive --include "*20170901*" &amp; "%USERPROFILE%\Documents\GitHub\mrs-test-scripts\Headless Mode &amp; Sideloading\WalkAndUnGZ.bat" "%USERPROFILE%\AppData\Local\Temp\OnboardLogs"\RTDC4039\2017-09-01 &amp; aws s3 cp s3://rtdc.mdm.uploadarchive.raw/RTDC4039/ "%USERPROFILE%\AppData\Local\Temp\OnboardLogs"\RTDC4039\2017-09-02 --exclude "*" --recursive --include "*20170902*" &amp; "%USERPROFILE%\Documents\GitHub\mrs-test-scripts\Headless Mode &amp; Sideloading\WalkAndUnGZ.bat" "%USERPROFILE%\AppData\Local\Temp\OnboardLogs"\RTDC4039\2017-09-02</v>
      </c>
      <c r="AF66" s="74" t="str">
        <f t="shared" si="12"/>
        <v>"C:\Program Files (x86)\AstroGrep\AstroGrep.exe" /e /r /s /spath="%USERPROFILE%\AppData\Local\Temp\OnboardLogs" /stypes="app*4039*20170901*" /stext=" 17:.+((SYSTEM_STATE.+slice.+state.+changed )|(ment ac)|(multiple cpu faults)|(system.+state.+changed )|(\[timeout)|(PRM\|1\|D)|(kpr)|(kdp)|(train st.+moving)|(\|lc)|(penalty))"</v>
      </c>
      <c r="AG66" s="206" t="str">
        <f t="shared" si="13"/>
        <v>EC</v>
      </c>
      <c r="AH66" s="78" t="str">
        <f t="shared" si="18"/>
        <v>"%USERPROFILE%\Documents\GitHub\eaglep3\Utilities\RefineRTDCRunTimes.py" --tripid 154-01 --locoid 4039 --swversion DE.1.0.9.0 --startMP 204:232996 --initTime 2017-09-01T11:07:08 --startdatetime 2017-09-01T11:12:22 --delay 99 --endMP 204:158 --enddatetime 2017-09-01T11:50:45 --enforcementcount 0 &gt;&gt;C:\Users\stu\Documents\GitHub\eaglep3-reporting\EC\2017-09-01-refined-times.txt</v>
      </c>
      <c r="AI66" s="96" t="str">
        <f t="shared" si="19"/>
        <v>echo {"issue":{"subject":"","project_id":79,"tracker_id":40,"status_id":1,"priority_id":2,"assigned_to_id":338,"start_date":"2017-09-01","description":"","custom_fields":[{"id":1,"name":"Subdivision","value":"EC"},{"id":4,"name":"Milepost","value":"0.0158"},{"id":17,"name":"Train ID","value":"154-01"},{"id":16,"name":"Locomotive ID","value":"4039"},{"id":130,"name":"Impact","value":""},{"id":150,"name":"Time of Event (Mountain Time)","value":"11:50:45"},{"id":151,"name":"Denver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4039 --day 2017-09-01</v>
      </c>
      <c r="AN66" s="151" t="str">
        <f t="shared" si="2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17:50:45"},{"id":29,"name":"Sharepoint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699</v>
      </c>
      <c r="B67" s="7">
        <v>4024</v>
      </c>
      <c r="C67" s="21" t="s">
        <v>197</v>
      </c>
      <c r="D67" s="21" t="s">
        <v>490</v>
      </c>
      <c r="E67" s="13">
        <v>42979.434074074074</v>
      </c>
      <c r="F67" s="13">
        <v>42979.437731481485</v>
      </c>
      <c r="G67" s="7">
        <v>56</v>
      </c>
      <c r="H67" s="21" t="s">
        <v>380</v>
      </c>
      <c r="I67" s="13">
        <v>42979.462881944448</v>
      </c>
      <c r="J67" s="7">
        <v>0</v>
      </c>
      <c r="K67" s="89" t="str">
        <f t="shared" si="0"/>
        <v>4023/4024</v>
      </c>
      <c r="L67" s="214" t="str">
        <f>VLOOKUP(A67,'Trips&amp;Operators'!$C$1:$G$99911,5,FALSE)</f>
        <v>MACDONALD THOMAS</v>
      </c>
      <c r="M67" s="6">
        <f t="shared" si="1"/>
        <v>2.5150462963210884E-2</v>
      </c>
      <c r="N67" s="7">
        <f t="shared" si="2"/>
        <v>36.216666667023674</v>
      </c>
      <c r="O67" s="7"/>
      <c r="P67" s="7"/>
      <c r="Q67" s="22"/>
      <c r="R67" s="167"/>
      <c r="S67" s="210">
        <f t="shared" si="3"/>
        <v>1</v>
      </c>
      <c r="T67" s="192" t="str">
        <f t="shared" si="4"/>
        <v>NorthBound</v>
      </c>
      <c r="U67" s="192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3" t="str">
        <f t="shared" si="5"/>
        <v>https://d0f6bd738d7f1b3e5a7ca70fe4ff75f0.us-east-1.aws.found.io/app/kibana#/discover/Steve-Slow-Train-Analysis-(2080s-and-2083s)?_g=(refreshInterval:(display:Off,pause:!f,section:0,value:0),time:(from:'2017-09-01T09:25:04-0600',mode:absolute,to:'2017-09-01T12:06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67" s="194" t="str">
        <f>IF(AA67&lt;VLOOKUP(AG67,Variables!$AC$3:$AD$8,2,FALSE),"Y","N")</f>
        <v>N</v>
      </c>
      <c r="X67" s="194">
        <f t="shared" si="6"/>
        <v>1</v>
      </c>
      <c r="Y67" s="194">
        <f t="shared" si="7"/>
        <v>4.5999999999999999E-2</v>
      </c>
      <c r="Z67" s="194">
        <f t="shared" si="8"/>
        <v>23.3293</v>
      </c>
      <c r="AA67" s="194">
        <f t="shared" si="9"/>
        <v>23.283300000000001</v>
      </c>
      <c r="AB67" s="54" t="e">
        <f>VLOOKUP(A67,Enforcements!$C$7:$K$11,8,0)</f>
        <v>#N/A</v>
      </c>
      <c r="AC67" s="51" t="e">
        <f>VLOOKUP(A67,Enforcements!$C$7:$E$11,3,0)</f>
        <v>#N/A</v>
      </c>
      <c r="AD67" s="203">
        <f t="shared" si="10"/>
        <v>155</v>
      </c>
      <c r="AE67" s="77" t="str">
        <f t="shared" si="11"/>
        <v>aws s3 cp s3://rtdc.mdm.uploadarchive.raw/RTDC4024/ "%USERPROFILE%\AppData\Local\Temp\OnboardLogs"\RTDC4024\2017-09-01 --exclude "*" --recursive --include "*20170901*" &amp; "%USERPROFILE%\Documents\GitHub\mrs-test-scripts\Headless Mode &amp; Sideloading\WalkAndUnGZ.bat" "%USERPROFILE%\AppData\Local\Temp\OnboardLogs"\RTDC4024\2017-09-01 &amp; aws s3 cp s3://rtdc.mdm.uploadarchive.raw/RTDC4024/ "%USERPROFILE%\AppData\Local\Temp\OnboardLogs"\RTDC4024\2017-09-02 --exclude "*" --recursive --include "*20170902*" &amp; "%USERPROFILE%\Documents\GitHub\mrs-test-scripts\Headless Mode &amp; Sideloading\WalkAndUnGZ.bat" "%USERPROFILE%\AppData\Local\Temp\OnboardLogs"\RTDC4024\2017-09-02</v>
      </c>
      <c r="AF67" s="74" t="str">
        <f t="shared" si="12"/>
        <v>"C:\Program Files (x86)\AstroGrep\AstroGrep.exe" /e /r /s /spath="%USERPROFILE%\AppData\Local\Temp\OnboardLogs" /stypes="app*4024*20170901*" /stext=" 17:.+((SYSTEM_STATE.+slice.+state.+changed )|(ment ac)|(multiple cpu faults)|(system.+state.+changed )|(\[timeout)|(PRM\|1\|D)|(kpr)|(kdp)|(train st.+moving)|(\|lc)|(penalty))"</v>
      </c>
      <c r="AG67" s="206" t="str">
        <f t="shared" si="13"/>
        <v>EC</v>
      </c>
      <c r="AH67" s="78" t="str">
        <f t="shared" si="18"/>
        <v>"%USERPROFILE%\Documents\GitHub\eaglep3\Utilities\RefineRTDCRunTimes.py" --tripid 155-01 --locoid 4024 --swversion DE.1.0.9.0 --startMP 204:460 --initTime 2017-09-01T10:25:04 --startdatetime 2017-09-01T10:30:20 --delay 56 --endMP 204:233293 --enddatetime 2017-09-01T11:06:33 --enforcementcount 0 &gt;&gt;C:\Users\stu\Documents\GitHub\eaglep3-reporting\EC\2017-09-01-refined-times.txt</v>
      </c>
      <c r="AI67" s="96" t="str">
        <f t="shared" si="19"/>
        <v>echo {"issue":{"subject":"","project_id":79,"tracker_id":40,"status_id":1,"priority_id":2,"assigned_to_id":338,"start_date":"2017-09-01","description":"","custom_fields":[{"id":1,"name":"Subdivision","value":"EC"},{"id":4,"name":"Milepost","value":"23.3293"},{"id":17,"name":"Train ID","value":"155-01"},{"id":16,"name":"Locomotive ID","value":"4024"},{"id":130,"name":"Impact","value":""},{"id":150,"name":"Time of Event (Mountain Time)","value":"11:06:33"},{"id":151,"name":"Denver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4024 --day 2017-09-01</v>
      </c>
      <c r="AN67" s="151" t="str">
        <f t="shared" si="2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17:06:33"},{"id":29,"name":"Sharepoint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709</v>
      </c>
      <c r="B68" s="7">
        <v>4023</v>
      </c>
      <c r="C68" s="21" t="s">
        <v>197</v>
      </c>
      <c r="D68" s="21" t="s">
        <v>393</v>
      </c>
      <c r="E68" s="13">
        <v>42979.475162037037</v>
      </c>
      <c r="F68" s="13">
        <v>42979.489293981482</v>
      </c>
      <c r="G68" s="7">
        <v>147</v>
      </c>
      <c r="H68" s="21" t="s">
        <v>854</v>
      </c>
      <c r="I68" s="13">
        <v>42979.507303240738</v>
      </c>
      <c r="J68" s="7">
        <v>0</v>
      </c>
      <c r="K68" s="89" t="str">
        <f t="shared" si="0"/>
        <v>4023/4024</v>
      </c>
      <c r="L68" s="214" t="str">
        <f>VLOOKUP(A68,'Trips&amp;Operators'!$C$1:$G$99911,5,FALSE)</f>
        <v>MACDONALD THOMAS</v>
      </c>
      <c r="M68" s="6">
        <f t="shared" si="1"/>
        <v>1.8009259256359655E-2</v>
      </c>
      <c r="N68" s="7"/>
      <c r="O68" s="7"/>
      <c r="P68" s="7">
        <f t="shared" si="2"/>
        <v>25.933333329157904</v>
      </c>
      <c r="Q68" s="22"/>
      <c r="R68" s="167" t="s">
        <v>987</v>
      </c>
      <c r="S68" s="210">
        <f>1/IF(AG68="EC",12,1)*SUM(U68:U69)</f>
        <v>1</v>
      </c>
      <c r="T68" s="192" t="str">
        <f t="shared" si="4"/>
        <v>Southbound</v>
      </c>
      <c r="U68" s="192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0</v>
      </c>
      <c r="V68" s="193" t="str">
        <f t="shared" si="5"/>
        <v>https://d0f6bd738d7f1b3e5a7ca70fe4ff75f0.us-east-1.aws.found.io/app/kibana#/discover/Steve-Slow-Train-Analysis-(2080s-and-2083s)?_g=(refreshInterval:(display:Off,pause:!f,section:0,value:0),time:(from:'2017-09-01T10:24:14-0600',mode:absolute,to:'2017-09-01T13:10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68" s="194" t="str">
        <f>IF(AA68&lt;VLOOKUP(AG68,Variables!$AC$3:$AD$8,2,FALSE),"Y","N")</f>
        <v>Y</v>
      </c>
      <c r="X68" s="194">
        <f t="shared" si="6"/>
        <v>1</v>
      </c>
      <c r="Y68" s="194">
        <f t="shared" si="7"/>
        <v>23.297699999999999</v>
      </c>
      <c r="Z68" s="194">
        <f t="shared" si="8"/>
        <v>17.842400000000001</v>
      </c>
      <c r="AA68" s="194">
        <f t="shared" si="9"/>
        <v>5.4552999999999976</v>
      </c>
      <c r="AB68" s="54" t="e">
        <f>VLOOKUP(A68,Enforcements!$C$7:$K$11,8,0)</f>
        <v>#N/A</v>
      </c>
      <c r="AC68" s="51" t="e">
        <f>VLOOKUP(A68,Enforcements!$C$7:$E$11,3,0)</f>
        <v>#N/A</v>
      </c>
      <c r="AD68" s="203">
        <f t="shared" si="10"/>
        <v>156</v>
      </c>
      <c r="AE68" s="77" t="str">
        <f t="shared" si="11"/>
        <v>aws s3 cp s3://rtdc.mdm.uploadarchive.raw/RTDC4023/ "%USERPROFILE%\AppData\Local\Temp\OnboardLogs"\RTDC4023\2017-09-01 --exclude "*" --recursive --include "*20170901*" &amp; "%USERPROFILE%\Documents\GitHub\mrs-test-scripts\Headless Mode &amp; Sideloading\WalkAndUnGZ.bat" "%USERPROFILE%\AppData\Local\Temp\OnboardLogs"\RTDC4023\2017-09-01 &amp; aws s3 cp s3://rtdc.mdm.uploadarchive.raw/RTDC4023/ "%USERPROFILE%\AppData\Local\Temp\OnboardLogs"\RTDC4023\2017-09-02 --exclude "*" --recursive --include "*20170902*" &amp; "%USERPROFILE%\Documents\GitHub\mrs-test-scripts\Headless Mode &amp; Sideloading\WalkAndUnGZ.bat" "%USERPROFILE%\AppData\Local\Temp\OnboardLogs"\RTDC4023\2017-09-02</v>
      </c>
      <c r="AF68" s="74" t="str">
        <f t="shared" si="12"/>
        <v>"C:\Program Files (x86)\AstroGrep\AstroGrep.exe" /e /r /s /spath="%USERPROFILE%\AppData\Local\Temp\OnboardLogs" /stypes="app*4023*20170901*" /stext=" 18:.+((SYSTEM_STATE.+slice.+state.+changed )|(ment ac)|(multiple cpu faults)|(system.+state.+changed )|(\[timeout)|(PRM\|1\|D)|(kpr)|(kdp)|(train st.+moving)|(\|lc)|(penalty))"</v>
      </c>
      <c r="AG68" s="206" t="str">
        <f t="shared" si="13"/>
        <v>EC</v>
      </c>
      <c r="AH68" s="78" t="str">
        <f t="shared" si="18"/>
        <v>"%USERPROFILE%\Documents\GitHub\eaglep3\Utilities\RefineRTDCRunTimes.py" --tripid 156-01 --locoid 4023 --swversion DE.1.0.9.0 --startMP 204:232977 --initTime 2017-09-01T11:24:14 --startdatetime 2017-09-01T11:44:35 --delay 147 --endMP 204:178424 --enddatetime 2017-09-01T12:10:31 --enforcementcount 0 &gt;&gt;C:\Users\stu\Documents\GitHub\eaglep3-reporting\EC\2017-09-01-refined-times.txt</v>
      </c>
      <c r="AI68" s="96" t="str">
        <f t="shared" si="19"/>
        <v>echo {"issue":{"subject":"False occupancy @ ML1680","project_id":79,"tracker_id":40,"status_id":1,"priority_id":2,"assigned_to_id":338,"start_date":"2017-09-01","description":"","custom_fields":[{"id":1,"name":"Subdivision","value":"EC"},{"id":4,"name":"Milepost","value":"17.8424"},{"id":17,"name":"Train ID","value":"156-01"},{"id":16,"name":"Locomotive ID","value":"4023"},{"id":130,"name":"Impact","value":""},{"id":150,"name":"Time of Event (Mountain Time)","value":"12:10:31"},{"id":151,"name":"Denver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4023 --day 2017-09-01</v>
      </c>
      <c r="AN68" s="151" t="str">
        <f t="shared" si="21"/>
        <v>echo {"issue":{"subject":"False occupancy @ ML1680","project_id":30,"tracker_id":4,"status_id":1,"priority_id":1,"assigned_to_id":10,"start_date":"2017-09-01","description":"","custom_fields":[{"id":30,"name":"Category","value":"Issue"},{"id":3,"name":"Functional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18:10:31"},{"id":29,"name":"Sharepoint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709</v>
      </c>
      <c r="B69" s="7">
        <v>4023</v>
      </c>
      <c r="C69" s="21" t="s">
        <v>197</v>
      </c>
      <c r="D69" s="21" t="s">
        <v>855</v>
      </c>
      <c r="E69" s="13">
        <v>42979.488391203704</v>
      </c>
      <c r="F69" s="13">
        <v>42979.489293981482</v>
      </c>
      <c r="G69" s="7">
        <v>47</v>
      </c>
      <c r="H69" s="21" t="s">
        <v>348</v>
      </c>
      <c r="I69" s="13">
        <v>42979.507303240738</v>
      </c>
      <c r="J69" s="7">
        <v>0</v>
      </c>
      <c r="K69" s="89" t="str">
        <f t="shared" si="0"/>
        <v>4023/4024</v>
      </c>
      <c r="L69" s="214" t="str">
        <f>VLOOKUP(A69,'Trips&amp;Operators'!$C$1:$G$99911,5,FALSE)</f>
        <v>MACDONALD THOMAS</v>
      </c>
      <c r="M69" s="6">
        <f t="shared" si="1"/>
        <v>1.8009259256359655E-2</v>
      </c>
      <c r="N69" s="7"/>
      <c r="O69" s="7"/>
      <c r="P69" s="7"/>
      <c r="Q69" s="22"/>
      <c r="R69" s="167"/>
      <c r="S69" s="210"/>
      <c r="T69" s="192" t="str">
        <f t="shared" si="4"/>
        <v>Southbound</v>
      </c>
      <c r="U69" s="192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3" t="str">
        <f t="shared" si="5"/>
        <v>https://d0f6bd738d7f1b3e5a7ca70fe4ff75f0.us-east-1.aws.found.io/app/kibana#/discover/Steve-Slow-Train-Analysis-(2080s-and-2083s)?_g=(refreshInterval:(display:Off,pause:!f,section:0,value:0),time:(from:'2017-09-01T10:43:17-0600',mode:absolute,to:'2017-09-01T13:10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69" s="194" t="str">
        <f>IF(AA69&lt;VLOOKUP(AG69,Variables!$AC$3:$AD$8,2,FALSE),"Y","N")</f>
        <v>Y</v>
      </c>
      <c r="X69" s="194">
        <f t="shared" si="6"/>
        <v>0</v>
      </c>
      <c r="Y69" s="194">
        <f t="shared" si="7"/>
        <v>12.787100000000001</v>
      </c>
      <c r="Z69" s="194">
        <f t="shared" si="8"/>
        <v>1.54E-2</v>
      </c>
      <c r="AA69" s="194">
        <f t="shared" si="9"/>
        <v>12.771700000000001</v>
      </c>
      <c r="AB69" s="54" t="e">
        <f>VLOOKUP(A69,Enforcements!$C$7:$K$11,8,0)</f>
        <v>#N/A</v>
      </c>
      <c r="AC69" s="51" t="e">
        <f>VLOOKUP(A69,Enforcements!$C$7:$E$11,3,0)</f>
        <v>#N/A</v>
      </c>
      <c r="AD69" s="203">
        <f t="shared" si="10"/>
        <v>156</v>
      </c>
      <c r="AE69" s="77" t="str">
        <f t="shared" si="11"/>
        <v>aws s3 cp s3://rtdc.mdm.uploadarchive.raw/RTDC4023/ "%USERPROFILE%\AppData\Local\Temp\OnboardLogs"\RTDC4023\2017-09-01 --exclude "*" --recursive --include "*20170901*" &amp; "%USERPROFILE%\Documents\GitHub\mrs-test-scripts\Headless Mode &amp; Sideloading\WalkAndUnGZ.bat" "%USERPROFILE%\AppData\Local\Temp\OnboardLogs"\RTDC4023\2017-09-01 &amp; aws s3 cp s3://rtdc.mdm.uploadarchive.raw/RTDC4023/ "%USERPROFILE%\AppData\Local\Temp\OnboardLogs"\RTDC4023\2017-09-02 --exclude "*" --recursive --include "*20170902*" &amp; "%USERPROFILE%\Documents\GitHub\mrs-test-scripts\Headless Mode &amp; Sideloading\WalkAndUnGZ.bat" "%USERPROFILE%\AppData\Local\Temp\OnboardLogs"\RTDC4023\2017-09-02</v>
      </c>
      <c r="AF69" s="74" t="str">
        <f t="shared" si="12"/>
        <v>"C:\Program Files (x86)\AstroGrep\AstroGrep.exe" /e /r /s /spath="%USERPROFILE%\AppData\Local\Temp\OnboardLogs" /stypes="app*4023*20170901*" /stext=" 18:.+((SYSTEM_STATE.+slice.+state.+changed )|(ment ac)|(multiple cpu faults)|(system.+state.+changed )|(\[timeout)|(PRM\|1\|D)|(kpr)|(kdp)|(train st.+moving)|(\|lc)|(penalty))"</v>
      </c>
      <c r="AG69" s="206" t="str">
        <f t="shared" si="13"/>
        <v>EC</v>
      </c>
      <c r="AH69" s="78" t="str">
        <f t="shared" si="18"/>
        <v>"%USERPROFILE%\Documents\GitHub\eaglep3\Utilities\RefineRTDCRunTimes.py" --tripid 156-01 --locoid 4023 --swversion DE.1.0.9.0 --startMP 204:127871 --initTime 2017-09-01T11:43:17 --startdatetime 2017-09-01T11:44:35 --delay 47 --endMP 204:154 --enddatetime 2017-09-01T12:10:31 --enforcementcount 0 &gt;&gt;C:\Users\stu\Documents\GitHub\eaglep3-reporting\EC\2017-09-01-refined-times.txt</v>
      </c>
      <c r="AI69" s="96" t="str">
        <f t="shared" si="19"/>
        <v>echo {"issue":{"subject":"","project_id":79,"tracker_id":40,"status_id":1,"priority_id":2,"assigned_to_id":338,"start_date":"2017-09-01","description":"","custom_fields":[{"id":1,"name":"Subdivision","value":"EC"},{"id":4,"name":"Milepost","value":"0.0154"},{"id":17,"name":"Train ID","value":"156-01"},{"id":16,"name":"Locomotive ID","value":"4023"},{"id":130,"name":"Impact","value":""},{"id":150,"name":"Time of Event (Mountain Time)","value":"12:10:31"},{"id":151,"name":"Denver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4023 --day 2017-09-01</v>
      </c>
      <c r="AN69" s="151" t="str">
        <f t="shared" si="2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18:10:31"},{"id":29,"name":"Sharepoint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700</v>
      </c>
      <c r="B70" s="7">
        <v>4020</v>
      </c>
      <c r="C70" s="21" t="s">
        <v>197</v>
      </c>
      <c r="D70" s="21" t="s">
        <v>545</v>
      </c>
      <c r="E70" s="13">
        <v>42979.442013888889</v>
      </c>
      <c r="F70" s="13">
        <v>42979.448078703703</v>
      </c>
      <c r="G70" s="7">
        <v>75</v>
      </c>
      <c r="H70" s="21" t="s">
        <v>438</v>
      </c>
      <c r="I70" s="13">
        <v>42979.471863425926</v>
      </c>
      <c r="J70" s="7">
        <v>0</v>
      </c>
      <c r="K70" s="89" t="str">
        <f t="shared" si="0"/>
        <v>4019/4020</v>
      </c>
      <c r="L70" s="214" t="str">
        <f>VLOOKUP(A70,'Trips&amp;Operators'!$C$1:$G$99911,5,FALSE)</f>
        <v>NEWELL JAMES</v>
      </c>
      <c r="M70" s="6">
        <f t="shared" si="1"/>
        <v>2.3784722223354038E-2</v>
      </c>
      <c r="N70" s="7">
        <f t="shared" si="2"/>
        <v>34.250000001629815</v>
      </c>
      <c r="O70" s="7"/>
      <c r="P70" s="7"/>
      <c r="Q70" s="22"/>
      <c r="R70" s="167"/>
      <c r="S70" s="210">
        <f t="shared" si="3"/>
        <v>1</v>
      </c>
      <c r="T70" s="192" t="str">
        <f t="shared" si="4"/>
        <v>NorthBound</v>
      </c>
      <c r="U70" s="192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3" t="str">
        <f t="shared" si="5"/>
        <v>https://d0f6bd738d7f1b3e5a7ca70fe4ff75f0.us-east-1.aws.found.io/app/kibana#/discover/Steve-Slow-Train-Analysis-(2080s-and-2083s)?_g=(refreshInterval:(display:Off,pause:!f,section:0,value:0),time:(from:'2017-09-01T09:36:30-0600',mode:absolute,to:'2017-09-01T12:19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0" s="194" t="str">
        <f>IF(AA70&lt;VLOOKUP(AG70,Variables!$AC$3:$AD$8,2,FALSE),"Y","N")</f>
        <v>N</v>
      </c>
      <c r="X70" s="194">
        <f t="shared" si="6"/>
        <v>1</v>
      </c>
      <c r="Y70" s="194">
        <f t="shared" si="7"/>
        <v>4.7500000000000001E-2</v>
      </c>
      <c r="Z70" s="194">
        <f t="shared" si="8"/>
        <v>23.330500000000001</v>
      </c>
      <c r="AA70" s="194">
        <f t="shared" si="9"/>
        <v>23.283000000000001</v>
      </c>
      <c r="AB70" s="54" t="e">
        <f>VLOOKUP(A70,Enforcements!$C$7:$K$11,8,0)</f>
        <v>#N/A</v>
      </c>
      <c r="AC70" s="51" t="e">
        <f>VLOOKUP(A70,Enforcements!$C$7:$E$11,3,0)</f>
        <v>#N/A</v>
      </c>
      <c r="AD70" s="203">
        <f t="shared" si="10"/>
        <v>157</v>
      </c>
      <c r="AE70" s="77" t="str">
        <f t="shared" si="11"/>
        <v>aws s3 cp s3://rtdc.mdm.uploadarchive.raw/RTDC4020/ "%USERPROFILE%\AppData\Local\Temp\OnboardLogs"\RTDC4020\2017-09-01 --exclude "*" --recursive --include "*20170901*" &amp; "%USERPROFILE%\Documents\GitHub\mrs-test-scripts\Headless Mode &amp; Sideloading\WalkAndUnGZ.bat" "%USERPROFILE%\AppData\Local\Temp\OnboardLogs"\RTDC4020\2017-09-01 &amp; aws s3 cp s3://rtdc.mdm.uploadarchive.raw/RTDC4020/ "%USERPROFILE%\AppData\Local\Temp\OnboardLogs"\RTDC4020\2017-09-02 --exclude "*" --recursive --include "*20170902*" &amp; "%USERPROFILE%\Documents\GitHub\mrs-test-scripts\Headless Mode &amp; Sideloading\WalkAndUnGZ.bat" "%USERPROFILE%\AppData\Local\Temp\OnboardLogs"\RTDC4020\2017-09-02</v>
      </c>
      <c r="AF70" s="74" t="str">
        <f t="shared" si="12"/>
        <v>"C:\Program Files (x86)\AstroGrep\AstroGrep.exe" /e /r /s /spath="%USERPROFILE%\AppData\Local\Temp\OnboardLogs" /stypes="app*4020*20170901*" /stext=" 17:.+((SYSTEM_STATE.+slice.+state.+changed )|(ment ac)|(multiple cpu faults)|(system.+state.+changed )|(\[timeout)|(PRM\|1\|D)|(kpr)|(kdp)|(train st.+moving)|(\|lc)|(penalty))"</v>
      </c>
      <c r="AG70" s="206" t="str">
        <f t="shared" si="13"/>
        <v>EC</v>
      </c>
      <c r="AH70" s="78" t="str">
        <f t="shared" si="18"/>
        <v>"%USERPROFILE%\Documents\GitHub\eaglep3\Utilities\RefineRTDCRunTimes.py" --tripid 157-01 --locoid 4020 --swversion DE.1.0.9.0 --startMP 204:475 --initTime 2017-09-01T10:36:30 --startdatetime 2017-09-01T10:45:14 --delay 75 --endMP 204:233305 --enddatetime 2017-09-01T11:19:29 --enforcementcount 0 &gt;&gt;C:\Users\stu\Documents\GitHub\eaglep3-reporting\EC\2017-09-01-refined-times.txt</v>
      </c>
      <c r="AI70" s="96" t="str">
        <f t="shared" si="19"/>
        <v>echo {"issue":{"subject":"","project_id":79,"tracker_id":40,"status_id":1,"priority_id":2,"assigned_to_id":338,"start_date":"2017-09-01","description":"","custom_fields":[{"id":1,"name":"Subdivision","value":"EC"},{"id":4,"name":"Milepost","value":"23.3305"},{"id":17,"name":"Train ID","value":"157-01"},{"id":16,"name":"Locomotive ID","value":"4020"},{"id":130,"name":"Impact","value":""},{"id":150,"name":"Time of Event (Mountain Time)","value":"11:19:29"},{"id":151,"name":"Denver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4020 --day 2017-09-01</v>
      </c>
      <c r="AN70" s="151" t="str">
        <f t="shared" si="2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17:19:29"},{"id":29,"name":"Sharepoint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708</v>
      </c>
      <c r="B71" s="7">
        <v>4019</v>
      </c>
      <c r="C71" s="21" t="s">
        <v>197</v>
      </c>
      <c r="D71" s="21" t="s">
        <v>394</v>
      </c>
      <c r="E71" s="13">
        <v>42979.473460648151</v>
      </c>
      <c r="F71" s="13">
        <v>42979.487650462965</v>
      </c>
      <c r="G71" s="7">
        <v>71</v>
      </c>
      <c r="H71" s="21" t="s">
        <v>373</v>
      </c>
      <c r="I71" s="13">
        <v>42979.513009259259</v>
      </c>
      <c r="J71" s="7">
        <v>0</v>
      </c>
      <c r="K71" s="89" t="str">
        <f t="shared" si="0"/>
        <v>4019/4020</v>
      </c>
      <c r="L71" s="214" t="str">
        <f>VLOOKUP(A71,'Trips&amp;Operators'!$C$1:$G$99911,5,FALSE)</f>
        <v>NEWELL JAMES</v>
      </c>
      <c r="M71" s="6">
        <f t="shared" si="1"/>
        <v>2.5358796294312924E-2</v>
      </c>
      <c r="N71" s="7">
        <f t="shared" si="2"/>
        <v>36.516666663810611</v>
      </c>
      <c r="O71" s="7"/>
      <c r="P71" s="7"/>
      <c r="Q71" s="22"/>
      <c r="R71" s="167"/>
      <c r="S71" s="210">
        <f t="shared" si="3"/>
        <v>1</v>
      </c>
      <c r="T71" s="192" t="str">
        <f t="shared" si="4"/>
        <v>Southbound</v>
      </c>
      <c r="U71" s="192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3" t="str">
        <f t="shared" si="5"/>
        <v>https://d0f6bd738d7f1b3e5a7ca70fe4ff75f0.us-east-1.aws.found.io/app/kibana#/discover/Steve-Slow-Train-Analysis-(2080s-and-2083s)?_g=(refreshInterval:(display:Off,pause:!f,section:0,value:0),time:(from:'2017-09-01T10:21:47-0600',mode:absolute,to:'2017-09-01T13:18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1" s="194" t="str">
        <f>IF(AA71&lt;VLOOKUP(AG71,Variables!$AC$3:$AD$8,2,FALSE),"Y","N")</f>
        <v>N</v>
      </c>
      <c r="X71" s="194">
        <f t="shared" si="6"/>
        <v>1</v>
      </c>
      <c r="Y71" s="194">
        <f t="shared" si="7"/>
        <v>23.297999999999998</v>
      </c>
      <c r="Z71" s="194">
        <f t="shared" si="8"/>
        <v>1.38E-2</v>
      </c>
      <c r="AA71" s="194">
        <f t="shared" si="9"/>
        <v>23.284199999999998</v>
      </c>
      <c r="AB71" s="54" t="e">
        <f>VLOOKUP(A71,Enforcements!$C$7:$K$11,8,0)</f>
        <v>#N/A</v>
      </c>
      <c r="AC71" s="51" t="e">
        <f>VLOOKUP(A71,Enforcements!$C$7:$E$11,3,0)</f>
        <v>#N/A</v>
      </c>
      <c r="AD71" s="203">
        <f t="shared" si="10"/>
        <v>158</v>
      </c>
      <c r="AE71" s="77" t="str">
        <f t="shared" si="11"/>
        <v>aws s3 cp s3://rtdc.mdm.uploadarchive.raw/RTDC4019/ "%USERPROFILE%\AppData\Local\Temp\OnboardLogs"\RTDC4019\2017-09-01 --exclude "*" --recursive --include "*20170901*" &amp; "%USERPROFILE%\Documents\GitHub\mrs-test-scripts\Headless Mode &amp; Sideloading\WalkAndUnGZ.bat" "%USERPROFILE%\AppData\Local\Temp\OnboardLogs"\RTDC4019\2017-09-01 &amp; aws s3 cp s3://rtdc.mdm.uploadarchive.raw/RTDC4019/ "%USERPROFILE%\AppData\Local\Temp\OnboardLogs"\RTDC4019\2017-09-02 --exclude "*" --recursive --include "*20170902*" &amp; "%USERPROFILE%\Documents\GitHub\mrs-test-scripts\Headless Mode &amp; Sideloading\WalkAndUnGZ.bat" "%USERPROFILE%\AppData\Local\Temp\OnboardLogs"\RTDC4019\2017-09-02</v>
      </c>
      <c r="AF71" s="74" t="str">
        <f t="shared" si="12"/>
        <v>"C:\Program Files (x86)\AstroGrep\AstroGrep.exe" /e /r /s /spath="%USERPROFILE%\AppData\Local\Temp\OnboardLogs" /stypes="app*4019*20170901*" /stext=" 18:.+((SYSTEM_STATE.+slice.+state.+changed )|(ment ac)|(multiple cpu faults)|(system.+state.+changed )|(\[timeout)|(PRM\|1\|D)|(kpr)|(kdp)|(train st.+moving)|(\|lc)|(penalty))"</v>
      </c>
      <c r="AG71" s="206" t="str">
        <f t="shared" si="13"/>
        <v>EC</v>
      </c>
      <c r="AH71" s="78" t="str">
        <f t="shared" si="18"/>
        <v>"%USERPROFILE%\Documents\GitHub\eaglep3\Utilities\RefineRTDCRunTimes.py" --tripid 158-01 --locoid 4019 --swversion DE.1.0.9.0 --startMP 204:232980 --initTime 2017-09-01T11:21:47 --startdatetime 2017-09-01T11:42:13 --delay 71 --endMP 204:138 --enddatetime 2017-09-01T12:18:44 --enforcementcount 0 &gt;&gt;C:\Users\stu\Documents\GitHub\eaglep3-reporting\EC\2017-09-01-refined-times.txt</v>
      </c>
      <c r="AI71" s="96" t="str">
        <f t="shared" si="19"/>
        <v>echo {"issue":{"subject":"","project_id":79,"tracker_id":40,"status_id":1,"priority_id":2,"assigned_to_id":338,"start_date":"2017-09-01","description":"","custom_fields":[{"id":1,"name":"Subdivision","value":"EC"},{"id":4,"name":"Milepost","value":"0.0138"},{"id":17,"name":"Train ID","value":"158-01"},{"id":16,"name":"Locomotive ID","value":"4019"},{"id":130,"name":"Impact","value":""},{"id":150,"name":"Time of Event (Mountain Time)","value":"12:18:44"},{"id":151,"name":"Denver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4019 --day 2017-09-01</v>
      </c>
      <c r="AN71" s="151" t="str">
        <f t="shared" si="2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18:18:44"},{"id":29,"name":"Sharepoint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702</v>
      </c>
      <c r="B72" s="7">
        <v>4058</v>
      </c>
      <c r="C72" s="21" t="s">
        <v>197</v>
      </c>
      <c r="D72" s="21" t="s">
        <v>856</v>
      </c>
      <c r="E72" s="13">
        <v>42979.45453703704</v>
      </c>
      <c r="F72" s="13">
        <v>42979.458495370367</v>
      </c>
      <c r="G72" s="7">
        <v>101</v>
      </c>
      <c r="H72" s="21" t="s">
        <v>556</v>
      </c>
      <c r="I72" s="13">
        <v>42979.484074074076</v>
      </c>
      <c r="J72" s="7">
        <v>0</v>
      </c>
      <c r="K72" s="89" t="str">
        <f t="shared" si="0"/>
        <v>4057/4058</v>
      </c>
      <c r="L72" s="214" t="str">
        <f>VLOOKUP(A72,'Trips&amp;Operators'!$C$1:$G$99911,5,FALSE)</f>
        <v>BARRON PERLA</v>
      </c>
      <c r="M72" s="6">
        <f t="shared" si="1"/>
        <v>2.5578703709470574E-2</v>
      </c>
      <c r="N72" s="7">
        <f t="shared" si="2"/>
        <v>36.833333341637626</v>
      </c>
      <c r="O72" s="7"/>
      <c r="P72" s="7"/>
      <c r="Q72" s="22"/>
      <c r="R72" s="167"/>
      <c r="S72" s="210">
        <f t="shared" si="3"/>
        <v>1</v>
      </c>
      <c r="T72" s="192" t="str">
        <f t="shared" si="4"/>
        <v>NorthBound</v>
      </c>
      <c r="U72" s="192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3" t="str">
        <f t="shared" si="5"/>
        <v>https://d0f6bd738d7f1b3e5a7ca70fe4ff75f0.us-east-1.aws.found.io/app/kibana#/discover/Steve-Slow-Train-Analysis-(2080s-and-2083s)?_g=(refreshInterval:(display:Off,pause:!f,section:0,value:0),time:(from:'2017-09-01T09:54:32-0600',mode:absolute,to:'2017-09-01T12:37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72" s="194" t="str">
        <f>IF(AA72&lt;VLOOKUP(AG72,Variables!$AC$3:$AD$8,2,FALSE),"Y","N")</f>
        <v>N</v>
      </c>
      <c r="X72" s="194">
        <f t="shared" si="6"/>
        <v>1</v>
      </c>
      <c r="Y72" s="194">
        <f t="shared" si="7"/>
        <v>4.3099999999999999E-2</v>
      </c>
      <c r="Z72" s="194">
        <f t="shared" si="8"/>
        <v>23.329799999999999</v>
      </c>
      <c r="AA72" s="194">
        <f t="shared" si="9"/>
        <v>23.2867</v>
      </c>
      <c r="AB72" s="54" t="e">
        <f>VLOOKUP(A72,Enforcements!$C$7:$K$11,8,0)</f>
        <v>#N/A</v>
      </c>
      <c r="AC72" s="51" t="e">
        <f>VLOOKUP(A72,Enforcements!$C$7:$E$11,3,0)</f>
        <v>#N/A</v>
      </c>
      <c r="AD72" s="203">
        <f t="shared" si="10"/>
        <v>159</v>
      </c>
      <c r="AE72" s="77" t="str">
        <f t="shared" si="11"/>
        <v>aws s3 cp s3://rtdc.mdm.uploadarchive.raw/RTDC4058/ "%USERPROFILE%\AppData\Local\Temp\OnboardLogs"\RTDC4058\2017-09-01 --exclude "*" --recursive --include "*20170901*" &amp; "%USERPROFILE%\Documents\GitHub\mrs-test-scripts\Headless Mode &amp; Sideloading\WalkAndUnGZ.bat" "%USERPROFILE%\AppData\Local\Temp\OnboardLogs"\RTDC4058\2017-09-01 &amp; aws s3 cp s3://rtdc.mdm.uploadarchive.raw/RTDC4058/ "%USERPROFILE%\AppData\Local\Temp\OnboardLogs"\RTDC4058\2017-09-02 --exclude "*" --recursive --include "*20170902*" &amp; "%USERPROFILE%\Documents\GitHub\mrs-test-scripts\Headless Mode &amp; Sideloading\WalkAndUnGZ.bat" "%USERPROFILE%\AppData\Local\Temp\OnboardLogs"\RTDC4058\2017-09-02</v>
      </c>
      <c r="AF72" s="74" t="str">
        <f t="shared" si="12"/>
        <v>"C:\Program Files (x86)\AstroGrep\AstroGrep.exe" /e /r /s /spath="%USERPROFILE%\AppData\Local\Temp\OnboardLogs" /stypes="app*4058*20170901*" /stext=" 17:.+((SYSTEM_STATE.+slice.+state.+changed )|(ment ac)|(multiple cpu faults)|(system.+state.+changed )|(\[timeout)|(PRM\|1\|D)|(kpr)|(kdp)|(train st.+moving)|(\|lc)|(penalty))"</v>
      </c>
      <c r="AG72" s="206" t="str">
        <f t="shared" si="13"/>
        <v>EC</v>
      </c>
      <c r="AH72" s="78" t="str">
        <f t="shared" si="18"/>
        <v>"%USERPROFILE%\Documents\GitHub\eaglep3\Utilities\RefineRTDCRunTimes.py" --tripid 159-01 --locoid 4058 --swversion DE.1.0.9.0 --startMP 204:431 --initTime 2017-09-01T10:54:32 --startdatetime 2017-09-01T11:00:14 --delay 101 --endMP 204:233298 --enddatetime 2017-09-01T11:37:04 --enforcementcount 0 &gt;&gt;C:\Users\stu\Documents\GitHub\eaglep3-reporting\EC\2017-09-01-refined-times.txt</v>
      </c>
      <c r="AI72" s="96" t="str">
        <f t="shared" si="19"/>
        <v>echo {"issue":{"subject":"","project_id":79,"tracker_id":40,"status_id":1,"priority_id":2,"assigned_to_id":338,"start_date":"2017-09-01","description":"","custom_fields":[{"id":1,"name":"Subdivision","value":"EC"},{"id":4,"name":"Milepost","value":"23.3298"},{"id":17,"name":"Train ID","value":"159-01"},{"id":16,"name":"Locomotive ID","value":"4058"},{"id":130,"name":"Impact","value":""},{"id":150,"name":"Time of Event (Mountain Time)","value":"11:37:04"},{"id":151,"name":"Denver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4058 --day 2017-09-01</v>
      </c>
      <c r="AN72" s="151" t="str">
        <f t="shared" si="2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17:37:04"},{"id":29,"name":"Sharepoint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711</v>
      </c>
      <c r="B73" s="7">
        <v>4057</v>
      </c>
      <c r="C73" s="21" t="s">
        <v>197</v>
      </c>
      <c r="D73" s="21" t="s">
        <v>857</v>
      </c>
      <c r="E73" s="13">
        <v>42979.485995370371</v>
      </c>
      <c r="F73" s="13">
        <v>42979.498148148145</v>
      </c>
      <c r="G73" s="7">
        <v>55</v>
      </c>
      <c r="H73" s="21" t="s">
        <v>465</v>
      </c>
      <c r="I73" s="13">
        <v>42979.526018518518</v>
      </c>
      <c r="J73" s="7">
        <v>0</v>
      </c>
      <c r="K73" s="89" t="str">
        <f t="shared" si="0"/>
        <v>4057/4058</v>
      </c>
      <c r="L73" s="214" t="str">
        <f>VLOOKUP(A73,'Trips&amp;Operators'!$C$1:$G$99911,5,FALSE)</f>
        <v>BARRON PERLA</v>
      </c>
      <c r="M73" s="6">
        <f t="shared" si="1"/>
        <v>2.7870370373420883E-2</v>
      </c>
      <c r="N73" s="7">
        <f t="shared" si="2"/>
        <v>40.133333337726071</v>
      </c>
      <c r="O73" s="7"/>
      <c r="P73" s="7"/>
      <c r="Q73" s="22"/>
      <c r="R73" s="167"/>
      <c r="S73" s="210">
        <f t="shared" si="3"/>
        <v>1</v>
      </c>
      <c r="T73" s="192" t="str">
        <f t="shared" si="4"/>
        <v>Southbound</v>
      </c>
      <c r="U73" s="192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3" t="str">
        <f t="shared" si="5"/>
        <v>https://d0f6bd738d7f1b3e5a7ca70fe4ff75f0.us-east-1.aws.found.io/app/kibana#/discover/Steve-Slow-Train-Analysis-(2080s-and-2083s)?_g=(refreshInterval:(display:Off,pause:!f,section:0,value:0),time:(from:'2017-09-01T10:39:50-0600',mode:absolute,to:'2017-09-01T13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73" s="194" t="str">
        <f>IF(AA73&lt;VLOOKUP(AG73,Variables!$AC$3:$AD$8,2,FALSE),"Y","N")</f>
        <v>N</v>
      </c>
      <c r="X73" s="194">
        <f t="shared" si="6"/>
        <v>1</v>
      </c>
      <c r="Y73" s="194">
        <f t="shared" si="7"/>
        <v>23.297899999999998</v>
      </c>
      <c r="Z73" s="194">
        <f t="shared" si="8"/>
        <v>1.32E-2</v>
      </c>
      <c r="AA73" s="194">
        <f t="shared" si="9"/>
        <v>23.284699999999997</v>
      </c>
      <c r="AB73" s="54" t="e">
        <f>VLOOKUP(A73,Enforcements!$C$7:$K$11,8,0)</f>
        <v>#N/A</v>
      </c>
      <c r="AC73" s="51" t="e">
        <f>VLOOKUP(A73,Enforcements!$C$7:$E$11,3,0)</f>
        <v>#N/A</v>
      </c>
      <c r="AD73" s="203">
        <f t="shared" si="10"/>
        <v>160</v>
      </c>
      <c r="AE73" s="77" t="str">
        <f t="shared" si="11"/>
        <v>aws s3 cp s3://rtdc.mdm.uploadarchive.raw/RTDC4057/ "%USERPROFILE%\AppData\Local\Temp\OnboardLogs"\RTDC4057\2017-09-01 --exclude "*" --recursive --include "*20170901*" &amp; "%USERPROFILE%\Documents\GitHub\mrs-test-scripts\Headless Mode &amp; Sideloading\WalkAndUnGZ.bat" "%USERPROFILE%\AppData\Local\Temp\OnboardLogs"\RTDC4057\2017-09-01 &amp; aws s3 cp s3://rtdc.mdm.uploadarchive.raw/RTDC4057/ "%USERPROFILE%\AppData\Local\Temp\OnboardLogs"\RTDC4057\2017-09-02 --exclude "*" --recursive --include "*20170902*" &amp; "%USERPROFILE%\Documents\GitHub\mrs-test-scripts\Headless Mode &amp; Sideloading\WalkAndUnGZ.bat" "%USERPROFILE%\AppData\Local\Temp\OnboardLogs"\RTDC4057\2017-09-02</v>
      </c>
      <c r="AF73" s="74" t="str">
        <f t="shared" si="12"/>
        <v>"C:\Program Files (x86)\AstroGrep\AstroGrep.exe" /e /r /s /spath="%USERPROFILE%\AppData\Local\Temp\OnboardLogs" /stypes="app*4057*20170901*" /stext=" 18:.+((SYSTEM_STATE.+slice.+state.+changed )|(ment ac)|(multiple cpu faults)|(system.+state.+changed )|(\[timeout)|(PRM\|1\|D)|(kpr)|(kdp)|(train st.+moving)|(\|lc)|(penalty))"</v>
      </c>
      <c r="AG73" s="206" t="str">
        <f t="shared" si="13"/>
        <v>EC</v>
      </c>
      <c r="AH73" s="78" t="str">
        <f t="shared" si="18"/>
        <v>"%USERPROFILE%\Documents\GitHub\eaglep3\Utilities\RefineRTDCRunTimes.py" --tripid 160-01 --locoid 4057 --swversion DE.1.0.9.0 --startMP 204:232979 --initTime 2017-09-01T11:39:50 --startdatetime 2017-09-01T11:57:20 --delay 55 --endMP 204:132 --enddatetime 2017-09-01T12:37:28 --enforcementcount 0 &gt;&gt;C:\Users\stu\Documents\GitHub\eaglep3-reporting\EC\2017-09-01-refined-times.txt</v>
      </c>
      <c r="AI73" s="96" t="str">
        <f t="shared" si="19"/>
        <v>echo {"issue":{"subject":"","project_id":79,"tracker_id":40,"status_id":1,"priority_id":2,"assigned_to_id":338,"start_date":"2017-09-01","description":"","custom_fields":[{"id":1,"name":"Subdivision","value":"EC"},{"id":4,"name":"Milepost","value":"0.0132"},{"id":17,"name":"Train ID","value":"160-01"},{"id":16,"name":"Locomotive ID","value":"4057"},{"id":130,"name":"Impact","value":""},{"id":150,"name":"Time of Event (Mountain Time)","value":"12:37:28"},{"id":151,"name":"Denver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4057 --day 2017-09-01</v>
      </c>
      <c r="AN73" s="151" t="str">
        <f t="shared" si="2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18:37:28"},{"id":29,"name":"Sharepoint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705</v>
      </c>
      <c r="B74" s="7">
        <v>4026</v>
      </c>
      <c r="C74" s="21" t="s">
        <v>197</v>
      </c>
      <c r="D74" s="21" t="s">
        <v>545</v>
      </c>
      <c r="E74" s="13">
        <v>42979.465879629628</v>
      </c>
      <c r="F74" s="13">
        <v>42979.468912037039</v>
      </c>
      <c r="G74" s="7">
        <v>123</v>
      </c>
      <c r="H74" s="21" t="s">
        <v>858</v>
      </c>
      <c r="I74" s="13">
        <v>42979.49391203704</v>
      </c>
      <c r="J74" s="7">
        <v>0</v>
      </c>
      <c r="K74" s="89" t="str">
        <f t="shared" si="0"/>
        <v>4025/4026</v>
      </c>
      <c r="L74" s="214" t="str">
        <f>VLOOKUP(A74,'Trips&amp;Operators'!$C$1:$G$99911,5,FALSE)</f>
        <v>SAFIEF AEIMEN</v>
      </c>
      <c r="M74" s="6">
        <f t="shared" si="1"/>
        <v>2.5000000001455192E-2</v>
      </c>
      <c r="N74" s="7">
        <f t="shared" si="2"/>
        <v>36.000000002095476</v>
      </c>
      <c r="O74" s="7"/>
      <c r="P74" s="7"/>
      <c r="Q74" s="22"/>
      <c r="R74" s="167"/>
      <c r="S74" s="210">
        <f t="shared" si="3"/>
        <v>1</v>
      </c>
      <c r="T74" s="192" t="str">
        <f t="shared" si="4"/>
        <v>NorthBound</v>
      </c>
      <c r="U74" s="192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3" t="str">
        <f t="shared" si="5"/>
        <v>https://d0f6bd738d7f1b3e5a7ca70fe4ff75f0.us-east-1.aws.found.io/app/kibana#/discover/Steve-Slow-Train-Analysis-(2080s-and-2083s)?_g=(refreshInterval:(display:Off,pause:!f,section:0,value:0),time:(from:'2017-09-01T10:10:52-0600',mode:absolute,to:'2017-09-01T12:51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4" s="194" t="str">
        <f>IF(AA74&lt;VLOOKUP(AG74,Variables!$AC$3:$AD$8,2,FALSE),"Y","N")</f>
        <v>N</v>
      </c>
      <c r="X74" s="194">
        <f t="shared" si="6"/>
        <v>1</v>
      </c>
      <c r="Y74" s="194">
        <f t="shared" si="7"/>
        <v>4.7500000000000001E-2</v>
      </c>
      <c r="Z74" s="194">
        <f t="shared" si="8"/>
        <v>23.331399999999999</v>
      </c>
      <c r="AA74" s="194">
        <f t="shared" si="9"/>
        <v>23.283899999999999</v>
      </c>
      <c r="AB74" s="54" t="e">
        <f>VLOOKUP(A74,Enforcements!$C$7:$K$11,8,0)</f>
        <v>#N/A</v>
      </c>
      <c r="AC74" s="51" t="e">
        <f>VLOOKUP(A74,Enforcements!$C$7:$E$11,3,0)</f>
        <v>#N/A</v>
      </c>
      <c r="AD74" s="203">
        <f t="shared" si="10"/>
        <v>161</v>
      </c>
      <c r="AE74" s="77" t="str">
        <f t="shared" si="11"/>
        <v>aws s3 cp s3://rtdc.mdm.uploadarchive.raw/RTDC4026/ "%USERPROFILE%\AppData\Local\Temp\OnboardLogs"\RTDC4026\2017-09-01 --exclude "*" --recursive --include "*20170901*" &amp; "%USERPROFILE%\Documents\GitHub\mrs-test-scripts\Headless Mode &amp; Sideloading\WalkAndUnGZ.bat" "%USERPROFILE%\AppData\Local\Temp\OnboardLogs"\RTDC4026\2017-09-01 &amp; aws s3 cp s3://rtdc.mdm.uploadarchive.raw/RTDC4026/ "%USERPROFILE%\AppData\Local\Temp\OnboardLogs"\RTDC4026\2017-09-02 --exclude "*" --recursive --include "*20170902*" &amp; "%USERPROFILE%\Documents\GitHub\mrs-test-scripts\Headless Mode &amp; Sideloading\WalkAndUnGZ.bat" "%USERPROFILE%\AppData\Local\Temp\OnboardLogs"\RTDC4026\2017-09-02</v>
      </c>
      <c r="AF74" s="74" t="str">
        <f t="shared" si="12"/>
        <v>"C:\Program Files (x86)\AstroGrep\AstroGrep.exe" /e /r /s /spath="%USERPROFILE%\AppData\Local\Temp\OnboardLogs" /stypes="app*4026*20170901*" /stext=" 17:.+((SYSTEM_STATE.+slice.+state.+changed )|(ment ac)|(multiple cpu faults)|(system.+state.+changed )|(\[timeout)|(PRM\|1\|D)|(kpr)|(kdp)|(train st.+moving)|(\|lc)|(penalty))"</v>
      </c>
      <c r="AG74" s="206" t="str">
        <f t="shared" si="13"/>
        <v>EC</v>
      </c>
      <c r="AH74" s="78" t="str">
        <f t="shared" si="18"/>
        <v>"%USERPROFILE%\Documents\GitHub\eaglep3\Utilities\RefineRTDCRunTimes.py" --tripid 161-01 --locoid 4026 --swversion DE.1.0.9.0 --startMP 204:475 --initTime 2017-09-01T11:10:52 --startdatetime 2017-09-01T11:15:14 --delay 123 --endMP 204:233314 --enddatetime 2017-09-01T11:51:14 --enforcementcount 0 &gt;&gt;C:\Users\stu\Documents\GitHub\eaglep3-reporting\EC\2017-09-01-refined-times.txt</v>
      </c>
      <c r="AI74" s="96" t="str">
        <f t="shared" si="19"/>
        <v>echo {"issue":{"subject":"","project_id":79,"tracker_id":40,"status_id":1,"priority_id":2,"assigned_to_id":338,"start_date":"2017-09-01","description":"","custom_fields":[{"id":1,"name":"Subdivision","value":"EC"},{"id":4,"name":"Milepost","value":"23.3314"},{"id":17,"name":"Train ID","value":"161-01"},{"id":16,"name":"Locomotive ID","value":"4026"},{"id":130,"name":"Impact","value":""},{"id":150,"name":"Time of Event (Mountain Time)","value":"11:51:14"},{"id":151,"name":"Denver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4026 --day 2017-09-01</v>
      </c>
      <c r="AN74" s="151" t="str">
        <f t="shared" si="2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17:51:14"},{"id":29,"name":"Sharepoint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716</v>
      </c>
      <c r="B75" s="7">
        <v>4025</v>
      </c>
      <c r="C75" s="21" t="s">
        <v>197</v>
      </c>
      <c r="D75" s="21" t="s">
        <v>859</v>
      </c>
      <c r="E75" s="13">
        <v>42979.499120370368</v>
      </c>
      <c r="F75" s="13">
        <v>42979.508518518516</v>
      </c>
      <c r="G75" s="7">
        <v>143</v>
      </c>
      <c r="H75" s="21" t="s">
        <v>338</v>
      </c>
      <c r="I75" s="13">
        <v>42979.535254629627</v>
      </c>
      <c r="J75" s="7">
        <v>0</v>
      </c>
      <c r="K75" s="89" t="str">
        <f t="shared" si="0"/>
        <v>4025/4026</v>
      </c>
      <c r="L75" s="214" t="str">
        <f>VLOOKUP(A75,'Trips&amp;Operators'!$C$1:$G$99911,5,FALSE)</f>
        <v>SAFIEF AEIMEN</v>
      </c>
      <c r="M75" s="6">
        <f t="shared" si="1"/>
        <v>2.6736111110949423E-2</v>
      </c>
      <c r="N75" s="7">
        <f t="shared" si="2"/>
        <v>38.499999999767169</v>
      </c>
      <c r="O75" s="7"/>
      <c r="P75" s="7"/>
      <c r="Q75" s="22"/>
      <c r="R75" s="167"/>
      <c r="S75" s="210">
        <f t="shared" si="3"/>
        <v>1</v>
      </c>
      <c r="T75" s="192" t="str">
        <f t="shared" si="4"/>
        <v>Southbound</v>
      </c>
      <c r="U75" s="192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3" t="str">
        <f t="shared" si="5"/>
        <v>https://d0f6bd738d7f1b3e5a7ca70fe4ff75f0.us-east-1.aws.found.io/app/kibana#/discover/Steve-Slow-Train-Analysis-(2080s-and-2083s)?_g=(refreshInterval:(display:Off,pause:!f,section:0,value:0),time:(from:'2017-09-01T10:58:44-0600',mode:absolute,to:'2017-09-01T13:50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5" s="194" t="str">
        <f>IF(AA75&lt;VLOOKUP(AG75,Variables!$AC$3:$AD$8,2,FALSE),"Y","N")</f>
        <v>N</v>
      </c>
      <c r="X75" s="194">
        <f t="shared" si="6"/>
        <v>1</v>
      </c>
      <c r="Y75" s="194">
        <f t="shared" si="7"/>
        <v>23.3</v>
      </c>
      <c r="Z75" s="194">
        <f t="shared" si="8"/>
        <v>1.4999999999999999E-2</v>
      </c>
      <c r="AA75" s="194">
        <f t="shared" si="9"/>
        <v>23.285</v>
      </c>
      <c r="AB75" s="54" t="e">
        <f>VLOOKUP(A75,Enforcements!$C$7:$K$11,8,0)</f>
        <v>#N/A</v>
      </c>
      <c r="AC75" s="51" t="e">
        <f>VLOOKUP(A75,Enforcements!$C$7:$E$11,3,0)</f>
        <v>#N/A</v>
      </c>
      <c r="AD75" s="203">
        <f t="shared" si="10"/>
        <v>162</v>
      </c>
      <c r="AE75" s="77" t="str">
        <f t="shared" si="11"/>
        <v>aws s3 cp s3://rtdc.mdm.uploadarchive.raw/RTDC4025/ "%USERPROFILE%\AppData\Local\Temp\OnboardLogs"\RTDC4025\2017-09-01 --exclude "*" --recursive --include "*20170901*" &amp; "%USERPROFILE%\Documents\GitHub\mrs-test-scripts\Headless Mode &amp; Sideloading\WalkAndUnGZ.bat" "%USERPROFILE%\AppData\Local\Temp\OnboardLogs"\RTDC4025\2017-09-01 &amp; aws s3 cp s3://rtdc.mdm.uploadarchive.raw/RTDC4025/ "%USERPROFILE%\AppData\Local\Temp\OnboardLogs"\RTDC4025\2017-09-02 --exclude "*" --recursive --include "*20170902*" &amp; "%USERPROFILE%\Documents\GitHub\mrs-test-scripts\Headless Mode &amp; Sideloading\WalkAndUnGZ.bat" "%USERPROFILE%\AppData\Local\Temp\OnboardLogs"\RTDC4025\2017-09-02</v>
      </c>
      <c r="AF75" s="74" t="str">
        <f t="shared" si="12"/>
        <v>"C:\Program Files (x86)\AstroGrep\AstroGrep.exe" /e /r /s /spath="%USERPROFILE%\AppData\Local\Temp\OnboardLogs" /stypes="app*4025*20170901*" /stext=" 18:.+((SYSTEM_STATE.+slice.+state.+changed )|(ment ac)|(multiple cpu faults)|(system.+state.+changed )|(\[timeout)|(PRM\|1\|D)|(kpr)|(kdp)|(train st.+moving)|(\|lc)|(penalty))"</v>
      </c>
      <c r="AG75" s="206" t="str">
        <f t="shared" si="13"/>
        <v>EC</v>
      </c>
      <c r="AH75" s="78" t="str">
        <f t="shared" si="18"/>
        <v>"%USERPROFILE%\Documents\GitHub\eaglep3\Utilities\RefineRTDCRunTimes.py" --tripid 162-01 --locoid 4025 --swversion DE.1.0.9.0 --startMP 204:233000 --initTime 2017-09-01T11:58:44 --startdatetime 2017-09-01T12:12:16 --delay 143 --endMP 204:150 --enddatetime 2017-09-01T12:50:46 --enforcementcount 0 &gt;&gt;C:\Users\stu\Documents\GitHub\eaglep3-reporting\EC\2017-09-01-refined-times.txt</v>
      </c>
      <c r="AI75" s="96" t="str">
        <f t="shared" si="19"/>
        <v>echo {"issue":{"subject":"","project_id":79,"tracker_id":40,"status_id":1,"priority_id":2,"assigned_to_id":338,"start_date":"2017-09-01","description":"","custom_fields":[{"id":1,"name":"Subdivision","value":"EC"},{"id":4,"name":"Milepost","value":"0.015"},{"id":17,"name":"Train ID","value":"162-01"},{"id":16,"name":"Locomotive ID","value":"4025"},{"id":130,"name":"Impact","value":""},{"id":150,"name":"Time of Event (Mountain Time)","value":"12:50:46"},{"id":151,"name":"Denver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4025 --day 2017-09-01</v>
      </c>
      <c r="AN75" s="151" t="str">
        <f t="shared" si="2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18:50:46"},{"id":29,"name":"Sharepoint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601</v>
      </c>
      <c r="B76" s="7">
        <v>4012</v>
      </c>
      <c r="C76" s="21" t="s">
        <v>197</v>
      </c>
      <c r="D76" s="21" t="s">
        <v>370</v>
      </c>
      <c r="E76" s="13">
        <v>42979.475636574076</v>
      </c>
      <c r="F76" s="13">
        <v>42979.479398148149</v>
      </c>
      <c r="G76" s="7">
        <v>88</v>
      </c>
      <c r="H76" s="21" t="s">
        <v>860</v>
      </c>
      <c r="I76" s="13">
        <v>42979.499247685184</v>
      </c>
      <c r="J76" s="7">
        <v>0</v>
      </c>
      <c r="K76" s="89" t="str">
        <f t="shared" si="0"/>
        <v>4011/4012</v>
      </c>
      <c r="L76" s="214" t="str">
        <f>VLOOKUP(A76,'Trips&amp;Operators'!$C$1:$G$99911,5,FALSE)</f>
        <v>BRUDER RICHARD</v>
      </c>
      <c r="M76" s="6">
        <f t="shared" si="1"/>
        <v>1.9849537035042886E-2</v>
      </c>
      <c r="N76" s="7"/>
      <c r="O76" s="7"/>
      <c r="P76" s="7">
        <f t="shared" si="2"/>
        <v>28.583333330461755</v>
      </c>
      <c r="Q76" s="22"/>
      <c r="R76" s="167" t="s">
        <v>987</v>
      </c>
      <c r="S76" s="210">
        <f t="shared" si="3"/>
        <v>1</v>
      </c>
      <c r="T76" s="192" t="str">
        <f t="shared" si="4"/>
        <v>NorthBound</v>
      </c>
      <c r="U76" s="192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3" t="str">
        <f t="shared" si="5"/>
        <v>https://d0f6bd738d7f1b3e5a7ca70fe4ff75f0.us-east-1.aws.found.io/app/kibana#/discover/Steve-Slow-Train-Analysis-(2080s-and-2083s)?_g=(refreshInterval:(display:Off,pause:!f,section:0,value:0),time:(from:'2017-09-01T10:24:55-0600',mode:absolute,to:'2017-09-01T12:58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6" s="194" t="str">
        <f>IF(AA76&lt;VLOOKUP(AG76,Variables!$AC$3:$AD$8,2,FALSE),"Y","N")</f>
        <v>Y</v>
      </c>
      <c r="X76" s="194">
        <f t="shared" si="6"/>
        <v>1</v>
      </c>
      <c r="Y76" s="194">
        <f t="shared" si="7"/>
        <v>4.6399999999999997E-2</v>
      </c>
      <c r="Z76" s="194">
        <f t="shared" si="8"/>
        <v>16.454699999999999</v>
      </c>
      <c r="AA76" s="194">
        <f t="shared" si="9"/>
        <v>16.408300000000001</v>
      </c>
      <c r="AB76" s="54" t="e">
        <f>VLOOKUP(A76,Enforcements!$C$7:$K$11,8,0)</f>
        <v>#N/A</v>
      </c>
      <c r="AC76" s="51" t="e">
        <f>VLOOKUP(A76,Enforcements!$C$7:$E$11,3,0)</f>
        <v>#N/A</v>
      </c>
      <c r="AD76" s="203">
        <f t="shared" si="10"/>
        <v>163</v>
      </c>
      <c r="AE76" s="77" t="str">
        <f t="shared" si="11"/>
        <v>aws s3 cp s3://rtdc.mdm.uploadarchive.raw/RTDC4012/ "%USERPROFILE%\AppData\Local\Temp\OnboardLogs"\RTDC4012\2017-09-01 --exclude "*" --recursive --include "*20170901*" &amp; "%USERPROFILE%\Documents\GitHub\mrs-test-scripts\Headless Mode &amp; Sideloading\WalkAndUnGZ.bat" "%USERPROFILE%\AppData\Local\Temp\OnboardLogs"\RTDC4012\2017-09-01 &amp; aws s3 cp s3://rtdc.mdm.uploadarchive.raw/RTDC4012/ "%USERPROFILE%\AppData\Local\Temp\OnboardLogs"\RTDC4012\2017-09-02 --exclude "*" --recursive --include "*20170902*" &amp; "%USERPROFILE%\Documents\GitHub\mrs-test-scripts\Headless Mode &amp; Sideloading\WalkAndUnGZ.bat" "%USERPROFILE%\AppData\Local\Temp\OnboardLogs"\RTDC4012\2017-09-02</v>
      </c>
      <c r="AF76" s="74" t="str">
        <f t="shared" si="12"/>
        <v>"C:\Program Files (x86)\AstroGrep\AstroGrep.exe" /e /r /s /spath="%USERPROFILE%\AppData\Local\Temp\OnboardLogs" /stypes="app*4012*20170901*" /stext=" 17:.+((SYSTEM_STATE.+slice.+state.+changed )|(ment ac)|(multiple cpu faults)|(system.+state.+changed )|(\[timeout)|(PRM\|1\|D)|(kpr)|(kdp)|(train st.+moving)|(\|lc)|(penalty))"</v>
      </c>
      <c r="AG76" s="206" t="str">
        <f t="shared" si="13"/>
        <v>EC</v>
      </c>
      <c r="AH76" s="78" t="str">
        <f t="shared" si="18"/>
        <v>"%USERPROFILE%\Documents\GitHub\eaglep3\Utilities\RefineRTDCRunTimes.py" --tripid 163-01 --locoid 4012 --swversion DE.1.0.9.0 --startMP 204:464 --initTime 2017-09-01T11:24:55 --startdatetime 2017-09-01T11:30:20 --delay 88 --endMP 204:164547 --enddatetime 2017-09-01T11:58:55 --enforcementcount 0 &gt;&gt;C:\Users\stu\Documents\GitHub\eaglep3-reporting\EC\2017-09-01-refined-times.txt</v>
      </c>
      <c r="AI76" s="96" t="str">
        <f t="shared" si="19"/>
        <v>echo {"issue":{"subject":"False occupancy @ ML1680","project_id":79,"tracker_id":40,"status_id":1,"priority_id":2,"assigned_to_id":338,"start_date":"2017-09-01","description":"","custom_fields":[{"id":1,"name":"Subdivision","value":"EC"},{"id":4,"name":"Milepost","value":"16.4547"},{"id":17,"name":"Train ID","value":"163-01"},{"id":16,"name":"Locomotive ID","value":"4012"},{"id":130,"name":"Impact","value":""},{"id":150,"name":"Time of Event (Mountain Time)","value":"11:58:55"},{"id":151,"name":"Denver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4012 --day 2017-09-01</v>
      </c>
      <c r="AN76" s="151" t="str">
        <f t="shared" si="21"/>
        <v>echo {"issue":{"subject":"False occupancy @ ML1680","project_id":30,"tracker_id":4,"status_id":1,"priority_id":1,"assigned_to_id":10,"start_date":"2017-09-01","description":"","custom_fields":[{"id":30,"name":"Category","value":"Issue"},{"id":3,"name":"Functional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17:58:55"},{"id":29,"name":"Sharepoint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722</v>
      </c>
      <c r="B77" s="7">
        <v>4011</v>
      </c>
      <c r="C77" s="21" t="s">
        <v>197</v>
      </c>
      <c r="D77" s="21" t="s">
        <v>553</v>
      </c>
      <c r="E77" s="13">
        <v>42979.5153125</v>
      </c>
      <c r="F77" s="13">
        <v>42979.518912037034</v>
      </c>
      <c r="G77" s="7">
        <v>76</v>
      </c>
      <c r="H77" s="21" t="s">
        <v>382</v>
      </c>
      <c r="I77" s="13">
        <v>42979.54414351852</v>
      </c>
      <c r="J77" s="7">
        <v>0</v>
      </c>
      <c r="K77" s="89" t="str">
        <f t="shared" ref="K77:K140" si="22">IF(ISEVEN(B77),(B77-1)&amp;"/"&amp;B77,B77&amp;"/"&amp;(B77+1))</f>
        <v>4011/4012</v>
      </c>
      <c r="L77" s="214" t="str">
        <f>VLOOKUP(A77,'Trips&amp;Operators'!$C$1:$G$99911,5,FALSE)</f>
        <v>BRUDER RICHARD</v>
      </c>
      <c r="M77" s="6">
        <f t="shared" ref="M77:M140" si="23">I77-F77</f>
        <v>2.5231481486116536E-2</v>
      </c>
      <c r="N77" s="7">
        <f t="shared" ref="N77:P140" si="24">24*60*SUM($M77:$M77)</f>
        <v>36.333333340007812</v>
      </c>
      <c r="O77" s="7"/>
      <c r="P77" s="7"/>
      <c r="Q77" s="22"/>
      <c r="R77" s="167"/>
      <c r="S77" s="210">
        <f t="shared" ref="S77:S140" si="25">1/IF(AG77="EC",12,1)*SUM(U77:U77)</f>
        <v>1</v>
      </c>
      <c r="T77" s="192" t="str">
        <f t="shared" ref="T77:T140" si="26">IF(ISEVEN(LEFT(AD77,4)),"Southbound","NorthBound")</f>
        <v>Southbound</v>
      </c>
      <c r="U77" s="192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3" t="str">
        <f t="shared" ref="V77:V140" si="27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-09-01T11:22:03-0600',mode:absolute,to:'2017-09-01T14:03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7" s="194" t="str">
        <f>IF(AA77&lt;VLOOKUP(AG77,Variables!$AC$3:$AD$8,2,FALSE),"Y","N")</f>
        <v>N</v>
      </c>
      <c r="X77" s="194">
        <f t="shared" ref="X77:X140" si="28">VALUE(LEFT(AD77,4))-VALUE(LEFT(AD76,4))</f>
        <v>1</v>
      </c>
      <c r="Y77" s="194">
        <f t="shared" ref="Y77:Y140" si="29">RIGHT(D77,LEN(D77)-4)/10000</f>
        <v>23.3004</v>
      </c>
      <c r="Z77" s="194">
        <f t="shared" ref="Z77:Z140" si="30">RIGHT(H77,LEN(H77)-4)/10000</f>
        <v>1.5599999999999999E-2</v>
      </c>
      <c r="AA77" s="194">
        <f t="shared" ref="AA77:AA140" si="31">ABS(Z77-Y77)</f>
        <v>23.284800000000001</v>
      </c>
      <c r="AB77" s="54" t="e">
        <f>VLOOKUP(A77,Enforcements!$C$7:$K$11,8,0)</f>
        <v>#N/A</v>
      </c>
      <c r="AC77" s="51" t="e">
        <f>VLOOKUP(A77,Enforcements!$C$7:$E$11,3,0)</f>
        <v>#N/A</v>
      </c>
      <c r="AD77" s="203">
        <f t="shared" ref="AD77:AD140" si="32">VALUE(LEFT(A77,LEN(A77)-3))</f>
        <v>164</v>
      </c>
      <c r="AE77" s="77" t="str">
        <f t="shared" ref="AE77:AE140" si="33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s3://rtdc.mdm.uploadarchive.raw/RTDC4011/ "%USERPROFILE%\AppData\Local\Temp\OnboardLogs"\RTDC4011\2017-09-01 --exclude "*" --recursive --include "*20170901*" &amp; "%USERPROFILE%\Documents\GitHub\mrs-test-scripts\Headless Mode &amp; Sideloading\WalkAndUnGZ.bat" "%USERPROFILE%\AppData\Local\Temp\OnboardLogs"\RTDC4011\2017-09-01 &amp; aws s3 cp s3://rtdc.mdm.uploadarchive.raw/RTDC4011/ "%USERPROFILE%\AppData\Local\Temp\OnboardLogs"\RTDC4011\2017-09-02 --exclude "*" --recursive --include "*20170902*" &amp; "%USERPROFILE%\Documents\GitHub\mrs-test-scripts\Headless Mode &amp; Sideloading\WalkAndUnGZ.bat" "%USERPROFILE%\AppData\Local\Temp\OnboardLogs"\RTDC4011\2017-09-02</v>
      </c>
      <c r="AF77" s="74" t="str">
        <f t="shared" ref="AF77:AF140" si="34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/stypes="app*4011*20170901*" /stext=" 19:.+((SYSTEM_STATE.+slice.+state.+changed )|(ment ac)|(multiple cpu faults)|(system.+state.+changed )|(\[timeout)|(PRM\|1\|D)|(kpr)|(kdp)|(train st.+moving)|(\|lc)|(penalty))"</v>
      </c>
      <c r="AG77" s="206" t="str">
        <f t="shared" ref="AG77:AG140" si="35">DetSubdiv(A77)</f>
        <v>EC</v>
      </c>
      <c r="AH77" s="78" t="str">
        <f t="shared" si="18"/>
        <v>"%USERPROFILE%\Documents\GitHub\eaglep3\Utilities\RefineRTDCRunTimes.py" --tripid 164-01 --locoid 4011 --swversion DE.1.0.9.0 --startMP 204:233004 --initTime 2017-09-01T12:22:03 --startdatetime 2017-09-01T12:27:14 --delay 76 --endMP 204:156 --enddatetime 2017-09-01T13:03:34 --enforcementcount 0 &gt;&gt;C:\Users\stu\Documents\GitHub\eaglep3-reporting\EC\2017-09-01-refined-times.txt</v>
      </c>
      <c r="AI77" s="96" t="str">
        <f t="shared" si="19"/>
        <v>echo {"issue":{"subject":"","project_id":79,"tracker_id":40,"status_id":1,"priority_id":2,"assigned_to_id":338,"start_date":"2017-09-01","description":"","custom_fields":[{"id":1,"name":"Subdivision","value":"EC"},{"id":4,"name":"Milepost","value":"0.0156"},{"id":17,"name":"Train ID","value":"164-01"},{"id":16,"name":"Locomotive ID","value":"4011"},{"id":130,"name":"Impact","value":""},{"id":150,"name":"Time of Event (Mountain Time)","value":"13:03:34"},{"id":151,"name":"Denver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20"/>
        <v>start /low /b %USERPROFILE%\Documents\GitHub\eaglep3\Utilities\DownloadLogsFromS3.py --loco 4011 --day 2017-09-01</v>
      </c>
      <c r="AN77" s="151" t="str">
        <f t="shared" si="21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19:03:34"},{"id":29,"name":"Sharepoint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712</v>
      </c>
      <c r="B78" s="7">
        <v>4006</v>
      </c>
      <c r="C78" s="21" t="s">
        <v>197</v>
      </c>
      <c r="D78" s="21" t="s">
        <v>383</v>
      </c>
      <c r="E78" s="13">
        <v>42979.485833333332</v>
      </c>
      <c r="F78" s="13">
        <v>42979.489768518521</v>
      </c>
      <c r="G78" s="7">
        <v>82</v>
      </c>
      <c r="H78" s="21" t="s">
        <v>861</v>
      </c>
      <c r="I78" s="13">
        <v>42979.514745370368</v>
      </c>
      <c r="J78" s="7">
        <v>0</v>
      </c>
      <c r="K78" s="89" t="str">
        <f t="shared" si="22"/>
        <v>4005/4006</v>
      </c>
      <c r="L78" s="214" t="str">
        <f>VLOOKUP(A78,'Trips&amp;Operators'!$C$1:$G$99911,5,FALSE)</f>
        <v>LEVERE CRAIG</v>
      </c>
      <c r="M78" s="6">
        <f t="shared" si="23"/>
        <v>2.4976851847895887E-2</v>
      </c>
      <c r="N78" s="7">
        <f t="shared" si="24"/>
        <v>35.966666660970077</v>
      </c>
      <c r="O78" s="7"/>
      <c r="P78" s="7"/>
      <c r="Q78" s="22"/>
      <c r="R78" s="167"/>
      <c r="S78" s="210">
        <f t="shared" si="25"/>
        <v>1</v>
      </c>
      <c r="T78" s="192" t="str">
        <f t="shared" si="26"/>
        <v>NorthBound</v>
      </c>
      <c r="U78" s="192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3" t="str">
        <f t="shared" si="27"/>
        <v>https://d0f6bd738d7f1b3e5a7ca70fe4ff75f0.us-east-1.aws.found.io/app/kibana#/discover/Steve-Slow-Train-Analysis-(2080s-and-2083s)?_g=(refreshInterval:(display:Off,pause:!f,section:0,value:0),time:(from:'2017-09-01T10:39:36-0600',mode:absolute,to:'2017-09-01T13:21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8" s="194" t="str">
        <f>IF(AA78&lt;VLOOKUP(AG78,Variables!$AC$3:$AD$8,2,FALSE),"Y","N")</f>
        <v>N</v>
      </c>
      <c r="X78" s="194">
        <f t="shared" si="28"/>
        <v>1</v>
      </c>
      <c r="Y78" s="194">
        <f t="shared" si="29"/>
        <v>4.6699999999999998E-2</v>
      </c>
      <c r="Z78" s="194">
        <f t="shared" si="30"/>
        <v>23.3309</v>
      </c>
      <c r="AA78" s="194">
        <f t="shared" si="31"/>
        <v>23.284199999999998</v>
      </c>
      <c r="AB78" s="54" t="e">
        <f>VLOOKUP(A78,Enforcements!$C$7:$K$11,8,0)</f>
        <v>#N/A</v>
      </c>
      <c r="AC78" s="51" t="e">
        <f>VLOOKUP(A78,Enforcements!$C$7:$E$11,3,0)</f>
        <v>#N/A</v>
      </c>
      <c r="AD78" s="203">
        <f t="shared" si="32"/>
        <v>165</v>
      </c>
      <c r="AE78" s="77" t="str">
        <f t="shared" si="33"/>
        <v>aws s3 cp s3://rtdc.mdm.uploadarchive.raw/RTDC4006/ "%USERPROFILE%\AppData\Local\Temp\OnboardLogs"\RTDC4006\2017-09-01 --exclude "*" --recursive --include "*20170901*" &amp; "%USERPROFILE%\Documents\GitHub\mrs-test-scripts\Headless Mode &amp; Sideloading\WalkAndUnGZ.bat" "%USERPROFILE%\AppData\Local\Temp\OnboardLogs"\RTDC4006\2017-09-01 &amp; aws s3 cp s3://rtdc.mdm.uploadarchive.raw/RTDC4006/ "%USERPROFILE%\AppData\Local\Temp\OnboardLogs"\RTDC4006\2017-09-02 --exclude "*" --recursive --include "*20170902*" &amp; "%USERPROFILE%\Documents\GitHub\mrs-test-scripts\Headless Mode &amp; Sideloading\WalkAndUnGZ.bat" "%USERPROFILE%\AppData\Local\Temp\OnboardLogs"\RTDC4006\2017-09-02</v>
      </c>
      <c r="AF78" s="74" t="str">
        <f t="shared" si="34"/>
        <v>"C:\Program Files (x86)\AstroGrep\AstroGrep.exe" /e /r /s /spath="%USERPROFILE%\AppData\Local\Temp\OnboardLogs" /stypes="app*4006*20170901*" /stext=" 18:.+((SYSTEM_STATE.+slice.+state.+changed )|(ment ac)|(multiple cpu faults)|(system.+state.+changed )|(\[timeout)|(PRM\|1\|D)|(kpr)|(kdp)|(train st.+moving)|(\|lc)|(penalty))"</v>
      </c>
      <c r="AG78" s="206" t="str">
        <f t="shared" si="35"/>
        <v>EC</v>
      </c>
      <c r="AH78" s="78" t="str">
        <f t="shared" ref="AH78:AH141" si="36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165-01 --locoid 4006 --swversion DE.1.0.9.0 --startMP 204:467 --initTime 2017-09-01T11:39:36 --startdatetime 2017-09-01T11:45:16 --delay 82 --endMP 204:233309 --enddatetime 2017-09-01T12:21:14 --enforcementcount 0 &gt;&gt;C:\Users\stu\Documents\GitHub\eaglep3-reporting\EC\2017-09-01-refined-times.txt</v>
      </c>
      <c r="AI78" s="96" t="str">
        <f t="shared" ref="AI78:AI141" si="37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{"issue":{"subject":"","project_id":79,"tracker_id":40,"status_id":1,"priority_id":2,"assigned_to_id":338,"start_date":"2017-09-01","description":"","custom_fields":[{"id":1,"name":"Subdivision","value":"EC"},{"id":4,"name":"Milepost","value":"23.3309"},{"id":17,"name":"Train ID","value":"165-01"},{"id":16,"name":"Locomotive ID","value":"4006"},{"id":130,"name":"Impact","value":""},{"id":150,"name":"Time of Event (Mountain Time)","value":"12:21:14"},{"id":151,"name":"Denver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ref="AM78:AM141" si="38">"start /low /b "&amp;dls3logs&amp;" --loco "&amp;B78&amp;" --day "&amp;TEXT(F78,"YYYY-MM-DD")</f>
        <v>start /low /b %USERPROFILE%\Documents\GitHub\eaglep3\Utilities\DownloadLogsFromS3.py --loco 4006 --day 2017-09-01</v>
      </c>
      <c r="AN78" s="151" t="str">
        <f t="shared" ref="AN78:AN141" si="39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18:21:14"},{"id":29,"name":"Sharepoint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724</v>
      </c>
      <c r="B79" s="7">
        <v>4005</v>
      </c>
      <c r="C79" s="21" t="s">
        <v>197</v>
      </c>
      <c r="D79" s="21" t="s">
        <v>394</v>
      </c>
      <c r="E79" s="13">
        <v>42979.522905092592</v>
      </c>
      <c r="F79" s="13">
        <v>42979.529340277775</v>
      </c>
      <c r="G79" s="7">
        <v>69</v>
      </c>
      <c r="H79" s="21" t="s">
        <v>339</v>
      </c>
      <c r="I79" s="13">
        <v>42979.556388888886</v>
      </c>
      <c r="J79" s="7">
        <v>0</v>
      </c>
      <c r="K79" s="89" t="str">
        <f t="shared" si="22"/>
        <v>4005/4006</v>
      </c>
      <c r="L79" s="214" t="str">
        <f>VLOOKUP(A79,'Trips&amp;Operators'!$C$1:$G$99911,5,FALSE)</f>
        <v>LEVERE CRAIG</v>
      </c>
      <c r="M79" s="6">
        <f t="shared" si="23"/>
        <v>2.7048611111240461E-2</v>
      </c>
      <c r="N79" s="7">
        <f t="shared" si="24"/>
        <v>38.950000000186265</v>
      </c>
      <c r="O79" s="7"/>
      <c r="P79" s="7"/>
      <c r="Q79" s="22"/>
      <c r="R79" s="167"/>
      <c r="S79" s="210">
        <f t="shared" si="25"/>
        <v>1</v>
      </c>
      <c r="T79" s="192" t="str">
        <f t="shared" si="26"/>
        <v>Southbound</v>
      </c>
      <c r="U79" s="192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3" t="str">
        <f t="shared" si="27"/>
        <v>https://d0f6bd738d7f1b3e5a7ca70fe4ff75f0.us-east-1.aws.found.io/app/kibana#/discover/Steve-Slow-Train-Analysis-(2080s-and-2083s)?_g=(refreshInterval:(display:Off,pause:!f,section:0,value:0),time:(from:'2017-09-01T11:32:59-0600',mode:absolute,to:'2017-09-01T14:21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79" s="194" t="str">
        <f>IF(AA79&lt;VLOOKUP(AG79,Variables!$AC$3:$AD$8,2,FALSE),"Y","N")</f>
        <v>N</v>
      </c>
      <c r="X79" s="194">
        <f t="shared" si="28"/>
        <v>1</v>
      </c>
      <c r="Y79" s="194">
        <f t="shared" si="29"/>
        <v>23.297999999999998</v>
      </c>
      <c r="Z79" s="194">
        <f t="shared" si="30"/>
        <v>1.49E-2</v>
      </c>
      <c r="AA79" s="194">
        <f t="shared" si="31"/>
        <v>23.283099999999997</v>
      </c>
      <c r="AB79" s="54" t="e">
        <f>VLOOKUP(A79,Enforcements!$C$7:$K$11,8,0)</f>
        <v>#N/A</v>
      </c>
      <c r="AC79" s="51" t="e">
        <f>VLOOKUP(A79,Enforcements!$C$7:$E$11,3,0)</f>
        <v>#N/A</v>
      </c>
      <c r="AD79" s="203">
        <f t="shared" si="32"/>
        <v>166</v>
      </c>
      <c r="AE79" s="77" t="str">
        <f t="shared" si="33"/>
        <v>aws s3 cp s3://rtdc.mdm.uploadarchive.raw/RTDC4005/ "%USERPROFILE%\AppData\Local\Temp\OnboardLogs"\RTDC4005\2017-09-01 --exclude "*" --recursive --include "*20170901*" &amp; "%USERPROFILE%\Documents\GitHub\mrs-test-scripts\Headless Mode &amp; Sideloading\WalkAndUnGZ.bat" "%USERPROFILE%\AppData\Local\Temp\OnboardLogs"\RTDC4005\2017-09-01 &amp; aws s3 cp s3://rtdc.mdm.uploadarchive.raw/RTDC4005/ "%USERPROFILE%\AppData\Local\Temp\OnboardLogs"\RTDC4005\2017-09-02 --exclude "*" --recursive --include "*20170902*" &amp; "%USERPROFILE%\Documents\GitHub\mrs-test-scripts\Headless Mode &amp; Sideloading\WalkAndUnGZ.bat" "%USERPROFILE%\AppData\Local\Temp\OnboardLogs"\RTDC4005\2017-09-02</v>
      </c>
      <c r="AF79" s="74" t="str">
        <f t="shared" si="34"/>
        <v>"C:\Program Files (x86)\AstroGrep\AstroGrep.exe" /e /r /s /spath="%USERPROFILE%\AppData\Local\Temp\OnboardLogs" /stypes="app*4005*20170901*" /stext=" 19:.+((SYSTEM_STATE.+slice.+state.+changed )|(ment ac)|(multiple cpu faults)|(system.+state.+changed )|(\[timeout)|(PRM\|1\|D)|(kpr)|(kdp)|(train st.+moving)|(\|lc)|(penalty))"</v>
      </c>
      <c r="AG79" s="206" t="str">
        <f t="shared" si="35"/>
        <v>EC</v>
      </c>
      <c r="AH79" s="78" t="str">
        <f t="shared" si="36"/>
        <v>"%USERPROFILE%\Documents\GitHub\eaglep3\Utilities\RefineRTDCRunTimes.py" --tripid 166-01 --locoid 4005 --swversion DE.1.0.9.0 --startMP 204:232980 --initTime 2017-09-01T12:32:59 --startdatetime 2017-09-01T12:42:15 --delay 69 --endMP 204:149 --enddatetime 2017-09-01T13:21:12 --enforcementcount 0 &gt;&gt;C:\Users\stu\Documents\GitHub\eaglep3-reporting\EC\2017-09-01-refined-times.txt</v>
      </c>
      <c r="AI79" s="96" t="str">
        <f t="shared" si="37"/>
        <v>echo {"issue":{"subject":"","project_id":79,"tracker_id":40,"status_id":1,"priority_id":2,"assigned_to_id":338,"start_date":"2017-09-01","description":"","custom_fields":[{"id":1,"name":"Subdivision","value":"EC"},{"id":4,"name":"Milepost","value":"0.0149"},{"id":17,"name":"Train ID","value":"166-01"},{"id":16,"name":"Locomotive ID","value":"4005"},{"id":130,"name":"Impact","value":""},{"id":150,"name":"Time of Event (Mountain Time)","value":"13:21:12"},{"id":151,"name":"Denver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38"/>
        <v>start /low /b %USERPROFILE%\Documents\GitHub\eaglep3\Utilities\DownloadLogsFromS3.py --loco 4005 --day 2017-09-01</v>
      </c>
      <c r="AN79" s="151" t="str">
        <f t="shared" si="39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19:21:12"},{"id":29,"name":"Sharepoint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715</v>
      </c>
      <c r="B80" s="7">
        <v>4040</v>
      </c>
      <c r="C80" s="21" t="s">
        <v>197</v>
      </c>
      <c r="D80" s="21" t="s">
        <v>367</v>
      </c>
      <c r="E80" s="13">
        <v>42979.495439814818</v>
      </c>
      <c r="F80" s="13">
        <v>42979.500300925924</v>
      </c>
      <c r="G80" s="7">
        <v>61</v>
      </c>
      <c r="H80" s="21" t="s">
        <v>839</v>
      </c>
      <c r="I80" s="13">
        <v>42979.525509259256</v>
      </c>
      <c r="J80" s="7">
        <v>0</v>
      </c>
      <c r="K80" s="89" t="str">
        <f t="shared" si="22"/>
        <v>4039/4040</v>
      </c>
      <c r="L80" s="214" t="str">
        <f>VLOOKUP(A80,'Trips&amp;Operators'!$C$1:$G$99911,5,FALSE)</f>
        <v>FORTUNATO FRANK</v>
      </c>
      <c r="M80" s="6">
        <f t="shared" si="23"/>
        <v>2.5208333332557231E-2</v>
      </c>
      <c r="N80" s="7">
        <f t="shared" si="24"/>
        <v>36.299999998882413</v>
      </c>
      <c r="O80" s="7"/>
      <c r="P80" s="7"/>
      <c r="Q80" s="22"/>
      <c r="R80" s="167"/>
      <c r="S80" s="210">
        <f t="shared" si="25"/>
        <v>1</v>
      </c>
      <c r="T80" s="192" t="str">
        <f t="shared" si="26"/>
        <v>NorthBound</v>
      </c>
      <c r="U80" s="192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3" t="str">
        <f t="shared" si="27"/>
        <v>https://d0f6bd738d7f1b3e5a7ca70fe4ff75f0.us-east-1.aws.found.io/app/kibana#/discover/Steve-Slow-Train-Analysis-(2080s-and-2083s)?_g=(refreshInterval:(display:Off,pause:!f,section:0,value:0),time:(from:'2017-09-01T10:53:26-0600',mode:absolute,to:'2017-09-01T13:36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0" s="194" t="str">
        <f>IF(AA80&lt;VLOOKUP(AG80,Variables!$AC$3:$AD$8,2,FALSE),"Y","N")</f>
        <v>N</v>
      </c>
      <c r="X80" s="194">
        <f t="shared" si="28"/>
        <v>1</v>
      </c>
      <c r="Y80" s="194">
        <f t="shared" si="29"/>
        <v>4.5699999999999998E-2</v>
      </c>
      <c r="Z80" s="194">
        <f t="shared" si="30"/>
        <v>23.3325</v>
      </c>
      <c r="AA80" s="194">
        <f t="shared" si="31"/>
        <v>23.286799999999999</v>
      </c>
      <c r="AB80" s="54" t="e">
        <f>VLOOKUP(A80,Enforcements!$C$7:$K$11,8,0)</f>
        <v>#N/A</v>
      </c>
      <c r="AC80" s="51" t="e">
        <f>VLOOKUP(A80,Enforcements!$C$7:$E$11,3,0)</f>
        <v>#N/A</v>
      </c>
      <c r="AD80" s="203">
        <f t="shared" si="32"/>
        <v>167</v>
      </c>
      <c r="AE80" s="77" t="str">
        <f t="shared" si="33"/>
        <v>aws s3 cp s3://rtdc.mdm.uploadarchive.raw/RTDC4040/ "%USERPROFILE%\AppData\Local\Temp\OnboardLogs"\RTDC4040\2017-09-01 --exclude "*" --recursive --include "*20170901*" &amp; "%USERPROFILE%\Documents\GitHub\mrs-test-scripts\Headless Mode &amp; Sideloading\WalkAndUnGZ.bat" "%USERPROFILE%\AppData\Local\Temp\OnboardLogs"\RTDC4040\2017-09-01 &amp; aws s3 cp s3://rtdc.mdm.uploadarchive.raw/RTDC4040/ "%USERPROFILE%\AppData\Local\Temp\OnboardLogs"\RTDC4040\2017-09-02 --exclude "*" --recursive --include "*20170902*" &amp; "%USERPROFILE%\Documents\GitHub\mrs-test-scripts\Headless Mode &amp; Sideloading\WalkAndUnGZ.bat" "%USERPROFILE%\AppData\Local\Temp\OnboardLogs"\RTDC4040\2017-09-02</v>
      </c>
      <c r="AF80" s="74" t="str">
        <f t="shared" si="34"/>
        <v>"C:\Program Files (x86)\AstroGrep\AstroGrep.exe" /e /r /s /spath="%USERPROFILE%\AppData\Local\Temp\OnboardLogs" /stypes="app*4040*20170901*" /stext=" 18:.+((SYSTEM_STATE.+slice.+state.+changed )|(ment ac)|(multiple cpu faults)|(system.+state.+changed )|(\[timeout)|(PRM\|1\|D)|(kpr)|(kdp)|(train st.+moving)|(\|lc)|(penalty))"</v>
      </c>
      <c r="AG80" s="206" t="str">
        <f t="shared" si="35"/>
        <v>EC</v>
      </c>
      <c r="AH80" s="78" t="str">
        <f t="shared" si="36"/>
        <v>"%USERPROFILE%\Documents\GitHub\eaglep3\Utilities\RefineRTDCRunTimes.py" --tripid 167-01 --locoid 4040 --swversion DE.1.0.9.0 --startMP 204:457 --initTime 2017-09-01T11:53:26 --startdatetime 2017-09-01T12:00:26 --delay 61 --endMP 204:233325 --enddatetime 2017-09-01T12:36:44 --enforcementcount 0 &gt;&gt;C:\Users\stu\Documents\GitHub\eaglep3-reporting\EC\2017-09-01-refined-times.txt</v>
      </c>
      <c r="AI80" s="96" t="str">
        <f t="shared" si="37"/>
        <v>echo {"issue":{"subject":"","project_id":79,"tracker_id":40,"status_id":1,"priority_id":2,"assigned_to_id":338,"start_date":"2017-09-01","description":"","custom_fields":[{"id":1,"name":"Subdivision","value":"EC"},{"id":4,"name":"Milepost","value":"23.3325"},{"id":17,"name":"Train ID","value":"167-01"},{"id":16,"name":"Locomotive ID","value":"4040"},{"id":130,"name":"Impact","value":""},{"id":150,"name":"Time of Event (Mountain Time)","value":"12:36:44"},{"id":151,"name":"Denver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38"/>
        <v>start /low /b %USERPROFILE%\Documents\GitHub\eaglep3\Utilities\DownloadLogsFromS3.py --loco 4040 --day 2017-09-01</v>
      </c>
      <c r="AN80" s="151" t="str">
        <f t="shared" si="39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18:36:44"},{"id":29,"name":"Sharepoint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725</v>
      </c>
      <c r="B81" s="7">
        <v>4039</v>
      </c>
      <c r="C81" s="21" t="s">
        <v>197</v>
      </c>
      <c r="D81" s="21" t="s">
        <v>434</v>
      </c>
      <c r="E81" s="13">
        <v>42979.526782407411</v>
      </c>
      <c r="F81" s="13">
        <v>42979.53979166667</v>
      </c>
      <c r="G81" s="7">
        <v>65</v>
      </c>
      <c r="H81" s="21" t="s">
        <v>397</v>
      </c>
      <c r="I81" s="13">
        <v>42979.565868055557</v>
      </c>
      <c r="J81" s="7">
        <v>0</v>
      </c>
      <c r="K81" s="89" t="str">
        <f t="shared" si="22"/>
        <v>4039/4040</v>
      </c>
      <c r="L81" s="214" t="str">
        <f>VLOOKUP(A81,'Trips&amp;Operators'!$C$1:$G$99911,5,FALSE)</f>
        <v>FORTUNATO FRANK</v>
      </c>
      <c r="M81" s="6">
        <f t="shared" si="23"/>
        <v>2.6076388887304347E-2</v>
      </c>
      <c r="N81" s="7">
        <f t="shared" si="24"/>
        <v>37.54999999771826</v>
      </c>
      <c r="O81" s="7"/>
      <c r="P81" s="7"/>
      <c r="Q81" s="22"/>
      <c r="R81" s="167"/>
      <c r="S81" s="210">
        <f t="shared" si="25"/>
        <v>1</v>
      </c>
      <c r="T81" s="192" t="str">
        <f t="shared" si="26"/>
        <v>Southbound</v>
      </c>
      <c r="U81" s="192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3" t="str">
        <f t="shared" si="27"/>
        <v>https://d0f6bd738d7f1b3e5a7ca70fe4ff75f0.us-east-1.aws.found.io/app/kibana#/discover/Steve-Slow-Train-Analysis-(2080s-and-2083s)?_g=(refreshInterval:(display:Off,pause:!f,section:0,value:0),time:(from:'2017-09-01T11:38:34-0600',mode:absolute,to:'2017-09-01T14:34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1" s="194" t="str">
        <f>IF(AA81&lt;VLOOKUP(AG81,Variables!$AC$3:$AD$8,2,FALSE),"Y","N")</f>
        <v>N</v>
      </c>
      <c r="X81" s="194">
        <f t="shared" si="28"/>
        <v>1</v>
      </c>
      <c r="Y81" s="194">
        <f t="shared" si="29"/>
        <v>23.299299999999999</v>
      </c>
      <c r="Z81" s="194">
        <f t="shared" si="30"/>
        <v>1.3899999999999999E-2</v>
      </c>
      <c r="AA81" s="194">
        <f t="shared" si="31"/>
        <v>23.285399999999999</v>
      </c>
      <c r="AB81" s="54" t="e">
        <f>VLOOKUP(A81,Enforcements!$C$7:$K$11,8,0)</f>
        <v>#N/A</v>
      </c>
      <c r="AC81" s="51" t="e">
        <f>VLOOKUP(A81,Enforcements!$C$7:$E$11,3,0)</f>
        <v>#N/A</v>
      </c>
      <c r="AD81" s="203">
        <f t="shared" si="32"/>
        <v>168</v>
      </c>
      <c r="AE81" s="77" t="str">
        <f t="shared" si="33"/>
        <v>aws s3 cp s3://rtdc.mdm.uploadarchive.raw/RTDC4039/ "%USERPROFILE%\AppData\Local\Temp\OnboardLogs"\RTDC4039\2017-09-01 --exclude "*" --recursive --include "*20170901*" &amp; "%USERPROFILE%\Documents\GitHub\mrs-test-scripts\Headless Mode &amp; Sideloading\WalkAndUnGZ.bat" "%USERPROFILE%\AppData\Local\Temp\OnboardLogs"\RTDC4039\2017-09-01 &amp; aws s3 cp s3://rtdc.mdm.uploadarchive.raw/RTDC4039/ "%USERPROFILE%\AppData\Local\Temp\OnboardLogs"\RTDC4039\2017-09-02 --exclude "*" --recursive --include "*20170902*" &amp; "%USERPROFILE%\Documents\GitHub\mrs-test-scripts\Headless Mode &amp; Sideloading\WalkAndUnGZ.bat" "%USERPROFILE%\AppData\Local\Temp\OnboardLogs"\RTDC4039\2017-09-02</v>
      </c>
      <c r="AF81" s="74" t="str">
        <f t="shared" si="34"/>
        <v>"C:\Program Files (x86)\AstroGrep\AstroGrep.exe" /e /r /s /spath="%USERPROFILE%\AppData\Local\Temp\OnboardLogs" /stypes="app*4039*20170901*" /stext=" 19:.+((SYSTEM_STATE.+slice.+state.+changed )|(ment ac)|(multiple cpu faults)|(system.+state.+changed )|(\[timeout)|(PRM\|1\|D)|(kpr)|(kdp)|(train st.+moving)|(\|lc)|(penalty))"</v>
      </c>
      <c r="AG81" s="206" t="str">
        <f t="shared" si="35"/>
        <v>EC</v>
      </c>
      <c r="AH81" s="78" t="str">
        <f t="shared" si="36"/>
        <v>"%USERPROFILE%\Documents\GitHub\eaglep3\Utilities\RefineRTDCRunTimes.py" --tripid 168-01 --locoid 4039 --swversion DE.1.0.9.0 --startMP 204:232993 --initTime 2017-09-01T12:38:34 --startdatetime 2017-09-01T12:57:18 --delay 65 --endMP 204:139 --enddatetime 2017-09-01T13:34:51 --enforcementcount 0 &gt;&gt;C:\Users\stu\Documents\GitHub\eaglep3-reporting\EC\2017-09-01-refined-times.txt</v>
      </c>
      <c r="AI81" s="96" t="str">
        <f t="shared" si="37"/>
        <v>echo {"issue":{"subject":"","project_id":79,"tracker_id":40,"status_id":1,"priority_id":2,"assigned_to_id":338,"start_date":"2017-09-01","description":"","custom_fields":[{"id":1,"name":"Subdivision","value":"EC"},{"id":4,"name":"Milepost","value":"0.0139"},{"id":17,"name":"Train ID","value":"168-01"},{"id":16,"name":"Locomotive ID","value":"4039"},{"id":130,"name":"Impact","value":""},{"id":150,"name":"Time of Event (Mountain Time)","value":"13:34:51"},{"id":151,"name":"Denver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38"/>
        <v>start /low /b %USERPROFILE%\Documents\GitHub\eaglep3\Utilities\DownloadLogsFromS3.py --loco 4039 --day 2017-09-01</v>
      </c>
      <c r="AN81" s="151" t="str">
        <f t="shared" si="39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19:34:51"},{"id":29,"name":"Sharepoint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720</v>
      </c>
      <c r="B82" s="7">
        <v>4024</v>
      </c>
      <c r="C82" s="21" t="s">
        <v>197</v>
      </c>
      <c r="D82" s="21" t="s">
        <v>490</v>
      </c>
      <c r="E82" s="13">
        <v>42979.509317129632</v>
      </c>
      <c r="F82" s="13">
        <v>42979.511076388888</v>
      </c>
      <c r="G82" s="7">
        <v>78</v>
      </c>
      <c r="H82" s="21" t="s">
        <v>557</v>
      </c>
      <c r="I82" s="13">
        <v>42979.534988425927</v>
      </c>
      <c r="J82" s="7">
        <v>0</v>
      </c>
      <c r="K82" s="89" t="str">
        <f t="shared" si="22"/>
        <v>4023/4024</v>
      </c>
      <c r="L82" s="214" t="str">
        <f>VLOOKUP(A82,'Trips&amp;Operators'!$C$1:$G$99911,5,FALSE)</f>
        <v>LEVIN SCOTT</v>
      </c>
      <c r="M82" s="6">
        <f t="shared" si="23"/>
        <v>2.3912037038826384E-2</v>
      </c>
      <c r="N82" s="7">
        <f t="shared" si="24"/>
        <v>34.433333335909992</v>
      </c>
      <c r="O82" s="7"/>
      <c r="P82" s="7"/>
      <c r="Q82" s="22"/>
      <c r="R82" s="167"/>
      <c r="S82" s="210">
        <f t="shared" si="25"/>
        <v>1</v>
      </c>
      <c r="T82" s="192" t="str">
        <f t="shared" si="26"/>
        <v>NorthBound</v>
      </c>
      <c r="U82" s="192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3" t="str">
        <f t="shared" si="27"/>
        <v>https://d0f6bd738d7f1b3e5a7ca70fe4ff75f0.us-east-1.aws.found.io/app/kibana#/discover/Steve-Slow-Train-Analysis-(2080s-and-2083s)?_g=(refreshInterval:(display:Off,pause:!f,section:0,value:0),time:(from:'2017-09-01T11:13:25-0600',mode:absolute,to:'2017-09-01T13:50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82" s="194" t="str">
        <f>IF(AA82&lt;VLOOKUP(AG82,Variables!$AC$3:$AD$8,2,FALSE),"Y","N")</f>
        <v>N</v>
      </c>
      <c r="X82" s="194">
        <f t="shared" si="28"/>
        <v>1</v>
      </c>
      <c r="Y82" s="194">
        <f t="shared" si="29"/>
        <v>4.5999999999999999E-2</v>
      </c>
      <c r="Z82" s="194">
        <f t="shared" si="30"/>
        <v>23.336400000000001</v>
      </c>
      <c r="AA82" s="194">
        <f t="shared" si="31"/>
        <v>23.290400000000002</v>
      </c>
      <c r="AB82" s="54" t="e">
        <f>VLOOKUP(A82,Enforcements!$C$7:$K$11,8,0)</f>
        <v>#N/A</v>
      </c>
      <c r="AC82" s="51" t="e">
        <f>VLOOKUP(A82,Enforcements!$C$7:$E$11,3,0)</f>
        <v>#N/A</v>
      </c>
      <c r="AD82" s="203">
        <f t="shared" si="32"/>
        <v>169</v>
      </c>
      <c r="AE82" s="77" t="str">
        <f t="shared" si="33"/>
        <v>aws s3 cp s3://rtdc.mdm.uploadarchive.raw/RTDC4024/ "%USERPROFILE%\AppData\Local\Temp\OnboardLogs"\RTDC4024\2017-09-01 --exclude "*" --recursive --include "*20170901*" &amp; "%USERPROFILE%\Documents\GitHub\mrs-test-scripts\Headless Mode &amp; Sideloading\WalkAndUnGZ.bat" "%USERPROFILE%\AppData\Local\Temp\OnboardLogs"\RTDC4024\2017-09-01 &amp; aws s3 cp s3://rtdc.mdm.uploadarchive.raw/RTDC4024/ "%USERPROFILE%\AppData\Local\Temp\OnboardLogs"\RTDC4024\2017-09-02 --exclude "*" --recursive --include "*20170902*" &amp; "%USERPROFILE%\Documents\GitHub\mrs-test-scripts\Headless Mode &amp; Sideloading\WalkAndUnGZ.bat" "%USERPROFILE%\AppData\Local\Temp\OnboardLogs"\RTDC4024\2017-09-02</v>
      </c>
      <c r="AF82" s="74" t="str">
        <f t="shared" si="34"/>
        <v>"C:\Program Files (x86)\AstroGrep\AstroGrep.exe" /e /r /s /spath="%USERPROFILE%\AppData\Local\Temp\OnboardLogs" /stypes="app*4024*20170901*" /stext=" 18:.+((SYSTEM_STATE.+slice.+state.+changed )|(ment ac)|(multiple cpu faults)|(system.+state.+changed )|(\[timeout)|(PRM\|1\|D)|(kpr)|(kdp)|(train st.+moving)|(\|lc)|(penalty))"</v>
      </c>
      <c r="AG82" s="206" t="str">
        <f t="shared" si="35"/>
        <v>EC</v>
      </c>
      <c r="AH82" s="78" t="str">
        <f t="shared" si="36"/>
        <v>"%USERPROFILE%\Documents\GitHub\eaglep3\Utilities\RefineRTDCRunTimes.py" --tripid 169-01 --locoid 4024 --swversion DE.1.0.9.0 --startMP 204:460 --initTime 2017-09-01T12:13:25 --startdatetime 2017-09-01T12:15:57 --delay 78 --endMP 204:233364 --enddatetime 2017-09-01T12:50:23 --enforcementcount 0 &gt;&gt;C:\Users\stu\Documents\GitHub\eaglep3-reporting\EC\2017-09-01-refined-times.txt</v>
      </c>
      <c r="AI82" s="96" t="str">
        <f t="shared" si="37"/>
        <v>echo {"issue":{"subject":"","project_id":79,"tracker_id":40,"status_id":1,"priority_id":2,"assigned_to_id":338,"start_date":"2017-09-01","description":"","custom_fields":[{"id":1,"name":"Subdivision","value":"EC"},{"id":4,"name":"Milepost","value":"23.3364"},{"id":17,"name":"Train ID","value":"169-01"},{"id":16,"name":"Locomotive ID","value":"4024"},{"id":130,"name":"Impact","value":""},{"id":150,"name":"Time of Event (Mountain Time)","value":"12:50:23"},{"id":151,"name":"Denver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38"/>
        <v>start /low /b %USERPROFILE%\Documents\GitHub\eaglep3\Utilities\DownloadLogsFromS3.py --loco 4024 --day 2017-09-01</v>
      </c>
      <c r="AN82" s="151" t="str">
        <f t="shared" si="39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18:50:23"},{"id":29,"name":"Sharepoint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728</v>
      </c>
      <c r="B83" s="7">
        <v>4023</v>
      </c>
      <c r="C83" s="21" t="s">
        <v>197</v>
      </c>
      <c r="D83" s="21" t="s">
        <v>555</v>
      </c>
      <c r="E83" s="13">
        <v>42979.544340277775</v>
      </c>
      <c r="F83" s="13">
        <v>42979.550266203703</v>
      </c>
      <c r="G83" s="7">
        <v>66</v>
      </c>
      <c r="H83" s="21" t="s">
        <v>397</v>
      </c>
      <c r="I83" s="13">
        <v>42979.576099537036</v>
      </c>
      <c r="J83" s="7">
        <v>0</v>
      </c>
      <c r="K83" s="89" t="str">
        <f t="shared" si="22"/>
        <v>4023/4024</v>
      </c>
      <c r="L83" s="214" t="str">
        <f>VLOOKUP(A83,'Trips&amp;Operators'!$C$1:$G$99911,5,FALSE)</f>
        <v>LEVIN SCOTT</v>
      </c>
      <c r="M83" s="6">
        <f t="shared" si="23"/>
        <v>2.5833333333139308E-2</v>
      </c>
      <c r="N83" s="7">
        <f t="shared" si="24"/>
        <v>37.199999999720603</v>
      </c>
      <c r="O83" s="7"/>
      <c r="P83" s="7"/>
      <c r="Q83" s="22"/>
      <c r="R83" s="167"/>
      <c r="S83" s="210">
        <f t="shared" si="25"/>
        <v>1</v>
      </c>
      <c r="T83" s="192" t="str">
        <f t="shared" si="26"/>
        <v>Southbound</v>
      </c>
      <c r="U83" s="192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3" t="str">
        <f t="shared" si="27"/>
        <v>https://d0f6bd738d7f1b3e5a7ca70fe4ff75f0.us-east-1.aws.found.io/app/kibana#/discover/Steve-Slow-Train-Analysis-(2080s-and-2083s)?_g=(refreshInterval:(display:Off,pause:!f,section:0,value:0),time:(from:'2017-09-01T12:03:51-0600',mode:absolute,to:'2017-09-01T14:49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83" s="194" t="str">
        <f>IF(AA83&lt;VLOOKUP(AG83,Variables!$AC$3:$AD$8,2,FALSE),"Y","N")</f>
        <v>N</v>
      </c>
      <c r="X83" s="194">
        <f t="shared" si="28"/>
        <v>1</v>
      </c>
      <c r="Y83" s="194">
        <f t="shared" si="29"/>
        <v>23.304600000000001</v>
      </c>
      <c r="Z83" s="194">
        <f t="shared" si="30"/>
        <v>1.3899999999999999E-2</v>
      </c>
      <c r="AA83" s="194">
        <f t="shared" si="31"/>
        <v>23.290700000000001</v>
      </c>
      <c r="AB83" s="54" t="e">
        <f>VLOOKUP(A83,Enforcements!$C$7:$K$11,8,0)</f>
        <v>#N/A</v>
      </c>
      <c r="AC83" s="51" t="e">
        <f>VLOOKUP(A83,Enforcements!$C$7:$E$11,3,0)</f>
        <v>#N/A</v>
      </c>
      <c r="AD83" s="203">
        <f t="shared" si="32"/>
        <v>170</v>
      </c>
      <c r="AE83" s="77" t="str">
        <f t="shared" si="33"/>
        <v>aws s3 cp s3://rtdc.mdm.uploadarchive.raw/RTDC4023/ "%USERPROFILE%\AppData\Local\Temp\OnboardLogs"\RTDC4023\2017-09-01 --exclude "*" --recursive --include "*20170901*" &amp; "%USERPROFILE%\Documents\GitHub\mrs-test-scripts\Headless Mode &amp; Sideloading\WalkAndUnGZ.bat" "%USERPROFILE%\AppData\Local\Temp\OnboardLogs"\RTDC4023\2017-09-01 &amp; aws s3 cp s3://rtdc.mdm.uploadarchive.raw/RTDC4023/ "%USERPROFILE%\AppData\Local\Temp\OnboardLogs"\RTDC4023\2017-09-02 --exclude "*" --recursive --include "*20170902*" &amp; "%USERPROFILE%\Documents\GitHub\mrs-test-scripts\Headless Mode &amp; Sideloading\WalkAndUnGZ.bat" "%USERPROFILE%\AppData\Local\Temp\OnboardLogs"\RTDC4023\2017-09-02</v>
      </c>
      <c r="AF83" s="74" t="str">
        <f t="shared" si="34"/>
        <v>"C:\Program Files (x86)\AstroGrep\AstroGrep.exe" /e /r /s /spath="%USERPROFILE%\AppData\Local\Temp\OnboardLogs" /stypes="app*4023*20170901*" /stext=" 19:.+((SYSTEM_STATE.+slice.+state.+changed )|(ment ac)|(multiple cpu faults)|(system.+state.+changed )|(\[timeout)|(PRM\|1\|D)|(kpr)|(kdp)|(train st.+moving)|(\|lc)|(penalty))"</v>
      </c>
      <c r="AG83" s="206" t="str">
        <f t="shared" si="35"/>
        <v>EC</v>
      </c>
      <c r="AH83" s="78" t="str">
        <f t="shared" si="36"/>
        <v>"%USERPROFILE%\Documents\GitHub\eaglep3\Utilities\RefineRTDCRunTimes.py" --tripid 170-01 --locoid 4023 --swversion DE.1.0.9.0 --startMP 204:233046 --initTime 2017-09-01T13:03:51 --startdatetime 2017-09-01T13:12:23 --delay 66 --endMP 204:139 --enddatetime 2017-09-01T13:49:35 --enforcementcount 0 &gt;&gt;C:\Users\stu\Documents\GitHub\eaglep3-reporting\EC\2017-09-01-refined-times.txt</v>
      </c>
      <c r="AI83" s="96" t="str">
        <f t="shared" si="37"/>
        <v>echo {"issue":{"subject":"","project_id":79,"tracker_id":40,"status_id":1,"priority_id":2,"assigned_to_id":338,"start_date":"2017-09-01","description":"","custom_fields":[{"id":1,"name":"Subdivision","value":"EC"},{"id":4,"name":"Milepost","value":"0.0139"},{"id":17,"name":"Train ID","value":"170-01"},{"id":16,"name":"Locomotive ID","value":"4023"},{"id":130,"name":"Impact","value":""},{"id":150,"name":"Time of Event (Mountain Time)","value":"13:49:35"},{"id":151,"name":"Denver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38"/>
        <v>start /low /b %USERPROFILE%\Documents\GitHub\eaglep3\Utilities\DownloadLogsFromS3.py --loco 4023 --day 2017-09-01</v>
      </c>
      <c r="AN83" s="151" t="str">
        <f t="shared" si="39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19:49:35"},{"id":29,"name":"Sharepoint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721</v>
      </c>
      <c r="B84" s="7">
        <v>4020</v>
      </c>
      <c r="C84" s="21" t="s">
        <v>197</v>
      </c>
      <c r="D84" s="21" t="s">
        <v>341</v>
      </c>
      <c r="E84" s="13">
        <v>42979.515219907407</v>
      </c>
      <c r="F84" s="13">
        <v>42979.521064814813</v>
      </c>
      <c r="G84" s="7">
        <v>68</v>
      </c>
      <c r="H84" s="21" t="s">
        <v>862</v>
      </c>
      <c r="I84" s="13">
        <v>42979.546122685184</v>
      </c>
      <c r="J84" s="7">
        <v>0</v>
      </c>
      <c r="K84" s="89" t="str">
        <f t="shared" si="22"/>
        <v>4019/4020</v>
      </c>
      <c r="L84" s="214" t="str">
        <f>VLOOKUP(A84,'Trips&amp;Operators'!$C$1:$G$99911,5,FALSE)</f>
        <v>MOSES BRADLEY</v>
      </c>
      <c r="M84" s="6">
        <f t="shared" si="23"/>
        <v>2.5057870370801538E-2</v>
      </c>
      <c r="N84" s="7">
        <f t="shared" si="24"/>
        <v>36.083333333954215</v>
      </c>
      <c r="O84" s="7"/>
      <c r="P84" s="7"/>
      <c r="Q84" s="22"/>
      <c r="R84" s="167"/>
      <c r="S84" s="210">
        <f t="shared" si="25"/>
        <v>1</v>
      </c>
      <c r="T84" s="192" t="str">
        <f t="shared" si="26"/>
        <v>NorthBound</v>
      </c>
      <c r="U84" s="192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3" t="str">
        <f t="shared" si="27"/>
        <v>https://d0f6bd738d7f1b3e5a7ca70fe4ff75f0.us-east-1.aws.found.io/app/kibana#/discover/Steve-Slow-Train-Analysis-(2080s-and-2083s)?_g=(refreshInterval:(display:Off,pause:!f,section:0,value:0),time:(from:'2017-09-01T11:21:55-0600',mode:absolute,to:'2017-09-01T14:06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4" s="194" t="str">
        <f>IF(AA84&lt;VLOOKUP(AG84,Variables!$AC$3:$AD$8,2,FALSE),"Y","N")</f>
        <v>N</v>
      </c>
      <c r="X84" s="194">
        <f t="shared" si="28"/>
        <v>1</v>
      </c>
      <c r="Y84" s="194">
        <f t="shared" si="29"/>
        <v>4.5100000000000001E-2</v>
      </c>
      <c r="Z84" s="194">
        <f t="shared" si="30"/>
        <v>23.334700000000002</v>
      </c>
      <c r="AA84" s="194">
        <f t="shared" si="31"/>
        <v>23.2896</v>
      </c>
      <c r="AB84" s="54" t="e">
        <f>VLOOKUP(A84,Enforcements!$C$7:$K$11,8,0)</f>
        <v>#N/A</v>
      </c>
      <c r="AC84" s="51" t="e">
        <f>VLOOKUP(A84,Enforcements!$C$7:$E$11,3,0)</f>
        <v>#N/A</v>
      </c>
      <c r="AD84" s="203">
        <f t="shared" si="32"/>
        <v>171</v>
      </c>
      <c r="AE84" s="77" t="str">
        <f t="shared" si="33"/>
        <v>aws s3 cp s3://rtdc.mdm.uploadarchive.raw/RTDC4020/ "%USERPROFILE%\AppData\Local\Temp\OnboardLogs"\RTDC4020\2017-09-01 --exclude "*" --recursive --include "*20170901*" &amp; "%USERPROFILE%\Documents\GitHub\mrs-test-scripts\Headless Mode &amp; Sideloading\WalkAndUnGZ.bat" "%USERPROFILE%\AppData\Local\Temp\OnboardLogs"\RTDC4020\2017-09-01 &amp; aws s3 cp s3://rtdc.mdm.uploadarchive.raw/RTDC4020/ "%USERPROFILE%\AppData\Local\Temp\OnboardLogs"\RTDC4020\2017-09-02 --exclude "*" --recursive --include "*20170902*" &amp; "%USERPROFILE%\Documents\GitHub\mrs-test-scripts\Headless Mode &amp; Sideloading\WalkAndUnGZ.bat" "%USERPROFILE%\AppData\Local\Temp\OnboardLogs"\RTDC4020\2017-09-02</v>
      </c>
      <c r="AF84" s="74" t="str">
        <f t="shared" si="34"/>
        <v>"C:\Program Files (x86)\AstroGrep\AstroGrep.exe" /e /r /s /spath="%USERPROFILE%\AppData\Local\Temp\OnboardLogs" /stypes="app*4020*20170901*" /stext=" 19:.+((SYSTEM_STATE.+slice.+state.+changed )|(ment ac)|(multiple cpu faults)|(system.+state.+changed )|(\[timeout)|(PRM\|1\|D)|(kpr)|(kdp)|(train st.+moving)|(\|lc)|(penalty))"</v>
      </c>
      <c r="AG84" s="206" t="str">
        <f t="shared" si="35"/>
        <v>EC</v>
      </c>
      <c r="AH84" s="78" t="str">
        <f t="shared" si="36"/>
        <v>"%USERPROFILE%\Documents\GitHub\eaglep3\Utilities\RefineRTDCRunTimes.py" --tripid 171-01 --locoid 4020 --swversion DE.1.0.9.0 --startMP 204:451 --initTime 2017-09-01T12:21:55 --startdatetime 2017-09-01T12:30:20 --delay 68 --endMP 204:233347 --enddatetime 2017-09-01T13:06:25 --enforcementcount 0 &gt;&gt;C:\Users\stu\Documents\GitHub\eaglep3-reporting\EC\2017-09-01-refined-times.txt</v>
      </c>
      <c r="AI84" s="96" t="str">
        <f t="shared" si="37"/>
        <v>echo {"issue":{"subject":"","project_id":79,"tracker_id":40,"status_id":1,"priority_id":2,"assigned_to_id":338,"start_date":"2017-09-01","description":"","custom_fields":[{"id":1,"name":"Subdivision","value":"EC"},{"id":4,"name":"Milepost","value":"23.3347"},{"id":17,"name":"Train ID","value":"171-01"},{"id":16,"name":"Locomotive ID","value":"4020"},{"id":130,"name":"Impact","value":""},{"id":150,"name":"Time of Event (Mountain Time)","value":"13:06:25"},{"id":151,"name":"Denver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38"/>
        <v>start /low /b %USERPROFILE%\Documents\GitHub\eaglep3\Utilities\DownloadLogsFromS3.py --loco 4020 --day 2017-09-01</v>
      </c>
      <c r="AN84" s="151" t="str">
        <f t="shared" si="39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19:06:25"},{"id":29,"name":"Sharepoint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730</v>
      </c>
      <c r="B85" s="7">
        <v>4019</v>
      </c>
      <c r="C85" s="21" t="s">
        <v>197</v>
      </c>
      <c r="D85" s="21" t="s">
        <v>863</v>
      </c>
      <c r="E85" s="13">
        <v>42979.555428240739</v>
      </c>
      <c r="F85" s="13">
        <v>42979.560601851852</v>
      </c>
      <c r="G85" s="7">
        <v>113</v>
      </c>
      <c r="H85" s="21" t="s">
        <v>365</v>
      </c>
      <c r="I85" s="13">
        <v>42979.587129629632</v>
      </c>
      <c r="J85" s="7">
        <v>0</v>
      </c>
      <c r="K85" s="89" t="str">
        <f t="shared" si="22"/>
        <v>4019/4020</v>
      </c>
      <c r="L85" s="214" t="str">
        <f>VLOOKUP(A85,'Trips&amp;Operators'!$C$1:$G$99911,5,FALSE)</f>
        <v>MOSES BRADLEY</v>
      </c>
      <c r="M85" s="6">
        <f t="shared" si="23"/>
        <v>2.6527777779847383E-2</v>
      </c>
      <c r="N85" s="7">
        <f t="shared" si="24"/>
        <v>38.200000002980232</v>
      </c>
      <c r="O85" s="7"/>
      <c r="P85" s="7"/>
      <c r="Q85" s="22"/>
      <c r="R85" s="167"/>
      <c r="S85" s="210">
        <f t="shared" si="25"/>
        <v>1</v>
      </c>
      <c r="T85" s="192" t="str">
        <f t="shared" si="26"/>
        <v>Southbound</v>
      </c>
      <c r="U85" s="192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3" t="str">
        <f t="shared" si="27"/>
        <v>https://d0f6bd738d7f1b3e5a7ca70fe4ff75f0.us-east-1.aws.found.io/app/kibana#/discover/Steve-Slow-Train-Analysis-(2080s-and-2083s)?_g=(refreshInterval:(display:Off,pause:!f,section:0,value:0),time:(from:'2017-09-01T12:19:49-0600',mode:absolute,to:'2017-09-01T15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5" s="194" t="str">
        <f>IF(AA85&lt;VLOOKUP(AG85,Variables!$AC$3:$AD$8,2,FALSE),"Y","N")</f>
        <v>N</v>
      </c>
      <c r="X85" s="194">
        <f t="shared" si="28"/>
        <v>1</v>
      </c>
      <c r="Y85" s="194">
        <f t="shared" si="29"/>
        <v>23.302700000000002</v>
      </c>
      <c r="Z85" s="194">
        <f t="shared" si="30"/>
        <v>1.52E-2</v>
      </c>
      <c r="AA85" s="194">
        <f t="shared" si="31"/>
        <v>23.287500000000001</v>
      </c>
      <c r="AB85" s="54" t="e">
        <f>VLOOKUP(A85,Enforcements!$C$7:$K$11,8,0)</f>
        <v>#N/A</v>
      </c>
      <c r="AC85" s="51" t="e">
        <f>VLOOKUP(A85,Enforcements!$C$7:$E$11,3,0)</f>
        <v>#N/A</v>
      </c>
      <c r="AD85" s="203">
        <f t="shared" si="32"/>
        <v>172</v>
      </c>
      <c r="AE85" s="77" t="str">
        <f t="shared" si="33"/>
        <v>aws s3 cp s3://rtdc.mdm.uploadarchive.raw/RTDC4019/ "%USERPROFILE%\AppData\Local\Temp\OnboardLogs"\RTDC4019\2017-09-01 --exclude "*" --recursive --include "*20170901*" &amp; "%USERPROFILE%\Documents\GitHub\mrs-test-scripts\Headless Mode &amp; Sideloading\WalkAndUnGZ.bat" "%USERPROFILE%\AppData\Local\Temp\OnboardLogs"\RTDC4019\2017-09-01 &amp; aws s3 cp s3://rtdc.mdm.uploadarchive.raw/RTDC4019/ "%USERPROFILE%\AppData\Local\Temp\OnboardLogs"\RTDC4019\2017-09-02 --exclude "*" --recursive --include "*20170902*" &amp; "%USERPROFILE%\Documents\GitHub\mrs-test-scripts\Headless Mode &amp; Sideloading\WalkAndUnGZ.bat" "%USERPROFILE%\AppData\Local\Temp\OnboardLogs"\RTDC4019\2017-09-02</v>
      </c>
      <c r="AF85" s="74" t="str">
        <f t="shared" si="34"/>
        <v>"C:\Program Files (x86)\AstroGrep\AstroGrep.exe" /e /r /s /spath="%USERPROFILE%\AppData\Local\Temp\OnboardLogs" /stypes="app*4019*20170901*" /stext=" 20:.+((SYSTEM_STATE.+slice.+state.+changed )|(ment ac)|(multiple cpu faults)|(system.+state.+changed )|(\[timeout)|(PRM\|1\|D)|(kpr)|(kdp)|(train st.+moving)|(\|lc)|(penalty))"</v>
      </c>
      <c r="AG85" s="206" t="str">
        <f t="shared" si="35"/>
        <v>EC</v>
      </c>
      <c r="AH85" s="78" t="str">
        <f t="shared" si="36"/>
        <v>"%USERPROFILE%\Documents\GitHub\eaglep3\Utilities\RefineRTDCRunTimes.py" --tripid 172-01 --locoid 4019 --swversion DE.1.0.9.0 --startMP 204:233027 --initTime 2017-09-01T13:19:49 --startdatetime 2017-09-01T13:27:16 --delay 113 --endMP 204:152 --enddatetime 2017-09-01T14:05:28 --enforcementcount 0 &gt;&gt;C:\Users\stu\Documents\GitHub\eaglep3-reporting\EC\2017-09-01-refined-times.txt</v>
      </c>
      <c r="AI85" s="96" t="str">
        <f t="shared" si="37"/>
        <v>echo {"issue":{"subject":"","project_id":79,"tracker_id":40,"status_id":1,"priority_id":2,"assigned_to_id":338,"start_date":"2017-09-01","description":"","custom_fields":[{"id":1,"name":"Subdivision","value":"EC"},{"id":4,"name":"Milepost","value":"0.0152"},{"id":17,"name":"Train ID","value":"172-01"},{"id":16,"name":"Locomotive ID","value":"4019"},{"id":130,"name":"Impact","value":""},{"id":150,"name":"Time of Event (Mountain Time)","value":"14:05:28"},{"id":151,"name":"Denver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38"/>
        <v>start /low /b %USERPROFILE%\Documents\GitHub\eaglep3\Utilities\DownloadLogsFromS3.py --loco 4019 --day 2017-09-01</v>
      </c>
      <c r="AN85" s="151" t="str">
        <f t="shared" si="39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20:05:28"},{"id":29,"name":"Sharepoint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726</v>
      </c>
      <c r="B86" s="7">
        <v>4058</v>
      </c>
      <c r="C86" s="21" t="s">
        <v>197</v>
      </c>
      <c r="D86" s="21" t="s">
        <v>562</v>
      </c>
      <c r="E86" s="13">
        <v>42979.527800925927</v>
      </c>
      <c r="F86" s="13">
        <v>42979.531400462962</v>
      </c>
      <c r="G86" s="7">
        <v>121</v>
      </c>
      <c r="H86" s="21" t="s">
        <v>446</v>
      </c>
      <c r="I86" s="13">
        <v>42979.555694444447</v>
      </c>
      <c r="J86" s="7">
        <v>0</v>
      </c>
      <c r="K86" s="89" t="str">
        <f t="shared" si="22"/>
        <v>4057/4058</v>
      </c>
      <c r="L86" s="214" t="str">
        <f>VLOOKUP(A86,'Trips&amp;Operators'!$C$1:$G$99911,5,FALSE)</f>
        <v>GONZALEZ ARMANDO</v>
      </c>
      <c r="M86" s="6">
        <f t="shared" si="23"/>
        <v>2.4293981485243421E-2</v>
      </c>
      <c r="N86" s="7">
        <f t="shared" si="24"/>
        <v>34.983333338750526</v>
      </c>
      <c r="O86" s="7"/>
      <c r="P86" s="7"/>
      <c r="Q86" s="22"/>
      <c r="R86" s="167"/>
      <c r="S86" s="210">
        <f t="shared" si="25"/>
        <v>1</v>
      </c>
      <c r="T86" s="192" t="str">
        <f t="shared" si="26"/>
        <v>NorthBound</v>
      </c>
      <c r="U86" s="192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3" t="str">
        <f t="shared" si="27"/>
        <v>https://d0f6bd738d7f1b3e5a7ca70fe4ff75f0.us-east-1.aws.found.io/app/kibana#/discover/Steve-Slow-Train-Analysis-(2080s-and-2083s)?_g=(refreshInterval:(display:Off,pause:!f,section:0,value:0),time:(from:'2017-09-01T11:40:02-0600',mode:absolute,to:'2017-09-01T14:20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86" s="194" t="str">
        <f>IF(AA86&lt;VLOOKUP(AG86,Variables!$AC$3:$AD$8,2,FALSE),"Y","N")</f>
        <v>N</v>
      </c>
      <c r="X86" s="194">
        <f t="shared" si="28"/>
        <v>1</v>
      </c>
      <c r="Y86" s="194">
        <f t="shared" si="29"/>
        <v>4.82E-2</v>
      </c>
      <c r="Z86" s="194">
        <f t="shared" si="30"/>
        <v>23.3291</v>
      </c>
      <c r="AA86" s="194">
        <f t="shared" si="31"/>
        <v>23.280899999999999</v>
      </c>
      <c r="AB86" s="54" t="e">
        <f>VLOOKUP(A86,Enforcements!$C$7:$K$11,8,0)</f>
        <v>#N/A</v>
      </c>
      <c r="AC86" s="51" t="e">
        <f>VLOOKUP(A86,Enforcements!$C$7:$E$11,3,0)</f>
        <v>#N/A</v>
      </c>
      <c r="AD86" s="203">
        <f t="shared" si="32"/>
        <v>173</v>
      </c>
      <c r="AE86" s="77" t="str">
        <f t="shared" si="33"/>
        <v>aws s3 cp s3://rtdc.mdm.uploadarchive.raw/RTDC4058/ "%USERPROFILE%\AppData\Local\Temp\OnboardLogs"\RTDC4058\2017-09-01 --exclude "*" --recursive --include "*20170901*" &amp; "%USERPROFILE%\Documents\GitHub\mrs-test-scripts\Headless Mode &amp; Sideloading\WalkAndUnGZ.bat" "%USERPROFILE%\AppData\Local\Temp\OnboardLogs"\RTDC4058\2017-09-01 &amp; aws s3 cp s3://rtdc.mdm.uploadarchive.raw/RTDC4058/ "%USERPROFILE%\AppData\Local\Temp\OnboardLogs"\RTDC4058\2017-09-02 --exclude "*" --recursive --include "*20170902*" &amp; "%USERPROFILE%\Documents\GitHub\mrs-test-scripts\Headless Mode &amp; Sideloading\WalkAndUnGZ.bat" "%USERPROFILE%\AppData\Local\Temp\OnboardLogs"\RTDC4058\2017-09-02</v>
      </c>
      <c r="AF86" s="74" t="str">
        <f t="shared" si="34"/>
        <v>"C:\Program Files (x86)\AstroGrep\AstroGrep.exe" /e /r /s /spath="%USERPROFILE%\AppData\Local\Temp\OnboardLogs" /stypes="app*4058*20170901*" /stext=" 19:.+((SYSTEM_STATE.+slice.+state.+changed )|(ment ac)|(multiple cpu faults)|(system.+state.+changed )|(\[timeout)|(PRM\|1\|D)|(kpr)|(kdp)|(train st.+moving)|(\|lc)|(penalty))"</v>
      </c>
      <c r="AG86" s="206" t="str">
        <f t="shared" si="35"/>
        <v>EC</v>
      </c>
      <c r="AH86" s="78" t="str">
        <f t="shared" si="36"/>
        <v>"%USERPROFILE%\Documents\GitHub\eaglep3\Utilities\RefineRTDCRunTimes.py" --tripid 173-01 --locoid 4058 --swversion DE.1.0.9.0 --startMP 204:482 --initTime 2017-09-01T12:40:02 --startdatetime 2017-09-01T12:45:13 --delay 121 --endMP 204:233291 --enddatetime 2017-09-01T13:20:12 --enforcementcount 0 &gt;&gt;C:\Users\stu\Documents\GitHub\eaglep3-reporting\EC\2017-09-01-refined-times.txt</v>
      </c>
      <c r="AI86" s="96" t="str">
        <f t="shared" si="37"/>
        <v>echo {"issue":{"subject":"","project_id":79,"tracker_id":40,"status_id":1,"priority_id":2,"assigned_to_id":338,"start_date":"2017-09-01","description":"","custom_fields":[{"id":1,"name":"Subdivision","value":"EC"},{"id":4,"name":"Milepost","value":"23.3291"},{"id":17,"name":"Train ID","value":"173-01"},{"id":16,"name":"Locomotive ID","value":"4058"},{"id":130,"name":"Impact","value":""},{"id":150,"name":"Time of Event (Mountain Time)","value":"13:20:12"},{"id":151,"name":"Denver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38"/>
        <v>start /low /b %USERPROFILE%\Documents\GitHub\eaglep3\Utilities\DownloadLogsFromS3.py --loco 4058 --day 2017-09-01</v>
      </c>
      <c r="AN86" s="151" t="str">
        <f t="shared" si="39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19:20:12"},{"id":29,"name":"Sharepoint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731</v>
      </c>
      <c r="B87" s="7">
        <v>4057</v>
      </c>
      <c r="C87" s="21" t="s">
        <v>197</v>
      </c>
      <c r="D87" s="21" t="s">
        <v>554</v>
      </c>
      <c r="E87" s="13">
        <v>42979.557210648149</v>
      </c>
      <c r="F87" s="13">
        <v>42979.571006944447</v>
      </c>
      <c r="G87" s="7">
        <v>68</v>
      </c>
      <c r="H87" s="21" t="s">
        <v>339</v>
      </c>
      <c r="I87" s="13">
        <v>42979.59716435185</v>
      </c>
      <c r="J87" s="7">
        <v>0</v>
      </c>
      <c r="K87" s="89" t="str">
        <f t="shared" si="22"/>
        <v>4057/4058</v>
      </c>
      <c r="L87" s="214" t="str">
        <f>VLOOKUP(A87,'Trips&amp;Operators'!$C$1:$G$99911,5,FALSE)</f>
        <v>GONZALEZ ARMANDO</v>
      </c>
      <c r="M87" s="6">
        <f t="shared" si="23"/>
        <v>2.6157407402934041E-2</v>
      </c>
      <c r="N87" s="7">
        <f t="shared" si="24"/>
        <v>37.666666660225019</v>
      </c>
      <c r="O87" s="7"/>
      <c r="P87" s="7"/>
      <c r="Q87" s="22"/>
      <c r="R87" s="167"/>
      <c r="S87" s="210">
        <f t="shared" si="25"/>
        <v>1</v>
      </c>
      <c r="T87" s="192" t="str">
        <f t="shared" si="26"/>
        <v>Southbound</v>
      </c>
      <c r="U87" s="192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3" t="str">
        <f t="shared" si="27"/>
        <v>https://d0f6bd738d7f1b3e5a7ca70fe4ff75f0.us-east-1.aws.found.io/app/kibana#/discover/Steve-Slow-Train-Analysis-(2080s-and-2083s)?_g=(refreshInterval:(display:Off,pause:!f,section:0,value:0),time:(from:'2017-09-01T12:22:23-0600',mode:absolute,to:'2017-09-01T15:19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87" s="194" t="str">
        <f>IF(AA87&lt;VLOOKUP(AG87,Variables!$AC$3:$AD$8,2,FALSE),"Y","N")</f>
        <v>N</v>
      </c>
      <c r="X87" s="194">
        <f t="shared" si="28"/>
        <v>1</v>
      </c>
      <c r="Y87" s="194">
        <f t="shared" si="29"/>
        <v>23.297799999999999</v>
      </c>
      <c r="Z87" s="194">
        <f t="shared" si="30"/>
        <v>1.49E-2</v>
      </c>
      <c r="AA87" s="194">
        <f t="shared" si="31"/>
        <v>23.282899999999998</v>
      </c>
      <c r="AB87" s="54" t="e">
        <f>VLOOKUP(A87,Enforcements!$C$7:$K$11,8,0)</f>
        <v>#N/A</v>
      </c>
      <c r="AC87" s="51" t="e">
        <f>VLOOKUP(A87,Enforcements!$C$7:$E$11,3,0)</f>
        <v>#N/A</v>
      </c>
      <c r="AD87" s="203">
        <f t="shared" si="32"/>
        <v>174</v>
      </c>
      <c r="AE87" s="77" t="str">
        <f t="shared" si="33"/>
        <v>aws s3 cp s3://rtdc.mdm.uploadarchive.raw/RTDC4057/ "%USERPROFILE%\AppData\Local\Temp\OnboardLogs"\RTDC4057\2017-09-01 --exclude "*" --recursive --include "*20170901*" &amp; "%USERPROFILE%\Documents\GitHub\mrs-test-scripts\Headless Mode &amp; Sideloading\WalkAndUnGZ.bat" "%USERPROFILE%\AppData\Local\Temp\OnboardLogs"\RTDC4057\2017-09-01 &amp; aws s3 cp s3://rtdc.mdm.uploadarchive.raw/RTDC4057/ "%USERPROFILE%\AppData\Local\Temp\OnboardLogs"\RTDC4057\2017-09-02 --exclude "*" --recursive --include "*20170902*" &amp; "%USERPROFILE%\Documents\GitHub\mrs-test-scripts\Headless Mode &amp; Sideloading\WalkAndUnGZ.bat" "%USERPROFILE%\AppData\Local\Temp\OnboardLogs"\RTDC4057\2017-09-02</v>
      </c>
      <c r="AF87" s="74" t="str">
        <f t="shared" si="34"/>
        <v>"C:\Program Files (x86)\AstroGrep\AstroGrep.exe" /e /r /s /spath="%USERPROFILE%\AppData\Local\Temp\OnboardLogs" /stypes="app*4057*20170901*" /stext=" 20:.+((SYSTEM_STATE.+slice.+state.+changed )|(ment ac)|(multiple cpu faults)|(system.+state.+changed )|(\[timeout)|(PRM\|1\|D)|(kpr)|(kdp)|(train st.+moving)|(\|lc)|(penalty))"</v>
      </c>
      <c r="AG87" s="206" t="str">
        <f t="shared" si="35"/>
        <v>EC</v>
      </c>
      <c r="AH87" s="78" t="str">
        <f t="shared" si="36"/>
        <v>"%USERPROFILE%\Documents\GitHub\eaglep3\Utilities\RefineRTDCRunTimes.py" --tripid 174-01 --locoid 4057 --swversion DE.1.0.9.0 --startMP 204:232978 --initTime 2017-09-01T13:22:23 --startdatetime 2017-09-01T13:42:15 --delay 68 --endMP 204:149 --enddatetime 2017-09-01T14:19:55 --enforcementcount 0 &gt;&gt;C:\Users\stu\Documents\GitHub\eaglep3-reporting\EC\2017-09-01-refined-times.txt</v>
      </c>
      <c r="AI87" s="96" t="str">
        <f t="shared" si="37"/>
        <v>echo {"issue":{"subject":"","project_id":79,"tracker_id":40,"status_id":1,"priority_id":2,"assigned_to_id":338,"start_date":"2017-09-01","description":"","custom_fields":[{"id":1,"name":"Subdivision","value":"EC"},{"id":4,"name":"Milepost","value":"0.0149"},{"id":17,"name":"Train ID","value":"174-01"},{"id":16,"name":"Locomotive ID","value":"4057"},{"id":130,"name":"Impact","value":""},{"id":150,"name":"Time of Event (Mountain Time)","value":"14:19:55"},{"id":151,"name":"Denver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38"/>
        <v>start /low /b %USERPROFILE%\Documents\GitHub\eaglep3\Utilities\DownloadLogsFromS3.py --loco 4057 --day 2017-09-01</v>
      </c>
      <c r="AN87" s="151" t="str">
        <f t="shared" si="39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20:19:55"},{"id":29,"name":"Sharepoint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727</v>
      </c>
      <c r="B88" s="7">
        <v>4026</v>
      </c>
      <c r="C88" s="21" t="s">
        <v>197</v>
      </c>
      <c r="D88" s="21" t="s">
        <v>395</v>
      </c>
      <c r="E88" s="13">
        <v>42979.53670138889</v>
      </c>
      <c r="F88" s="13">
        <v>42979.541828703703</v>
      </c>
      <c r="G88" s="7">
        <v>80</v>
      </c>
      <c r="H88" s="21" t="s">
        <v>844</v>
      </c>
      <c r="I88" s="13">
        <v>42979.566689814812</v>
      </c>
      <c r="J88" s="7">
        <v>0</v>
      </c>
      <c r="K88" s="89" t="str">
        <f t="shared" si="22"/>
        <v>4025/4026</v>
      </c>
      <c r="L88" s="214" t="str">
        <f>VLOOKUP(A88,'Trips&amp;Operators'!$C$1:$G$99911,5,FALSE)</f>
        <v>SAFIEF AEIMEN</v>
      </c>
      <c r="M88" s="6">
        <f t="shared" si="23"/>
        <v>2.4861111109203193E-2</v>
      </c>
      <c r="N88" s="7">
        <f t="shared" si="24"/>
        <v>35.799999997252598</v>
      </c>
      <c r="O88" s="7"/>
      <c r="P88" s="7"/>
      <c r="Q88" s="22"/>
      <c r="R88" s="167"/>
      <c r="S88" s="210">
        <f t="shared" si="25"/>
        <v>1</v>
      </c>
      <c r="T88" s="192" t="str">
        <f t="shared" si="26"/>
        <v>NorthBound</v>
      </c>
      <c r="U88" s="192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3" t="str">
        <f t="shared" si="27"/>
        <v>https://d0f6bd738d7f1b3e5a7ca70fe4ff75f0.us-east-1.aws.found.io/app/kibana#/discover/Steve-Slow-Train-Analysis-(2080s-and-2083s)?_g=(refreshInterval:(display:Off,pause:!f,section:0,value:0),time:(from:'2017-09-01T11:52:51-0600',mode:absolute,to:'2017-09-01T14:36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8" s="194" t="str">
        <f>IF(AA88&lt;VLOOKUP(AG88,Variables!$AC$3:$AD$8,2,FALSE),"Y","N")</f>
        <v>N</v>
      </c>
      <c r="X88" s="194">
        <f t="shared" si="28"/>
        <v>1</v>
      </c>
      <c r="Y88" s="194">
        <f t="shared" si="29"/>
        <v>4.7300000000000002E-2</v>
      </c>
      <c r="Z88" s="194">
        <f t="shared" si="30"/>
        <v>23.333600000000001</v>
      </c>
      <c r="AA88" s="194">
        <f t="shared" si="31"/>
        <v>23.286300000000001</v>
      </c>
      <c r="AB88" s="54" t="e">
        <f>VLOOKUP(A88,Enforcements!$C$7:$K$11,8,0)</f>
        <v>#N/A</v>
      </c>
      <c r="AC88" s="51" t="e">
        <f>VLOOKUP(A88,Enforcements!$C$7:$E$11,3,0)</f>
        <v>#N/A</v>
      </c>
      <c r="AD88" s="203">
        <f t="shared" si="32"/>
        <v>175</v>
      </c>
      <c r="AE88" s="77" t="str">
        <f t="shared" si="33"/>
        <v>aws s3 cp s3://rtdc.mdm.uploadarchive.raw/RTDC4026/ "%USERPROFILE%\AppData\Local\Temp\OnboardLogs"\RTDC4026\2017-09-01 --exclude "*" --recursive --include "*20170901*" &amp; "%USERPROFILE%\Documents\GitHub\mrs-test-scripts\Headless Mode &amp; Sideloading\WalkAndUnGZ.bat" "%USERPROFILE%\AppData\Local\Temp\OnboardLogs"\RTDC4026\2017-09-01 &amp; aws s3 cp s3://rtdc.mdm.uploadarchive.raw/RTDC4026/ "%USERPROFILE%\AppData\Local\Temp\OnboardLogs"\RTDC4026\2017-09-02 --exclude "*" --recursive --include "*20170902*" &amp; "%USERPROFILE%\Documents\GitHub\mrs-test-scripts\Headless Mode &amp; Sideloading\WalkAndUnGZ.bat" "%USERPROFILE%\AppData\Local\Temp\OnboardLogs"\RTDC4026\2017-09-02</v>
      </c>
      <c r="AF88" s="74" t="str">
        <f t="shared" si="34"/>
        <v>"C:\Program Files (x86)\AstroGrep\AstroGrep.exe" /e /r /s /spath="%USERPROFILE%\AppData\Local\Temp\OnboardLogs" /stypes="app*4026*20170901*" /stext=" 19:.+((SYSTEM_STATE.+slice.+state.+changed )|(ment ac)|(multiple cpu faults)|(system.+state.+changed )|(\[timeout)|(PRM\|1\|D)|(kpr)|(kdp)|(train st.+moving)|(\|lc)|(penalty))"</v>
      </c>
      <c r="AG88" s="206" t="str">
        <f t="shared" si="35"/>
        <v>EC</v>
      </c>
      <c r="AH88" s="78" t="str">
        <f t="shared" si="36"/>
        <v>"%USERPROFILE%\Documents\GitHub\eaglep3\Utilities\RefineRTDCRunTimes.py" --tripid 175-01 --locoid 4026 --swversion DE.1.0.9.0 --startMP 204:473 --initTime 2017-09-01T12:52:51 --startdatetime 2017-09-01T13:00:14 --delay 80 --endMP 204:233336 --enddatetime 2017-09-01T13:36:02 --enforcementcount 0 &gt;&gt;C:\Users\stu\Documents\GitHub\eaglep3-reporting\EC\2017-09-01-refined-times.txt</v>
      </c>
      <c r="AI88" s="96" t="str">
        <f t="shared" si="37"/>
        <v>echo {"issue":{"subject":"","project_id":79,"tracker_id":40,"status_id":1,"priority_id":2,"assigned_to_id":338,"start_date":"2017-09-01","description":"","custom_fields":[{"id":1,"name":"Subdivision","value":"EC"},{"id":4,"name":"Milepost","value":"23.3336"},{"id":17,"name":"Train ID","value":"175-01"},{"id":16,"name":"Locomotive ID","value":"4026"},{"id":130,"name":"Impact","value":""},{"id":150,"name":"Time of Event (Mountain Time)","value":"13:36:02"},{"id":151,"name":"Denver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38"/>
        <v>start /low /b %USERPROFILE%\Documents\GitHub\eaglep3\Utilities\DownloadLogsFromS3.py --loco 4026 --day 2017-09-01</v>
      </c>
      <c r="AN88" s="151" t="str">
        <f t="shared" si="39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19:36:02"},{"id":29,"name":"Sharepoint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734</v>
      </c>
      <c r="B89" s="7">
        <v>4025</v>
      </c>
      <c r="C89" s="21" t="s">
        <v>197</v>
      </c>
      <c r="D89" s="21" t="s">
        <v>863</v>
      </c>
      <c r="E89" s="13">
        <v>42979.569143518522</v>
      </c>
      <c r="F89" s="13">
        <v>42979.581562500003</v>
      </c>
      <c r="G89" s="7">
        <v>57</v>
      </c>
      <c r="H89" s="21" t="s">
        <v>340</v>
      </c>
      <c r="I89" s="13">
        <v>42979.607662037037</v>
      </c>
      <c r="J89" s="7">
        <v>0</v>
      </c>
      <c r="K89" s="89" t="str">
        <f t="shared" si="22"/>
        <v>4025/4026</v>
      </c>
      <c r="L89" s="214" t="str">
        <f>VLOOKUP(A89,'Trips&amp;Operators'!$C$1:$G$99911,5,FALSE)</f>
        <v>SAFIEF AEIMEN</v>
      </c>
      <c r="M89" s="6">
        <f t="shared" si="23"/>
        <v>2.6099537033587694E-2</v>
      </c>
      <c r="N89" s="7">
        <f t="shared" si="24"/>
        <v>37.58333332836628</v>
      </c>
      <c r="O89" s="7"/>
      <c r="P89" s="7"/>
      <c r="Q89" s="22"/>
      <c r="R89" s="167"/>
      <c r="S89" s="210">
        <f t="shared" si="25"/>
        <v>1</v>
      </c>
      <c r="T89" s="192" t="str">
        <f t="shared" si="26"/>
        <v>Southbound</v>
      </c>
      <c r="U89" s="192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3" t="str">
        <f t="shared" si="27"/>
        <v>https://d0f6bd738d7f1b3e5a7ca70fe4ff75f0.us-east-1.aws.found.io/app/kibana#/discover/Steve-Slow-Train-Analysis-(2080s-and-2083s)?_g=(refreshInterval:(display:Off,pause:!f,section:0,value:0),time:(from:'2017-09-01T12:39:34-0600',mode:absolute,to:'2017-09-01T15:35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9" s="194" t="str">
        <f>IF(AA89&lt;VLOOKUP(AG89,Variables!$AC$3:$AD$8,2,FALSE),"Y","N")</f>
        <v>N</v>
      </c>
      <c r="X89" s="194">
        <f t="shared" si="28"/>
        <v>1</v>
      </c>
      <c r="Y89" s="194">
        <f t="shared" si="29"/>
        <v>23.302700000000002</v>
      </c>
      <c r="Z89" s="194">
        <f t="shared" si="30"/>
        <v>1.43E-2</v>
      </c>
      <c r="AA89" s="194">
        <f t="shared" si="31"/>
        <v>23.288400000000003</v>
      </c>
      <c r="AB89" s="54" t="e">
        <f>VLOOKUP(A89,Enforcements!$C$7:$K$11,8,0)</f>
        <v>#N/A</v>
      </c>
      <c r="AC89" s="51" t="e">
        <f>VLOOKUP(A89,Enforcements!$C$7:$E$11,3,0)</f>
        <v>#N/A</v>
      </c>
      <c r="AD89" s="203">
        <f t="shared" si="32"/>
        <v>176</v>
      </c>
      <c r="AE89" s="77" t="str">
        <f t="shared" si="33"/>
        <v>aws s3 cp s3://rtdc.mdm.uploadarchive.raw/RTDC4025/ "%USERPROFILE%\AppData\Local\Temp\OnboardLogs"\RTDC4025\2017-09-01 --exclude "*" --recursive --include "*20170901*" &amp; "%USERPROFILE%\Documents\GitHub\mrs-test-scripts\Headless Mode &amp; Sideloading\WalkAndUnGZ.bat" "%USERPROFILE%\AppData\Local\Temp\OnboardLogs"\RTDC4025\2017-09-01 &amp; aws s3 cp s3://rtdc.mdm.uploadarchive.raw/RTDC4025/ "%USERPROFILE%\AppData\Local\Temp\OnboardLogs"\RTDC4025\2017-09-02 --exclude "*" --recursive --include "*20170902*" &amp; "%USERPROFILE%\Documents\GitHub\mrs-test-scripts\Headless Mode &amp; Sideloading\WalkAndUnGZ.bat" "%USERPROFILE%\AppData\Local\Temp\OnboardLogs"\RTDC4025\2017-09-02</v>
      </c>
      <c r="AF89" s="74" t="str">
        <f t="shared" si="34"/>
        <v>"C:\Program Files (x86)\AstroGrep\AstroGrep.exe" /e /r /s /spath="%USERPROFILE%\AppData\Local\Temp\OnboardLogs" /stypes="app*4025*20170901*" /stext=" 20:.+((SYSTEM_STATE.+slice.+state.+changed )|(ment ac)|(multiple cpu faults)|(system.+state.+changed )|(\[timeout)|(PRM\|1\|D)|(kpr)|(kdp)|(train st.+moving)|(\|lc)|(penalty))"</v>
      </c>
      <c r="AG89" s="206" t="str">
        <f t="shared" si="35"/>
        <v>EC</v>
      </c>
      <c r="AH89" s="78" t="str">
        <f t="shared" si="36"/>
        <v>"%USERPROFILE%\Documents\GitHub\eaglep3\Utilities\RefineRTDCRunTimes.py" --tripid 176-01 --locoid 4025 --swversion DE.1.0.9.0 --startMP 204:233027 --initTime 2017-09-01T13:39:34 --startdatetime 2017-09-01T13:57:27 --delay 57 --endMP 204:143 --enddatetime 2017-09-01T14:35:02 --enforcementcount 0 &gt;&gt;C:\Users\stu\Documents\GitHub\eaglep3-reporting\EC\2017-09-01-refined-times.txt</v>
      </c>
      <c r="AI89" s="96" t="str">
        <f t="shared" si="37"/>
        <v>echo {"issue":{"subject":"","project_id":79,"tracker_id":40,"status_id":1,"priority_id":2,"assigned_to_id":338,"start_date":"2017-09-01","description":"","custom_fields":[{"id":1,"name":"Subdivision","value":"EC"},{"id":4,"name":"Milepost","value":"0.0143"},{"id":17,"name":"Train ID","value":"176-01"},{"id":16,"name":"Locomotive ID","value":"4025"},{"id":130,"name":"Impact","value":""},{"id":150,"name":"Time of Event (Mountain Time)","value":"14:35:02"},{"id":151,"name":"Denver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38"/>
        <v>start /low /b %USERPROFILE%\Documents\GitHub\eaglep3\Utilities\DownloadLogsFromS3.py --loco 4025 --day 2017-09-01</v>
      </c>
      <c r="AN89" s="151" t="str">
        <f t="shared" si="39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20:35:02"},{"id":29,"name":"Sharepoint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729</v>
      </c>
      <c r="B90" s="7">
        <v>4012</v>
      </c>
      <c r="C90" s="21" t="s">
        <v>197</v>
      </c>
      <c r="D90" s="21" t="s">
        <v>343</v>
      </c>
      <c r="E90" s="13">
        <v>42979.548993055556</v>
      </c>
      <c r="F90" s="13">
        <v>42979.552256944444</v>
      </c>
      <c r="G90" s="7">
        <v>57</v>
      </c>
      <c r="H90" s="21" t="s">
        <v>858</v>
      </c>
      <c r="I90" s="13">
        <v>42979.576493055552</v>
      </c>
      <c r="J90" s="7">
        <v>0</v>
      </c>
      <c r="K90" s="89" t="str">
        <f t="shared" si="22"/>
        <v>4011/4012</v>
      </c>
      <c r="L90" s="214" t="str">
        <f>VLOOKUP(A90,'Trips&amp;Operators'!$C$1:$G$99911,5,FALSE)</f>
        <v>BRUDER RICHARD</v>
      </c>
      <c r="M90" s="6">
        <f t="shared" si="23"/>
        <v>2.4236111108621117E-2</v>
      </c>
      <c r="N90" s="7">
        <f t="shared" si="24"/>
        <v>34.899999996414408</v>
      </c>
      <c r="O90" s="7"/>
      <c r="P90" s="7"/>
      <c r="Q90" s="22"/>
      <c r="R90" s="167"/>
      <c r="S90" s="210">
        <f t="shared" si="25"/>
        <v>1</v>
      </c>
      <c r="T90" s="192" t="str">
        <f t="shared" si="26"/>
        <v>NorthBound</v>
      </c>
      <c r="U90" s="192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3" t="str">
        <f t="shared" si="27"/>
        <v>https://d0f6bd738d7f1b3e5a7ca70fe4ff75f0.us-east-1.aws.found.io/app/kibana#/discover/Steve-Slow-Train-Analysis-(2080s-and-2083s)?_g=(refreshInterval:(display:Off,pause:!f,section:0,value:0),time:(from:'2017-09-01T12:10:33-0600',mode:absolute,to:'2017-09-01T14:50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0" s="194" t="str">
        <f>IF(AA90&lt;VLOOKUP(AG90,Variables!$AC$3:$AD$8,2,FALSE),"Y","N")</f>
        <v>N</v>
      </c>
      <c r="X90" s="194">
        <f t="shared" si="28"/>
        <v>1</v>
      </c>
      <c r="Y90" s="194">
        <f t="shared" si="29"/>
        <v>4.4699999999999997E-2</v>
      </c>
      <c r="Z90" s="194">
        <f t="shared" si="30"/>
        <v>23.331399999999999</v>
      </c>
      <c r="AA90" s="194">
        <f t="shared" si="31"/>
        <v>23.2867</v>
      </c>
      <c r="AB90" s="54" t="e">
        <f>VLOOKUP(A90,Enforcements!$C$7:$K$11,8,0)</f>
        <v>#N/A</v>
      </c>
      <c r="AC90" s="51" t="e">
        <f>VLOOKUP(A90,Enforcements!$C$7:$E$11,3,0)</f>
        <v>#N/A</v>
      </c>
      <c r="AD90" s="203">
        <f t="shared" si="32"/>
        <v>177</v>
      </c>
      <c r="AE90" s="77" t="str">
        <f t="shared" si="33"/>
        <v>aws s3 cp s3://rtdc.mdm.uploadarchive.raw/RTDC4012/ "%USERPROFILE%\AppData\Local\Temp\OnboardLogs"\RTDC4012\2017-09-01 --exclude "*" --recursive --include "*20170901*" &amp; "%USERPROFILE%\Documents\GitHub\mrs-test-scripts\Headless Mode &amp; Sideloading\WalkAndUnGZ.bat" "%USERPROFILE%\AppData\Local\Temp\OnboardLogs"\RTDC4012\2017-09-01 &amp; aws s3 cp s3://rtdc.mdm.uploadarchive.raw/RTDC4012/ "%USERPROFILE%\AppData\Local\Temp\OnboardLogs"\RTDC4012\2017-09-02 --exclude "*" --recursive --include "*20170902*" &amp; "%USERPROFILE%\Documents\GitHub\mrs-test-scripts\Headless Mode &amp; Sideloading\WalkAndUnGZ.bat" "%USERPROFILE%\AppData\Local\Temp\OnboardLogs"\RTDC4012\2017-09-02</v>
      </c>
      <c r="AF90" s="74" t="str">
        <f t="shared" si="34"/>
        <v>"C:\Program Files (x86)\AstroGrep\AstroGrep.exe" /e /r /s /spath="%USERPROFILE%\AppData\Local\Temp\OnboardLogs" /stypes="app*4012*20170901*" /stext=" 19:.+((SYSTEM_STATE.+slice.+state.+changed )|(ment ac)|(multiple cpu faults)|(system.+state.+changed )|(\[timeout)|(PRM\|1\|D)|(kpr)|(kdp)|(train st.+moving)|(\|lc)|(penalty))"</v>
      </c>
      <c r="AG90" s="206" t="str">
        <f t="shared" si="35"/>
        <v>EC</v>
      </c>
      <c r="AH90" s="78" t="str">
        <f t="shared" si="36"/>
        <v>"%USERPROFILE%\Documents\GitHub\eaglep3\Utilities\RefineRTDCRunTimes.py" --tripid 177-01 --locoid 4012 --swversion DE.1.0.9.0 --startMP 204:447 --initTime 2017-09-01T13:10:33 --startdatetime 2017-09-01T13:15:15 --delay 57 --endMP 204:233314 --enddatetime 2017-09-01T13:50:09 --enforcementcount 0 &gt;&gt;C:\Users\stu\Documents\GitHub\eaglep3-reporting\EC\2017-09-01-refined-times.txt</v>
      </c>
      <c r="AI90" s="96" t="str">
        <f t="shared" si="37"/>
        <v>echo {"issue":{"subject":"","project_id":79,"tracker_id":40,"status_id":1,"priority_id":2,"assigned_to_id":338,"start_date":"2017-09-01","description":"","custom_fields":[{"id":1,"name":"Subdivision","value":"EC"},{"id":4,"name":"Milepost","value":"23.3314"},{"id":17,"name":"Train ID","value":"177-01"},{"id":16,"name":"Locomotive ID","value":"4012"},{"id":130,"name":"Impact","value":""},{"id":150,"name":"Time of Event (Mountain Time)","value":"13:50:09"},{"id":151,"name":"Denver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38"/>
        <v>start /low /b %USERPROFILE%\Documents\GitHub\eaglep3\Utilities\DownloadLogsFromS3.py --loco 4012 --day 2017-09-01</v>
      </c>
      <c r="AN90" s="151" t="str">
        <f t="shared" si="39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19:50:09"},{"id":29,"name":"Sharepoint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737</v>
      </c>
      <c r="B91" s="7">
        <v>4011</v>
      </c>
      <c r="C91" s="21" t="s">
        <v>197</v>
      </c>
      <c r="D91" s="21" t="s">
        <v>554</v>
      </c>
      <c r="E91" s="13">
        <v>42979.588599537034</v>
      </c>
      <c r="F91" s="13">
        <v>42979.591828703706</v>
      </c>
      <c r="G91" s="7">
        <v>84</v>
      </c>
      <c r="H91" s="21" t="s">
        <v>406</v>
      </c>
      <c r="I91" s="13">
        <v>42979.616701388892</v>
      </c>
      <c r="J91" s="7">
        <v>0</v>
      </c>
      <c r="K91" s="89" t="str">
        <f t="shared" si="22"/>
        <v>4011/4012</v>
      </c>
      <c r="L91" s="214" t="str">
        <f>VLOOKUP(A91,'Trips&amp;Operators'!$C$1:$G$99911,5,FALSE)</f>
        <v>BRUDER RICHARD</v>
      </c>
      <c r="M91" s="6">
        <f t="shared" si="23"/>
        <v>2.4872685185982846E-2</v>
      </c>
      <c r="N91" s="7">
        <f t="shared" si="24"/>
        <v>35.816666667815298</v>
      </c>
      <c r="O91" s="7"/>
      <c r="P91" s="7"/>
      <c r="Q91" s="22"/>
      <c r="R91" s="167"/>
      <c r="S91" s="210">
        <f t="shared" si="25"/>
        <v>1</v>
      </c>
      <c r="T91" s="192" t="str">
        <f t="shared" si="26"/>
        <v>Southbound</v>
      </c>
      <c r="U91" s="192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3" t="str">
        <f t="shared" si="27"/>
        <v>https://d0f6bd738d7f1b3e5a7ca70fe4ff75f0.us-east-1.aws.found.io/app/kibana#/discover/Steve-Slow-Train-Analysis-(2080s-and-2083s)?_g=(refreshInterval:(display:Off,pause:!f,section:0,value:0),time:(from:'2017-09-01T13:07:35-0600',mode:absolute,to:'2017-09-01T15:48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1" s="194" t="str">
        <f>IF(AA91&lt;VLOOKUP(AG91,Variables!$AC$3:$AD$8,2,FALSE),"Y","N")</f>
        <v>N</v>
      </c>
      <c r="X91" s="194">
        <f t="shared" si="28"/>
        <v>1</v>
      </c>
      <c r="Y91" s="194">
        <f t="shared" si="29"/>
        <v>23.297799999999999</v>
      </c>
      <c r="Z91" s="194">
        <f t="shared" si="30"/>
        <v>1.61E-2</v>
      </c>
      <c r="AA91" s="194">
        <f t="shared" si="31"/>
        <v>23.281699999999997</v>
      </c>
      <c r="AB91" s="54" t="e">
        <f>VLOOKUP(A91,Enforcements!$C$7:$K$11,8,0)</f>
        <v>#N/A</v>
      </c>
      <c r="AC91" s="51" t="e">
        <f>VLOOKUP(A91,Enforcements!$C$7:$E$11,3,0)</f>
        <v>#N/A</v>
      </c>
      <c r="AD91" s="203">
        <f t="shared" si="32"/>
        <v>178</v>
      </c>
      <c r="AE91" s="77" t="str">
        <f t="shared" si="33"/>
        <v>aws s3 cp s3://rtdc.mdm.uploadarchive.raw/RTDC4011/ "%USERPROFILE%\AppData\Local\Temp\OnboardLogs"\RTDC4011\2017-09-01 --exclude "*" --recursive --include "*20170901*" &amp; "%USERPROFILE%\Documents\GitHub\mrs-test-scripts\Headless Mode &amp; Sideloading\WalkAndUnGZ.bat" "%USERPROFILE%\AppData\Local\Temp\OnboardLogs"\RTDC4011\2017-09-01 &amp; aws s3 cp s3://rtdc.mdm.uploadarchive.raw/RTDC4011/ "%USERPROFILE%\AppData\Local\Temp\OnboardLogs"\RTDC4011\2017-09-02 --exclude "*" --recursive --include "*20170902*" &amp; "%USERPROFILE%\Documents\GitHub\mrs-test-scripts\Headless Mode &amp; Sideloading\WalkAndUnGZ.bat" "%USERPROFILE%\AppData\Local\Temp\OnboardLogs"\RTDC4011\2017-09-02</v>
      </c>
      <c r="AF91" s="74" t="str">
        <f t="shared" si="34"/>
        <v>"C:\Program Files (x86)\AstroGrep\AstroGrep.exe" /e /r /s /spath="%USERPROFILE%\AppData\Local\Temp\OnboardLogs" /stypes="app*4011*20170901*" /stext=" 20:.+((SYSTEM_STATE.+slice.+state.+changed )|(ment ac)|(multiple cpu faults)|(system.+state.+changed )|(\[timeout)|(PRM\|1\|D)|(kpr)|(kdp)|(train st.+moving)|(\|lc)|(penalty))"</v>
      </c>
      <c r="AG91" s="206" t="str">
        <f t="shared" si="35"/>
        <v>EC</v>
      </c>
      <c r="AH91" s="78" t="str">
        <f t="shared" si="36"/>
        <v>"%USERPROFILE%\Documents\GitHub\eaglep3\Utilities\RefineRTDCRunTimes.py" --tripid 178-01 --locoid 4011 --swversion DE.1.0.9.0 --startMP 204:232978 --initTime 2017-09-01T14:07:35 --startdatetime 2017-09-01T14:12:14 --delay 84 --endMP 204:161 --enddatetime 2017-09-01T14:48:03 --enforcementcount 0 &gt;&gt;C:\Users\stu\Documents\GitHub\eaglep3-reporting\EC\2017-09-01-refined-times.txt</v>
      </c>
      <c r="AI91" s="96" t="str">
        <f t="shared" si="37"/>
        <v>echo {"issue":{"subject":"","project_id":79,"tracker_id":40,"status_id":1,"priority_id":2,"assigned_to_id":338,"start_date":"2017-09-01","description":"","custom_fields":[{"id":1,"name":"Subdivision","value":"EC"},{"id":4,"name":"Milepost","value":"0.0161"},{"id":17,"name":"Train ID","value":"178-01"},{"id":16,"name":"Locomotive ID","value":"4011"},{"id":130,"name":"Impact","value":""},{"id":150,"name":"Time of Event (Mountain Time)","value":"14:48:03"},{"id":151,"name":"Denver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38"/>
        <v>start /low /b %USERPROFILE%\Documents\GitHub\eaglep3\Utilities\DownloadLogsFromS3.py --loco 4011 --day 2017-09-01</v>
      </c>
      <c r="AN91" s="151" t="str">
        <f t="shared" si="39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20:48:03"},{"id":29,"name":"Sharepoint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732</v>
      </c>
      <c r="B92" s="7">
        <v>4006</v>
      </c>
      <c r="C92" s="21" t="s">
        <v>197</v>
      </c>
      <c r="D92" s="21" t="s">
        <v>378</v>
      </c>
      <c r="E92" s="13">
        <v>42979.557662037034</v>
      </c>
      <c r="F92" s="13">
        <v>42979.562685185185</v>
      </c>
      <c r="G92" s="7">
        <v>66</v>
      </c>
      <c r="H92" s="21" t="s">
        <v>864</v>
      </c>
      <c r="I92" s="13">
        <v>42979.587951388887</v>
      </c>
      <c r="J92" s="7">
        <v>0</v>
      </c>
      <c r="K92" s="89" t="str">
        <f t="shared" si="22"/>
        <v>4005/4006</v>
      </c>
      <c r="L92" s="214" t="str">
        <f>VLOOKUP(A92,'Trips&amp;Operators'!$C$1:$G$99911,5,FALSE)</f>
        <v>LEVERE CRAIG</v>
      </c>
      <c r="M92" s="6">
        <f t="shared" si="23"/>
        <v>2.5266203701903578E-2</v>
      </c>
      <c r="N92" s="7">
        <f t="shared" si="24"/>
        <v>36.383333330741152</v>
      </c>
      <c r="O92" s="7"/>
      <c r="P92" s="7"/>
      <c r="Q92" s="22"/>
      <c r="R92" s="167"/>
      <c r="S92" s="210">
        <f t="shared" si="25"/>
        <v>1</v>
      </c>
      <c r="T92" s="192" t="str">
        <f t="shared" si="26"/>
        <v>NorthBound</v>
      </c>
      <c r="U92" s="192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3" t="str">
        <f t="shared" si="27"/>
        <v>https://d0f6bd738d7f1b3e5a7ca70fe4ff75f0.us-east-1.aws.found.io/app/kibana#/discover/Steve-Slow-Train-Analysis-(2080s-and-2083s)?_g=(refreshInterval:(display:Off,pause:!f,section:0,value:0),time:(from:'2017-09-01T12:23:02-0600',mode:absolute,to:'2017-09-01T15:06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92" s="194" t="str">
        <f>IF(AA92&lt;VLOOKUP(AG92,Variables!$AC$3:$AD$8,2,FALSE),"Y","N")</f>
        <v>N</v>
      </c>
      <c r="X92" s="194">
        <f t="shared" si="28"/>
        <v>1</v>
      </c>
      <c r="Y92" s="194">
        <f t="shared" si="29"/>
        <v>4.7100000000000003E-2</v>
      </c>
      <c r="Z92" s="194">
        <f t="shared" si="30"/>
        <v>23.333200000000001</v>
      </c>
      <c r="AA92" s="194">
        <f t="shared" si="31"/>
        <v>23.286100000000001</v>
      </c>
      <c r="AB92" s="54" t="e">
        <f>VLOOKUP(A92,Enforcements!$C$7:$K$11,8,0)</f>
        <v>#N/A</v>
      </c>
      <c r="AC92" s="51" t="e">
        <f>VLOOKUP(A92,Enforcements!$C$7:$E$11,3,0)</f>
        <v>#N/A</v>
      </c>
      <c r="AD92" s="203">
        <f t="shared" si="32"/>
        <v>179</v>
      </c>
      <c r="AE92" s="77" t="str">
        <f t="shared" si="33"/>
        <v>aws s3 cp s3://rtdc.mdm.uploadarchive.raw/RTDC4006/ "%USERPROFILE%\AppData\Local\Temp\OnboardLogs"\RTDC4006\2017-09-01 --exclude "*" --recursive --include "*20170901*" &amp; "%USERPROFILE%\Documents\GitHub\mrs-test-scripts\Headless Mode &amp; Sideloading\WalkAndUnGZ.bat" "%USERPROFILE%\AppData\Local\Temp\OnboardLogs"\RTDC4006\2017-09-01 &amp; aws s3 cp s3://rtdc.mdm.uploadarchive.raw/RTDC4006/ "%USERPROFILE%\AppData\Local\Temp\OnboardLogs"\RTDC4006\2017-09-02 --exclude "*" --recursive --include "*20170902*" &amp; "%USERPROFILE%\Documents\GitHub\mrs-test-scripts\Headless Mode &amp; Sideloading\WalkAndUnGZ.bat" "%USERPROFILE%\AppData\Local\Temp\OnboardLogs"\RTDC4006\2017-09-02</v>
      </c>
      <c r="AF92" s="74" t="str">
        <f t="shared" si="34"/>
        <v>"C:\Program Files (x86)\AstroGrep\AstroGrep.exe" /e /r /s /spath="%USERPROFILE%\AppData\Local\Temp\OnboardLogs" /stypes="app*4006*20170901*" /stext=" 20:.+((SYSTEM_STATE.+slice.+state.+changed )|(ment ac)|(multiple cpu faults)|(system.+state.+changed )|(\[timeout)|(PRM\|1\|D)|(kpr)|(kdp)|(train st.+moving)|(\|lc)|(penalty))"</v>
      </c>
      <c r="AG92" s="206" t="str">
        <f t="shared" si="35"/>
        <v>EC</v>
      </c>
      <c r="AH92" s="78" t="str">
        <f t="shared" si="36"/>
        <v>"%USERPROFILE%\Documents\GitHub\eaglep3\Utilities\RefineRTDCRunTimes.py" --tripid 179-01 --locoid 4006 --swversion DE.1.0.9.0 --startMP 204:471 --initTime 2017-09-01T13:23:02 --startdatetime 2017-09-01T13:30:16 --delay 66 --endMP 204:233332 --enddatetime 2017-09-01T14:06:39 --enforcementcount 0 &gt;&gt;C:\Users\stu\Documents\GitHub\eaglep3-reporting\EC\2017-09-01-refined-times.txt</v>
      </c>
      <c r="AI92" s="96" t="str">
        <f t="shared" si="37"/>
        <v>echo {"issue":{"subject":"","project_id":79,"tracker_id":40,"status_id":1,"priority_id":2,"assigned_to_id":338,"start_date":"2017-09-01","description":"","custom_fields":[{"id":1,"name":"Subdivision","value":"EC"},{"id":4,"name":"Milepost","value":"23.3332"},{"id":17,"name":"Train ID","value":"179-01"},{"id":16,"name":"Locomotive ID","value":"4006"},{"id":130,"name":"Impact","value":""},{"id":150,"name":"Time of Event (Mountain Time)","value":"14:06:39"},{"id":151,"name":"Denver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38"/>
        <v>start /low /b %USERPROFILE%\Documents\GitHub\eaglep3\Utilities\DownloadLogsFromS3.py --loco 4006 --day 2017-09-01</v>
      </c>
      <c r="AN92" s="151" t="str">
        <f t="shared" si="39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20:06:39"},{"id":29,"name":"Sharepoint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739</v>
      </c>
      <c r="B93" s="7">
        <v>4005</v>
      </c>
      <c r="C93" s="21" t="s">
        <v>197</v>
      </c>
      <c r="D93" s="21" t="s">
        <v>434</v>
      </c>
      <c r="E93" s="13">
        <v>42979.59652777778</v>
      </c>
      <c r="F93" s="13">
        <v>42979.602326388886</v>
      </c>
      <c r="G93" s="7">
        <v>58</v>
      </c>
      <c r="H93" s="21" t="s">
        <v>338</v>
      </c>
      <c r="I93" s="13">
        <v>42979.629027777781</v>
      </c>
      <c r="J93" s="7">
        <v>0</v>
      </c>
      <c r="K93" s="89" t="str">
        <f t="shared" si="22"/>
        <v>4005/4006</v>
      </c>
      <c r="L93" s="214" t="str">
        <f>VLOOKUP(A93,'Trips&amp;Operators'!$C$1:$G$99911,5,FALSE)</f>
        <v>LEVERE CRAIG</v>
      </c>
      <c r="M93" s="6">
        <f t="shared" si="23"/>
        <v>2.6701388895162381E-2</v>
      </c>
      <c r="N93" s="7">
        <f t="shared" si="24"/>
        <v>38.450000009033829</v>
      </c>
      <c r="O93" s="7"/>
      <c r="P93" s="7"/>
      <c r="Q93" s="22"/>
      <c r="R93" s="167"/>
      <c r="S93" s="210">
        <f t="shared" si="25"/>
        <v>1</v>
      </c>
      <c r="T93" s="192" t="str">
        <f t="shared" si="26"/>
        <v>Southbound</v>
      </c>
      <c r="U93" s="192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3" t="str">
        <f t="shared" si="27"/>
        <v>https://d0f6bd738d7f1b3e5a7ca70fe4ff75f0.us-east-1.aws.found.io/app/kibana#/discover/Steve-Slow-Train-Analysis-(2080s-and-2083s)?_g=(refreshInterval:(display:Off,pause:!f,section:0,value:0),time:(from:'2017-09-01T13:19:00-0600',mode:absolute,to:'2017-09-01T16:05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93" s="194" t="str">
        <f>IF(AA93&lt;VLOOKUP(AG93,Variables!$AC$3:$AD$8,2,FALSE),"Y","N")</f>
        <v>N</v>
      </c>
      <c r="X93" s="194">
        <f t="shared" si="28"/>
        <v>1</v>
      </c>
      <c r="Y93" s="194">
        <f t="shared" si="29"/>
        <v>23.299299999999999</v>
      </c>
      <c r="Z93" s="194">
        <f t="shared" si="30"/>
        <v>1.4999999999999999E-2</v>
      </c>
      <c r="AA93" s="194">
        <f t="shared" si="31"/>
        <v>23.284299999999998</v>
      </c>
      <c r="AB93" s="54" t="e">
        <f>VLOOKUP(A93,Enforcements!$C$7:$K$11,8,0)</f>
        <v>#N/A</v>
      </c>
      <c r="AC93" s="51" t="e">
        <f>VLOOKUP(A93,Enforcements!$C$7:$E$11,3,0)</f>
        <v>#N/A</v>
      </c>
      <c r="AD93" s="203">
        <f t="shared" si="32"/>
        <v>180</v>
      </c>
      <c r="AE93" s="77" t="str">
        <f t="shared" si="33"/>
        <v>aws s3 cp s3://rtdc.mdm.uploadarchive.raw/RTDC4005/ "%USERPROFILE%\AppData\Local\Temp\OnboardLogs"\RTDC4005\2017-09-01 --exclude "*" --recursive --include "*20170901*" &amp; "%USERPROFILE%\Documents\GitHub\mrs-test-scripts\Headless Mode &amp; Sideloading\WalkAndUnGZ.bat" "%USERPROFILE%\AppData\Local\Temp\OnboardLogs"\RTDC4005\2017-09-01 &amp; aws s3 cp s3://rtdc.mdm.uploadarchive.raw/RTDC4005/ "%USERPROFILE%\AppData\Local\Temp\OnboardLogs"\RTDC4005\2017-09-02 --exclude "*" --recursive --include "*20170902*" &amp; "%USERPROFILE%\Documents\GitHub\mrs-test-scripts\Headless Mode &amp; Sideloading\WalkAndUnGZ.bat" "%USERPROFILE%\AppData\Local\Temp\OnboardLogs"\RTDC4005\2017-09-02</v>
      </c>
      <c r="AF93" s="74" t="str">
        <f t="shared" si="34"/>
        <v>"C:\Program Files (x86)\AstroGrep\AstroGrep.exe" /e /r /s /spath="%USERPROFILE%\AppData\Local\Temp\OnboardLogs" /stypes="app*4005*20170901*" /stext=" 21:.+((SYSTEM_STATE.+slice.+state.+changed )|(ment ac)|(multiple cpu faults)|(system.+state.+changed )|(\[timeout)|(PRM\|1\|D)|(kpr)|(kdp)|(train st.+moving)|(\|lc)|(penalty))"</v>
      </c>
      <c r="AG93" s="206" t="str">
        <f t="shared" si="35"/>
        <v>EC</v>
      </c>
      <c r="AH93" s="78" t="str">
        <f t="shared" si="36"/>
        <v>"%USERPROFILE%\Documents\GitHub\eaglep3\Utilities\RefineRTDCRunTimes.py" --tripid 180-01 --locoid 4005 --swversion DE.1.0.9.0 --startMP 204:232993 --initTime 2017-09-01T14:19:00 --startdatetime 2017-09-01T14:27:21 --delay 58 --endMP 204:150 --enddatetime 2017-09-01T15:05:48 --enforcementcount 0 &gt;&gt;C:\Users\stu\Documents\GitHub\eaglep3-reporting\EC\2017-09-01-refined-times.txt</v>
      </c>
      <c r="AI93" s="96" t="str">
        <f t="shared" si="37"/>
        <v>echo {"issue":{"subject":"","project_id":79,"tracker_id":40,"status_id":1,"priority_id":2,"assigned_to_id":338,"start_date":"2017-09-01","description":"","custom_fields":[{"id":1,"name":"Subdivision","value":"EC"},{"id":4,"name":"Milepost","value":"0.015"},{"id":17,"name":"Train ID","value":"180-01"},{"id":16,"name":"Locomotive ID","value":"4005"},{"id":130,"name":"Impact","value":""},{"id":150,"name":"Time of Event (Mountain Time)","value":"15:05:48"},{"id":151,"name":"Denver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38"/>
        <v>start /low /b %USERPROFILE%\Documents\GitHub\eaglep3\Utilities\DownloadLogsFromS3.py --loco 4005 --day 2017-09-01</v>
      </c>
      <c r="AN93" s="151" t="str">
        <f t="shared" si="39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21:05:48"},{"id":29,"name":"Sharepoint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733</v>
      </c>
      <c r="B94" s="7">
        <v>4040</v>
      </c>
      <c r="C94" s="21" t="s">
        <v>197</v>
      </c>
      <c r="D94" s="21" t="s">
        <v>367</v>
      </c>
      <c r="E94" s="13">
        <v>42979.567627314813</v>
      </c>
      <c r="F94" s="13">
        <v>42979.57309027778</v>
      </c>
      <c r="G94" s="7">
        <v>55</v>
      </c>
      <c r="H94" s="21" t="s">
        <v>840</v>
      </c>
      <c r="I94" s="13">
        <v>42979.598668981482</v>
      </c>
      <c r="J94" s="7">
        <v>0</v>
      </c>
      <c r="K94" s="89" t="str">
        <f t="shared" si="22"/>
        <v>4039/4040</v>
      </c>
      <c r="L94" s="214" t="str">
        <f>VLOOKUP(A94,'Trips&amp;Operators'!$C$1:$G$99911,5,FALSE)</f>
        <v>FORTUNATO FRANK</v>
      </c>
      <c r="M94" s="6">
        <f t="shared" si="23"/>
        <v>2.5578703702194616E-2</v>
      </c>
      <c r="N94" s="7">
        <f t="shared" si="24"/>
        <v>36.833333331160247</v>
      </c>
      <c r="O94" s="7"/>
      <c r="P94" s="7"/>
      <c r="Q94" s="22"/>
      <c r="R94" s="167"/>
      <c r="S94" s="210">
        <f t="shared" si="25"/>
        <v>1</v>
      </c>
      <c r="T94" s="192" t="str">
        <f t="shared" si="26"/>
        <v>NorthBound</v>
      </c>
      <c r="U94" s="192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3" t="str">
        <f t="shared" si="27"/>
        <v>https://d0f6bd738d7f1b3e5a7ca70fe4ff75f0.us-east-1.aws.found.io/app/kibana#/discover/Steve-Slow-Train-Analysis-(2080s-and-2083s)?_g=(refreshInterval:(display:Off,pause:!f,section:0,value:0),time:(from:'2017-09-01T12:37:23-0600',mode:absolute,to:'2017-09-01T15:22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4" s="194" t="str">
        <f>IF(AA94&lt;VLOOKUP(AG94,Variables!$AC$3:$AD$8,2,FALSE),"Y","N")</f>
        <v>N</v>
      </c>
      <c r="X94" s="194">
        <f t="shared" si="28"/>
        <v>1</v>
      </c>
      <c r="Y94" s="194">
        <f t="shared" si="29"/>
        <v>4.5699999999999998E-2</v>
      </c>
      <c r="Z94" s="194">
        <f t="shared" si="30"/>
        <v>23.331199999999999</v>
      </c>
      <c r="AA94" s="194">
        <f t="shared" si="31"/>
        <v>23.285499999999999</v>
      </c>
      <c r="AB94" s="54" t="e">
        <f>VLOOKUP(A94,Enforcements!$C$7:$K$11,8,0)</f>
        <v>#N/A</v>
      </c>
      <c r="AC94" s="51" t="e">
        <f>VLOOKUP(A94,Enforcements!$C$7:$E$11,3,0)</f>
        <v>#N/A</v>
      </c>
      <c r="AD94" s="203">
        <f t="shared" si="32"/>
        <v>181</v>
      </c>
      <c r="AE94" s="77" t="str">
        <f t="shared" si="33"/>
        <v>aws s3 cp s3://rtdc.mdm.uploadarchive.raw/RTDC4040/ "%USERPROFILE%\AppData\Local\Temp\OnboardLogs"\RTDC4040\2017-09-01 --exclude "*" --recursive --include "*20170901*" &amp; "%USERPROFILE%\Documents\GitHub\mrs-test-scripts\Headless Mode &amp; Sideloading\WalkAndUnGZ.bat" "%USERPROFILE%\AppData\Local\Temp\OnboardLogs"\RTDC4040\2017-09-01 &amp; aws s3 cp s3://rtdc.mdm.uploadarchive.raw/RTDC4040/ "%USERPROFILE%\AppData\Local\Temp\OnboardLogs"\RTDC4040\2017-09-02 --exclude "*" --recursive --include "*20170902*" &amp; "%USERPROFILE%\Documents\GitHub\mrs-test-scripts\Headless Mode &amp; Sideloading\WalkAndUnGZ.bat" "%USERPROFILE%\AppData\Local\Temp\OnboardLogs"\RTDC4040\2017-09-02</v>
      </c>
      <c r="AF94" s="74" t="str">
        <f t="shared" si="34"/>
        <v>"C:\Program Files (x86)\AstroGrep\AstroGrep.exe" /e /r /s /spath="%USERPROFILE%\AppData\Local\Temp\OnboardLogs" /stypes="app*4040*20170901*" /stext=" 20:.+((SYSTEM_STATE.+slice.+state.+changed )|(ment ac)|(multiple cpu faults)|(system.+state.+changed )|(\[timeout)|(PRM\|1\|D)|(kpr)|(kdp)|(train st.+moving)|(\|lc)|(penalty))"</v>
      </c>
      <c r="AG94" s="206" t="str">
        <f t="shared" si="35"/>
        <v>EC</v>
      </c>
      <c r="AH94" s="78" t="str">
        <f t="shared" si="36"/>
        <v>"%USERPROFILE%\Documents\GitHub\eaglep3\Utilities\RefineRTDCRunTimes.py" --tripid 181-01 --locoid 4040 --swversion DE.1.0.9.0 --startMP 204:457 --initTime 2017-09-01T13:37:23 --startdatetime 2017-09-01T13:45:15 --delay 55 --endMP 204:233312 --enddatetime 2017-09-01T14:22:05 --enforcementcount 0 &gt;&gt;C:\Users\stu\Documents\GitHub\eaglep3-reporting\EC\2017-09-01-refined-times.txt</v>
      </c>
      <c r="AI94" s="96" t="str">
        <f t="shared" si="37"/>
        <v>echo {"issue":{"subject":"","project_id":79,"tracker_id":40,"status_id":1,"priority_id":2,"assigned_to_id":338,"start_date":"2017-09-01","description":"","custom_fields":[{"id":1,"name":"Subdivision","value":"EC"},{"id":4,"name":"Milepost","value":"23.3312"},{"id":17,"name":"Train ID","value":"181-01"},{"id":16,"name":"Locomotive ID","value":"4040"},{"id":130,"name":"Impact","value":""},{"id":150,"name":"Time of Event (Mountain Time)","value":"14:22:05"},{"id":151,"name":"Denver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38"/>
        <v>start /low /b %USERPROFILE%\Documents\GitHub\eaglep3\Utilities\DownloadLogsFromS3.py --loco 4040 --day 2017-09-01</v>
      </c>
      <c r="AN94" s="151" t="str">
        <f t="shared" si="39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20:22:05"},{"id":29,"name":"Sharepoint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743</v>
      </c>
      <c r="B95" s="7">
        <v>4039</v>
      </c>
      <c r="C95" s="21" t="s">
        <v>197</v>
      </c>
      <c r="D95" s="21" t="s">
        <v>436</v>
      </c>
      <c r="E95" s="13">
        <v>42979.599918981483</v>
      </c>
      <c r="F95" s="13">
        <v>42979.612662037034</v>
      </c>
      <c r="G95" s="7">
        <v>63</v>
      </c>
      <c r="H95" s="21" t="s">
        <v>340</v>
      </c>
      <c r="I95" s="13">
        <v>42979.63826388889</v>
      </c>
      <c r="J95" s="7">
        <v>0</v>
      </c>
      <c r="K95" s="89" t="str">
        <f t="shared" si="22"/>
        <v>4039/4040</v>
      </c>
      <c r="L95" s="214" t="str">
        <f>VLOOKUP(A95,'Trips&amp;Operators'!$C$1:$G$99911,5,FALSE)</f>
        <v>FORTUNATO FRANK</v>
      </c>
      <c r="M95" s="6">
        <f t="shared" si="23"/>
        <v>2.5601851855753921E-2</v>
      </c>
      <c r="N95" s="7">
        <f t="shared" si="24"/>
        <v>36.866666672285646</v>
      </c>
      <c r="O95" s="7"/>
      <c r="P95" s="7"/>
      <c r="Q95" s="22"/>
      <c r="R95" s="167"/>
      <c r="S95" s="210">
        <f t="shared" si="25"/>
        <v>1</v>
      </c>
      <c r="T95" s="192" t="str">
        <f t="shared" si="26"/>
        <v>Southbound</v>
      </c>
      <c r="U95" s="192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3" t="str">
        <f t="shared" si="27"/>
        <v>https://d0f6bd738d7f1b3e5a7ca70fe4ff75f0.us-east-1.aws.found.io/app/kibana#/discover/Steve-Slow-Train-Analysis-(2080s-and-2083s)?_g=(refreshInterval:(display:Off,pause:!f,section:0,value:0),time:(from:'2017-09-01T13:23:53-0600',mode:absolute,to:'2017-09-01T16:19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5" s="194" t="str">
        <f>IF(AA95&lt;VLOOKUP(AG95,Variables!$AC$3:$AD$8,2,FALSE),"Y","N")</f>
        <v>N</v>
      </c>
      <c r="X95" s="194">
        <f t="shared" si="28"/>
        <v>1</v>
      </c>
      <c r="Y95" s="194">
        <f t="shared" si="29"/>
        <v>23.299199999999999</v>
      </c>
      <c r="Z95" s="194">
        <f t="shared" si="30"/>
        <v>1.43E-2</v>
      </c>
      <c r="AA95" s="194">
        <f t="shared" si="31"/>
        <v>23.2849</v>
      </c>
      <c r="AB95" s="54" t="e">
        <f>VLOOKUP(A95,Enforcements!$C$7:$K$11,8,0)</f>
        <v>#N/A</v>
      </c>
      <c r="AC95" s="51" t="e">
        <f>VLOOKUP(A95,Enforcements!$C$7:$E$11,3,0)</f>
        <v>#N/A</v>
      </c>
      <c r="AD95" s="203">
        <f t="shared" si="32"/>
        <v>182</v>
      </c>
      <c r="AE95" s="77" t="str">
        <f t="shared" si="33"/>
        <v>aws s3 cp s3://rtdc.mdm.uploadarchive.raw/RTDC4039/ "%USERPROFILE%\AppData\Local\Temp\OnboardLogs"\RTDC4039\2017-09-01 --exclude "*" --recursive --include "*20170901*" &amp; "%USERPROFILE%\Documents\GitHub\mrs-test-scripts\Headless Mode &amp; Sideloading\WalkAndUnGZ.bat" "%USERPROFILE%\AppData\Local\Temp\OnboardLogs"\RTDC4039\2017-09-01 &amp; aws s3 cp s3://rtdc.mdm.uploadarchive.raw/RTDC4039/ "%USERPROFILE%\AppData\Local\Temp\OnboardLogs"\RTDC4039\2017-09-02 --exclude "*" --recursive --include "*20170902*" &amp; "%USERPROFILE%\Documents\GitHub\mrs-test-scripts\Headless Mode &amp; Sideloading\WalkAndUnGZ.bat" "%USERPROFILE%\AppData\Local\Temp\OnboardLogs"\RTDC4039\2017-09-02</v>
      </c>
      <c r="AF95" s="74" t="str">
        <f t="shared" si="34"/>
        <v>"C:\Program Files (x86)\AstroGrep\AstroGrep.exe" /e /r /s /spath="%USERPROFILE%\AppData\Local\Temp\OnboardLogs" /stypes="app*4039*20170901*" /stext=" 21:.+((SYSTEM_STATE.+slice.+state.+changed )|(ment ac)|(multiple cpu faults)|(system.+state.+changed )|(\[timeout)|(PRM\|1\|D)|(kpr)|(kdp)|(train st.+moving)|(\|lc)|(penalty))"</v>
      </c>
      <c r="AG95" s="206" t="str">
        <f t="shared" si="35"/>
        <v>EC</v>
      </c>
      <c r="AH95" s="78" t="str">
        <f t="shared" si="36"/>
        <v>"%USERPROFILE%\Documents\GitHub\eaglep3\Utilities\RefineRTDCRunTimes.py" --tripid 182-01 --locoid 4039 --swversion DE.1.0.9.0 --startMP 204:232992 --initTime 2017-09-01T14:23:53 --startdatetime 2017-09-01T14:42:14 --delay 63 --endMP 204:143 --enddatetime 2017-09-01T15:19:06 --enforcementcount 0 &gt;&gt;C:\Users\stu\Documents\GitHub\eaglep3-reporting\EC\2017-09-01-refined-times.txt</v>
      </c>
      <c r="AI95" s="96" t="str">
        <f t="shared" si="37"/>
        <v>echo {"issue":{"subject":"","project_id":79,"tracker_id":40,"status_id":1,"priority_id":2,"assigned_to_id":338,"start_date":"2017-09-01","description":"","custom_fields":[{"id":1,"name":"Subdivision","value":"EC"},{"id":4,"name":"Milepost","value":"0.0143"},{"id":17,"name":"Train ID","value":"182-01"},{"id":16,"name":"Locomotive ID","value":"4039"},{"id":130,"name":"Impact","value":""},{"id":150,"name":"Time of Event (Mountain Time)","value":"15:19:06"},{"id":151,"name":"Denver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2" t="str">
        <f t="shared" si="38"/>
        <v>start /low /b %USERPROFILE%\Documents\GitHub\eaglep3\Utilities\DownloadLogsFromS3.py --loco 4039 --day 2017-09-01</v>
      </c>
      <c r="AN95" s="151" t="str">
        <f t="shared" si="39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21:19:06"},{"id":29,"name":"Sharepoint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735</v>
      </c>
      <c r="B96" s="7">
        <v>4024</v>
      </c>
      <c r="C96" s="21" t="s">
        <v>197</v>
      </c>
      <c r="D96" s="21" t="s">
        <v>856</v>
      </c>
      <c r="E96" s="13">
        <v>42979.577696759261</v>
      </c>
      <c r="F96" s="13">
        <v>42979.583831018521</v>
      </c>
      <c r="G96" s="7">
        <v>68</v>
      </c>
      <c r="H96" s="21" t="s">
        <v>865</v>
      </c>
      <c r="I96" s="13">
        <v>42979.608124999999</v>
      </c>
      <c r="J96" s="7">
        <v>0</v>
      </c>
      <c r="K96" s="89" t="str">
        <f t="shared" si="22"/>
        <v>4023/4024</v>
      </c>
      <c r="L96" s="214" t="str">
        <f>VLOOKUP(A96,'Trips&amp;Operators'!$C$1:$G$99911,5,FALSE)</f>
        <v>LEVIN SCOTT</v>
      </c>
      <c r="M96" s="6">
        <f t="shared" si="23"/>
        <v>2.4293981477967463E-2</v>
      </c>
      <c r="N96" s="7">
        <f t="shared" si="24"/>
        <v>34.983333328273147</v>
      </c>
      <c r="O96" s="7"/>
      <c r="P96" s="7"/>
      <c r="Q96" s="22"/>
      <c r="R96" s="167"/>
      <c r="S96" s="210">
        <f t="shared" si="25"/>
        <v>1</v>
      </c>
      <c r="T96" s="192" t="str">
        <f t="shared" si="26"/>
        <v>NorthBound</v>
      </c>
      <c r="U96" s="192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3" t="str">
        <f t="shared" si="27"/>
        <v>https://d0f6bd738d7f1b3e5a7ca70fe4ff75f0.us-east-1.aws.found.io/app/kibana#/discover/Steve-Slow-Train-Analysis-(2080s-and-2083s)?_g=(refreshInterval:(display:Off,pause:!f,section:0,value:0),time:(from:'2017-09-01T12:51:53-0600',mode:absolute,to:'2017-09-01T15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96" s="194" t="str">
        <f>IF(AA96&lt;VLOOKUP(AG96,Variables!$AC$3:$AD$8,2,FALSE),"Y","N")</f>
        <v>N</v>
      </c>
      <c r="X96" s="194">
        <f t="shared" si="28"/>
        <v>1</v>
      </c>
      <c r="Y96" s="194">
        <f t="shared" si="29"/>
        <v>4.3099999999999999E-2</v>
      </c>
      <c r="Z96" s="194">
        <f t="shared" si="30"/>
        <v>23.334</v>
      </c>
      <c r="AA96" s="194">
        <f t="shared" si="31"/>
        <v>23.290900000000001</v>
      </c>
      <c r="AB96" s="54" t="e">
        <f>VLOOKUP(A96,Enforcements!$C$7:$K$11,8,0)</f>
        <v>#N/A</v>
      </c>
      <c r="AC96" s="51" t="e">
        <f>VLOOKUP(A96,Enforcements!$C$7:$E$11,3,0)</f>
        <v>#N/A</v>
      </c>
      <c r="AD96" s="203">
        <f t="shared" si="32"/>
        <v>183</v>
      </c>
      <c r="AE96" s="77" t="str">
        <f t="shared" si="33"/>
        <v>aws s3 cp s3://rtdc.mdm.uploadarchive.raw/RTDC4024/ "%USERPROFILE%\AppData\Local\Temp\OnboardLogs"\RTDC4024\2017-09-01 --exclude "*" --recursive --include "*20170901*" &amp; "%USERPROFILE%\Documents\GitHub\mrs-test-scripts\Headless Mode &amp; Sideloading\WalkAndUnGZ.bat" "%USERPROFILE%\AppData\Local\Temp\OnboardLogs"\RTDC4024\2017-09-01 &amp; aws s3 cp s3://rtdc.mdm.uploadarchive.raw/RTDC4024/ "%USERPROFILE%\AppData\Local\Temp\OnboardLogs"\RTDC4024\2017-09-02 --exclude "*" --recursive --include "*20170902*" &amp; "%USERPROFILE%\Documents\GitHub\mrs-test-scripts\Headless Mode &amp; Sideloading\WalkAndUnGZ.bat" "%USERPROFILE%\AppData\Local\Temp\OnboardLogs"\RTDC4024\2017-09-02</v>
      </c>
      <c r="AF96" s="74" t="str">
        <f t="shared" si="34"/>
        <v>"C:\Program Files (x86)\AstroGrep\AstroGrep.exe" /e /r /s /spath="%USERPROFILE%\AppData\Local\Temp\OnboardLogs" /stypes="app*4024*20170901*" /stext=" 20:.+((SYSTEM_STATE.+slice.+state.+changed )|(ment ac)|(multiple cpu faults)|(system.+state.+changed )|(\[timeout)|(PRM\|1\|D)|(kpr)|(kdp)|(train st.+moving)|(\|lc)|(penalty))"</v>
      </c>
      <c r="AG96" s="206" t="str">
        <f t="shared" si="35"/>
        <v>EC</v>
      </c>
      <c r="AH96" s="78" t="str">
        <f t="shared" si="36"/>
        <v>"%USERPROFILE%\Documents\GitHub\eaglep3\Utilities\RefineRTDCRunTimes.py" --tripid 183-01 --locoid 4024 --swversion DE.1.0.9.0 --startMP 204:431 --initTime 2017-09-01T13:51:53 --startdatetime 2017-09-01T14:00:43 --delay 68 --endMP 204:233340 --enddatetime 2017-09-01T14:35:42 --enforcementcount 0 &gt;&gt;C:\Users\stu\Documents\GitHub\eaglep3-reporting\EC\2017-09-01-refined-times.txt</v>
      </c>
      <c r="AI96" s="96" t="str">
        <f t="shared" si="37"/>
        <v>echo {"issue":{"subject":"","project_id":79,"tracker_id":40,"status_id":1,"priority_id":2,"assigned_to_id":338,"start_date":"2017-09-01","description":"","custom_fields":[{"id":1,"name":"Subdivision","value":"EC"},{"id":4,"name":"Milepost","value":"23.334"},{"id":17,"name":"Train ID","value":"183-01"},{"id":16,"name":"Locomotive ID","value":"4024"},{"id":130,"name":"Impact","value":""},{"id":150,"name":"Time of Event (Mountain Time)","value":"14:35:42"},{"id":151,"name":"Denver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2" t="str">
        <f t="shared" si="38"/>
        <v>start /low /b %USERPROFILE%\Documents\GitHub\eaglep3\Utilities\DownloadLogsFromS3.py --loco 4024 --day 2017-09-01</v>
      </c>
      <c r="AN96" s="151" t="str">
        <f t="shared" si="39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20:35:42"},{"id":29,"name":"Sharepoint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746</v>
      </c>
      <c r="B97" s="7">
        <v>4023</v>
      </c>
      <c r="C97" s="21" t="s">
        <v>197</v>
      </c>
      <c r="D97" s="21" t="s">
        <v>866</v>
      </c>
      <c r="E97" s="13">
        <v>42979.612604166665</v>
      </c>
      <c r="F97" s="13">
        <v>42979.623287037037</v>
      </c>
      <c r="G97" s="7">
        <v>50</v>
      </c>
      <c r="H97" s="21" t="s">
        <v>372</v>
      </c>
      <c r="I97" s="13">
        <v>42979.648819444446</v>
      </c>
      <c r="J97" s="7">
        <v>0</v>
      </c>
      <c r="K97" s="89" t="str">
        <f t="shared" si="22"/>
        <v>4023/4024</v>
      </c>
      <c r="L97" s="214" t="str">
        <f>VLOOKUP(A97,'Trips&amp;Operators'!$C$1:$G$99911,5,FALSE)</f>
        <v>LEVIN SCOTT</v>
      </c>
      <c r="M97" s="6">
        <f t="shared" si="23"/>
        <v>2.5532407409627922E-2</v>
      </c>
      <c r="N97" s="7">
        <f t="shared" si="24"/>
        <v>36.766666669864208</v>
      </c>
      <c r="O97" s="7"/>
      <c r="P97" s="7"/>
      <c r="Q97" s="22"/>
      <c r="R97" s="167"/>
      <c r="S97" s="210">
        <f t="shared" si="25"/>
        <v>1</v>
      </c>
      <c r="T97" s="192" t="str">
        <f t="shared" si="26"/>
        <v>Southbound</v>
      </c>
      <c r="U97" s="192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3" t="str">
        <f t="shared" si="27"/>
        <v>https://d0f6bd738d7f1b3e5a7ca70fe4ff75f0.us-east-1.aws.found.io/app/kibana#/discover/Steve-Slow-Train-Analysis-(2080s-and-2083s)?_g=(refreshInterval:(display:Off,pause:!f,section:0,value:0),time:(from:'2017-09-01T13:42:09-0600',mode:absolute,to:'2017-09-01T16:34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97" s="194" t="str">
        <f>IF(AA97&lt;VLOOKUP(AG97,Variables!$AC$3:$AD$8,2,FALSE),"Y","N")</f>
        <v>N</v>
      </c>
      <c r="X97" s="194">
        <f t="shared" si="28"/>
        <v>1</v>
      </c>
      <c r="Y97" s="194">
        <f t="shared" si="29"/>
        <v>23.3047</v>
      </c>
      <c r="Z97" s="194">
        <f t="shared" si="30"/>
        <v>1.4500000000000001E-2</v>
      </c>
      <c r="AA97" s="194">
        <f t="shared" si="31"/>
        <v>23.290199999999999</v>
      </c>
      <c r="AB97" s="54" t="e">
        <f>VLOOKUP(A97,Enforcements!$C$7:$K$11,8,0)</f>
        <v>#N/A</v>
      </c>
      <c r="AC97" s="51" t="e">
        <f>VLOOKUP(A97,Enforcements!$C$7:$E$11,3,0)</f>
        <v>#N/A</v>
      </c>
      <c r="AD97" s="203">
        <f t="shared" si="32"/>
        <v>184</v>
      </c>
      <c r="AE97" s="77" t="str">
        <f t="shared" si="33"/>
        <v>aws s3 cp s3://rtdc.mdm.uploadarchive.raw/RTDC4023/ "%USERPROFILE%\AppData\Local\Temp\OnboardLogs"\RTDC4023\2017-09-01 --exclude "*" --recursive --include "*20170901*" &amp; "%USERPROFILE%\Documents\GitHub\mrs-test-scripts\Headless Mode &amp; Sideloading\WalkAndUnGZ.bat" "%USERPROFILE%\AppData\Local\Temp\OnboardLogs"\RTDC4023\2017-09-01 &amp; aws s3 cp s3://rtdc.mdm.uploadarchive.raw/RTDC4023/ "%USERPROFILE%\AppData\Local\Temp\OnboardLogs"\RTDC4023\2017-09-02 --exclude "*" --recursive --include "*20170902*" &amp; "%USERPROFILE%\Documents\GitHub\mrs-test-scripts\Headless Mode &amp; Sideloading\WalkAndUnGZ.bat" "%USERPROFILE%\AppData\Local\Temp\OnboardLogs"\RTDC4023\2017-09-02</v>
      </c>
      <c r="AF97" s="74" t="str">
        <f t="shared" si="34"/>
        <v>"C:\Program Files (x86)\AstroGrep\AstroGrep.exe" /e /r /s /spath="%USERPROFILE%\AppData\Local\Temp\OnboardLogs" /stypes="app*4023*20170901*" /stext=" 21:.+((SYSTEM_STATE.+slice.+state.+changed )|(ment ac)|(multiple cpu faults)|(system.+state.+changed )|(\[timeout)|(PRM\|1\|D)|(kpr)|(kdp)|(train st.+moving)|(\|lc)|(penalty))"</v>
      </c>
      <c r="AG97" s="206" t="str">
        <f t="shared" si="35"/>
        <v>EC</v>
      </c>
      <c r="AH97" s="78" t="str">
        <f t="shared" si="36"/>
        <v>"%USERPROFILE%\Documents\GitHub\eaglep3\Utilities\RefineRTDCRunTimes.py" --tripid 184-01 --locoid 4023 --swversion DE.1.0.9.0 --startMP 204:233047 --initTime 2017-09-01T14:42:09 --startdatetime 2017-09-01T14:57:32 --delay 50 --endMP 204:145 --enddatetime 2017-09-01T15:34:18 --enforcementcount 0 &gt;&gt;C:\Users\stu\Documents\GitHub\eaglep3-reporting\EC\2017-09-01-refined-times.txt</v>
      </c>
      <c r="AI97" s="96" t="str">
        <f t="shared" si="37"/>
        <v>echo {"issue":{"subject":"","project_id":79,"tracker_id":40,"status_id":1,"priority_id":2,"assigned_to_id":338,"start_date":"2017-09-01","description":"","custom_fields":[{"id":1,"name":"Subdivision","value":"EC"},{"id":4,"name":"Milepost","value":"0.0145"},{"id":17,"name":"Train ID","value":"184-01"},{"id":16,"name":"Locomotive ID","value":"4023"},{"id":130,"name":"Impact","value":""},{"id":150,"name":"Time of Event (Mountain Time)","value":"15:34:18"},{"id":151,"name":"Denver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2" t="str">
        <f t="shared" si="38"/>
        <v>start /low /b %USERPROFILE%\Documents\GitHub\eaglep3\Utilities\DownloadLogsFromS3.py --loco 4023 --day 2017-09-01</v>
      </c>
      <c r="AN97" s="151" t="str">
        <f t="shared" si="39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21:34:18"},{"id":29,"name":"Sharepoint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2" t="s">
        <v>738</v>
      </c>
      <c r="B98" s="7">
        <v>4020</v>
      </c>
      <c r="C98" s="21" t="s">
        <v>197</v>
      </c>
      <c r="D98" s="21" t="s">
        <v>355</v>
      </c>
      <c r="E98" s="13">
        <v>42979.588472222225</v>
      </c>
      <c r="F98" s="13">
        <v>42979.593912037039</v>
      </c>
      <c r="G98" s="7">
        <v>88</v>
      </c>
      <c r="H98" s="21" t="s">
        <v>842</v>
      </c>
      <c r="I98" s="13">
        <v>42979.618310185186</v>
      </c>
      <c r="J98" s="7">
        <v>0</v>
      </c>
      <c r="K98" s="89" t="str">
        <f t="shared" si="22"/>
        <v>4019/4020</v>
      </c>
      <c r="L98" s="214" t="str">
        <f>VLOOKUP(A98,'Trips&amp;Operators'!$C$1:$G$99911,5,FALSE)</f>
        <v>NEWELL JAMES</v>
      </c>
      <c r="M98" s="6">
        <f t="shared" si="23"/>
        <v>2.4398148147156462E-2</v>
      </c>
      <c r="N98" s="7">
        <f t="shared" si="24"/>
        <v>35.133333331905305</v>
      </c>
      <c r="O98" s="7"/>
      <c r="P98" s="7"/>
      <c r="Q98" s="22"/>
      <c r="R98" s="167"/>
      <c r="S98" s="210">
        <f t="shared" si="25"/>
        <v>1</v>
      </c>
      <c r="T98" s="192" t="str">
        <f t="shared" si="26"/>
        <v>NorthBound</v>
      </c>
      <c r="U98" s="192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3" t="str">
        <f t="shared" si="27"/>
        <v>https://d0f6bd738d7f1b3e5a7ca70fe4ff75f0.us-east-1.aws.found.io/app/kibana#/discover/Steve-Slow-Train-Analysis-(2080s-and-2083s)?_g=(refreshInterval:(display:Off,pause:!f,section:0,value:0),time:(from:'2017-09-01T13:07:24-0600',mode:absolute,to:'2017-09-01T15:50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8" s="194" t="str">
        <f>IF(AA98&lt;VLOOKUP(AG98,Variables!$AC$3:$AD$8,2,FALSE),"Y","N")</f>
        <v>N</v>
      </c>
      <c r="X98" s="194">
        <f t="shared" si="28"/>
        <v>1</v>
      </c>
      <c r="Y98" s="194">
        <f t="shared" si="29"/>
        <v>4.5499999999999999E-2</v>
      </c>
      <c r="Z98" s="194">
        <f t="shared" si="30"/>
        <v>23.3307</v>
      </c>
      <c r="AA98" s="194">
        <f t="shared" si="31"/>
        <v>23.2852</v>
      </c>
      <c r="AB98" s="54" t="e">
        <f>VLOOKUP(A98,Enforcements!$C$7:$K$11,8,0)</f>
        <v>#N/A</v>
      </c>
      <c r="AC98" s="51" t="e">
        <f>VLOOKUP(A98,Enforcements!$C$7:$E$11,3,0)</f>
        <v>#N/A</v>
      </c>
      <c r="AD98" s="203">
        <f t="shared" si="32"/>
        <v>185</v>
      </c>
      <c r="AE98" s="77" t="str">
        <f t="shared" si="33"/>
        <v>aws s3 cp s3://rtdc.mdm.uploadarchive.raw/RTDC4020/ "%USERPROFILE%\AppData\Local\Temp\OnboardLogs"\RTDC4020\2017-09-01 --exclude "*" --recursive --include "*20170901*" &amp; "%USERPROFILE%\Documents\GitHub\mrs-test-scripts\Headless Mode &amp; Sideloading\WalkAndUnGZ.bat" "%USERPROFILE%\AppData\Local\Temp\OnboardLogs"\RTDC4020\2017-09-01 &amp; aws s3 cp s3://rtdc.mdm.uploadarchive.raw/RTDC4020/ "%USERPROFILE%\AppData\Local\Temp\OnboardLogs"\RTDC4020\2017-09-02 --exclude "*" --recursive --include "*20170902*" &amp; "%USERPROFILE%\Documents\GitHub\mrs-test-scripts\Headless Mode &amp; Sideloading\WalkAndUnGZ.bat" "%USERPROFILE%\AppData\Local\Temp\OnboardLogs"\RTDC4020\2017-09-02</v>
      </c>
      <c r="AF98" s="74" t="str">
        <f t="shared" si="34"/>
        <v>"C:\Program Files (x86)\AstroGrep\AstroGrep.exe" /e /r /s /spath="%USERPROFILE%\AppData\Local\Temp\OnboardLogs" /stypes="app*4020*20170901*" /stext=" 20:.+((SYSTEM_STATE.+slice.+state.+changed )|(ment ac)|(multiple cpu faults)|(system.+state.+changed )|(\[timeout)|(PRM\|1\|D)|(kpr)|(kdp)|(train st.+moving)|(\|lc)|(penalty))"</v>
      </c>
      <c r="AG98" s="206" t="str">
        <f t="shared" si="35"/>
        <v>EC</v>
      </c>
      <c r="AH98" s="78" t="str">
        <f t="shared" si="36"/>
        <v>"%USERPROFILE%\Documents\GitHub\eaglep3\Utilities\RefineRTDCRunTimes.py" --tripid 185-01 --locoid 4020 --swversion DE.1.0.9.0 --startMP 204:455 --initTime 2017-09-01T14:07:24 --startdatetime 2017-09-01T14:15:14 --delay 88 --endMP 204:233307 --enddatetime 2017-09-01T14:50:22 --enforcementcount 0 &gt;&gt;C:\Users\stu\Documents\GitHub\eaglep3-reporting\EC\2017-09-01-refined-times.txt</v>
      </c>
      <c r="AI98" s="96" t="str">
        <f t="shared" si="37"/>
        <v>echo {"issue":{"subject":"","project_id":79,"tracker_id":40,"status_id":1,"priority_id":2,"assigned_to_id":338,"start_date":"2017-09-01","description":"","custom_fields":[{"id":1,"name":"Subdivision","value":"EC"},{"id":4,"name":"Milepost","value":"23.3307"},{"id":17,"name":"Train ID","value":"185-01"},{"id":16,"name":"Locomotive ID","value":"4020"},{"id":130,"name":"Impact","value":""},{"id":150,"name":"Time of Event (Mountain Time)","value":"14:50:22"},{"id":151,"name":"Denver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20"/>
      <c r="AK98" s="47"/>
      <c r="AL98" s="47"/>
      <c r="AM98" s="142" t="str">
        <f t="shared" si="38"/>
        <v>start /low /b %USERPROFILE%\Documents\GitHub\eaglep3\Utilities\DownloadLogsFromS3.py --loco 4020 --day 2017-09-01</v>
      </c>
      <c r="AN98" s="151" t="str">
        <f t="shared" si="39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20:50:22"},{"id":29,"name":"Sharepoint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x14ac:dyDescent="0.25">
      <c r="A99" s="32" t="s">
        <v>747</v>
      </c>
      <c r="B99" s="7">
        <v>4019</v>
      </c>
      <c r="C99" s="21" t="s">
        <v>197</v>
      </c>
      <c r="D99" s="21" t="s">
        <v>867</v>
      </c>
      <c r="E99" s="13">
        <v>42979.619641203702</v>
      </c>
      <c r="F99" s="13">
        <v>42979.633483796293</v>
      </c>
      <c r="G99" s="7">
        <v>63</v>
      </c>
      <c r="H99" s="21" t="s">
        <v>344</v>
      </c>
      <c r="I99" s="13">
        <v>42979.658391203702</v>
      </c>
      <c r="J99" s="7">
        <v>0</v>
      </c>
      <c r="K99" s="89" t="str">
        <f t="shared" si="22"/>
        <v>4019/4020</v>
      </c>
      <c r="L99" s="214" t="str">
        <f>VLOOKUP(A99,'Trips&amp;Operators'!$C$1:$G$99911,5,FALSE)</f>
        <v>NEWELL JAMES</v>
      </c>
      <c r="M99" s="6">
        <f t="shared" si="23"/>
        <v>2.4907407409045845E-2</v>
      </c>
      <c r="N99" s="7">
        <f t="shared" si="24"/>
        <v>35.866666669026017</v>
      </c>
      <c r="O99" s="7"/>
      <c r="P99" s="7"/>
      <c r="Q99" s="22"/>
      <c r="R99" s="167"/>
      <c r="S99" s="210">
        <f t="shared" si="25"/>
        <v>1</v>
      </c>
      <c r="T99" s="192" t="str">
        <f t="shared" si="26"/>
        <v>Southbound</v>
      </c>
      <c r="U99" s="192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3" t="str">
        <f t="shared" si="27"/>
        <v>https://d0f6bd738d7f1b3e5a7ca70fe4ff75f0.us-east-1.aws.found.io/app/kibana#/discover/Steve-Slow-Train-Analysis-(2080s-and-2083s)?_g=(refreshInterval:(display:Off,pause:!f,section:0,value:0),time:(from:'2017-09-01T13:52:17-0600',mode:absolute,to:'2017-09-01T16:48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9" s="194" t="str">
        <f>IF(AA99&lt;VLOOKUP(AG99,Variables!$AC$3:$AD$8,2,FALSE),"Y","N")</f>
        <v>N</v>
      </c>
      <c r="X99" s="194">
        <f t="shared" si="28"/>
        <v>1</v>
      </c>
      <c r="Y99" s="194">
        <f t="shared" si="29"/>
        <v>23.2971</v>
      </c>
      <c r="Z99" s="194">
        <f t="shared" si="30"/>
        <v>1.41E-2</v>
      </c>
      <c r="AA99" s="194">
        <f t="shared" si="31"/>
        <v>23.283000000000001</v>
      </c>
      <c r="AB99" s="54" t="e">
        <f>VLOOKUP(A99,Enforcements!$C$7:$K$11,8,0)</f>
        <v>#N/A</v>
      </c>
      <c r="AC99" s="51" t="e">
        <f>VLOOKUP(A99,Enforcements!$C$7:$E$11,3,0)</f>
        <v>#N/A</v>
      </c>
      <c r="AD99" s="203">
        <f t="shared" si="32"/>
        <v>186</v>
      </c>
      <c r="AE99" s="77" t="str">
        <f t="shared" si="33"/>
        <v>aws s3 cp s3://rtdc.mdm.uploadarchive.raw/RTDC4019/ "%USERPROFILE%\AppData\Local\Temp\OnboardLogs"\RTDC4019\2017-09-01 --exclude "*" --recursive --include "*20170901*" &amp; "%USERPROFILE%\Documents\GitHub\mrs-test-scripts\Headless Mode &amp; Sideloading\WalkAndUnGZ.bat" "%USERPROFILE%\AppData\Local\Temp\OnboardLogs"\RTDC4019\2017-09-01 &amp; aws s3 cp s3://rtdc.mdm.uploadarchive.raw/RTDC4019/ "%USERPROFILE%\AppData\Local\Temp\OnboardLogs"\RTDC4019\2017-09-02 --exclude "*" --recursive --include "*20170902*" &amp; "%USERPROFILE%\Documents\GitHub\mrs-test-scripts\Headless Mode &amp; Sideloading\WalkAndUnGZ.bat" "%USERPROFILE%\AppData\Local\Temp\OnboardLogs"\RTDC4019\2017-09-02</v>
      </c>
      <c r="AF99" s="74" t="str">
        <f t="shared" si="34"/>
        <v>"C:\Program Files (x86)\AstroGrep\AstroGrep.exe" /e /r /s /spath="%USERPROFILE%\AppData\Local\Temp\OnboardLogs" /stypes="app*4019*20170901*" /stext=" 21:.+((SYSTEM_STATE.+slice.+state.+changed )|(ment ac)|(multiple cpu faults)|(system.+state.+changed )|(\[timeout)|(PRM\|1\|D)|(kpr)|(kdp)|(train st.+moving)|(\|lc)|(penalty))"</v>
      </c>
      <c r="AG99" s="206" t="str">
        <f t="shared" si="35"/>
        <v>EC</v>
      </c>
      <c r="AH99" s="78" t="str">
        <f t="shared" si="36"/>
        <v>"%USERPROFILE%\Documents\GitHub\eaglep3\Utilities\RefineRTDCRunTimes.py" --tripid 186-01 --locoid 4019 --swversion DE.1.0.9.0 --startMP 204:232971 --initTime 2017-09-01T14:52:17 --startdatetime 2017-09-01T15:12:13 --delay 63 --endMP 204:141 --enddatetime 2017-09-01T15:48:05 --enforcementcount 0 &gt;&gt;C:\Users\stu\Documents\GitHub\eaglep3-reporting\EC\2017-09-01-refined-times.txt</v>
      </c>
      <c r="AI99" s="96" t="str">
        <f t="shared" si="37"/>
        <v>echo {"issue":{"subject":"","project_id":79,"tracker_id":40,"status_id":1,"priority_id":2,"assigned_to_id":338,"start_date":"2017-09-01","description":"","custom_fields":[{"id":1,"name":"Subdivision","value":"EC"},{"id":4,"name":"Milepost","value":"0.0141"},{"id":17,"name":"Train ID","value":"186-01"},{"id":16,"name":"Locomotive ID","value":"4019"},{"id":130,"name":"Impact","value":""},{"id":150,"name":"Time of Event (Mountain Time)","value":"15:48:05"},{"id":151,"name":"Denver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20"/>
      <c r="AK99" s="47"/>
      <c r="AL99" s="47"/>
      <c r="AM99" s="142" t="str">
        <f t="shared" si="38"/>
        <v>start /low /b %USERPROFILE%\Documents\GitHub\eaglep3\Utilities\DownloadLogsFromS3.py --loco 4019 --day 2017-09-01</v>
      </c>
      <c r="AN99" s="151" t="str">
        <f t="shared" si="39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21:48:05"},{"id":29,"name":"Sharepoint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</row>
    <row r="100" spans="1:91" s="20" customFormat="1" x14ac:dyDescent="0.25">
      <c r="A100" s="32" t="s">
        <v>740</v>
      </c>
      <c r="B100" s="7">
        <v>4058</v>
      </c>
      <c r="C100" s="21" t="s">
        <v>197</v>
      </c>
      <c r="D100" s="21" t="s">
        <v>341</v>
      </c>
      <c r="E100" s="13">
        <v>42979.598969907405</v>
      </c>
      <c r="F100" s="13">
        <v>42979.604351851849</v>
      </c>
      <c r="G100" s="7">
        <v>80</v>
      </c>
      <c r="H100" s="21" t="s">
        <v>868</v>
      </c>
      <c r="I100" s="13">
        <v>42979.629062499997</v>
      </c>
      <c r="J100" s="7">
        <v>0</v>
      </c>
      <c r="K100" s="89" t="str">
        <f t="shared" si="22"/>
        <v>4057/4058</v>
      </c>
      <c r="L100" s="214" t="str">
        <f>VLOOKUP(A100,'Trips&amp;Operators'!$C$1:$G$99911,5,FALSE)</f>
        <v>HOLCOMB KAMDEN</v>
      </c>
      <c r="M100" s="6">
        <f t="shared" si="23"/>
        <v>2.47106481474475E-2</v>
      </c>
      <c r="N100" s="7">
        <f t="shared" si="24"/>
        <v>35.583333332324401</v>
      </c>
      <c r="O100" s="7"/>
      <c r="P100" s="7"/>
      <c r="Q100" s="22"/>
      <c r="R100" s="167"/>
      <c r="S100" s="210">
        <f t="shared" si="25"/>
        <v>1</v>
      </c>
      <c r="T100" s="192" t="str">
        <f t="shared" si="26"/>
        <v>NorthBound</v>
      </c>
      <c r="U100" s="192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3" t="str">
        <f t="shared" si="27"/>
        <v>https://d0f6bd738d7f1b3e5a7ca70fe4ff75f0.us-east-1.aws.found.io/app/kibana#/discover/Steve-Slow-Train-Analysis-(2080s-and-2083s)?_g=(refreshInterval:(display:Off,pause:!f,section:0,value:0),time:(from:'2017-09-01T13:22:31-0600',mode:absolute,to:'2017-09-01T16:05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00" s="194" t="str">
        <f>IF(AA100&lt;VLOOKUP(AG100,Variables!$AC$3:$AD$8,2,FALSE),"Y","N")</f>
        <v>N</v>
      </c>
      <c r="X100" s="194">
        <f t="shared" si="28"/>
        <v>1</v>
      </c>
      <c r="Y100" s="194">
        <f t="shared" si="29"/>
        <v>4.5100000000000001E-2</v>
      </c>
      <c r="Z100" s="194">
        <f t="shared" si="30"/>
        <v>23.331900000000001</v>
      </c>
      <c r="AA100" s="194">
        <f t="shared" si="31"/>
        <v>23.286799999999999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203">
        <f t="shared" si="32"/>
        <v>187</v>
      </c>
      <c r="AE100" s="77" t="str">
        <f t="shared" si="33"/>
        <v>aws s3 cp s3://rtdc.mdm.uploadarchive.raw/RTDC4058/ "%USERPROFILE%\AppData\Local\Temp\OnboardLogs"\RTDC4058\2017-09-01 --exclude "*" --recursive --include "*20170901*" &amp; "%USERPROFILE%\Documents\GitHub\mrs-test-scripts\Headless Mode &amp; Sideloading\WalkAndUnGZ.bat" "%USERPROFILE%\AppData\Local\Temp\OnboardLogs"\RTDC4058\2017-09-01 &amp; aws s3 cp s3://rtdc.mdm.uploadarchive.raw/RTDC4058/ "%USERPROFILE%\AppData\Local\Temp\OnboardLogs"\RTDC4058\2017-09-02 --exclude "*" --recursive --include "*20170902*" &amp; "%USERPROFILE%\Documents\GitHub\mrs-test-scripts\Headless Mode &amp; Sideloading\WalkAndUnGZ.bat" "%USERPROFILE%\AppData\Local\Temp\OnboardLogs"\RTDC4058\2017-09-02</v>
      </c>
      <c r="AF100" s="74" t="str">
        <f t="shared" si="34"/>
        <v>"C:\Program Files (x86)\AstroGrep\AstroGrep.exe" /e /r /s /spath="%USERPROFILE%\AppData\Local\Temp\OnboardLogs" /stypes="app*4058*20170901*" /stext=" 21:.+((SYSTEM_STATE.+slice.+state.+changed )|(ment ac)|(multiple cpu faults)|(system.+state.+changed )|(\[timeout)|(PRM\|1\|D)|(kpr)|(kdp)|(train st.+moving)|(\|lc)|(penalty))"</v>
      </c>
      <c r="AG100" s="206" t="str">
        <f t="shared" si="35"/>
        <v>EC</v>
      </c>
      <c r="AH100" s="78" t="str">
        <f t="shared" si="36"/>
        <v>"%USERPROFILE%\Documents\GitHub\eaglep3\Utilities\RefineRTDCRunTimes.py" --tripid 187-01 --locoid 4058 --swversion DE.1.0.9.0 --startMP 204:451 --initTime 2017-09-01T14:22:31 --startdatetime 2017-09-01T14:30:16 --delay 80 --endMP 204:233319 --enddatetime 2017-09-01T15:05:51 --enforcementcount 0 &gt;&gt;C:\Users\stu\Documents\GitHub\eaglep3-reporting\EC\2017-09-01-refined-times.txt</v>
      </c>
      <c r="AI100" s="96" t="str">
        <f t="shared" si="37"/>
        <v>echo {"issue":{"subject":"","project_id":79,"tracker_id":40,"status_id":1,"priority_id":2,"assigned_to_id":338,"start_date":"2017-09-01","description":"","custom_fields":[{"id":1,"name":"Subdivision","value":"EC"},{"id":4,"name":"Milepost","value":"23.3319"},{"id":17,"name":"Train ID","value":"187-01"},{"id":16,"name":"Locomotive ID","value":"4058"},{"id":130,"name":"Impact","value":""},{"id":150,"name":"Time of Event (Mountain Time)","value":"15:05:51"},{"id":151,"name":"Denver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38"/>
        <v>start /low /b %USERPROFILE%\Documents\GitHub\eaglep3\Utilities\DownloadLogsFromS3.py --loco 4058 --day 2017-09-01</v>
      </c>
      <c r="AN100" s="151" t="str">
        <f t="shared" si="39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21:05:51"},{"id":29,"name":"Sharepoint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752</v>
      </c>
      <c r="B101" s="7">
        <v>4057</v>
      </c>
      <c r="C101" s="21" t="s">
        <v>197</v>
      </c>
      <c r="D101" s="21" t="s">
        <v>435</v>
      </c>
      <c r="E101" s="13">
        <v>42979.637696759259</v>
      </c>
      <c r="F101" s="13">
        <v>42979.64398148148</v>
      </c>
      <c r="G101" s="7">
        <v>83</v>
      </c>
      <c r="H101" s="21" t="s">
        <v>850</v>
      </c>
      <c r="I101" s="13">
        <v>42979.670127314814</v>
      </c>
      <c r="J101" s="7">
        <v>0</v>
      </c>
      <c r="K101" s="89" t="str">
        <f t="shared" si="22"/>
        <v>4057/4058</v>
      </c>
      <c r="L101" s="214" t="str">
        <f>VLOOKUP(A101,'Trips&amp;Operators'!$C$1:$G$99911,5,FALSE)</f>
        <v>HOLCOMB KAMDEN</v>
      </c>
      <c r="M101" s="6">
        <f t="shared" si="23"/>
        <v>2.6145833333430346E-2</v>
      </c>
      <c r="N101" s="7">
        <f t="shared" si="24"/>
        <v>37.650000000139698</v>
      </c>
      <c r="O101" s="7"/>
      <c r="P101" s="7"/>
      <c r="Q101" s="22"/>
      <c r="R101" s="167"/>
      <c r="S101" s="210">
        <f t="shared" si="25"/>
        <v>1</v>
      </c>
      <c r="T101" s="192" t="str">
        <f t="shared" si="26"/>
        <v>Southbound</v>
      </c>
      <c r="U101" s="192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3" t="str">
        <f t="shared" si="27"/>
        <v>https://d0f6bd738d7f1b3e5a7ca70fe4ff75f0.us-east-1.aws.found.io/app/kibana#/discover/Steve-Slow-Train-Analysis-(2080s-and-2083s)?_g=(refreshInterval:(display:Off,pause:!f,section:0,value:0),time:(from:'2017-09-01T14:18:17-0600',mode:absolute,to:'2017-09-01T17:04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01" s="194" t="str">
        <f>IF(AA101&lt;VLOOKUP(AG101,Variables!$AC$3:$AD$8,2,FALSE),"Y","N")</f>
        <v>N</v>
      </c>
      <c r="X101" s="194">
        <f t="shared" si="28"/>
        <v>1</v>
      </c>
      <c r="Y101" s="194">
        <f t="shared" si="29"/>
        <v>23.299099999999999</v>
      </c>
      <c r="Z101" s="194">
        <f t="shared" si="30"/>
        <v>1.29E-2</v>
      </c>
      <c r="AA101" s="194">
        <f t="shared" si="31"/>
        <v>23.286200000000001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203">
        <f t="shared" si="32"/>
        <v>188</v>
      </c>
      <c r="AE101" s="77" t="str">
        <f t="shared" si="33"/>
        <v>aws s3 cp s3://rtdc.mdm.uploadarchive.raw/RTDC4057/ "%USERPROFILE%\AppData\Local\Temp\OnboardLogs"\RTDC4057\2017-09-01 --exclude "*" --recursive --include "*20170901*" &amp; "%USERPROFILE%\Documents\GitHub\mrs-test-scripts\Headless Mode &amp; Sideloading\WalkAndUnGZ.bat" "%USERPROFILE%\AppData\Local\Temp\OnboardLogs"\RTDC4057\2017-09-01 &amp; aws s3 cp s3://rtdc.mdm.uploadarchive.raw/RTDC4057/ "%USERPROFILE%\AppData\Local\Temp\OnboardLogs"\RTDC4057\2017-09-02 --exclude "*" --recursive --include "*20170902*" &amp; "%USERPROFILE%\Documents\GitHub\mrs-test-scripts\Headless Mode &amp; Sideloading\WalkAndUnGZ.bat" "%USERPROFILE%\AppData\Local\Temp\OnboardLogs"\RTDC4057\2017-09-02</v>
      </c>
      <c r="AF101" s="74" t="str">
        <f t="shared" si="34"/>
        <v>"C:\Program Files (x86)\AstroGrep\AstroGrep.exe" /e /r /s /spath="%USERPROFILE%\AppData\Local\Temp\OnboardLogs" /stypes="app*4057*20170901*" /stext=" 22:.+((SYSTEM_STATE.+slice.+state.+changed )|(ment ac)|(multiple cpu faults)|(system.+state.+changed )|(\[timeout)|(PRM\|1\|D)|(kpr)|(kdp)|(train st.+moving)|(\|lc)|(penalty))"</v>
      </c>
      <c r="AG101" s="206" t="str">
        <f t="shared" si="35"/>
        <v>EC</v>
      </c>
      <c r="AH101" s="78" t="str">
        <f t="shared" si="36"/>
        <v>"%USERPROFILE%\Documents\GitHub\eaglep3\Utilities\RefineRTDCRunTimes.py" --tripid 188-01 --locoid 4057 --swversion DE.1.0.9.0 --startMP 204:232991 --initTime 2017-09-01T15:18:17 --startdatetime 2017-09-01T15:27:20 --delay 83 --endMP 204:129 --enddatetime 2017-09-01T16:04:59 --enforcementcount 0 &gt;&gt;C:\Users\stu\Documents\GitHub\eaglep3-reporting\EC\2017-09-01-refined-times.txt</v>
      </c>
      <c r="AI101" s="96" t="str">
        <f t="shared" si="37"/>
        <v>echo {"issue":{"subject":"","project_id":79,"tracker_id":40,"status_id":1,"priority_id":2,"assigned_to_id":338,"start_date":"2017-09-01","description":"","custom_fields":[{"id":1,"name":"Subdivision","value":"EC"},{"id":4,"name":"Milepost","value":"0.0129"},{"id":17,"name":"Train ID","value":"188-01"},{"id":16,"name":"Locomotive ID","value":"4057"},{"id":130,"name":"Impact","value":""},{"id":150,"name":"Time of Event (Mountain Time)","value":"16:04:59"},{"id":151,"name":"Denver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38"/>
        <v>start /low /b %USERPROFILE%\Documents\GitHub\eaglep3\Utilities\DownloadLogsFromS3.py --loco 4057 --day 2017-09-01</v>
      </c>
      <c r="AN101" s="151" t="str">
        <f t="shared" si="39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22:04:59"},{"id":29,"name":"Sharepoint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745</v>
      </c>
      <c r="B102" s="7">
        <v>4026</v>
      </c>
      <c r="C102" s="21" t="s">
        <v>197</v>
      </c>
      <c r="D102" s="21" t="s">
        <v>464</v>
      </c>
      <c r="E102" s="13">
        <v>42979.610868055555</v>
      </c>
      <c r="F102" s="13">
        <v>42979.615104166667</v>
      </c>
      <c r="G102" s="7">
        <v>62</v>
      </c>
      <c r="H102" s="21" t="s">
        <v>869</v>
      </c>
      <c r="I102" s="13">
        <v>42979.639664351853</v>
      </c>
      <c r="J102" s="7">
        <v>0</v>
      </c>
      <c r="K102" s="89" t="str">
        <f t="shared" si="22"/>
        <v>4025/4026</v>
      </c>
      <c r="L102" s="214" t="str">
        <f>VLOOKUP(A102,'Trips&amp;Operators'!$C$1:$G$99911,5,FALSE)</f>
        <v>SAFIEF AEIMEN</v>
      </c>
      <c r="M102" s="6">
        <f t="shared" si="23"/>
        <v>2.4560185185691807E-2</v>
      </c>
      <c r="N102" s="7">
        <f t="shared" si="24"/>
        <v>35.366666667396203</v>
      </c>
      <c r="O102" s="7"/>
      <c r="P102" s="7"/>
      <c r="Q102" s="22"/>
      <c r="R102" s="167"/>
      <c r="S102" s="210">
        <f t="shared" si="25"/>
        <v>1</v>
      </c>
      <c r="T102" s="192" t="str">
        <f t="shared" si="26"/>
        <v>NorthBound</v>
      </c>
      <c r="U102" s="192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3" t="str">
        <f t="shared" si="27"/>
        <v>https://d0f6bd738d7f1b3e5a7ca70fe4ff75f0.us-east-1.aws.found.io/app/kibana#/discover/Steve-Slow-Train-Analysis-(2080s-and-2083s)?_g=(refreshInterval:(display:Off,pause:!f,section:0,value:0),time:(from:'2017-09-01T13:39:39-0600',mode:absolute,to:'2017-09-01T16:21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2" s="194" t="str">
        <f>IF(AA102&lt;VLOOKUP(AG102,Variables!$AC$3:$AD$8,2,FALSE),"Y","N")</f>
        <v>N</v>
      </c>
      <c r="X102" s="194">
        <f t="shared" si="28"/>
        <v>1</v>
      </c>
      <c r="Y102" s="194">
        <f t="shared" si="29"/>
        <v>4.4200000000000003E-2</v>
      </c>
      <c r="Z102" s="194">
        <f t="shared" si="30"/>
        <v>23.332599999999999</v>
      </c>
      <c r="AA102" s="194">
        <f t="shared" si="31"/>
        <v>23.288399999999999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203">
        <f t="shared" si="32"/>
        <v>189</v>
      </c>
      <c r="AE102" s="77" t="str">
        <f t="shared" si="33"/>
        <v>aws s3 cp s3://rtdc.mdm.uploadarchive.raw/RTDC4026/ "%USERPROFILE%\AppData\Local\Temp\OnboardLogs"\RTDC4026\2017-09-01 --exclude "*" --recursive --include "*20170901*" &amp; "%USERPROFILE%\Documents\GitHub\mrs-test-scripts\Headless Mode &amp; Sideloading\WalkAndUnGZ.bat" "%USERPROFILE%\AppData\Local\Temp\OnboardLogs"\RTDC4026\2017-09-01 &amp; aws s3 cp s3://rtdc.mdm.uploadarchive.raw/RTDC4026/ "%USERPROFILE%\AppData\Local\Temp\OnboardLogs"\RTDC4026\2017-09-02 --exclude "*" --recursive --include "*20170902*" &amp; "%USERPROFILE%\Documents\GitHub\mrs-test-scripts\Headless Mode &amp; Sideloading\WalkAndUnGZ.bat" "%USERPROFILE%\AppData\Local\Temp\OnboardLogs"\RTDC4026\2017-09-02</v>
      </c>
      <c r="AF102" s="74" t="str">
        <f t="shared" si="34"/>
        <v>"C:\Program Files (x86)\AstroGrep\AstroGrep.exe" /e /r /s /spath="%USERPROFILE%\AppData\Local\Temp\OnboardLogs" /stypes="app*4026*20170901*" /stext=" 21:.+((SYSTEM_STATE.+slice.+state.+changed )|(ment ac)|(multiple cpu faults)|(system.+state.+changed )|(\[timeout)|(PRM\|1\|D)|(kpr)|(kdp)|(train st.+moving)|(\|lc)|(penalty))"</v>
      </c>
      <c r="AG102" s="206" t="str">
        <f t="shared" si="35"/>
        <v>EC</v>
      </c>
      <c r="AH102" s="78" t="str">
        <f t="shared" si="36"/>
        <v>"%USERPROFILE%\Documents\GitHub\eaglep3\Utilities\RefineRTDCRunTimes.py" --tripid 189-01 --locoid 4026 --swversion DE.1.0.9.0 --startMP 204:442 --initTime 2017-09-01T14:39:39 --startdatetime 2017-09-01T14:45:45 --delay 62 --endMP 204:233326 --enddatetime 2017-09-01T15:21:07 --enforcementcount 0 &gt;&gt;C:\Users\stu\Documents\GitHub\eaglep3-reporting\EC\2017-09-01-refined-times.txt</v>
      </c>
      <c r="AI102" s="96" t="str">
        <f t="shared" si="37"/>
        <v>echo {"issue":{"subject":"","project_id":79,"tracker_id":40,"status_id":1,"priority_id":2,"assigned_to_id":338,"start_date":"2017-09-01","description":"","custom_fields":[{"id":1,"name":"Subdivision","value":"EC"},{"id":4,"name":"Milepost","value":"23.3326"},{"id":17,"name":"Train ID","value":"189-01"},{"id":16,"name":"Locomotive ID","value":"4026"},{"id":130,"name":"Impact","value":""},{"id":150,"name":"Time of Event (Mountain Time)","value":"15:21:07"},{"id":151,"name":"Denver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38"/>
        <v>start /low /b %USERPROFILE%\Documents\GitHub\eaglep3\Utilities\DownloadLogsFromS3.py --loco 4026 --day 2017-09-01</v>
      </c>
      <c r="AN102" s="151" t="str">
        <f t="shared" si="39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21:21:07"},{"id":29,"name":"Sharepoint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754</v>
      </c>
      <c r="B103" s="7">
        <v>4025</v>
      </c>
      <c r="C103" s="21" t="s">
        <v>197</v>
      </c>
      <c r="D103" s="21" t="s">
        <v>466</v>
      </c>
      <c r="E103" s="13">
        <v>42979.64230324074</v>
      </c>
      <c r="F103" s="13">
        <v>42979.654374999998</v>
      </c>
      <c r="G103" s="7">
        <v>81</v>
      </c>
      <c r="H103" s="21" t="s">
        <v>372</v>
      </c>
      <c r="I103" s="13">
        <v>42979.680347222224</v>
      </c>
      <c r="J103" s="7">
        <v>0</v>
      </c>
      <c r="K103" s="89" t="str">
        <f t="shared" si="22"/>
        <v>4025/4026</v>
      </c>
      <c r="L103" s="214" t="str">
        <f>VLOOKUP(A103,'Trips&amp;Operators'!$C$1:$G$99911,5,FALSE)</f>
        <v>SAFIEF AEIMEN</v>
      </c>
      <c r="M103" s="6">
        <f t="shared" si="23"/>
        <v>2.5972222225391306E-2</v>
      </c>
      <c r="N103" s="7">
        <f t="shared" si="24"/>
        <v>37.400000004563481</v>
      </c>
      <c r="O103" s="7"/>
      <c r="P103" s="7"/>
      <c r="Q103" s="22"/>
      <c r="R103" s="167"/>
      <c r="S103" s="210">
        <f t="shared" si="25"/>
        <v>1</v>
      </c>
      <c r="T103" s="192" t="str">
        <f t="shared" si="26"/>
        <v>Southbound</v>
      </c>
      <c r="U103" s="192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3" t="str">
        <f t="shared" si="27"/>
        <v>https://d0f6bd738d7f1b3e5a7ca70fe4ff75f0.us-east-1.aws.found.io/app/kibana#/discover/Steve-Slow-Train-Analysis-(2080s-and-2083s)?_g=(refreshInterval:(display:Off,pause:!f,section:0,value:0),time:(from:'2017-09-01T14:24:55-0600',mode:absolute,to:'2017-09-01T17:19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3" s="194" t="str">
        <f>IF(AA103&lt;VLOOKUP(AG103,Variables!$AC$3:$AD$8,2,FALSE),"Y","N")</f>
        <v>N</v>
      </c>
      <c r="X103" s="194">
        <f t="shared" si="28"/>
        <v>1</v>
      </c>
      <c r="Y103" s="194">
        <f t="shared" si="29"/>
        <v>23.3017</v>
      </c>
      <c r="Z103" s="194">
        <f t="shared" si="30"/>
        <v>1.4500000000000001E-2</v>
      </c>
      <c r="AA103" s="194">
        <f t="shared" si="31"/>
        <v>23.287199999999999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203">
        <f t="shared" si="32"/>
        <v>190</v>
      </c>
      <c r="AE103" s="77" t="str">
        <f t="shared" si="33"/>
        <v>aws s3 cp s3://rtdc.mdm.uploadarchive.raw/RTDC4025/ "%USERPROFILE%\AppData\Local\Temp\OnboardLogs"\RTDC4025\2017-09-01 --exclude "*" --recursive --include "*20170901*" &amp; "%USERPROFILE%\Documents\GitHub\mrs-test-scripts\Headless Mode &amp; Sideloading\WalkAndUnGZ.bat" "%USERPROFILE%\AppData\Local\Temp\OnboardLogs"\RTDC4025\2017-09-01 &amp; aws s3 cp s3://rtdc.mdm.uploadarchive.raw/RTDC4025/ "%USERPROFILE%\AppData\Local\Temp\OnboardLogs"\RTDC4025\2017-09-02 --exclude "*" --recursive --include "*20170902*" &amp; "%USERPROFILE%\Documents\GitHub\mrs-test-scripts\Headless Mode &amp; Sideloading\WalkAndUnGZ.bat" "%USERPROFILE%\AppData\Local\Temp\OnboardLogs"\RTDC4025\2017-09-02</v>
      </c>
      <c r="AF103" s="74" t="str">
        <f t="shared" si="34"/>
        <v>"C:\Program Files (x86)\AstroGrep\AstroGrep.exe" /e /r /s /spath="%USERPROFILE%\AppData\Local\Temp\OnboardLogs" /stypes="app*4025*20170901*" /stext=" 22:.+((SYSTEM_STATE.+slice.+state.+changed )|(ment ac)|(multiple cpu faults)|(system.+state.+changed )|(\[timeout)|(PRM\|1\|D)|(kpr)|(kdp)|(train st.+moving)|(\|lc)|(penalty))"</v>
      </c>
      <c r="AG103" s="206" t="str">
        <f t="shared" si="35"/>
        <v>EC</v>
      </c>
      <c r="AH103" s="78" t="str">
        <f t="shared" si="36"/>
        <v>"%USERPROFILE%\Documents\GitHub\eaglep3\Utilities\RefineRTDCRunTimes.py" --tripid 190-01 --locoid 4025 --swversion DE.1.0.9.0 --startMP 204:233017 --initTime 2017-09-01T15:24:55 --startdatetime 2017-09-01T15:42:18 --delay 81 --endMP 204:145 --enddatetime 2017-09-01T16:19:42 --enforcementcount 0 &gt;&gt;C:\Users\stu\Documents\GitHub\eaglep3-reporting\EC\2017-09-01-refined-times.txt</v>
      </c>
      <c r="AI103" s="96" t="str">
        <f t="shared" si="37"/>
        <v>echo {"issue":{"subject":"","project_id":79,"tracker_id":40,"status_id":1,"priority_id":2,"assigned_to_id":338,"start_date":"2017-09-01","description":"","custom_fields":[{"id":1,"name":"Subdivision","value":"EC"},{"id":4,"name":"Milepost","value":"0.0145"},{"id":17,"name":"Train ID","value":"190-01"},{"id":16,"name":"Locomotive ID","value":"4025"},{"id":130,"name":"Impact","value":""},{"id":150,"name":"Time of Event (Mountain Time)","value":"16:19:42"},{"id":151,"name":"Denver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38"/>
        <v>start /low /b %USERPROFILE%\Documents\GitHub\eaglep3\Utilities\DownloadLogsFromS3.py --loco 4025 --day 2017-09-01</v>
      </c>
      <c r="AN103" s="151" t="str">
        <f t="shared" si="39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22:19:42"},{"id":29,"name":"Sharepoint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748</v>
      </c>
      <c r="B104" s="7">
        <v>4012</v>
      </c>
      <c r="C104" s="21" t="s">
        <v>197</v>
      </c>
      <c r="D104" s="21" t="s">
        <v>364</v>
      </c>
      <c r="E104" s="13">
        <v>42979.620995370373</v>
      </c>
      <c r="F104" s="13">
        <v>42979.625196759262</v>
      </c>
      <c r="G104" s="7">
        <v>61</v>
      </c>
      <c r="H104" s="21" t="s">
        <v>550</v>
      </c>
      <c r="I104" s="13">
        <v>42979.649733796294</v>
      </c>
      <c r="J104" s="7">
        <v>0</v>
      </c>
      <c r="K104" s="89" t="str">
        <f t="shared" si="22"/>
        <v>4011/4012</v>
      </c>
      <c r="L104" s="214" t="str">
        <f>VLOOKUP(A104,'Trips&amp;Operators'!$C$1:$G$99911,5,FALSE)</f>
        <v>BRUDER RICHARD</v>
      </c>
      <c r="M104" s="6">
        <f t="shared" si="23"/>
        <v>2.4537037032132503E-2</v>
      </c>
      <c r="N104" s="7">
        <f t="shared" si="24"/>
        <v>35.333333326270804</v>
      </c>
      <c r="O104" s="7"/>
      <c r="P104" s="7"/>
      <c r="Q104" s="22"/>
      <c r="R104" s="167"/>
      <c r="S104" s="210">
        <f t="shared" si="25"/>
        <v>1</v>
      </c>
      <c r="T104" s="192" t="str">
        <f t="shared" si="26"/>
        <v>NorthBound</v>
      </c>
      <c r="U104" s="192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3" t="str">
        <f t="shared" si="27"/>
        <v>https://d0f6bd738d7f1b3e5a7ca70fe4ff75f0.us-east-1.aws.found.io/app/kibana#/discover/Steve-Slow-Train-Analysis-(2080s-and-2083s)?_g=(refreshInterval:(display:Off,pause:!f,section:0,value:0),time:(from:'2017-09-01T13:54:14-0600',mode:absolute,to:'2017-09-01T16:35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4" s="194" t="str">
        <f>IF(AA104&lt;VLOOKUP(AG104,Variables!$AC$3:$AD$8,2,FALSE),"Y","N")</f>
        <v>N</v>
      </c>
      <c r="X104" s="194">
        <f t="shared" si="28"/>
        <v>1</v>
      </c>
      <c r="Y104" s="194">
        <f t="shared" si="29"/>
        <v>4.58E-2</v>
      </c>
      <c r="Z104" s="194">
        <f t="shared" si="30"/>
        <v>23.331499999999998</v>
      </c>
      <c r="AA104" s="194">
        <f t="shared" si="31"/>
        <v>23.285699999999999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203">
        <f t="shared" si="32"/>
        <v>191</v>
      </c>
      <c r="AE104" s="77" t="str">
        <f t="shared" si="33"/>
        <v>aws s3 cp s3://rtdc.mdm.uploadarchive.raw/RTDC4012/ "%USERPROFILE%\AppData\Local\Temp\OnboardLogs"\RTDC4012\2017-09-01 --exclude "*" --recursive --include "*20170901*" &amp; "%USERPROFILE%\Documents\GitHub\mrs-test-scripts\Headless Mode &amp; Sideloading\WalkAndUnGZ.bat" "%USERPROFILE%\AppData\Local\Temp\OnboardLogs"\RTDC4012\2017-09-01 &amp; aws s3 cp s3://rtdc.mdm.uploadarchive.raw/RTDC4012/ "%USERPROFILE%\AppData\Local\Temp\OnboardLogs"\RTDC4012\2017-09-02 --exclude "*" --recursive --include "*20170902*" &amp; "%USERPROFILE%\Documents\GitHub\mrs-test-scripts\Headless Mode &amp; Sideloading\WalkAndUnGZ.bat" "%USERPROFILE%\AppData\Local\Temp\OnboardLogs"\RTDC4012\2017-09-02</v>
      </c>
      <c r="AF104" s="74" t="str">
        <f t="shared" si="34"/>
        <v>"C:\Program Files (x86)\AstroGrep\AstroGrep.exe" /e /r /s /spath="%USERPROFILE%\AppData\Local\Temp\OnboardLogs" /stypes="app*4012*20170901*" /stext=" 21:.+((SYSTEM_STATE.+slice.+state.+changed )|(ment ac)|(multiple cpu faults)|(system.+state.+changed )|(\[timeout)|(PRM\|1\|D)|(kpr)|(kdp)|(train st.+moving)|(\|lc)|(penalty))"</v>
      </c>
      <c r="AG104" s="206" t="str">
        <f t="shared" si="35"/>
        <v>EC</v>
      </c>
      <c r="AH104" s="78" t="str">
        <f t="shared" si="36"/>
        <v>"%USERPROFILE%\Documents\GitHub\eaglep3\Utilities\RefineRTDCRunTimes.py" --tripid 191-01 --locoid 4012 --swversion DE.1.0.9.0 --startMP 204:458 --initTime 2017-09-01T14:54:14 --startdatetime 2017-09-01T15:00:17 --delay 61 --endMP 204:233315 --enddatetime 2017-09-01T15:35:37 --enforcementcount 0 &gt;&gt;C:\Users\stu\Documents\GitHub\eaglep3-reporting\EC\2017-09-01-refined-times.txt</v>
      </c>
      <c r="AI104" s="96" t="str">
        <f t="shared" si="37"/>
        <v>echo {"issue":{"subject":"","project_id":79,"tracker_id":40,"status_id":1,"priority_id":2,"assigned_to_id":338,"start_date":"2017-09-01","description":"","custom_fields":[{"id":1,"name":"Subdivision","value":"EC"},{"id":4,"name":"Milepost","value":"23.3315"},{"id":17,"name":"Train ID","value":"191-01"},{"id":16,"name":"Locomotive ID","value":"4012"},{"id":130,"name":"Impact","value":""},{"id":150,"name":"Time of Event (Mountain Time)","value":"15:35:37"},{"id":151,"name":"Denver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38"/>
        <v>start /low /b %USERPROFILE%\Documents\GitHub\eaglep3\Utilities\DownloadLogsFromS3.py --loco 4012 --day 2017-09-01</v>
      </c>
      <c r="AN104" s="151" t="str">
        <f t="shared" si="39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21:35:37"},{"id":29,"name":"Sharepoint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605</v>
      </c>
      <c r="B105" s="7">
        <v>4011</v>
      </c>
      <c r="C105" s="21" t="s">
        <v>197</v>
      </c>
      <c r="D105" s="21" t="s">
        <v>428</v>
      </c>
      <c r="E105" s="13">
        <v>42979.661412037036</v>
      </c>
      <c r="F105" s="13">
        <v>42979.66479166667</v>
      </c>
      <c r="G105" s="7">
        <v>64</v>
      </c>
      <c r="H105" s="21" t="s">
        <v>372</v>
      </c>
      <c r="I105" s="13">
        <v>42979.690509259257</v>
      </c>
      <c r="J105" s="7">
        <v>0</v>
      </c>
      <c r="K105" s="89" t="str">
        <f t="shared" si="22"/>
        <v>4011/4012</v>
      </c>
      <c r="L105" s="214" t="str">
        <f>VLOOKUP(A105,'Trips&amp;Operators'!$C$1:$G$99911,5,FALSE)</f>
        <v>BRUDER RICHARD</v>
      </c>
      <c r="M105" s="6">
        <f t="shared" si="23"/>
        <v>2.5717592587170657E-2</v>
      </c>
      <c r="N105" s="7">
        <f t="shared" si="24"/>
        <v>37.033333325525746</v>
      </c>
      <c r="O105" s="7"/>
      <c r="P105" s="7"/>
      <c r="Q105" s="22"/>
      <c r="R105" s="167"/>
      <c r="S105" s="210">
        <f t="shared" si="25"/>
        <v>1</v>
      </c>
      <c r="T105" s="192" t="str">
        <f t="shared" si="26"/>
        <v>Southbound</v>
      </c>
      <c r="U105" s="192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3" t="str">
        <f t="shared" si="27"/>
        <v>https://d0f6bd738d7f1b3e5a7ca70fe4ff75f0.us-east-1.aws.found.io/app/kibana#/discover/Steve-Slow-Train-Analysis-(2080s-and-2083s)?_g=(refreshInterval:(display:Off,pause:!f,section:0,value:0),time:(from:'2017-09-01T14:52:26-0600',mode:absolute,to:'2017-09-01T17:34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5" s="194" t="str">
        <f>IF(AA105&lt;VLOOKUP(AG105,Variables!$AC$3:$AD$8,2,FALSE),"Y","N")</f>
        <v>N</v>
      </c>
      <c r="X105" s="194">
        <f t="shared" si="28"/>
        <v>1</v>
      </c>
      <c r="Y105" s="194">
        <f t="shared" si="29"/>
        <v>23.298300000000001</v>
      </c>
      <c r="Z105" s="194">
        <f t="shared" si="30"/>
        <v>1.4500000000000001E-2</v>
      </c>
      <c r="AA105" s="194">
        <f t="shared" si="31"/>
        <v>23.283799999999999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203">
        <f t="shared" si="32"/>
        <v>192</v>
      </c>
      <c r="AE105" s="77" t="str">
        <f t="shared" si="33"/>
        <v>aws s3 cp s3://rtdc.mdm.uploadarchive.raw/RTDC4011/ "%USERPROFILE%\AppData\Local\Temp\OnboardLogs"\RTDC4011\2017-09-01 --exclude "*" --recursive --include "*20170901*" &amp; "%USERPROFILE%\Documents\GitHub\mrs-test-scripts\Headless Mode &amp; Sideloading\WalkAndUnGZ.bat" "%USERPROFILE%\AppData\Local\Temp\OnboardLogs"\RTDC4011\2017-09-01 &amp; aws s3 cp s3://rtdc.mdm.uploadarchive.raw/RTDC4011/ "%USERPROFILE%\AppData\Local\Temp\OnboardLogs"\RTDC4011\2017-09-02 --exclude "*" --recursive --include "*20170902*" &amp; "%USERPROFILE%\Documents\GitHub\mrs-test-scripts\Headless Mode &amp; Sideloading\WalkAndUnGZ.bat" "%USERPROFILE%\AppData\Local\Temp\OnboardLogs"\RTDC4011\2017-09-02</v>
      </c>
      <c r="AF105" s="74" t="str">
        <f t="shared" si="34"/>
        <v>"C:\Program Files (x86)\AstroGrep\AstroGrep.exe" /e /r /s /spath="%USERPROFILE%\AppData\Local\Temp\OnboardLogs" /stypes="app*4011*20170901*" /stext=" 22:.+((SYSTEM_STATE.+slice.+state.+changed )|(ment ac)|(multiple cpu faults)|(system.+state.+changed )|(\[timeout)|(PRM\|1\|D)|(kpr)|(kdp)|(train st.+moving)|(\|lc)|(penalty))"</v>
      </c>
      <c r="AG105" s="206" t="str">
        <f t="shared" si="35"/>
        <v>EC</v>
      </c>
      <c r="AH105" s="78" t="str">
        <f t="shared" si="36"/>
        <v>"%USERPROFILE%\Documents\GitHub\eaglep3\Utilities\RefineRTDCRunTimes.py" --tripid 192-01 --locoid 4011 --swversion DE.1.0.9.0 --startMP 204:232983 --initTime 2017-09-01T15:52:26 --startdatetime 2017-09-01T15:57:18 --delay 64 --endMP 204:145 --enddatetime 2017-09-01T16:34:20 --enforcementcount 0 &gt;&gt;C:\Users\stu\Documents\GitHub\eaglep3-reporting\EC\2017-09-01-refined-times.txt</v>
      </c>
      <c r="AI105" s="96" t="str">
        <f t="shared" si="37"/>
        <v>echo {"issue":{"subject":"","project_id":79,"tracker_id":40,"status_id":1,"priority_id":2,"assigned_to_id":338,"start_date":"2017-09-01","description":"","custom_fields":[{"id":1,"name":"Subdivision","value":"EC"},{"id":4,"name":"Milepost","value":"0.0145"},{"id":17,"name":"Train ID","value":"192-01"},{"id":16,"name":"Locomotive ID","value":"4011"},{"id":130,"name":"Impact","value":""},{"id":150,"name":"Time of Event (Mountain Time)","value":"16:34:20"},{"id":151,"name":"Denver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38"/>
        <v>start /low /b %USERPROFILE%\Documents\GitHub\eaglep3\Utilities\DownloadLogsFromS3.py --loco 4011 --day 2017-09-01</v>
      </c>
      <c r="AN105" s="151" t="str">
        <f t="shared" si="39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22:34:20"},{"id":29,"name":"Sharepoint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750</v>
      </c>
      <c r="B106" s="7">
        <v>4006</v>
      </c>
      <c r="C106" s="21" t="s">
        <v>197</v>
      </c>
      <c r="D106" s="21" t="s">
        <v>341</v>
      </c>
      <c r="E106" s="13">
        <v>42979.630636574075</v>
      </c>
      <c r="F106" s="13">
        <v>42979.635682870372</v>
      </c>
      <c r="G106" s="7">
        <v>55</v>
      </c>
      <c r="H106" s="21" t="s">
        <v>438</v>
      </c>
      <c r="I106" s="13">
        <v>42979.661643518521</v>
      </c>
      <c r="J106" s="7">
        <v>0</v>
      </c>
      <c r="K106" s="89" t="str">
        <f t="shared" si="22"/>
        <v>4005/4006</v>
      </c>
      <c r="L106" s="214" t="str">
        <f>VLOOKUP(A106,'Trips&amp;Operators'!$C$1:$G$99911,5,FALSE)</f>
        <v>LEVERE CRAIG</v>
      </c>
      <c r="M106" s="6">
        <f t="shared" si="23"/>
        <v>2.5960648148611654E-2</v>
      </c>
      <c r="N106" s="7">
        <f t="shared" si="24"/>
        <v>37.383333334000781</v>
      </c>
      <c r="O106" s="7"/>
      <c r="P106" s="7"/>
      <c r="Q106" s="22"/>
      <c r="R106" s="167"/>
      <c r="S106" s="210">
        <f t="shared" si="25"/>
        <v>1</v>
      </c>
      <c r="T106" s="192" t="str">
        <f t="shared" si="26"/>
        <v>NorthBound</v>
      </c>
      <c r="U106" s="192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3" t="str">
        <f t="shared" si="27"/>
        <v>https://d0f6bd738d7f1b3e5a7ca70fe4ff75f0.us-east-1.aws.found.io/app/kibana#/discover/Steve-Slow-Train-Analysis-(2080s-and-2083s)?_g=(refreshInterval:(display:Off,pause:!f,section:0,value:0),time:(from:'2017-09-01T14:08:07-0600',mode:absolute,to:'2017-09-01T16:52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06" s="194" t="str">
        <f>IF(AA106&lt;VLOOKUP(AG106,Variables!$AC$3:$AD$8,2,FALSE),"Y","N")</f>
        <v>N</v>
      </c>
      <c r="X106" s="194">
        <f t="shared" si="28"/>
        <v>1</v>
      </c>
      <c r="Y106" s="194">
        <f t="shared" si="29"/>
        <v>4.5100000000000001E-2</v>
      </c>
      <c r="Z106" s="194">
        <f t="shared" si="30"/>
        <v>23.330500000000001</v>
      </c>
      <c r="AA106" s="194">
        <f t="shared" si="31"/>
        <v>23.285399999999999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203">
        <f t="shared" si="32"/>
        <v>193</v>
      </c>
      <c r="AE106" s="77" t="str">
        <f t="shared" si="33"/>
        <v>aws s3 cp s3://rtdc.mdm.uploadarchive.raw/RTDC4006/ "%USERPROFILE%\AppData\Local\Temp\OnboardLogs"\RTDC4006\2017-09-01 --exclude "*" --recursive --include "*20170901*" &amp; "%USERPROFILE%\Documents\GitHub\mrs-test-scripts\Headless Mode &amp; Sideloading\WalkAndUnGZ.bat" "%USERPROFILE%\AppData\Local\Temp\OnboardLogs"\RTDC4006\2017-09-01 &amp; aws s3 cp s3://rtdc.mdm.uploadarchive.raw/RTDC4006/ "%USERPROFILE%\AppData\Local\Temp\OnboardLogs"\RTDC4006\2017-09-02 --exclude "*" --recursive --include "*20170902*" &amp; "%USERPROFILE%\Documents\GitHub\mrs-test-scripts\Headless Mode &amp; Sideloading\WalkAndUnGZ.bat" "%USERPROFILE%\AppData\Local\Temp\OnboardLogs"\RTDC4006\2017-09-02</v>
      </c>
      <c r="AF106" s="74" t="str">
        <f t="shared" si="34"/>
        <v>"C:\Program Files (x86)\AstroGrep\AstroGrep.exe" /e /r /s /spath="%USERPROFILE%\AppData\Local\Temp\OnboardLogs" /stypes="app*4006*20170901*" /stext=" 21:.+((SYSTEM_STATE.+slice.+state.+changed )|(ment ac)|(multiple cpu faults)|(system.+state.+changed )|(\[timeout)|(PRM\|1\|D)|(kpr)|(kdp)|(train st.+moving)|(\|lc)|(penalty))"</v>
      </c>
      <c r="AG106" s="206" t="str">
        <f t="shared" si="35"/>
        <v>EC</v>
      </c>
      <c r="AH106" s="78" t="str">
        <f t="shared" si="36"/>
        <v>"%USERPROFILE%\Documents\GitHub\eaglep3\Utilities\RefineRTDCRunTimes.py" --tripid 193-01 --locoid 4006 --swversion DE.1.0.9.0 --startMP 204:451 --initTime 2017-09-01T15:08:07 --startdatetime 2017-09-01T15:15:23 --delay 55 --endMP 204:233305 --enddatetime 2017-09-01T15:52:46 --enforcementcount 0 &gt;&gt;C:\Users\stu\Documents\GitHub\eaglep3-reporting\EC\2017-09-01-refined-times.txt</v>
      </c>
      <c r="AI106" s="96" t="str">
        <f t="shared" si="37"/>
        <v>echo {"issue":{"subject":"","project_id":79,"tracker_id":40,"status_id":1,"priority_id":2,"assigned_to_id":338,"start_date":"2017-09-01","description":"","custom_fields":[{"id":1,"name":"Subdivision","value":"EC"},{"id":4,"name":"Milepost","value":"23.3305"},{"id":17,"name":"Train ID","value":"193-01"},{"id":16,"name":"Locomotive ID","value":"4006"},{"id":130,"name":"Impact","value":""},{"id":150,"name":"Time of Event (Mountain Time)","value":"15:52:46"},{"id":151,"name":"Denver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38"/>
        <v>start /low /b %USERPROFILE%\Documents\GitHub\eaglep3\Utilities\DownloadLogsFromS3.py --loco 4006 --day 2017-09-01</v>
      </c>
      <c r="AN106" s="151" t="str">
        <f t="shared" si="39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21:52:46"},{"id":29,"name":"Sharepoint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759</v>
      </c>
      <c r="B107" s="7">
        <v>4005</v>
      </c>
      <c r="C107" s="21" t="s">
        <v>197</v>
      </c>
      <c r="D107" s="21" t="s">
        <v>393</v>
      </c>
      <c r="E107" s="13">
        <v>42979.668506944443</v>
      </c>
      <c r="F107" s="13">
        <v>42979.675185185188</v>
      </c>
      <c r="G107" s="7">
        <v>58</v>
      </c>
      <c r="H107" s="21" t="s">
        <v>340</v>
      </c>
      <c r="I107" s="13">
        <v>42979.701377314814</v>
      </c>
      <c r="J107" s="7">
        <v>0</v>
      </c>
      <c r="K107" s="89" t="str">
        <f t="shared" si="22"/>
        <v>4005/4006</v>
      </c>
      <c r="L107" s="214" t="str">
        <f>VLOOKUP(A107,'Trips&amp;Operators'!$C$1:$G$99911,5,FALSE)</f>
        <v>LEVERE CRAIG</v>
      </c>
      <c r="M107" s="6">
        <f t="shared" si="23"/>
        <v>2.619212962599704E-2</v>
      </c>
      <c r="N107" s="7">
        <f t="shared" si="24"/>
        <v>37.716666661435738</v>
      </c>
      <c r="O107" s="7"/>
      <c r="P107" s="7"/>
      <c r="Q107" s="22"/>
      <c r="R107" s="167"/>
      <c r="S107" s="210">
        <f t="shared" si="25"/>
        <v>1</v>
      </c>
      <c r="T107" s="192" t="str">
        <f t="shared" si="26"/>
        <v>Southbound</v>
      </c>
      <c r="U107" s="192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3" t="str">
        <f t="shared" si="27"/>
        <v>https://d0f6bd738d7f1b3e5a7ca70fe4ff75f0.us-east-1.aws.found.io/app/kibana#/discover/Steve-Slow-Train-Analysis-(2080s-and-2083s)?_g=(refreshInterval:(display:Off,pause:!f,section:0,value:0),time:(from:'2017-09-01T15:02:39-0600',mode:absolute,to:'2017-09-01T17:49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07" s="194" t="str">
        <f>IF(AA107&lt;VLOOKUP(AG107,Variables!$AC$3:$AD$8,2,FALSE),"Y","N")</f>
        <v>N</v>
      </c>
      <c r="X107" s="194">
        <f t="shared" si="28"/>
        <v>1</v>
      </c>
      <c r="Y107" s="194">
        <f t="shared" si="29"/>
        <v>23.297699999999999</v>
      </c>
      <c r="Z107" s="194">
        <f t="shared" si="30"/>
        <v>1.43E-2</v>
      </c>
      <c r="AA107" s="194">
        <f t="shared" si="31"/>
        <v>23.2834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203">
        <f t="shared" si="32"/>
        <v>194</v>
      </c>
      <c r="AE107" s="77" t="str">
        <f t="shared" si="33"/>
        <v>aws s3 cp s3://rtdc.mdm.uploadarchive.raw/RTDC4005/ "%USERPROFILE%\AppData\Local\Temp\OnboardLogs"\RTDC4005\2017-09-01 --exclude "*" --recursive --include "*20170901*" &amp; "%USERPROFILE%\Documents\GitHub\mrs-test-scripts\Headless Mode &amp; Sideloading\WalkAndUnGZ.bat" "%USERPROFILE%\AppData\Local\Temp\OnboardLogs"\RTDC4005\2017-09-01 &amp; aws s3 cp s3://rtdc.mdm.uploadarchive.raw/RTDC4005/ "%USERPROFILE%\AppData\Local\Temp\OnboardLogs"\RTDC4005\2017-09-02 --exclude "*" --recursive --include "*20170902*" &amp; "%USERPROFILE%\Documents\GitHub\mrs-test-scripts\Headless Mode &amp; Sideloading\WalkAndUnGZ.bat" "%USERPROFILE%\AppData\Local\Temp\OnboardLogs"\RTDC4005\2017-09-02</v>
      </c>
      <c r="AF107" s="74" t="str">
        <f t="shared" si="34"/>
        <v>"C:\Program Files (x86)\AstroGrep\AstroGrep.exe" /e /r /s /spath="%USERPROFILE%\AppData\Local\Temp\OnboardLogs" /stypes="app*4005*20170901*" /stext=" 22:.+((SYSTEM_STATE.+slice.+state.+changed )|(ment ac)|(multiple cpu faults)|(system.+state.+changed )|(\[timeout)|(PRM\|1\|D)|(kpr)|(kdp)|(train st.+moving)|(\|lc)|(penalty))"</v>
      </c>
      <c r="AG107" s="206" t="str">
        <f t="shared" si="35"/>
        <v>EC</v>
      </c>
      <c r="AH107" s="78" t="str">
        <f t="shared" si="36"/>
        <v>"%USERPROFILE%\Documents\GitHub\eaglep3\Utilities\RefineRTDCRunTimes.py" --tripid 194-01 --locoid 4005 --swversion DE.1.0.9.0 --startMP 204:232977 --initTime 2017-09-01T16:02:39 --startdatetime 2017-09-01T16:12:16 --delay 58 --endMP 204:143 --enddatetime 2017-09-01T16:49:59 --enforcementcount 0 &gt;&gt;C:\Users\stu\Documents\GitHub\eaglep3-reporting\EC\2017-09-01-refined-times.txt</v>
      </c>
      <c r="AI107" s="96" t="str">
        <f t="shared" si="37"/>
        <v>echo {"issue":{"subject":"","project_id":79,"tracker_id":40,"status_id":1,"priority_id":2,"assigned_to_id":338,"start_date":"2017-09-01","description":"","custom_fields":[{"id":1,"name":"Subdivision","value":"EC"},{"id":4,"name":"Milepost","value":"0.0143"},{"id":17,"name":"Train ID","value":"194-01"},{"id":16,"name":"Locomotive ID","value":"4005"},{"id":130,"name":"Impact","value":""},{"id":150,"name":"Time of Event (Mountain Time)","value":"16:49:59"},{"id":151,"name":"Denver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38"/>
        <v>start /low /b %USERPROFILE%\Documents\GitHub\eaglep3\Utilities\DownloadLogsFromS3.py --loco 4005 --day 2017-09-01</v>
      </c>
      <c r="AN107" s="151" t="str">
        <f t="shared" si="39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22:49:59"},{"id":29,"name":"Sharepoint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753</v>
      </c>
      <c r="B108" s="7">
        <v>4040</v>
      </c>
      <c r="C108" s="21" t="s">
        <v>197</v>
      </c>
      <c r="D108" s="21" t="s">
        <v>464</v>
      </c>
      <c r="E108" s="13">
        <v>42979.640682870369</v>
      </c>
      <c r="F108" s="13">
        <v>42979.645972222221</v>
      </c>
      <c r="G108" s="7">
        <v>49</v>
      </c>
      <c r="H108" s="21" t="s">
        <v>463</v>
      </c>
      <c r="I108" s="13">
        <v>42979.670729166668</v>
      </c>
      <c r="J108" s="7">
        <v>0</v>
      </c>
      <c r="K108" s="89" t="str">
        <f t="shared" si="22"/>
        <v>4039/4040</v>
      </c>
      <c r="L108" s="214" t="str">
        <f>VLOOKUP(A108,'Trips&amp;Operators'!$C$1:$G$99911,5,FALSE)</f>
        <v>FORTUNATO FRANK</v>
      </c>
      <c r="M108" s="6">
        <f t="shared" si="23"/>
        <v>2.4756944447290152E-2</v>
      </c>
      <c r="N108" s="7">
        <f t="shared" si="24"/>
        <v>35.650000004097819</v>
      </c>
      <c r="O108" s="7"/>
      <c r="P108" s="7"/>
      <c r="Q108" s="22"/>
      <c r="R108" s="167"/>
      <c r="S108" s="210">
        <f t="shared" si="25"/>
        <v>1</v>
      </c>
      <c r="T108" s="192" t="str">
        <f t="shared" si="26"/>
        <v>NorthBound</v>
      </c>
      <c r="U108" s="192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3" t="str">
        <f t="shared" si="27"/>
        <v>https://d0f6bd738d7f1b3e5a7ca70fe4ff75f0.us-east-1.aws.found.io/app/kibana#/discover/Steve-Slow-Train-Analysis-(2080s-and-2083s)?_g=(refreshInterval:(display:Off,pause:!f,section:0,value:0),time:(from:'2017-09-01T14:22:35-0600',mode:absolute,to:'2017-09-01T17:05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8" s="194" t="str">
        <f>IF(AA108&lt;VLOOKUP(AG108,Variables!$AC$3:$AD$8,2,FALSE),"Y","N")</f>
        <v>N</v>
      </c>
      <c r="X108" s="194">
        <f t="shared" si="28"/>
        <v>1</v>
      </c>
      <c r="Y108" s="194">
        <f t="shared" si="29"/>
        <v>4.4200000000000003E-2</v>
      </c>
      <c r="Z108" s="194">
        <f t="shared" si="30"/>
        <v>23.330400000000001</v>
      </c>
      <c r="AA108" s="194">
        <f t="shared" si="31"/>
        <v>23.286200000000001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203">
        <f t="shared" si="32"/>
        <v>195</v>
      </c>
      <c r="AE108" s="77" t="str">
        <f t="shared" si="33"/>
        <v>aws s3 cp s3://rtdc.mdm.uploadarchive.raw/RTDC4040/ "%USERPROFILE%\AppData\Local\Temp\OnboardLogs"\RTDC4040\2017-09-01 --exclude "*" --recursive --include "*20170901*" &amp; "%USERPROFILE%\Documents\GitHub\mrs-test-scripts\Headless Mode &amp; Sideloading\WalkAndUnGZ.bat" "%USERPROFILE%\AppData\Local\Temp\OnboardLogs"\RTDC4040\2017-09-01 &amp; aws s3 cp s3://rtdc.mdm.uploadarchive.raw/RTDC4040/ "%USERPROFILE%\AppData\Local\Temp\OnboardLogs"\RTDC4040\2017-09-02 --exclude "*" --recursive --include "*20170902*" &amp; "%USERPROFILE%\Documents\GitHub\mrs-test-scripts\Headless Mode &amp; Sideloading\WalkAndUnGZ.bat" "%USERPROFILE%\AppData\Local\Temp\OnboardLogs"\RTDC4040\2017-09-02</v>
      </c>
      <c r="AF108" s="74" t="str">
        <f t="shared" si="34"/>
        <v>"C:\Program Files (x86)\AstroGrep\AstroGrep.exe" /e /r /s /spath="%USERPROFILE%\AppData\Local\Temp\OnboardLogs" /stypes="app*4040*20170901*" /stext=" 22:.+((SYSTEM_STATE.+slice.+state.+changed )|(ment ac)|(multiple cpu faults)|(system.+state.+changed )|(\[timeout)|(PRM\|1\|D)|(kpr)|(kdp)|(train st.+moving)|(\|lc)|(penalty))"</v>
      </c>
      <c r="AG108" s="206" t="str">
        <f t="shared" si="35"/>
        <v>EC</v>
      </c>
      <c r="AH108" s="78" t="str">
        <f t="shared" si="36"/>
        <v>"%USERPROFILE%\Documents\GitHub\eaglep3\Utilities\RefineRTDCRunTimes.py" --tripid 195-01 --locoid 4040 --swversion DE.1.0.9.0 --startMP 204:442 --initTime 2017-09-01T15:22:35 --startdatetime 2017-09-01T15:30:12 --delay 49 --endMP 204:233304 --enddatetime 2017-09-01T16:05:51 --enforcementcount 0 &gt;&gt;C:\Users\stu\Documents\GitHub\eaglep3-reporting\EC\2017-09-01-refined-times.txt</v>
      </c>
      <c r="AI108" s="96" t="str">
        <f t="shared" si="37"/>
        <v>echo {"issue":{"subject":"","project_id":79,"tracker_id":40,"status_id":1,"priority_id":2,"assigned_to_id":338,"start_date":"2017-09-01","description":"","custom_fields":[{"id":1,"name":"Subdivision","value":"EC"},{"id":4,"name":"Milepost","value":"23.3304"},{"id":17,"name":"Train ID","value":"195-01"},{"id":16,"name":"Locomotive ID","value":"4040"},{"id":130,"name":"Impact","value":""},{"id":150,"name":"Time of Event (Mountain Time)","value":"16:05:51"},{"id":151,"name":"Denver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38"/>
        <v>start /low /b %USERPROFILE%\Documents\GitHub\eaglep3\Utilities\DownloadLogsFromS3.py --loco 4040 --day 2017-09-01</v>
      </c>
      <c r="AN108" s="151" t="str">
        <f t="shared" si="39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22:05:51"},{"id":29,"name":"Sharepoint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762</v>
      </c>
      <c r="B109" s="7">
        <v>4039</v>
      </c>
      <c r="C109" s="21" t="s">
        <v>197</v>
      </c>
      <c r="D109" s="21" t="s">
        <v>859</v>
      </c>
      <c r="E109" s="13">
        <v>42979.67391203704</v>
      </c>
      <c r="F109" s="13">
        <v>42979.685648148145</v>
      </c>
      <c r="G109" s="7">
        <v>54</v>
      </c>
      <c r="H109" s="21" t="s">
        <v>344</v>
      </c>
      <c r="I109" s="13">
        <v>42979.711701388886</v>
      </c>
      <c r="J109" s="7">
        <v>0</v>
      </c>
      <c r="K109" s="89" t="str">
        <f t="shared" si="22"/>
        <v>4039/4040</v>
      </c>
      <c r="L109" s="214" t="str">
        <f>VLOOKUP(A109,'Trips&amp;Operators'!$C$1:$G$99911,5,FALSE)</f>
        <v>FORTUNATO FRANK</v>
      </c>
      <c r="M109" s="6">
        <f t="shared" si="23"/>
        <v>2.6053240741021E-2</v>
      </c>
      <c r="N109" s="7">
        <f t="shared" si="24"/>
        <v>37.51666666707024</v>
      </c>
      <c r="O109" s="7"/>
      <c r="P109" s="7"/>
      <c r="Q109" s="22"/>
      <c r="R109" s="167"/>
      <c r="S109" s="210">
        <f t="shared" si="25"/>
        <v>1</v>
      </c>
      <c r="T109" s="192" t="str">
        <f t="shared" si="26"/>
        <v>Southbound</v>
      </c>
      <c r="U109" s="192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3" t="str">
        <f t="shared" si="27"/>
        <v>https://d0f6bd738d7f1b3e5a7ca70fe4ff75f0.us-east-1.aws.found.io/app/kibana#/discover/Steve-Slow-Train-Analysis-(2080s-and-2083s)?_g=(refreshInterval:(display:Off,pause:!f,section:0,value:0),time:(from:'2017-09-01T15:10:26-0600',mode:absolute,to:'2017-09-01T18:04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9" s="194" t="str">
        <f>IF(AA109&lt;VLOOKUP(AG109,Variables!$AC$3:$AD$8,2,FALSE),"Y","N")</f>
        <v>N</v>
      </c>
      <c r="X109" s="194">
        <f t="shared" si="28"/>
        <v>1</v>
      </c>
      <c r="Y109" s="194">
        <f t="shared" si="29"/>
        <v>23.3</v>
      </c>
      <c r="Z109" s="194">
        <f t="shared" si="30"/>
        <v>1.41E-2</v>
      </c>
      <c r="AA109" s="194">
        <f t="shared" si="31"/>
        <v>23.285900000000002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203">
        <f t="shared" si="32"/>
        <v>196</v>
      </c>
      <c r="AE109" s="77" t="str">
        <f t="shared" si="33"/>
        <v>aws s3 cp s3://rtdc.mdm.uploadarchive.raw/RTDC4039/ "%USERPROFILE%\AppData\Local\Temp\OnboardLogs"\RTDC4039\2017-09-01 --exclude "*" --recursive --include "*20170901*" &amp; "%USERPROFILE%\Documents\GitHub\mrs-test-scripts\Headless Mode &amp; Sideloading\WalkAndUnGZ.bat" "%USERPROFILE%\AppData\Local\Temp\OnboardLogs"\RTDC4039\2017-09-01 &amp; aws s3 cp s3://rtdc.mdm.uploadarchive.raw/RTDC4039/ "%USERPROFILE%\AppData\Local\Temp\OnboardLogs"\RTDC4039\2017-09-02 --exclude "*" --recursive --include "*20170902*" &amp; "%USERPROFILE%\Documents\GitHub\mrs-test-scripts\Headless Mode &amp; Sideloading\WalkAndUnGZ.bat" "%USERPROFILE%\AppData\Local\Temp\OnboardLogs"\RTDC4039\2017-09-02</v>
      </c>
      <c r="AF109" s="74" t="str">
        <f t="shared" si="34"/>
        <v>"C:\Program Files (x86)\AstroGrep\AstroGrep.exe" /e /r /s /spath="%USERPROFILE%\AppData\Local\Temp\OnboardLogs" /stypes="app*4039*20170901*" /stext=" 23:.+((SYSTEM_STATE.+slice.+state.+changed )|(ment ac)|(multiple cpu faults)|(system.+state.+changed )|(\[timeout)|(PRM\|1\|D)|(kpr)|(kdp)|(train st.+moving)|(\|lc)|(penalty))"</v>
      </c>
      <c r="AG109" s="206" t="str">
        <f t="shared" si="35"/>
        <v>EC</v>
      </c>
      <c r="AH109" s="78" t="str">
        <f t="shared" si="36"/>
        <v>"%USERPROFILE%\Documents\GitHub\eaglep3\Utilities\RefineRTDCRunTimes.py" --tripid 196-01 --locoid 4039 --swversion DE.1.0.9.0 --startMP 204:233000 --initTime 2017-09-01T16:10:26 --startdatetime 2017-09-01T16:27:20 --delay 54 --endMP 204:141 --enddatetime 2017-09-01T17:04:51 --enforcementcount 0 &gt;&gt;C:\Users\stu\Documents\GitHub\eaglep3-reporting\EC\2017-09-01-refined-times.txt</v>
      </c>
      <c r="AI109" s="96" t="str">
        <f t="shared" si="37"/>
        <v>echo {"issue":{"subject":"","project_id":79,"tracker_id":40,"status_id":1,"priority_id":2,"assigned_to_id":338,"start_date":"2017-09-01","description":"","custom_fields":[{"id":1,"name":"Subdivision","value":"EC"},{"id":4,"name":"Milepost","value":"0.0141"},{"id":17,"name":"Train ID","value":"196-01"},{"id":16,"name":"Locomotive ID","value":"4039"},{"id":130,"name":"Impact","value":""},{"id":150,"name":"Time of Event (Mountain Time)","value":"17:04:51"},{"id":151,"name":"Denver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38"/>
        <v>start /low /b %USERPROFILE%\Documents\GitHub\eaglep3\Utilities\DownloadLogsFromS3.py --loco 4039 --day 2017-09-01</v>
      </c>
      <c r="AN109" s="151" t="str">
        <f t="shared" si="39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23:04:51"},{"id":29,"name":"Sharepoint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756</v>
      </c>
      <c r="B110" s="7">
        <v>4024</v>
      </c>
      <c r="C110" s="21" t="s">
        <v>197</v>
      </c>
      <c r="D110" s="21" t="s">
        <v>370</v>
      </c>
      <c r="E110" s="13">
        <v>42979.650092592594</v>
      </c>
      <c r="F110" s="13">
        <v>42979.656412037039</v>
      </c>
      <c r="G110" s="7">
        <v>120</v>
      </c>
      <c r="H110" s="21" t="s">
        <v>558</v>
      </c>
      <c r="I110" s="13">
        <v>42979.681956018518</v>
      </c>
      <c r="J110" s="7">
        <v>0</v>
      </c>
      <c r="K110" s="89" t="str">
        <f t="shared" si="22"/>
        <v>4023/4024</v>
      </c>
      <c r="L110" s="214" t="str">
        <f>VLOOKUP(A110,'Trips&amp;Operators'!$C$1:$G$99911,5,FALSE)</f>
        <v>LEVIN SCOTT</v>
      </c>
      <c r="M110" s="6">
        <f t="shared" si="23"/>
        <v>2.5543981479131617E-2</v>
      </c>
      <c r="N110" s="7">
        <f t="shared" si="24"/>
        <v>36.783333329949528</v>
      </c>
      <c r="O110" s="7"/>
      <c r="P110" s="7"/>
      <c r="Q110" s="22"/>
      <c r="R110" s="167"/>
      <c r="S110" s="210">
        <f t="shared" si="25"/>
        <v>1</v>
      </c>
      <c r="T110" s="192" t="str">
        <f t="shared" si="26"/>
        <v>NorthBound</v>
      </c>
      <c r="U110" s="192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3" t="str">
        <f t="shared" si="27"/>
        <v>https://d0f6bd738d7f1b3e5a7ca70fe4ff75f0.us-east-1.aws.found.io/app/kibana#/discover/Steve-Slow-Train-Analysis-(2080s-and-2083s)?_g=(refreshInterval:(display:Off,pause:!f,section:0,value:0),time:(from:'2017-09-01T14:36:08-0600',mode:absolute,to:'2017-09-01T17:22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10" s="194" t="str">
        <f>IF(AA110&lt;VLOOKUP(AG110,Variables!$AC$3:$AD$8,2,FALSE),"Y","N")</f>
        <v>N</v>
      </c>
      <c r="X110" s="194">
        <f t="shared" si="28"/>
        <v>1</v>
      </c>
      <c r="Y110" s="194">
        <f t="shared" si="29"/>
        <v>4.6399999999999997E-2</v>
      </c>
      <c r="Z110" s="194">
        <f t="shared" si="30"/>
        <v>23.3339</v>
      </c>
      <c r="AA110" s="194">
        <f t="shared" si="31"/>
        <v>23.287500000000001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203">
        <f t="shared" si="32"/>
        <v>197</v>
      </c>
      <c r="AE110" s="77" t="str">
        <f t="shared" si="33"/>
        <v>aws s3 cp s3://rtdc.mdm.uploadarchive.raw/RTDC4024/ "%USERPROFILE%\AppData\Local\Temp\OnboardLogs"\RTDC4024\2017-09-01 --exclude "*" --recursive --include "*20170901*" &amp; "%USERPROFILE%\Documents\GitHub\mrs-test-scripts\Headless Mode &amp; Sideloading\WalkAndUnGZ.bat" "%USERPROFILE%\AppData\Local\Temp\OnboardLogs"\RTDC4024\2017-09-01 &amp; aws s3 cp s3://rtdc.mdm.uploadarchive.raw/RTDC4024/ "%USERPROFILE%\AppData\Local\Temp\OnboardLogs"\RTDC4024\2017-09-02 --exclude "*" --recursive --include "*20170902*" &amp; "%USERPROFILE%\Documents\GitHub\mrs-test-scripts\Headless Mode &amp; Sideloading\WalkAndUnGZ.bat" "%USERPROFILE%\AppData\Local\Temp\OnboardLogs"\RTDC4024\2017-09-02</v>
      </c>
      <c r="AF110" s="74" t="str">
        <f t="shared" si="34"/>
        <v>"C:\Program Files (x86)\AstroGrep\AstroGrep.exe" /e /r /s /spath="%USERPROFILE%\AppData\Local\Temp\OnboardLogs" /stypes="app*4024*20170901*" /stext=" 22:.+((SYSTEM_STATE.+slice.+state.+changed )|(ment ac)|(multiple cpu faults)|(system.+state.+changed )|(\[timeout)|(PRM\|1\|D)|(kpr)|(kdp)|(train st.+moving)|(\|lc)|(penalty))"</v>
      </c>
      <c r="AG110" s="206" t="str">
        <f t="shared" si="35"/>
        <v>EC</v>
      </c>
      <c r="AH110" s="78" t="str">
        <f t="shared" si="36"/>
        <v>"%USERPROFILE%\Documents\GitHub\eaglep3\Utilities\RefineRTDCRunTimes.py" --tripid 197-01 --locoid 4024 --swversion DE.1.0.9.0 --startMP 204:464 --initTime 2017-09-01T15:36:08 --startdatetime 2017-09-01T15:45:14 --delay 120 --endMP 204:233339 --enddatetime 2017-09-01T16:22:01 --enforcementcount 0 &gt;&gt;C:\Users\stu\Documents\GitHub\eaglep3-reporting\EC\2017-09-01-refined-times.txt</v>
      </c>
      <c r="AI110" s="96" t="str">
        <f t="shared" si="37"/>
        <v>echo {"issue":{"subject":"","project_id":79,"tracker_id":40,"status_id":1,"priority_id":2,"assigned_to_id":338,"start_date":"2017-09-01","description":"","custom_fields":[{"id":1,"name":"Subdivision","value":"EC"},{"id":4,"name":"Milepost","value":"23.3339"},{"id":17,"name":"Train ID","value":"197-01"},{"id":16,"name":"Locomotive ID","value":"4024"},{"id":130,"name":"Impact","value":""},{"id":150,"name":"Time of Event (Mountain Time)","value":"16:22:01"},{"id":151,"name":"Denver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38"/>
        <v>start /low /b %USERPROFILE%\Documents\GitHub\eaglep3\Utilities\DownloadLogsFromS3.py --loco 4024 --day 2017-09-01</v>
      </c>
      <c r="AN110" s="151" t="str">
        <f t="shared" si="39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22:22:01"},{"id":29,"name":"Sharepoint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765</v>
      </c>
      <c r="B111" s="7">
        <v>4023</v>
      </c>
      <c r="C111" s="21" t="s">
        <v>197</v>
      </c>
      <c r="D111" s="21" t="s">
        <v>870</v>
      </c>
      <c r="E111" s="13">
        <v>42979.687060185184</v>
      </c>
      <c r="F111" s="13">
        <v>42979.696053240739</v>
      </c>
      <c r="G111" s="7">
        <v>64</v>
      </c>
      <c r="H111" s="21" t="s">
        <v>382</v>
      </c>
      <c r="I111" s="13">
        <v>42979.721377314818</v>
      </c>
      <c r="J111" s="7">
        <v>0</v>
      </c>
      <c r="K111" s="89" t="str">
        <f t="shared" si="22"/>
        <v>4023/4024</v>
      </c>
      <c r="L111" s="214" t="str">
        <f>VLOOKUP(A111,'Trips&amp;Operators'!$C$1:$G$99911,5,FALSE)</f>
        <v>LEVIN SCOTT</v>
      </c>
      <c r="M111" s="6">
        <f t="shared" si="23"/>
        <v>2.5324074078525882E-2</v>
      </c>
      <c r="N111" s="7">
        <f t="shared" si="24"/>
        <v>36.46666667307727</v>
      </c>
      <c r="O111" s="7"/>
      <c r="P111" s="7"/>
      <c r="Q111" s="22"/>
      <c r="R111" s="167"/>
      <c r="S111" s="210">
        <f t="shared" si="25"/>
        <v>1</v>
      </c>
      <c r="T111" s="192" t="str">
        <f t="shared" si="26"/>
        <v>Southbound</v>
      </c>
      <c r="U111" s="192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3" t="str">
        <f t="shared" si="27"/>
        <v>https://d0f6bd738d7f1b3e5a7ca70fe4ff75f0.us-east-1.aws.found.io/app/kibana#/discover/Steve-Slow-Train-Analysis-(2080s-and-2083s)?_g=(refreshInterval:(display:Off,pause:!f,section:0,value:0),time:(from:'2017-09-01T15:29:22-0600',mode:absolute,to:'2017-09-01T18:18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11" s="194" t="str">
        <f>IF(AA111&lt;VLOOKUP(AG111,Variables!$AC$3:$AD$8,2,FALSE),"Y","N")</f>
        <v>N</v>
      </c>
      <c r="X111" s="194">
        <f t="shared" si="28"/>
        <v>1</v>
      </c>
      <c r="Y111" s="194">
        <f t="shared" si="29"/>
        <v>23.302600000000002</v>
      </c>
      <c r="Z111" s="194">
        <f t="shared" si="30"/>
        <v>1.5599999999999999E-2</v>
      </c>
      <c r="AA111" s="194">
        <f t="shared" si="31"/>
        <v>23.287000000000003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203">
        <f t="shared" si="32"/>
        <v>198</v>
      </c>
      <c r="AE111" s="77" t="str">
        <f t="shared" si="33"/>
        <v>aws s3 cp s3://rtdc.mdm.uploadarchive.raw/RTDC4023/ "%USERPROFILE%\AppData\Local\Temp\OnboardLogs"\RTDC4023\2017-09-01 --exclude "*" --recursive --include "*20170901*" &amp; "%USERPROFILE%\Documents\GitHub\mrs-test-scripts\Headless Mode &amp; Sideloading\WalkAndUnGZ.bat" "%USERPROFILE%\AppData\Local\Temp\OnboardLogs"\RTDC4023\2017-09-01 &amp; aws s3 cp s3://rtdc.mdm.uploadarchive.raw/RTDC4023/ "%USERPROFILE%\AppData\Local\Temp\OnboardLogs"\RTDC4023\2017-09-02 --exclude "*" --recursive --include "*20170902*" &amp; "%USERPROFILE%\Documents\GitHub\mrs-test-scripts\Headless Mode &amp; Sideloading\WalkAndUnGZ.bat" "%USERPROFILE%\AppData\Local\Temp\OnboardLogs"\RTDC4023\2017-09-02</v>
      </c>
      <c r="AF111" s="74" t="str">
        <f t="shared" si="34"/>
        <v>"C:\Program Files (x86)\AstroGrep\AstroGrep.exe" /e /r /s /spath="%USERPROFILE%\AppData\Local\Temp\OnboardLogs" /stypes="app*4023*20170901*" /stext=" 23:.+((SYSTEM_STATE.+slice.+state.+changed )|(ment ac)|(multiple cpu faults)|(system.+state.+changed )|(\[timeout)|(PRM\|1\|D)|(kpr)|(kdp)|(train st.+moving)|(\|lc)|(penalty))"</v>
      </c>
      <c r="AG111" s="206" t="str">
        <f t="shared" si="35"/>
        <v>EC</v>
      </c>
      <c r="AH111" s="78" t="str">
        <f t="shared" si="36"/>
        <v>"%USERPROFILE%\Documents\GitHub\eaglep3\Utilities\RefineRTDCRunTimes.py" --tripid 198-01 --locoid 4023 --swversion DE.1.0.9.0 --startMP 204:233026 --initTime 2017-09-01T16:29:22 --startdatetime 2017-09-01T16:42:19 --delay 64 --endMP 204:156 --enddatetime 2017-09-01T17:18:47 --enforcementcount 0 &gt;&gt;C:\Users\stu\Documents\GitHub\eaglep3-reporting\EC\2017-09-01-refined-times.txt</v>
      </c>
      <c r="AI111" s="96" t="str">
        <f t="shared" si="37"/>
        <v>echo {"issue":{"subject":"","project_id":79,"tracker_id":40,"status_id":1,"priority_id":2,"assigned_to_id":338,"start_date":"2017-09-01","description":"","custom_fields":[{"id":1,"name":"Subdivision","value":"EC"},{"id":4,"name":"Milepost","value":"0.0156"},{"id":17,"name":"Train ID","value":"198-01"},{"id":16,"name":"Locomotive ID","value":"4023"},{"id":130,"name":"Impact","value":""},{"id":150,"name":"Time of Event (Mountain Time)","value":"17:18:47"},{"id":151,"name":"Denver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38"/>
        <v>start /low /b %USERPROFILE%\Documents\GitHub\eaglep3\Utilities\DownloadLogsFromS3.py --loco 4023 --day 2017-09-01</v>
      </c>
      <c r="AN111" s="151" t="str">
        <f t="shared" si="39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23:18:47"},{"id":29,"name":"Sharepoint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757</v>
      </c>
      <c r="B112" s="7">
        <v>4020</v>
      </c>
      <c r="C112" s="21" t="s">
        <v>197</v>
      </c>
      <c r="D112" s="21" t="s">
        <v>343</v>
      </c>
      <c r="E112" s="13">
        <v>42979.663148148145</v>
      </c>
      <c r="F112" s="13">
        <v>42979.666805555556</v>
      </c>
      <c r="G112" s="7">
        <v>56</v>
      </c>
      <c r="H112" s="21" t="s">
        <v>404</v>
      </c>
      <c r="I112" s="13">
        <v>42979.691053240742</v>
      </c>
      <c r="J112" s="7">
        <v>0</v>
      </c>
      <c r="K112" s="89" t="str">
        <f t="shared" si="22"/>
        <v>4019/4020</v>
      </c>
      <c r="L112" s="214" t="str">
        <f>VLOOKUP(A112,'Trips&amp;Operators'!$C$1:$G$99911,5,FALSE)</f>
        <v>NEWELL JAMES</v>
      </c>
      <c r="M112" s="6">
        <f t="shared" si="23"/>
        <v>2.4247685185400769E-2</v>
      </c>
      <c r="N112" s="7">
        <f t="shared" si="24"/>
        <v>34.916666666977108</v>
      </c>
      <c r="O112" s="7"/>
      <c r="P112" s="7"/>
      <c r="Q112" s="22"/>
      <c r="R112" s="167"/>
      <c r="S112" s="210">
        <f t="shared" si="25"/>
        <v>1</v>
      </c>
      <c r="T112" s="192" t="str">
        <f t="shared" si="26"/>
        <v>NorthBound</v>
      </c>
      <c r="U112" s="192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3" t="str">
        <f t="shared" si="27"/>
        <v>https://d0f6bd738d7f1b3e5a7ca70fe4ff75f0.us-east-1.aws.found.io/app/kibana#/discover/Steve-Slow-Train-Analysis-(2080s-and-2083s)?_g=(refreshInterval:(display:Off,pause:!f,section:0,value:0),time:(from:'2017-09-01T14:54:56-0600',mode:absolute,to:'2017-09-01T17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2" s="194" t="str">
        <f>IF(AA112&lt;VLOOKUP(AG112,Variables!$AC$3:$AD$8,2,FALSE),"Y","N")</f>
        <v>N</v>
      </c>
      <c r="X112" s="194">
        <f t="shared" si="28"/>
        <v>1</v>
      </c>
      <c r="Y112" s="194">
        <f t="shared" si="29"/>
        <v>4.4699999999999997E-2</v>
      </c>
      <c r="Z112" s="194">
        <f t="shared" si="30"/>
        <v>23.3306</v>
      </c>
      <c r="AA112" s="194">
        <f t="shared" si="31"/>
        <v>23.285900000000002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203">
        <f t="shared" si="32"/>
        <v>199</v>
      </c>
      <c r="AE112" s="77" t="str">
        <f t="shared" si="33"/>
        <v>aws s3 cp s3://rtdc.mdm.uploadarchive.raw/RTDC4020/ "%USERPROFILE%\AppData\Local\Temp\OnboardLogs"\RTDC4020\2017-09-01 --exclude "*" --recursive --include "*20170901*" &amp; "%USERPROFILE%\Documents\GitHub\mrs-test-scripts\Headless Mode &amp; Sideloading\WalkAndUnGZ.bat" "%USERPROFILE%\AppData\Local\Temp\OnboardLogs"\RTDC4020\2017-09-01 &amp; aws s3 cp s3://rtdc.mdm.uploadarchive.raw/RTDC4020/ "%USERPROFILE%\AppData\Local\Temp\OnboardLogs"\RTDC4020\2017-09-02 --exclude "*" --recursive --include "*20170902*" &amp; "%USERPROFILE%\Documents\GitHub\mrs-test-scripts\Headless Mode &amp; Sideloading\WalkAndUnGZ.bat" "%USERPROFILE%\AppData\Local\Temp\OnboardLogs"\RTDC4020\2017-09-02</v>
      </c>
      <c r="AF112" s="74" t="str">
        <f t="shared" si="34"/>
        <v>"C:\Program Files (x86)\AstroGrep\AstroGrep.exe" /e /r /s /spath="%USERPROFILE%\AppData\Local\Temp\OnboardLogs" /stypes="app*4020*20170901*" /stext=" 22:.+((SYSTEM_STATE.+slice.+state.+changed )|(ment ac)|(multiple cpu faults)|(system.+state.+changed )|(\[timeout)|(PRM\|1\|D)|(kpr)|(kdp)|(train st.+moving)|(\|lc)|(penalty))"</v>
      </c>
      <c r="AG112" s="206" t="str">
        <f t="shared" si="35"/>
        <v>EC</v>
      </c>
      <c r="AH112" s="78" t="str">
        <f t="shared" si="36"/>
        <v>"%USERPROFILE%\Documents\GitHub\eaglep3\Utilities\RefineRTDCRunTimes.py" --tripid 199-01 --locoid 4020 --swversion DE.1.0.9.0 --startMP 204:447 --initTime 2017-09-01T15:54:56 --startdatetime 2017-09-01T16:00:12 --delay 56 --endMP 204:233306 --enddatetime 2017-09-01T16:35:07 --enforcementcount 0 &gt;&gt;C:\Users\stu\Documents\GitHub\eaglep3-reporting\EC\2017-09-01-refined-times.txt</v>
      </c>
      <c r="AI112" s="96" t="str">
        <f t="shared" si="37"/>
        <v>echo {"issue":{"subject":"","project_id":79,"tracker_id":40,"status_id":1,"priority_id":2,"assigned_to_id":338,"start_date":"2017-09-01","description":"","custom_fields":[{"id":1,"name":"Subdivision","value":"EC"},{"id":4,"name":"Milepost","value":"23.3306"},{"id":17,"name":"Train ID","value":"199-01"},{"id":16,"name":"Locomotive ID","value":"4020"},{"id":130,"name":"Impact","value":""},{"id":150,"name":"Time of Event (Mountain Time)","value":"16:35:07"},{"id":151,"name":"Denver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38"/>
        <v>start /low /b %USERPROFILE%\Documents\GitHub\eaglep3\Utilities\DownloadLogsFromS3.py --loco 4020 --day 2017-09-01</v>
      </c>
      <c r="AN112" s="151" t="str">
        <f t="shared" si="39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22:35:07"},{"id":29,"name":"Sharepoint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766</v>
      </c>
      <c r="B113" s="7">
        <v>4019</v>
      </c>
      <c r="C113" s="21" t="s">
        <v>197</v>
      </c>
      <c r="D113" s="21" t="s">
        <v>435</v>
      </c>
      <c r="E113" s="13">
        <v>42979.692407407405</v>
      </c>
      <c r="F113" s="13">
        <v>42979.706388888888</v>
      </c>
      <c r="G113" s="7">
        <v>45</v>
      </c>
      <c r="H113" s="21" t="s">
        <v>382</v>
      </c>
      <c r="I113" s="13">
        <v>42979.731886574074</v>
      </c>
      <c r="J113" s="7">
        <v>0</v>
      </c>
      <c r="K113" s="89" t="str">
        <f t="shared" si="22"/>
        <v>4019/4020</v>
      </c>
      <c r="L113" s="214" t="str">
        <f>VLOOKUP(A113,'Trips&amp;Operators'!$C$1:$G$99911,5,FALSE)</f>
        <v>NEWELL JAMES</v>
      </c>
      <c r="M113" s="6">
        <f t="shared" si="23"/>
        <v>2.5497685186564922E-2</v>
      </c>
      <c r="N113" s="7">
        <f t="shared" si="24"/>
        <v>36.716666668653488</v>
      </c>
      <c r="O113" s="7"/>
      <c r="P113" s="7"/>
      <c r="Q113" s="22"/>
      <c r="R113" s="167"/>
      <c r="S113" s="210">
        <f t="shared" si="25"/>
        <v>1</v>
      </c>
      <c r="T113" s="192" t="str">
        <f t="shared" si="26"/>
        <v>Southbound</v>
      </c>
      <c r="U113" s="192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3" t="str">
        <f t="shared" si="27"/>
        <v>https://d0f6bd738d7f1b3e5a7ca70fe4ff75f0.us-east-1.aws.found.io/app/kibana#/discover/Steve-Slow-Train-Analysis-(2080s-and-2083s)?_g=(refreshInterval:(display:Off,pause:!f,section:0,value:0),time:(from:'2017-09-01T15:37:04-0600',mode:absolute,to:'2017-09-01T18:33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3" s="194" t="str">
        <f>IF(AA113&lt;VLOOKUP(AG113,Variables!$AC$3:$AD$8,2,FALSE),"Y","N")</f>
        <v>N</v>
      </c>
      <c r="X113" s="194">
        <f t="shared" si="28"/>
        <v>1</v>
      </c>
      <c r="Y113" s="194">
        <f t="shared" si="29"/>
        <v>23.299099999999999</v>
      </c>
      <c r="Z113" s="194">
        <f t="shared" si="30"/>
        <v>1.5599999999999999E-2</v>
      </c>
      <c r="AA113" s="194">
        <f t="shared" si="31"/>
        <v>23.2835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203">
        <f t="shared" si="32"/>
        <v>200</v>
      </c>
      <c r="AE113" s="77" t="str">
        <f t="shared" si="33"/>
        <v>aws s3 cp s3://rtdc.mdm.uploadarchive.raw/RTDC4019/ "%USERPROFILE%\AppData\Local\Temp\OnboardLogs"\RTDC4019\2017-09-01 --exclude "*" --recursive --include "*20170901*" &amp; "%USERPROFILE%\Documents\GitHub\mrs-test-scripts\Headless Mode &amp; Sideloading\WalkAndUnGZ.bat" "%USERPROFILE%\AppData\Local\Temp\OnboardLogs"\RTDC4019\2017-09-01 &amp; aws s3 cp s3://rtdc.mdm.uploadarchive.raw/RTDC4019/ "%USERPROFILE%\AppData\Local\Temp\OnboardLogs"\RTDC4019\2017-09-02 --exclude "*" --recursive --include "*20170902*" &amp; "%USERPROFILE%\Documents\GitHub\mrs-test-scripts\Headless Mode &amp; Sideloading\WalkAndUnGZ.bat" "%USERPROFILE%\AppData\Local\Temp\OnboardLogs"\RTDC4019\2017-09-02</v>
      </c>
      <c r="AF113" s="74" t="str">
        <f t="shared" si="34"/>
        <v>"C:\Program Files (x86)\AstroGrep\AstroGrep.exe" /e /r /s /spath="%USERPROFILE%\AppData\Local\Temp\OnboardLogs" /stypes="app*4019*20170901*" /stext=" 23:.+((SYSTEM_STATE.+slice.+state.+changed )|(ment ac)|(multiple cpu faults)|(system.+state.+changed )|(\[timeout)|(PRM\|1\|D)|(kpr)|(kdp)|(train st.+moving)|(\|lc)|(penalty))"</v>
      </c>
      <c r="AG113" s="206" t="str">
        <f t="shared" si="35"/>
        <v>EC</v>
      </c>
      <c r="AH113" s="78" t="str">
        <f t="shared" si="36"/>
        <v>"%USERPROFILE%\Documents\GitHub\eaglep3\Utilities\RefineRTDCRunTimes.py" --tripid 200-01 --locoid 4019 --swversion DE.1.0.9.0 --startMP 204:232991 --initTime 2017-09-01T16:37:04 --startdatetime 2017-09-01T16:57:12 --delay 45 --endMP 204:156 --enddatetime 2017-09-01T17:33:55 --enforcementcount 0 &gt;&gt;C:\Users\stu\Documents\GitHub\eaglep3-reporting\EC\2017-09-01-refined-times.txt</v>
      </c>
      <c r="AI113" s="96" t="str">
        <f t="shared" si="37"/>
        <v>echo {"issue":{"subject":"","project_id":79,"tracker_id":40,"status_id":1,"priority_id":2,"assigned_to_id":338,"start_date":"2017-09-01","description":"","custom_fields":[{"id":1,"name":"Subdivision","value":"EC"},{"id":4,"name":"Milepost","value":"0.0156"},{"id":17,"name":"Train ID","value":"200-01"},{"id":16,"name":"Locomotive ID","value":"4019"},{"id":130,"name":"Impact","value":""},{"id":150,"name":"Time of Event (Mountain Time)","value":"17:33:55"},{"id":151,"name":"Denver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38"/>
        <v>start /low /b %USERPROFILE%\Documents\GitHub\eaglep3\Utilities\DownloadLogsFromS3.py --loco 4019 --day 2017-09-01</v>
      </c>
      <c r="AN113" s="151" t="str">
        <f t="shared" si="39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23:33:55"},{"id":29,"name":"Sharepoint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761</v>
      </c>
      <c r="B114" s="7">
        <v>4058</v>
      </c>
      <c r="C114" s="21" t="s">
        <v>197</v>
      </c>
      <c r="D114" s="21" t="s">
        <v>367</v>
      </c>
      <c r="E114" s="13">
        <v>42979.671817129631</v>
      </c>
      <c r="F114" s="13">
        <v>42979.677372685182</v>
      </c>
      <c r="G114" s="7">
        <v>51</v>
      </c>
      <c r="H114" s="21" t="s">
        <v>446</v>
      </c>
      <c r="I114" s="13">
        <v>42979.701840277776</v>
      </c>
      <c r="J114" s="7">
        <v>0</v>
      </c>
      <c r="K114" s="89" t="str">
        <f t="shared" si="22"/>
        <v>4057/4058</v>
      </c>
      <c r="L114" s="214" t="str">
        <f>VLOOKUP(A114,'Trips&amp;Operators'!$C$1:$G$99911,5,FALSE)</f>
        <v>HOLCOMB KAMDEN</v>
      </c>
      <c r="M114" s="6">
        <f t="shared" si="23"/>
        <v>2.4467592593282461E-2</v>
      </c>
      <c r="N114" s="7">
        <f t="shared" si="24"/>
        <v>35.233333334326744</v>
      </c>
      <c r="O114" s="7"/>
      <c r="P114" s="7"/>
      <c r="Q114" s="22"/>
      <c r="R114" s="167"/>
      <c r="S114" s="210">
        <f t="shared" si="25"/>
        <v>1</v>
      </c>
      <c r="T114" s="192" t="str">
        <f t="shared" si="26"/>
        <v>NorthBound</v>
      </c>
      <c r="U114" s="192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3" t="str">
        <f t="shared" si="27"/>
        <v>https://d0f6bd738d7f1b3e5a7ca70fe4ff75f0.us-east-1.aws.found.io/app/kibana#/discover/Steve-Slow-Train-Analysis-(2080s-and-2083s)?_g=(refreshInterval:(display:Off,pause:!f,section:0,value:0),time:(from:'2017-09-01T15:07:25-0600',mode:absolute,to:'2017-09-01T17:50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14" s="194" t="str">
        <f>IF(AA114&lt;VLOOKUP(AG114,Variables!$AC$3:$AD$8,2,FALSE),"Y","N")</f>
        <v>N</v>
      </c>
      <c r="X114" s="194">
        <f t="shared" si="28"/>
        <v>1</v>
      </c>
      <c r="Y114" s="194">
        <f t="shared" si="29"/>
        <v>4.5699999999999998E-2</v>
      </c>
      <c r="Z114" s="194">
        <f t="shared" si="30"/>
        <v>23.3291</v>
      </c>
      <c r="AA114" s="194">
        <f t="shared" si="31"/>
        <v>23.2834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203">
        <f t="shared" si="32"/>
        <v>201</v>
      </c>
      <c r="AE114" s="77" t="str">
        <f t="shared" si="33"/>
        <v>aws s3 cp s3://rtdc.mdm.uploadarchive.raw/RTDC4058/ "%USERPROFILE%\AppData\Local\Temp\OnboardLogs"\RTDC4058\2017-09-01 --exclude "*" --recursive --include "*20170901*" &amp; "%USERPROFILE%\Documents\GitHub\mrs-test-scripts\Headless Mode &amp; Sideloading\WalkAndUnGZ.bat" "%USERPROFILE%\AppData\Local\Temp\OnboardLogs"\RTDC4058\2017-09-01 &amp; aws s3 cp s3://rtdc.mdm.uploadarchive.raw/RTDC4058/ "%USERPROFILE%\AppData\Local\Temp\OnboardLogs"\RTDC4058\2017-09-02 --exclude "*" --recursive --include "*20170902*" &amp; "%USERPROFILE%\Documents\GitHub\mrs-test-scripts\Headless Mode &amp; Sideloading\WalkAndUnGZ.bat" "%USERPROFILE%\AppData\Local\Temp\OnboardLogs"\RTDC4058\2017-09-02</v>
      </c>
      <c r="AF114" s="74" t="str">
        <f t="shared" si="34"/>
        <v>"C:\Program Files (x86)\AstroGrep\AstroGrep.exe" /e /r /s /spath="%USERPROFILE%\AppData\Local\Temp\OnboardLogs" /stypes="app*4058*20170901*" /stext=" 22:.+((SYSTEM_STATE.+slice.+state.+changed )|(ment ac)|(multiple cpu faults)|(system.+state.+changed )|(\[timeout)|(PRM\|1\|D)|(kpr)|(kdp)|(train st.+moving)|(\|lc)|(penalty))"</v>
      </c>
      <c r="AG114" s="206" t="str">
        <f t="shared" si="35"/>
        <v>EC</v>
      </c>
      <c r="AH114" s="78" t="str">
        <f t="shared" si="36"/>
        <v>"%USERPROFILE%\Documents\GitHub\eaglep3\Utilities\RefineRTDCRunTimes.py" --tripid 201-01 --locoid 4058 --swversion DE.1.0.9.0 --startMP 204:457 --initTime 2017-09-01T16:07:25 --startdatetime 2017-09-01T16:15:25 --delay 51 --endMP 204:233291 --enddatetime 2017-09-01T16:50:39 --enforcementcount 0 &gt;&gt;C:\Users\stu\Documents\GitHub\eaglep3-reporting\EC\2017-09-01-refined-times.txt</v>
      </c>
      <c r="AI114" s="96" t="str">
        <f t="shared" si="37"/>
        <v>echo {"issue":{"subject":"","project_id":79,"tracker_id":40,"status_id":1,"priority_id":2,"assigned_to_id":338,"start_date":"2017-09-01","description":"","custom_fields":[{"id":1,"name":"Subdivision","value":"EC"},{"id":4,"name":"Milepost","value":"23.3291"},{"id":17,"name":"Train ID","value":"201-01"},{"id":16,"name":"Locomotive ID","value":"4058"},{"id":130,"name":"Impact","value":""},{"id":150,"name":"Time of Event (Mountain Time)","value":"16:50:39"},{"id":151,"name":"Denver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38"/>
        <v>start /low /b %USERPROFILE%\Documents\GitHub\eaglep3\Utilities\DownloadLogsFromS3.py --loco 4058 --day 2017-09-01</v>
      </c>
      <c r="AN114" s="151" t="str">
        <f t="shared" si="39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22:50:39"},{"id":29,"name":"Sharepoint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771</v>
      </c>
      <c r="B115" s="7">
        <v>4057</v>
      </c>
      <c r="C115" s="21" t="s">
        <v>197</v>
      </c>
      <c r="D115" s="21" t="s">
        <v>846</v>
      </c>
      <c r="E115" s="13">
        <v>42979.712002314816</v>
      </c>
      <c r="F115" s="13">
        <v>42979.716956018521</v>
      </c>
      <c r="G115" s="7">
        <v>56</v>
      </c>
      <c r="H115" s="21" t="s">
        <v>340</v>
      </c>
      <c r="I115" s="13">
        <v>42979.742060185185</v>
      </c>
      <c r="J115" s="7">
        <v>0</v>
      </c>
      <c r="K115" s="89" t="str">
        <f t="shared" si="22"/>
        <v>4057/4058</v>
      </c>
      <c r="L115" s="214" t="str">
        <f>VLOOKUP(A115,'Trips&amp;Operators'!$C$1:$G$99911,5,FALSE)</f>
        <v>HOLCOMB KAMDEN</v>
      </c>
      <c r="M115" s="6">
        <f t="shared" si="23"/>
        <v>2.5104166663368233E-2</v>
      </c>
      <c r="N115" s="7">
        <f t="shared" si="24"/>
        <v>36.149999995250255</v>
      </c>
      <c r="O115" s="7"/>
      <c r="P115" s="7"/>
      <c r="Q115" s="22"/>
      <c r="R115" s="167"/>
      <c r="S115" s="210">
        <f t="shared" si="25"/>
        <v>1</v>
      </c>
      <c r="T115" s="192" t="str">
        <f t="shared" si="26"/>
        <v>Southbound</v>
      </c>
      <c r="U115" s="192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3" t="str">
        <f t="shared" si="27"/>
        <v>https://d0f6bd738d7f1b3e5a7ca70fe4ff75f0.us-east-1.aws.found.io/app/kibana#/discover/Steve-Slow-Train-Analysis-(2080s-and-2083s)?_g=(refreshInterval:(display:Off,pause:!f,section:0,value:0),time:(from:'2017-09-01T16:05:17-0600',mode:absolute,to:'2017-09-01T18:48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15" s="194" t="str">
        <f>IF(AA115&lt;VLOOKUP(AG115,Variables!$AC$3:$AD$8,2,FALSE),"Y","N")</f>
        <v>N</v>
      </c>
      <c r="X115" s="194">
        <f t="shared" si="28"/>
        <v>1</v>
      </c>
      <c r="Y115" s="194">
        <f t="shared" si="29"/>
        <v>23.297499999999999</v>
      </c>
      <c r="Z115" s="194">
        <f t="shared" si="30"/>
        <v>1.43E-2</v>
      </c>
      <c r="AA115" s="194">
        <f t="shared" si="31"/>
        <v>23.283200000000001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203">
        <f t="shared" si="32"/>
        <v>202</v>
      </c>
      <c r="AE115" s="77" t="str">
        <f t="shared" si="33"/>
        <v>aws s3 cp s3://rtdc.mdm.uploadarchive.raw/RTDC4057/ "%USERPROFILE%\AppData\Local\Temp\OnboardLogs"\RTDC4057\2017-09-01 --exclude "*" --recursive --include "*20170901*" &amp; "%USERPROFILE%\Documents\GitHub\mrs-test-scripts\Headless Mode &amp; Sideloading\WalkAndUnGZ.bat" "%USERPROFILE%\AppData\Local\Temp\OnboardLogs"\RTDC4057\2017-09-01 &amp; aws s3 cp s3://rtdc.mdm.uploadarchive.raw/RTDC4057/ "%USERPROFILE%\AppData\Local\Temp\OnboardLogs"\RTDC4057\2017-09-02 --exclude "*" --recursive --include "*20170902*" &amp; "%USERPROFILE%\Documents\GitHub\mrs-test-scripts\Headless Mode &amp; Sideloading\WalkAndUnGZ.bat" "%USERPROFILE%\AppData\Local\Temp\OnboardLogs"\RTDC4057\2017-09-02</v>
      </c>
      <c r="AF115" s="74" t="str">
        <f t="shared" si="34"/>
        <v>"C:\Program Files (x86)\AstroGrep\AstroGrep.exe" /e /r /s /spath="%USERPROFILE%\AppData\Local\Temp\OnboardLogs" /stypes="app*4057*20170901*" /stext=" 23:.+((SYSTEM_STATE.+slice.+state.+changed )|(ment ac)|(multiple cpu faults)|(system.+state.+changed )|(\[timeout)|(PRM\|1\|D)|(kpr)|(kdp)|(train st.+moving)|(\|lc)|(penalty))"</v>
      </c>
      <c r="AG115" s="206" t="str">
        <f t="shared" si="35"/>
        <v>EC</v>
      </c>
      <c r="AH115" s="78" t="str">
        <f t="shared" si="36"/>
        <v>"%USERPROFILE%\Documents\GitHub\eaglep3\Utilities\RefineRTDCRunTimes.py" --tripid 202-01 --locoid 4057 --swversion DE.1.0.9.0 --startMP 204:232975 --initTime 2017-09-01T17:05:17 --startdatetime 2017-09-01T17:12:25 --delay 56 --endMP 204:143 --enddatetime 2017-09-01T17:48:34 --enforcementcount 0 &gt;&gt;C:\Users\stu\Documents\GitHub\eaglep3-reporting\EC\2017-09-01-refined-times.txt</v>
      </c>
      <c r="AI115" s="96" t="str">
        <f t="shared" si="37"/>
        <v>echo {"issue":{"subject":"","project_id":79,"tracker_id":40,"status_id":1,"priority_id":2,"assigned_to_id":338,"start_date":"2017-09-01","description":"","custom_fields":[{"id":1,"name":"Subdivision","value":"EC"},{"id":4,"name":"Milepost","value":"0.0143"},{"id":17,"name":"Train ID","value":"202-01"},{"id":16,"name":"Locomotive ID","value":"4057"},{"id":130,"name":"Impact","value":""},{"id":150,"name":"Time of Event (Mountain Time)","value":"17:48:34"},{"id":151,"name":"Denver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38"/>
        <v>start /low /b %USERPROFILE%\Documents\GitHub\eaglep3\Utilities\DownloadLogsFromS3.py --loco 4057 --day 2017-09-01</v>
      </c>
      <c r="AN115" s="151" t="str">
        <f t="shared" si="39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23:48:34"},{"id":29,"name":"Sharepoint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763</v>
      </c>
      <c r="B116" s="7">
        <v>4026</v>
      </c>
      <c r="C116" s="21" t="s">
        <v>197</v>
      </c>
      <c r="D116" s="21" t="s">
        <v>379</v>
      </c>
      <c r="E116" s="13">
        <v>42979.682430555556</v>
      </c>
      <c r="F116" s="13">
        <v>42979.688009259262</v>
      </c>
      <c r="G116" s="7">
        <v>96</v>
      </c>
      <c r="H116" s="21" t="s">
        <v>407</v>
      </c>
      <c r="I116" s="13">
        <v>42979.712754629632</v>
      </c>
      <c r="J116" s="7">
        <v>0</v>
      </c>
      <c r="K116" s="89" t="str">
        <f t="shared" si="22"/>
        <v>4025/4026</v>
      </c>
      <c r="L116" s="214" t="str">
        <f>VLOOKUP(A116,'Trips&amp;Operators'!$C$1:$G$99911,5,FALSE)</f>
        <v>SAFIEF AEIMEN</v>
      </c>
      <c r="M116" s="6">
        <f t="shared" si="23"/>
        <v>2.47453703705105E-2</v>
      </c>
      <c r="N116" s="7">
        <f t="shared" si="24"/>
        <v>35.63333333353512</v>
      </c>
      <c r="O116" s="7"/>
      <c r="P116" s="7"/>
      <c r="Q116" s="22"/>
      <c r="R116" s="167"/>
      <c r="S116" s="210">
        <f t="shared" si="25"/>
        <v>1</v>
      </c>
      <c r="T116" s="192" t="str">
        <f t="shared" si="26"/>
        <v>NorthBound</v>
      </c>
      <c r="U116" s="192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3" t="str">
        <f t="shared" si="27"/>
        <v>https://d0f6bd738d7f1b3e5a7ca70fe4ff75f0.us-east-1.aws.found.io/app/kibana#/discover/Steve-Slow-Train-Analysis-(2080s-and-2083s)?_g=(refreshInterval:(display:Off,pause:!f,section:0,value:0),time:(from:'2017-09-01T15:22:42-0600',mode:absolute,to:'2017-09-01T18:06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6" s="194" t="str">
        <f>IF(AA116&lt;VLOOKUP(AG116,Variables!$AC$3:$AD$8,2,FALSE),"Y","N")</f>
        <v>N</v>
      </c>
      <c r="X116" s="194">
        <f t="shared" si="28"/>
        <v>1</v>
      </c>
      <c r="Y116" s="194">
        <f t="shared" si="29"/>
        <v>4.6600000000000003E-2</v>
      </c>
      <c r="Z116" s="194">
        <f t="shared" si="30"/>
        <v>23.3323</v>
      </c>
      <c r="AA116" s="194">
        <f t="shared" si="31"/>
        <v>23.285699999999999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203">
        <f t="shared" si="32"/>
        <v>203</v>
      </c>
      <c r="AE116" s="77" t="str">
        <f t="shared" si="33"/>
        <v>aws s3 cp s3://rtdc.mdm.uploadarchive.raw/RTDC4026/ "%USERPROFILE%\AppData\Local\Temp\OnboardLogs"\RTDC4026\2017-09-01 --exclude "*" --recursive --include "*20170901*" &amp; "%USERPROFILE%\Documents\GitHub\mrs-test-scripts\Headless Mode &amp; Sideloading\WalkAndUnGZ.bat" "%USERPROFILE%\AppData\Local\Temp\OnboardLogs"\RTDC4026\2017-09-01 &amp; aws s3 cp s3://rtdc.mdm.uploadarchive.raw/RTDC4026/ "%USERPROFILE%\AppData\Local\Temp\OnboardLogs"\RTDC4026\2017-09-02 --exclude "*" --recursive --include "*20170902*" &amp; "%USERPROFILE%\Documents\GitHub\mrs-test-scripts\Headless Mode &amp; Sideloading\WalkAndUnGZ.bat" "%USERPROFILE%\AppData\Local\Temp\OnboardLogs"\RTDC4026\2017-09-02</v>
      </c>
      <c r="AF116" s="74" t="str">
        <f t="shared" si="34"/>
        <v>"C:\Program Files (x86)\AstroGrep\AstroGrep.exe" /e /r /s /spath="%USERPROFILE%\AppData\Local\Temp\OnboardLogs" /stypes="app*4026*20170901*" /stext=" 23:.+((SYSTEM_STATE.+slice.+state.+changed )|(ment ac)|(multiple cpu faults)|(system.+state.+changed )|(\[timeout)|(PRM\|1\|D)|(kpr)|(kdp)|(train st.+moving)|(\|lc)|(penalty))"</v>
      </c>
      <c r="AG116" s="206" t="str">
        <f t="shared" si="35"/>
        <v>EC</v>
      </c>
      <c r="AH116" s="78" t="str">
        <f t="shared" si="36"/>
        <v>"%USERPROFILE%\Documents\GitHub\eaglep3\Utilities\RefineRTDCRunTimes.py" --tripid 203-01 --locoid 4026 --swversion DE.1.0.9.0 --startMP 204:466 --initTime 2017-09-01T16:22:42 --startdatetime 2017-09-01T16:30:44 --delay 96 --endMP 204:233323 --enddatetime 2017-09-01T17:06:22 --enforcementcount 0 &gt;&gt;C:\Users\stu\Documents\GitHub\eaglep3-reporting\EC\2017-09-01-refined-times.txt</v>
      </c>
      <c r="AI116" s="96" t="str">
        <f t="shared" si="37"/>
        <v>echo {"issue":{"subject":"","project_id":79,"tracker_id":40,"status_id":1,"priority_id":2,"assigned_to_id":338,"start_date":"2017-09-01","description":"","custom_fields":[{"id":1,"name":"Subdivision","value":"EC"},{"id":4,"name":"Milepost","value":"23.3323"},{"id":17,"name":"Train ID","value":"203-01"},{"id":16,"name":"Locomotive ID","value":"4026"},{"id":130,"name":"Impact","value":""},{"id":150,"name":"Time of Event (Mountain Time)","value":"17:06:22"},{"id":151,"name":"Denver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38"/>
        <v>start /low /b %USERPROFILE%\Documents\GitHub\eaglep3\Utilities\DownloadLogsFromS3.py --loco 4026 --day 2017-09-01</v>
      </c>
      <c r="AN116" s="151" t="str">
        <f t="shared" si="39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23:06:22"},{"id":29,"name":"Sharepoint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773</v>
      </c>
      <c r="B117" s="7">
        <v>4025</v>
      </c>
      <c r="C117" s="21" t="s">
        <v>197</v>
      </c>
      <c r="D117" s="21" t="s">
        <v>466</v>
      </c>
      <c r="E117" s="13">
        <v>42979.715740740743</v>
      </c>
      <c r="F117" s="13">
        <v>42979.727280092593</v>
      </c>
      <c r="G117" s="7">
        <v>68</v>
      </c>
      <c r="H117" s="21" t="s">
        <v>365</v>
      </c>
      <c r="I117" s="13">
        <v>42979.754675925928</v>
      </c>
      <c r="J117" s="7">
        <v>0</v>
      </c>
      <c r="K117" s="89" t="str">
        <f t="shared" si="22"/>
        <v>4025/4026</v>
      </c>
      <c r="L117" s="214" t="str">
        <f>VLOOKUP(A117,'Trips&amp;Operators'!$C$1:$G$99911,5,FALSE)</f>
        <v>SAFIEF AEIMEN</v>
      </c>
      <c r="M117" s="6">
        <f t="shared" si="23"/>
        <v>2.7395833334594499E-2</v>
      </c>
      <c r="N117" s="7">
        <f t="shared" si="24"/>
        <v>39.450000001816079</v>
      </c>
      <c r="O117" s="7"/>
      <c r="P117" s="7"/>
      <c r="Q117" s="22"/>
      <c r="R117" s="167" t="s">
        <v>994</v>
      </c>
      <c r="S117" s="210">
        <f t="shared" si="25"/>
        <v>1</v>
      </c>
      <c r="T117" s="192" t="str">
        <f t="shared" si="26"/>
        <v>Southbound</v>
      </c>
      <c r="U117" s="192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3" t="str">
        <f t="shared" si="27"/>
        <v>https://d0f6bd738d7f1b3e5a7ca70fe4ff75f0.us-east-1.aws.found.io/app/kibana#/discover/Steve-Slow-Train-Analysis-(2080s-and-2083s)?_g=(refreshInterval:(display:Off,pause:!f,section:0,value:0),time:(from:'2017-09-01T16:10:40-0600',mode:absolute,to:'2017-09-01T19:06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7" s="194" t="str">
        <f>IF(AA117&lt;VLOOKUP(AG117,Variables!$AC$3:$AD$8,2,FALSE),"Y","N")</f>
        <v>N</v>
      </c>
      <c r="X117" s="194">
        <f t="shared" si="28"/>
        <v>1</v>
      </c>
      <c r="Y117" s="194">
        <f t="shared" si="29"/>
        <v>23.3017</v>
      </c>
      <c r="Z117" s="194">
        <f t="shared" si="30"/>
        <v>1.52E-2</v>
      </c>
      <c r="AA117" s="194">
        <f t="shared" si="31"/>
        <v>23.2865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203">
        <f t="shared" si="32"/>
        <v>204</v>
      </c>
      <c r="AE117" s="77" t="str">
        <f t="shared" si="33"/>
        <v>aws s3 cp s3://rtdc.mdm.uploadarchive.raw/RTDC4025/ "%USERPROFILE%\AppData\Local\Temp\OnboardLogs"\RTDC4025\2017-09-01 --exclude "*" --recursive --include "*20170901*" &amp; "%USERPROFILE%\Documents\GitHub\mrs-test-scripts\Headless Mode &amp; Sideloading\WalkAndUnGZ.bat" "%USERPROFILE%\AppData\Local\Temp\OnboardLogs"\RTDC4025\2017-09-01 &amp; aws s3 cp s3://rtdc.mdm.uploadarchive.raw/RTDC4025/ "%USERPROFILE%\AppData\Local\Temp\OnboardLogs"\RTDC4025\2017-09-02 --exclude "*" --recursive --include "*20170902*" &amp; "%USERPROFILE%\Documents\GitHub\mrs-test-scripts\Headless Mode &amp; Sideloading\WalkAndUnGZ.bat" "%USERPROFILE%\AppData\Local\Temp\OnboardLogs"\RTDC4025\2017-09-02</v>
      </c>
      <c r="AF117" s="74" t="str">
        <f t="shared" si="34"/>
        <v>"C:\Program Files (x86)\AstroGrep\AstroGrep.exe" /e /r /s /spath="%USERPROFILE%\AppData\Local\Temp\OnboardLogs" /stypes="app*4025*20170902*" /stext=" 00:.+((SYSTEM_STATE.+slice.+state.+changed )|(ment ac)|(multiple cpu faults)|(system.+state.+changed )|(\[timeout)|(PRM\|1\|D)|(kpr)|(kdp)|(train st.+moving)|(\|lc)|(penalty))"</v>
      </c>
      <c r="AG117" s="206" t="str">
        <f t="shared" si="35"/>
        <v>EC</v>
      </c>
      <c r="AH117" s="78" t="str">
        <f t="shared" si="36"/>
        <v>"%USERPROFILE%\Documents\GitHub\eaglep3\Utilities\RefineRTDCRunTimes.py" --tripid 204-01 --locoid 4025 --swversion DE.1.0.9.0 --startMP 204:233017 --initTime 2017-09-01T17:10:40 --startdatetime 2017-09-01T17:27:17 --delay 68 --endMP 204:152 --enddatetime 2017-09-01T18:06:44 --enforcementcount 0 &gt;&gt;C:\Users\stu\Documents\GitHub\eaglep3-reporting\EC\2017-09-01-refined-times.txt</v>
      </c>
      <c r="AI117" s="96" t="str">
        <f t="shared" si="37"/>
        <v>echo {"issue":{"subject":"Unhealthy at Chambers due to train stop","project_id":79,"tracker_id":40,"status_id":1,"priority_id":2,"assigned_to_id":338,"start_date":"2017-09-01","description":"","custom_fields":[{"id":1,"name":"Subdivision","value":"EC"},{"id":4,"name":"Milepost","value":"0.0152"},{"id":17,"name":"Train ID","value":"204-01"},{"id":16,"name":"Locomotive ID","value":"4025"},{"id":130,"name":"Impact","value":""},{"id":150,"name":"Time of Event (Mountain Time)","value":"18:06:44"},{"id":151,"name":"Denver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38"/>
        <v>start /low /b %USERPROFILE%\Documents\GitHub\eaglep3\Utilities\DownloadLogsFromS3.py --loco 4025 --day 2017-09-01</v>
      </c>
      <c r="AN117" s="151" t="str">
        <f t="shared" si="39"/>
        <v>echo {"issue":{"subject":"Unhealthy at Chambers due to train stop","project_id":30,"tracker_id":4,"status_id":1,"priority_id":1,"assigned_to_id":10,"start_date":"2017-09-02","description":"","custom_fields":[{"id":30,"name":"Category","value":"Issue"},{"id":3,"name":"Functional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00:06:44"},{"id":29,"name":"Sharepoint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767</v>
      </c>
      <c r="B118" s="7">
        <v>4012</v>
      </c>
      <c r="C118" s="21" t="s">
        <v>197</v>
      </c>
      <c r="D118" s="21" t="s">
        <v>342</v>
      </c>
      <c r="E118" s="13">
        <v>42979.694525462961</v>
      </c>
      <c r="F118" s="13">
        <v>42979.698113425926</v>
      </c>
      <c r="G118" s="7">
        <v>74</v>
      </c>
      <c r="H118" s="21" t="s">
        <v>445</v>
      </c>
      <c r="I118" s="13">
        <v>42979.723009259258</v>
      </c>
      <c r="J118" s="7">
        <v>0</v>
      </c>
      <c r="K118" s="89" t="str">
        <f t="shared" si="22"/>
        <v>4011/4012</v>
      </c>
      <c r="L118" s="214" t="str">
        <f>VLOOKUP(A118,'Trips&amp;Operators'!$C$1:$G$99911,5,FALSE)</f>
        <v>BRUDER RICHARD</v>
      </c>
      <c r="M118" s="6">
        <f t="shared" si="23"/>
        <v>2.4895833332266193E-2</v>
      </c>
      <c r="N118" s="7">
        <f t="shared" si="24"/>
        <v>35.849999998463318</v>
      </c>
      <c r="O118" s="7"/>
      <c r="P118" s="7"/>
      <c r="Q118" s="22"/>
      <c r="R118" s="167"/>
      <c r="S118" s="210">
        <f t="shared" si="25"/>
        <v>1</v>
      </c>
      <c r="T118" s="192" t="str">
        <f t="shared" si="26"/>
        <v>NorthBound</v>
      </c>
      <c r="U118" s="192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3" t="str">
        <f t="shared" si="27"/>
        <v>https://d0f6bd738d7f1b3e5a7ca70fe4ff75f0.us-east-1.aws.found.io/app/kibana#/discover/Steve-Slow-Train-Analysis-(2080s-and-2083s)?_g=(refreshInterval:(display:Off,pause:!f,section:0,value:0),time:(from:'2017-09-01T15:40:07-0600',mode:absolute,to:'2017-09-01T18:21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8" s="194" t="str">
        <f>IF(AA118&lt;VLOOKUP(AG118,Variables!$AC$3:$AD$8,2,FALSE),"Y","N")</f>
        <v>N</v>
      </c>
      <c r="X118" s="194">
        <f t="shared" si="28"/>
        <v>1</v>
      </c>
      <c r="Y118" s="194">
        <f t="shared" si="29"/>
        <v>4.53E-2</v>
      </c>
      <c r="Z118" s="194">
        <f t="shared" si="30"/>
        <v>23.330300000000001</v>
      </c>
      <c r="AA118" s="194">
        <f t="shared" si="31"/>
        <v>23.285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203">
        <f t="shared" si="32"/>
        <v>205</v>
      </c>
      <c r="AE118" s="77" t="str">
        <f t="shared" si="33"/>
        <v>aws s3 cp s3://rtdc.mdm.uploadarchive.raw/RTDC4012/ "%USERPROFILE%\AppData\Local\Temp\OnboardLogs"\RTDC4012\2017-09-01 --exclude "*" --recursive --include "*20170901*" &amp; "%USERPROFILE%\Documents\GitHub\mrs-test-scripts\Headless Mode &amp; Sideloading\WalkAndUnGZ.bat" "%USERPROFILE%\AppData\Local\Temp\OnboardLogs"\RTDC4012\2017-09-01 &amp; aws s3 cp s3://rtdc.mdm.uploadarchive.raw/RTDC4012/ "%USERPROFILE%\AppData\Local\Temp\OnboardLogs"\RTDC4012\2017-09-02 --exclude "*" --recursive --include "*20170902*" &amp; "%USERPROFILE%\Documents\GitHub\mrs-test-scripts\Headless Mode &amp; Sideloading\WalkAndUnGZ.bat" "%USERPROFILE%\AppData\Local\Temp\OnboardLogs"\RTDC4012\2017-09-02</v>
      </c>
      <c r="AF118" s="74" t="str">
        <f t="shared" si="34"/>
        <v>"C:\Program Files (x86)\AstroGrep\AstroGrep.exe" /e /r /s /spath="%USERPROFILE%\AppData\Local\Temp\OnboardLogs" /stypes="app*4012*20170901*" /stext=" 23:.+((SYSTEM_STATE.+slice.+state.+changed )|(ment ac)|(multiple cpu faults)|(system.+state.+changed )|(\[timeout)|(PRM\|1\|D)|(kpr)|(kdp)|(train st.+moving)|(\|lc)|(penalty))"</v>
      </c>
      <c r="AG118" s="206" t="str">
        <f t="shared" si="35"/>
        <v>EC</v>
      </c>
      <c r="AH118" s="78" t="str">
        <f t="shared" si="36"/>
        <v>"%USERPROFILE%\Documents\GitHub\eaglep3\Utilities\RefineRTDCRunTimes.py" --tripid 205-01 --locoid 4012 --swversion DE.1.0.9.0 --startMP 204:453 --initTime 2017-09-01T16:40:07 --startdatetime 2017-09-01T16:45:17 --delay 74 --endMP 204:233303 --enddatetime 2017-09-01T17:21:08 --enforcementcount 0 &gt;&gt;C:\Users\stu\Documents\GitHub\eaglep3-reporting\EC\2017-09-01-refined-times.txt</v>
      </c>
      <c r="AI118" s="96" t="str">
        <f t="shared" si="37"/>
        <v>echo {"issue":{"subject":"","project_id":79,"tracker_id":40,"status_id":1,"priority_id":2,"assigned_to_id":338,"start_date":"2017-09-01","description":"","custom_fields":[{"id":1,"name":"Subdivision","value":"EC"},{"id":4,"name":"Milepost","value":"23.3303"},{"id":17,"name":"Train ID","value":"205-01"},{"id":16,"name":"Locomotive ID","value":"4012"},{"id":130,"name":"Impact","value":""},{"id":150,"name":"Time of Event (Mountain Time)","value":"17:21:08"},{"id":151,"name":"Denver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38"/>
        <v>start /low /b %USERPROFILE%\Documents\GitHub\eaglep3\Utilities\DownloadLogsFromS3.py --loco 4012 --day 2017-09-01</v>
      </c>
      <c r="AN118" s="151" t="str">
        <f t="shared" si="39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23:21:08"},{"id":29,"name":"Sharepoint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778</v>
      </c>
      <c r="B119" s="7">
        <v>4011</v>
      </c>
      <c r="C119" s="21" t="s">
        <v>197</v>
      </c>
      <c r="D119" s="21" t="s">
        <v>394</v>
      </c>
      <c r="E119" s="13">
        <v>42979.734444444446</v>
      </c>
      <c r="F119" s="13">
        <v>42979.737673611111</v>
      </c>
      <c r="G119" s="7">
        <v>61</v>
      </c>
      <c r="H119" s="21" t="s">
        <v>348</v>
      </c>
      <c r="I119" s="13">
        <v>42979.762800925928</v>
      </c>
      <c r="J119" s="7">
        <v>0</v>
      </c>
      <c r="K119" s="89" t="str">
        <f t="shared" si="22"/>
        <v>4011/4012</v>
      </c>
      <c r="L119" s="214" t="str">
        <f>VLOOKUP(A119,'Trips&amp;Operators'!$C$1:$G$99911,5,FALSE)</f>
        <v>BRUDER RICHARD</v>
      </c>
      <c r="M119" s="6">
        <f t="shared" si="23"/>
        <v>2.5127314816927537E-2</v>
      </c>
      <c r="N119" s="7">
        <f t="shared" si="24"/>
        <v>36.183333336375654</v>
      </c>
      <c r="O119" s="7"/>
      <c r="P119" s="7"/>
      <c r="Q119" s="22"/>
      <c r="R119" s="167"/>
      <c r="S119" s="210">
        <f t="shared" si="25"/>
        <v>1</v>
      </c>
      <c r="T119" s="192" t="str">
        <f t="shared" si="26"/>
        <v>Southbound</v>
      </c>
      <c r="U119" s="192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3" t="str">
        <f t="shared" si="27"/>
        <v>https://d0f6bd738d7f1b3e5a7ca70fe4ff75f0.us-east-1.aws.found.io/app/kibana#/discover/Steve-Slow-Train-Analysis-(2080s-and-2083s)?_g=(refreshInterval:(display:Off,pause:!f,section:0,value:0),time:(from:'2017-09-01T16:37:36-0600',mode:absolute,to:'2017-09-01T19:18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9" s="194" t="str">
        <f>IF(AA119&lt;VLOOKUP(AG119,Variables!$AC$3:$AD$8,2,FALSE),"Y","N")</f>
        <v>N</v>
      </c>
      <c r="X119" s="194">
        <f t="shared" si="28"/>
        <v>1</v>
      </c>
      <c r="Y119" s="194">
        <f t="shared" si="29"/>
        <v>23.297999999999998</v>
      </c>
      <c r="Z119" s="194">
        <f t="shared" si="30"/>
        <v>1.54E-2</v>
      </c>
      <c r="AA119" s="194">
        <f t="shared" si="31"/>
        <v>23.282599999999999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203">
        <f t="shared" si="32"/>
        <v>206</v>
      </c>
      <c r="AE119" s="77" t="str">
        <f t="shared" si="33"/>
        <v>aws s3 cp s3://rtdc.mdm.uploadarchive.raw/RTDC4011/ "%USERPROFILE%\AppData\Local\Temp\OnboardLogs"\RTDC4011\2017-09-01 --exclude "*" --recursive --include "*20170901*" &amp; "%USERPROFILE%\Documents\GitHub\mrs-test-scripts\Headless Mode &amp; Sideloading\WalkAndUnGZ.bat" "%USERPROFILE%\AppData\Local\Temp\OnboardLogs"\RTDC4011\2017-09-01 &amp; aws s3 cp s3://rtdc.mdm.uploadarchive.raw/RTDC4011/ "%USERPROFILE%\AppData\Local\Temp\OnboardLogs"\RTDC4011\2017-09-02 --exclude "*" --recursive --include "*20170902*" &amp; "%USERPROFILE%\Documents\GitHub\mrs-test-scripts\Headless Mode &amp; Sideloading\WalkAndUnGZ.bat" "%USERPROFILE%\AppData\Local\Temp\OnboardLogs"\RTDC4011\2017-09-02</v>
      </c>
      <c r="AF119" s="74" t="str">
        <f t="shared" si="34"/>
        <v>"C:\Program Files (x86)\AstroGrep\AstroGrep.exe" /e /r /s /spath="%USERPROFILE%\AppData\Local\Temp\OnboardLogs" /stypes="app*4011*20170902*" /stext=" 00:.+((SYSTEM_STATE.+slice.+state.+changed )|(ment ac)|(multiple cpu faults)|(system.+state.+changed )|(\[timeout)|(PRM\|1\|D)|(kpr)|(kdp)|(train st.+moving)|(\|lc)|(penalty))"</v>
      </c>
      <c r="AG119" s="206" t="str">
        <f t="shared" si="35"/>
        <v>EC</v>
      </c>
      <c r="AH119" s="78" t="str">
        <f t="shared" si="36"/>
        <v>"%USERPROFILE%\Documents\GitHub\eaglep3\Utilities\RefineRTDCRunTimes.py" --tripid 206-01 --locoid 4011 --swversion DE.1.0.9.0 --startMP 204:232980 --initTime 2017-09-01T17:37:36 --startdatetime 2017-09-01T17:42:15 --delay 61 --endMP 204:154 --enddatetime 2017-09-01T18:18:26 --enforcementcount 0 &gt;&gt;C:\Users\stu\Documents\GitHub\eaglep3-reporting\EC\2017-09-01-refined-times.txt</v>
      </c>
      <c r="AI119" s="96" t="str">
        <f t="shared" si="37"/>
        <v>echo {"issue":{"subject":"","project_id":79,"tracker_id":40,"status_id":1,"priority_id":2,"assigned_to_id":338,"start_date":"2017-09-01","description":"","custom_fields":[{"id":1,"name":"Subdivision","value":"EC"},{"id":4,"name":"Milepost","value":"0.0154"},{"id":17,"name":"Train ID","value":"206-01"},{"id":16,"name":"Locomotive ID","value":"4011"},{"id":130,"name":"Impact","value":""},{"id":150,"name":"Time of Event (Mountain Time)","value":"18:18:26"},{"id":151,"name":"Denver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38"/>
        <v>start /low /b %USERPROFILE%\Documents\GitHub\eaglep3\Utilities\DownloadLogsFromS3.py --loco 4011 --day 2017-09-01</v>
      </c>
      <c r="AN119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00:18:26"},{"id":29,"name":"Sharepoint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768</v>
      </c>
      <c r="B120" s="7">
        <v>4006</v>
      </c>
      <c r="C120" s="21" t="s">
        <v>197</v>
      </c>
      <c r="D120" s="21" t="s">
        <v>544</v>
      </c>
      <c r="E120" s="13">
        <v>42979.702905092592</v>
      </c>
      <c r="F120" s="13">
        <v>42979.708622685182</v>
      </c>
      <c r="G120" s="7">
        <v>61</v>
      </c>
      <c r="H120" s="21" t="s">
        <v>408</v>
      </c>
      <c r="I120" s="13">
        <v>42979.733888888892</v>
      </c>
      <c r="J120" s="7">
        <v>0</v>
      </c>
      <c r="K120" s="89" t="str">
        <f t="shared" si="22"/>
        <v>4005/4006</v>
      </c>
      <c r="L120" s="214" t="str">
        <f>VLOOKUP(A120,'Trips&amp;Operators'!$C$1:$G$99911,5,FALSE)</f>
        <v>LEVERE CRAIG</v>
      </c>
      <c r="M120" s="6">
        <f t="shared" si="23"/>
        <v>2.5266203709179536E-2</v>
      </c>
      <c r="N120" s="7">
        <f t="shared" si="24"/>
        <v>36.383333341218531</v>
      </c>
      <c r="O120" s="7"/>
      <c r="P120" s="7"/>
      <c r="Q120" s="22"/>
      <c r="R120" s="167"/>
      <c r="S120" s="210">
        <f t="shared" si="25"/>
        <v>1</v>
      </c>
      <c r="T120" s="192" t="str">
        <f t="shared" si="26"/>
        <v>NorthBound</v>
      </c>
      <c r="U120" s="192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3" t="str">
        <f t="shared" si="27"/>
        <v>https://d0f6bd738d7f1b3e5a7ca70fe4ff75f0.us-east-1.aws.found.io/app/kibana#/discover/Steve-Slow-Train-Analysis-(2080s-and-2083s)?_g=(refreshInterval:(display:Off,pause:!f,section:0,value:0),time:(from:'2017-09-01T15:52:11-0600',mode:absolute,to:'2017-09-01T18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20" s="194" t="str">
        <f>IF(AA120&lt;VLOOKUP(AG120,Variables!$AC$3:$AD$8,2,FALSE),"Y","N")</f>
        <v>N</v>
      </c>
      <c r="X120" s="194">
        <f t="shared" si="28"/>
        <v>1</v>
      </c>
      <c r="Y120" s="194">
        <f t="shared" si="29"/>
        <v>4.9500000000000002E-2</v>
      </c>
      <c r="Z120" s="194">
        <f t="shared" si="30"/>
        <v>23.329699999999999</v>
      </c>
      <c r="AA120" s="194">
        <f t="shared" si="31"/>
        <v>23.280200000000001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203">
        <f t="shared" si="32"/>
        <v>207</v>
      </c>
      <c r="AE120" s="77" t="str">
        <f t="shared" si="33"/>
        <v>aws s3 cp s3://rtdc.mdm.uploadarchive.raw/RTDC4006/ "%USERPROFILE%\AppData\Local\Temp\OnboardLogs"\RTDC4006\2017-09-01 --exclude "*" --recursive --include "*20170901*" &amp; "%USERPROFILE%\Documents\GitHub\mrs-test-scripts\Headless Mode &amp; Sideloading\WalkAndUnGZ.bat" "%USERPROFILE%\AppData\Local\Temp\OnboardLogs"\RTDC4006\2017-09-01 &amp; aws s3 cp s3://rtdc.mdm.uploadarchive.raw/RTDC4006/ "%USERPROFILE%\AppData\Local\Temp\OnboardLogs"\RTDC4006\2017-09-02 --exclude "*" --recursive --include "*20170902*" &amp; "%USERPROFILE%\Documents\GitHub\mrs-test-scripts\Headless Mode &amp; Sideloading\WalkAndUnGZ.bat" "%USERPROFILE%\AppData\Local\Temp\OnboardLogs"\RTDC4006\2017-09-02</v>
      </c>
      <c r="AF120" s="74" t="str">
        <f t="shared" si="34"/>
        <v>"C:\Program Files (x86)\AstroGrep\AstroGrep.exe" /e /r /s /spath="%USERPROFILE%\AppData\Local\Temp\OnboardLogs" /stypes="app*4006*20170901*" /stext=" 23:.+((SYSTEM_STATE.+slice.+state.+changed )|(ment ac)|(multiple cpu faults)|(system.+state.+changed )|(\[timeout)|(PRM\|1\|D)|(kpr)|(kdp)|(train st.+moving)|(\|lc)|(penalty))"</v>
      </c>
      <c r="AG120" s="206" t="str">
        <f t="shared" si="35"/>
        <v>EC</v>
      </c>
      <c r="AH120" s="78" t="str">
        <f t="shared" si="36"/>
        <v>"%USERPROFILE%\Documents\GitHub\eaglep3\Utilities\RefineRTDCRunTimes.py" --tripid 207-01 --locoid 4006 --swversion DE.1.0.9.0 --startMP 204:495 --initTime 2017-09-01T16:52:11 --startdatetime 2017-09-01T17:00:25 --delay 61 --endMP 204:233297 --enddatetime 2017-09-01T17:36:48 --enforcementcount 0 &gt;&gt;C:\Users\stu\Documents\GitHub\eaglep3-reporting\EC\2017-09-01-refined-times.txt</v>
      </c>
      <c r="AI120" s="96" t="str">
        <f t="shared" si="37"/>
        <v>echo {"issue":{"subject":"","project_id":79,"tracker_id":40,"status_id":1,"priority_id":2,"assigned_to_id":338,"start_date":"2017-09-01","description":"","custom_fields":[{"id":1,"name":"Subdivision","value":"EC"},{"id":4,"name":"Milepost","value":"23.3297"},{"id":17,"name":"Train ID","value":"207-01"},{"id":16,"name":"Locomotive ID","value":"4006"},{"id":130,"name":"Impact","value":""},{"id":150,"name":"Time of Event (Mountain Time)","value":"17:36:48"},{"id":151,"name":"Denver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38"/>
        <v>start /low /b %USERPROFILE%\Documents\GitHub\eaglep3\Utilities\DownloadLogsFromS3.py --loco 4006 --day 2017-09-01</v>
      </c>
      <c r="AN120" s="151" t="str">
        <f t="shared" si="39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23:36:48"},{"id":29,"name":"Sharepoint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782</v>
      </c>
      <c r="B121" s="7">
        <v>4005</v>
      </c>
      <c r="C121" s="21" t="s">
        <v>197</v>
      </c>
      <c r="D121" s="21" t="s">
        <v>468</v>
      </c>
      <c r="E121" s="13">
        <v>42979.742824074077</v>
      </c>
      <c r="F121" s="13">
        <v>42979.748148148145</v>
      </c>
      <c r="G121" s="7">
        <v>58</v>
      </c>
      <c r="H121" s="21" t="s">
        <v>338</v>
      </c>
      <c r="I121" s="13">
        <v>42979.774456018517</v>
      </c>
      <c r="J121" s="7">
        <v>0</v>
      </c>
      <c r="K121" s="89" t="str">
        <f t="shared" si="22"/>
        <v>4005/4006</v>
      </c>
      <c r="L121" s="214" t="str">
        <f>VLOOKUP(A121,'Trips&amp;Operators'!$C$1:$G$99911,5,FALSE)</f>
        <v>LEVERE CRAIG</v>
      </c>
      <c r="M121" s="6">
        <f t="shared" si="23"/>
        <v>2.6307870371965691E-2</v>
      </c>
      <c r="N121" s="7">
        <f t="shared" si="24"/>
        <v>37.883333335630596</v>
      </c>
      <c r="O121" s="7"/>
      <c r="P121" s="7"/>
      <c r="Q121" s="22"/>
      <c r="R121" s="167"/>
      <c r="S121" s="210">
        <f t="shared" si="25"/>
        <v>1</v>
      </c>
      <c r="T121" s="192" t="str">
        <f t="shared" si="26"/>
        <v>Southbound</v>
      </c>
      <c r="U121" s="192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3" t="str">
        <f t="shared" si="27"/>
        <v>https://d0f6bd738d7f1b3e5a7ca70fe4ff75f0.us-east-1.aws.found.io/app/kibana#/discover/Steve-Slow-Train-Analysis-(2080s-and-2083s)?_g=(refreshInterval:(display:Off,pause:!f,section:0,value:0),time:(from:'2017-09-01T16:49:40-0600',mode:absolute,to:'2017-09-01T19:35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21" s="194" t="str">
        <f>IF(AA121&lt;VLOOKUP(AG121,Variables!$AC$3:$AD$8,2,FALSE),"Y","N")</f>
        <v>N</v>
      </c>
      <c r="X121" s="194">
        <f t="shared" si="28"/>
        <v>1</v>
      </c>
      <c r="Y121" s="194">
        <f t="shared" si="29"/>
        <v>23.2989</v>
      </c>
      <c r="Z121" s="194">
        <f t="shared" si="30"/>
        <v>1.4999999999999999E-2</v>
      </c>
      <c r="AA121" s="194">
        <f t="shared" si="31"/>
        <v>23.283899999999999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203">
        <f t="shared" si="32"/>
        <v>208</v>
      </c>
      <c r="AE121" s="77" t="str">
        <f t="shared" si="33"/>
        <v>aws s3 cp s3://rtdc.mdm.uploadarchive.raw/RTDC4005/ "%USERPROFILE%\AppData\Local\Temp\OnboardLogs"\RTDC4005\2017-09-01 --exclude "*" --recursive --include "*20170901*" &amp; "%USERPROFILE%\Documents\GitHub\mrs-test-scripts\Headless Mode &amp; Sideloading\WalkAndUnGZ.bat" "%USERPROFILE%\AppData\Local\Temp\OnboardLogs"\RTDC4005\2017-09-01 &amp; aws s3 cp s3://rtdc.mdm.uploadarchive.raw/RTDC4005/ "%USERPROFILE%\AppData\Local\Temp\OnboardLogs"\RTDC4005\2017-09-02 --exclude "*" --recursive --include "*20170902*" &amp; "%USERPROFILE%\Documents\GitHub\mrs-test-scripts\Headless Mode &amp; Sideloading\WalkAndUnGZ.bat" "%USERPROFILE%\AppData\Local\Temp\OnboardLogs"\RTDC4005\2017-09-02</v>
      </c>
      <c r="AF121" s="74" t="str">
        <f t="shared" si="34"/>
        <v>"C:\Program Files (x86)\AstroGrep\AstroGrep.exe" /e /r /s /spath="%USERPROFILE%\AppData\Local\Temp\OnboardLogs" /stypes="app*4005*20170902*" /stext=" 00:.+((SYSTEM_STATE.+slice.+state.+changed )|(ment ac)|(multiple cpu faults)|(system.+state.+changed )|(\[timeout)|(PRM\|1\|D)|(kpr)|(kdp)|(train st.+moving)|(\|lc)|(penalty))"</v>
      </c>
      <c r="AG121" s="206" t="str">
        <f t="shared" si="35"/>
        <v>EC</v>
      </c>
      <c r="AH121" s="78" t="str">
        <f t="shared" si="36"/>
        <v>"%USERPROFILE%\Documents\GitHub\eaglep3\Utilities\RefineRTDCRunTimes.py" --tripid 208-01 --locoid 4005 --swversion DE.1.0.9.0 --startMP 204:232989 --initTime 2017-09-01T17:49:40 --startdatetime 2017-09-01T17:57:20 --delay 58 --endMP 204:150 --enddatetime 2017-09-01T18:35:13 --enforcementcount 0 &gt;&gt;C:\Users\stu\Documents\GitHub\eaglep3-reporting\EC\2017-09-01-refined-times.txt</v>
      </c>
      <c r="AI121" s="96" t="str">
        <f t="shared" si="37"/>
        <v>echo {"issue":{"subject":"","project_id":79,"tracker_id":40,"status_id":1,"priority_id":2,"assigned_to_id":338,"start_date":"2017-09-01","description":"","custom_fields":[{"id":1,"name":"Subdivision","value":"EC"},{"id":4,"name":"Milepost","value":"0.015"},{"id":17,"name":"Train ID","value":"208-01"},{"id":16,"name":"Locomotive ID","value":"4005"},{"id":130,"name":"Impact","value":""},{"id":150,"name":"Time of Event (Mountain Time)","value":"18:35:13"},{"id":151,"name":"Denver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38"/>
        <v>start /low /b %USERPROFILE%\Documents\GitHub\eaglep3\Utilities\DownloadLogsFromS3.py --loco 4005 --day 2017-09-01</v>
      </c>
      <c r="AN121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00:35:13"},{"id":29,"name":"Sharepoint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772</v>
      </c>
      <c r="B122" s="7">
        <v>4040</v>
      </c>
      <c r="C122" s="21" t="s">
        <v>197</v>
      </c>
      <c r="D122" s="21" t="s">
        <v>405</v>
      </c>
      <c r="E122" s="13">
        <v>42979.713761574072</v>
      </c>
      <c r="F122" s="13">
        <v>42979.718900462962</v>
      </c>
      <c r="G122" s="7">
        <v>61</v>
      </c>
      <c r="H122" s="21" t="s">
        <v>842</v>
      </c>
      <c r="I122" s="13">
        <v>42979.744456018518</v>
      </c>
      <c r="J122" s="7">
        <v>0</v>
      </c>
      <c r="K122" s="89" t="str">
        <f t="shared" si="22"/>
        <v>4039/4040</v>
      </c>
      <c r="L122" s="214" t="str">
        <f>VLOOKUP(A122,'Trips&amp;Operators'!$C$1:$G$99911,5,FALSE)</f>
        <v>FORTUNATO FRANK</v>
      </c>
      <c r="M122" s="6">
        <f t="shared" si="23"/>
        <v>2.5555555555911269E-2</v>
      </c>
      <c r="N122" s="7">
        <f t="shared" si="24"/>
        <v>36.800000000512227</v>
      </c>
      <c r="O122" s="7"/>
      <c r="P122" s="7"/>
      <c r="Q122" s="22"/>
      <c r="R122" s="167"/>
      <c r="S122" s="210">
        <f t="shared" si="25"/>
        <v>1</v>
      </c>
      <c r="T122" s="192" t="str">
        <f t="shared" si="26"/>
        <v>NorthBound</v>
      </c>
      <c r="U122" s="192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3" t="str">
        <f t="shared" si="27"/>
        <v>https://d0f6bd738d7f1b3e5a7ca70fe4ff75f0.us-east-1.aws.found.io/app/kibana#/discover/Steve-Slow-Train-Analysis-(2080s-and-2083s)?_g=(refreshInterval:(display:Off,pause:!f,section:0,value:0),time:(from:'2017-09-01T16:07:49-0600',mode:absolute,to:'2017-09-01T18:52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2" s="194" t="str">
        <f>IF(AA122&lt;VLOOKUP(AG122,Variables!$AC$3:$AD$8,2,FALSE),"Y","N")</f>
        <v>N</v>
      </c>
      <c r="X122" s="194">
        <f t="shared" si="28"/>
        <v>1</v>
      </c>
      <c r="Y122" s="194">
        <f t="shared" si="29"/>
        <v>4.6899999999999997E-2</v>
      </c>
      <c r="Z122" s="194">
        <f t="shared" si="30"/>
        <v>23.3307</v>
      </c>
      <c r="AA122" s="194">
        <f t="shared" si="31"/>
        <v>23.283799999999999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203">
        <f t="shared" si="32"/>
        <v>209</v>
      </c>
      <c r="AE122" s="77" t="str">
        <f t="shared" si="33"/>
        <v>aws s3 cp s3://rtdc.mdm.uploadarchive.raw/RTDC4040/ "%USERPROFILE%\AppData\Local\Temp\OnboardLogs"\RTDC4040\2017-09-01 --exclude "*" --recursive --include "*20170901*" &amp; "%USERPROFILE%\Documents\GitHub\mrs-test-scripts\Headless Mode &amp; Sideloading\WalkAndUnGZ.bat" "%USERPROFILE%\AppData\Local\Temp\OnboardLogs"\RTDC4040\2017-09-01 &amp; aws s3 cp s3://rtdc.mdm.uploadarchive.raw/RTDC4040/ "%USERPROFILE%\AppData\Local\Temp\OnboardLogs"\RTDC4040\2017-09-02 --exclude "*" --recursive --include "*20170902*" &amp; "%USERPROFILE%\Documents\GitHub\mrs-test-scripts\Headless Mode &amp; Sideloading\WalkAndUnGZ.bat" "%USERPROFILE%\AppData\Local\Temp\OnboardLogs"\RTDC4040\2017-09-02</v>
      </c>
      <c r="AF122" s="74" t="str">
        <f t="shared" si="34"/>
        <v>"C:\Program Files (x86)\AstroGrep\AstroGrep.exe" /e /r /s /spath="%USERPROFILE%\AppData\Local\Temp\OnboardLogs" /stypes="app*4040*20170901*" /stext=" 23:.+((SYSTEM_STATE.+slice.+state.+changed )|(ment ac)|(multiple cpu faults)|(system.+state.+changed )|(\[timeout)|(PRM\|1\|D)|(kpr)|(kdp)|(train st.+moving)|(\|lc)|(penalty))"</v>
      </c>
      <c r="AG122" s="206" t="str">
        <f t="shared" si="35"/>
        <v>EC</v>
      </c>
      <c r="AH122" s="78" t="str">
        <f t="shared" si="36"/>
        <v>"%USERPROFILE%\Documents\GitHub\eaglep3\Utilities\RefineRTDCRunTimes.py" --tripid 209-01 --locoid 4040 --swversion DE.1.0.9.0 --startMP 204:469 --initTime 2017-09-01T17:07:49 --startdatetime 2017-09-01T17:15:13 --delay 61 --endMP 204:233307 --enddatetime 2017-09-01T17:52:01 --enforcementcount 0 &gt;&gt;C:\Users\stu\Documents\GitHub\eaglep3-reporting\EC\2017-09-01-refined-times.txt</v>
      </c>
      <c r="AI122" s="96" t="str">
        <f t="shared" si="37"/>
        <v>echo {"issue":{"subject":"","project_id":79,"tracker_id":40,"status_id":1,"priority_id":2,"assigned_to_id":338,"start_date":"2017-09-01","description":"","custom_fields":[{"id":1,"name":"Subdivision","value":"EC"},{"id":4,"name":"Milepost","value":"23.3307"},{"id":17,"name":"Train ID","value":"209-01"},{"id":16,"name":"Locomotive ID","value":"4040"},{"id":130,"name":"Impact","value":""},{"id":150,"name":"Time of Event (Mountain Time)","value":"17:52:01"},{"id":151,"name":"Denver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38"/>
        <v>start /low /b %USERPROFILE%\Documents\GitHub\eaglep3\Utilities\DownloadLogsFromS3.py --loco 4040 --day 2017-09-01</v>
      </c>
      <c r="AN122" s="151" t="str">
        <f t="shared" si="39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23:52:01"},{"id":29,"name":"Sharepoint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784</v>
      </c>
      <c r="B123" s="7">
        <v>4039</v>
      </c>
      <c r="C123" s="21" t="s">
        <v>197</v>
      </c>
      <c r="D123" s="21" t="s">
        <v>439</v>
      </c>
      <c r="E123" s="13">
        <v>42979.748090277775</v>
      </c>
      <c r="F123" s="13">
        <v>42979.758981481478</v>
      </c>
      <c r="G123" s="7">
        <v>49</v>
      </c>
      <c r="H123" s="21" t="s">
        <v>372</v>
      </c>
      <c r="I123" s="13">
        <v>42979.784745370373</v>
      </c>
      <c r="J123" s="7">
        <v>0</v>
      </c>
      <c r="K123" s="89" t="str">
        <f t="shared" si="22"/>
        <v>4039/4040</v>
      </c>
      <c r="L123" s="214" t="str">
        <f>VLOOKUP(A123,'Trips&amp;Operators'!$C$1:$G$99911,5,FALSE)</f>
        <v>FORTUNATO FRANK</v>
      </c>
      <c r="M123" s="6">
        <f t="shared" si="23"/>
        <v>2.5763888894289266E-2</v>
      </c>
      <c r="N123" s="7">
        <f t="shared" si="24"/>
        <v>37.100000007776543</v>
      </c>
      <c r="O123" s="7"/>
      <c r="P123" s="7"/>
      <c r="Q123" s="22"/>
      <c r="R123" s="167"/>
      <c r="S123" s="210">
        <f t="shared" si="25"/>
        <v>1</v>
      </c>
      <c r="T123" s="192" t="str">
        <f t="shared" si="26"/>
        <v>Southbound</v>
      </c>
      <c r="U123" s="192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3" t="str">
        <f t="shared" si="27"/>
        <v>https://d0f6bd738d7f1b3e5a7ca70fe4ff75f0.us-east-1.aws.found.io/app/kibana#/discover/Steve-Slow-Train-Analysis-(2080s-and-2083s)?_g=(refreshInterval:(display:Off,pause:!f,section:0,value:0),time:(from:'2017-09-01T16:57:15-0600',mode:absolute,to:'2017-09-01T19:50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3" s="194" t="str">
        <f>IF(AA123&lt;VLOOKUP(AG123,Variables!$AC$3:$AD$8,2,FALSE),"Y","N")</f>
        <v>N</v>
      </c>
      <c r="X123" s="194">
        <f t="shared" si="28"/>
        <v>1</v>
      </c>
      <c r="Y123" s="194">
        <f t="shared" si="29"/>
        <v>23.2988</v>
      </c>
      <c r="Z123" s="194">
        <f t="shared" si="30"/>
        <v>1.4500000000000001E-2</v>
      </c>
      <c r="AA123" s="194">
        <f t="shared" si="31"/>
        <v>23.284299999999998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203">
        <f t="shared" si="32"/>
        <v>210</v>
      </c>
      <c r="AE123" s="77" t="str">
        <f t="shared" si="33"/>
        <v>aws s3 cp s3://rtdc.mdm.uploadarchive.raw/RTDC4039/ "%USERPROFILE%\AppData\Local\Temp\OnboardLogs"\RTDC4039\2017-09-01 --exclude "*" --recursive --include "*20170901*" &amp; "%USERPROFILE%\Documents\GitHub\mrs-test-scripts\Headless Mode &amp; Sideloading\WalkAndUnGZ.bat" "%USERPROFILE%\AppData\Local\Temp\OnboardLogs"\RTDC4039\2017-09-01 &amp; aws s3 cp s3://rtdc.mdm.uploadarchive.raw/RTDC4039/ "%USERPROFILE%\AppData\Local\Temp\OnboardLogs"\RTDC4039\2017-09-02 --exclude "*" --recursive --include "*20170902*" &amp; "%USERPROFILE%\Documents\GitHub\mrs-test-scripts\Headless Mode &amp; Sideloading\WalkAndUnGZ.bat" "%USERPROFILE%\AppData\Local\Temp\OnboardLogs"\RTDC4039\2017-09-02</v>
      </c>
      <c r="AF123" s="74" t="str">
        <f t="shared" si="34"/>
        <v>"C:\Program Files (x86)\AstroGrep\AstroGrep.exe" /e /r /s /spath="%USERPROFILE%\AppData\Local\Temp\OnboardLogs" /stypes="app*4039*20170902*" /stext=" 00:.+((SYSTEM_STATE.+slice.+state.+changed )|(ment ac)|(multiple cpu faults)|(system.+state.+changed )|(\[timeout)|(PRM\|1\|D)|(kpr)|(kdp)|(train st.+moving)|(\|lc)|(penalty))"</v>
      </c>
      <c r="AG123" s="206" t="str">
        <f t="shared" si="35"/>
        <v>EC</v>
      </c>
      <c r="AH123" s="78" t="str">
        <f t="shared" si="36"/>
        <v>"%USERPROFILE%\Documents\GitHub\eaglep3\Utilities\RefineRTDCRunTimes.py" --tripid 210-01 --locoid 4039 --swversion DE.1.0.9.0 --startMP 204:232988 --initTime 2017-09-01T17:57:15 --startdatetime 2017-09-01T18:12:56 --delay 49 --endMP 204:145 --enddatetime 2017-09-01T18:50:02 --enforcementcount 0 &gt;&gt;C:\Users\stu\Documents\GitHub\eaglep3-reporting\EC\2017-09-01-refined-times.txt</v>
      </c>
      <c r="AI123" s="96" t="str">
        <f t="shared" si="37"/>
        <v>echo {"issue":{"subject":"","project_id":79,"tracker_id":40,"status_id":1,"priority_id":2,"assigned_to_id":338,"start_date":"2017-09-01","description":"","custom_fields":[{"id":1,"name":"Subdivision","value":"EC"},{"id":4,"name":"Milepost","value":"0.0145"},{"id":17,"name":"Train ID","value":"210-01"},{"id":16,"name":"Locomotive ID","value":"4039"},{"id":130,"name":"Impact","value":""},{"id":150,"name":"Time of Event (Mountain Time)","value":"18:50:02"},{"id":151,"name":"Denver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38"/>
        <v>start /low /b %USERPROFILE%\Documents\GitHub\eaglep3\Utilities\DownloadLogsFromS3.py --loco 4039 --day 2017-09-01</v>
      </c>
      <c r="AN123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00:50:02"},{"id":29,"name":"Sharepoint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774</v>
      </c>
      <c r="B124" s="7">
        <v>4024</v>
      </c>
      <c r="C124" s="21" t="s">
        <v>197</v>
      </c>
      <c r="D124" s="21" t="s">
        <v>490</v>
      </c>
      <c r="E124" s="13">
        <v>42979.724131944444</v>
      </c>
      <c r="F124" s="13">
        <v>42979.768935185188</v>
      </c>
      <c r="G124" s="7">
        <v>50</v>
      </c>
      <c r="H124" s="21" t="s">
        <v>865</v>
      </c>
      <c r="I124" s="13">
        <v>42979.794756944444</v>
      </c>
      <c r="J124" s="7">
        <v>0</v>
      </c>
      <c r="K124" s="89" t="str">
        <f t="shared" si="22"/>
        <v>4023/4024</v>
      </c>
      <c r="L124" s="214" t="str">
        <f>VLOOKUP(A124,'Trips&amp;Operators'!$C$1:$G$99911,5,FALSE)</f>
        <v>LEVIN SCOTT</v>
      </c>
      <c r="M124" s="6">
        <f t="shared" si="23"/>
        <v>2.5821759256359655E-2</v>
      </c>
      <c r="N124" s="7">
        <f t="shared" si="24"/>
        <v>37.183333329157904</v>
      </c>
      <c r="O124" s="7"/>
      <c r="P124" s="7"/>
      <c r="Q124" s="22"/>
      <c r="R124" s="167"/>
      <c r="S124" s="210">
        <f t="shared" si="25"/>
        <v>1</v>
      </c>
      <c r="T124" s="192" t="str">
        <f t="shared" si="26"/>
        <v>NorthBound</v>
      </c>
      <c r="U124" s="192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3" t="str">
        <f t="shared" si="27"/>
        <v>https://d0f6bd738d7f1b3e5a7ca70fe4ff75f0.us-east-1.aws.found.io/app/kibana#/discover/Steve-Slow-Train-Analysis-(2080s-and-2083s)?_g=(refreshInterval:(display:Off,pause:!f,section:0,value:0),time:(from:'2017-09-01T16:22:45-0600',mode:absolute,to:'2017-09-01T20:04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24" s="194" t="str">
        <f>IF(AA124&lt;VLOOKUP(AG124,Variables!$AC$3:$AD$8,2,FALSE),"Y","N")</f>
        <v>N</v>
      </c>
      <c r="X124" s="194">
        <f t="shared" si="28"/>
        <v>1</v>
      </c>
      <c r="Y124" s="194">
        <f t="shared" si="29"/>
        <v>4.5999999999999999E-2</v>
      </c>
      <c r="Z124" s="194">
        <f t="shared" si="30"/>
        <v>23.334</v>
      </c>
      <c r="AA124" s="194">
        <f t="shared" si="31"/>
        <v>23.288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203">
        <f t="shared" si="32"/>
        <v>211</v>
      </c>
      <c r="AE124" s="77" t="str">
        <f t="shared" si="33"/>
        <v>aws s3 cp s3://rtdc.mdm.uploadarchive.raw/RTDC4024/ "%USERPROFILE%\AppData\Local\Temp\OnboardLogs"\RTDC4024\2017-09-01 --exclude "*" --recursive --include "*20170901*" &amp; "%USERPROFILE%\Documents\GitHub\mrs-test-scripts\Headless Mode &amp; Sideloading\WalkAndUnGZ.bat" "%USERPROFILE%\AppData\Local\Temp\OnboardLogs"\RTDC4024\2017-09-01 &amp; aws s3 cp s3://rtdc.mdm.uploadarchive.raw/RTDC4024/ "%USERPROFILE%\AppData\Local\Temp\OnboardLogs"\RTDC4024\2017-09-02 --exclude "*" --recursive --include "*20170902*" &amp; "%USERPROFILE%\Documents\GitHub\mrs-test-scripts\Headless Mode &amp; Sideloading\WalkAndUnGZ.bat" "%USERPROFILE%\AppData\Local\Temp\OnboardLogs"\RTDC4024\2017-09-02</v>
      </c>
      <c r="AF124" s="74" t="str">
        <f t="shared" si="34"/>
        <v>"C:\Program Files (x86)\AstroGrep\AstroGrep.exe" /e /r /s /spath="%USERPROFILE%\AppData\Local\Temp\OnboardLogs" /stypes="app*4024*20170902*" /stext=" 01:.+((SYSTEM_STATE.+slice.+state.+changed )|(ment ac)|(multiple cpu faults)|(system.+state.+changed )|(\[timeout)|(PRM\|1\|D)|(kpr)|(kdp)|(train st.+moving)|(\|lc)|(penalty))"</v>
      </c>
      <c r="AG124" s="206" t="str">
        <f t="shared" si="35"/>
        <v>EC</v>
      </c>
      <c r="AH124" s="78" t="str">
        <f t="shared" si="36"/>
        <v>"%USERPROFILE%\Documents\GitHub\eaglep3\Utilities\RefineRTDCRunTimes.py" --tripid 211-01 --locoid 4024 --swversion DE.1.0.9.0 --startMP 204:460 --initTime 2017-09-01T17:22:45 --startdatetime 2017-09-01T18:27:16 --delay 50 --endMP 204:233340 --enddatetime 2017-09-01T19:04:27 --enforcementcount 0 &gt;&gt;C:\Users\stu\Documents\GitHub\eaglep3-reporting\EC\2017-09-01-refined-times.txt</v>
      </c>
      <c r="AI124" s="96" t="str">
        <f t="shared" si="37"/>
        <v>echo {"issue":{"subject":"","project_id":79,"tracker_id":40,"status_id":1,"priority_id":2,"assigned_to_id":338,"start_date":"2017-09-01","description":"","custom_fields":[{"id":1,"name":"Subdivision","value":"EC"},{"id":4,"name":"Milepost","value":"23.334"},{"id":17,"name":"Train ID","value":"211-01"},{"id":16,"name":"Locomotive ID","value":"4024"},{"id":130,"name":"Impact","value":""},{"id":150,"name":"Time of Event (Mountain Time)","value":"19:04:27"},{"id":151,"name":"Denver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38"/>
        <v>start /low /b %USERPROFILE%\Documents\GitHub\eaglep3\Utilities\DownloadLogsFromS3.py --loco 4024 --day 2017-09-01</v>
      </c>
      <c r="AN124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01:04:27"},{"id":29,"name":"Sharepoint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786</v>
      </c>
      <c r="B125" s="7">
        <v>4023</v>
      </c>
      <c r="C125" s="21" t="s">
        <v>197</v>
      </c>
      <c r="D125" s="21" t="s">
        <v>871</v>
      </c>
      <c r="E125" s="13">
        <v>42979.764918981484</v>
      </c>
      <c r="F125" s="13">
        <v>42979.768935185188</v>
      </c>
      <c r="G125" s="7">
        <v>56</v>
      </c>
      <c r="H125" s="21" t="s">
        <v>872</v>
      </c>
      <c r="I125" s="13">
        <v>42979.794756944444</v>
      </c>
      <c r="J125" s="7">
        <v>0</v>
      </c>
      <c r="K125" s="89" t="str">
        <f t="shared" si="22"/>
        <v>4023/4024</v>
      </c>
      <c r="L125" s="214" t="str">
        <f>VLOOKUP(A125,'Trips&amp;Operators'!$C$1:$G$99911,5,FALSE)</f>
        <v>LEVIN SCOTT</v>
      </c>
      <c r="M125" s="6">
        <f t="shared" si="23"/>
        <v>2.5821759256359655E-2</v>
      </c>
      <c r="N125" s="7">
        <f t="shared" si="24"/>
        <v>37.183333329157904</v>
      </c>
      <c r="O125" s="7"/>
      <c r="P125" s="7"/>
      <c r="Q125" s="22"/>
      <c r="R125" s="167"/>
      <c r="S125" s="210">
        <f t="shared" si="25"/>
        <v>1</v>
      </c>
      <c r="T125" s="192" t="str">
        <f t="shared" si="26"/>
        <v>Southbound</v>
      </c>
      <c r="U125" s="192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3" t="str">
        <f t="shared" si="27"/>
        <v>https://d0f6bd738d7f1b3e5a7ca70fe4ff75f0.us-east-1.aws.found.io/app/kibana#/discover/Steve-Slow-Train-Analysis-(2080s-and-2083s)?_g=(refreshInterval:(display:Off,pause:!f,section:0,value:0),time:(from:'2017-09-01T17:21:29-0600',mode:absolute,to:'2017-09-01T20:04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25" s="194" t="str">
        <f>IF(AA125&lt;VLOOKUP(AG125,Variables!$AC$3:$AD$8,2,FALSE),"Y","N")</f>
        <v>N</v>
      </c>
      <c r="X125" s="194">
        <f t="shared" si="28"/>
        <v>1</v>
      </c>
      <c r="Y125" s="194">
        <f t="shared" si="29"/>
        <v>23.3032</v>
      </c>
      <c r="Z125" s="194">
        <f t="shared" si="30"/>
        <v>1.2800000000000001E-2</v>
      </c>
      <c r="AA125" s="194">
        <f t="shared" si="31"/>
        <v>23.290400000000002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203">
        <f t="shared" si="32"/>
        <v>212</v>
      </c>
      <c r="AE125" s="77" t="str">
        <f t="shared" si="33"/>
        <v>aws s3 cp s3://rtdc.mdm.uploadarchive.raw/RTDC4023/ "%USERPROFILE%\AppData\Local\Temp\OnboardLogs"\RTDC4023\2017-09-01 --exclude "*" --recursive --include "*20170901*" &amp; "%USERPROFILE%\Documents\GitHub\mrs-test-scripts\Headless Mode &amp; Sideloading\WalkAndUnGZ.bat" "%USERPROFILE%\AppData\Local\Temp\OnboardLogs"\RTDC4023\2017-09-01 &amp; aws s3 cp s3://rtdc.mdm.uploadarchive.raw/RTDC4023/ "%USERPROFILE%\AppData\Local\Temp\OnboardLogs"\RTDC4023\2017-09-02 --exclude "*" --recursive --include "*20170902*" &amp; "%USERPROFILE%\Documents\GitHub\mrs-test-scripts\Headless Mode &amp; Sideloading\WalkAndUnGZ.bat" "%USERPROFILE%\AppData\Local\Temp\OnboardLogs"\RTDC4023\2017-09-02</v>
      </c>
      <c r="AF125" s="74" t="str">
        <f t="shared" si="34"/>
        <v>"C:\Program Files (x86)\AstroGrep\AstroGrep.exe" /e /r /s /spath="%USERPROFILE%\AppData\Local\Temp\OnboardLogs" /stypes="app*4023*20170902*" /stext=" 01:.+((SYSTEM_STATE.+slice.+state.+changed )|(ment ac)|(multiple cpu faults)|(system.+state.+changed )|(\[timeout)|(PRM\|1\|D)|(kpr)|(kdp)|(train st.+moving)|(\|lc)|(penalty))"</v>
      </c>
      <c r="AG125" s="206" t="str">
        <f t="shared" si="35"/>
        <v>EC</v>
      </c>
      <c r="AH125" s="78" t="str">
        <f t="shared" si="36"/>
        <v>"%USERPROFILE%\Documents\GitHub\eaglep3\Utilities\RefineRTDCRunTimes.py" --tripid 212-01 --locoid 4023 --swversion DE.1.0.9.0 --startMP 204:233032 --initTime 2017-09-01T18:21:29 --startdatetime 2017-09-01T18:27:16 --delay 56 --endMP 204:128 --enddatetime 2017-09-01T19:04:27 --enforcementcount 0 &gt;&gt;C:\Users\stu\Documents\GitHub\eaglep3-reporting\EC\2017-09-01-refined-times.txt</v>
      </c>
      <c r="AI125" s="96" t="str">
        <f t="shared" si="37"/>
        <v>echo {"issue":{"subject":"","project_id":79,"tracker_id":40,"status_id":1,"priority_id":2,"assigned_to_id":338,"start_date":"2017-09-01","description":"","custom_fields":[{"id":1,"name":"Subdivision","value":"EC"},{"id":4,"name":"Milepost","value":"0.0128"},{"id":17,"name":"Train ID","value":"212-01"},{"id":16,"name":"Locomotive ID","value":"4023"},{"id":130,"name":"Impact","value":""},{"id":150,"name":"Time of Event (Mountain Time)","value":"19:04:27"},{"id":151,"name":"Denver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38"/>
        <v>start /low /b %USERPROFILE%\Documents\GitHub\eaglep3\Utilities\DownloadLogsFromS3.py --loco 4023 --day 2017-09-01</v>
      </c>
      <c r="AN125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01:04:27"},{"id":29,"name":"Sharepoint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609</v>
      </c>
      <c r="B126" s="7">
        <v>4020</v>
      </c>
      <c r="C126" s="21" t="s">
        <v>197</v>
      </c>
      <c r="D126" s="21" t="s">
        <v>447</v>
      </c>
      <c r="E126" s="13">
        <v>42979.734953703701</v>
      </c>
      <c r="F126" s="13">
        <v>42979.739930555559</v>
      </c>
      <c r="G126" s="7">
        <v>72</v>
      </c>
      <c r="H126" s="21" t="s">
        <v>873</v>
      </c>
      <c r="I126" s="13">
        <v>42979.763124999998</v>
      </c>
      <c r="J126" s="7">
        <v>0</v>
      </c>
      <c r="K126" s="89" t="str">
        <f t="shared" si="22"/>
        <v>4019/4020</v>
      </c>
      <c r="L126" s="214" t="str">
        <f>VLOOKUP(A126,'Trips&amp;Operators'!$C$1:$G$99911,5,FALSE)</f>
        <v>YANG JAN</v>
      </c>
      <c r="M126" s="6">
        <f t="shared" si="23"/>
        <v>2.3194444438559003E-2</v>
      </c>
      <c r="N126" s="7"/>
      <c r="O126" s="7"/>
      <c r="P126" s="7">
        <f t="shared" si="24"/>
        <v>33.399999991524965</v>
      </c>
      <c r="Q126" s="22"/>
      <c r="R126" s="167" t="s">
        <v>988</v>
      </c>
      <c r="S126" s="210">
        <f t="shared" si="25"/>
        <v>1</v>
      </c>
      <c r="T126" s="192" t="str">
        <f t="shared" si="26"/>
        <v>NorthBound</v>
      </c>
      <c r="U126" s="192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3" t="str">
        <f t="shared" si="27"/>
        <v>https://d0f6bd738d7f1b3e5a7ca70fe4ff75f0.us-east-1.aws.found.io/app/kibana#/discover/Steve-Slow-Train-Analysis-(2080s-and-2083s)?_g=(refreshInterval:(display:Off,pause:!f,section:0,value:0),time:(from:'2017-09-01T16:38:20-0600',mode:absolute,to:'2017-09-01T19:18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6" s="194" t="str">
        <f>IF(AA126&lt;VLOOKUP(AG126,Variables!$AC$3:$AD$8,2,FALSE),"Y","N")</f>
        <v>Y</v>
      </c>
      <c r="X126" s="194">
        <f t="shared" si="28"/>
        <v>1</v>
      </c>
      <c r="Y126" s="194">
        <f t="shared" si="29"/>
        <v>4.3700000000000003E-2</v>
      </c>
      <c r="Z126" s="194">
        <f t="shared" si="30"/>
        <v>21.788799999999998</v>
      </c>
      <c r="AA126" s="194">
        <f t="shared" si="31"/>
        <v>21.745099999999997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203">
        <f t="shared" si="32"/>
        <v>213</v>
      </c>
      <c r="AE126" s="77" t="str">
        <f t="shared" si="33"/>
        <v>aws s3 cp s3://rtdc.mdm.uploadarchive.raw/RTDC4020/ "%USERPROFILE%\AppData\Local\Temp\OnboardLogs"\RTDC4020\2017-09-01 --exclude "*" --recursive --include "*20170901*" &amp; "%USERPROFILE%\Documents\GitHub\mrs-test-scripts\Headless Mode &amp; Sideloading\WalkAndUnGZ.bat" "%USERPROFILE%\AppData\Local\Temp\OnboardLogs"\RTDC4020\2017-09-01 &amp; aws s3 cp s3://rtdc.mdm.uploadarchive.raw/RTDC4020/ "%USERPROFILE%\AppData\Local\Temp\OnboardLogs"\RTDC4020\2017-09-02 --exclude "*" --recursive --include "*20170902*" &amp; "%USERPROFILE%\Documents\GitHub\mrs-test-scripts\Headless Mode &amp; Sideloading\WalkAndUnGZ.bat" "%USERPROFILE%\AppData\Local\Temp\OnboardLogs"\RTDC4020\2017-09-02</v>
      </c>
      <c r="AF126" s="74" t="str">
        <f t="shared" si="34"/>
        <v>"C:\Program Files (x86)\AstroGrep\AstroGrep.exe" /e /r /s /spath="%USERPROFILE%\AppData\Local\Temp\OnboardLogs" /stypes="app*4020*20170902*" /stext=" 00:.+((SYSTEM_STATE.+slice.+state.+changed )|(ment ac)|(multiple cpu faults)|(system.+state.+changed )|(\[timeout)|(PRM\|1\|D)|(kpr)|(kdp)|(train st.+moving)|(\|lc)|(penalty))"</v>
      </c>
      <c r="AG126" s="206" t="str">
        <f t="shared" si="35"/>
        <v>EC</v>
      </c>
      <c r="AH126" s="78" t="str">
        <f t="shared" si="36"/>
        <v>"%USERPROFILE%\Documents\GitHub\eaglep3\Utilities\RefineRTDCRunTimes.py" --tripid 213-01 --locoid 4020 --swversion DE.1.0.9.0 --startMP 204:437 --initTime 2017-09-01T17:38:20 --startdatetime 2017-09-01T17:45:30 --delay 72 --endMP 204:217888 --enddatetime 2017-09-01T18:18:54 --enforcementcount 0 &gt;&gt;C:\Users\stu\Documents\GitHub\eaglep3-reporting\EC\2017-09-01-refined-times.txt</v>
      </c>
      <c r="AI126" s="96" t="str">
        <f t="shared" si="37"/>
        <v>echo {"issue":{"subject":"Wi-MAX data drop","project_id":79,"tracker_id":40,"status_id":1,"priority_id":2,"assigned_to_id":338,"start_date":"2017-09-01","description":"","custom_fields":[{"id":1,"name":"Subdivision","value":"EC"},{"id":4,"name":"Milepost","value":"21.7888"},{"id":17,"name":"Train ID","value":"213-01"},{"id":16,"name":"Locomotive ID","value":"4020"},{"id":130,"name":"Impact","value":""},{"id":150,"name":"Time of Event (Mountain Time)","value":"18:18:54"},{"id":151,"name":"Denver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38"/>
        <v>start /low /b %USERPROFILE%\Documents\GitHub\eaglep3\Utilities\DownloadLogsFromS3.py --loco 4020 --day 2017-09-01</v>
      </c>
      <c r="AN126" s="151" t="str">
        <f t="shared" si="39"/>
        <v>echo {"issue":{"subject":"Wi-MAX data drop","project_id":30,"tracker_id":4,"status_id":1,"priority_id":1,"assigned_to_id":10,"start_date":"2017-09-02","description":"","custom_fields":[{"id":30,"name":"Category","value":"Issue"},{"id":3,"name":"Functional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00:18:54"},{"id":29,"name":"Sharepoint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790</v>
      </c>
      <c r="B127" s="7">
        <v>4019</v>
      </c>
      <c r="C127" s="21" t="s">
        <v>197</v>
      </c>
      <c r="D127" s="21" t="s">
        <v>559</v>
      </c>
      <c r="E127" s="13">
        <v>42979.775370370371</v>
      </c>
      <c r="F127" s="13">
        <v>42979.791863425926</v>
      </c>
      <c r="G127" s="7">
        <v>60</v>
      </c>
      <c r="H127" s="21" t="s">
        <v>559</v>
      </c>
      <c r="I127" s="13">
        <v>42979.808472222219</v>
      </c>
      <c r="J127" s="7">
        <v>0</v>
      </c>
      <c r="K127" s="89" t="str">
        <f t="shared" si="22"/>
        <v>4019/4020</v>
      </c>
      <c r="L127" s="214" t="str">
        <f>VLOOKUP(A127,'Trips&amp;Operators'!$C$1:$G$99911,5,FALSE)</f>
        <v>YANG JAN</v>
      </c>
      <c r="M127" s="6">
        <f t="shared" si="23"/>
        <v>1.6608796293439809E-2</v>
      </c>
      <c r="N127" s="7"/>
      <c r="O127" s="7"/>
      <c r="P127" s="7">
        <f t="shared" si="24"/>
        <v>23.916666662553325</v>
      </c>
      <c r="Q127" s="22"/>
      <c r="R127" s="167" t="s">
        <v>989</v>
      </c>
      <c r="S127" s="210">
        <f>1/IF(AG127="EC",12,1)*SUM(U127:U128)</f>
        <v>1</v>
      </c>
      <c r="T127" s="192" t="str">
        <f t="shared" si="26"/>
        <v>Southbound</v>
      </c>
      <c r="U127" s="192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0</v>
      </c>
      <c r="V127" s="193" t="str">
        <f t="shared" si="27"/>
        <v>https://d0f6bd738d7f1b3e5a7ca70fe4ff75f0.us-east-1.aws.found.io/app/kibana#/discover/Steve-Slow-Train-Analysis-(2080s-and-2083s)?_g=(refreshInterval:(display:Off,pause:!f,section:0,value:0),time:(from:'2017-09-01T17:36:32-0600',mode:absolute,to:'2017-09-01T20:24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7" s="194" t="str">
        <f>IF(AA127&lt;VLOOKUP(AG127,Variables!$AC$3:$AD$8,2,FALSE),"Y","N")</f>
        <v>Y</v>
      </c>
      <c r="X127" s="194">
        <f t="shared" si="28"/>
        <v>1</v>
      </c>
      <c r="Y127" s="194">
        <f t="shared" si="29"/>
        <v>23.3005</v>
      </c>
      <c r="Z127" s="194">
        <f t="shared" si="30"/>
        <v>23.3005</v>
      </c>
      <c r="AA127" s="194">
        <f t="shared" si="31"/>
        <v>0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203">
        <f t="shared" si="32"/>
        <v>214</v>
      </c>
      <c r="AE127" s="77" t="str">
        <f t="shared" si="33"/>
        <v>aws s3 cp s3://rtdc.mdm.uploadarchive.raw/RTDC4019/ "%USERPROFILE%\AppData\Local\Temp\OnboardLogs"\RTDC4019\2017-09-01 --exclude "*" --recursive --include "*20170901*" &amp; "%USERPROFILE%\Documents\GitHub\mrs-test-scripts\Headless Mode &amp; Sideloading\WalkAndUnGZ.bat" "%USERPROFILE%\AppData\Local\Temp\OnboardLogs"\RTDC4019\2017-09-01 &amp; aws s3 cp s3://rtdc.mdm.uploadarchive.raw/RTDC4019/ "%USERPROFILE%\AppData\Local\Temp\OnboardLogs"\RTDC4019\2017-09-02 --exclude "*" --recursive --include "*20170902*" &amp; "%USERPROFILE%\Documents\GitHub\mrs-test-scripts\Headless Mode &amp; Sideloading\WalkAndUnGZ.bat" "%USERPROFILE%\AppData\Local\Temp\OnboardLogs"\RTDC4019\2017-09-02</v>
      </c>
      <c r="AF127" s="74" t="str">
        <f t="shared" si="34"/>
        <v>"C:\Program Files (x86)\AstroGrep\AstroGrep.exe" /e /r /s /spath="%USERPROFILE%\AppData\Local\Temp\OnboardLogs" /stypes="app*4019*20170902*" /stext=" 01:.+((SYSTEM_STATE.+slice.+state.+changed )|(ment ac)|(multiple cpu faults)|(system.+state.+changed )|(\[timeout)|(PRM\|1\|D)|(kpr)|(kdp)|(train st.+moving)|(\|lc)|(penalty))"</v>
      </c>
      <c r="AG127" s="206" t="str">
        <f t="shared" si="35"/>
        <v>EC</v>
      </c>
      <c r="AH127" s="78" t="str">
        <f t="shared" si="36"/>
        <v>"%USERPROFILE%\Documents\GitHub\eaglep3\Utilities\RefineRTDCRunTimes.py" --tripid 214-01 --locoid 4019 --swversion DE.1.0.9.0 --startMP 204:233005 --initTime 2017-09-01T18:36:32 --startdatetime 2017-09-01T19:00:17 --delay 60 --endMP 204:233005 --enddatetime 2017-09-01T19:24:12 --enforcementcount 0 &gt;&gt;C:\Users\stu\Documents\GitHub\eaglep3-reporting\EC\2017-09-01-refined-times.txt</v>
      </c>
      <c r="AI127" s="96" t="str">
        <f t="shared" si="37"/>
        <v>echo {"issue":{"subject":"Onboard in-route failure","project_id":79,"tracker_id":40,"status_id":1,"priority_id":2,"assigned_to_id":338,"start_date":"2017-09-01","description":"","custom_fields":[{"id":1,"name":"Subdivision","value":"EC"},{"id":4,"name":"Milepost","value":"23.3005"},{"id":17,"name":"Train ID","value":"214-01"},{"id":16,"name":"Locomotive ID","value":"4019"},{"id":130,"name":"Impact","value":""},{"id":150,"name":"Time of Event (Mountain Time)","value":"19:24:12"},{"id":151,"name":"Denver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38"/>
        <v>start /low /b %USERPROFILE%\Documents\GitHub\eaglep3\Utilities\DownloadLogsFromS3.py --loco 4019 --day 2017-09-01</v>
      </c>
      <c r="AN127" s="151" t="str">
        <f t="shared" si="39"/>
        <v>echo {"issue":{"subject":"Onboard in-route failure","project_id":30,"tracker_id":4,"status_id":1,"priority_id":1,"assigned_to_id":10,"start_date":"2017-09-02","description":"","custom_fields":[{"id":30,"name":"Category","value":"Issue"},{"id":3,"name":"Functional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01:24:12"},{"id":29,"name":"Sharepoint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790</v>
      </c>
      <c r="B128" s="7">
        <v>4019</v>
      </c>
      <c r="C128" s="21" t="s">
        <v>197</v>
      </c>
      <c r="D128" s="21" t="s">
        <v>874</v>
      </c>
      <c r="E128" s="13">
        <v>42979.790069444447</v>
      </c>
      <c r="F128" s="13">
        <v>42979.791863425926</v>
      </c>
      <c r="G128" s="7">
        <v>95</v>
      </c>
      <c r="H128" s="21" t="s">
        <v>365</v>
      </c>
      <c r="I128" s="13">
        <v>42979.808472222219</v>
      </c>
      <c r="J128" s="7">
        <v>0</v>
      </c>
      <c r="K128" s="89" t="str">
        <f t="shared" si="22"/>
        <v>4019/4020</v>
      </c>
      <c r="L128" s="214" t="str">
        <f>VLOOKUP(A128,'Trips&amp;Operators'!$C$1:$G$99911,5,FALSE)</f>
        <v>YANG JAN</v>
      </c>
      <c r="M128" s="6">
        <f t="shared" si="23"/>
        <v>1.6608796293439809E-2</v>
      </c>
      <c r="N128" s="7"/>
      <c r="O128" s="7"/>
      <c r="P128" s="7"/>
      <c r="Q128" s="22"/>
      <c r="R128" s="167"/>
      <c r="S128" s="210"/>
      <c r="T128" s="192" t="str">
        <f t="shared" si="26"/>
        <v>Southbound</v>
      </c>
      <c r="U128" s="192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3" t="str">
        <f t="shared" si="27"/>
        <v>https://d0f6bd738d7f1b3e5a7ca70fe4ff75f0.us-east-1.aws.found.io/app/kibana#/discover/Steve-Slow-Train-Analysis-(2080s-and-2083s)?_g=(refreshInterval:(display:Off,pause:!f,section:0,value:0),time:(from:'2017-09-01T17:57:42-0600',mode:absolute,to:'2017-09-01T20:24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8" s="194" t="str">
        <f>IF(AA128&lt;VLOOKUP(AG128,Variables!$AC$3:$AD$8,2,FALSE),"Y","N")</f>
        <v>Y</v>
      </c>
      <c r="X128" s="194">
        <f t="shared" si="28"/>
        <v>0</v>
      </c>
      <c r="Y128" s="194">
        <f t="shared" si="29"/>
        <v>12.786300000000001</v>
      </c>
      <c r="Z128" s="194">
        <f t="shared" si="30"/>
        <v>1.52E-2</v>
      </c>
      <c r="AA128" s="194">
        <f t="shared" si="31"/>
        <v>12.771100000000001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203">
        <f t="shared" si="32"/>
        <v>214</v>
      </c>
      <c r="AE128" s="77" t="str">
        <f t="shared" si="33"/>
        <v>aws s3 cp s3://rtdc.mdm.uploadarchive.raw/RTDC4019/ "%USERPROFILE%\AppData\Local\Temp\OnboardLogs"\RTDC4019\2017-09-01 --exclude "*" --recursive --include "*20170901*" &amp; "%USERPROFILE%\Documents\GitHub\mrs-test-scripts\Headless Mode &amp; Sideloading\WalkAndUnGZ.bat" "%USERPROFILE%\AppData\Local\Temp\OnboardLogs"\RTDC4019\2017-09-01 &amp; aws s3 cp s3://rtdc.mdm.uploadarchive.raw/RTDC4019/ "%USERPROFILE%\AppData\Local\Temp\OnboardLogs"\RTDC4019\2017-09-02 --exclude "*" --recursive --include "*20170902*" &amp; "%USERPROFILE%\Documents\GitHub\mrs-test-scripts\Headless Mode &amp; Sideloading\WalkAndUnGZ.bat" "%USERPROFILE%\AppData\Local\Temp\OnboardLogs"\RTDC4019\2017-09-02</v>
      </c>
      <c r="AF128" s="74" t="str">
        <f t="shared" si="34"/>
        <v>"C:\Program Files (x86)\AstroGrep\AstroGrep.exe" /e /r /s /spath="%USERPROFILE%\AppData\Local\Temp\OnboardLogs" /stypes="app*4019*20170902*" /stext=" 01:.+((SYSTEM_STATE.+slice.+state.+changed )|(ment ac)|(multiple cpu faults)|(system.+state.+changed )|(\[timeout)|(PRM\|1\|D)|(kpr)|(kdp)|(train st.+moving)|(\|lc)|(penalty))"</v>
      </c>
      <c r="AG128" s="206" t="str">
        <f t="shared" si="35"/>
        <v>EC</v>
      </c>
      <c r="AH128" s="78" t="str">
        <f t="shared" si="36"/>
        <v>"%USERPROFILE%\Documents\GitHub\eaglep3\Utilities\RefineRTDCRunTimes.py" --tripid 214-01 --locoid 4019 --swversion DE.1.0.9.0 --startMP 204:127863 --initTime 2017-09-01T18:57:42 --startdatetime 2017-09-01T19:00:17 --delay 95 --endMP 204:152 --enddatetime 2017-09-01T19:24:12 --enforcementcount 0 &gt;&gt;C:\Users\stu\Documents\GitHub\eaglep3-reporting\EC\2017-09-01-refined-times.txt</v>
      </c>
      <c r="AI128" s="96" t="str">
        <f t="shared" si="37"/>
        <v>echo {"issue":{"subject":"","project_id":79,"tracker_id":40,"status_id":1,"priority_id":2,"assigned_to_id":338,"start_date":"2017-09-01","description":"","custom_fields":[{"id":1,"name":"Subdivision","value":"EC"},{"id":4,"name":"Milepost","value":"0.0152"},{"id":17,"name":"Train ID","value":"214-01"},{"id":16,"name":"Locomotive ID","value":"4019"},{"id":130,"name":"Impact","value":""},{"id":150,"name":"Time of Event (Mountain Time)","value":"19:24:12"},{"id":151,"name":"Denver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38"/>
        <v>start /low /b %USERPROFILE%\Documents\GitHub\eaglep3\Utilities\DownloadLogsFromS3.py --loco 4019 --day 2017-09-01</v>
      </c>
      <c r="AN128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01:24:12"},{"id":29,"name":"Sharepoint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783</v>
      </c>
      <c r="B129" s="7">
        <v>4058</v>
      </c>
      <c r="C129" s="21" t="s">
        <v>197</v>
      </c>
      <c r="D129" s="21" t="s">
        <v>355</v>
      </c>
      <c r="E129" s="13">
        <v>42979.747384259259</v>
      </c>
      <c r="F129" s="13">
        <v>42979.750162037039</v>
      </c>
      <c r="G129" s="7">
        <v>53</v>
      </c>
      <c r="H129" s="21" t="s">
        <v>868</v>
      </c>
      <c r="I129" s="13">
        <v>42979.774363425924</v>
      </c>
      <c r="J129" s="7">
        <v>0</v>
      </c>
      <c r="K129" s="89" t="str">
        <f t="shared" si="22"/>
        <v>4057/4058</v>
      </c>
      <c r="L129" s="214" t="str">
        <f>VLOOKUP(A129,'Trips&amp;Operators'!$C$1:$G$99911,5,FALSE)</f>
        <v>HOLCOMB KAMDEN</v>
      </c>
      <c r="M129" s="6">
        <f t="shared" si="23"/>
        <v>2.4201388885558117E-2</v>
      </c>
      <c r="N129" s="7">
        <f t="shared" si="24"/>
        <v>34.849999995203689</v>
      </c>
      <c r="O129" s="7"/>
      <c r="P129" s="7"/>
      <c r="Q129" s="22"/>
      <c r="R129" s="167"/>
      <c r="S129" s="210">
        <f t="shared" si="25"/>
        <v>1</v>
      </c>
      <c r="T129" s="192" t="str">
        <f t="shared" si="26"/>
        <v>NorthBound</v>
      </c>
      <c r="U129" s="192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3" t="str">
        <f t="shared" si="27"/>
        <v>https://d0f6bd738d7f1b3e5a7ca70fe4ff75f0.us-east-1.aws.found.io/app/kibana#/discover/Steve-Slow-Train-Analysis-(2080s-and-2083s)?_g=(refreshInterval:(display:Off,pause:!f,section:0,value:0),time:(from:'2017-09-01T16:56:14-0600',mode:absolute,to:'2017-09-01T19:35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29" s="194" t="str">
        <f>IF(AA129&lt;VLOOKUP(AG129,Variables!$AC$3:$AD$8,2,FALSE),"Y","N")</f>
        <v>N</v>
      </c>
      <c r="X129" s="194">
        <f t="shared" si="28"/>
        <v>1</v>
      </c>
      <c r="Y129" s="194">
        <f t="shared" si="29"/>
        <v>4.5499999999999999E-2</v>
      </c>
      <c r="Z129" s="194">
        <f t="shared" si="30"/>
        <v>23.331900000000001</v>
      </c>
      <c r="AA129" s="194">
        <f t="shared" si="31"/>
        <v>23.2864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203">
        <f t="shared" si="32"/>
        <v>215</v>
      </c>
      <c r="AE129" s="77" t="str">
        <f t="shared" si="33"/>
        <v>aws s3 cp s3://rtdc.mdm.uploadarchive.raw/RTDC4058/ "%USERPROFILE%\AppData\Local\Temp\OnboardLogs"\RTDC4058\2017-09-01 --exclude "*" --recursive --include "*20170901*" &amp; "%USERPROFILE%\Documents\GitHub\mrs-test-scripts\Headless Mode &amp; Sideloading\WalkAndUnGZ.bat" "%USERPROFILE%\AppData\Local\Temp\OnboardLogs"\RTDC4058\2017-09-01 &amp; aws s3 cp s3://rtdc.mdm.uploadarchive.raw/RTDC4058/ "%USERPROFILE%\AppData\Local\Temp\OnboardLogs"\RTDC4058\2017-09-02 --exclude "*" --recursive --include "*20170902*" &amp; "%USERPROFILE%\Documents\GitHub\mrs-test-scripts\Headless Mode &amp; Sideloading\WalkAndUnGZ.bat" "%USERPROFILE%\AppData\Local\Temp\OnboardLogs"\RTDC4058\2017-09-02</v>
      </c>
      <c r="AF129" s="74" t="str">
        <f t="shared" si="34"/>
        <v>"C:\Program Files (x86)\AstroGrep\AstroGrep.exe" /e /r /s /spath="%USERPROFILE%\AppData\Local\Temp\OnboardLogs" /stypes="app*4058*20170902*" /stext=" 00:.+((SYSTEM_STATE.+slice.+state.+changed )|(ment ac)|(multiple cpu faults)|(system.+state.+changed )|(\[timeout)|(PRM\|1\|D)|(kpr)|(kdp)|(train st.+moving)|(\|lc)|(penalty))"</v>
      </c>
      <c r="AG129" s="206" t="str">
        <f t="shared" si="35"/>
        <v>EC</v>
      </c>
      <c r="AH129" s="78" t="str">
        <f t="shared" si="36"/>
        <v>"%USERPROFILE%\Documents\GitHub\eaglep3\Utilities\RefineRTDCRunTimes.py" --tripid 215-01 --locoid 4058 --swversion DE.1.0.9.0 --startMP 204:455 --initTime 2017-09-01T17:56:14 --startdatetime 2017-09-01T18:00:14 --delay 53 --endMP 204:233319 --enddatetime 2017-09-01T18:35:05 --enforcementcount 0 &gt;&gt;C:\Users\stu\Documents\GitHub\eaglep3-reporting\EC\2017-09-01-refined-times.txt</v>
      </c>
      <c r="AI129" s="96" t="str">
        <f t="shared" si="37"/>
        <v>echo {"issue":{"subject":"","project_id":79,"tracker_id":40,"status_id":1,"priority_id":2,"assigned_to_id":338,"start_date":"2017-09-01","description":"","custom_fields":[{"id":1,"name":"Subdivision","value":"EC"},{"id":4,"name":"Milepost","value":"23.3319"},{"id":17,"name":"Train ID","value":"215-01"},{"id":16,"name":"Locomotive ID","value":"4058"},{"id":130,"name":"Impact","value":""},{"id":150,"name":"Time of Event (Mountain Time)","value":"18:35:05"},{"id":151,"name":"Denver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38"/>
        <v>start /low /b %USERPROFILE%\Documents\GitHub\eaglep3\Utilities\DownloadLogsFromS3.py --loco 4058 --day 2017-09-01</v>
      </c>
      <c r="AN129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00:35:05"},{"id":29,"name":"Sharepoint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792</v>
      </c>
      <c r="B130" s="7">
        <v>4057</v>
      </c>
      <c r="C130" s="21" t="s">
        <v>197</v>
      </c>
      <c r="D130" s="21" t="s">
        <v>468</v>
      </c>
      <c r="E130" s="13">
        <v>42979.78496527778</v>
      </c>
      <c r="F130" s="13">
        <v>42979.789756944447</v>
      </c>
      <c r="G130" s="7">
        <v>72</v>
      </c>
      <c r="H130" s="21" t="s">
        <v>373</v>
      </c>
      <c r="I130" s="13">
        <v>42979.815300925926</v>
      </c>
      <c r="J130" s="7">
        <v>0</v>
      </c>
      <c r="K130" s="89" t="str">
        <f t="shared" si="22"/>
        <v>4057/4058</v>
      </c>
      <c r="L130" s="214" t="str">
        <f>VLOOKUP(A130,'Trips&amp;Operators'!$C$1:$G$99911,5,FALSE)</f>
        <v>HOLCOMB KAMDEN</v>
      </c>
      <c r="M130" s="6">
        <f t="shared" si="23"/>
        <v>2.5543981479131617E-2</v>
      </c>
      <c r="N130" s="7">
        <f t="shared" si="24"/>
        <v>36.783333329949528</v>
      </c>
      <c r="O130" s="7"/>
      <c r="P130" s="7"/>
      <c r="Q130" s="22"/>
      <c r="R130" s="167"/>
      <c r="S130" s="210">
        <f t="shared" si="25"/>
        <v>1</v>
      </c>
      <c r="T130" s="192" t="str">
        <f t="shared" si="26"/>
        <v>Southbound</v>
      </c>
      <c r="U130" s="192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3" t="str">
        <f t="shared" si="27"/>
        <v>https://d0f6bd738d7f1b3e5a7ca70fe4ff75f0.us-east-1.aws.found.io/app/kibana#/discover/Steve-Slow-Train-Analysis-(2080s-and-2083s)?_g=(refreshInterval:(display:Off,pause:!f,section:0,value:0),time:(from:'2017-09-01T17:50:21-0600',mode:absolute,to:'2017-09-01T20:34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30" s="194" t="str">
        <f>IF(AA130&lt;VLOOKUP(AG130,Variables!$AC$3:$AD$8,2,FALSE),"Y","N")</f>
        <v>N</v>
      </c>
      <c r="X130" s="194">
        <f t="shared" si="28"/>
        <v>1</v>
      </c>
      <c r="Y130" s="194">
        <f t="shared" si="29"/>
        <v>23.2989</v>
      </c>
      <c r="Z130" s="194">
        <f t="shared" si="30"/>
        <v>1.38E-2</v>
      </c>
      <c r="AA130" s="194">
        <f t="shared" si="31"/>
        <v>23.2851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203">
        <f t="shared" si="32"/>
        <v>216</v>
      </c>
      <c r="AE130" s="77" t="str">
        <f t="shared" si="33"/>
        <v>aws s3 cp s3://rtdc.mdm.uploadarchive.raw/RTDC4057/ "%USERPROFILE%\AppData\Local\Temp\OnboardLogs"\RTDC4057\2017-09-01 --exclude "*" --recursive --include "*20170901*" &amp; "%USERPROFILE%\Documents\GitHub\mrs-test-scripts\Headless Mode &amp; Sideloading\WalkAndUnGZ.bat" "%USERPROFILE%\AppData\Local\Temp\OnboardLogs"\RTDC4057\2017-09-01 &amp; aws s3 cp s3://rtdc.mdm.uploadarchive.raw/RTDC4057/ "%USERPROFILE%\AppData\Local\Temp\OnboardLogs"\RTDC4057\2017-09-02 --exclude "*" --recursive --include "*20170902*" &amp; "%USERPROFILE%\Documents\GitHub\mrs-test-scripts\Headless Mode &amp; Sideloading\WalkAndUnGZ.bat" "%USERPROFILE%\AppData\Local\Temp\OnboardLogs"\RTDC4057\2017-09-02</v>
      </c>
      <c r="AF130" s="74" t="str">
        <f t="shared" si="34"/>
        <v>"C:\Program Files (x86)\AstroGrep\AstroGrep.exe" /e /r /s /spath="%USERPROFILE%\AppData\Local\Temp\OnboardLogs" /stypes="app*4057*20170902*" /stext=" 01:.+((SYSTEM_STATE.+slice.+state.+changed )|(ment ac)|(multiple cpu faults)|(system.+state.+changed )|(\[timeout)|(PRM\|1\|D)|(kpr)|(kdp)|(train st.+moving)|(\|lc)|(penalty))"</v>
      </c>
      <c r="AG130" s="206" t="str">
        <f t="shared" si="35"/>
        <v>EC</v>
      </c>
      <c r="AH130" s="78" t="str">
        <f t="shared" si="36"/>
        <v>"%USERPROFILE%\Documents\GitHub\eaglep3\Utilities\RefineRTDCRunTimes.py" --tripid 216-01 --locoid 4057 --swversion DE.1.0.9.0 --startMP 204:232989 --initTime 2017-09-01T18:50:21 --startdatetime 2017-09-01T18:57:15 --delay 72 --endMP 204:138 --enddatetime 2017-09-01T19:34:02 --enforcementcount 0 &gt;&gt;C:\Users\stu\Documents\GitHub\eaglep3-reporting\EC\2017-09-01-refined-times.txt</v>
      </c>
      <c r="AI130" s="96" t="str">
        <f t="shared" si="37"/>
        <v>echo {"issue":{"subject":"","project_id":79,"tracker_id":40,"status_id":1,"priority_id":2,"assigned_to_id":338,"start_date":"2017-09-01","description":"","custom_fields":[{"id":1,"name":"Subdivision","value":"EC"},{"id":4,"name":"Milepost","value":"0.0138"},{"id":17,"name":"Train ID","value":"216-01"},{"id":16,"name":"Locomotive ID","value":"4057"},{"id":130,"name":"Impact","value":""},{"id":150,"name":"Time of Event (Mountain Time)","value":"19:34:02"},{"id":151,"name":"Denver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38"/>
        <v>start /low /b %USERPROFILE%\Documents\GitHub\eaglep3\Utilities\DownloadLogsFromS3.py --loco 4057 --day 2017-09-01</v>
      </c>
      <c r="AN130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01:34:02"},{"id":29,"name":"Sharepoint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610</v>
      </c>
      <c r="B131" s="7">
        <v>4026</v>
      </c>
      <c r="C131" s="21" t="s">
        <v>197</v>
      </c>
      <c r="D131" s="21" t="s">
        <v>377</v>
      </c>
      <c r="E131" s="13">
        <v>42979.756550925929</v>
      </c>
      <c r="F131" s="13">
        <v>42979.760798611111</v>
      </c>
      <c r="G131" s="7">
        <v>87</v>
      </c>
      <c r="H131" s="21" t="s">
        <v>875</v>
      </c>
      <c r="I131" s="13">
        <v>42979.786469907405</v>
      </c>
      <c r="J131" s="7">
        <v>0</v>
      </c>
      <c r="K131" s="89" t="str">
        <f t="shared" si="22"/>
        <v>4025/4026</v>
      </c>
      <c r="L131" s="214" t="str">
        <f>VLOOKUP(A131,'Trips&amp;Operators'!$C$1:$G$99911,5,FALSE)</f>
        <v>PERKINS DARREN</v>
      </c>
      <c r="M131" s="6">
        <f t="shared" si="23"/>
        <v>2.5671296294603962E-2</v>
      </c>
      <c r="N131" s="7">
        <f t="shared" si="24"/>
        <v>36.966666664229706</v>
      </c>
      <c r="O131" s="7"/>
      <c r="P131" s="7"/>
      <c r="Q131" s="22"/>
      <c r="R131" s="167"/>
      <c r="S131" s="210">
        <f t="shared" si="25"/>
        <v>1</v>
      </c>
      <c r="T131" s="192" t="str">
        <f t="shared" si="26"/>
        <v>NorthBound</v>
      </c>
      <c r="U131" s="192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3" t="str">
        <f t="shared" si="27"/>
        <v>https://d0f6bd738d7f1b3e5a7ca70fe4ff75f0.us-east-1.aws.found.io/app/kibana#/discover/Steve-Slow-Train-Analysis-(2080s-and-2083s)?_g=(refreshInterval:(display:Off,pause:!f,section:0,value:0),time:(from:'2017-09-01T17:09:26-0600',mode:absolute,to:'2017-09-01T19:52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1" s="194" t="str">
        <f>IF(AA131&lt;VLOOKUP(AG131,Variables!$AC$3:$AD$8,2,FALSE),"Y","N")</f>
        <v>N</v>
      </c>
      <c r="X131" s="194">
        <f t="shared" si="28"/>
        <v>1</v>
      </c>
      <c r="Y131" s="194">
        <f t="shared" si="29"/>
        <v>4.4400000000000002E-2</v>
      </c>
      <c r="Z131" s="194">
        <f t="shared" si="30"/>
        <v>23.339700000000001</v>
      </c>
      <c r="AA131" s="194">
        <f t="shared" si="31"/>
        <v>23.295300000000001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203">
        <f t="shared" si="32"/>
        <v>217</v>
      </c>
      <c r="AE131" s="77" t="str">
        <f t="shared" si="33"/>
        <v>aws s3 cp s3://rtdc.mdm.uploadarchive.raw/RTDC4026/ "%USERPROFILE%\AppData\Local\Temp\OnboardLogs"\RTDC4026\2017-09-01 --exclude "*" --recursive --include "*20170901*" &amp; "%USERPROFILE%\Documents\GitHub\mrs-test-scripts\Headless Mode &amp; Sideloading\WalkAndUnGZ.bat" "%USERPROFILE%\AppData\Local\Temp\OnboardLogs"\RTDC4026\2017-09-01 &amp; aws s3 cp s3://rtdc.mdm.uploadarchive.raw/RTDC4026/ "%USERPROFILE%\AppData\Local\Temp\OnboardLogs"\RTDC4026\2017-09-02 --exclude "*" --recursive --include "*20170902*" &amp; "%USERPROFILE%\Documents\GitHub\mrs-test-scripts\Headless Mode &amp; Sideloading\WalkAndUnGZ.bat" "%USERPROFILE%\AppData\Local\Temp\OnboardLogs"\RTDC4026\2017-09-02</v>
      </c>
      <c r="AF131" s="74" t="str">
        <f t="shared" si="34"/>
        <v>"C:\Program Files (x86)\AstroGrep\AstroGrep.exe" /e /r /s /spath="%USERPROFILE%\AppData\Local\Temp\OnboardLogs" /stypes="app*4026*20170902*" /stext=" 00:.+((SYSTEM_STATE.+slice.+state.+changed )|(ment ac)|(multiple cpu faults)|(system.+state.+changed )|(\[timeout)|(PRM\|1\|D)|(kpr)|(kdp)|(train st.+moving)|(\|lc)|(penalty))"</v>
      </c>
      <c r="AG131" s="206" t="str">
        <f t="shared" si="35"/>
        <v>EC</v>
      </c>
      <c r="AH131" s="78" t="str">
        <f t="shared" si="36"/>
        <v>"%USERPROFILE%\Documents\GitHub\eaglep3\Utilities\RefineRTDCRunTimes.py" --tripid 217-01 --locoid 4026 --swversion DE.1.0.9.0 --startMP 204:444 --initTime 2017-09-01T18:09:26 --startdatetime 2017-09-01T18:15:33 --delay 87 --endMP 204:233397 --enddatetime 2017-09-01T18:52:31 --enforcementcount 0 &gt;&gt;C:\Users\stu\Documents\GitHub\eaglep3-reporting\EC\2017-09-01-refined-times.txt</v>
      </c>
      <c r="AI131" s="96" t="str">
        <f t="shared" si="37"/>
        <v>echo {"issue":{"subject":"","project_id":79,"tracker_id":40,"status_id":1,"priority_id":2,"assigned_to_id":338,"start_date":"2017-09-01","description":"","custom_fields":[{"id":1,"name":"Subdivision","value":"EC"},{"id":4,"name":"Milepost","value":"23.3397"},{"id":17,"name":"Train ID","value":"217-01"},{"id":16,"name":"Locomotive ID","value":"4026"},{"id":130,"name":"Impact","value":""},{"id":150,"name":"Time of Event (Mountain Time)","value":"18:52:31"},{"id":151,"name":"Denver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38"/>
        <v>start /low /b %USERPROFILE%\Documents\GitHub\eaglep3\Utilities\DownloadLogsFromS3.py --loco 4026 --day 2017-09-01</v>
      </c>
      <c r="AN131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00:52:31"},{"id":29,"name":"Sharepoint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795</v>
      </c>
      <c r="B132" s="7">
        <v>4025</v>
      </c>
      <c r="C132" s="21" t="s">
        <v>197</v>
      </c>
      <c r="D132" s="21" t="s">
        <v>876</v>
      </c>
      <c r="E132" s="13">
        <v>42979.794432870367</v>
      </c>
      <c r="F132" s="13">
        <v>42979.800798611112</v>
      </c>
      <c r="G132" s="7">
        <v>93</v>
      </c>
      <c r="H132" s="21" t="s">
        <v>465</v>
      </c>
      <c r="I132" s="13">
        <v>42979.826689814814</v>
      </c>
      <c r="J132" s="7">
        <v>0</v>
      </c>
      <c r="K132" s="89" t="str">
        <f t="shared" si="22"/>
        <v>4025/4026</v>
      </c>
      <c r="L132" s="214" t="str">
        <f>VLOOKUP(A132,'Trips&amp;Operators'!$C$1:$G$99911,5,FALSE)</f>
        <v>PERKINS DARREN</v>
      </c>
      <c r="M132" s="6">
        <f t="shared" si="23"/>
        <v>2.5891203702485655E-2</v>
      </c>
      <c r="N132" s="7">
        <f t="shared" si="24"/>
        <v>37.283333331579342</v>
      </c>
      <c r="O132" s="7"/>
      <c r="P132" s="7"/>
      <c r="Q132" s="22"/>
      <c r="R132" s="167"/>
      <c r="S132" s="210">
        <f t="shared" si="25"/>
        <v>1</v>
      </c>
      <c r="T132" s="192" t="str">
        <f t="shared" si="26"/>
        <v>Southbound</v>
      </c>
      <c r="U132" s="192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3" t="str">
        <f t="shared" si="27"/>
        <v>https://d0f6bd738d7f1b3e5a7ca70fe4ff75f0.us-east-1.aws.found.io/app/kibana#/discover/Steve-Slow-Train-Analysis-(2080s-and-2083s)?_g=(refreshInterval:(display:Off,pause:!f,section:0,value:0),time:(from:'2017-09-01T18:03:59-0600',mode:absolute,to:'2017-09-01T20:50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2" s="194" t="str">
        <f>IF(AA132&lt;VLOOKUP(AG132,Variables!$AC$3:$AD$8,2,FALSE),"Y","N")</f>
        <v>N</v>
      </c>
      <c r="X132" s="194">
        <f t="shared" si="28"/>
        <v>1</v>
      </c>
      <c r="Y132" s="194">
        <f t="shared" si="29"/>
        <v>23.3065</v>
      </c>
      <c r="Z132" s="194">
        <f t="shared" si="30"/>
        <v>1.32E-2</v>
      </c>
      <c r="AA132" s="194">
        <f t="shared" si="31"/>
        <v>23.293299999999999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203">
        <f t="shared" si="32"/>
        <v>218</v>
      </c>
      <c r="AE132" s="77" t="str">
        <f t="shared" si="33"/>
        <v>aws s3 cp s3://rtdc.mdm.uploadarchive.raw/RTDC4025/ "%USERPROFILE%\AppData\Local\Temp\OnboardLogs"\RTDC4025\2017-09-01 --exclude "*" --recursive --include "*20170901*" &amp; "%USERPROFILE%\Documents\GitHub\mrs-test-scripts\Headless Mode &amp; Sideloading\WalkAndUnGZ.bat" "%USERPROFILE%\AppData\Local\Temp\OnboardLogs"\RTDC4025\2017-09-01 &amp; aws s3 cp s3://rtdc.mdm.uploadarchive.raw/RTDC4025/ "%USERPROFILE%\AppData\Local\Temp\OnboardLogs"\RTDC4025\2017-09-02 --exclude "*" --recursive --include "*20170902*" &amp; "%USERPROFILE%\Documents\GitHub\mrs-test-scripts\Headless Mode &amp; Sideloading\WalkAndUnGZ.bat" "%USERPROFILE%\AppData\Local\Temp\OnboardLogs"\RTDC4025\2017-09-02</v>
      </c>
      <c r="AF132" s="74" t="str">
        <f t="shared" si="34"/>
        <v>"C:\Program Files (x86)\AstroGrep\AstroGrep.exe" /e /r /s /spath="%USERPROFILE%\AppData\Local\Temp\OnboardLogs" /stypes="app*4025*20170902*" /stext=" 01:.+((SYSTEM_STATE.+slice.+state.+changed )|(ment ac)|(multiple cpu faults)|(system.+state.+changed )|(\[timeout)|(PRM\|1\|D)|(kpr)|(kdp)|(train st.+moving)|(\|lc)|(penalty))"</v>
      </c>
      <c r="AG132" s="206" t="str">
        <f t="shared" si="35"/>
        <v>EC</v>
      </c>
      <c r="AH132" s="78" t="str">
        <f t="shared" si="36"/>
        <v>"%USERPROFILE%\Documents\GitHub\eaglep3\Utilities\RefineRTDCRunTimes.py" --tripid 218-01 --locoid 4025 --swversion DE.1.0.9.0 --startMP 204:233065 --initTime 2017-09-01T19:03:59 --startdatetime 2017-09-01T19:13:09 --delay 93 --endMP 204:132 --enddatetime 2017-09-01T19:50:26 --enforcementcount 0 &gt;&gt;C:\Users\stu\Documents\GitHub\eaglep3-reporting\EC\2017-09-01-refined-times.txt</v>
      </c>
      <c r="AI132" s="96" t="str">
        <f t="shared" si="37"/>
        <v>echo {"issue":{"subject":"","project_id":79,"tracker_id":40,"status_id":1,"priority_id":2,"assigned_to_id":338,"start_date":"2017-09-01","description":"","custom_fields":[{"id":1,"name":"Subdivision","value":"EC"},{"id":4,"name":"Milepost","value":"0.0132"},{"id":17,"name":"Train ID","value":"218-01"},{"id":16,"name":"Locomotive ID","value":"4025"},{"id":130,"name":"Impact","value":""},{"id":150,"name":"Time of Event (Mountain Time)","value":"19:50:26"},{"id":151,"name":"Denver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38"/>
        <v>start /low /b %USERPROFILE%\Documents\GitHub\eaglep3\Utilities\DownloadLogsFromS3.py --loco 4025 --day 2017-09-01</v>
      </c>
      <c r="AN132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01:50:26"},{"id":29,"name":"Sharepoint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787</v>
      </c>
      <c r="B133" s="7">
        <v>4012</v>
      </c>
      <c r="C133" s="21" t="s">
        <v>197</v>
      </c>
      <c r="D133" s="21" t="s">
        <v>341</v>
      </c>
      <c r="E133" s="13">
        <v>42979.766377314816</v>
      </c>
      <c r="F133" s="13">
        <v>42979.771122685182</v>
      </c>
      <c r="G133" s="7">
        <v>126</v>
      </c>
      <c r="H133" s="21" t="s">
        <v>407</v>
      </c>
      <c r="I133" s="13">
        <v>42979.796446759261</v>
      </c>
      <c r="J133" s="7">
        <v>0</v>
      </c>
      <c r="K133" s="89" t="str">
        <f t="shared" si="22"/>
        <v>4011/4012</v>
      </c>
      <c r="L133" s="214" t="str">
        <f>VLOOKUP(A133,'Trips&amp;Operators'!$C$1:$G$99911,5,FALSE)</f>
        <v>NICHOLSON WESLEY</v>
      </c>
      <c r="M133" s="6">
        <f t="shared" si="23"/>
        <v>2.5324074078525882E-2</v>
      </c>
      <c r="N133" s="7">
        <f t="shared" si="24"/>
        <v>36.46666667307727</v>
      </c>
      <c r="O133" s="7"/>
      <c r="P133" s="7"/>
      <c r="Q133" s="22"/>
      <c r="R133" s="167"/>
      <c r="S133" s="210">
        <f t="shared" si="25"/>
        <v>1</v>
      </c>
      <c r="T133" s="192" t="str">
        <f t="shared" si="26"/>
        <v>NorthBound</v>
      </c>
      <c r="U133" s="192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3" t="str">
        <f t="shared" si="27"/>
        <v>https://d0f6bd738d7f1b3e5a7ca70fe4ff75f0.us-east-1.aws.found.io/app/kibana#/discover/Steve-Slow-Train-Analysis-(2080s-and-2083s)?_g=(refreshInterval:(display:Off,pause:!f,section:0,value:0),time:(from:'2017-09-01T17:23:35-0600',mode:absolute,to:'2017-09-01T20:06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3" s="194" t="str">
        <f>IF(AA133&lt;VLOOKUP(AG133,Variables!$AC$3:$AD$8,2,FALSE),"Y","N")</f>
        <v>N</v>
      </c>
      <c r="X133" s="194">
        <f t="shared" si="28"/>
        <v>1</v>
      </c>
      <c r="Y133" s="194">
        <f t="shared" si="29"/>
        <v>4.5100000000000001E-2</v>
      </c>
      <c r="Z133" s="194">
        <f t="shared" si="30"/>
        <v>23.3323</v>
      </c>
      <c r="AA133" s="194">
        <f t="shared" si="31"/>
        <v>23.287199999999999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203">
        <f t="shared" si="32"/>
        <v>219</v>
      </c>
      <c r="AE133" s="77" t="str">
        <f t="shared" si="33"/>
        <v>aws s3 cp s3://rtdc.mdm.uploadarchive.raw/RTDC4012/ "%USERPROFILE%\AppData\Local\Temp\OnboardLogs"\RTDC4012\2017-09-01 --exclude "*" --recursive --include "*20170901*" &amp; "%USERPROFILE%\Documents\GitHub\mrs-test-scripts\Headless Mode &amp; Sideloading\WalkAndUnGZ.bat" "%USERPROFILE%\AppData\Local\Temp\OnboardLogs"\RTDC4012\2017-09-01 &amp; aws s3 cp s3://rtdc.mdm.uploadarchive.raw/RTDC4012/ "%USERPROFILE%\AppData\Local\Temp\OnboardLogs"\RTDC4012\2017-09-02 --exclude "*" --recursive --include "*20170902*" &amp; "%USERPROFILE%\Documents\GitHub\mrs-test-scripts\Headless Mode &amp; Sideloading\WalkAndUnGZ.bat" "%USERPROFILE%\AppData\Local\Temp\OnboardLogs"\RTDC4012\2017-09-02</v>
      </c>
      <c r="AF133" s="74" t="str">
        <f t="shared" si="34"/>
        <v>"C:\Program Files (x86)\AstroGrep\AstroGrep.exe" /e /r /s /spath="%USERPROFILE%\AppData\Local\Temp\OnboardLogs" /stypes="app*4012*20170902*" /stext=" 01:.+((SYSTEM_STATE.+slice.+state.+changed )|(ment ac)|(multiple cpu faults)|(system.+state.+changed )|(\[timeout)|(PRM\|1\|D)|(kpr)|(kdp)|(train st.+moving)|(\|lc)|(penalty))"</v>
      </c>
      <c r="AG133" s="206" t="str">
        <f t="shared" si="35"/>
        <v>EC</v>
      </c>
      <c r="AH133" s="78" t="str">
        <f t="shared" si="36"/>
        <v>"%USERPROFILE%\Documents\GitHub\eaglep3\Utilities\RefineRTDCRunTimes.py" --tripid 219-01 --locoid 4012 --swversion DE.1.0.9.0 --startMP 204:451 --initTime 2017-09-01T18:23:35 --startdatetime 2017-09-01T18:30:25 --delay 126 --endMP 204:233323 --enddatetime 2017-09-01T19:06:53 --enforcementcount 0 &gt;&gt;C:\Users\stu\Documents\GitHub\eaglep3-reporting\EC\2017-09-01-refined-times.txt</v>
      </c>
      <c r="AI133" s="96" t="str">
        <f t="shared" si="37"/>
        <v>echo {"issue":{"subject":"","project_id":79,"tracker_id":40,"status_id":1,"priority_id":2,"assigned_to_id":338,"start_date":"2017-09-01","description":"","custom_fields":[{"id":1,"name":"Subdivision","value":"EC"},{"id":4,"name":"Milepost","value":"23.3323"},{"id":17,"name":"Train ID","value":"219-01"},{"id":16,"name":"Locomotive ID","value":"4012"},{"id":130,"name":"Impact","value":""},{"id":150,"name":"Time of Event (Mountain Time)","value":"19:06:53"},{"id":151,"name":"Denver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38"/>
        <v>start /low /b %USERPROFILE%\Documents\GitHub\eaglep3\Utilities\DownloadLogsFromS3.py --loco 4012 --day 2017-09-01</v>
      </c>
      <c r="AN133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01:06:53"},{"id":29,"name":"Sharepoint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612</v>
      </c>
      <c r="B134" s="7">
        <v>4011</v>
      </c>
      <c r="C134" s="21" t="s">
        <v>197</v>
      </c>
      <c r="D134" s="21" t="s">
        <v>877</v>
      </c>
      <c r="E134" s="13">
        <v>42979.799108796295</v>
      </c>
      <c r="F134" s="13">
        <v>42979.810752314814</v>
      </c>
      <c r="G134" s="7">
        <v>204</v>
      </c>
      <c r="H134" s="21" t="s">
        <v>338</v>
      </c>
      <c r="I134" s="13">
        <v>42979.841319444444</v>
      </c>
      <c r="J134" s="7">
        <v>0</v>
      </c>
      <c r="K134" s="89" t="str">
        <f t="shared" si="22"/>
        <v>4011/4012</v>
      </c>
      <c r="L134" s="214" t="str">
        <f>VLOOKUP(A134,'Trips&amp;Operators'!$C$1:$G$99911,5,FALSE)</f>
        <v>NICHOLSON WESLEY</v>
      </c>
      <c r="M134" s="6">
        <f t="shared" si="23"/>
        <v>3.0567129630071577E-2</v>
      </c>
      <c r="N134" s="7">
        <f t="shared" si="24"/>
        <v>44.01666666730307</v>
      </c>
      <c r="O134" s="7"/>
      <c r="P134" s="7"/>
      <c r="Q134" s="22"/>
      <c r="R134" s="167" t="s">
        <v>995</v>
      </c>
      <c r="S134" s="210">
        <f t="shared" si="25"/>
        <v>1</v>
      </c>
      <c r="T134" s="192" t="str">
        <f t="shared" si="26"/>
        <v>Southbound</v>
      </c>
      <c r="U134" s="192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3" t="str">
        <f t="shared" si="27"/>
        <v>https://d0f6bd738d7f1b3e5a7ca70fe4ff75f0.us-east-1.aws.found.io/app/kibana#/discover/Steve-Slow-Train-Analysis-(2080s-and-2083s)?_g=(refreshInterval:(display:Off,pause:!f,section:0,value:0),time:(from:'2017-09-01T18:10:43-0600',mode:absolute,to:'2017-09-01T21:11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4" s="194" t="str">
        <f>IF(AA134&lt;VLOOKUP(AG134,Variables!$AC$3:$AD$8,2,FALSE),"Y","N")</f>
        <v>N</v>
      </c>
      <c r="X134" s="194">
        <f t="shared" si="28"/>
        <v>1</v>
      </c>
      <c r="Y134" s="194">
        <f t="shared" si="29"/>
        <v>23.300799999999999</v>
      </c>
      <c r="Z134" s="194">
        <f t="shared" si="30"/>
        <v>1.4999999999999999E-2</v>
      </c>
      <c r="AA134" s="194">
        <f t="shared" si="31"/>
        <v>23.285799999999998</v>
      </c>
      <c r="AB134" s="54" t="str">
        <f>VLOOKUP(A134,Enforcements!$C$7:$K$11,8,0)</f>
        <v>Bulletin (2)</v>
      </c>
      <c r="AC134" s="51" t="str">
        <f>VLOOKUP(A134,Enforcements!$C$7:$E$11,3,0)</f>
        <v>GRADE CROSSING</v>
      </c>
      <c r="AD134" s="203">
        <f t="shared" si="32"/>
        <v>220</v>
      </c>
      <c r="AE134" s="77" t="str">
        <f t="shared" si="33"/>
        <v>aws s3 cp s3://rtdc.mdm.uploadarchive.raw/RTDC4011/ "%USERPROFILE%\AppData\Local\Temp\OnboardLogs"\RTDC4011\2017-09-01 --exclude "*" --recursive --include "*20170901*" &amp; "%USERPROFILE%\Documents\GitHub\mrs-test-scripts\Headless Mode &amp; Sideloading\WalkAndUnGZ.bat" "%USERPROFILE%\AppData\Local\Temp\OnboardLogs"\RTDC4011\2017-09-01 &amp; aws s3 cp s3://rtdc.mdm.uploadarchive.raw/RTDC4011/ "%USERPROFILE%\AppData\Local\Temp\OnboardLogs"\RTDC4011\2017-09-02 --exclude "*" --recursive --include "*20170902*" &amp; "%USERPROFILE%\Documents\GitHub\mrs-test-scripts\Headless Mode &amp; Sideloading\WalkAndUnGZ.bat" "%USERPROFILE%\AppData\Local\Temp\OnboardLogs"\RTDC4011\2017-09-02</v>
      </c>
      <c r="AF134" s="74" t="str">
        <f t="shared" si="34"/>
        <v>"C:\Program Files (x86)\AstroGrep\AstroGrep.exe" /e /r /s /spath="%USERPROFILE%\AppData\Local\Temp\OnboardLogs" /stypes="app*4011*20170902*" /stext=" 02:.+((SYSTEM_STATE.+slice.+state.+changed )|(ment ac)|(multiple cpu faults)|(system.+state.+changed )|(\[timeout)|(PRM\|1\|D)|(kpr)|(kdp)|(train st.+moving)|(\|lc)|(penalty))"</v>
      </c>
      <c r="AG134" s="206" t="str">
        <f t="shared" si="35"/>
        <v>EC</v>
      </c>
      <c r="AH134" s="78" t="str">
        <f t="shared" si="36"/>
        <v>"%USERPROFILE%\Documents\GitHub\eaglep3\Utilities\RefineRTDCRunTimes.py" --tripid 220-01 --locoid 4011 --swversion DE.1.0.9.0 --startMP 204:233008 --initTime 2017-09-01T19:10:43 --startdatetime 2017-09-01T19:27:29 --delay 204 --endMP 204:150 --enddatetime 2017-09-01T20:11:30 --enforcementcount 0 &gt;&gt;C:\Users\stu\Documents\GitHub\eaglep3-reporting\EC\2017-09-01-refined-times.txt</v>
      </c>
      <c r="AI134" s="96" t="str">
        <f t="shared" si="37"/>
        <v>echo {"issue":{"subject":"Unhealthy at Holly due to prior enforcement","project_id":79,"tracker_id":40,"status_id":1,"priority_id":2,"assigned_to_id":338,"start_date":"2017-09-01","description":"","custom_fields":[{"id":1,"name":"Subdivision","value":"EC"},{"id":4,"name":"Milepost","value":"0.015"},{"id":17,"name":"Train ID","value":"220-01"},{"id":16,"name":"Locomotive ID","value":"4011"},{"id":130,"name":"Impact","value":""},{"id":150,"name":"Time of Event (Mountain Time)","value":"20:11:30"},{"id":151,"name":"Denver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38"/>
        <v>start /low /b %USERPROFILE%\Documents\GitHub\eaglep3\Utilities\DownloadLogsFromS3.py --loco 4011 --day 2017-09-01</v>
      </c>
      <c r="AN134" s="151" t="str">
        <f t="shared" si="39"/>
        <v>echo {"issue":{"subject":"Unhealthy at Holly due to prior enforcement","project_id":30,"tracker_id":4,"status_id":1,"priority_id":1,"assigned_to_id":10,"start_date":"2017-09-02","description":"","custom_fields":[{"id":30,"name":"Category","value":"Issue"},{"id":3,"name":"Functional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02:11:30"},{"id":29,"name":"Sharepoint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793</v>
      </c>
      <c r="B135" s="7">
        <v>4040</v>
      </c>
      <c r="C135" s="21" t="s">
        <v>197</v>
      </c>
      <c r="D135" s="21" t="s">
        <v>337</v>
      </c>
      <c r="E135" s="13">
        <v>42979.787453703706</v>
      </c>
      <c r="F135" s="13">
        <v>42979.791932870372</v>
      </c>
      <c r="G135" s="7">
        <v>61</v>
      </c>
      <c r="H135" s="21" t="s">
        <v>492</v>
      </c>
      <c r="I135" s="13">
        <v>42979.816817129627</v>
      </c>
      <c r="J135" s="7">
        <v>0</v>
      </c>
      <c r="K135" s="89" t="str">
        <f t="shared" si="22"/>
        <v>4039/4040</v>
      </c>
      <c r="L135" s="214" t="str">
        <f>VLOOKUP(A135,'Trips&amp;Operators'!$C$1:$G$99911,5,FALSE)</f>
        <v>HART KEVIN</v>
      </c>
      <c r="M135" s="6">
        <f t="shared" si="23"/>
        <v>2.488425925548654E-2</v>
      </c>
      <c r="N135" s="7">
        <f t="shared" si="24"/>
        <v>35.833333327900618</v>
      </c>
      <c r="O135" s="7"/>
      <c r="P135" s="7"/>
      <c r="Q135" s="22"/>
      <c r="R135" s="167"/>
      <c r="S135" s="210">
        <f t="shared" si="25"/>
        <v>1</v>
      </c>
      <c r="T135" s="192" t="str">
        <f t="shared" si="26"/>
        <v>NorthBound</v>
      </c>
      <c r="U135" s="192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3" t="str">
        <f t="shared" si="27"/>
        <v>https://d0f6bd738d7f1b3e5a7ca70fe4ff75f0.us-east-1.aws.found.io/app/kibana#/discover/Steve-Slow-Train-Analysis-(2080s-and-2083s)?_g=(refreshInterval:(display:Off,pause:!f,section:0,value:0),time:(from:'2017-09-01T17:53:56-0600',mode:absolute,to:'2017-09-01T20:36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5" s="194" t="str">
        <f>IF(AA135&lt;VLOOKUP(AG135,Variables!$AC$3:$AD$8,2,FALSE),"Y","N")</f>
        <v>N</v>
      </c>
      <c r="X135" s="194">
        <f t="shared" si="28"/>
        <v>1</v>
      </c>
      <c r="Y135" s="194">
        <f t="shared" si="29"/>
        <v>4.4600000000000001E-2</v>
      </c>
      <c r="Z135" s="194">
        <f t="shared" si="30"/>
        <v>23.331600000000002</v>
      </c>
      <c r="AA135" s="194">
        <f t="shared" si="31"/>
        <v>23.287000000000003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203">
        <f t="shared" si="32"/>
        <v>221</v>
      </c>
      <c r="AE135" s="77" t="str">
        <f t="shared" si="33"/>
        <v>aws s3 cp s3://rtdc.mdm.uploadarchive.raw/RTDC4040/ "%USERPROFILE%\AppData\Local\Temp\OnboardLogs"\RTDC4040\2017-09-01 --exclude "*" --recursive --include "*20170901*" &amp; "%USERPROFILE%\Documents\GitHub\mrs-test-scripts\Headless Mode &amp; Sideloading\WalkAndUnGZ.bat" "%USERPROFILE%\AppData\Local\Temp\OnboardLogs"\RTDC4040\2017-09-01 &amp; aws s3 cp s3://rtdc.mdm.uploadarchive.raw/RTDC4040/ "%USERPROFILE%\AppData\Local\Temp\OnboardLogs"\RTDC4040\2017-09-02 --exclude "*" --recursive --include "*20170902*" &amp; "%USERPROFILE%\Documents\GitHub\mrs-test-scripts\Headless Mode &amp; Sideloading\WalkAndUnGZ.bat" "%USERPROFILE%\AppData\Local\Temp\OnboardLogs"\RTDC4040\2017-09-02</v>
      </c>
      <c r="AF135" s="74" t="str">
        <f t="shared" si="34"/>
        <v>"C:\Program Files (x86)\AstroGrep\AstroGrep.exe" /e /r /s /spath="%USERPROFILE%\AppData\Local\Temp\OnboardLogs" /stypes="app*4040*20170902*" /stext=" 01:.+((SYSTEM_STATE.+slice.+state.+changed )|(ment ac)|(multiple cpu faults)|(system.+state.+changed )|(\[timeout)|(PRM\|1\|D)|(kpr)|(kdp)|(train st.+moving)|(\|lc)|(penalty))"</v>
      </c>
      <c r="AG135" s="206" t="str">
        <f t="shared" si="35"/>
        <v>EC</v>
      </c>
      <c r="AH135" s="78" t="str">
        <f t="shared" si="36"/>
        <v>"%USERPROFILE%\Documents\GitHub\eaglep3\Utilities\RefineRTDCRunTimes.py" --tripid 221-01 --locoid 4040 --swversion DE.1.0.9.0 --startMP 204:446 --initTime 2017-09-01T18:53:56 --startdatetime 2017-09-01T19:00:23 --delay 61 --endMP 204:233316 --enddatetime 2017-09-01T19:36:13 --enforcementcount 0 &gt;&gt;C:\Users\stu\Documents\GitHub\eaglep3-reporting\EC\2017-09-01-refined-times.txt</v>
      </c>
      <c r="AI135" s="96" t="str">
        <f t="shared" si="37"/>
        <v>echo {"issue":{"subject":"","project_id":79,"tracker_id":40,"status_id":1,"priority_id":2,"assigned_to_id":338,"start_date":"2017-09-01","description":"","custom_fields":[{"id":1,"name":"Subdivision","value":"EC"},{"id":4,"name":"Milepost","value":"23.3316"},{"id":17,"name":"Train ID","value":"221-01"},{"id":16,"name":"Locomotive ID","value":"4040"},{"id":130,"name":"Impact","value":""},{"id":150,"name":"Time of Event (Mountain Time)","value":"19:36:13"},{"id":151,"name":"Denver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38"/>
        <v>start /low /b %USERPROFILE%\Documents\GitHub\eaglep3\Utilities\DownloadLogsFromS3.py --loco 4040 --day 2017-09-01</v>
      </c>
      <c r="AN135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01:36:13"},{"id":29,"name":"Sharepoint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614</v>
      </c>
      <c r="B136" s="7">
        <v>4039</v>
      </c>
      <c r="C136" s="21" t="s">
        <v>197</v>
      </c>
      <c r="D136" s="21" t="s">
        <v>878</v>
      </c>
      <c r="E136" s="13">
        <v>42979.827881944446</v>
      </c>
      <c r="F136" s="13">
        <v>42979.831712962965</v>
      </c>
      <c r="G136" s="7">
        <v>80</v>
      </c>
      <c r="H136" s="21" t="s">
        <v>879</v>
      </c>
      <c r="I136" s="13">
        <v>42979.859675925924</v>
      </c>
      <c r="J136" s="7">
        <v>0</v>
      </c>
      <c r="K136" s="89" t="str">
        <f t="shared" si="22"/>
        <v>4039/4040</v>
      </c>
      <c r="L136" s="214" t="str">
        <f>VLOOKUP(A136,'Trips&amp;Operators'!$C$1:$G$99911,5,FALSE)</f>
        <v>HART KEVIN</v>
      </c>
      <c r="M136" s="6">
        <f t="shared" si="23"/>
        <v>2.7962962958554272E-2</v>
      </c>
      <c r="N136" s="7">
        <f t="shared" si="24"/>
        <v>40.266666660318151</v>
      </c>
      <c r="O136" s="7"/>
      <c r="P136" s="7"/>
      <c r="Q136" s="22"/>
      <c r="R136" s="167" t="s">
        <v>988</v>
      </c>
      <c r="S136" s="210">
        <f>1/IF(AG136="EC",12,1)*SUM(U136:U137)</f>
        <v>1</v>
      </c>
      <c r="T136" s="192" t="str">
        <f t="shared" si="26"/>
        <v>Southbound</v>
      </c>
      <c r="U136" s="192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0</v>
      </c>
      <c r="V136" s="193" t="str">
        <f t="shared" si="27"/>
        <v>https://d0f6bd738d7f1b3e5a7ca70fe4ff75f0.us-east-1.aws.found.io/app/kibana#/discover/Steve-Slow-Train-Analysis-(2080s-and-2083s)?_g=(refreshInterval:(display:Off,pause:!f,section:0,value:0),time:(from:'2017-09-01T18:52:09-0600',mode:absolute,to:'2017-09-01T21:37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6" s="194" t="str">
        <f>IF(AA136&lt;VLOOKUP(AG136,Variables!$AC$3:$AD$8,2,FALSE),"Y","N")</f>
        <v>Y</v>
      </c>
      <c r="X136" s="194">
        <f t="shared" si="28"/>
        <v>1</v>
      </c>
      <c r="Y136" s="194">
        <f t="shared" si="29"/>
        <v>23.298999999999999</v>
      </c>
      <c r="Z136" s="194">
        <f t="shared" si="30"/>
        <v>17.725999999999999</v>
      </c>
      <c r="AA136" s="194">
        <f t="shared" si="31"/>
        <v>5.5730000000000004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203">
        <f t="shared" si="32"/>
        <v>222</v>
      </c>
      <c r="AE136" s="77" t="str">
        <f t="shared" si="33"/>
        <v>aws s3 cp s3://rtdc.mdm.uploadarchive.raw/RTDC4039/ "%USERPROFILE%\AppData\Local\Temp\OnboardLogs"\RTDC4039\2017-09-01 --exclude "*" --recursive --include "*20170901*" &amp; "%USERPROFILE%\Documents\GitHub\mrs-test-scripts\Headless Mode &amp; Sideloading\WalkAndUnGZ.bat" "%USERPROFILE%\AppData\Local\Temp\OnboardLogs"\RTDC4039\2017-09-01 &amp; aws s3 cp s3://rtdc.mdm.uploadarchive.raw/RTDC4039/ "%USERPROFILE%\AppData\Local\Temp\OnboardLogs"\RTDC4039\2017-09-02 --exclude "*" --recursive --include "*20170902*" &amp; "%USERPROFILE%\Documents\GitHub\mrs-test-scripts\Headless Mode &amp; Sideloading\WalkAndUnGZ.bat" "%USERPROFILE%\AppData\Local\Temp\OnboardLogs"\RTDC4039\2017-09-02</v>
      </c>
      <c r="AF136" s="74" t="str">
        <f t="shared" si="34"/>
        <v>"C:\Program Files (x86)\AstroGrep\AstroGrep.exe" /e /r /s /spath="%USERPROFILE%\AppData\Local\Temp\OnboardLogs" /stypes="app*4039*20170902*" /stext=" 02:.+((SYSTEM_STATE.+slice.+state.+changed )|(ment ac)|(multiple cpu faults)|(system.+state.+changed )|(\[timeout)|(PRM\|1\|D)|(kpr)|(kdp)|(train st.+moving)|(\|lc)|(penalty))"</v>
      </c>
      <c r="AG136" s="206" t="str">
        <f t="shared" si="35"/>
        <v>EC</v>
      </c>
      <c r="AH136" s="78" t="str">
        <f t="shared" si="36"/>
        <v>"%USERPROFILE%\Documents\GitHub\eaglep3\Utilities\RefineRTDCRunTimes.py" --tripid 222-01 --locoid 4039 --swversion DE.1.0.9.0 --startMP 204:232990 --initTime 2017-09-01T19:52:09 --startdatetime 2017-09-01T19:57:40 --delay 80 --endMP 204:177260 --enddatetime 2017-09-01T20:37:56 --enforcementcount 0 &gt;&gt;C:\Users\stu\Documents\GitHub\eaglep3-reporting\EC\2017-09-01-refined-times.txt</v>
      </c>
      <c r="AI136" s="96" t="str">
        <f t="shared" si="37"/>
        <v>echo {"issue":{"subject":"Wi-MAX data drop","project_id":79,"tracker_id":40,"status_id":1,"priority_id":2,"assigned_to_id":338,"start_date":"2017-09-01","description":"","custom_fields":[{"id":1,"name":"Subdivision","value":"EC"},{"id":4,"name":"Milepost","value":"17.726"},{"id":17,"name":"Train ID","value":"222-01"},{"id":16,"name":"Locomotive ID","value":"4039"},{"id":130,"name":"Impact","value":""},{"id":150,"name":"Time of Event (Mountain Time)","value":"20:37:56"},{"id":151,"name":"Denver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38"/>
        <v>start /low /b %USERPROFILE%\Documents\GitHub\eaglep3\Utilities\DownloadLogsFromS3.py --loco 4039 --day 2017-09-01</v>
      </c>
      <c r="AN136" s="151" t="str">
        <f t="shared" si="39"/>
        <v>echo {"issue":{"subject":"Wi-MAX data drop","project_id":30,"tracker_id":4,"status_id":1,"priority_id":1,"assigned_to_id":10,"start_date":"2017-09-02","description":"","custom_fields":[{"id":30,"name":"Category","value":"Issue"},{"id":3,"name":"Functional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02:37:56"},{"id":29,"name":"Sharepoint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614</v>
      </c>
      <c r="B137" s="7">
        <v>4039</v>
      </c>
      <c r="C137" s="21" t="s">
        <v>197</v>
      </c>
      <c r="D137" s="21" t="s">
        <v>880</v>
      </c>
      <c r="E137" s="13">
        <v>42979.836793981478</v>
      </c>
      <c r="F137" s="13">
        <v>42979.837824074071</v>
      </c>
      <c r="G137" s="7">
        <v>53</v>
      </c>
      <c r="H137" s="21" t="s">
        <v>344</v>
      </c>
      <c r="I137" s="13">
        <v>42979.859618055554</v>
      </c>
      <c r="J137" s="7">
        <v>0</v>
      </c>
      <c r="K137" s="89" t="str">
        <f t="shared" si="22"/>
        <v>4039/4040</v>
      </c>
      <c r="L137" s="214" t="str">
        <f>VLOOKUP(A137,'Trips&amp;Operators'!$C$1:$G$99911,5,FALSE)</f>
        <v>HART KEVIN</v>
      </c>
      <c r="M137" s="6">
        <f t="shared" si="23"/>
        <v>2.1793981482915115E-2</v>
      </c>
      <c r="N137" s="7"/>
      <c r="O137" s="7"/>
      <c r="P137" s="7"/>
      <c r="Q137" s="22"/>
      <c r="R137" s="167"/>
      <c r="S137" s="210"/>
      <c r="T137" s="192" t="str">
        <f t="shared" si="26"/>
        <v>Southbound</v>
      </c>
      <c r="U137" s="192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3" t="str">
        <f t="shared" si="27"/>
        <v>https://d0f6bd738d7f1b3e5a7ca70fe4ff75f0.us-east-1.aws.found.io/app/kibana#/discover/Steve-Slow-Train-Analysis-(2080s-and-2083s)?_g=(refreshInterval:(display:Off,pause:!f,section:0,value:0),time:(from:'2017-09-01T19:04:59-0600',mode:absolute,to:'2017-09-01T21:37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7" s="194" t="str">
        <f>IF(AA137&lt;VLOOKUP(AG137,Variables!$AC$3:$AD$8,2,FALSE),"Y","N")</f>
        <v>Y</v>
      </c>
      <c r="X137" s="194">
        <f t="shared" si="28"/>
        <v>0</v>
      </c>
      <c r="Y137" s="194">
        <f t="shared" si="29"/>
        <v>17.7258</v>
      </c>
      <c r="Z137" s="194">
        <f t="shared" si="30"/>
        <v>1.41E-2</v>
      </c>
      <c r="AA137" s="194">
        <f t="shared" si="31"/>
        <v>17.7117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203">
        <f t="shared" si="32"/>
        <v>222</v>
      </c>
      <c r="AE137" s="77" t="str">
        <f t="shared" si="33"/>
        <v>aws s3 cp s3://rtdc.mdm.uploadarchive.raw/RTDC4039/ "%USERPROFILE%\AppData\Local\Temp\OnboardLogs"\RTDC4039\2017-09-01 --exclude "*" --recursive --include "*20170901*" &amp; "%USERPROFILE%\Documents\GitHub\mrs-test-scripts\Headless Mode &amp; Sideloading\WalkAndUnGZ.bat" "%USERPROFILE%\AppData\Local\Temp\OnboardLogs"\RTDC4039\2017-09-01 &amp; aws s3 cp s3://rtdc.mdm.uploadarchive.raw/RTDC4039/ "%USERPROFILE%\AppData\Local\Temp\OnboardLogs"\RTDC4039\2017-09-02 --exclude "*" --recursive --include "*20170902*" &amp; "%USERPROFILE%\Documents\GitHub\mrs-test-scripts\Headless Mode &amp; Sideloading\WalkAndUnGZ.bat" "%USERPROFILE%\AppData\Local\Temp\OnboardLogs"\RTDC4039\2017-09-02</v>
      </c>
      <c r="AF137" s="74" t="str">
        <f t="shared" si="34"/>
        <v>"C:\Program Files (x86)\AstroGrep\AstroGrep.exe" /e /r /s /spath="%USERPROFILE%\AppData\Local\Temp\OnboardLogs" /stypes="app*4039*20170902*" /stext=" 02:.+((SYSTEM_STATE.+slice.+state.+changed )|(ment ac)|(multiple cpu faults)|(system.+state.+changed )|(\[timeout)|(PRM\|1\|D)|(kpr)|(kdp)|(train st.+moving)|(\|lc)|(penalty))"</v>
      </c>
      <c r="AG137" s="206" t="str">
        <f t="shared" si="35"/>
        <v>EC</v>
      </c>
      <c r="AH137" s="78" t="str">
        <f t="shared" si="36"/>
        <v>"%USERPROFILE%\Documents\GitHub\eaglep3\Utilities\RefineRTDCRunTimes.py" --tripid 222-01 --locoid 4039 --swversion DE.1.0.9.0 --startMP 204:177258 --initTime 2017-09-01T20:04:59 --startdatetime 2017-09-01T20:06:28 --delay 53 --endMP 204:141 --enddatetime 2017-09-01T20:37:51 --enforcementcount 0 &gt;&gt;C:\Users\stu\Documents\GitHub\eaglep3-reporting\EC\2017-09-01-refined-times.txt</v>
      </c>
      <c r="AI137" s="96" t="str">
        <f t="shared" si="37"/>
        <v>echo {"issue":{"subject":"","project_id":79,"tracker_id":40,"status_id":1,"priority_id":2,"assigned_to_id":338,"start_date":"2017-09-01","description":"","custom_fields":[{"id":1,"name":"Subdivision","value":"EC"},{"id":4,"name":"Milepost","value":"0.0141"},{"id":17,"name":"Train ID","value":"222-01"},{"id":16,"name":"Locomotive ID","value":"4039"},{"id":130,"name":"Impact","value":""},{"id":150,"name":"Time of Event (Mountain Time)","value":"20:37:51"},{"id":151,"name":"Denver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38"/>
        <v>start /low /b %USERPROFILE%\Documents\GitHub\eaglep3\Utilities\DownloadLogsFromS3.py --loco 4039 --day 2017-09-01</v>
      </c>
      <c r="AN137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02:37:51"},{"id":29,"name":"Sharepoint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798</v>
      </c>
      <c r="B138" s="7">
        <v>4020</v>
      </c>
      <c r="C138" s="21" t="s">
        <v>197</v>
      </c>
      <c r="D138" s="21" t="s">
        <v>367</v>
      </c>
      <c r="E138" s="13">
        <v>42979.811203703706</v>
      </c>
      <c r="F138" s="13">
        <v>42979.812708333331</v>
      </c>
      <c r="G138" s="7">
        <v>73</v>
      </c>
      <c r="H138" s="21" t="s">
        <v>489</v>
      </c>
      <c r="I138" s="13">
        <v>42979.838078703702</v>
      </c>
      <c r="J138" s="7">
        <v>0</v>
      </c>
      <c r="K138" s="89" t="str">
        <f t="shared" si="22"/>
        <v>4019/4020</v>
      </c>
      <c r="L138" s="214" t="str">
        <f>VLOOKUP(A138,'Trips&amp;Operators'!$C$1:$G$99911,5,FALSE)</f>
        <v>ZEWDU DEREJE</v>
      </c>
      <c r="M138" s="6">
        <f t="shared" si="23"/>
        <v>2.5370370371092577E-2</v>
      </c>
      <c r="N138" s="7">
        <f t="shared" si="24"/>
        <v>36.53333333437331</v>
      </c>
      <c r="O138" s="7"/>
      <c r="P138" s="7"/>
      <c r="Q138" s="22"/>
      <c r="R138" s="167"/>
      <c r="S138" s="210">
        <f t="shared" si="25"/>
        <v>1</v>
      </c>
      <c r="T138" s="192" t="str">
        <f t="shared" si="26"/>
        <v>NorthBound</v>
      </c>
      <c r="U138" s="192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3" t="str">
        <f t="shared" si="27"/>
        <v>https://d0f6bd738d7f1b3e5a7ca70fe4ff75f0.us-east-1.aws.found.io/app/kibana#/discover/Steve-Slow-Train-Analysis-(2080s-and-2083s)?_g=(refreshInterval:(display:Off,pause:!f,section:0,value:0),time:(from:'2017-09-01T18:28:08-0600',mode:absolute,to:'2017-09-01T21:06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8" s="194" t="str">
        <f>IF(AA138&lt;VLOOKUP(AG138,Variables!$AC$3:$AD$8,2,FALSE),"Y","N")</f>
        <v>N</v>
      </c>
      <c r="X138" s="194">
        <f t="shared" si="28"/>
        <v>1</v>
      </c>
      <c r="Y138" s="194">
        <f t="shared" si="29"/>
        <v>4.5699999999999998E-2</v>
      </c>
      <c r="Z138" s="194">
        <f t="shared" si="30"/>
        <v>23.3278</v>
      </c>
      <c r="AA138" s="194">
        <f t="shared" si="31"/>
        <v>23.2821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203">
        <f t="shared" si="32"/>
        <v>223</v>
      </c>
      <c r="AE138" s="77" t="str">
        <f t="shared" si="33"/>
        <v>aws s3 cp s3://rtdc.mdm.uploadarchive.raw/RTDC4020/ "%USERPROFILE%\AppData\Local\Temp\OnboardLogs"\RTDC4020\2017-09-01 --exclude "*" --recursive --include "*20170901*" &amp; "%USERPROFILE%\Documents\GitHub\mrs-test-scripts\Headless Mode &amp; Sideloading\WalkAndUnGZ.bat" "%USERPROFILE%\AppData\Local\Temp\OnboardLogs"\RTDC4020\2017-09-01 &amp; aws s3 cp s3://rtdc.mdm.uploadarchive.raw/RTDC4020/ "%USERPROFILE%\AppData\Local\Temp\OnboardLogs"\RTDC4020\2017-09-02 --exclude "*" --recursive --include "*20170902*" &amp; "%USERPROFILE%\Documents\GitHub\mrs-test-scripts\Headless Mode &amp; Sideloading\WalkAndUnGZ.bat" "%USERPROFILE%\AppData\Local\Temp\OnboardLogs"\RTDC4020\2017-09-02</v>
      </c>
      <c r="AF138" s="74" t="str">
        <f t="shared" si="34"/>
        <v>"C:\Program Files (x86)\AstroGrep\AstroGrep.exe" /e /r /s /spath="%USERPROFILE%\AppData\Local\Temp\OnboardLogs" /stypes="app*4020*20170902*" /stext=" 02:.+((SYSTEM_STATE.+slice.+state.+changed )|(ment ac)|(multiple cpu faults)|(system.+state.+changed )|(\[timeout)|(PRM\|1\|D)|(kpr)|(kdp)|(train st.+moving)|(\|lc)|(penalty))"</v>
      </c>
      <c r="AG138" s="206" t="str">
        <f t="shared" si="35"/>
        <v>EC</v>
      </c>
      <c r="AH138" s="78" t="str">
        <f t="shared" si="36"/>
        <v>"%USERPROFILE%\Documents\GitHub\eaglep3\Utilities\RefineRTDCRunTimes.py" --tripid 223-01 --locoid 4020 --swversion DE.1.0.9.0 --startMP 204:457 --initTime 2017-09-01T19:28:08 --startdatetime 2017-09-01T19:30:18 --delay 73 --endMP 204:233278 --enddatetime 2017-09-01T20:06:50 --enforcementcount 0 &gt;&gt;C:\Users\stu\Documents\GitHub\eaglep3-reporting\EC\2017-09-01-refined-times.txt</v>
      </c>
      <c r="AI138" s="96" t="str">
        <f t="shared" si="37"/>
        <v>echo {"issue":{"subject":"","project_id":79,"tracker_id":40,"status_id":1,"priority_id":2,"assigned_to_id":338,"start_date":"2017-09-01","description":"","custom_fields":[{"id":1,"name":"Subdivision","value":"EC"},{"id":4,"name":"Milepost","value":"23.3278"},{"id":17,"name":"Train ID","value":"223-01"},{"id":16,"name":"Locomotive ID","value":"4020"},{"id":130,"name":"Impact","value":""},{"id":150,"name":"Time of Event (Mountain Time)","value":"20:06:50"},{"id":151,"name":"Denver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38"/>
        <v>start /low /b %USERPROFILE%\Documents\GitHub\eaglep3\Utilities\DownloadLogsFromS3.py --loco 4020 --day 2017-09-01</v>
      </c>
      <c r="AN138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02:06:50"},{"id":29,"name":"Sharepoint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802</v>
      </c>
      <c r="B139" s="7">
        <v>4019</v>
      </c>
      <c r="C139" s="21" t="s">
        <v>197</v>
      </c>
      <c r="D139" s="21" t="s">
        <v>857</v>
      </c>
      <c r="E139" s="13">
        <v>42979.847916666666</v>
      </c>
      <c r="F139" s="13">
        <v>42979.852268518516</v>
      </c>
      <c r="G139" s="7">
        <v>62</v>
      </c>
      <c r="H139" s="21" t="s">
        <v>488</v>
      </c>
      <c r="I139" s="13">
        <v>42979.878495370373</v>
      </c>
      <c r="J139" s="7">
        <v>0</v>
      </c>
      <c r="K139" s="89" t="str">
        <f t="shared" si="22"/>
        <v>4019/4020</v>
      </c>
      <c r="L139" s="214" t="str">
        <f>VLOOKUP(A139,'Trips&amp;Operators'!$C$1:$G$99911,5,FALSE)</f>
        <v>ZEWDU DEREJE</v>
      </c>
      <c r="M139" s="6">
        <f t="shared" si="23"/>
        <v>2.6226851856335998E-2</v>
      </c>
      <c r="N139" s="7">
        <f t="shared" si="24"/>
        <v>37.766666673123837</v>
      </c>
      <c r="O139" s="7"/>
      <c r="P139" s="7"/>
      <c r="Q139" s="22"/>
      <c r="R139" s="167"/>
      <c r="S139" s="210">
        <f t="shared" si="25"/>
        <v>1</v>
      </c>
      <c r="T139" s="192" t="str">
        <f t="shared" si="26"/>
        <v>Southbound</v>
      </c>
      <c r="U139" s="192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3" t="str">
        <f t="shared" si="27"/>
        <v>https://d0f6bd738d7f1b3e5a7ca70fe4ff75f0.us-east-1.aws.found.io/app/kibana#/discover/Steve-Slow-Train-Analysis-(2080s-and-2083s)?_g=(refreshInterval:(display:Off,pause:!f,section:0,value:0),time:(from:'2017-09-01T19:21:00-0600',mode:absolute,to:'2017-09-01T22:05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9" s="194" t="str">
        <f>IF(AA139&lt;VLOOKUP(AG139,Variables!$AC$3:$AD$8,2,FALSE),"Y","N")</f>
        <v>N</v>
      </c>
      <c r="X139" s="194">
        <f t="shared" si="28"/>
        <v>1</v>
      </c>
      <c r="Y139" s="194">
        <f t="shared" si="29"/>
        <v>23.297899999999998</v>
      </c>
      <c r="Z139" s="194">
        <f t="shared" si="30"/>
        <v>1.6E-2</v>
      </c>
      <c r="AA139" s="194">
        <f t="shared" si="31"/>
        <v>23.2819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203">
        <f t="shared" si="32"/>
        <v>224</v>
      </c>
      <c r="AE139" s="77" t="str">
        <f t="shared" si="33"/>
        <v>aws s3 cp s3://rtdc.mdm.uploadarchive.raw/RTDC4019/ "%USERPROFILE%\AppData\Local\Temp\OnboardLogs"\RTDC4019\2017-09-01 --exclude "*" --recursive --include "*20170901*" &amp; "%USERPROFILE%\Documents\GitHub\mrs-test-scripts\Headless Mode &amp; Sideloading\WalkAndUnGZ.bat" "%USERPROFILE%\AppData\Local\Temp\OnboardLogs"\RTDC4019\2017-09-01 &amp; aws s3 cp s3://rtdc.mdm.uploadarchive.raw/RTDC4019/ "%USERPROFILE%\AppData\Local\Temp\OnboardLogs"\RTDC4019\2017-09-02 --exclude "*" --recursive --include "*20170902*" &amp; "%USERPROFILE%\Documents\GitHub\mrs-test-scripts\Headless Mode &amp; Sideloading\WalkAndUnGZ.bat" "%USERPROFILE%\AppData\Local\Temp\OnboardLogs"\RTDC4019\2017-09-02</v>
      </c>
      <c r="AF139" s="74" t="str">
        <f t="shared" si="34"/>
        <v>"C:\Program Files (x86)\AstroGrep\AstroGrep.exe" /e /r /s /spath="%USERPROFILE%\AppData\Local\Temp\OnboardLogs" /stypes="app*4019*20170902*" /stext=" 03:.+((SYSTEM_STATE.+slice.+state.+changed )|(ment ac)|(multiple cpu faults)|(system.+state.+changed )|(\[timeout)|(PRM\|1\|D)|(kpr)|(kdp)|(train st.+moving)|(\|lc)|(penalty))"</v>
      </c>
      <c r="AG139" s="206" t="str">
        <f t="shared" si="35"/>
        <v>EC</v>
      </c>
      <c r="AH139" s="78" t="str">
        <f t="shared" si="36"/>
        <v>"%USERPROFILE%\Documents\GitHub\eaglep3\Utilities\RefineRTDCRunTimes.py" --tripid 224-01 --locoid 4019 --swversion DE.1.0.9.0 --startMP 204:232979 --initTime 2017-09-01T20:21:00 --startdatetime 2017-09-01T20:27:16 --delay 62 --endMP 204:160 --enddatetime 2017-09-01T21:05:02 --enforcementcount 0 &gt;&gt;C:\Users\stu\Documents\GitHub\eaglep3-reporting\EC\2017-09-01-refined-times.txt</v>
      </c>
      <c r="AI139" s="96" t="str">
        <f t="shared" si="37"/>
        <v>echo {"issue":{"subject":"","project_id":79,"tracker_id":40,"status_id":1,"priority_id":2,"assigned_to_id":338,"start_date":"2017-09-01","description":"","custom_fields":[{"id":1,"name":"Subdivision","value":"EC"},{"id":4,"name":"Milepost","value":"0.016"},{"id":17,"name":"Train ID","value":"224-01"},{"id":16,"name":"Locomotive ID","value":"4019"},{"id":130,"name":"Impact","value":""},{"id":150,"name":"Time of Event (Mountain Time)","value":"21:05:02"},{"id":151,"name":"Denver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38"/>
        <v>start /low /b %USERPROFILE%\Documents\GitHub\eaglep3\Utilities\DownloadLogsFromS3.py --loco 4019 --day 2017-09-01</v>
      </c>
      <c r="AN139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03:05:02"},{"id":29,"name":"Sharepoint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800</v>
      </c>
      <c r="B140" s="7">
        <v>4026</v>
      </c>
      <c r="C140" s="21" t="s">
        <v>197</v>
      </c>
      <c r="D140" s="21" t="s">
        <v>881</v>
      </c>
      <c r="E140" s="13">
        <v>42979.828611111108</v>
      </c>
      <c r="F140" s="13">
        <v>42979.833495370367</v>
      </c>
      <c r="G140" s="7">
        <v>65</v>
      </c>
      <c r="H140" s="21" t="s">
        <v>882</v>
      </c>
      <c r="I140" s="13">
        <v>42979.857974537037</v>
      </c>
      <c r="J140" s="7">
        <v>0</v>
      </c>
      <c r="K140" s="89" t="str">
        <f t="shared" si="22"/>
        <v>4025/4026</v>
      </c>
      <c r="L140" s="214" t="str">
        <f>VLOOKUP(A140,'Trips&amp;Operators'!$C$1:$G$99911,5,FALSE)</f>
        <v>PERKINS DARREN</v>
      </c>
      <c r="M140" s="6">
        <f t="shared" si="23"/>
        <v>2.4479166670062114E-2</v>
      </c>
      <c r="N140" s="7">
        <f t="shared" si="24"/>
        <v>35.250000004889444</v>
      </c>
      <c r="O140" s="7"/>
      <c r="P140" s="7"/>
      <c r="Q140" s="22"/>
      <c r="R140" s="167"/>
      <c r="S140" s="210">
        <f t="shared" si="25"/>
        <v>1</v>
      </c>
      <c r="T140" s="192" t="str">
        <f t="shared" si="26"/>
        <v>NorthBound</v>
      </c>
      <c r="U140" s="192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3" t="str">
        <f t="shared" si="27"/>
        <v>https://d0f6bd738d7f1b3e5a7ca70fe4ff75f0.us-east-1.aws.found.io/app/kibana#/discover/Steve-Slow-Train-Analysis-(2080s-and-2083s)?_g=(refreshInterval:(display:Off,pause:!f,section:0,value:0),time:(from:'2017-09-01T18:53:12-0600',mode:absolute,to:'2017-09-01T21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0" s="194" t="str">
        <f>IF(AA140&lt;VLOOKUP(AG140,Variables!$AC$3:$AD$8,2,FALSE),"Y","N")</f>
        <v>N</v>
      </c>
      <c r="X140" s="194">
        <f t="shared" si="28"/>
        <v>1</v>
      </c>
      <c r="Y140" s="194">
        <f t="shared" si="29"/>
        <v>4.2599999999999999E-2</v>
      </c>
      <c r="Z140" s="194">
        <f t="shared" si="30"/>
        <v>23.328600000000002</v>
      </c>
      <c r="AA140" s="194">
        <f t="shared" si="31"/>
        <v>23.286000000000001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203">
        <f t="shared" si="32"/>
        <v>225</v>
      </c>
      <c r="AE140" s="77" t="str">
        <f t="shared" si="33"/>
        <v>aws s3 cp s3://rtdc.mdm.uploadarchive.raw/RTDC4026/ "%USERPROFILE%\AppData\Local\Temp\OnboardLogs"\RTDC4026\2017-09-01 --exclude "*" --recursive --include "*20170901*" &amp; "%USERPROFILE%\Documents\GitHub\mrs-test-scripts\Headless Mode &amp; Sideloading\WalkAndUnGZ.bat" "%USERPROFILE%\AppData\Local\Temp\OnboardLogs"\RTDC4026\2017-09-01 &amp; aws s3 cp s3://rtdc.mdm.uploadarchive.raw/RTDC4026/ "%USERPROFILE%\AppData\Local\Temp\OnboardLogs"\RTDC4026\2017-09-02 --exclude "*" --recursive --include "*20170902*" &amp; "%USERPROFILE%\Documents\GitHub\mrs-test-scripts\Headless Mode &amp; Sideloading\WalkAndUnGZ.bat" "%USERPROFILE%\AppData\Local\Temp\OnboardLogs"\RTDC4026\2017-09-02</v>
      </c>
      <c r="AF140" s="74" t="str">
        <f t="shared" si="34"/>
        <v>"C:\Program Files (x86)\AstroGrep\AstroGrep.exe" /e /r /s /spath="%USERPROFILE%\AppData\Local\Temp\OnboardLogs" /stypes="app*4026*20170902*" /stext=" 02:.+((SYSTEM_STATE.+slice.+state.+changed )|(ment ac)|(multiple cpu faults)|(system.+state.+changed )|(\[timeout)|(PRM\|1\|D)|(kpr)|(kdp)|(train st.+moving)|(\|lc)|(penalty))"</v>
      </c>
      <c r="AG140" s="206" t="str">
        <f t="shared" si="35"/>
        <v>EC</v>
      </c>
      <c r="AH140" s="78" t="str">
        <f t="shared" si="36"/>
        <v>"%USERPROFILE%\Documents\GitHub\eaglep3\Utilities\RefineRTDCRunTimes.py" --tripid 225-01 --locoid 4026 --swversion DE.1.0.9.0 --startMP 204:426 --initTime 2017-09-01T19:53:12 --startdatetime 2017-09-01T20:00:14 --delay 65 --endMP 204:233286 --enddatetime 2017-09-01T20:35:29 --enforcementcount 0 &gt;&gt;C:\Users\stu\Documents\GitHub\eaglep3-reporting\EC\2017-09-01-refined-times.txt</v>
      </c>
      <c r="AI140" s="96" t="str">
        <f t="shared" si="37"/>
        <v>echo {"issue":{"subject":"","project_id":79,"tracker_id":40,"status_id":1,"priority_id":2,"assigned_to_id":338,"start_date":"2017-09-01","description":"","custom_fields":[{"id":1,"name":"Subdivision","value":"EC"},{"id":4,"name":"Milepost","value":"23.3286"},{"id":17,"name":"Train ID","value":"225-01"},{"id":16,"name":"Locomotive ID","value":"4026"},{"id":130,"name":"Impact","value":""},{"id":150,"name":"Time of Event (Mountain Time)","value":"20:35:29"},{"id":151,"name":"Denver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38"/>
        <v>start /low /b %USERPROFILE%\Documents\GitHub\eaglep3\Utilities\DownloadLogsFromS3.py --loco 4026 --day 2017-09-01</v>
      </c>
      <c r="AN140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02:35:29"},{"id":29,"name":"Sharepoint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805</v>
      </c>
      <c r="B141" s="7">
        <v>4025</v>
      </c>
      <c r="C141" s="21" t="s">
        <v>197</v>
      </c>
      <c r="D141" s="21" t="s">
        <v>393</v>
      </c>
      <c r="E141" s="13">
        <v>42979.860081018516</v>
      </c>
      <c r="F141" s="13">
        <v>42979.873194444444</v>
      </c>
      <c r="G141" s="7">
        <v>54</v>
      </c>
      <c r="H141" s="21" t="s">
        <v>397</v>
      </c>
      <c r="I141" s="13">
        <v>42979.899976851855</v>
      </c>
      <c r="J141" s="7">
        <v>0</v>
      </c>
      <c r="K141" s="89" t="str">
        <f t="shared" ref="K141:K203" si="40">IF(ISEVEN(B141),(B141-1)&amp;"/"&amp;B141,B141&amp;"/"&amp;(B141+1))</f>
        <v>4025/4026</v>
      </c>
      <c r="L141" s="214" t="str">
        <f>VLOOKUP(A141,'Trips&amp;Operators'!$C$1:$G$99911,5,FALSE)</f>
        <v>PERKINS DARREN</v>
      </c>
      <c r="M141" s="6">
        <f t="shared" ref="M141:M203" si="41">I141-F141</f>
        <v>2.6782407410792075E-2</v>
      </c>
      <c r="N141" s="7">
        <f t="shared" ref="N141:P203" si="42">24*60*SUM($M141:$M141)</f>
        <v>38.566666671540588</v>
      </c>
      <c r="O141" s="7"/>
      <c r="P141" s="7"/>
      <c r="Q141" s="22"/>
      <c r="R141" s="167"/>
      <c r="S141" s="210">
        <f t="shared" ref="S141:S203" si="43">1/IF(AG141="EC",12,1)*SUM(U141:U141)</f>
        <v>1</v>
      </c>
      <c r="T141" s="192" t="str">
        <f t="shared" ref="T141:T203" si="44">IF(ISEVEN(LEFT(AD141,4)),"Southbound","NorthBound")</f>
        <v>Southbound</v>
      </c>
      <c r="U141" s="192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3" t="str">
        <f t="shared" ref="V141:V203" si="45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-09-01T19:38:31-0600',mode:absolute,to:'2017-09-01T22:35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1" s="194" t="str">
        <f>IF(AA141&lt;VLOOKUP(AG141,Variables!$AC$3:$AD$8,2,FALSE),"Y","N")</f>
        <v>N</v>
      </c>
      <c r="X141" s="194">
        <f t="shared" ref="X141:X203" si="46">VALUE(LEFT(AD141,4))-VALUE(LEFT(AD140,4))</f>
        <v>1</v>
      </c>
      <c r="Y141" s="194">
        <f t="shared" ref="Y141:Y203" si="47">RIGHT(D141,LEN(D141)-4)/10000</f>
        <v>23.297699999999999</v>
      </c>
      <c r="Z141" s="194">
        <f t="shared" ref="Z141:Z203" si="48">RIGHT(H141,LEN(H141)-4)/10000</f>
        <v>1.3899999999999999E-2</v>
      </c>
      <c r="AA141" s="194">
        <f t="shared" ref="AA141:AA203" si="49">ABS(Z141-Y141)</f>
        <v>23.283799999999999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203">
        <f t="shared" ref="AD141:AD203" si="50">VALUE(LEFT(A141,LEN(A141)-3))</f>
        <v>226</v>
      </c>
      <c r="AE141" s="77" t="str">
        <f t="shared" ref="AE141:AE203" si="51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s3://rtdc.mdm.uploadarchive.raw/RTDC4025/ "%USERPROFILE%\AppData\Local\Temp\OnboardLogs"\RTDC4025\2017-09-01 --exclude "*" --recursive --include "*20170901*" &amp; "%USERPROFILE%\Documents\GitHub\mrs-test-scripts\Headless Mode &amp; Sideloading\WalkAndUnGZ.bat" "%USERPROFILE%\AppData\Local\Temp\OnboardLogs"\RTDC4025\2017-09-01 &amp; aws s3 cp s3://rtdc.mdm.uploadarchive.raw/RTDC4025/ "%USERPROFILE%\AppData\Local\Temp\OnboardLogs"\RTDC4025\2017-09-02 --exclude "*" --recursive --include "*20170902*" &amp; "%USERPROFILE%\Documents\GitHub\mrs-test-scripts\Headless Mode &amp; Sideloading\WalkAndUnGZ.bat" "%USERPROFILE%\AppData\Local\Temp\OnboardLogs"\RTDC4025\2017-09-02</v>
      </c>
      <c r="AF141" s="74" t="str">
        <f t="shared" ref="AF141:AF203" si="52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/stypes="app*4025*20170902*" /stext=" 03:.+((SYSTEM_STATE.+slice.+state.+changed )|(ment ac)|(multiple cpu faults)|(system.+state.+changed )|(\[timeout)|(PRM\|1\|D)|(kpr)|(kdp)|(train st.+moving)|(\|lc)|(penalty))"</v>
      </c>
      <c r="AG141" s="206" t="str">
        <f t="shared" ref="AG141:AG203" si="53">DetSubdiv(A141)</f>
        <v>EC</v>
      </c>
      <c r="AH141" s="78" t="str">
        <f t="shared" si="36"/>
        <v>"%USERPROFILE%\Documents\GitHub\eaglep3\Utilities\RefineRTDCRunTimes.py" --tripid 226-01 --locoid 4025 --swversion DE.1.0.9.0 --startMP 204:232977 --initTime 2017-09-01T20:38:31 --startdatetime 2017-09-01T20:57:24 --delay 54 --endMP 204:139 --enddatetime 2017-09-01T21:35:58 --enforcementcount 0 &gt;&gt;C:\Users\stu\Documents\GitHub\eaglep3-reporting\EC\2017-09-01-refined-times.txt</v>
      </c>
      <c r="AI141" s="96" t="str">
        <f t="shared" si="37"/>
        <v>echo {"issue":{"subject":"","project_id":79,"tracker_id":40,"status_id":1,"priority_id":2,"assigned_to_id":338,"start_date":"2017-09-01","description":"","custom_fields":[{"id":1,"name":"Subdivision","value":"EC"},{"id":4,"name":"Milepost","value":"0.0139"},{"id":17,"name":"Train ID","value":"226-01"},{"id":16,"name":"Locomotive ID","value":"4025"},{"id":130,"name":"Impact","value":""},{"id":150,"name":"Time of Event (Mountain Time)","value":"21:35:58"},{"id":151,"name":"Denver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38"/>
        <v>start /low /b %USERPROFILE%\Documents\GitHub\eaglep3\Utilities\DownloadLogsFromS3.py --loco 4025 --day 2017-09-01</v>
      </c>
      <c r="AN141" s="151" t="str">
        <f t="shared" si="39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03:35:58"},{"id":29,"name":"Sharepoint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803</v>
      </c>
      <c r="B142" s="7">
        <v>4012</v>
      </c>
      <c r="C142" s="21" t="s">
        <v>197</v>
      </c>
      <c r="D142" s="21" t="s">
        <v>364</v>
      </c>
      <c r="E142" s="13">
        <v>42979.843506944446</v>
      </c>
      <c r="F142" s="13">
        <v>42979.854571759257</v>
      </c>
      <c r="G142" s="7">
        <v>454</v>
      </c>
      <c r="H142" s="21" t="s">
        <v>409</v>
      </c>
      <c r="I142" s="13">
        <v>42979.881018518521</v>
      </c>
      <c r="J142" s="7">
        <v>0</v>
      </c>
      <c r="K142" s="89" t="str">
        <f t="shared" si="40"/>
        <v>4011/4012</v>
      </c>
      <c r="L142" s="214" t="str">
        <f>VLOOKUP(A142,'Trips&amp;Operators'!$C$1:$G$99911,5,FALSE)</f>
        <v>NICHOLSON WESLEY</v>
      </c>
      <c r="M142" s="6">
        <f t="shared" si="41"/>
        <v>2.644675926421769E-2</v>
      </c>
      <c r="N142" s="7">
        <f t="shared" si="42"/>
        <v>38.083333340473473</v>
      </c>
      <c r="O142" s="7"/>
      <c r="P142" s="7"/>
      <c r="Q142" s="22"/>
      <c r="R142" s="167"/>
      <c r="S142" s="210">
        <f t="shared" si="43"/>
        <v>1</v>
      </c>
      <c r="T142" s="192" t="str">
        <f t="shared" si="44"/>
        <v>NorthBound</v>
      </c>
      <c r="U142" s="192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3" t="str">
        <f t="shared" si="45"/>
        <v>https://d0f6bd738d7f1b3e5a7ca70fe4ff75f0.us-east-1.aws.found.io/app/kibana#/discover/Steve-Slow-Train-Analysis-(2080s-and-2083s)?_g=(refreshInterval:(display:Off,pause:!f,section:0,value:0),time:(from:'2017-09-01T19:14:39-0600',mode:absolute,to:'2017-09-01T22:08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2" s="194" t="str">
        <f>IF(AA142&lt;VLOOKUP(AG142,Variables!$AC$3:$AD$8,2,FALSE),"Y","N")</f>
        <v>N</v>
      </c>
      <c r="X142" s="194">
        <f t="shared" si="46"/>
        <v>1</v>
      </c>
      <c r="Y142" s="194">
        <f t="shared" si="47"/>
        <v>4.58E-2</v>
      </c>
      <c r="Z142" s="194">
        <f t="shared" si="48"/>
        <v>23.329499999999999</v>
      </c>
      <c r="AA142" s="194">
        <f t="shared" si="49"/>
        <v>23.2837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203">
        <f t="shared" si="50"/>
        <v>227</v>
      </c>
      <c r="AE142" s="77" t="str">
        <f t="shared" si="51"/>
        <v>aws s3 cp s3://rtdc.mdm.uploadarchive.raw/RTDC4012/ "%USERPROFILE%\AppData\Local\Temp\OnboardLogs"\RTDC4012\2017-09-01 --exclude "*" --recursive --include "*20170901*" &amp; "%USERPROFILE%\Documents\GitHub\mrs-test-scripts\Headless Mode &amp; Sideloading\WalkAndUnGZ.bat" "%USERPROFILE%\AppData\Local\Temp\OnboardLogs"\RTDC4012\2017-09-01 &amp; aws s3 cp s3://rtdc.mdm.uploadarchive.raw/RTDC4012/ "%USERPROFILE%\AppData\Local\Temp\OnboardLogs"\RTDC4012\2017-09-02 --exclude "*" --recursive --include "*20170902*" &amp; "%USERPROFILE%\Documents\GitHub\mrs-test-scripts\Headless Mode &amp; Sideloading\WalkAndUnGZ.bat" "%USERPROFILE%\AppData\Local\Temp\OnboardLogs"\RTDC4012\2017-09-02</v>
      </c>
      <c r="AF142" s="74" t="str">
        <f t="shared" si="52"/>
        <v>"C:\Program Files (x86)\AstroGrep\AstroGrep.exe" /e /r /s /spath="%USERPROFILE%\AppData\Local\Temp\OnboardLogs" /stypes="app*4012*20170902*" /stext=" 03:.+((SYSTEM_STATE.+slice.+state.+changed )|(ment ac)|(multiple cpu faults)|(system.+state.+changed )|(\[timeout)|(PRM\|1\|D)|(kpr)|(kdp)|(train st.+moving)|(\|lc)|(penalty))"</v>
      </c>
      <c r="AG142" s="206" t="str">
        <f t="shared" si="53"/>
        <v>EC</v>
      </c>
      <c r="AH142" s="78" t="str">
        <f t="shared" ref="AH142:AH204" si="54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227-01 --locoid 4012 --swversion DE.1.0.9.0 --startMP 204:458 --initTime 2017-09-01T20:14:39 --startdatetime 2017-09-01T20:30:35 --delay 454 --endMP 204:233295 --enddatetime 2017-09-01T21:08:40 --enforcementcount 0 &gt;&gt;C:\Users\stu\Documents\GitHub\eaglep3-reporting\EC\2017-09-01-refined-times.txt</v>
      </c>
      <c r="AI142" s="96" t="str">
        <f t="shared" ref="AI142:AI204" si="55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{"issue":{"subject":"","project_id":79,"tracker_id":40,"status_id":1,"priority_id":2,"assigned_to_id":338,"start_date":"2017-09-01","description":"","custom_fields":[{"id":1,"name":"Subdivision","value":"EC"},{"id":4,"name":"Milepost","value":"23.3295"},{"id":17,"name":"Train ID","value":"227-01"},{"id":16,"name":"Locomotive ID","value":"4012"},{"id":130,"name":"Impact","value":""},{"id":150,"name":"Time of Event (Mountain Time)","value":"21:08:40"},{"id":151,"name":"Denver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ref="AM142:AM204" si="56">"start /low /b "&amp;dls3logs&amp;" --loco "&amp;B142&amp;" --day "&amp;TEXT(F142,"YYYY-MM-DD")</f>
        <v>start /low /b %USERPROFILE%\Documents\GitHub\eaglep3\Utilities\DownloadLogsFromS3.py --loco 4012 --day 2017-09-01</v>
      </c>
      <c r="AN142" s="151" t="str">
        <f t="shared" ref="AN142:AN204" si="57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03:08:40"},{"id":29,"name":"Sharepoint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809</v>
      </c>
      <c r="B143" s="7">
        <v>4011</v>
      </c>
      <c r="C143" s="21" t="s">
        <v>197</v>
      </c>
      <c r="D143" s="21" t="s">
        <v>393</v>
      </c>
      <c r="E143" s="13">
        <v>42979.885810185187</v>
      </c>
      <c r="F143" s="13">
        <v>42979.894004629627</v>
      </c>
      <c r="G143" s="7">
        <v>81</v>
      </c>
      <c r="H143" s="21" t="s">
        <v>883</v>
      </c>
      <c r="I143" s="13">
        <v>42979.923333333332</v>
      </c>
      <c r="J143" s="7">
        <v>0</v>
      </c>
      <c r="K143" s="89" t="str">
        <f t="shared" si="40"/>
        <v>4011/4012</v>
      </c>
      <c r="L143" s="214" t="str">
        <f>VLOOKUP(A143,'Trips&amp;Operators'!$C$1:$G$99911,5,FALSE)</f>
        <v>NICHOLSON WESLEY</v>
      </c>
      <c r="M143" s="6">
        <f t="shared" si="41"/>
        <v>2.9328703705687076E-2</v>
      </c>
      <c r="N143" s="7">
        <f t="shared" si="42"/>
        <v>42.233333336189389</v>
      </c>
      <c r="O143" s="7"/>
      <c r="P143" s="7"/>
      <c r="Q143" s="22"/>
      <c r="R143" s="167"/>
      <c r="S143" s="210">
        <f t="shared" si="43"/>
        <v>1</v>
      </c>
      <c r="T143" s="192" t="str">
        <f t="shared" si="44"/>
        <v>Southbound</v>
      </c>
      <c r="U143" s="192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3" t="str">
        <f t="shared" si="45"/>
        <v>https://d0f6bd738d7f1b3e5a7ca70fe4ff75f0.us-east-1.aws.found.io/app/kibana#/discover/Steve-Slow-Train-Analysis-(2080s-and-2083s)?_g=(refreshInterval:(display:Off,pause:!f,section:0,value:0),time:(from:'2017-09-01T20:15:34-0600',mode:absolute,to:'2017-09-01T23:09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3" s="194" t="str">
        <f>IF(AA143&lt;VLOOKUP(AG143,Variables!$AC$3:$AD$8,2,FALSE),"Y","N")</f>
        <v>N</v>
      </c>
      <c r="X143" s="194">
        <f t="shared" si="46"/>
        <v>1</v>
      </c>
      <c r="Y143" s="194">
        <f t="shared" si="47"/>
        <v>23.297699999999999</v>
      </c>
      <c r="Z143" s="194">
        <f t="shared" si="48"/>
        <v>1.7000000000000001E-2</v>
      </c>
      <c r="AA143" s="194">
        <f t="shared" si="49"/>
        <v>23.2807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203">
        <f t="shared" si="50"/>
        <v>228</v>
      </c>
      <c r="AE143" s="77" t="str">
        <f t="shared" si="51"/>
        <v>aws s3 cp s3://rtdc.mdm.uploadarchive.raw/RTDC4011/ "%USERPROFILE%\AppData\Local\Temp\OnboardLogs"\RTDC4011\2017-09-01 --exclude "*" --recursive --include "*20170901*" &amp; "%USERPROFILE%\Documents\GitHub\mrs-test-scripts\Headless Mode &amp; Sideloading\WalkAndUnGZ.bat" "%USERPROFILE%\AppData\Local\Temp\OnboardLogs"\RTDC4011\2017-09-01 &amp; aws s3 cp s3://rtdc.mdm.uploadarchive.raw/RTDC4011/ "%USERPROFILE%\AppData\Local\Temp\OnboardLogs"\RTDC4011\2017-09-02 --exclude "*" --recursive --include "*20170902*" &amp; "%USERPROFILE%\Documents\GitHub\mrs-test-scripts\Headless Mode &amp; Sideloading\WalkAndUnGZ.bat" "%USERPROFILE%\AppData\Local\Temp\OnboardLogs"\RTDC4011\2017-09-02</v>
      </c>
      <c r="AF143" s="74" t="str">
        <f t="shared" si="52"/>
        <v>"C:\Program Files (x86)\AstroGrep\AstroGrep.exe" /e /r /s /spath="%USERPROFILE%\AppData\Local\Temp\OnboardLogs" /stypes="app*4011*20170902*" /stext=" 04:.+((SYSTEM_STATE.+slice.+state.+changed )|(ment ac)|(multiple cpu faults)|(system.+state.+changed )|(\[timeout)|(PRM\|1\|D)|(kpr)|(kdp)|(train st.+moving)|(\|lc)|(penalty))"</v>
      </c>
      <c r="AG143" s="206" t="str">
        <f t="shared" si="53"/>
        <v>EC</v>
      </c>
      <c r="AH143" s="78" t="str">
        <f t="shared" si="54"/>
        <v>"%USERPROFILE%\Documents\GitHub\eaglep3\Utilities\RefineRTDCRunTimes.py" --tripid 228-01 --locoid 4011 --swversion DE.1.0.9.0 --startMP 204:232977 --initTime 2017-09-01T21:15:34 --startdatetime 2017-09-01T21:27:22 --delay 81 --endMP 204:170 --enddatetime 2017-09-01T22:09:36 --enforcementcount 0 &gt;&gt;C:\Users\stu\Documents\GitHub\eaglep3-reporting\EC\2017-09-01-refined-times.txt</v>
      </c>
      <c r="AI143" s="96" t="str">
        <f t="shared" si="55"/>
        <v>echo {"issue":{"subject":"","project_id":79,"tracker_id":40,"status_id":1,"priority_id":2,"assigned_to_id":338,"start_date":"2017-09-01","description":"","custom_fields":[{"id":1,"name":"Subdivision","value":"EC"},{"id":4,"name":"Milepost","value":"0.017"},{"id":17,"name":"Train ID","value":"228-01"},{"id":16,"name":"Locomotive ID","value":"4011"},{"id":130,"name":"Impact","value":""},{"id":150,"name":"Time of Event (Mountain Time)","value":"22:09:36"},{"id":151,"name":"Denver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56"/>
        <v>start /low /b %USERPROFILE%\Documents\GitHub\eaglep3\Utilities\DownloadLogsFromS3.py --loco 4011 --day 2017-09-01</v>
      </c>
      <c r="AN143" s="151" t="str">
        <f t="shared" si="57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04:09:36"},{"id":29,"name":"Sharepoint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806</v>
      </c>
      <c r="B144" s="7">
        <v>4040</v>
      </c>
      <c r="C144" s="21" t="s">
        <v>197</v>
      </c>
      <c r="D144" s="21" t="s">
        <v>884</v>
      </c>
      <c r="E144" s="13">
        <v>42979.861493055556</v>
      </c>
      <c r="F144" s="13">
        <v>42979.875185185185</v>
      </c>
      <c r="G144" s="7">
        <v>335</v>
      </c>
      <c r="H144" s="21" t="s">
        <v>840</v>
      </c>
      <c r="I144" s="13">
        <v>42979.900196759256</v>
      </c>
      <c r="J144" s="7">
        <v>0</v>
      </c>
      <c r="K144" s="89" t="str">
        <f t="shared" si="40"/>
        <v>4039/4040</v>
      </c>
      <c r="L144" s="214" t="str">
        <f>VLOOKUP(A144,'Trips&amp;Operators'!$C$1:$G$99911,5,FALSE)</f>
        <v>ELBAUM MIKE</v>
      </c>
      <c r="M144" s="6">
        <f t="shared" si="41"/>
        <v>2.5011574070958886E-2</v>
      </c>
      <c r="N144" s="7">
        <f t="shared" si="42"/>
        <v>36.016666662180796</v>
      </c>
      <c r="O144" s="7"/>
      <c r="P144" s="7"/>
      <c r="Q144" s="22"/>
      <c r="R144" s="167"/>
      <c r="S144" s="210">
        <f t="shared" si="43"/>
        <v>1</v>
      </c>
      <c r="T144" s="192" t="str">
        <f t="shared" si="44"/>
        <v>NorthBound</v>
      </c>
      <c r="U144" s="192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3" t="str">
        <f t="shared" si="45"/>
        <v>https://d0f6bd738d7f1b3e5a7ca70fe4ff75f0.us-east-1.aws.found.io/app/kibana#/discover/Steve-Slow-Train-Analysis-(2080s-and-2083s)?_g=(refreshInterval:(display:Off,pause:!f,section:0,value:0),time:(from:'2017-09-01T19:40:33-0600',mode:absolute,to:'2017-09-01T22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4" s="194" t="str">
        <f>IF(AA144&lt;VLOOKUP(AG144,Variables!$AC$3:$AD$8,2,FALSE),"Y","N")</f>
        <v>N</v>
      </c>
      <c r="X144" s="194">
        <f t="shared" si="46"/>
        <v>1</v>
      </c>
      <c r="Y144" s="194">
        <f t="shared" si="47"/>
        <v>4.2200000000000001E-2</v>
      </c>
      <c r="Z144" s="194">
        <f t="shared" si="48"/>
        <v>23.331199999999999</v>
      </c>
      <c r="AA144" s="194">
        <f t="shared" si="49"/>
        <v>23.288999999999998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203">
        <f t="shared" si="50"/>
        <v>229</v>
      </c>
      <c r="AE144" s="77" t="str">
        <f t="shared" si="51"/>
        <v>aws s3 cp s3://rtdc.mdm.uploadarchive.raw/RTDC4040/ "%USERPROFILE%\AppData\Local\Temp\OnboardLogs"\RTDC4040\2017-09-01 --exclude "*" --recursive --include "*20170901*" &amp; "%USERPROFILE%\Documents\GitHub\mrs-test-scripts\Headless Mode &amp; Sideloading\WalkAndUnGZ.bat" "%USERPROFILE%\AppData\Local\Temp\OnboardLogs"\RTDC4040\2017-09-01 &amp; aws s3 cp s3://rtdc.mdm.uploadarchive.raw/RTDC4040/ "%USERPROFILE%\AppData\Local\Temp\OnboardLogs"\RTDC4040\2017-09-02 --exclude "*" --recursive --include "*20170902*" &amp; "%USERPROFILE%\Documents\GitHub\mrs-test-scripts\Headless Mode &amp; Sideloading\WalkAndUnGZ.bat" "%USERPROFILE%\AppData\Local\Temp\OnboardLogs"\RTDC4040\2017-09-02</v>
      </c>
      <c r="AF144" s="74" t="str">
        <f t="shared" si="52"/>
        <v>"C:\Program Files (x86)\AstroGrep\AstroGrep.exe" /e /r /s /spath="%USERPROFILE%\AppData\Local\Temp\OnboardLogs" /stypes="app*4040*20170902*" /stext=" 03:.+((SYSTEM_STATE.+slice.+state.+changed )|(ment ac)|(multiple cpu faults)|(system.+state.+changed )|(\[timeout)|(PRM\|1\|D)|(kpr)|(kdp)|(train st.+moving)|(\|lc)|(penalty))"</v>
      </c>
      <c r="AG144" s="206" t="str">
        <f t="shared" si="53"/>
        <v>EC</v>
      </c>
      <c r="AH144" s="78" t="str">
        <f t="shared" si="54"/>
        <v>"%USERPROFILE%\Documents\GitHub\eaglep3\Utilities\RefineRTDCRunTimes.py" --tripid 229-01 --locoid 4040 --swversion DE.1.0.9.0 --startMP 204:422 --initTime 2017-09-01T20:40:33 --startdatetime 2017-09-01T21:00:16 --delay 335 --endMP 204:233312 --enddatetime 2017-09-01T21:36:17 --enforcementcount 0 &gt;&gt;C:\Users\stu\Documents\GitHub\eaglep3-reporting\EC\2017-09-01-refined-times.txt</v>
      </c>
      <c r="AI144" s="96" t="str">
        <f t="shared" si="55"/>
        <v>echo {"issue":{"subject":"","project_id":79,"tracker_id":40,"status_id":1,"priority_id":2,"assigned_to_id":338,"start_date":"2017-09-01","description":"","custom_fields":[{"id":1,"name":"Subdivision","value":"EC"},{"id":4,"name":"Milepost","value":"23.3312"},{"id":17,"name":"Train ID","value":"229-01"},{"id":16,"name":"Locomotive ID","value":"4040"},{"id":130,"name":"Impact","value":""},{"id":150,"name":"Time of Event (Mountain Time)","value":"21:36:17"},{"id":151,"name":"Denver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56"/>
        <v>start /low /b %USERPROFILE%\Documents\GitHub\eaglep3\Utilities\DownloadLogsFromS3.py --loco 4040 --day 2017-09-01</v>
      </c>
      <c r="AN144" s="151" t="str">
        <f t="shared" si="57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03:36:17"},{"id":29,"name":"Sharepoint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811</v>
      </c>
      <c r="B145" s="7">
        <v>4039</v>
      </c>
      <c r="C145" s="21" t="s">
        <v>197</v>
      </c>
      <c r="D145" s="21" t="s">
        <v>394</v>
      </c>
      <c r="E145" s="13">
        <v>42979.902395833335</v>
      </c>
      <c r="F145" s="13">
        <v>42979.91474537037</v>
      </c>
      <c r="G145" s="7">
        <v>89</v>
      </c>
      <c r="H145" s="21" t="s">
        <v>396</v>
      </c>
      <c r="I145" s="13">
        <v>42979.942349537036</v>
      </c>
      <c r="J145" s="7">
        <v>0</v>
      </c>
      <c r="K145" s="89" t="str">
        <f t="shared" si="40"/>
        <v>4039/4040</v>
      </c>
      <c r="L145" s="214" t="str">
        <f>VLOOKUP(A145,'Trips&amp;Operators'!$C$1:$G$99911,5,FALSE)</f>
        <v>ELBAUM MIKE</v>
      </c>
      <c r="M145" s="6">
        <f t="shared" si="41"/>
        <v>2.7604166665696539E-2</v>
      </c>
      <c r="N145" s="7">
        <f t="shared" si="42"/>
        <v>39.749999998603016</v>
      </c>
      <c r="O145" s="7"/>
      <c r="P145" s="7"/>
      <c r="Q145" s="22"/>
      <c r="R145" s="167"/>
      <c r="S145" s="210">
        <f t="shared" si="43"/>
        <v>1</v>
      </c>
      <c r="T145" s="192" t="str">
        <f t="shared" si="44"/>
        <v>Southbound</v>
      </c>
      <c r="U145" s="192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3" t="str">
        <f t="shared" si="45"/>
        <v>https://d0f6bd738d7f1b3e5a7ca70fe4ff75f0.us-east-1.aws.found.io/app/kibana#/discover/Steve-Slow-Train-Analysis-(2080s-and-2083s)?_g=(refreshInterval:(display:Off,pause:!f,section:0,value:0),time:(from:'2017-09-01T20:39:27-0600',mode:absolute,to:'2017-09-01T23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5" s="194" t="str">
        <f>IF(AA145&lt;VLOOKUP(AG145,Variables!$AC$3:$AD$8,2,FALSE),"Y","N")</f>
        <v>N</v>
      </c>
      <c r="X145" s="194">
        <f t="shared" si="46"/>
        <v>1</v>
      </c>
      <c r="Y145" s="194">
        <f t="shared" si="47"/>
        <v>23.297999999999998</v>
      </c>
      <c r="Z145" s="194">
        <f t="shared" si="48"/>
        <v>1.3599999999999999E-2</v>
      </c>
      <c r="AA145" s="194">
        <f t="shared" si="49"/>
        <v>23.284399999999998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203">
        <f t="shared" si="50"/>
        <v>230</v>
      </c>
      <c r="AE145" s="77" t="str">
        <f t="shared" si="51"/>
        <v>aws s3 cp s3://rtdc.mdm.uploadarchive.raw/RTDC4039/ "%USERPROFILE%\AppData\Local\Temp\OnboardLogs"\RTDC4039\2017-09-01 --exclude "*" --recursive --include "*20170901*" &amp; "%USERPROFILE%\Documents\GitHub\mrs-test-scripts\Headless Mode &amp; Sideloading\WalkAndUnGZ.bat" "%USERPROFILE%\AppData\Local\Temp\OnboardLogs"\RTDC4039\2017-09-01 &amp; aws s3 cp s3://rtdc.mdm.uploadarchive.raw/RTDC4039/ "%USERPROFILE%\AppData\Local\Temp\OnboardLogs"\RTDC4039\2017-09-02 --exclude "*" --recursive --include "*20170902*" &amp; "%USERPROFILE%\Documents\GitHub\mrs-test-scripts\Headless Mode &amp; Sideloading\WalkAndUnGZ.bat" "%USERPROFILE%\AppData\Local\Temp\OnboardLogs"\RTDC4039\2017-09-02</v>
      </c>
      <c r="AF145" s="74" t="str">
        <f t="shared" si="52"/>
        <v>"C:\Program Files (x86)\AstroGrep\AstroGrep.exe" /e /r /s /spath="%USERPROFILE%\AppData\Local\Temp\OnboardLogs" /stypes="app*4039*20170902*" /stext=" 04:.+((SYSTEM_STATE.+slice.+state.+changed )|(ment ac)|(multiple cpu faults)|(system.+state.+changed )|(\[timeout)|(PRM\|1\|D)|(kpr)|(kdp)|(train st.+moving)|(\|lc)|(penalty))"</v>
      </c>
      <c r="AG145" s="206" t="str">
        <f t="shared" si="53"/>
        <v>EC</v>
      </c>
      <c r="AH145" s="78" t="str">
        <f t="shared" si="54"/>
        <v>"%USERPROFILE%\Documents\GitHub\eaglep3\Utilities\RefineRTDCRunTimes.py" --tripid 230-01 --locoid 4039 --swversion DE.1.0.9.0 --startMP 204:232980 --initTime 2017-09-01T21:39:27 --startdatetime 2017-09-01T21:57:14 --delay 89 --endMP 204:136 --enddatetime 2017-09-01T22:36:59 --enforcementcount 0 &gt;&gt;C:\Users\stu\Documents\GitHub\eaglep3-reporting\EC\2017-09-01-refined-times.txt</v>
      </c>
      <c r="AI145" s="96" t="str">
        <f t="shared" si="55"/>
        <v>echo {"issue":{"subject":"","project_id":79,"tracker_id":40,"status_id":1,"priority_id":2,"assigned_to_id":338,"start_date":"2017-09-01","description":"","custom_fields":[{"id":1,"name":"Subdivision","value":"EC"},{"id":4,"name":"Milepost","value":"0.0136"},{"id":17,"name":"Train ID","value":"230-01"},{"id":16,"name":"Locomotive ID","value":"4039"},{"id":130,"name":"Impact","value":""},{"id":150,"name":"Time of Event (Mountain Time)","value":"22:36:59"},{"id":151,"name":"Denver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56"/>
        <v>start /low /b %USERPROFILE%\Documents\GitHub\eaglep3\Utilities\DownloadLogsFromS3.py --loco 4039 --day 2017-09-01</v>
      </c>
      <c r="AN145" s="151" t="str">
        <f t="shared" si="57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04:36:59"},{"id":29,"name":"Sharepoint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808</v>
      </c>
      <c r="B146" s="7">
        <v>4020</v>
      </c>
      <c r="C146" s="21" t="s">
        <v>197</v>
      </c>
      <c r="D146" s="21" t="s">
        <v>367</v>
      </c>
      <c r="E146" s="13">
        <v>42979.885011574072</v>
      </c>
      <c r="F146" s="13">
        <v>42979.896006944444</v>
      </c>
      <c r="G146" s="7">
        <v>86</v>
      </c>
      <c r="H146" s="21" t="s">
        <v>839</v>
      </c>
      <c r="I146" s="13">
        <v>42979.921319444446</v>
      </c>
      <c r="J146" s="7">
        <v>0</v>
      </c>
      <c r="K146" s="89" t="str">
        <f t="shared" si="40"/>
        <v>4019/4020</v>
      </c>
      <c r="L146" s="214" t="str">
        <f>VLOOKUP(A146,'Trips&amp;Operators'!$C$1:$G$99911,5,FALSE)</f>
        <v>YANG JAN</v>
      </c>
      <c r="M146" s="6">
        <f t="shared" si="41"/>
        <v>2.531250000174623E-2</v>
      </c>
      <c r="N146" s="7">
        <f t="shared" si="42"/>
        <v>36.450000002514571</v>
      </c>
      <c r="O146" s="7"/>
      <c r="P146" s="7"/>
      <c r="Q146" s="22"/>
      <c r="R146" s="167"/>
      <c r="S146" s="210">
        <f t="shared" si="43"/>
        <v>1</v>
      </c>
      <c r="T146" s="192" t="str">
        <f t="shared" si="44"/>
        <v>NorthBound</v>
      </c>
      <c r="U146" s="192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3" t="str">
        <f t="shared" si="45"/>
        <v>https://d0f6bd738d7f1b3e5a7ca70fe4ff75f0.us-east-1.aws.found.io/app/kibana#/discover/Steve-Slow-Train-Analysis-(2080s-and-2083s)?_g=(refreshInterval:(display:Off,pause:!f,section:0,value:0),time:(from:'2017-09-01T20:14:25-0600',mode:absolute,to:'2017-09-01T23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6" s="194" t="str">
        <f>IF(AA146&lt;VLOOKUP(AG146,Variables!$AC$3:$AD$8,2,FALSE),"Y","N")</f>
        <v>N</v>
      </c>
      <c r="X146" s="194">
        <f t="shared" si="46"/>
        <v>1</v>
      </c>
      <c r="Y146" s="194">
        <f t="shared" si="47"/>
        <v>4.5699999999999998E-2</v>
      </c>
      <c r="Z146" s="194">
        <f t="shared" si="48"/>
        <v>23.3325</v>
      </c>
      <c r="AA146" s="194">
        <f t="shared" si="49"/>
        <v>23.286799999999999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203">
        <f t="shared" si="50"/>
        <v>231</v>
      </c>
      <c r="AE146" s="77" t="str">
        <f t="shared" si="51"/>
        <v>aws s3 cp s3://rtdc.mdm.uploadarchive.raw/RTDC4020/ "%USERPROFILE%\AppData\Local\Temp\OnboardLogs"\RTDC4020\2017-09-01 --exclude "*" --recursive --include "*20170901*" &amp; "%USERPROFILE%\Documents\GitHub\mrs-test-scripts\Headless Mode &amp; Sideloading\WalkAndUnGZ.bat" "%USERPROFILE%\AppData\Local\Temp\OnboardLogs"\RTDC4020\2017-09-01 &amp; aws s3 cp s3://rtdc.mdm.uploadarchive.raw/RTDC4020/ "%USERPROFILE%\AppData\Local\Temp\OnboardLogs"\RTDC4020\2017-09-02 --exclude "*" --recursive --include "*20170902*" &amp; "%USERPROFILE%\Documents\GitHub\mrs-test-scripts\Headless Mode &amp; Sideloading\WalkAndUnGZ.bat" "%USERPROFILE%\AppData\Local\Temp\OnboardLogs"\RTDC4020\2017-09-02</v>
      </c>
      <c r="AF146" s="74" t="str">
        <f t="shared" si="52"/>
        <v>"C:\Program Files (x86)\AstroGrep\AstroGrep.exe" /e /r /s /spath="%USERPROFILE%\AppData\Local\Temp\OnboardLogs" /stypes="app*4020*20170902*" /stext=" 04:.+((SYSTEM_STATE.+slice.+state.+changed )|(ment ac)|(multiple cpu faults)|(system.+state.+changed )|(\[timeout)|(PRM\|1\|D)|(kpr)|(kdp)|(train st.+moving)|(\|lc)|(penalty))"</v>
      </c>
      <c r="AG146" s="206" t="str">
        <f t="shared" si="53"/>
        <v>EC</v>
      </c>
      <c r="AH146" s="78" t="str">
        <f t="shared" si="54"/>
        <v>"%USERPROFILE%\Documents\GitHub\eaglep3\Utilities\RefineRTDCRunTimes.py" --tripid 231-01 --locoid 4020 --swversion DE.1.0.9.0 --startMP 204:457 --initTime 2017-09-01T21:14:25 --startdatetime 2017-09-01T21:30:15 --delay 86 --endMP 204:233325 --enddatetime 2017-09-01T22:06:42 --enforcementcount 0 &gt;&gt;C:\Users\stu\Documents\GitHub\eaglep3-reporting\EC\2017-09-01-refined-times.txt</v>
      </c>
      <c r="AI146" s="96" t="str">
        <f t="shared" si="55"/>
        <v>echo {"issue":{"subject":"","project_id":79,"tracker_id":40,"status_id":1,"priority_id":2,"assigned_to_id":338,"start_date":"2017-09-01","description":"","custom_fields":[{"id":1,"name":"Subdivision","value":"EC"},{"id":4,"name":"Milepost","value":"23.3325"},{"id":17,"name":"Train ID","value":"231-01"},{"id":16,"name":"Locomotive ID","value":"4020"},{"id":130,"name":"Impact","value":""},{"id":150,"name":"Time of Event (Mountain Time)","value":"22:06:42"},{"id":151,"name":"Denver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56"/>
        <v>start /low /b %USERPROFILE%\Documents\GitHub\eaglep3\Utilities\DownloadLogsFromS3.py --loco 4020 --day 2017-09-01</v>
      </c>
      <c r="AN146" s="151" t="str">
        <f t="shared" si="57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04:06:42"},{"id":29,"name":"Sharepoint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814</v>
      </c>
      <c r="B147" s="7">
        <v>4019</v>
      </c>
      <c r="C147" s="21" t="s">
        <v>197</v>
      </c>
      <c r="D147" s="21" t="s">
        <v>551</v>
      </c>
      <c r="E147" s="13">
        <v>42979.931863425925</v>
      </c>
      <c r="F147" s="13">
        <v>42979.935856481483</v>
      </c>
      <c r="G147" s="7">
        <v>60</v>
      </c>
      <c r="H147" s="21" t="s">
        <v>365</v>
      </c>
      <c r="I147" s="13">
        <v>42979.962743055556</v>
      </c>
      <c r="J147" s="7">
        <v>0</v>
      </c>
      <c r="K147" s="89" t="str">
        <f t="shared" si="40"/>
        <v>4019/4020</v>
      </c>
      <c r="L147" s="214" t="str">
        <f>VLOOKUP(A147,'Trips&amp;Operators'!$C$1:$G$99911,5,FALSE)</f>
        <v>YANG JAN</v>
      </c>
      <c r="M147" s="6">
        <f t="shared" si="41"/>
        <v>2.6886574072705116E-2</v>
      </c>
      <c r="N147" s="7">
        <f t="shared" si="42"/>
        <v>38.716666664695367</v>
      </c>
      <c r="O147" s="7"/>
      <c r="P147" s="7"/>
      <c r="Q147" s="22"/>
      <c r="R147" s="167"/>
      <c r="S147" s="210">
        <f t="shared" si="43"/>
        <v>1</v>
      </c>
      <c r="T147" s="192" t="str">
        <f t="shared" si="44"/>
        <v>Southbound</v>
      </c>
      <c r="U147" s="192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3" t="str">
        <f t="shared" si="45"/>
        <v>https://d0f6bd738d7f1b3e5a7ca70fe4ff75f0.us-east-1.aws.found.io/app/kibana#/discover/Steve-Slow-Train-Analysis-(2080s-and-2083s)?_g=(refreshInterval:(display:Off,pause:!f,section:0,value:0),time:(from:'2017-09-01T21:21:53-0600',mode:absolute,to:'2017-09-02T00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7" s="194" t="str">
        <f>IF(AA147&lt;VLOOKUP(AG147,Variables!$AC$3:$AD$8,2,FALSE),"Y","N")</f>
        <v>N</v>
      </c>
      <c r="X147" s="194">
        <f t="shared" si="46"/>
        <v>1</v>
      </c>
      <c r="Y147" s="194">
        <f t="shared" si="47"/>
        <v>23.2987</v>
      </c>
      <c r="Z147" s="194">
        <f t="shared" si="48"/>
        <v>1.52E-2</v>
      </c>
      <c r="AA147" s="194">
        <f t="shared" si="49"/>
        <v>23.2835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203">
        <f t="shared" si="50"/>
        <v>232</v>
      </c>
      <c r="AE147" s="77" t="str">
        <f t="shared" si="51"/>
        <v>aws s3 cp s3://rtdc.mdm.uploadarchive.raw/RTDC4019/ "%USERPROFILE%\AppData\Local\Temp\OnboardLogs"\RTDC4019\2017-09-01 --exclude "*" --recursive --include "*20170901*" &amp; "%USERPROFILE%\Documents\GitHub\mrs-test-scripts\Headless Mode &amp; Sideloading\WalkAndUnGZ.bat" "%USERPROFILE%\AppData\Local\Temp\OnboardLogs"\RTDC4019\2017-09-01 &amp; aws s3 cp s3://rtdc.mdm.uploadarchive.raw/RTDC4019/ "%USERPROFILE%\AppData\Local\Temp\OnboardLogs"\RTDC4019\2017-09-02 --exclude "*" --recursive --include "*20170902*" &amp; "%USERPROFILE%\Documents\GitHub\mrs-test-scripts\Headless Mode &amp; Sideloading\WalkAndUnGZ.bat" "%USERPROFILE%\AppData\Local\Temp\OnboardLogs"\RTDC4019\2017-09-02</v>
      </c>
      <c r="AF147" s="74" t="str">
        <f t="shared" si="52"/>
        <v>"C:\Program Files (x86)\AstroGrep\AstroGrep.exe" /e /r /s /spath="%USERPROFILE%\AppData\Local\Temp\OnboardLogs" /stypes="app*4019*20170902*" /stext=" 05:.+((SYSTEM_STATE.+slice.+state.+changed )|(ment ac)|(multiple cpu faults)|(system.+state.+changed )|(\[timeout)|(PRM\|1\|D)|(kpr)|(kdp)|(train st.+moving)|(\|lc)|(penalty))"</v>
      </c>
      <c r="AG147" s="206" t="str">
        <f t="shared" si="53"/>
        <v>EC</v>
      </c>
      <c r="AH147" s="78" t="str">
        <f t="shared" si="54"/>
        <v>"%USERPROFILE%\Documents\GitHub\eaglep3\Utilities\RefineRTDCRunTimes.py" --tripid 232-01 --locoid 4019 --swversion DE.1.0.9.0 --startMP 204:232987 --initTime 2017-09-01T22:21:53 --startdatetime 2017-09-01T22:27:38 --delay 60 --endMP 204:152 --enddatetime 2017-09-01T23:06:21 --enforcementcount 0 &gt;&gt;C:\Users\stu\Documents\GitHub\eaglep3-reporting\EC\2017-09-01-refined-times.txt</v>
      </c>
      <c r="AI147" s="96" t="str">
        <f t="shared" si="55"/>
        <v>echo {"issue":{"subject":"","project_id":79,"tracker_id":40,"status_id":1,"priority_id":2,"assigned_to_id":338,"start_date":"2017-09-01","description":"","custom_fields":[{"id":1,"name":"Subdivision","value":"EC"},{"id":4,"name":"Milepost","value":"0.0152"},{"id":17,"name":"Train ID","value":"232-01"},{"id":16,"name":"Locomotive ID","value":"4019"},{"id":130,"name":"Impact","value":""},{"id":150,"name":"Time of Event (Mountain Time)","value":"23:06:21"},{"id":151,"name":"Denver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56"/>
        <v>start /low /b %USERPROFILE%\Documents\GitHub\eaglep3\Utilities\DownloadLogsFromS3.py --loco 4019 --day 2017-09-01</v>
      </c>
      <c r="AN147" s="151" t="str">
        <f t="shared" si="57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05:06:21"},{"id":29,"name":"Sharepoint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812</v>
      </c>
      <c r="B148" s="7">
        <v>4026</v>
      </c>
      <c r="C148" s="21" t="s">
        <v>197</v>
      </c>
      <c r="D148" s="21" t="s">
        <v>377</v>
      </c>
      <c r="E148" s="13">
        <v>42979.904166666667</v>
      </c>
      <c r="F148" s="13">
        <v>42979.916979166665</v>
      </c>
      <c r="G148" s="7">
        <v>58</v>
      </c>
      <c r="H148" s="21" t="s">
        <v>861</v>
      </c>
      <c r="I148" s="13">
        <v>42979.942083333335</v>
      </c>
      <c r="J148" s="7">
        <v>0</v>
      </c>
      <c r="K148" s="89" t="str">
        <f t="shared" si="40"/>
        <v>4025/4026</v>
      </c>
      <c r="L148" s="214" t="str">
        <f>VLOOKUP(A148,'Trips&amp;Operators'!$C$1:$G$99911,5,FALSE)</f>
        <v>PERKINS DARREN</v>
      </c>
      <c r="M148" s="6">
        <f t="shared" si="41"/>
        <v>2.510416667064419E-2</v>
      </c>
      <c r="N148" s="7">
        <f t="shared" si="42"/>
        <v>36.150000005727634</v>
      </c>
      <c r="O148" s="7"/>
      <c r="P148" s="7"/>
      <c r="Q148" s="22"/>
      <c r="R148" s="167"/>
      <c r="S148" s="210">
        <f t="shared" si="43"/>
        <v>1</v>
      </c>
      <c r="T148" s="192" t="str">
        <f t="shared" si="44"/>
        <v>NorthBound</v>
      </c>
      <c r="U148" s="192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3" t="str">
        <f t="shared" si="45"/>
        <v>https://d0f6bd738d7f1b3e5a7ca70fe4ff75f0.us-east-1.aws.found.io/app/kibana#/discover/Steve-Slow-Train-Analysis-(2080s-and-2083s)?_g=(refreshInterval:(display:Off,pause:!f,section:0,value:0),time:(from:'2017-09-01T20:42:00-0600',mode:absolute,to:'2017-09-01T23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8" s="194" t="str">
        <f>IF(AA148&lt;VLOOKUP(AG148,Variables!$AC$3:$AD$8,2,FALSE),"Y","N")</f>
        <v>N</v>
      </c>
      <c r="X148" s="194">
        <f t="shared" si="46"/>
        <v>1</v>
      </c>
      <c r="Y148" s="194">
        <f t="shared" si="47"/>
        <v>4.4400000000000002E-2</v>
      </c>
      <c r="Z148" s="194">
        <f t="shared" si="48"/>
        <v>23.3309</v>
      </c>
      <c r="AA148" s="194">
        <f t="shared" si="49"/>
        <v>23.2865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203">
        <f t="shared" si="50"/>
        <v>233</v>
      </c>
      <c r="AE148" s="77" t="str">
        <f t="shared" si="51"/>
        <v>aws s3 cp s3://rtdc.mdm.uploadarchive.raw/RTDC4026/ "%USERPROFILE%\AppData\Local\Temp\OnboardLogs"\RTDC4026\2017-09-01 --exclude "*" --recursive --include "*20170901*" &amp; "%USERPROFILE%\Documents\GitHub\mrs-test-scripts\Headless Mode &amp; Sideloading\WalkAndUnGZ.bat" "%USERPROFILE%\AppData\Local\Temp\OnboardLogs"\RTDC4026\2017-09-01 &amp; aws s3 cp s3://rtdc.mdm.uploadarchive.raw/RTDC4026/ "%USERPROFILE%\AppData\Local\Temp\OnboardLogs"\RTDC4026\2017-09-02 --exclude "*" --recursive --include "*20170902*" &amp; "%USERPROFILE%\Documents\GitHub\mrs-test-scripts\Headless Mode &amp; Sideloading\WalkAndUnGZ.bat" "%USERPROFILE%\AppData\Local\Temp\OnboardLogs"\RTDC4026\2017-09-02</v>
      </c>
      <c r="AF148" s="74" t="str">
        <f t="shared" si="52"/>
        <v>"C:\Program Files (x86)\AstroGrep\AstroGrep.exe" /e /r /s /spath="%USERPROFILE%\AppData\Local\Temp\OnboardLogs" /stypes="app*4026*20170902*" /stext=" 04:.+((SYSTEM_STATE.+slice.+state.+changed )|(ment ac)|(multiple cpu faults)|(system.+state.+changed )|(\[timeout)|(PRM\|1\|D)|(kpr)|(kdp)|(train st.+moving)|(\|lc)|(penalty))"</v>
      </c>
      <c r="AG148" s="206" t="str">
        <f t="shared" si="53"/>
        <v>EC</v>
      </c>
      <c r="AH148" s="78" t="str">
        <f t="shared" si="54"/>
        <v>"%USERPROFILE%\Documents\GitHub\eaglep3\Utilities\RefineRTDCRunTimes.py" --tripid 233-01 --locoid 4026 --swversion DE.1.0.9.0 --startMP 204:444 --initTime 2017-09-01T21:42:00 --startdatetime 2017-09-01T22:00:27 --delay 58 --endMP 204:233309 --enddatetime 2017-09-01T22:36:36 --enforcementcount 0 &gt;&gt;C:\Users\stu\Documents\GitHub\eaglep3-reporting\EC\2017-09-01-refined-times.txt</v>
      </c>
      <c r="AI148" s="96" t="str">
        <f t="shared" si="55"/>
        <v>echo {"issue":{"subject":"","project_id":79,"tracker_id":40,"status_id":1,"priority_id":2,"assigned_to_id":338,"start_date":"2017-09-01","description":"","custom_fields":[{"id":1,"name":"Subdivision","value":"EC"},{"id":4,"name":"Milepost","value":"23.3309"},{"id":17,"name":"Train ID","value":"233-01"},{"id":16,"name":"Locomotive ID","value":"4026"},{"id":130,"name":"Impact","value":""},{"id":150,"name":"Time of Event (Mountain Time)","value":"22:36:36"},{"id":151,"name":"Denver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56"/>
        <v>start /low /b %USERPROFILE%\Documents\GitHub\eaglep3\Utilities\DownloadLogsFromS3.py --loco 4026 --day 2017-09-01</v>
      </c>
      <c r="AN148" s="151" t="str">
        <f t="shared" si="57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04:36:36"},{"id":29,"name":"Sharepoint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817</v>
      </c>
      <c r="B149" s="7">
        <v>4025</v>
      </c>
      <c r="C149" s="21" t="s">
        <v>197</v>
      </c>
      <c r="D149" s="21" t="s">
        <v>554</v>
      </c>
      <c r="E149" s="13">
        <v>42979.945821759262</v>
      </c>
      <c r="F149" s="13">
        <v>42979.956423611111</v>
      </c>
      <c r="G149" s="7">
        <v>53</v>
      </c>
      <c r="H149" s="21" t="s">
        <v>885</v>
      </c>
      <c r="I149" s="13">
        <v>42979.985011574077</v>
      </c>
      <c r="J149" s="7">
        <v>0</v>
      </c>
      <c r="K149" s="89" t="str">
        <f t="shared" si="40"/>
        <v>4025/4026</v>
      </c>
      <c r="L149" s="214" t="str">
        <f>VLOOKUP(A149,'Trips&amp;Operators'!$C$1:$G$99911,5,FALSE)</f>
        <v>PERKINS DARREN</v>
      </c>
      <c r="M149" s="6">
        <f t="shared" si="41"/>
        <v>2.8587962966412306E-2</v>
      </c>
      <c r="N149" s="7">
        <f t="shared" si="42"/>
        <v>41.16666667163372</v>
      </c>
      <c r="O149" s="7"/>
      <c r="P149" s="7"/>
      <c r="Q149" s="22"/>
      <c r="R149" s="167"/>
      <c r="S149" s="210">
        <f t="shared" si="43"/>
        <v>1</v>
      </c>
      <c r="T149" s="192" t="str">
        <f t="shared" si="44"/>
        <v>Southbound</v>
      </c>
      <c r="U149" s="192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3" t="str">
        <f t="shared" si="45"/>
        <v>https://d0f6bd738d7f1b3e5a7ca70fe4ff75f0.us-east-1.aws.found.io/app/kibana#/discover/Steve-Slow-Train-Analysis-(2080s-and-2083s)?_g=(refreshInterval:(display:Off,pause:!f,section:0,value:0),time:(from:'2017-09-01T21:41:59-0600',mode:absolute,to:'2017-09-02T00:38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9" s="194" t="str">
        <f>IF(AA149&lt;VLOOKUP(AG149,Variables!$AC$3:$AD$8,2,FALSE),"Y","N")</f>
        <v>N</v>
      </c>
      <c r="X149" s="194">
        <f t="shared" si="46"/>
        <v>1</v>
      </c>
      <c r="Y149" s="194">
        <f t="shared" si="47"/>
        <v>23.297799999999999</v>
      </c>
      <c r="Z149" s="194">
        <f t="shared" si="48"/>
        <v>1.2999999999999999E-2</v>
      </c>
      <c r="AA149" s="194">
        <f t="shared" si="49"/>
        <v>23.284799999999997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203">
        <f t="shared" si="50"/>
        <v>234</v>
      </c>
      <c r="AE149" s="77" t="str">
        <f t="shared" si="51"/>
        <v>aws s3 cp s3://rtdc.mdm.uploadarchive.raw/RTDC4025/ "%USERPROFILE%\AppData\Local\Temp\OnboardLogs"\RTDC4025\2017-09-01 --exclude "*" --recursive --include "*20170901*" &amp; "%USERPROFILE%\Documents\GitHub\mrs-test-scripts\Headless Mode &amp; Sideloading\WalkAndUnGZ.bat" "%USERPROFILE%\AppData\Local\Temp\OnboardLogs"\RTDC4025\2017-09-01 &amp; aws s3 cp s3://rtdc.mdm.uploadarchive.raw/RTDC4025/ "%USERPROFILE%\AppData\Local\Temp\OnboardLogs"\RTDC4025\2017-09-02 --exclude "*" --recursive --include "*20170902*" &amp; "%USERPROFILE%\Documents\GitHub\mrs-test-scripts\Headless Mode &amp; Sideloading\WalkAndUnGZ.bat" "%USERPROFILE%\AppData\Local\Temp\OnboardLogs"\RTDC4025\2017-09-02</v>
      </c>
      <c r="AF149" s="74" t="str">
        <f t="shared" si="52"/>
        <v>"C:\Program Files (x86)\AstroGrep\AstroGrep.exe" /e /r /s /spath="%USERPROFILE%\AppData\Local\Temp\OnboardLogs" /stypes="app*4025*20170902*" /stext=" 05:.+((SYSTEM_STATE.+slice.+state.+changed )|(ment ac)|(multiple cpu faults)|(system.+state.+changed )|(\[timeout)|(PRM\|1\|D)|(kpr)|(kdp)|(train st.+moving)|(\|lc)|(penalty))"</v>
      </c>
      <c r="AG149" s="206" t="str">
        <f t="shared" si="53"/>
        <v>EC</v>
      </c>
      <c r="AH149" s="78" t="str">
        <f t="shared" si="54"/>
        <v>"%USERPROFILE%\Documents\GitHub\eaglep3\Utilities\RefineRTDCRunTimes.py" --tripid 234-01 --locoid 4025 --swversion DE.1.0.9.0 --startMP 204:232978 --initTime 2017-09-01T22:41:59 --startdatetime 2017-09-01T22:57:15 --delay 53 --endMP 204:130 --enddatetime 2017-09-01T23:38:25 --enforcementcount 0 &gt;&gt;C:\Users\stu\Documents\GitHub\eaglep3-reporting\EC\2017-09-01-refined-times.txt</v>
      </c>
      <c r="AI149" s="96" t="str">
        <f t="shared" si="55"/>
        <v>echo {"issue":{"subject":"","project_id":79,"tracker_id":40,"status_id":1,"priority_id":2,"assigned_to_id":338,"start_date":"2017-09-01","description":"","custom_fields":[{"id":1,"name":"Subdivision","value":"EC"},{"id":4,"name":"Milepost","value":"0.013"},{"id":17,"name":"Train ID","value":"234-01"},{"id":16,"name":"Locomotive ID","value":"4025"},{"id":130,"name":"Impact","value":""},{"id":150,"name":"Time of Event (Mountain Time)","value":"23:38:25"},{"id":151,"name":"Denver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56"/>
        <v>start /low /b %USERPROFILE%\Documents\GitHub\eaglep3\Utilities\DownloadLogsFromS3.py --loco 4025 --day 2017-09-01</v>
      </c>
      <c r="AN149" s="151" t="str">
        <f t="shared" si="57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05:38:25"},{"id":29,"name":"Sharepoint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813</v>
      </c>
      <c r="B150" s="7">
        <v>4012</v>
      </c>
      <c r="C150" s="21" t="s">
        <v>197</v>
      </c>
      <c r="D150" s="21" t="s">
        <v>383</v>
      </c>
      <c r="E150" s="13">
        <v>42979.925671296296</v>
      </c>
      <c r="F150" s="13">
        <v>42979.937881944446</v>
      </c>
      <c r="G150" s="7">
        <v>90</v>
      </c>
      <c r="H150" s="21" t="s">
        <v>563</v>
      </c>
      <c r="I150" s="13">
        <v>42979.965150462966</v>
      </c>
      <c r="J150" s="7">
        <v>0</v>
      </c>
      <c r="K150" s="89" t="str">
        <f t="shared" si="40"/>
        <v>4011/4012</v>
      </c>
      <c r="L150" s="214" t="str">
        <f>VLOOKUP(A150,'Trips&amp;Operators'!$C$1:$G$99911,5,FALSE)</f>
        <v>NICHOLSON WESLEY</v>
      </c>
      <c r="M150" s="6">
        <f t="shared" si="41"/>
        <v>2.7268518519122154E-2</v>
      </c>
      <c r="N150" s="7">
        <f t="shared" si="42"/>
        <v>39.266666667535901</v>
      </c>
      <c r="O150" s="7"/>
      <c r="P150" s="7"/>
      <c r="Q150" s="22"/>
      <c r="R150" s="167"/>
      <c r="S150" s="210">
        <f t="shared" si="43"/>
        <v>1</v>
      </c>
      <c r="T150" s="192" t="str">
        <f t="shared" si="44"/>
        <v>NorthBound</v>
      </c>
      <c r="U150" s="192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3" t="str">
        <f t="shared" si="45"/>
        <v>https://d0f6bd738d7f1b3e5a7ca70fe4ff75f0.us-east-1.aws.found.io/app/kibana#/discover/Steve-Slow-Train-Analysis-(2080s-and-2083s)?_g=(refreshInterval:(display:Off,pause:!f,section:0,value:0),time:(from:'2017-09-01T21:12:58-0600',mode:absolute,to:'2017-09-02T00:09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0" s="194" t="str">
        <f>IF(AA150&lt;VLOOKUP(AG150,Variables!$AC$3:$AD$8,2,FALSE),"Y","N")</f>
        <v>N</v>
      </c>
      <c r="X150" s="194">
        <f t="shared" si="46"/>
        <v>1</v>
      </c>
      <c r="Y150" s="194">
        <f t="shared" si="47"/>
        <v>4.6699999999999998E-2</v>
      </c>
      <c r="Z150" s="194">
        <f t="shared" si="48"/>
        <v>23.329899999999999</v>
      </c>
      <c r="AA150" s="194">
        <f t="shared" si="49"/>
        <v>23.283199999999997</v>
      </c>
      <c r="AB150" s="54" t="e">
        <f>VLOOKUP(A150,Enforcements!$C$7:$K$11,8,0)</f>
        <v>#N/A</v>
      </c>
      <c r="AC150" s="51" t="e">
        <f>VLOOKUP(A150,Enforcements!$C$7:$E$11,3,0)</f>
        <v>#N/A</v>
      </c>
      <c r="AD150" s="203">
        <f t="shared" si="50"/>
        <v>235</v>
      </c>
      <c r="AE150" s="77" t="str">
        <f t="shared" si="51"/>
        <v>aws s3 cp s3://rtdc.mdm.uploadarchive.raw/RTDC4012/ "%USERPROFILE%\AppData\Local\Temp\OnboardLogs"\RTDC4012\2017-09-01 --exclude "*" --recursive --include "*20170901*" &amp; "%USERPROFILE%\Documents\GitHub\mrs-test-scripts\Headless Mode &amp; Sideloading\WalkAndUnGZ.bat" "%USERPROFILE%\AppData\Local\Temp\OnboardLogs"\RTDC4012\2017-09-01 &amp; aws s3 cp s3://rtdc.mdm.uploadarchive.raw/RTDC4012/ "%USERPROFILE%\AppData\Local\Temp\OnboardLogs"\RTDC4012\2017-09-02 --exclude "*" --recursive --include "*20170902*" &amp; "%USERPROFILE%\Documents\GitHub\mrs-test-scripts\Headless Mode &amp; Sideloading\WalkAndUnGZ.bat" "%USERPROFILE%\AppData\Local\Temp\OnboardLogs"\RTDC4012\2017-09-02</v>
      </c>
      <c r="AF150" s="74" t="str">
        <f t="shared" si="52"/>
        <v>"C:\Program Files (x86)\AstroGrep\AstroGrep.exe" /e /r /s /spath="%USERPROFILE%\AppData\Local\Temp\OnboardLogs" /stypes="app*4012*20170902*" /stext=" 05:.+((SYSTEM_STATE.+slice.+state.+changed )|(ment ac)|(multiple cpu faults)|(system.+state.+changed )|(\[timeout)|(PRM\|1\|D)|(kpr)|(kdp)|(train st.+moving)|(\|lc)|(penalty))"</v>
      </c>
      <c r="AG150" s="206" t="str">
        <f t="shared" si="53"/>
        <v>EC</v>
      </c>
      <c r="AH150" s="78" t="str">
        <f t="shared" si="54"/>
        <v>"%USERPROFILE%\Documents\GitHub\eaglep3\Utilities\RefineRTDCRunTimes.py" --tripid 235-01 --locoid 4012 --swversion DE.1.0.9.0 --startMP 204:467 --initTime 2017-09-01T22:12:58 --startdatetime 2017-09-01T22:30:33 --delay 90 --endMP 204:233299 --enddatetime 2017-09-01T23:09:49 --enforcementcount 0 &gt;&gt;C:\Users\stu\Documents\GitHub\eaglep3-reporting\EC\2017-09-01-refined-times.txt</v>
      </c>
      <c r="AI150" s="96" t="str">
        <f t="shared" si="55"/>
        <v>echo {"issue":{"subject":"","project_id":79,"tracker_id":40,"status_id":1,"priority_id":2,"assigned_to_id":338,"start_date":"2017-09-01","description":"","custom_fields":[{"id":1,"name":"Subdivision","value":"EC"},{"id":4,"name":"Milepost","value":"23.3299"},{"id":17,"name":"Train ID","value":"235-01"},{"id":16,"name":"Locomotive ID","value":"4012"},{"id":130,"name":"Impact","value":""},{"id":150,"name":"Time of Event (Mountain Time)","value":"23:09:49"},{"id":151,"name":"Denver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56"/>
        <v>start /low /b %USERPROFILE%\Documents\GitHub\eaglep3\Utilities\DownloadLogsFromS3.py --loco 4012 --day 2017-09-01</v>
      </c>
      <c r="AN150" s="151" t="str">
        <f t="shared" si="57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05:09:49"},{"id":29,"name":"Sharepoint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819</v>
      </c>
      <c r="B151" s="7">
        <v>4011</v>
      </c>
      <c r="C151" s="21" t="s">
        <v>197</v>
      </c>
      <c r="D151" s="21" t="s">
        <v>444</v>
      </c>
      <c r="E151" s="13">
        <v>42979.972071759257</v>
      </c>
      <c r="F151" s="13">
        <v>42979.977326388886</v>
      </c>
      <c r="G151" s="7">
        <v>57</v>
      </c>
      <c r="H151" s="21" t="s">
        <v>340</v>
      </c>
      <c r="I151" s="13">
        <v>42980.005960648145</v>
      </c>
      <c r="J151" s="7">
        <v>0</v>
      </c>
      <c r="K151" s="89" t="str">
        <f t="shared" si="40"/>
        <v>4011/4012</v>
      </c>
      <c r="L151" s="214" t="str">
        <f>VLOOKUP(A151,'Trips&amp;Operators'!$C$1:$G$99911,5,FALSE)</f>
        <v>NICHOLSON WESLEY</v>
      </c>
      <c r="M151" s="6">
        <f t="shared" si="41"/>
        <v>2.8634259258979E-2</v>
      </c>
      <c r="N151" s="7">
        <f t="shared" si="42"/>
        <v>41.23333333292976</v>
      </c>
      <c r="O151" s="7"/>
      <c r="P151" s="7"/>
      <c r="Q151" s="22"/>
      <c r="R151" s="167"/>
      <c r="S151" s="210">
        <f t="shared" si="43"/>
        <v>1</v>
      </c>
      <c r="T151" s="192" t="str">
        <f t="shared" si="44"/>
        <v>Southbound</v>
      </c>
      <c r="U151" s="192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3" t="str">
        <f t="shared" si="45"/>
        <v>https://d0f6bd738d7f1b3e5a7ca70fe4ff75f0.us-east-1.aws.found.io/app/kibana#/discover/Steve-Slow-Train-Analysis-(2080s-and-2083s)?_g=(refreshInterval:(display:Off,pause:!f,section:0,value:0),time:(from:'2017-09-01T22:19:47-0600',mode:absolute,to:'2017-09-02T01:08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1" s="194" t="str">
        <f>IF(AA151&lt;VLOOKUP(AG151,Variables!$AC$3:$AD$8,2,FALSE),"Y","N")</f>
        <v>N</v>
      </c>
      <c r="X151" s="194">
        <f t="shared" si="46"/>
        <v>1</v>
      </c>
      <c r="Y151" s="194">
        <f t="shared" si="47"/>
        <v>23.298200000000001</v>
      </c>
      <c r="Z151" s="194">
        <f t="shared" si="48"/>
        <v>1.43E-2</v>
      </c>
      <c r="AA151" s="194">
        <f t="shared" si="49"/>
        <v>23.283900000000003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203">
        <f t="shared" si="50"/>
        <v>236</v>
      </c>
      <c r="AE151" s="77" t="str">
        <f t="shared" si="51"/>
        <v>aws s3 cp s3://rtdc.mdm.uploadarchive.raw/RTDC4011/ "%USERPROFILE%\AppData\Local\Temp\OnboardLogs"\RTDC4011\2017-09-01 --exclude "*" --recursive --include "*20170901*" &amp; "%USERPROFILE%\Documents\GitHub\mrs-test-scripts\Headless Mode &amp; Sideloading\WalkAndUnGZ.bat" "%USERPROFILE%\AppData\Local\Temp\OnboardLogs"\RTDC4011\2017-09-01 &amp; aws s3 cp s3://rtdc.mdm.uploadarchive.raw/RTDC4011/ "%USERPROFILE%\AppData\Local\Temp\OnboardLogs"\RTDC4011\2017-09-02 --exclude "*" --recursive --include "*20170902*" &amp; "%USERPROFILE%\Documents\GitHub\mrs-test-scripts\Headless Mode &amp; Sideloading\WalkAndUnGZ.bat" "%USERPROFILE%\AppData\Local\Temp\OnboardLogs"\RTDC4011\2017-09-02</v>
      </c>
      <c r="AF151" s="74" t="str">
        <f t="shared" si="52"/>
        <v>"C:\Program Files (x86)\AstroGrep\AstroGrep.exe" /e /r /s /spath="%USERPROFILE%\AppData\Local\Temp\OnboardLogs" /stypes="app*4011*20170902*" /stext=" 06:.+((SYSTEM_STATE.+slice.+state.+changed )|(ment ac)|(multiple cpu faults)|(system.+state.+changed )|(\[timeout)|(PRM\|1\|D)|(kpr)|(kdp)|(train st.+moving)|(\|lc)|(penalty))"</v>
      </c>
      <c r="AG151" s="206" t="str">
        <f t="shared" si="53"/>
        <v>EC</v>
      </c>
      <c r="AH151" s="78" t="str">
        <f t="shared" si="54"/>
        <v>"%USERPROFILE%\Documents\GitHub\eaglep3\Utilities\RefineRTDCRunTimes.py" --tripid 236-01 --locoid 4011 --swversion DE.1.0.9.0 --startMP 204:232982 --initTime 2017-09-01T23:19:47 --startdatetime 2017-09-01T23:27:21 --delay 57 --endMP 204:143 --enddatetime 2017-09-02T00:08:35 --enforcementcount 0 &gt;&gt;C:\Users\stu\Documents\GitHub\eaglep3-reporting\EC\2017-09-01-refined-times.txt</v>
      </c>
      <c r="AI151" s="96" t="str">
        <f t="shared" si="55"/>
        <v>echo {"issue":{"subject":"","project_id":79,"tracker_id":40,"status_id":1,"priority_id":2,"assigned_to_id":338,"start_date":"2017-09-02","description":"","custom_fields":[{"id":1,"name":"Subdivision","value":"EC"},{"id":4,"name":"Milepost","value":"0.0143"},{"id":17,"name":"Train ID","value":"236-01"},{"id":16,"name":"Locomotive ID","value":"4011"},{"id":130,"name":"Impact","value":""},{"id":150,"name":"Time of Event (Mountain Time)","value":"00:08:35"},{"id":151,"name":"Denver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56"/>
        <v>start /low /b %USERPROFILE%\Documents\GitHub\eaglep3\Utilities\DownloadLogsFromS3.py --loco 4011 --day 2017-09-01</v>
      </c>
      <c r="AN151" s="151" t="str">
        <f t="shared" si="57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06:08:35"},{"id":29,"name":"Sharepoint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816</v>
      </c>
      <c r="B152" s="7">
        <v>4040</v>
      </c>
      <c r="C152" s="21" t="s">
        <v>197</v>
      </c>
      <c r="D152" s="21" t="s">
        <v>367</v>
      </c>
      <c r="E152" s="13">
        <v>42979.944097222222</v>
      </c>
      <c r="F152" s="13">
        <v>42979.958506944444</v>
      </c>
      <c r="G152" s="7">
        <v>64</v>
      </c>
      <c r="H152" s="21" t="s">
        <v>408</v>
      </c>
      <c r="I152" s="13">
        <v>42979.986921296295</v>
      </c>
      <c r="J152" s="7">
        <v>0</v>
      </c>
      <c r="K152" s="89" t="str">
        <f t="shared" si="40"/>
        <v>4039/4040</v>
      </c>
      <c r="L152" s="214" t="str">
        <f>VLOOKUP(A152,'Trips&amp;Operators'!$C$1:$G$99911,5,FALSE)</f>
        <v>ELBAUM MIKE</v>
      </c>
      <c r="M152" s="6">
        <f t="shared" si="41"/>
        <v>2.8414351851097308E-2</v>
      </c>
      <c r="N152" s="7">
        <f t="shared" si="42"/>
        <v>40.916666665580124</v>
      </c>
      <c r="O152" s="7"/>
      <c r="P152" s="7"/>
      <c r="Q152" s="22"/>
      <c r="R152" s="167"/>
      <c r="S152" s="210">
        <f t="shared" si="43"/>
        <v>1</v>
      </c>
      <c r="T152" s="192" t="str">
        <f t="shared" si="44"/>
        <v>NorthBound</v>
      </c>
      <c r="U152" s="192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3" t="str">
        <f t="shared" si="45"/>
        <v>https://d0f6bd738d7f1b3e5a7ca70fe4ff75f0.us-east-1.aws.found.io/app/kibana#/discover/Steve-Slow-Train-Analysis-(2080s-and-2083s)?_g=(refreshInterval:(display:Off,pause:!f,section:0,value:0),time:(from:'2017-09-01T21:39:30-0600',mode:absolute,to:'2017-09-02T00:41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2" s="194" t="str">
        <f>IF(AA152&lt;VLOOKUP(AG152,Variables!$AC$3:$AD$8,2,FALSE),"Y","N")</f>
        <v>N</v>
      </c>
      <c r="X152" s="194">
        <f t="shared" si="46"/>
        <v>1</v>
      </c>
      <c r="Y152" s="194">
        <f t="shared" si="47"/>
        <v>4.5699999999999998E-2</v>
      </c>
      <c r="Z152" s="194">
        <f t="shared" si="48"/>
        <v>23.329699999999999</v>
      </c>
      <c r="AA152" s="194">
        <f t="shared" si="49"/>
        <v>23.283999999999999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203">
        <f t="shared" si="50"/>
        <v>237</v>
      </c>
      <c r="AE152" s="77" t="str">
        <f t="shared" si="51"/>
        <v>aws s3 cp s3://rtdc.mdm.uploadarchive.raw/RTDC4040/ "%USERPROFILE%\AppData\Local\Temp\OnboardLogs"\RTDC4040\2017-09-01 --exclude "*" --recursive --include "*20170901*" &amp; "%USERPROFILE%\Documents\GitHub\mrs-test-scripts\Headless Mode &amp; Sideloading\WalkAndUnGZ.bat" "%USERPROFILE%\AppData\Local\Temp\OnboardLogs"\RTDC4040\2017-09-01 &amp; aws s3 cp s3://rtdc.mdm.uploadarchive.raw/RTDC4040/ "%USERPROFILE%\AppData\Local\Temp\OnboardLogs"\RTDC4040\2017-09-02 --exclude "*" --recursive --include "*20170902*" &amp; "%USERPROFILE%\Documents\GitHub\mrs-test-scripts\Headless Mode &amp; Sideloading\WalkAndUnGZ.bat" "%USERPROFILE%\AppData\Local\Temp\OnboardLogs"\RTDC4040\2017-09-02</v>
      </c>
      <c r="AF152" s="74" t="str">
        <f t="shared" si="52"/>
        <v>"C:\Program Files (x86)\AstroGrep\AstroGrep.exe" /e /r /s /spath="%USERPROFILE%\AppData\Local\Temp\OnboardLogs" /stypes="app*4040*20170902*" /stext=" 05:.+((SYSTEM_STATE.+slice.+state.+changed )|(ment ac)|(multiple cpu faults)|(system.+state.+changed )|(\[timeout)|(PRM\|1\|D)|(kpr)|(kdp)|(train st.+moving)|(\|lc)|(penalty))"</v>
      </c>
      <c r="AG152" s="206" t="str">
        <f t="shared" si="53"/>
        <v>EC</v>
      </c>
      <c r="AH152" s="78" t="str">
        <f t="shared" si="54"/>
        <v>"%USERPROFILE%\Documents\GitHub\eaglep3\Utilities\RefineRTDCRunTimes.py" --tripid 237-01 --locoid 4040 --swversion DE.1.0.9.0 --startMP 204:457 --initTime 2017-09-01T22:39:30 --startdatetime 2017-09-01T23:00:15 --delay 64 --endMP 204:233297 --enddatetime 2017-09-01T23:41:10 --enforcementcount 0 &gt;&gt;C:\Users\stu\Documents\GitHub\eaglep3-reporting\EC\2017-09-01-refined-times.txt</v>
      </c>
      <c r="AI152" s="96" t="str">
        <f t="shared" si="55"/>
        <v>echo {"issue":{"subject":"","project_id":79,"tracker_id":40,"status_id":1,"priority_id":2,"assigned_to_id":338,"start_date":"2017-09-01","description":"","custom_fields":[{"id":1,"name":"Subdivision","value":"EC"},{"id":4,"name":"Milepost","value":"23.3297"},{"id":17,"name":"Train ID","value":"237-01"},{"id":16,"name":"Locomotive ID","value":"4040"},{"id":130,"name":"Impact","value":""},{"id":150,"name":"Time of Event (Mountain Time)","value":"23:41:10"},{"id":151,"name":"Denver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56"/>
        <v>start /low /b %USERPROFILE%\Documents\GitHub\eaglep3\Utilities\DownloadLogsFromS3.py --loco 4040 --day 2017-09-01</v>
      </c>
      <c r="AN152" s="151" t="str">
        <f t="shared" si="57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05:41:10"},{"id":29,"name":"Sharepoint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616</v>
      </c>
      <c r="B153" s="7">
        <v>4039</v>
      </c>
      <c r="C153" s="21" t="s">
        <v>197</v>
      </c>
      <c r="D153" s="21" t="s">
        <v>846</v>
      </c>
      <c r="E153" s="13">
        <v>42979.988657407404</v>
      </c>
      <c r="F153" s="13">
        <v>42979.998078703706</v>
      </c>
      <c r="G153" s="7">
        <v>192</v>
      </c>
      <c r="H153" s="21" t="s">
        <v>546</v>
      </c>
      <c r="I153" s="13">
        <v>42980.026388888888</v>
      </c>
      <c r="J153" s="7">
        <v>0</v>
      </c>
      <c r="K153" s="89" t="str">
        <f t="shared" si="40"/>
        <v>4039/4040</v>
      </c>
      <c r="L153" s="214" t="str">
        <f>VLOOKUP(A153,'Trips&amp;Operators'!$C$1:$G$99911,5,FALSE)</f>
        <v>ELBAUM MIKE</v>
      </c>
      <c r="M153" s="6">
        <f t="shared" si="41"/>
        <v>2.8310185181908309E-2</v>
      </c>
      <c r="N153" s="7">
        <f t="shared" si="42"/>
        <v>40.766666661947966</v>
      </c>
      <c r="O153" s="7"/>
      <c r="P153" s="7"/>
      <c r="Q153" s="22"/>
      <c r="R153" s="167"/>
      <c r="S153" s="210">
        <f t="shared" si="43"/>
        <v>1</v>
      </c>
      <c r="T153" s="192" t="str">
        <f t="shared" si="44"/>
        <v>Southbound</v>
      </c>
      <c r="U153" s="192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3" t="str">
        <f t="shared" si="45"/>
        <v>https://d0f6bd738d7f1b3e5a7ca70fe4ff75f0.us-east-1.aws.found.io/app/kibana#/discover/Steve-Slow-Train-Analysis-(2080s-and-2083s)?_g=(refreshInterval:(display:Off,pause:!f,section:0,value:0),time:(from:'2017-09-01T22:43:40-0600',mode:absolute,to:'2017-09-02T01:38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3" s="194" t="str">
        <f>IF(AA153&lt;VLOOKUP(AG153,Variables!$AC$3:$AD$8,2,FALSE),"Y","N")</f>
        <v>N</v>
      </c>
      <c r="X153" s="194">
        <f t="shared" si="46"/>
        <v>1</v>
      </c>
      <c r="Y153" s="194">
        <f t="shared" si="47"/>
        <v>23.297499999999999</v>
      </c>
      <c r="Z153" s="194">
        <f t="shared" si="48"/>
        <v>1.5800000000000002E-2</v>
      </c>
      <c r="AA153" s="194">
        <f t="shared" si="49"/>
        <v>23.281700000000001</v>
      </c>
      <c r="AB153" s="54" t="str">
        <f>VLOOKUP(A153,Enforcements!$C$7:$K$11,8,0)</f>
        <v>Speed (6)</v>
      </c>
      <c r="AC153" s="51" t="str">
        <f>VLOOKUP(A153,Enforcements!$C$7:$E$11,3,0)</f>
        <v>PERMANENT SPEED RESTRICTION</v>
      </c>
      <c r="AD153" s="203">
        <f t="shared" si="50"/>
        <v>238</v>
      </c>
      <c r="AE153" s="77" t="str">
        <f t="shared" si="51"/>
        <v>aws s3 cp s3://rtdc.mdm.uploadarchive.raw/RTDC4039/ "%USERPROFILE%\AppData\Local\Temp\OnboardLogs"\RTDC4039\2017-09-01 --exclude "*" --recursive --include "*20170901*" &amp; "%USERPROFILE%\Documents\GitHub\mrs-test-scripts\Headless Mode &amp; Sideloading\WalkAndUnGZ.bat" "%USERPROFILE%\AppData\Local\Temp\OnboardLogs"\RTDC4039\2017-09-01 &amp; aws s3 cp s3://rtdc.mdm.uploadarchive.raw/RTDC4039/ "%USERPROFILE%\AppData\Local\Temp\OnboardLogs"\RTDC4039\2017-09-02 --exclude "*" --recursive --include "*20170902*" &amp; "%USERPROFILE%\Documents\GitHub\mrs-test-scripts\Headless Mode &amp; Sideloading\WalkAndUnGZ.bat" "%USERPROFILE%\AppData\Local\Temp\OnboardLogs"\RTDC4039\2017-09-02</v>
      </c>
      <c r="AF153" s="74" t="str">
        <f t="shared" si="52"/>
        <v>"C:\Program Files (x86)\AstroGrep\AstroGrep.exe" /e /r /s /spath="%USERPROFILE%\AppData\Local\Temp\OnboardLogs" /stypes="app*4039*20170902*" /stext=" 06:.+((SYSTEM_STATE.+slice.+state.+changed )|(ment ac)|(multiple cpu faults)|(system.+state.+changed )|(\[timeout)|(PRM\|1\|D)|(kpr)|(kdp)|(train st.+moving)|(\|lc)|(penalty))"</v>
      </c>
      <c r="AG153" s="206" t="str">
        <f t="shared" si="53"/>
        <v>EC</v>
      </c>
      <c r="AH153" s="78" t="str">
        <f t="shared" si="54"/>
        <v>"%USERPROFILE%\Documents\GitHub\eaglep3\Utilities\RefineRTDCRunTimes.py" --tripid 238-01 --locoid 4039 --swversion DE.1.0.9.0 --startMP 204:232975 --initTime 2017-09-01T23:43:40 --startdatetime 2017-09-01T23:57:14 --delay 192 --endMP 204:158 --enddatetime 2017-09-02T00:38:00 --enforcementcount 0 &gt;&gt;C:\Users\stu\Documents\GitHub\eaglep3-reporting\EC\2017-09-01-refined-times.txt</v>
      </c>
      <c r="AI153" s="96" t="str">
        <f t="shared" si="55"/>
        <v>echo {"issue":{"subject":"","project_id":79,"tracker_id":40,"status_id":1,"priority_id":2,"assigned_to_id":338,"start_date":"2017-09-02","description":"","custom_fields":[{"id":1,"name":"Subdivision","value":"EC"},{"id":4,"name":"Milepost","value":"0.0158"},{"id":17,"name":"Train ID","value":"238-01"},{"id":16,"name":"Locomotive ID","value":"4039"},{"id":130,"name":"Impact","value":""},{"id":150,"name":"Time of Event (Mountain Time)","value":"00:38:00"},{"id":151,"name":"Denver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56"/>
        <v>start /low /b %USERPROFILE%\Documents\GitHub\eaglep3\Utilities\DownloadLogsFromS3.py --loco 4039 --day 2017-09-01</v>
      </c>
      <c r="AN153" s="151" t="str">
        <f t="shared" si="57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06:38:00"},{"id":29,"name":"Sharepoint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820</v>
      </c>
      <c r="B154" s="7">
        <v>4020</v>
      </c>
      <c r="C154" s="21" t="s">
        <v>197</v>
      </c>
      <c r="D154" s="21" t="s">
        <v>355</v>
      </c>
      <c r="E154" s="13">
        <v>42979.972951388889</v>
      </c>
      <c r="F154" s="13">
        <v>42979.97934027778</v>
      </c>
      <c r="G154" s="7">
        <v>50</v>
      </c>
      <c r="H154" s="21" t="s">
        <v>886</v>
      </c>
      <c r="I154" s="13">
        <v>42980.008587962962</v>
      </c>
      <c r="J154" s="7">
        <v>0</v>
      </c>
      <c r="K154" s="89" t="str">
        <f t="shared" si="40"/>
        <v>4019/4020</v>
      </c>
      <c r="L154" s="214" t="str">
        <f>VLOOKUP(A154,'Trips&amp;Operators'!$C$1:$G$99911,5,FALSE)</f>
        <v>YANG JAN</v>
      </c>
      <c r="M154" s="6">
        <f t="shared" si="41"/>
        <v>2.9247685182781424E-2</v>
      </c>
      <c r="N154" s="7">
        <f t="shared" si="42"/>
        <v>42.116666663205251</v>
      </c>
      <c r="O154" s="7"/>
      <c r="P154" s="7"/>
      <c r="Q154" s="22"/>
      <c r="R154" s="167"/>
      <c r="S154" s="210">
        <f t="shared" si="43"/>
        <v>1</v>
      </c>
      <c r="T154" s="192" t="str">
        <f t="shared" si="44"/>
        <v>NorthBound</v>
      </c>
      <c r="U154" s="192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3" t="str">
        <f t="shared" si="45"/>
        <v>https://d0f6bd738d7f1b3e5a7ca70fe4ff75f0.us-east-1.aws.found.io/app/kibana#/discover/Steve-Slow-Train-Analysis-(2080s-and-2083s)?_g=(refreshInterval:(display:Off,pause:!f,section:0,value:0),time:(from:'2017-09-01T22:21:03-0600',mode:absolute,to:'2017-09-02T01:12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4" s="194" t="str">
        <f>IF(AA154&lt;VLOOKUP(AG154,Variables!$AC$3:$AD$8,2,FALSE),"Y","N")</f>
        <v>N</v>
      </c>
      <c r="X154" s="194">
        <f t="shared" si="46"/>
        <v>1</v>
      </c>
      <c r="Y154" s="194">
        <f t="shared" si="47"/>
        <v>4.5499999999999999E-2</v>
      </c>
      <c r="Z154" s="194">
        <f t="shared" si="48"/>
        <v>23.3261</v>
      </c>
      <c r="AA154" s="194">
        <f t="shared" si="49"/>
        <v>23.2806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203">
        <f t="shared" si="50"/>
        <v>239</v>
      </c>
      <c r="AE154" s="77" t="str">
        <f t="shared" si="51"/>
        <v>aws s3 cp s3://rtdc.mdm.uploadarchive.raw/RTDC4020/ "%USERPROFILE%\AppData\Local\Temp\OnboardLogs"\RTDC4020\2017-09-01 --exclude "*" --recursive --include "*20170901*" &amp; "%USERPROFILE%\Documents\GitHub\mrs-test-scripts\Headless Mode &amp; Sideloading\WalkAndUnGZ.bat" "%USERPROFILE%\AppData\Local\Temp\OnboardLogs"\RTDC4020\2017-09-01 &amp; aws s3 cp s3://rtdc.mdm.uploadarchive.raw/RTDC4020/ "%USERPROFILE%\AppData\Local\Temp\OnboardLogs"\RTDC4020\2017-09-02 --exclude "*" --recursive --include "*20170902*" &amp; "%USERPROFILE%\Documents\GitHub\mrs-test-scripts\Headless Mode &amp; Sideloading\WalkAndUnGZ.bat" "%USERPROFILE%\AppData\Local\Temp\OnboardLogs"\RTDC4020\2017-09-02</v>
      </c>
      <c r="AF154" s="74" t="str">
        <f t="shared" si="52"/>
        <v>"C:\Program Files (x86)\AstroGrep\AstroGrep.exe" /e /r /s /spath="%USERPROFILE%\AppData\Local\Temp\OnboardLogs" /stypes="app*4020*20170902*" /stext=" 06:.+((SYSTEM_STATE.+slice.+state.+changed )|(ment ac)|(multiple cpu faults)|(system.+state.+changed )|(\[timeout)|(PRM\|1\|D)|(kpr)|(kdp)|(train st.+moving)|(\|lc)|(penalty))"</v>
      </c>
      <c r="AG154" s="206" t="str">
        <f t="shared" si="53"/>
        <v>EC</v>
      </c>
      <c r="AH154" s="78" t="str">
        <f t="shared" si="54"/>
        <v>"%USERPROFILE%\Documents\GitHub\eaglep3\Utilities\RefineRTDCRunTimes.py" --tripid 239-01 --locoid 4020 --swversion DE.1.0.9.0 --startMP 204:455 --initTime 2017-09-01T23:21:03 --startdatetime 2017-09-01T23:30:15 --delay 50 --endMP 204:233261 --enddatetime 2017-09-02T00:12:22 --enforcementcount 0 &gt;&gt;C:\Users\stu\Documents\GitHub\eaglep3-reporting\EC\2017-09-01-refined-times.txt</v>
      </c>
      <c r="AI154" s="96" t="str">
        <f t="shared" si="55"/>
        <v>echo {"issue":{"subject":"","project_id":79,"tracker_id":40,"status_id":1,"priority_id":2,"assigned_to_id":338,"start_date":"2017-09-02","description":"","custom_fields":[{"id":1,"name":"Subdivision","value":"EC"},{"id":4,"name":"Milepost","value":"23.3261"},{"id":17,"name":"Train ID","value":"239-01"},{"id":16,"name":"Locomotive ID","value":"4020"},{"id":130,"name":"Impact","value":""},{"id":150,"name":"Time of Event (Mountain Time)","value":"00:12:22"},{"id":151,"name":"Denver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56"/>
        <v>start /low /b %USERPROFILE%\Documents\GitHub\eaglep3\Utilities\DownloadLogsFromS3.py --loco 4020 --day 2017-09-01</v>
      </c>
      <c r="AN154" s="151" t="str">
        <f t="shared" si="57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06:12:22"},{"id":29,"name":"Sharepoint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824</v>
      </c>
      <c r="B155" s="7">
        <v>4019</v>
      </c>
      <c r="C155" s="21" t="s">
        <v>197</v>
      </c>
      <c r="D155" s="21" t="s">
        <v>887</v>
      </c>
      <c r="E155" s="13">
        <v>42980.015081018515</v>
      </c>
      <c r="F155" s="13">
        <v>42980.018969907411</v>
      </c>
      <c r="G155" s="7">
        <v>71</v>
      </c>
      <c r="H155" s="21" t="s">
        <v>441</v>
      </c>
      <c r="I155" s="13">
        <v>42980.045335648145</v>
      </c>
      <c r="J155" s="7">
        <v>0</v>
      </c>
      <c r="K155" s="89" t="str">
        <f t="shared" si="40"/>
        <v>4019/4020</v>
      </c>
      <c r="L155" s="214" t="str">
        <f>VLOOKUP(A155,'Trips&amp;Operators'!$C$1:$G$99911,5,FALSE)</f>
        <v>YANG JAN</v>
      </c>
      <c r="M155" s="6">
        <f t="shared" si="41"/>
        <v>2.6365740734036081E-2</v>
      </c>
      <c r="N155" s="7">
        <f t="shared" si="42"/>
        <v>37.966666657011956</v>
      </c>
      <c r="O155" s="7"/>
      <c r="P155" s="7"/>
      <c r="Q155" s="22"/>
      <c r="R155" s="167"/>
      <c r="S155" s="210">
        <f t="shared" si="43"/>
        <v>1</v>
      </c>
      <c r="T155" s="192" t="str">
        <f t="shared" si="44"/>
        <v>Southbound</v>
      </c>
      <c r="U155" s="192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3" t="str">
        <f t="shared" si="45"/>
        <v>https://d0f6bd738d7f1b3e5a7ca70fe4ff75f0.us-east-1.aws.found.io/app/kibana#/discover/Steve-Slow-Train-Analysis-(2080s-and-2083s)?_g=(refreshInterval:(display:Off,pause:!f,section:0,value:0),time:(from:'2017-09-01T23:21:43-0600',mode:absolute,to:'2017-09-02T02:05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5" s="194" t="str">
        <f>IF(AA155&lt;VLOOKUP(AG155,Variables!$AC$3:$AD$8,2,FALSE),"Y","N")</f>
        <v>N</v>
      </c>
      <c r="X155" s="194">
        <f t="shared" si="46"/>
        <v>1</v>
      </c>
      <c r="Y155" s="194">
        <f t="shared" si="47"/>
        <v>23.296700000000001</v>
      </c>
      <c r="Z155" s="194">
        <f t="shared" si="48"/>
        <v>1.67E-2</v>
      </c>
      <c r="AA155" s="194">
        <f t="shared" si="49"/>
        <v>23.28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203">
        <f t="shared" si="50"/>
        <v>240</v>
      </c>
      <c r="AE155" s="77" t="str">
        <f t="shared" si="51"/>
        <v>aws s3 cp s3://rtdc.mdm.uploadarchive.raw/RTDC4019/ "%USERPROFILE%\AppData\Local\Temp\OnboardLogs"\RTDC4019\2017-09-02 --exclude "*" --recursive --include "*20170902*" &amp; "%USERPROFILE%\Documents\GitHub\mrs-test-scripts\Headless Mode &amp; Sideloading\WalkAndUnGZ.bat" "%USERPROFILE%\AppData\Local\Temp\OnboardLogs"\RTDC4019\2017-09-02 &amp; aws s3 cp s3://rtdc.mdm.uploadarchive.raw/RTDC4019/ "%USERPROFILE%\AppData\Local\Temp\OnboardLogs"\RTDC4019\2017-09-03 --exclude "*" --recursive --include "*20170903*" &amp; "%USERPROFILE%\Documents\GitHub\mrs-test-scripts\Headless Mode &amp; Sideloading\WalkAndUnGZ.bat" "%USERPROFILE%\AppData\Local\Temp\OnboardLogs"\RTDC4019\2017-09-03</v>
      </c>
      <c r="AF155" s="74" t="str">
        <f t="shared" si="52"/>
        <v>"C:\Program Files (x86)\AstroGrep\AstroGrep.exe" /e /r /s /spath="%USERPROFILE%\AppData\Local\Temp\OnboardLogs" /stypes="app*4019*20170902*" /stext=" 07:.+((SYSTEM_STATE.+slice.+state.+changed )|(ment ac)|(multiple cpu faults)|(system.+state.+changed )|(\[timeout)|(PRM\|1\|D)|(kpr)|(kdp)|(train st.+moving)|(\|lc)|(penalty))"</v>
      </c>
      <c r="AG155" s="206" t="str">
        <f t="shared" si="53"/>
        <v>EC</v>
      </c>
      <c r="AH155" s="78" t="str">
        <f t="shared" si="54"/>
        <v>"%USERPROFILE%\Documents\GitHub\eaglep3\Utilities\RefineRTDCRunTimes.py" --tripid 240-01 --locoid 4019 --swversion DE.1.0.9.0 --startMP 204:232967 --initTime 2017-09-02T00:21:43 --startdatetime 2017-09-02T00:27:19 --delay 71 --endMP 204:167 --enddatetime 2017-09-02T01:05:17 --enforcementcount 0 &gt;&gt;C:\Users\stu\Documents\GitHub\eaglep3-reporting\EC\2017-09-01-refined-times.txt</v>
      </c>
      <c r="AI155" s="96" t="str">
        <f t="shared" si="55"/>
        <v>echo {"issue":{"subject":"","project_id":79,"tracker_id":40,"status_id":1,"priority_id":2,"assigned_to_id":338,"start_date":"2017-09-02","description":"","custom_fields":[{"id":1,"name":"Subdivision","value":"EC"},{"id":4,"name":"Milepost","value":"0.0167"},{"id":17,"name":"Train ID","value":"240-01"},{"id":16,"name":"Locomotive ID","value":"4019"},{"id":130,"name":"Impact","value":""},{"id":150,"name":"Time of Event (Mountain Time)","value":"01:05:17"},{"id":151,"name":"Denver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56"/>
        <v>start /low /b %USERPROFILE%\Documents\GitHub\eaglep3\Utilities\DownloadLogsFromS3.py --loco 4019 --day 2017-09-02</v>
      </c>
      <c r="AN155" s="151" t="str">
        <f t="shared" si="57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07:05:17"},{"id":29,"name":"Sharepoint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822</v>
      </c>
      <c r="B156" s="7">
        <v>4026</v>
      </c>
      <c r="C156" s="21" t="s">
        <v>197</v>
      </c>
      <c r="D156" s="21" t="s">
        <v>377</v>
      </c>
      <c r="E156" s="13">
        <v>42979.986793981479</v>
      </c>
      <c r="F156" s="13">
        <v>42980.000231481485</v>
      </c>
      <c r="G156" s="7">
        <v>62</v>
      </c>
      <c r="H156" s="21" t="s">
        <v>446</v>
      </c>
      <c r="I156" s="13">
        <v>42980.024525462963</v>
      </c>
      <c r="J156" s="7">
        <v>0</v>
      </c>
      <c r="K156" s="89" t="str">
        <f t="shared" si="40"/>
        <v>4025/4026</v>
      </c>
      <c r="L156" s="214" t="str">
        <f>VLOOKUP(A156,'Trips&amp;Operators'!$C$1:$G$99911,5,FALSE)</f>
        <v>PERKINS DARREN</v>
      </c>
      <c r="M156" s="6">
        <f t="shared" si="41"/>
        <v>2.4293981477967463E-2</v>
      </c>
      <c r="N156" s="7">
        <f t="shared" si="42"/>
        <v>34.983333328273147</v>
      </c>
      <c r="O156" s="7"/>
      <c r="P156" s="7"/>
      <c r="Q156" s="22"/>
      <c r="R156" s="167"/>
      <c r="S156" s="210">
        <f t="shared" si="43"/>
        <v>1</v>
      </c>
      <c r="T156" s="192" t="str">
        <f t="shared" si="44"/>
        <v>NorthBound</v>
      </c>
      <c r="U156" s="192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3" t="str">
        <f t="shared" si="45"/>
        <v>https://d0f6bd738d7f1b3e5a7ca70fe4ff75f0.us-east-1.aws.found.io/app/kibana#/discover/Steve-Slow-Train-Analysis-(2080s-and-2083s)?_g=(refreshInterval:(display:Off,pause:!f,section:0,value:0),time:(from:'2017-09-01T22:40:59-0600',mode:absolute,to:'2017-09-02T01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6" s="194" t="str">
        <f>IF(AA156&lt;VLOOKUP(AG156,Variables!$AC$3:$AD$8,2,FALSE),"Y","N")</f>
        <v>N</v>
      </c>
      <c r="X156" s="194">
        <f t="shared" si="46"/>
        <v>1</v>
      </c>
      <c r="Y156" s="194">
        <f t="shared" si="47"/>
        <v>4.4400000000000002E-2</v>
      </c>
      <c r="Z156" s="194">
        <f t="shared" si="48"/>
        <v>23.3291</v>
      </c>
      <c r="AA156" s="194">
        <f t="shared" si="49"/>
        <v>23.284700000000001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203">
        <f t="shared" si="50"/>
        <v>241</v>
      </c>
      <c r="AE156" s="77" t="str">
        <f t="shared" si="51"/>
        <v>aws s3 cp s3://rtdc.mdm.uploadarchive.raw/RTDC4026/ "%USERPROFILE%\AppData\Local\Temp\OnboardLogs"\RTDC4026\2017-09-02 --exclude "*" --recursive --include "*20170902*" &amp; "%USERPROFILE%\Documents\GitHub\mrs-test-scripts\Headless Mode &amp; Sideloading\WalkAndUnGZ.bat" "%USERPROFILE%\AppData\Local\Temp\OnboardLogs"\RTDC4026\2017-09-02 &amp; aws s3 cp s3://rtdc.mdm.uploadarchive.raw/RTDC4026/ "%USERPROFILE%\AppData\Local\Temp\OnboardLogs"\RTDC4026\2017-09-03 --exclude "*" --recursive --include "*20170903*" &amp; "%USERPROFILE%\Documents\GitHub\mrs-test-scripts\Headless Mode &amp; Sideloading\WalkAndUnGZ.bat" "%USERPROFILE%\AppData\Local\Temp\OnboardLogs"\RTDC4026\2017-09-03</v>
      </c>
      <c r="AF156" s="74" t="str">
        <f t="shared" si="52"/>
        <v>"C:\Program Files (x86)\AstroGrep\AstroGrep.exe" /e /r /s /spath="%USERPROFILE%\AppData\Local\Temp\OnboardLogs" /stypes="app*4026*20170902*" /stext=" 06:.+((SYSTEM_STATE.+slice.+state.+changed )|(ment ac)|(multiple cpu faults)|(system.+state.+changed )|(\[timeout)|(PRM\|1\|D)|(kpr)|(kdp)|(train st.+moving)|(\|lc)|(penalty))"</v>
      </c>
      <c r="AG156" s="206" t="str">
        <f t="shared" si="53"/>
        <v>EC</v>
      </c>
      <c r="AH156" s="78" t="str">
        <f t="shared" si="54"/>
        <v>"%USERPROFILE%\Documents\GitHub\eaglep3\Utilities\RefineRTDCRunTimes.py" --tripid 241-01 --locoid 4026 --swversion DE.1.0.9.0 --startMP 204:444 --initTime 2017-09-01T23:40:59 --startdatetime 2017-09-02T00:00:20 --delay 62 --endMP 204:233291 --enddatetime 2017-09-02T00:35:19 --enforcementcount 0 &gt;&gt;C:\Users\stu\Documents\GitHub\eaglep3-reporting\EC\2017-09-01-refined-times.txt</v>
      </c>
      <c r="AI156" s="96" t="str">
        <f t="shared" si="55"/>
        <v>echo {"issue":{"subject":"","project_id":79,"tracker_id":40,"status_id":1,"priority_id":2,"assigned_to_id":338,"start_date":"2017-09-02","description":"","custom_fields":[{"id":1,"name":"Subdivision","value":"EC"},{"id":4,"name":"Milepost","value":"23.3291"},{"id":17,"name":"Train ID","value":"241-01"},{"id":16,"name":"Locomotive ID","value":"4026"},{"id":130,"name":"Impact","value":""},{"id":150,"name":"Time of Event (Mountain Time)","value":"00:35:19"},{"id":151,"name":"Denver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56"/>
        <v>start /low /b %USERPROFILE%\Documents\GitHub\eaglep3\Utilities\DownloadLogsFromS3.py --loco 4026 --day 2017-09-02</v>
      </c>
      <c r="AN156" s="151" t="str">
        <f t="shared" si="57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06:35:19"},{"id":29,"name":"Sharepoint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826</v>
      </c>
      <c r="B157" s="7">
        <v>4025</v>
      </c>
      <c r="C157" s="21" t="s">
        <v>197</v>
      </c>
      <c r="D157" s="21" t="s">
        <v>841</v>
      </c>
      <c r="E157" s="13">
        <v>42980.034768518519</v>
      </c>
      <c r="F157" s="13">
        <v>42980.039780092593</v>
      </c>
      <c r="G157" s="7">
        <v>60</v>
      </c>
      <c r="H157" s="21" t="s">
        <v>340</v>
      </c>
      <c r="I157" s="13">
        <v>42980.068229166667</v>
      </c>
      <c r="J157" s="7">
        <v>0</v>
      </c>
      <c r="K157" s="89" t="str">
        <f t="shared" si="40"/>
        <v>4025/4026</v>
      </c>
      <c r="L157" s="214" t="str">
        <f>VLOOKUP(A157,'Trips&amp;Operators'!$C$1:$G$99911,5,FALSE)</f>
        <v>PERKINS DARREN</v>
      </c>
      <c r="M157" s="6">
        <f t="shared" si="41"/>
        <v>2.8449074074160308E-2</v>
      </c>
      <c r="N157" s="7">
        <f t="shared" si="42"/>
        <v>40.966666666790843</v>
      </c>
      <c r="O157" s="7"/>
      <c r="P157" s="7"/>
      <c r="Q157" s="22"/>
      <c r="R157" s="167"/>
      <c r="S157" s="210">
        <f t="shared" si="43"/>
        <v>1</v>
      </c>
      <c r="T157" s="192" t="str">
        <f t="shared" si="44"/>
        <v>Southbound</v>
      </c>
      <c r="U157" s="192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3" t="str">
        <f t="shared" si="45"/>
        <v>https://d0f6bd738d7f1b3e5a7ca70fe4ff75f0.us-east-1.aws.found.io/app/kibana#/discover/Steve-Slow-Train-Analysis-(2080s-and-2083s)?_g=(refreshInterval:(display:Off,pause:!f,section:0,value:0),time:(from:'2017-09-01T23:50:04-0600',mode:absolute,to:'2017-09-02T02:38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7" s="194" t="str">
        <f>IF(AA157&lt;VLOOKUP(AG157,Variables!$AC$3:$AD$8,2,FALSE),"Y","N")</f>
        <v>N</v>
      </c>
      <c r="X157" s="194">
        <f t="shared" si="46"/>
        <v>1</v>
      </c>
      <c r="Y157" s="194">
        <f t="shared" si="47"/>
        <v>23.2986</v>
      </c>
      <c r="Z157" s="194">
        <f t="shared" si="48"/>
        <v>1.43E-2</v>
      </c>
      <c r="AA157" s="194">
        <f t="shared" si="49"/>
        <v>23.284300000000002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203">
        <f t="shared" si="50"/>
        <v>242</v>
      </c>
      <c r="AE157" s="77" t="str">
        <f t="shared" si="51"/>
        <v>aws s3 cp s3://rtdc.mdm.uploadarchive.raw/RTDC4025/ "%USERPROFILE%\AppData\Local\Temp\OnboardLogs"\RTDC4025\2017-09-02 --exclude "*" --recursive --include "*20170902*" &amp; "%USERPROFILE%\Documents\GitHub\mrs-test-scripts\Headless Mode &amp; Sideloading\WalkAndUnGZ.bat" "%USERPROFILE%\AppData\Local\Temp\OnboardLogs"\RTDC4025\2017-09-02 &amp; aws s3 cp s3://rtdc.mdm.uploadarchive.raw/RTDC4025/ "%USERPROFILE%\AppData\Local\Temp\OnboardLogs"\RTDC4025\2017-09-03 --exclude "*" --recursive --include "*20170903*" &amp; "%USERPROFILE%\Documents\GitHub\mrs-test-scripts\Headless Mode &amp; Sideloading\WalkAndUnGZ.bat" "%USERPROFILE%\AppData\Local\Temp\OnboardLogs"\RTDC4025\2017-09-03</v>
      </c>
      <c r="AF157" s="74" t="str">
        <f t="shared" si="52"/>
        <v>"C:\Program Files (x86)\AstroGrep\AstroGrep.exe" /e /r /s /spath="%USERPROFILE%\AppData\Local\Temp\OnboardLogs" /stypes="app*4025*20170902*" /stext=" 07:.+((SYSTEM_STATE.+slice.+state.+changed )|(ment ac)|(multiple cpu faults)|(system.+state.+changed )|(\[timeout)|(PRM\|1\|D)|(kpr)|(kdp)|(train st.+moving)|(\|lc)|(penalty))"</v>
      </c>
      <c r="AG157" s="206" t="str">
        <f t="shared" si="53"/>
        <v>EC</v>
      </c>
      <c r="AH157" s="78" t="str">
        <f t="shared" si="54"/>
        <v>"%USERPROFILE%\Documents\GitHub\eaglep3\Utilities\RefineRTDCRunTimes.py" --tripid 242-01 --locoid 4025 --swversion DE.1.0.9.0 --startMP 204:232986 --initTime 2017-09-02T00:50:04 --startdatetime 2017-09-02T00:57:17 --delay 60 --endMP 204:143 --enddatetime 2017-09-02T01:38:15 --enforcementcount 0 &gt;&gt;C:\Users\stu\Documents\GitHub\eaglep3-reporting\EC\2017-09-01-refined-times.txt</v>
      </c>
      <c r="AI157" s="96" t="str">
        <f t="shared" si="55"/>
        <v>echo {"issue":{"subject":"","project_id":79,"tracker_id":40,"status_id":1,"priority_id":2,"assigned_to_id":338,"start_date":"2017-09-02","description":"","custom_fields":[{"id":1,"name":"Subdivision","value":"EC"},{"id":4,"name":"Milepost","value":"0.0143"},{"id":17,"name":"Train ID","value":"242-01"},{"id":16,"name":"Locomotive ID","value":"4025"},{"id":130,"name":"Impact","value":""},{"id":150,"name":"Time of Event (Mountain Time)","value":"01:38:15"},{"id":151,"name":"Denver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56"/>
        <v>start /low /b %USERPROFILE%\Documents\GitHub\eaglep3\Utilities\DownloadLogsFromS3.py --loco 4025 --day 2017-09-02</v>
      </c>
      <c r="AN157" s="151" t="str">
        <f t="shared" si="57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07:38:15"},{"id":29,"name":"Sharepoint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823</v>
      </c>
      <c r="B158" s="7">
        <v>4012</v>
      </c>
      <c r="C158" s="21" t="s">
        <v>197</v>
      </c>
      <c r="D158" s="21" t="s">
        <v>341</v>
      </c>
      <c r="E158" s="13">
        <v>42980.012071759258</v>
      </c>
      <c r="F158" s="13">
        <v>42980.021203703705</v>
      </c>
      <c r="G158" s="7">
        <v>216</v>
      </c>
      <c r="H158" s="21" t="s">
        <v>888</v>
      </c>
      <c r="I158" s="13">
        <v>42980.055011574077</v>
      </c>
      <c r="J158" s="7">
        <v>0</v>
      </c>
      <c r="K158" s="89" t="str">
        <f t="shared" si="40"/>
        <v>4011/4012</v>
      </c>
      <c r="L158" s="214" t="str">
        <f>VLOOKUP(A158,'Trips&amp;Operators'!$C$1:$G$99911,5,FALSE)</f>
        <v>NICHOLSON WESLEY</v>
      </c>
      <c r="M158" s="6">
        <f t="shared" si="41"/>
        <v>3.3807870371674653E-2</v>
      </c>
      <c r="N158" s="7">
        <f t="shared" si="42"/>
        <v>48.683333335211501</v>
      </c>
      <c r="O158" s="7"/>
      <c r="P158" s="7"/>
      <c r="Q158" s="22"/>
      <c r="R158" s="167"/>
      <c r="S158" s="210">
        <f t="shared" si="43"/>
        <v>1</v>
      </c>
      <c r="T158" s="192" t="str">
        <f t="shared" si="44"/>
        <v>NorthBound</v>
      </c>
      <c r="U158" s="192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3" t="str">
        <f t="shared" si="45"/>
        <v>https://d0f6bd738d7f1b3e5a7ca70fe4ff75f0.us-east-1.aws.found.io/app/kibana#/discover/Steve-Slow-Train-Analysis-(2080s-and-2083s)?_g=(refreshInterval:(display:Off,pause:!f,section:0,value:0),time:(from:'2017-09-01T23:17:23-0600',mode:absolute,to:'2017-09-02T02:19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8" s="194" t="str">
        <f>IF(AA158&lt;VLOOKUP(AG158,Variables!$AC$3:$AD$8,2,FALSE),"Y","N")</f>
        <v>N</v>
      </c>
      <c r="X158" s="194">
        <f t="shared" si="46"/>
        <v>1</v>
      </c>
      <c r="Y158" s="194">
        <f t="shared" si="47"/>
        <v>4.5100000000000001E-2</v>
      </c>
      <c r="Z158" s="194">
        <f t="shared" si="48"/>
        <v>23.335999999999999</v>
      </c>
      <c r="AA158" s="194">
        <f t="shared" si="49"/>
        <v>23.290899999999997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203">
        <f t="shared" si="50"/>
        <v>243</v>
      </c>
      <c r="AE158" s="77" t="str">
        <f t="shared" si="51"/>
        <v>aws s3 cp s3://rtdc.mdm.uploadarchive.raw/RTDC4012/ "%USERPROFILE%\AppData\Local\Temp\OnboardLogs"\RTDC4012\2017-09-02 --exclude "*" --recursive --include "*20170902*" &amp; "%USERPROFILE%\Documents\GitHub\mrs-test-scripts\Headless Mode &amp; Sideloading\WalkAndUnGZ.bat" "%USERPROFILE%\AppData\Local\Temp\OnboardLogs"\RTDC4012\2017-09-02 &amp; aws s3 cp s3://rtdc.mdm.uploadarchive.raw/RTDC4012/ "%USERPROFILE%\AppData\Local\Temp\OnboardLogs"\RTDC4012\2017-09-03 --exclude "*" --recursive --include "*20170903*" &amp; "%USERPROFILE%\Documents\GitHub\mrs-test-scripts\Headless Mode &amp; Sideloading\WalkAndUnGZ.bat" "%USERPROFILE%\AppData\Local\Temp\OnboardLogs"\RTDC4012\2017-09-03</v>
      </c>
      <c r="AF158" s="74" t="str">
        <f t="shared" si="52"/>
        <v>"C:\Program Files (x86)\AstroGrep\AstroGrep.exe" /e /r /s /spath="%USERPROFILE%\AppData\Local\Temp\OnboardLogs" /stypes="app*4012*20170902*" /stext=" 07:.+((SYSTEM_STATE.+slice.+state.+changed )|(ment ac)|(multiple cpu faults)|(system.+state.+changed )|(\[timeout)|(PRM\|1\|D)|(kpr)|(kdp)|(train st.+moving)|(\|lc)|(penalty))"</v>
      </c>
      <c r="AG158" s="206" t="str">
        <f t="shared" si="53"/>
        <v>EC</v>
      </c>
      <c r="AH158" s="78" t="str">
        <f t="shared" si="54"/>
        <v>"%USERPROFILE%\Documents\GitHub\eaglep3\Utilities\RefineRTDCRunTimes.py" --tripid 243-01 --locoid 4012 --swversion DE.1.0.9.0 --startMP 204:451 --initTime 2017-09-02T00:17:23 --startdatetime 2017-09-02T00:30:32 --delay 216 --endMP 204:233360 --enddatetime 2017-09-02T01:19:13 --enforcementcount 0 &gt;&gt;C:\Users\stu\Documents\GitHub\eaglep3-reporting\EC\2017-09-01-refined-times.txt</v>
      </c>
      <c r="AI158" s="96" t="str">
        <f t="shared" si="55"/>
        <v>echo {"issue":{"subject":"","project_id":79,"tracker_id":40,"status_id":1,"priority_id":2,"assigned_to_id":338,"start_date":"2017-09-02","description":"","custom_fields":[{"id":1,"name":"Subdivision","value":"EC"},{"id":4,"name":"Milepost","value":"23.336"},{"id":17,"name":"Train ID","value":"243-01"},{"id":16,"name":"Locomotive ID","value":"4012"},{"id":130,"name":"Impact","value":""},{"id":150,"name":"Time of Event (Mountain Time)","value":"01:19:13"},{"id":151,"name":"Denver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56"/>
        <v>start /low /b %USERPROFILE%\Documents\GitHub\eaglep3\Utilities\DownloadLogsFromS3.py --loco 4012 --day 2017-09-02</v>
      </c>
      <c r="AN158" s="151" t="str">
        <f t="shared" si="57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07:19:13"},{"id":29,"name":"Sharepoint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828</v>
      </c>
      <c r="B159" s="7">
        <v>4011</v>
      </c>
      <c r="C159" s="21" t="s">
        <v>197</v>
      </c>
      <c r="D159" s="21" t="s">
        <v>552</v>
      </c>
      <c r="E159" s="13">
        <v>42980.057118055556</v>
      </c>
      <c r="F159" s="13">
        <v>42980.060659722221</v>
      </c>
      <c r="G159" s="7">
        <v>186</v>
      </c>
      <c r="H159" s="21" t="s">
        <v>889</v>
      </c>
      <c r="I159" s="13">
        <v>42980.071539351855</v>
      </c>
      <c r="J159" s="7">
        <v>0</v>
      </c>
      <c r="K159" s="89" t="str">
        <f t="shared" si="40"/>
        <v>4011/4012</v>
      </c>
      <c r="L159" s="214" t="str">
        <f>VLOOKUP(A159,'Trips&amp;Operators'!$C$1:$G$99911,5,FALSE)</f>
        <v>NICHOLSON WESLEY</v>
      </c>
      <c r="M159" s="6">
        <f t="shared" si="41"/>
        <v>1.0879629633564036E-2</v>
      </c>
      <c r="N159" s="7"/>
      <c r="O159" s="7"/>
      <c r="P159" s="7">
        <f t="shared" si="42"/>
        <v>15.666666672332212</v>
      </c>
      <c r="Q159" s="22"/>
      <c r="R159" s="167" t="s">
        <v>990</v>
      </c>
      <c r="S159" s="210">
        <f t="shared" si="43"/>
        <v>0</v>
      </c>
      <c r="T159" s="192" t="str">
        <f t="shared" si="44"/>
        <v>Southbound</v>
      </c>
      <c r="U159" s="192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0</v>
      </c>
      <c r="V159" s="193" t="str">
        <f t="shared" si="45"/>
        <v>https://d0f6bd738d7f1b3e5a7ca70fe4ff75f0.us-east-1.aws.found.io/app/kibana#/discover/Steve-Slow-Train-Analysis-(2080s-and-2083s)?_g=(refreshInterval:(display:Off,pause:!f,section:0,value:0),time:(from:'2017-09-02T00:22:15-0600',mode:absolute,to:'2017-09-02T02:43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9" s="194" t="str">
        <f>IF(AA159&lt;VLOOKUP(AG159,Variables!$AC$3:$AD$8,2,FALSE),"Y","N")</f>
        <v>Y</v>
      </c>
      <c r="X159" s="194">
        <f t="shared" si="46"/>
        <v>1</v>
      </c>
      <c r="Y159" s="194">
        <f t="shared" si="47"/>
        <v>23.298400000000001</v>
      </c>
      <c r="Z159" s="194">
        <f t="shared" si="48"/>
        <v>12.243600000000001</v>
      </c>
      <c r="AA159" s="194">
        <f t="shared" si="49"/>
        <v>11.0548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203">
        <f t="shared" si="50"/>
        <v>244</v>
      </c>
      <c r="AE159" s="77" t="str">
        <f t="shared" si="51"/>
        <v>aws s3 cp s3://rtdc.mdm.uploadarchive.raw/RTDC4011/ "%USERPROFILE%\AppData\Local\Temp\OnboardLogs"\RTDC4011\2017-09-02 --exclude "*" --recursive --include "*20170902*" &amp; "%USERPROFILE%\Documents\GitHub\mrs-test-scripts\Headless Mode &amp; Sideloading\WalkAndUnGZ.bat" "%USERPROFILE%\AppData\Local\Temp\OnboardLogs"\RTDC4011\2017-09-02 &amp; aws s3 cp s3://rtdc.mdm.uploadarchive.raw/RTDC4011/ "%USERPROFILE%\AppData\Local\Temp\OnboardLogs"\RTDC4011\2017-09-03 --exclude "*" --recursive --include "*20170903*" &amp; "%USERPROFILE%\Documents\GitHub\mrs-test-scripts\Headless Mode &amp; Sideloading\WalkAndUnGZ.bat" "%USERPROFILE%\AppData\Local\Temp\OnboardLogs"\RTDC4011\2017-09-03</v>
      </c>
      <c r="AF159" s="74" t="str">
        <f t="shared" si="52"/>
        <v>"C:\Program Files (x86)\AstroGrep\AstroGrep.exe" /e /r /s /spath="%USERPROFILE%\AppData\Local\Temp\OnboardLogs" /stypes="app*4011*20170902*" /stext=" 07:.+((SYSTEM_STATE.+slice.+state.+changed )|(ment ac)|(multiple cpu faults)|(system.+state.+changed )|(\[timeout)|(PRM\|1\|D)|(kpr)|(kdp)|(train st.+moving)|(\|lc)|(penalty))"</v>
      </c>
      <c r="AG159" s="206" t="str">
        <f t="shared" si="53"/>
        <v>EC</v>
      </c>
      <c r="AH159" s="78" t="str">
        <f t="shared" si="54"/>
        <v>"%USERPROFILE%\Documents\GitHub\eaglep3\Utilities\RefineRTDCRunTimes.py" --tripid 244-01 --locoid 4011 --swversion DE.1.0.9.0 --startMP 204:232984 --initTime 2017-09-02T01:22:15 --startdatetime 2017-09-02T01:27:21 --delay 186 --endMP 204:122436 --enddatetime 2017-09-02T01:43:01 --enforcementcount 0 &gt;&gt;C:\Users\stu\Documents\GitHub\eaglep3-reporting\EC\2017-09-01-refined-times.txt</v>
      </c>
      <c r="AI159" s="96" t="str">
        <f t="shared" si="55"/>
        <v>echo {"issue":{"subject":"Cut out command from TMDS","project_id":79,"tracker_id":40,"status_id":1,"priority_id":2,"assigned_to_id":338,"start_date":"2017-09-02","description":"","custom_fields":[{"id":1,"name":"Subdivision","value":"EC"},{"id":4,"name":"Milepost","value":"12.2436"},{"id":17,"name":"Train ID","value":"244-01"},{"id":16,"name":"Locomotive ID","value":"4011"},{"id":130,"name":"Impact","value":""},{"id":150,"name":"Time of Event (Mountain Time)","value":"01:43:01"},{"id":151,"name":"Denver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56"/>
        <v>start /low /b %USERPROFILE%\Documents\GitHub\eaglep3\Utilities\DownloadLogsFromS3.py --loco 4011 --day 2017-09-02</v>
      </c>
      <c r="AN159" s="151" t="str">
        <f t="shared" si="57"/>
        <v>echo {"issue":{"subject":"Cut out command from TMDS","project_id":30,"tracker_id":4,"status_id":1,"priority_id":1,"assigned_to_id":10,"start_date":"2017-09-02","description":"","custom_fields":[{"id":30,"name":"Category","value":"Issue"},{"id":3,"name":"Functional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07:43:01"},{"id":29,"name":"Sharepoint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828</v>
      </c>
      <c r="B160" s="7">
        <v>4011</v>
      </c>
      <c r="C160" s="21" t="s">
        <v>197</v>
      </c>
      <c r="D160" s="21" t="s">
        <v>890</v>
      </c>
      <c r="E160" s="13">
        <v>42980.077465277776</v>
      </c>
      <c r="F160" s="13">
        <v>25568.708333333332</v>
      </c>
      <c r="G160" s="7">
        <v>55</v>
      </c>
      <c r="H160" s="21" t="s">
        <v>890</v>
      </c>
      <c r="I160" s="13">
        <v>25568.708333333332</v>
      </c>
      <c r="J160" s="7">
        <v>0</v>
      </c>
      <c r="K160" s="89" t="str">
        <f t="shared" si="40"/>
        <v>4011/4012</v>
      </c>
      <c r="L160" s="214" t="str">
        <f>VLOOKUP(A160,'Trips&amp;Operators'!$C$1:$G$99911,5,FALSE)</f>
        <v>NICHOLSON WESLEY</v>
      </c>
      <c r="M160" s="6">
        <f t="shared" si="41"/>
        <v>0</v>
      </c>
      <c r="N160" s="7"/>
      <c r="O160" s="7"/>
      <c r="P160" s="7"/>
      <c r="Q160" s="22"/>
      <c r="R160" s="167"/>
      <c r="S160" s="210"/>
      <c r="T160" s="192" t="str">
        <f t="shared" si="44"/>
        <v>Southbound</v>
      </c>
      <c r="U160" s="192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0</v>
      </c>
      <c r="V160" s="193" t="str">
        <f t="shared" si="45"/>
        <v>https://d0f6bd738d7f1b3e5a7ca70fe4ff75f0.us-east-1.aws.found.io/app/kibana#/discover/Steve-Slow-Train-Analysis-(2080s-and-2083s)?_g=(refreshInterval:(display:Off,pause:!f,section:0,value:0),time:(from:'2017-09-02T00:51:33-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0" s="194" t="str">
        <f>IF(AA160&lt;VLOOKUP(AG160,Variables!$AC$3:$AD$8,2,FALSE),"Y","N")</f>
        <v>Y</v>
      </c>
      <c r="X160" s="194">
        <f t="shared" si="46"/>
        <v>0</v>
      </c>
      <c r="Y160" s="194">
        <f t="shared" si="47"/>
        <v>8.6353000000000009</v>
      </c>
      <c r="Z160" s="194">
        <f t="shared" si="48"/>
        <v>8.6353000000000009</v>
      </c>
      <c r="AA160" s="194">
        <f t="shared" si="49"/>
        <v>0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203">
        <f t="shared" si="50"/>
        <v>244</v>
      </c>
      <c r="AE160" s="77" t="str">
        <f t="shared" si="51"/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160" s="74" t="str">
        <f t="shared" si="52"/>
        <v>"C:\Program Files (x86)\AstroGrep\AstroGrep.exe" /e /r /s /spath="%USERPROFILE%\AppData\Local\Temp\OnboardLogs" /stypes="app*4011*19691231*" /stext=" 23:.+((SYSTEM_STATE.+slice.+state.+changed )|(ment ac)|(multiple cpu faults)|(system.+state.+changed )|(\[timeout)|(PRM\|1\|D)|(kpr)|(kdp)|(train st.+moving)|(\|lc)|(penalty))"</v>
      </c>
      <c r="AG160" s="206" t="str">
        <f t="shared" si="53"/>
        <v>EC</v>
      </c>
      <c r="AH160" s="78" t="str">
        <f t="shared" si="54"/>
        <v>"%USERPROFILE%\Documents\GitHub\eaglep3\Utilities\RefineRTDCRunTimes.py" --tripid 244-01 --locoid 4011 --swversion DE.1.0.9.0 --startMP 204:86353 --initTime 2017-09-02T01:51:33 --startdatetime 1969-12-31T17:00:00 --delay 55 --endMP 204:86353 --enddatetime 1969-12-31T17:00:00 --enforcementcount 0 &gt;&gt;C:\Users\stu\Documents\GitHub\eaglep3-reporting\EC\2017-09-01-refined-times.txt</v>
      </c>
      <c r="AI160" s="96" t="str">
        <f t="shared" si="55"/>
        <v>echo {"issue":{"subject":"","project_id":79,"tracker_id":40,"status_id":1,"priority_id":2,"assigned_to_id":338,"start_date":"1969-12-31","description":"","custom_fields":[{"id":1,"name":"Subdivision","value":"EC"},{"id":4,"name":"Milepost","value":"8.6353"},{"id":17,"name":"Train ID","value":"244-01"},{"id":16,"name":"Locomotive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56"/>
        <v>start /low /b %USERPROFILE%\Documents\GitHub\eaglep3\Utilities\DownloadLogsFromS3.py --loco 4011 --day 1969-12-31</v>
      </c>
      <c r="AN160" s="151" t="str">
        <f t="shared" si="57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825</v>
      </c>
      <c r="B161" s="7">
        <v>4040</v>
      </c>
      <c r="C161" s="21" t="s">
        <v>197</v>
      </c>
      <c r="D161" s="21" t="s">
        <v>366</v>
      </c>
      <c r="E161" s="13">
        <v>42980.02847222222</v>
      </c>
      <c r="F161" s="13">
        <v>42980.04184027778</v>
      </c>
      <c r="G161" s="7">
        <v>57</v>
      </c>
      <c r="H161" s="21" t="s">
        <v>861</v>
      </c>
      <c r="I161" s="13">
        <v>42980.067604166667</v>
      </c>
      <c r="J161" s="7">
        <v>0</v>
      </c>
      <c r="K161" s="89" t="str">
        <f t="shared" si="40"/>
        <v>4039/4040</v>
      </c>
      <c r="L161" s="214" t="str">
        <f>VLOOKUP(A161,'Trips&amp;Operators'!$C$1:$G$99911,5,FALSE)</f>
        <v>ELBAUM MIKE</v>
      </c>
      <c r="M161" s="6">
        <f t="shared" si="41"/>
        <v>2.5763888887013309E-2</v>
      </c>
      <c r="N161" s="7">
        <f t="shared" si="42"/>
        <v>37.099999997299165</v>
      </c>
      <c r="O161" s="7"/>
      <c r="P161" s="7"/>
      <c r="Q161" s="22"/>
      <c r="R161" s="167"/>
      <c r="S161" s="210">
        <f t="shared" si="43"/>
        <v>1</v>
      </c>
      <c r="T161" s="192" t="str">
        <f t="shared" si="44"/>
        <v>NorthBound</v>
      </c>
      <c r="U161" s="192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193" t="str">
        <f t="shared" si="45"/>
        <v>https://d0f6bd738d7f1b3e5a7ca70fe4ff75f0.us-east-1.aws.found.io/app/kibana#/discover/Steve-Slow-Train-Analysis-(2080s-and-2083s)?_g=(refreshInterval:(display:Off,pause:!f,section:0,value:0),time:(from:'2017-09-01T23:41:00-0600',mode:absolute,to:'2017-09-02T02:37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1" s="194" t="str">
        <f>IF(AA161&lt;VLOOKUP(AG161,Variables!$AC$3:$AD$8,2,FALSE),"Y","N")</f>
        <v>N</v>
      </c>
      <c r="X161" s="194">
        <f t="shared" si="46"/>
        <v>1</v>
      </c>
      <c r="Y161" s="194">
        <f t="shared" si="47"/>
        <v>4.4900000000000002E-2</v>
      </c>
      <c r="Z161" s="194">
        <f t="shared" si="48"/>
        <v>23.3309</v>
      </c>
      <c r="AA161" s="194">
        <f t="shared" si="49"/>
        <v>23.286000000000001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203">
        <f t="shared" si="50"/>
        <v>245</v>
      </c>
      <c r="AE161" s="77" t="str">
        <f t="shared" si="51"/>
        <v>aws s3 cp s3://rtdc.mdm.uploadarchive.raw/RTDC4040/ "%USERPROFILE%\AppData\Local\Temp\OnboardLogs"\RTDC4040\2017-09-02 --exclude "*" --recursive --include "*20170902*" &amp; "%USERPROFILE%\Documents\GitHub\mrs-test-scripts\Headless Mode &amp; Sideloading\WalkAndUnGZ.bat" "%USERPROFILE%\AppData\Local\Temp\OnboardLogs"\RTDC4040\2017-09-02 &amp; aws s3 cp s3://rtdc.mdm.uploadarchive.raw/RTDC4040/ "%USERPROFILE%\AppData\Local\Temp\OnboardLogs"\RTDC4040\2017-09-03 --exclude "*" --recursive --include "*20170903*" &amp; "%USERPROFILE%\Documents\GitHub\mrs-test-scripts\Headless Mode &amp; Sideloading\WalkAndUnGZ.bat" "%USERPROFILE%\AppData\Local\Temp\OnboardLogs"\RTDC4040\2017-09-03</v>
      </c>
      <c r="AF161" s="74" t="str">
        <f t="shared" si="52"/>
        <v>"C:\Program Files (x86)\AstroGrep\AstroGrep.exe" /e /r /s /spath="%USERPROFILE%\AppData\Local\Temp\OnboardLogs" /stypes="app*4040*20170902*" /stext=" 07:.+((SYSTEM_STATE.+slice.+state.+changed )|(ment ac)|(multiple cpu faults)|(system.+state.+changed )|(\[timeout)|(PRM\|1\|D)|(kpr)|(kdp)|(train st.+moving)|(\|lc)|(penalty))"</v>
      </c>
      <c r="AG161" s="206" t="str">
        <f t="shared" si="53"/>
        <v>EC</v>
      </c>
      <c r="AH161" s="78" t="str">
        <f t="shared" si="54"/>
        <v>"%USERPROFILE%\Documents\GitHub\eaglep3\Utilities\RefineRTDCRunTimes.py" --tripid 245-01 --locoid 4040 --swversion DE.1.0.9.0 --startMP 204:449 --initTime 2017-09-02T00:41:00 --startdatetime 2017-09-02T01:00:15 --delay 57 --endMP 204:233309 --enddatetime 2017-09-02T01:37:21 --enforcementcount 0 &gt;&gt;C:\Users\stu\Documents\GitHub\eaglep3-reporting\EC\2017-09-01-refined-times.txt</v>
      </c>
      <c r="AI161" s="96" t="str">
        <f t="shared" si="55"/>
        <v>echo {"issue":{"subject":"","project_id":79,"tracker_id":40,"status_id":1,"priority_id":2,"assigned_to_id":338,"start_date":"2017-09-02","description":"","custom_fields":[{"id":1,"name":"Subdivision","value":"EC"},{"id":4,"name":"Milepost","value":"23.3309"},{"id":17,"name":"Train ID","value":"245-01"},{"id":16,"name":"Locomotive ID","value":"4040"},{"id":130,"name":"Impact","value":""},{"id":150,"name":"Time of Event (Mountain Time)","value":"01:37:21"},{"id":151,"name":"Denver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56"/>
        <v>start /low /b %USERPROFILE%\Documents\GitHub\eaglep3\Utilities\DownloadLogsFromS3.py --loco 4040 --day 2017-09-02</v>
      </c>
      <c r="AN161" s="151" t="str">
        <f t="shared" si="57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07:37:21"},{"id":29,"name":"Sharepoint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830</v>
      </c>
      <c r="B162" s="7">
        <v>4039</v>
      </c>
      <c r="C162" s="21" t="s">
        <v>197</v>
      </c>
      <c r="D162" s="21" t="s">
        <v>439</v>
      </c>
      <c r="E162" s="13">
        <v>42980.075486111113</v>
      </c>
      <c r="F162" s="13">
        <v>42980.081504629627</v>
      </c>
      <c r="G162" s="7">
        <v>52</v>
      </c>
      <c r="H162" s="21" t="s">
        <v>340</v>
      </c>
      <c r="I162" s="13">
        <v>42980.107303240744</v>
      </c>
      <c r="J162" s="7">
        <v>0</v>
      </c>
      <c r="K162" s="89" t="str">
        <f t="shared" si="40"/>
        <v>4039/4040</v>
      </c>
      <c r="L162" s="214" t="str">
        <f>VLOOKUP(A162,'Trips&amp;Operators'!$C$1:$G$99911,5,FALSE)</f>
        <v>ELBAUM MIKE</v>
      </c>
      <c r="M162" s="6">
        <f t="shared" si="41"/>
        <v>2.5798611117352266E-2</v>
      </c>
      <c r="N162" s="7">
        <f t="shared" si="42"/>
        <v>37.150000008987263</v>
      </c>
      <c r="O162" s="7"/>
      <c r="P162" s="7"/>
      <c r="Q162" s="22"/>
      <c r="R162" s="167"/>
      <c r="S162" s="210">
        <f t="shared" si="43"/>
        <v>1</v>
      </c>
      <c r="T162" s="192" t="str">
        <f t="shared" si="44"/>
        <v>Southbound</v>
      </c>
      <c r="U162" s="192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193" t="str">
        <f t="shared" si="45"/>
        <v>https://d0f6bd738d7f1b3e5a7ca70fe4ff75f0.us-east-1.aws.found.io/app/kibana#/discover/Steve-Slow-Train-Analysis-(2080s-and-2083s)?_g=(refreshInterval:(display:Off,pause:!f,section:0,value:0),time:(from:'2017-09-02T00:48:42-0600',mode:absolute,to:'2017-09-02T03:34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2" s="194" t="str">
        <f>IF(AA162&lt;VLOOKUP(AG162,Variables!$AC$3:$AD$8,2,FALSE),"Y","N")</f>
        <v>N</v>
      </c>
      <c r="X162" s="194">
        <f t="shared" si="46"/>
        <v>1</v>
      </c>
      <c r="Y162" s="194">
        <f t="shared" si="47"/>
        <v>23.2988</v>
      </c>
      <c r="Z162" s="194">
        <f t="shared" si="48"/>
        <v>1.43E-2</v>
      </c>
      <c r="AA162" s="194">
        <f t="shared" si="49"/>
        <v>23.284500000000001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203">
        <f t="shared" si="50"/>
        <v>246</v>
      </c>
      <c r="AE162" s="77" t="str">
        <f t="shared" si="51"/>
        <v>aws s3 cp s3://rtdc.mdm.uploadarchive.raw/RTDC4039/ "%USERPROFILE%\AppData\Local\Temp\OnboardLogs"\RTDC4039\2017-09-02 --exclude "*" --recursive --include "*20170902*" &amp; "%USERPROFILE%\Documents\GitHub\mrs-test-scripts\Headless Mode &amp; Sideloading\WalkAndUnGZ.bat" "%USERPROFILE%\AppData\Local\Temp\OnboardLogs"\RTDC4039\2017-09-02 &amp; aws s3 cp s3://rtdc.mdm.uploadarchive.raw/RTDC4039/ "%USERPROFILE%\AppData\Local\Temp\OnboardLogs"\RTDC4039\2017-09-03 --exclude "*" --recursive --include "*20170903*" &amp; "%USERPROFILE%\Documents\GitHub\mrs-test-scripts\Headless Mode &amp; Sideloading\WalkAndUnGZ.bat" "%USERPROFILE%\AppData\Local\Temp\OnboardLogs"\RTDC4039\2017-09-03</v>
      </c>
      <c r="AF162" s="74" t="str">
        <f t="shared" si="52"/>
        <v>"C:\Program Files (x86)\AstroGrep\AstroGrep.exe" /e /r /s /spath="%USERPROFILE%\AppData\Local\Temp\OnboardLogs" /stypes="app*4039*20170902*" /stext=" 08:.+((SYSTEM_STATE.+slice.+state.+changed )|(ment ac)|(multiple cpu faults)|(system.+state.+changed )|(\[timeout)|(PRM\|1\|D)|(kpr)|(kdp)|(train st.+moving)|(\|lc)|(penalty))"</v>
      </c>
      <c r="AG162" s="206" t="str">
        <f t="shared" si="53"/>
        <v>EC</v>
      </c>
      <c r="AH162" s="78" t="str">
        <f t="shared" si="54"/>
        <v>"%USERPROFILE%\Documents\GitHub\eaglep3\Utilities\RefineRTDCRunTimes.py" --tripid 246-01 --locoid 4039 --swversion DE.1.0.9.0 --startMP 204:232988 --initTime 2017-09-02T01:48:42 --startdatetime 2017-09-02T01:57:22 --delay 52 --endMP 204:143 --enddatetime 2017-09-02T02:34:31 --enforcementcount 0 &gt;&gt;C:\Users\stu\Documents\GitHub\eaglep3-reporting\EC\2017-09-01-refined-times.txt</v>
      </c>
      <c r="AI162" s="96" t="str">
        <f t="shared" si="55"/>
        <v>echo {"issue":{"subject":"","project_id":79,"tracker_id":40,"status_id":1,"priority_id":2,"assigned_to_id":338,"start_date":"2017-09-02","description":"","custom_fields":[{"id":1,"name":"Subdivision","value":"EC"},{"id":4,"name":"Milepost","value":"0.0143"},{"id":17,"name":"Train ID","value":"246-01"},{"id":16,"name":"Locomotive ID","value":"4039"},{"id":130,"name":"Impact","value":""},{"id":150,"name":"Time of Event (Mountain Time)","value":"02:34:31"},{"id":151,"name":"Denver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56"/>
        <v>start /low /b %USERPROFILE%\Documents\GitHub\eaglep3\Utilities\DownloadLogsFromS3.py --loco 4039 --day 2017-09-02</v>
      </c>
      <c r="AN162" s="151" t="str">
        <f t="shared" si="57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08:34:31"},{"id":29,"name":"Sharepoint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2" t="s">
        <v>585</v>
      </c>
      <c r="B163" s="7">
        <v>4055</v>
      </c>
      <c r="C163" s="21" t="s">
        <v>197</v>
      </c>
      <c r="D163" s="21" t="s">
        <v>917</v>
      </c>
      <c r="E163" s="13">
        <v>42979.216215277775</v>
      </c>
      <c r="F163" s="13">
        <v>42979.217905092592</v>
      </c>
      <c r="G163" s="7">
        <v>81</v>
      </c>
      <c r="H163" s="21" t="s">
        <v>498</v>
      </c>
      <c r="I163" s="13">
        <v>42979.228634259256</v>
      </c>
      <c r="J163" s="7">
        <v>0</v>
      </c>
      <c r="K163" s="89" t="str">
        <f t="shared" si="40"/>
        <v>4055/4056</v>
      </c>
      <c r="L163" s="214" t="str">
        <f>VLOOKUP(A163,'Trips&amp;Operators'!$C$1:$G$99911,5,FALSE)</f>
        <v>WILLIAMS DONTE</v>
      </c>
      <c r="M163" s="6">
        <f t="shared" si="41"/>
        <v>1.0729166664532386E-2</v>
      </c>
      <c r="N163" s="7">
        <f t="shared" si="42"/>
        <v>15.449999996926636</v>
      </c>
      <c r="O163" s="7"/>
      <c r="P163" s="7"/>
      <c r="Q163" s="22"/>
      <c r="R163" s="167"/>
      <c r="S163" s="210">
        <f t="shared" si="43"/>
        <v>1</v>
      </c>
      <c r="T163" s="192" t="str">
        <f t="shared" si="44"/>
        <v>Southbound</v>
      </c>
      <c r="U163" s="192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3" t="str">
        <f t="shared" si="45"/>
        <v>https://d0f6bd738d7f1b3e5a7ca70fe4ff75f0.us-east-1.aws.found.io/app/kibana#/discover/Steve-Slow-Train-Analysis-(2080s-and-2083s)?_g=(refreshInterval:(display:Off,pause:!f,section:0,value:0),time:(from:'2017-09-01T04:11:21-0600',mode:absolute,to:'2017-09-01T06:29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3" s="194" t="str">
        <f>IF(AA163&lt;VLOOKUP(AG163,Variables!$AC$3:$AD$8,2,FALSE),"Y","N")</f>
        <v>N</v>
      </c>
      <c r="X163" s="194">
        <f t="shared" si="46"/>
        <v>554</v>
      </c>
      <c r="Y163" s="194">
        <f t="shared" si="47"/>
        <v>5.8597999999999999</v>
      </c>
      <c r="Z163" s="194">
        <f t="shared" si="48"/>
        <v>6.8400000000000002E-2</v>
      </c>
      <c r="AA163" s="194">
        <f t="shared" si="49"/>
        <v>5.7914000000000003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203">
        <f t="shared" si="50"/>
        <v>800</v>
      </c>
      <c r="AE163" s="77" t="str">
        <f t="shared" si="51"/>
        <v>aws s3 cp s3://rtdc.mdm.uploadarchive.raw/RTDC4055/ "%USERPROFILE%\AppData\Local\Temp\OnboardLogs"\RTDC4055\2017-09-01 --exclude "*" --recursive --include "*20170901*" &amp; "%USERPROFILE%\Documents\GitHub\mrs-test-scripts\Headless Mode &amp; Sideloading\WalkAndUnGZ.bat" "%USERPROFILE%\AppData\Local\Temp\OnboardLogs"\RTDC4055\2017-09-01 &amp; aws s3 cp s3://rtdc.mdm.uploadarchive.raw/RTDC4055/ "%USERPROFILE%\AppData\Local\Temp\OnboardLogs"\RTDC4055\2017-09-02 --exclude "*" --recursive --include "*20170902*" &amp; "%USERPROFILE%\Documents\GitHub\mrs-test-scripts\Headless Mode &amp; Sideloading\WalkAndUnGZ.bat" "%USERPROFILE%\AppData\Local\Temp\OnboardLogs"\RTDC4055\2017-09-02</v>
      </c>
      <c r="AF163" s="74" t="str">
        <f t="shared" si="52"/>
        <v>"C:\Program Files (x86)\AstroGrep\AstroGrep.exe" /e /r /s /spath="%USERPROFILE%\AppData\Local\Temp\OnboardLogs" /stypes="app*4055*20170901*" /stext=" 11:.+((SYSTEM_STATE.+slice.+state.+changed )|(ment ac)|(multiple cpu faults)|(system.+state.+changed )|(\[timeout)|(PRM\|1\|D)|(kpr)|(kdp)|(train st.+moving)|(\|lc)|(penalty))"</v>
      </c>
      <c r="AG163" s="206" t="str">
        <f t="shared" si="53"/>
        <v>NW</v>
      </c>
      <c r="AH163" s="78" t="str">
        <f t="shared" si="54"/>
        <v>"%USERPROFILE%\Documents\GitHub\eaglep3\Utilities\RefineRTDCRunTimes.py" --tripid 800-01 --locoid 4055 --swversion DE.1.0.9.0 --startMP 300:58598 --initTime 2017-09-01T05:11:21 --startdatetime 2017-09-01T05:13:47 --delay 81 --endMP 204:684 --enddatetime 2017-09-01T05:29:14 --enforcementcount 0 &gt;&gt;C:\Users\stu\Documents\GitHub\eaglep3-reporting\EC\2017-09-01-refined-times.txt</v>
      </c>
      <c r="AI163" s="96" t="str">
        <f t="shared" si="55"/>
        <v>echo {"issue":{"subject":"","project_id":79,"tracker_id":40,"status_id":1,"priority_id":2,"assigned_to_id":338,"start_date":"2017-09-01","description":"","custom_fields":[{"id":1,"name":"Subdivision","value":"NW"},{"id":4,"name":"Milepost","value":"0.0684"},{"id":17,"name":"Train ID","value":"800-01"},{"id":16,"name":"Locomotive ID","value":"4055"},{"id":130,"name":"Impact","value":""},{"id":150,"name":"Time of Event (Mountain Time)","value":"05:29:14"},{"id":151,"name":"Denver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7"/>
      <c r="AL163" s="47"/>
      <c r="AM163" s="142" t="str">
        <f t="shared" si="56"/>
        <v>start /low /b %USERPROFILE%\Documents\GitHub\eaglep3\Utilities\DownloadLogsFromS3.py --loco 4055 --day 2017-09-01</v>
      </c>
      <c r="AN163" s="151" t="str">
        <f t="shared" si="57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11:29:14"},{"id":29,"name":"Sharepoint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</row>
    <row r="164" spans="1:91" s="20" customFormat="1" x14ac:dyDescent="0.25">
      <c r="A164" s="32" t="s">
        <v>642</v>
      </c>
      <c r="B164" s="7">
        <v>4056</v>
      </c>
      <c r="C164" s="21" t="s">
        <v>197</v>
      </c>
      <c r="D164" s="21" t="s">
        <v>574</v>
      </c>
      <c r="E164" s="13">
        <v>42979.23296296296</v>
      </c>
      <c r="F164" s="13">
        <v>42979.23574074074</v>
      </c>
      <c r="G164" s="7">
        <v>58</v>
      </c>
      <c r="H164" s="21" t="s">
        <v>918</v>
      </c>
      <c r="I164" s="13">
        <v>42979.245868055557</v>
      </c>
      <c r="J164" s="7">
        <v>0</v>
      </c>
      <c r="K164" s="89" t="str">
        <f t="shared" si="40"/>
        <v>4055/4056</v>
      </c>
      <c r="L164" s="214" t="str">
        <f>VLOOKUP(A164,'Trips&amp;Operators'!$C$1:$G$99911,5,FALSE)</f>
        <v>WILLIAMS DONTE</v>
      </c>
      <c r="M164" s="6">
        <f t="shared" si="41"/>
        <v>1.0127314817509614E-2</v>
      </c>
      <c r="N164" s="7">
        <f t="shared" si="42"/>
        <v>14.583333337213844</v>
      </c>
      <c r="O164" s="7"/>
      <c r="P164" s="7"/>
      <c r="Q164" s="22"/>
      <c r="R164" s="167"/>
      <c r="S164" s="210">
        <f t="shared" si="43"/>
        <v>1</v>
      </c>
      <c r="T164" s="192" t="str">
        <f t="shared" si="44"/>
        <v>NorthBound</v>
      </c>
      <c r="U164" s="192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3" t="str">
        <f t="shared" si="45"/>
        <v>https://d0f6bd738d7f1b3e5a7ca70fe4ff75f0.us-east-1.aws.found.io/app/kibana#/discover/Steve-Slow-Train-Analysis-(2080s-and-2083s)?_g=(refreshInterval:(display:Off,pause:!f,section:0,value:0),time:(from:'2017-09-01T04:35:28-0600',mode:absolute,to:'2017-09-01T06:54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64" s="194" t="str">
        <f>IF(AA164&lt;VLOOKUP(AG164,Variables!$AC$3:$AD$8,2,FALSE),"Y","N")</f>
        <v>N</v>
      </c>
      <c r="X164" s="194">
        <f t="shared" si="46"/>
        <v>1</v>
      </c>
      <c r="Y164" s="194">
        <f t="shared" si="47"/>
        <v>9.9000000000000005E-2</v>
      </c>
      <c r="Z164" s="194">
        <f t="shared" si="48"/>
        <v>5.8926999999999996</v>
      </c>
      <c r="AA164" s="194">
        <f t="shared" si="49"/>
        <v>5.7936999999999994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203">
        <f t="shared" si="50"/>
        <v>801</v>
      </c>
      <c r="AE164" s="77" t="str">
        <f t="shared" si="51"/>
        <v>aws s3 cp s3://rtdc.mdm.uploadarchive.raw/RTDC4056/ "%USERPROFILE%\AppData\Local\Temp\OnboardLogs"\RTDC4056\2017-09-01 --exclude "*" --recursive --include "*20170901*" &amp; "%USERPROFILE%\Documents\GitHub\mrs-test-scripts\Headless Mode &amp; Sideloading\WalkAndUnGZ.bat" "%USERPROFILE%\AppData\Local\Temp\OnboardLogs"\RTDC4056\2017-09-01 &amp; aws s3 cp s3://rtdc.mdm.uploadarchive.raw/RTDC4056/ "%USERPROFILE%\AppData\Local\Temp\OnboardLogs"\RTDC4056\2017-09-02 --exclude "*" --recursive --include "*20170902*" &amp; "%USERPROFILE%\Documents\GitHub\mrs-test-scripts\Headless Mode &amp; Sideloading\WalkAndUnGZ.bat" "%USERPROFILE%\AppData\Local\Temp\OnboardLogs"\RTDC4056\2017-09-02</v>
      </c>
      <c r="AF164" s="74" t="str">
        <f t="shared" si="52"/>
        <v>"C:\Program Files (x86)\AstroGrep\AstroGrep.exe" /e /r /s /spath="%USERPROFILE%\AppData\Local\Temp\OnboardLogs" /stypes="app*4056*20170901*" /stext=" 11:.+((SYSTEM_STATE.+slice.+state.+changed )|(ment ac)|(multiple cpu faults)|(system.+state.+changed )|(\[timeout)|(PRM\|1\|D)|(kpr)|(kdp)|(train st.+moving)|(\|lc)|(penalty))"</v>
      </c>
      <c r="AG164" s="206" t="str">
        <f t="shared" si="53"/>
        <v>NW</v>
      </c>
      <c r="AH164" s="78" t="str">
        <f t="shared" si="54"/>
        <v>"%USERPROFILE%\Documents\GitHub\eaglep3\Utilities\RefineRTDCRunTimes.py" --tripid 801-01 --locoid 4056 --swversion DE.1.0.9.0 --startMP 204:990 --initTime 2017-09-01T05:35:28 --startdatetime 2017-09-01T05:39:28 --delay 58 --endMP 300:58927 --enddatetime 2017-09-01T05:54:03 --enforcementcount 0 &gt;&gt;C:\Users\stu\Documents\GitHub\eaglep3-reporting\EC\2017-09-01-refined-times.txt</v>
      </c>
      <c r="AI164" s="96" t="str">
        <f t="shared" si="55"/>
        <v>echo {"issue":{"subject":"","project_id":79,"tracker_id":40,"status_id":1,"priority_id":2,"assigned_to_id":338,"start_date":"2017-09-01","description":"","custom_fields":[{"id":1,"name":"Subdivision","value":"NW"},{"id":4,"name":"Milepost","value":"5.8927"},{"id":17,"name":"Train ID","value":"801-01"},{"id":16,"name":"Locomotive ID","value":"4056"},{"id":130,"name":"Impact","value":""},{"id":150,"name":"Time of Event (Mountain Time)","value":"05:54:03"},{"id":151,"name":"Denver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56"/>
        <v>start /low /b %USERPROFILE%\Documents\GitHub\eaglep3\Utilities\DownloadLogsFromS3.py --loco 4056 --day 2017-09-01</v>
      </c>
      <c r="AN164" s="151" t="str">
        <f t="shared" si="57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11:54:03"},{"id":29,"name":"Sharepoint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2" t="s">
        <v>651</v>
      </c>
      <c r="B165" s="7">
        <v>4055</v>
      </c>
      <c r="C165" s="21" t="s">
        <v>197</v>
      </c>
      <c r="D165" s="21" t="s">
        <v>919</v>
      </c>
      <c r="E165" s="13">
        <v>42979.247847222221</v>
      </c>
      <c r="F165" s="13">
        <v>42979.256238425929</v>
      </c>
      <c r="G165" s="7">
        <v>96</v>
      </c>
      <c r="H165" s="21" t="s">
        <v>498</v>
      </c>
      <c r="I165" s="13">
        <v>42979.267581018517</v>
      </c>
      <c r="J165" s="7">
        <v>0</v>
      </c>
      <c r="K165" s="89" t="str">
        <f t="shared" si="40"/>
        <v>4055/4056</v>
      </c>
      <c r="L165" s="214" t="str">
        <f>VLOOKUP(A165,'Trips&amp;Operators'!$C$1:$G$99911,5,FALSE)</f>
        <v>WILLIAMS DONTE</v>
      </c>
      <c r="M165" s="6">
        <f t="shared" si="41"/>
        <v>1.134259258833481E-2</v>
      </c>
      <c r="N165" s="7">
        <f t="shared" si="42"/>
        <v>16.333333327202126</v>
      </c>
      <c r="O165" s="7"/>
      <c r="P165" s="7"/>
      <c r="Q165" s="22"/>
      <c r="R165" s="167"/>
      <c r="S165" s="210">
        <f t="shared" si="43"/>
        <v>1</v>
      </c>
      <c r="T165" s="192" t="str">
        <f t="shared" si="44"/>
        <v>Southbound</v>
      </c>
      <c r="U165" s="192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3" t="str">
        <f t="shared" si="45"/>
        <v>https://d0f6bd738d7f1b3e5a7ca70fe4ff75f0.us-east-1.aws.found.io/app/kibana#/discover/Steve-Slow-Train-Analysis-(2080s-and-2083s)?_g=(refreshInterval:(display:Off,pause:!f,section:0,value:0),time:(from:'2017-09-01T04:56:54-0600',mode:absolute,to:'2017-09-01T07:25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5" s="194" t="str">
        <f>IF(AA165&lt;VLOOKUP(AG165,Variables!$AC$3:$AD$8,2,FALSE),"Y","N")</f>
        <v>N</v>
      </c>
      <c r="X165" s="194">
        <f t="shared" si="46"/>
        <v>1</v>
      </c>
      <c r="Y165" s="194">
        <f t="shared" si="47"/>
        <v>5.86</v>
      </c>
      <c r="Z165" s="194">
        <f t="shared" si="48"/>
        <v>6.8400000000000002E-2</v>
      </c>
      <c r="AA165" s="194">
        <f t="shared" si="49"/>
        <v>5.7916000000000007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203">
        <f t="shared" si="50"/>
        <v>802</v>
      </c>
      <c r="AE165" s="77" t="str">
        <f t="shared" si="51"/>
        <v>aws s3 cp s3://rtdc.mdm.uploadarchive.raw/RTDC4055/ "%USERPROFILE%\AppData\Local\Temp\OnboardLogs"\RTDC4055\2017-09-01 --exclude "*" --recursive --include "*20170901*" &amp; "%USERPROFILE%\Documents\GitHub\mrs-test-scripts\Headless Mode &amp; Sideloading\WalkAndUnGZ.bat" "%USERPROFILE%\AppData\Local\Temp\OnboardLogs"\RTDC4055\2017-09-01 &amp; aws s3 cp s3://rtdc.mdm.uploadarchive.raw/RTDC4055/ "%USERPROFILE%\AppData\Local\Temp\OnboardLogs"\RTDC4055\2017-09-02 --exclude "*" --recursive --include "*20170902*" &amp; "%USERPROFILE%\Documents\GitHub\mrs-test-scripts\Headless Mode &amp; Sideloading\WalkAndUnGZ.bat" "%USERPROFILE%\AppData\Local\Temp\OnboardLogs"\RTDC4055\2017-09-02</v>
      </c>
      <c r="AF165" s="74" t="str">
        <f t="shared" si="52"/>
        <v>"C:\Program Files (x86)\AstroGrep\AstroGrep.exe" /e /r /s /spath="%USERPROFILE%\AppData\Local\Temp\OnboardLogs" /stypes="app*4055*20170901*" /stext=" 12:.+((SYSTEM_STATE.+slice.+state.+changed )|(ment ac)|(multiple cpu faults)|(system.+state.+changed )|(\[timeout)|(PRM\|1\|D)|(kpr)|(kdp)|(train st.+moving)|(\|lc)|(penalty))"</v>
      </c>
      <c r="AG165" s="206" t="str">
        <f t="shared" si="53"/>
        <v>NW</v>
      </c>
      <c r="AH165" s="78" t="str">
        <f t="shared" si="54"/>
        <v>"%USERPROFILE%\Documents\GitHub\eaglep3\Utilities\RefineRTDCRunTimes.py" --tripid 802-01 --locoid 4055 --swversion DE.1.0.9.0 --startMP 300:58600 --initTime 2017-09-01T05:56:54 --startdatetime 2017-09-01T06:08:59 --delay 96 --endMP 204:684 --enddatetime 2017-09-01T06:25:19 --enforcementcount 0 &gt;&gt;C:\Users\stu\Documents\GitHub\eaglep3-reporting\EC\2017-09-01-refined-times.txt</v>
      </c>
      <c r="AI165" s="96" t="str">
        <f t="shared" si="55"/>
        <v>echo {"issue":{"subject":"","project_id":79,"tracker_id":40,"status_id":1,"priority_id":2,"assigned_to_id":338,"start_date":"2017-09-01","description":"","custom_fields":[{"id":1,"name":"Subdivision","value":"NW"},{"id":4,"name":"Milepost","value":"0.0684"},{"id":17,"name":"Train ID","value":"802-01"},{"id":16,"name":"Locomotive ID","value":"4055"},{"id":130,"name":"Impact","value":""},{"id":150,"name":"Time of Event (Mountain Time)","value":"06:25:19"},{"id":151,"name":"Denver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7"/>
      <c r="AL165" s="47"/>
      <c r="AM165" s="142" t="str">
        <f t="shared" si="56"/>
        <v>start /low /b %USERPROFILE%\Documents\GitHub\eaglep3\Utilities\DownloadLogsFromS3.py --loco 4055 --day 2017-09-01</v>
      </c>
      <c r="AN165" s="151" t="str">
        <f t="shared" si="57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12:25:19"},{"id":29,"name":"Sharepoint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</row>
    <row r="166" spans="1:91" x14ac:dyDescent="0.25">
      <c r="A166" s="32" t="s">
        <v>588</v>
      </c>
      <c r="B166" s="7">
        <v>4044</v>
      </c>
      <c r="C166" s="21" t="s">
        <v>197</v>
      </c>
      <c r="D166" s="21" t="s">
        <v>506</v>
      </c>
      <c r="E166" s="13">
        <v>42979.251157407409</v>
      </c>
      <c r="F166" s="13">
        <v>42979.256423611114</v>
      </c>
      <c r="G166" s="7">
        <v>71</v>
      </c>
      <c r="H166" s="21" t="s">
        <v>920</v>
      </c>
      <c r="I166" s="13">
        <v>42979.266701388886</v>
      </c>
      <c r="J166" s="7">
        <v>0</v>
      </c>
      <c r="K166" s="89" t="str">
        <f t="shared" si="40"/>
        <v>4043/4044</v>
      </c>
      <c r="L166" s="214" t="str">
        <f>VLOOKUP(A166,'Trips&amp;Operators'!$C$1:$G$99911,5,FALSE)</f>
        <v>TOUSIGNAUT CARL</v>
      </c>
      <c r="M166" s="6">
        <f t="shared" si="41"/>
        <v>1.0277777771989349E-2</v>
      </c>
      <c r="N166" s="7">
        <f t="shared" si="42"/>
        <v>14.799999991664663</v>
      </c>
      <c r="O166" s="7"/>
      <c r="P166" s="7"/>
      <c r="Q166" s="22"/>
      <c r="R166" s="167"/>
      <c r="S166" s="210">
        <f t="shared" si="43"/>
        <v>1</v>
      </c>
      <c r="T166" s="192" t="str">
        <f t="shared" si="44"/>
        <v>NorthBound</v>
      </c>
      <c r="U166" s="192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3" t="str">
        <f t="shared" si="45"/>
        <v>https://d0f6bd738d7f1b3e5a7ca70fe4ff75f0.us-east-1.aws.found.io/app/kibana#/discover/Steve-Slow-Train-Analysis-(2080s-and-2083s)?_g=(refreshInterval:(display:Off,pause:!f,section:0,value:0),time:(from:'2017-09-01T05:01:40-0600',mode:absolute,to:'2017-09-01T07:24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6" s="194" t="str">
        <f>IF(AA166&lt;VLOOKUP(AG166,Variables!$AC$3:$AD$8,2,FALSE),"Y","N")</f>
        <v>N</v>
      </c>
      <c r="X166" s="194">
        <f t="shared" si="46"/>
        <v>1</v>
      </c>
      <c r="Y166" s="194">
        <f t="shared" si="47"/>
        <v>9.6699999999999994E-2</v>
      </c>
      <c r="Z166" s="194">
        <f t="shared" si="48"/>
        <v>5.8968999999999996</v>
      </c>
      <c r="AA166" s="194">
        <f t="shared" si="49"/>
        <v>5.8001999999999994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203">
        <f t="shared" si="50"/>
        <v>803</v>
      </c>
      <c r="AE166" s="77" t="str">
        <f t="shared" si="51"/>
        <v>aws s3 cp s3://rtdc.mdm.uploadarchive.raw/RTDC4044/ "%USERPROFILE%\AppData\Local\Temp\OnboardLogs"\RTDC4044\2017-09-01 --exclude "*" --recursive --include "*20170901*" &amp; "%USERPROFILE%\Documents\GitHub\mrs-test-scripts\Headless Mode &amp; Sideloading\WalkAndUnGZ.bat" "%USERPROFILE%\AppData\Local\Temp\OnboardLogs"\RTDC4044\2017-09-01 &amp; aws s3 cp s3://rtdc.mdm.uploadarchive.raw/RTDC4044/ "%USERPROFILE%\AppData\Local\Temp\OnboardLogs"\RTDC4044\2017-09-02 --exclude "*" --recursive --include "*20170902*" &amp; "%USERPROFILE%\Documents\GitHub\mrs-test-scripts\Headless Mode &amp; Sideloading\WalkAndUnGZ.bat" "%USERPROFILE%\AppData\Local\Temp\OnboardLogs"\RTDC4044\2017-09-02</v>
      </c>
      <c r="AF166" s="74" t="str">
        <f t="shared" si="52"/>
        <v>"C:\Program Files (x86)\AstroGrep\AstroGrep.exe" /e /r /s /spath="%USERPROFILE%\AppData\Local\Temp\OnboardLogs" /stypes="app*4044*20170901*" /stext=" 12:.+((SYSTEM_STATE.+slice.+state.+changed )|(ment ac)|(multiple cpu faults)|(system.+state.+changed )|(\[timeout)|(PRM\|1\|D)|(kpr)|(kdp)|(train st.+moving)|(\|lc)|(penalty))"</v>
      </c>
      <c r="AG166" s="206" t="str">
        <f t="shared" si="53"/>
        <v>NW</v>
      </c>
      <c r="AH166" s="78" t="str">
        <f t="shared" si="54"/>
        <v>"%USERPROFILE%\Documents\GitHub\eaglep3\Utilities\RefineRTDCRunTimes.py" --tripid 803-01 --locoid 4044 --swversion DE.1.0.9.0 --startMP 204:967 --initTime 2017-09-01T06:01:40 --startdatetime 2017-09-01T06:09:15 --delay 71 --endMP 300:58969 --enddatetime 2017-09-01T06:24:03 --enforcementcount 0 &gt;&gt;C:\Users\stu\Documents\GitHub\eaglep3-reporting\EC\2017-09-01-refined-times.txt</v>
      </c>
      <c r="AI166" s="96" t="str">
        <f t="shared" si="55"/>
        <v>echo {"issue":{"subject":"","project_id":79,"tracker_id":40,"status_id":1,"priority_id":2,"assigned_to_id":338,"start_date":"2017-09-01","description":"","custom_fields":[{"id":1,"name":"Subdivision","value":"NW"},{"id":4,"name":"Milepost","value":"5.8969"},{"id":17,"name":"Train ID","value":"803-01"},{"id":16,"name":"Locomotive ID","value":"4044"},{"id":130,"name":"Impact","value":""},{"id":150,"name":"Time of Event (Mountain Time)","value":"06:24:03"},{"id":151,"name":"Denver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2" t="str">
        <f t="shared" si="56"/>
        <v>start /low /b %USERPROFILE%\Documents\GitHub\eaglep3\Utilities\DownloadLogsFromS3.py --loco 4044 --day 2017-09-01</v>
      </c>
      <c r="AN166" s="151" t="str">
        <f t="shared" si="57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12:24:03"},{"id":29,"name":"Sharepoint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</row>
    <row r="167" spans="1:91" s="20" customFormat="1" x14ac:dyDescent="0.25">
      <c r="A167" s="32" t="s">
        <v>655</v>
      </c>
      <c r="B167" s="7">
        <v>4043</v>
      </c>
      <c r="C167" s="21" t="s">
        <v>197</v>
      </c>
      <c r="D167" s="21" t="s">
        <v>921</v>
      </c>
      <c r="E167" s="13">
        <v>42979.267800925925</v>
      </c>
      <c r="F167" s="13">
        <v>42979.270891203705</v>
      </c>
      <c r="G167" s="7">
        <v>61</v>
      </c>
      <c r="H167" s="21" t="s">
        <v>573</v>
      </c>
      <c r="I167" s="13">
        <v>42979.28800925926</v>
      </c>
      <c r="J167" s="7">
        <v>0</v>
      </c>
      <c r="K167" s="89" t="str">
        <f t="shared" si="40"/>
        <v>4043/4044</v>
      </c>
      <c r="L167" s="214" t="str">
        <f>VLOOKUP(A167,'Trips&amp;Operators'!$C$1:$G$99911,5,FALSE)</f>
        <v>TOUSIGNAUT CARL</v>
      </c>
      <c r="M167" s="6">
        <f t="shared" si="41"/>
        <v>1.7118055555329192E-2</v>
      </c>
      <c r="N167" s="7">
        <f t="shared" si="42"/>
        <v>24.649999999674037</v>
      </c>
      <c r="O167" s="7"/>
      <c r="P167" s="7"/>
      <c r="Q167" s="22"/>
      <c r="R167" s="167"/>
      <c r="S167" s="210">
        <f t="shared" si="43"/>
        <v>1</v>
      </c>
      <c r="T167" s="192" t="str">
        <f t="shared" si="44"/>
        <v>Southbound</v>
      </c>
      <c r="U167" s="192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3" t="str">
        <f t="shared" si="45"/>
        <v>https://d0f6bd738d7f1b3e5a7ca70fe4ff75f0.us-east-1.aws.found.io/app/kibana#/discover/Steve-Slow-Train-Analysis-(2080s-and-2083s)?_g=(refreshInterval:(display:Off,pause:!f,section:0,value:0),time:(from:'2017-09-01T05:25:38-0600',mode:absolute,to:'2017-09-01T07:54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7" s="194" t="str">
        <f>IF(AA167&lt;VLOOKUP(AG167,Variables!$AC$3:$AD$8,2,FALSE),"Y","N")</f>
        <v>N</v>
      </c>
      <c r="X167" s="194">
        <f t="shared" si="46"/>
        <v>1</v>
      </c>
      <c r="Y167" s="194">
        <f t="shared" si="47"/>
        <v>5.8654999999999999</v>
      </c>
      <c r="Z167" s="194">
        <f t="shared" si="48"/>
        <v>6.7799999999999999E-2</v>
      </c>
      <c r="AA167" s="194">
        <f t="shared" si="49"/>
        <v>5.7976999999999999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203">
        <f t="shared" si="50"/>
        <v>804</v>
      </c>
      <c r="AE167" s="77" t="str">
        <f t="shared" si="51"/>
        <v>aws s3 cp s3://rtdc.mdm.uploadarchive.raw/RTDC4043/ "%USERPROFILE%\AppData\Local\Temp\OnboardLogs"\RTDC4043\2017-09-01 --exclude "*" --recursive --include "*20170901*" &amp; "%USERPROFILE%\Documents\GitHub\mrs-test-scripts\Headless Mode &amp; Sideloading\WalkAndUnGZ.bat" "%USERPROFILE%\AppData\Local\Temp\OnboardLogs"\RTDC4043\2017-09-01 &amp; aws s3 cp s3://rtdc.mdm.uploadarchive.raw/RTDC4043/ "%USERPROFILE%\AppData\Local\Temp\OnboardLogs"\RTDC4043\2017-09-02 --exclude "*" --recursive --include "*20170902*" &amp; "%USERPROFILE%\Documents\GitHub\mrs-test-scripts\Headless Mode &amp; Sideloading\WalkAndUnGZ.bat" "%USERPROFILE%\AppData\Local\Temp\OnboardLogs"\RTDC4043\2017-09-02</v>
      </c>
      <c r="AF167" s="74" t="str">
        <f t="shared" si="52"/>
        <v>"C:\Program Files (x86)\AstroGrep\AstroGrep.exe" /e /r /s /spath="%USERPROFILE%\AppData\Local\Temp\OnboardLogs" /stypes="app*4043*20170901*" /stext=" 12:.+((SYSTEM_STATE.+slice.+state.+changed )|(ment ac)|(multiple cpu faults)|(system.+state.+changed )|(\[timeout)|(PRM\|1\|D)|(kpr)|(kdp)|(train st.+moving)|(\|lc)|(penalty))"</v>
      </c>
      <c r="AG167" s="206" t="str">
        <f t="shared" si="53"/>
        <v>NW</v>
      </c>
      <c r="AH167" s="78" t="str">
        <f t="shared" si="54"/>
        <v>"%USERPROFILE%\Documents\GitHub\eaglep3\Utilities\RefineRTDCRunTimes.py" --tripid 804-01 --locoid 4043 --swversion DE.1.0.9.0 --startMP 300:58655 --initTime 2017-09-01T06:25:38 --startdatetime 2017-09-01T06:30:05 --delay 61 --endMP 204:678 --enddatetime 2017-09-01T06:54:44 --enforcementcount 0 &gt;&gt;C:\Users\stu\Documents\GitHub\eaglep3-reporting\EC\2017-09-01-refined-times.txt</v>
      </c>
      <c r="AI167" s="96" t="str">
        <f t="shared" si="55"/>
        <v>echo {"issue":{"subject":"","project_id":79,"tracker_id":40,"status_id":1,"priority_id":2,"assigned_to_id":338,"start_date":"2017-09-01","description":"","custom_fields":[{"id":1,"name":"Subdivision","value":"NW"},{"id":4,"name":"Milepost","value":"0.0678"},{"id":17,"name":"Train ID","value":"804-01"},{"id":16,"name":"Locomotive ID","value":"4043"},{"id":130,"name":"Impact","value":""},{"id":150,"name":"Time of Event (Mountain Time)","value":"06:54:44"},{"id":151,"name":"Denver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56"/>
        <v>start /low /b %USERPROFILE%\Documents\GitHub\eaglep3\Utilities\DownloadLogsFromS3.py --loco 4043 --day 2017-09-01</v>
      </c>
      <c r="AN167" s="151" t="str">
        <f t="shared" si="57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12:54:44"},{"id":29,"name":"Sharepoint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589</v>
      </c>
      <c r="B168" s="7">
        <v>4056</v>
      </c>
      <c r="C168" s="21" t="s">
        <v>197</v>
      </c>
      <c r="D168" s="21" t="s">
        <v>922</v>
      </c>
      <c r="E168" s="13">
        <v>42979.27207175926</v>
      </c>
      <c r="F168" s="13">
        <v>42979.277337962965</v>
      </c>
      <c r="G168" s="7">
        <v>60</v>
      </c>
      <c r="H168" s="21" t="s">
        <v>923</v>
      </c>
      <c r="I168" s="13">
        <v>42979.287974537037</v>
      </c>
      <c r="J168" s="7">
        <v>0</v>
      </c>
      <c r="K168" s="89" t="str">
        <f t="shared" si="40"/>
        <v>4055/4056</v>
      </c>
      <c r="L168" s="214" t="str">
        <f>VLOOKUP(A168,'Trips&amp;Operators'!$C$1:$G$99911,5,FALSE)</f>
        <v>HUFFSMITH MONTY</v>
      </c>
      <c r="M168" s="6">
        <f t="shared" si="41"/>
        <v>1.063657407212304E-2</v>
      </c>
      <c r="N168" s="7">
        <f t="shared" si="42"/>
        <v>15.316666663857177</v>
      </c>
      <c r="O168" s="7"/>
      <c r="P168" s="7"/>
      <c r="Q168" s="22"/>
      <c r="R168" s="167"/>
      <c r="S168" s="210">
        <f t="shared" si="43"/>
        <v>1</v>
      </c>
      <c r="T168" s="192" t="str">
        <f t="shared" si="44"/>
        <v>NorthBound</v>
      </c>
      <c r="U168" s="192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3" t="str">
        <f t="shared" si="45"/>
        <v>https://d0f6bd738d7f1b3e5a7ca70fe4ff75f0.us-east-1.aws.found.io/app/kibana#/discover/Steve-Slow-Train-Analysis-(2080s-and-2083s)?_g=(refreshInterval:(display:Off,pause:!f,section:0,value:0),time:(from:'2017-09-01T05:31:47-0600',mode:absolute,to:'2017-09-01T07:54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68" s="194" t="str">
        <f>IF(AA168&lt;VLOOKUP(AG168,Variables!$AC$3:$AD$8,2,FALSE),"Y","N")</f>
        <v>N</v>
      </c>
      <c r="X168" s="194">
        <f t="shared" si="46"/>
        <v>1</v>
      </c>
      <c r="Y168" s="194">
        <f t="shared" si="47"/>
        <v>9.8599999999999993E-2</v>
      </c>
      <c r="Z168" s="194">
        <f t="shared" si="48"/>
        <v>5.8986000000000001</v>
      </c>
      <c r="AA168" s="194">
        <f t="shared" si="49"/>
        <v>5.8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203">
        <f t="shared" si="50"/>
        <v>805</v>
      </c>
      <c r="AE168" s="77" t="str">
        <f t="shared" si="51"/>
        <v>aws s3 cp s3://rtdc.mdm.uploadarchive.raw/RTDC4056/ "%USERPROFILE%\AppData\Local\Temp\OnboardLogs"\RTDC4056\2017-09-01 --exclude "*" --recursive --include "*20170901*" &amp; "%USERPROFILE%\Documents\GitHub\mrs-test-scripts\Headless Mode &amp; Sideloading\WalkAndUnGZ.bat" "%USERPROFILE%\AppData\Local\Temp\OnboardLogs"\RTDC4056\2017-09-01 &amp; aws s3 cp s3://rtdc.mdm.uploadarchive.raw/RTDC4056/ "%USERPROFILE%\AppData\Local\Temp\OnboardLogs"\RTDC4056\2017-09-02 --exclude "*" --recursive --include "*20170902*" &amp; "%USERPROFILE%\Documents\GitHub\mrs-test-scripts\Headless Mode &amp; Sideloading\WalkAndUnGZ.bat" "%USERPROFILE%\AppData\Local\Temp\OnboardLogs"\RTDC4056\2017-09-02</v>
      </c>
      <c r="AF168" s="74" t="str">
        <f t="shared" si="52"/>
        <v>"C:\Program Files (x86)\AstroGrep\AstroGrep.exe" /e /r /s /spath="%USERPROFILE%\AppData\Local\Temp\OnboardLogs" /stypes="app*4056*20170901*" /stext=" 12:.+((SYSTEM_STATE.+slice.+state.+changed )|(ment ac)|(multiple cpu faults)|(system.+state.+changed )|(\[timeout)|(PRM\|1\|D)|(kpr)|(kdp)|(train st.+moving)|(\|lc)|(penalty))"</v>
      </c>
      <c r="AG168" s="206" t="str">
        <f t="shared" si="53"/>
        <v>NW</v>
      </c>
      <c r="AH168" s="78" t="str">
        <f t="shared" si="54"/>
        <v>"%USERPROFILE%\Documents\GitHub\eaglep3\Utilities\RefineRTDCRunTimes.py" --tripid 805-01 --locoid 4056 --swversion DE.1.0.9.0 --startMP 204:986 --initTime 2017-09-01T06:31:47 --startdatetime 2017-09-01T06:39:22 --delay 60 --endMP 300:58986 --enddatetime 2017-09-01T06:54:41 --enforcementcount 0 &gt;&gt;C:\Users\stu\Documents\GitHub\eaglep3-reporting\EC\2017-09-01-refined-times.txt</v>
      </c>
      <c r="AI168" s="96" t="str">
        <f t="shared" si="55"/>
        <v>echo {"issue":{"subject":"","project_id":79,"tracker_id":40,"status_id":1,"priority_id":2,"assigned_to_id":338,"start_date":"2017-09-01","description":"","custom_fields":[{"id":1,"name":"Subdivision","value":"NW"},{"id":4,"name":"Milepost","value":"5.8986"},{"id":17,"name":"Train ID","value":"805-01"},{"id":16,"name":"Locomotive ID","value":"4056"},{"id":130,"name":"Impact","value":""},{"id":150,"name":"Time of Event (Mountain Time)","value":"06:54:41"},{"id":151,"name":"Denver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56"/>
        <v>start /low /b %USERPROFILE%\Documents\GitHub\eaglep3\Utilities\DownloadLogsFromS3.py --loco 4056 --day 2017-09-01</v>
      </c>
      <c r="AN168" s="151" t="str">
        <f t="shared" si="57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12:54:41"},{"id":29,"name":"Sharepoint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663</v>
      </c>
      <c r="B169" s="7">
        <v>4055</v>
      </c>
      <c r="C169" s="21" t="s">
        <v>197</v>
      </c>
      <c r="D169" s="21" t="s">
        <v>924</v>
      </c>
      <c r="E169" s="13">
        <v>42979.289699074077</v>
      </c>
      <c r="F169" s="13">
        <v>42979.300856481481</v>
      </c>
      <c r="G169" s="7">
        <v>99</v>
      </c>
      <c r="H169" s="21" t="s">
        <v>925</v>
      </c>
      <c r="I169" s="13">
        <v>42979.309675925928</v>
      </c>
      <c r="J169" s="7">
        <v>0</v>
      </c>
      <c r="K169" s="89" t="str">
        <f t="shared" si="40"/>
        <v>4055/4056</v>
      </c>
      <c r="L169" s="214" t="str">
        <f>VLOOKUP(A169,'Trips&amp;Operators'!$C$1:$G$99911,5,FALSE)</f>
        <v>HUFFSMITH MONTY</v>
      </c>
      <c r="M169" s="6">
        <f t="shared" si="41"/>
        <v>8.819444446999114E-3</v>
      </c>
      <c r="N169" s="7">
        <f t="shared" si="42"/>
        <v>12.700000003678724</v>
      </c>
      <c r="O169" s="7"/>
      <c r="P169" s="7"/>
      <c r="Q169" s="22"/>
      <c r="R169" s="167"/>
      <c r="S169" s="210">
        <f t="shared" si="43"/>
        <v>1</v>
      </c>
      <c r="T169" s="192" t="str">
        <f t="shared" si="44"/>
        <v>Southbound</v>
      </c>
      <c r="U169" s="192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3" t="str">
        <f t="shared" si="45"/>
        <v>https://d0f6bd738d7f1b3e5a7ca70fe4ff75f0.us-east-1.aws.found.io/app/kibana#/discover/Steve-Slow-Train-Analysis-(2080s-and-2083s)?_g=(refreshInterval:(display:Off,pause:!f,section:0,value:0),time:(from:'2017-09-01T05:57:10-0600',mode:absolute,to:'2017-09-01T08:25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9" s="194" t="str">
        <f>IF(AA169&lt;VLOOKUP(AG169,Variables!$AC$3:$AD$8,2,FALSE),"Y","N")</f>
        <v>N</v>
      </c>
      <c r="X169" s="194">
        <f t="shared" si="46"/>
        <v>1</v>
      </c>
      <c r="Y169" s="194">
        <f t="shared" si="47"/>
        <v>5.8666</v>
      </c>
      <c r="Z169" s="194">
        <f t="shared" si="48"/>
        <v>6.6799999999999998E-2</v>
      </c>
      <c r="AA169" s="194">
        <f t="shared" si="49"/>
        <v>5.7998000000000003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203">
        <f t="shared" si="50"/>
        <v>806</v>
      </c>
      <c r="AE169" s="77" t="str">
        <f t="shared" si="51"/>
        <v>aws s3 cp s3://rtdc.mdm.uploadarchive.raw/RTDC4055/ "%USERPROFILE%\AppData\Local\Temp\OnboardLogs"\RTDC4055\2017-09-01 --exclude "*" --recursive --include "*20170901*" &amp; "%USERPROFILE%\Documents\GitHub\mrs-test-scripts\Headless Mode &amp; Sideloading\WalkAndUnGZ.bat" "%USERPROFILE%\AppData\Local\Temp\OnboardLogs"\RTDC4055\2017-09-01 &amp; aws s3 cp s3://rtdc.mdm.uploadarchive.raw/RTDC4055/ "%USERPROFILE%\AppData\Local\Temp\OnboardLogs"\RTDC4055\2017-09-02 --exclude "*" --recursive --include "*20170902*" &amp; "%USERPROFILE%\Documents\GitHub\mrs-test-scripts\Headless Mode &amp; Sideloading\WalkAndUnGZ.bat" "%USERPROFILE%\AppData\Local\Temp\OnboardLogs"\RTDC4055\2017-09-02</v>
      </c>
      <c r="AF169" s="74" t="str">
        <f t="shared" si="52"/>
        <v>"C:\Program Files (x86)\AstroGrep\AstroGrep.exe" /e /r /s /spath="%USERPROFILE%\AppData\Local\Temp\OnboardLogs" /stypes="app*4055*20170901*" /stext=" 13:.+((SYSTEM_STATE.+slice.+state.+changed )|(ment ac)|(multiple cpu faults)|(system.+state.+changed )|(\[timeout)|(PRM\|1\|D)|(kpr)|(kdp)|(train st.+moving)|(\|lc)|(penalty))"</v>
      </c>
      <c r="AG169" s="206" t="str">
        <f t="shared" si="53"/>
        <v>NW</v>
      </c>
      <c r="AH169" s="78" t="str">
        <f t="shared" si="54"/>
        <v>"%USERPROFILE%\Documents\GitHub\eaglep3\Utilities\RefineRTDCRunTimes.py" --tripid 806-01 --locoid 4055 --swversion DE.1.0.9.0 --startMP 300:58666 --initTime 2017-09-01T06:57:10 --startdatetime 2017-09-01T07:13:14 --delay 99 --endMP 204:668 --enddatetime 2017-09-01T07:25:56 --enforcementcount 0 &gt;&gt;C:\Users\stu\Documents\GitHub\eaglep3-reporting\EC\2017-09-01-refined-times.txt</v>
      </c>
      <c r="AI169" s="96" t="str">
        <f t="shared" si="55"/>
        <v>echo {"issue":{"subject":"","project_id":79,"tracker_id":40,"status_id":1,"priority_id":2,"assigned_to_id":338,"start_date":"2017-09-01","description":"","custom_fields":[{"id":1,"name":"Subdivision","value":"NW"},{"id":4,"name":"Milepost","value":"0.0668"},{"id":17,"name":"Train ID","value":"806-01"},{"id":16,"name":"Locomotive ID","value":"4055"},{"id":130,"name":"Impact","value":""},{"id":150,"name":"Time of Event (Mountain Time)","value":"07:25:56"},{"id":151,"name":"Denver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56"/>
        <v>start /low /b %USERPROFILE%\Documents\GitHub\eaglep3\Utilities\DownloadLogsFromS3.py --loco 4055 --day 2017-09-01</v>
      </c>
      <c r="AN169" s="151" t="str">
        <f t="shared" si="57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13:25:56"},{"id":29,"name":"Sharepoint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2" t="s">
        <v>590</v>
      </c>
      <c r="B170" s="7">
        <v>4044</v>
      </c>
      <c r="C170" s="21" t="s">
        <v>197</v>
      </c>
      <c r="D170" s="21" t="s">
        <v>506</v>
      </c>
      <c r="E170" s="13">
        <v>42979.289629629631</v>
      </c>
      <c r="F170" s="13">
        <v>42979.298113425924</v>
      </c>
      <c r="G170" s="7">
        <v>58</v>
      </c>
      <c r="H170" s="21" t="s">
        <v>500</v>
      </c>
      <c r="I170" s="13">
        <v>42979.308159722219</v>
      </c>
      <c r="J170" s="7">
        <v>0</v>
      </c>
      <c r="K170" s="89" t="str">
        <f t="shared" si="40"/>
        <v>4043/4044</v>
      </c>
      <c r="L170" s="214" t="str">
        <f>VLOOKUP(A170,'Trips&amp;Operators'!$C$1:$G$99911,5,FALSE)</f>
        <v>TOUSIGNAUT CARL</v>
      </c>
      <c r="M170" s="6">
        <f t="shared" si="41"/>
        <v>1.0046296294603962E-2</v>
      </c>
      <c r="N170" s="7">
        <f t="shared" si="42"/>
        <v>14.466666664229706</v>
      </c>
      <c r="O170" s="7"/>
      <c r="P170" s="7"/>
      <c r="Q170" s="22"/>
      <c r="R170" s="167"/>
      <c r="S170" s="210">
        <f t="shared" si="43"/>
        <v>1</v>
      </c>
      <c r="T170" s="192" t="str">
        <f t="shared" si="44"/>
        <v>NorthBound</v>
      </c>
      <c r="U170" s="192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3" t="str">
        <f t="shared" si="45"/>
        <v>https://d0f6bd738d7f1b3e5a7ca70fe4ff75f0.us-east-1.aws.found.io/app/kibana#/discover/Steve-Slow-Train-Analysis-(2080s-and-2083s)?_g=(refreshInterval:(display:Off,pause:!f,section:0,value:0),time:(from:'2017-09-01T05:57:04-0600',mode:absolute,to:'2017-09-01T08:23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0" s="194" t="str">
        <f>IF(AA170&lt;VLOOKUP(AG170,Variables!$AC$3:$AD$8,2,FALSE),"Y","N")</f>
        <v>N</v>
      </c>
      <c r="X170" s="194">
        <f t="shared" si="46"/>
        <v>1</v>
      </c>
      <c r="Y170" s="194">
        <f t="shared" si="47"/>
        <v>9.6699999999999994E-2</v>
      </c>
      <c r="Z170" s="194">
        <f t="shared" si="48"/>
        <v>5.8943000000000003</v>
      </c>
      <c r="AA170" s="194">
        <f t="shared" si="49"/>
        <v>5.7976000000000001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203">
        <f t="shared" si="50"/>
        <v>807</v>
      </c>
      <c r="AE170" s="77" t="str">
        <f t="shared" si="51"/>
        <v>aws s3 cp s3://rtdc.mdm.uploadarchive.raw/RTDC4044/ "%USERPROFILE%\AppData\Local\Temp\OnboardLogs"\RTDC4044\2017-09-01 --exclude "*" --recursive --include "*20170901*" &amp; "%USERPROFILE%\Documents\GitHub\mrs-test-scripts\Headless Mode &amp; Sideloading\WalkAndUnGZ.bat" "%USERPROFILE%\AppData\Local\Temp\OnboardLogs"\RTDC4044\2017-09-01 &amp; aws s3 cp s3://rtdc.mdm.uploadarchive.raw/RTDC4044/ "%USERPROFILE%\AppData\Local\Temp\OnboardLogs"\RTDC4044\2017-09-02 --exclude "*" --recursive --include "*20170902*" &amp; "%USERPROFILE%\Documents\GitHub\mrs-test-scripts\Headless Mode &amp; Sideloading\WalkAndUnGZ.bat" "%USERPROFILE%\AppData\Local\Temp\OnboardLogs"\RTDC4044\2017-09-02</v>
      </c>
      <c r="AF170" s="74" t="str">
        <f t="shared" si="52"/>
        <v>"C:\Program Files (x86)\AstroGrep\AstroGrep.exe" /e /r /s /spath="%USERPROFILE%\AppData\Local\Temp\OnboardLogs" /stypes="app*4044*20170901*" /stext=" 13:.+((SYSTEM_STATE.+slice.+state.+changed )|(ment ac)|(multiple cpu faults)|(system.+state.+changed )|(\[timeout)|(PRM\|1\|D)|(kpr)|(kdp)|(train st.+moving)|(\|lc)|(penalty))"</v>
      </c>
      <c r="AG170" s="206" t="str">
        <f t="shared" si="53"/>
        <v>NW</v>
      </c>
      <c r="AH170" s="78" t="str">
        <f t="shared" si="54"/>
        <v>"%USERPROFILE%\Documents\GitHub\eaglep3\Utilities\RefineRTDCRunTimes.py" --tripid 807-01 --locoid 4044 --swversion DE.1.0.9.0 --startMP 204:967 --initTime 2017-09-01T06:57:04 --startdatetime 2017-09-01T07:09:17 --delay 58 --endMP 300:58943 --enddatetime 2017-09-01T07:23:45 --enforcementcount 0 &gt;&gt;C:\Users\stu\Documents\GitHub\eaglep3-reporting\EC\2017-09-01-refined-times.txt</v>
      </c>
      <c r="AI170" s="96" t="str">
        <f t="shared" si="55"/>
        <v>echo {"issue":{"subject":"","project_id":79,"tracker_id":40,"status_id":1,"priority_id":2,"assigned_to_id":338,"start_date":"2017-09-01","description":"","custom_fields":[{"id":1,"name":"Subdivision","value":"NW"},{"id":4,"name":"Milepost","value":"5.8943"},{"id":17,"name":"Train ID","value":"807-01"},{"id":16,"name":"Locomotive ID","value":"4044"},{"id":130,"name":"Impact","value":""},{"id":150,"name":"Time of Event (Mountain Time)","value":"07:23:45"},{"id":151,"name":"Denver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2" t="str">
        <f t="shared" si="56"/>
        <v>start /low /b %USERPROFILE%\Documents\GitHub\eaglep3\Utilities\DownloadLogsFromS3.py --loco 4044 --day 2017-09-01</v>
      </c>
      <c r="AN170" s="151" t="str">
        <f t="shared" si="57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13:23:45"},{"id":29,"name":"Sharepoint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</row>
    <row r="171" spans="1:91" x14ac:dyDescent="0.25">
      <c r="A171" s="32" t="s">
        <v>668</v>
      </c>
      <c r="B171" s="7">
        <v>4043</v>
      </c>
      <c r="C171" s="21" t="s">
        <v>197</v>
      </c>
      <c r="D171" s="21" t="s">
        <v>475</v>
      </c>
      <c r="E171" s="13">
        <v>42979.31050925926</v>
      </c>
      <c r="F171" s="13">
        <v>42979.31417824074</v>
      </c>
      <c r="G171" s="7">
        <v>98</v>
      </c>
      <c r="H171" s="21" t="s">
        <v>926</v>
      </c>
      <c r="I171" s="13">
        <v>42979.329791666663</v>
      </c>
      <c r="J171" s="7">
        <v>0</v>
      </c>
      <c r="K171" s="89" t="str">
        <f t="shared" si="40"/>
        <v>4043/4044</v>
      </c>
      <c r="L171" s="214" t="str">
        <f>VLOOKUP(A171,'Trips&amp;Operators'!$C$1:$G$99911,5,FALSE)</f>
        <v>TOUSIGNAUT CARL</v>
      </c>
      <c r="M171" s="6">
        <f t="shared" si="41"/>
        <v>1.5613425923220348E-2</v>
      </c>
      <c r="N171" s="7">
        <f t="shared" si="42"/>
        <v>22.483333329437301</v>
      </c>
      <c r="O171" s="7"/>
      <c r="P171" s="7"/>
      <c r="Q171" s="22"/>
      <c r="R171" s="167" t="s">
        <v>993</v>
      </c>
      <c r="S171" s="210">
        <f t="shared" si="43"/>
        <v>1</v>
      </c>
      <c r="T171" s="192" t="str">
        <f t="shared" si="44"/>
        <v>Southbound</v>
      </c>
      <c r="U171" s="192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3" t="str">
        <f t="shared" si="45"/>
        <v>https://d0f6bd738d7f1b3e5a7ca70fe4ff75f0.us-east-1.aws.found.io/app/kibana#/discover/Steve-Slow-Train-Analysis-(2080s-and-2083s)?_g=(refreshInterval:(display:Off,pause:!f,section:0,value:0),time:(from:'2017-09-01T06:27:08-0600',mode:absolute,to:'2017-09-01T08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1" s="194" t="str">
        <f>IF(AA171&lt;VLOOKUP(AG171,Variables!$AC$3:$AD$8,2,FALSE),"Y","N")</f>
        <v>N</v>
      </c>
      <c r="X171" s="194">
        <f t="shared" si="46"/>
        <v>1</v>
      </c>
      <c r="Y171" s="194">
        <f t="shared" si="47"/>
        <v>5.8634000000000004</v>
      </c>
      <c r="Z171" s="194">
        <f t="shared" si="48"/>
        <v>7.0300000000000001E-2</v>
      </c>
      <c r="AA171" s="194">
        <f t="shared" si="49"/>
        <v>5.7931000000000008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203">
        <f t="shared" si="50"/>
        <v>808</v>
      </c>
      <c r="AE171" s="77" t="str">
        <f t="shared" si="51"/>
        <v>aws s3 cp s3://rtdc.mdm.uploadarchive.raw/RTDC4043/ "%USERPROFILE%\AppData\Local\Temp\OnboardLogs"\RTDC4043\2017-09-01 --exclude "*" --recursive --include "*20170901*" &amp; "%USERPROFILE%\Documents\GitHub\mrs-test-scripts\Headless Mode &amp; Sideloading\WalkAndUnGZ.bat" "%USERPROFILE%\AppData\Local\Temp\OnboardLogs"\RTDC4043\2017-09-01 &amp; aws s3 cp s3://rtdc.mdm.uploadarchive.raw/RTDC4043/ "%USERPROFILE%\AppData\Local\Temp\OnboardLogs"\RTDC4043\2017-09-02 --exclude "*" --recursive --include "*20170902*" &amp; "%USERPROFILE%\Documents\GitHub\mrs-test-scripts\Headless Mode &amp; Sideloading\WalkAndUnGZ.bat" "%USERPROFILE%\AppData\Local\Temp\OnboardLogs"\RTDC4043\2017-09-02</v>
      </c>
      <c r="AF171" s="74" t="str">
        <f t="shared" si="52"/>
        <v>"C:\Program Files (x86)\AstroGrep\AstroGrep.exe" /e /r /s /spath="%USERPROFILE%\AppData\Local\Temp\OnboardLogs" /stypes="app*4043*20170901*" /stext=" 13:.+((SYSTEM_STATE.+slice.+state.+changed )|(ment ac)|(multiple cpu faults)|(system.+state.+changed )|(\[timeout)|(PRM\|1\|D)|(kpr)|(kdp)|(train st.+moving)|(\|lc)|(penalty))"</v>
      </c>
      <c r="AG171" s="206" t="str">
        <f t="shared" si="53"/>
        <v>NW</v>
      </c>
      <c r="AH171" s="78" t="str">
        <f t="shared" si="54"/>
        <v>"%USERPROFILE%\Documents\GitHub\eaglep3\Utilities\RefineRTDCRunTimes.py" --tripid 808-01 --locoid 4043 --swversion DE.1.0.9.0 --startMP 300:58634 --initTime 2017-09-01T07:27:08 --startdatetime 2017-09-01T07:32:25 --delay 98 --endMP 204:703 --enddatetime 2017-09-01T07:54:54 --enforcementcount 0 &gt;&gt;C:\Users\stu\Documents\GitHub\eaglep3-reporting\EC\2017-09-01-refined-times.txt</v>
      </c>
      <c r="AI171" s="96" t="str">
        <f t="shared" si="55"/>
        <v>echo {"issue":{"subject":"Banner without braking at 07:49:55","project_id":79,"tracker_id":40,"status_id":1,"priority_id":2,"assigned_to_id":338,"start_date":"2017-09-01","description":"","custom_fields":[{"id":1,"name":"Subdivision","value":"NW"},{"id":4,"name":"Milepost","value":"0.0703"},{"id":17,"name":"Train ID","value":"808-01"},{"id":16,"name":"Locomotive ID","value":"4043"},{"id":130,"name":"Impact","value":""},{"id":150,"name":"Time of Event (Mountain Time)","value":"07:54:54"},{"id":151,"name":"Denver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2" t="str">
        <f t="shared" si="56"/>
        <v>start /low /b %USERPROFILE%\Documents\GitHub\eaglep3\Utilities\DownloadLogsFromS3.py --loco 4043 --day 2017-09-01</v>
      </c>
      <c r="AN171" s="151" t="str">
        <f t="shared" si="57"/>
        <v>echo {"issue":{"subject":"Banner without braking at 07:49:55","project_id":30,"tracker_id":4,"status_id":1,"priority_id":1,"assigned_to_id":10,"start_date":"2017-09-01","description":"","custom_fields":[{"id":30,"name":"Category","value":"Issue"},{"id":3,"name":"Functional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13:54:54"},{"id":29,"name":"Sharepoint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</row>
    <row r="172" spans="1:91" s="20" customFormat="1" x14ac:dyDescent="0.25">
      <c r="A172" s="32" t="s">
        <v>669</v>
      </c>
      <c r="B172" s="7">
        <v>4056</v>
      </c>
      <c r="C172" s="21" t="s">
        <v>197</v>
      </c>
      <c r="D172" s="21" t="s">
        <v>927</v>
      </c>
      <c r="E172" s="13">
        <v>42979.314780092594</v>
      </c>
      <c r="F172" s="13">
        <v>42979.318958333337</v>
      </c>
      <c r="G172" s="7">
        <v>74</v>
      </c>
      <c r="H172" s="21" t="s">
        <v>928</v>
      </c>
      <c r="I172" s="13">
        <v>42979.329571759263</v>
      </c>
      <c r="J172" s="7">
        <v>0</v>
      </c>
      <c r="K172" s="89" t="str">
        <f t="shared" si="40"/>
        <v>4055/4056</v>
      </c>
      <c r="L172" s="214" t="str">
        <f>VLOOKUP(A172,'Trips&amp;Operators'!$C$1:$G$99911,5,FALSE)</f>
        <v>WILLIAMS DONTE</v>
      </c>
      <c r="M172" s="6">
        <f t="shared" si="41"/>
        <v>1.0613425925839692E-2</v>
      </c>
      <c r="N172" s="7">
        <f t="shared" si="42"/>
        <v>15.283333333209157</v>
      </c>
      <c r="O172" s="7"/>
      <c r="P172" s="7"/>
      <c r="Q172" s="22"/>
      <c r="R172" s="167"/>
      <c r="S172" s="210">
        <f t="shared" si="43"/>
        <v>1</v>
      </c>
      <c r="T172" s="192" t="str">
        <f t="shared" si="44"/>
        <v>NorthBound</v>
      </c>
      <c r="U172" s="192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3" t="str">
        <f t="shared" si="45"/>
        <v>https://d0f6bd738d7f1b3e5a7ca70fe4ff75f0.us-east-1.aws.found.io/app/kibana#/discover/Steve-Slow-Train-Analysis-(2080s-and-2083s)?_g=(refreshInterval:(display:Off,pause:!f,section:0,value:0),time:(from:'2017-09-01T06:33:17-0600',mode:absolute,to:'2017-09-01T08:54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72" s="194" t="str">
        <f>IF(AA172&lt;VLOOKUP(AG172,Variables!$AC$3:$AD$8,2,FALSE),"Y","N")</f>
        <v>N</v>
      </c>
      <c r="X172" s="194">
        <f t="shared" si="46"/>
        <v>1</v>
      </c>
      <c r="Y172" s="194">
        <f t="shared" si="47"/>
        <v>9.6199999999999994E-2</v>
      </c>
      <c r="Z172" s="194">
        <f t="shared" si="48"/>
        <v>5.8930999999999996</v>
      </c>
      <c r="AA172" s="194">
        <f t="shared" si="49"/>
        <v>5.7968999999999999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203">
        <f t="shared" si="50"/>
        <v>809</v>
      </c>
      <c r="AE172" s="77" t="str">
        <f t="shared" si="51"/>
        <v>aws s3 cp s3://rtdc.mdm.uploadarchive.raw/RTDC4056/ "%USERPROFILE%\AppData\Local\Temp\OnboardLogs"\RTDC4056\2017-09-01 --exclude "*" --recursive --include "*20170901*" &amp; "%USERPROFILE%\Documents\GitHub\mrs-test-scripts\Headless Mode &amp; Sideloading\WalkAndUnGZ.bat" "%USERPROFILE%\AppData\Local\Temp\OnboardLogs"\RTDC4056\2017-09-01 &amp; aws s3 cp s3://rtdc.mdm.uploadarchive.raw/RTDC4056/ "%USERPROFILE%\AppData\Local\Temp\OnboardLogs"\RTDC4056\2017-09-02 --exclude "*" --recursive --include "*20170902*" &amp; "%USERPROFILE%\Documents\GitHub\mrs-test-scripts\Headless Mode &amp; Sideloading\WalkAndUnGZ.bat" "%USERPROFILE%\AppData\Local\Temp\OnboardLogs"\RTDC4056\2017-09-02</v>
      </c>
      <c r="AF172" s="74" t="str">
        <f t="shared" si="52"/>
        <v>"C:\Program Files (x86)\AstroGrep\AstroGrep.exe" /e /r /s /spath="%USERPROFILE%\AppData\Local\Temp\OnboardLogs" /stypes="app*4056*20170901*" /stext=" 13:.+((SYSTEM_STATE.+slice.+state.+changed )|(ment ac)|(multiple cpu faults)|(system.+state.+changed )|(\[timeout)|(PRM\|1\|D)|(kpr)|(kdp)|(train st.+moving)|(\|lc)|(penalty))"</v>
      </c>
      <c r="AG172" s="206" t="str">
        <f t="shared" si="53"/>
        <v>NW</v>
      </c>
      <c r="AH172" s="78" t="str">
        <f t="shared" si="54"/>
        <v>"%USERPROFILE%\Documents\GitHub\eaglep3\Utilities\RefineRTDCRunTimes.py" --tripid 809-01 --locoid 4056 --swversion DE.1.0.9.0 --startMP 204:962 --initTime 2017-09-01T07:33:17 --startdatetime 2017-09-01T07:39:18 --delay 74 --endMP 300:58931 --enddatetime 2017-09-01T07:54:35 --enforcementcount 0 &gt;&gt;C:\Users\stu\Documents\GitHub\eaglep3-reporting\EC\2017-09-01-refined-times.txt</v>
      </c>
      <c r="AI172" s="96" t="str">
        <f t="shared" si="55"/>
        <v>echo {"issue":{"subject":"","project_id":79,"tracker_id":40,"status_id":1,"priority_id":2,"assigned_to_id":338,"start_date":"2017-09-01","description":"","custom_fields":[{"id":1,"name":"Subdivision","value":"NW"},{"id":4,"name":"Milepost","value":"5.8931"},{"id":17,"name":"Train ID","value":"809-01"},{"id":16,"name":"Locomotive ID","value":"4056"},{"id":130,"name":"Impact","value":""},{"id":150,"name":"Time of Event (Mountain Time)","value":"07:54:35"},{"id":151,"name":"Denver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56"/>
        <v>start /low /b %USERPROFILE%\Documents\GitHub\eaglep3\Utilities\DownloadLogsFromS3.py --loco 4056 --day 2017-09-01</v>
      </c>
      <c r="AN172" s="151" t="str">
        <f t="shared" si="57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13:54:35"},{"id":29,"name":"Sharepoint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672</v>
      </c>
      <c r="B173" s="7">
        <v>4055</v>
      </c>
      <c r="C173" s="21" t="s">
        <v>197</v>
      </c>
      <c r="D173" s="21" t="s">
        <v>469</v>
      </c>
      <c r="E173" s="13">
        <v>42979.331134259257</v>
      </c>
      <c r="F173" s="13">
        <v>42979.342766203707</v>
      </c>
      <c r="G173" s="7">
        <v>80</v>
      </c>
      <c r="H173" s="21" t="s">
        <v>929</v>
      </c>
      <c r="I173" s="13">
        <v>42979.351782407408</v>
      </c>
      <c r="J173" s="7">
        <v>0</v>
      </c>
      <c r="K173" s="89" t="str">
        <f t="shared" si="40"/>
        <v>4055/4056</v>
      </c>
      <c r="L173" s="214" t="str">
        <f>VLOOKUP(A173,'Trips&amp;Operators'!$C$1:$G$99911,5,FALSE)</f>
        <v>WILLIAMS DONTE</v>
      </c>
      <c r="M173" s="6">
        <f t="shared" si="41"/>
        <v>9.0162037013215013E-3</v>
      </c>
      <c r="N173" s="7">
        <f t="shared" si="42"/>
        <v>12.983333329902962</v>
      </c>
      <c r="O173" s="7"/>
      <c r="P173" s="7"/>
      <c r="Q173" s="22"/>
      <c r="R173" s="167"/>
      <c r="S173" s="210">
        <f t="shared" si="43"/>
        <v>1</v>
      </c>
      <c r="T173" s="192" t="str">
        <f t="shared" si="44"/>
        <v>Southbound</v>
      </c>
      <c r="U173" s="192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3" t="str">
        <f t="shared" si="45"/>
        <v>https://d0f6bd738d7f1b3e5a7ca70fe4ff75f0.us-east-1.aws.found.io/app/kibana#/discover/Steve-Slow-Train-Analysis-(2080s-and-2083s)?_g=(refreshInterval:(display:Off,pause:!f,section:0,value:0),time:(from:'2017-09-01T06:56:50-0600',mode:absolute,to:'2017-09-01T09:26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73" s="194" t="str">
        <f>IF(AA173&lt;VLOOKUP(AG173,Variables!$AC$3:$AD$8,2,FALSE),"Y","N")</f>
        <v>N</v>
      </c>
      <c r="X173" s="194">
        <f t="shared" si="46"/>
        <v>1</v>
      </c>
      <c r="Y173" s="194">
        <f t="shared" si="47"/>
        <v>5.8623000000000003</v>
      </c>
      <c r="Z173" s="194">
        <f t="shared" si="48"/>
        <v>0.13009999999999999</v>
      </c>
      <c r="AA173" s="194">
        <f t="shared" si="49"/>
        <v>5.7322000000000006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203">
        <f t="shared" si="50"/>
        <v>810</v>
      </c>
      <c r="AE173" s="77" t="str">
        <f t="shared" si="51"/>
        <v>aws s3 cp s3://rtdc.mdm.uploadarchive.raw/RTDC4055/ "%USERPROFILE%\AppData\Local\Temp\OnboardLogs"\RTDC4055\2017-09-01 --exclude "*" --recursive --include "*20170901*" &amp; "%USERPROFILE%\Documents\GitHub\mrs-test-scripts\Headless Mode &amp; Sideloading\WalkAndUnGZ.bat" "%USERPROFILE%\AppData\Local\Temp\OnboardLogs"\RTDC4055\2017-09-01 &amp; aws s3 cp s3://rtdc.mdm.uploadarchive.raw/RTDC4055/ "%USERPROFILE%\AppData\Local\Temp\OnboardLogs"\RTDC4055\2017-09-02 --exclude "*" --recursive --include "*20170902*" &amp; "%USERPROFILE%\Documents\GitHub\mrs-test-scripts\Headless Mode &amp; Sideloading\WalkAndUnGZ.bat" "%USERPROFILE%\AppData\Local\Temp\OnboardLogs"\RTDC4055\2017-09-02</v>
      </c>
      <c r="AF173" s="74" t="str">
        <f t="shared" si="52"/>
        <v>"C:\Program Files (x86)\AstroGrep\AstroGrep.exe" /e /r /s /spath="%USERPROFILE%\AppData\Local\Temp\OnboardLogs" /stypes="app*4055*20170901*" /stext=" 14:.+((SYSTEM_STATE.+slice.+state.+changed )|(ment ac)|(multiple cpu faults)|(system.+state.+changed )|(\[timeout)|(PRM\|1\|D)|(kpr)|(kdp)|(train st.+moving)|(\|lc)|(penalty))"</v>
      </c>
      <c r="AG173" s="206" t="str">
        <f t="shared" si="53"/>
        <v>NW</v>
      </c>
      <c r="AH173" s="78" t="str">
        <f t="shared" si="54"/>
        <v>"%USERPROFILE%\Documents\GitHub\eaglep3\Utilities\RefineRTDCRunTimes.py" --tripid 810-01 --locoid 4055 --swversion DE.1.0.9.0 --startMP 300:58623 --initTime 2017-09-01T07:56:50 --startdatetime 2017-09-01T08:13:35 --delay 80 --endMP 204:1301 --enddatetime 2017-09-01T08:26:34 --enforcementcount 0 &gt;&gt;C:\Users\stu\Documents\GitHub\eaglep3-reporting\EC\2017-09-01-refined-times.txt</v>
      </c>
      <c r="AI173" s="96" t="str">
        <f t="shared" si="55"/>
        <v>echo {"issue":{"subject":"","project_id":79,"tracker_id":40,"status_id":1,"priority_id":2,"assigned_to_id":338,"start_date":"2017-09-01","description":"","custom_fields":[{"id":1,"name":"Subdivision","value":"NW"},{"id":4,"name":"Milepost","value":"0.1301"},{"id":17,"name":"Train ID","value":"810-01"},{"id":16,"name":"Locomotive ID","value":"4055"},{"id":130,"name":"Impact","value":""},{"id":150,"name":"Time of Event (Mountain Time)","value":"08:26:34"},{"id":151,"name":"Denver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7"/>
      <c r="AL173" s="47"/>
      <c r="AM173" s="142" t="str">
        <f t="shared" si="56"/>
        <v>start /low /b %USERPROFILE%\Documents\GitHub\eaglep3\Utilities\DownloadLogsFromS3.py --loco 4055 --day 2017-09-01</v>
      </c>
      <c r="AN173" s="151" t="str">
        <f t="shared" si="57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14:26:34"},{"id":29,"name":"Sharepoint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2" t="s">
        <v>674</v>
      </c>
      <c r="B174" s="7">
        <v>4050</v>
      </c>
      <c r="C174" s="21" t="s">
        <v>197</v>
      </c>
      <c r="D174" s="21" t="s">
        <v>930</v>
      </c>
      <c r="E174" s="13">
        <v>42979.345625000002</v>
      </c>
      <c r="F174" s="13">
        <v>42979.347708333335</v>
      </c>
      <c r="G174" s="7">
        <v>89</v>
      </c>
      <c r="H174" s="21" t="s">
        <v>567</v>
      </c>
      <c r="I174" s="13">
        <v>42979.357442129629</v>
      </c>
      <c r="J174" s="7">
        <v>0</v>
      </c>
      <c r="K174" s="89" t="str">
        <f t="shared" si="40"/>
        <v>4049/4050</v>
      </c>
      <c r="L174" s="214" t="str">
        <f>VLOOKUP(A174,'Trips&amp;Operators'!$C$1:$G$99911,5,FALSE)</f>
        <v>TOUSIGNAUT CARL</v>
      </c>
      <c r="M174" s="6">
        <f t="shared" si="41"/>
        <v>9.7337962943129241E-3</v>
      </c>
      <c r="N174" s="7">
        <f t="shared" si="42"/>
        <v>14.016666663810611</v>
      </c>
      <c r="O174" s="7"/>
      <c r="P174" s="7"/>
      <c r="Q174" s="22"/>
      <c r="R174" s="167"/>
      <c r="S174" s="210">
        <f t="shared" si="43"/>
        <v>1</v>
      </c>
      <c r="T174" s="192" t="str">
        <f t="shared" si="44"/>
        <v>NorthBound</v>
      </c>
      <c r="U174" s="192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3" t="str">
        <f t="shared" si="45"/>
        <v>https://d0f6bd738d7f1b3e5a7ca70fe4ff75f0.us-east-1.aws.found.io/app/kibana#/discover/Steve-Slow-Train-Analysis-(2080s-and-2083s)?_g=(refreshInterval:(display:Off,pause:!f,section:0,value:0),time:(from:'2017-09-01T07:17:42-0600',mode:absolute,to:'2017-09-01T09:34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4" s="194" t="str">
        <f>IF(AA174&lt;VLOOKUP(AG174,Variables!$AC$3:$AD$8,2,FALSE),"Y","N")</f>
        <v>N</v>
      </c>
      <c r="X174" s="194">
        <f t="shared" si="46"/>
        <v>1</v>
      </c>
      <c r="Y174" s="194">
        <f t="shared" si="47"/>
        <v>4.5900000000000003E-2</v>
      </c>
      <c r="Z174" s="194">
        <f t="shared" si="48"/>
        <v>5.8960999999999997</v>
      </c>
      <c r="AA174" s="194">
        <f t="shared" si="49"/>
        <v>5.8502000000000001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203">
        <f t="shared" si="50"/>
        <v>811</v>
      </c>
      <c r="AE174" s="77" t="str">
        <f t="shared" si="51"/>
        <v>aws s3 cp s3://rtdc.mdm.uploadarchive.raw/RTDC4050/ "%USERPROFILE%\AppData\Local\Temp\OnboardLogs"\RTDC4050\2017-09-01 --exclude "*" --recursive --include "*20170901*" &amp; "%USERPROFILE%\Documents\GitHub\mrs-test-scripts\Headless Mode &amp; Sideloading\WalkAndUnGZ.bat" "%USERPROFILE%\AppData\Local\Temp\OnboardLogs"\RTDC4050\2017-09-01 &amp; aws s3 cp s3://rtdc.mdm.uploadarchive.raw/RTDC4050/ "%USERPROFILE%\AppData\Local\Temp\OnboardLogs"\RTDC4050\2017-09-02 --exclude "*" --recursive --include "*20170902*" &amp; "%USERPROFILE%\Documents\GitHub\mrs-test-scripts\Headless Mode &amp; Sideloading\WalkAndUnGZ.bat" "%USERPROFILE%\AppData\Local\Temp\OnboardLogs"\RTDC4050\2017-09-02</v>
      </c>
      <c r="AF174" s="74" t="str">
        <f t="shared" si="52"/>
        <v>"C:\Program Files (x86)\AstroGrep\AstroGrep.exe" /e /r /s /spath="%USERPROFILE%\AppData\Local\Temp\OnboardLogs" /stypes="app*4050*20170901*" /stext=" 14:.+((SYSTEM_STATE.+slice.+state.+changed )|(ment ac)|(multiple cpu faults)|(system.+state.+changed )|(\[timeout)|(PRM\|1\|D)|(kpr)|(kdp)|(train st.+moving)|(\|lc)|(penalty))"</v>
      </c>
      <c r="AG174" s="206" t="str">
        <f t="shared" si="53"/>
        <v>NW</v>
      </c>
      <c r="AH174" s="78" t="str">
        <f t="shared" si="54"/>
        <v>"%USERPROFILE%\Documents\GitHub\eaglep3\Utilities\RefineRTDCRunTimes.py" --tripid 811-01 --locoid 4050 --swversion DE.1.0.9.0 --startMP 204:459 --initTime 2017-09-01T08:17:42 --startdatetime 2017-09-01T08:20:42 --delay 89 --endMP 300:58961 --enddatetime 2017-09-01T08:34:43 --enforcementcount 0 &gt;&gt;C:\Users\stu\Documents\GitHub\eaglep3-reporting\EC\2017-09-01-refined-times.txt</v>
      </c>
      <c r="AI174" s="96" t="str">
        <f t="shared" si="55"/>
        <v>echo {"issue":{"subject":"","project_id":79,"tracker_id":40,"status_id":1,"priority_id":2,"assigned_to_id":338,"start_date":"2017-09-01","description":"","custom_fields":[{"id":1,"name":"Subdivision","value":"NW"},{"id":4,"name":"Milepost","value":"5.8961"},{"id":17,"name":"Train ID","value":"811-01"},{"id":16,"name":"Locomotive ID","value":"4050"},{"id":130,"name":"Impact","value":""},{"id":150,"name":"Time of Event (Mountain Time)","value":"08:34:43"},{"id":151,"name":"Denver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56"/>
        <v>start /low /b %USERPROFILE%\Documents\GitHub\eaglep3\Utilities\DownloadLogsFromS3.py --loco 4050 --day 2017-09-01</v>
      </c>
      <c r="AN174" s="151" t="str">
        <f t="shared" si="57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14:34:43"},{"id":29,"name":"Sharepoint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x14ac:dyDescent="0.25">
      <c r="A175" s="32" t="s">
        <v>679</v>
      </c>
      <c r="B175" s="7">
        <v>4049</v>
      </c>
      <c r="C175" s="21" t="s">
        <v>197</v>
      </c>
      <c r="D175" s="21" t="s">
        <v>570</v>
      </c>
      <c r="E175" s="13">
        <v>42979.358865740738</v>
      </c>
      <c r="F175" s="13">
        <v>42979.360833333332</v>
      </c>
      <c r="G175" s="7">
        <v>71</v>
      </c>
      <c r="H175" s="21" t="s">
        <v>931</v>
      </c>
      <c r="I175" s="13">
        <v>42979.372245370374</v>
      </c>
      <c r="J175" s="7">
        <v>0</v>
      </c>
      <c r="K175" s="89" t="str">
        <f t="shared" si="40"/>
        <v>4049/4050</v>
      </c>
      <c r="L175" s="214" t="str">
        <f>VLOOKUP(A175,'Trips&amp;Operators'!$C$1:$G$99911,5,FALSE)</f>
        <v>TOUSIGNAUT CARL</v>
      </c>
      <c r="M175" s="6">
        <f t="shared" si="41"/>
        <v>1.1412037041736767E-2</v>
      </c>
      <c r="N175" s="7">
        <f t="shared" si="42"/>
        <v>16.433333340100944</v>
      </c>
      <c r="O175" s="7"/>
      <c r="P175" s="7"/>
      <c r="Q175" s="22"/>
      <c r="R175" s="167"/>
      <c r="S175" s="210">
        <f t="shared" si="43"/>
        <v>1</v>
      </c>
      <c r="T175" s="192" t="str">
        <f t="shared" si="44"/>
        <v>Southbound</v>
      </c>
      <c r="U175" s="192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3" t="str">
        <f t="shared" si="45"/>
        <v>https://d0f6bd738d7f1b3e5a7ca70fe4ff75f0.us-east-1.aws.found.io/app/kibana#/discover/Steve-Slow-Train-Analysis-(2080s-and-2083s)?_g=(refreshInterval:(display:Off,pause:!f,section:0,value:0),time:(from:'2017-09-01T07:36:46-0600',mode:absolute,to:'2017-09-01T09:56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75" s="194" t="str">
        <f>IF(AA175&lt;VLOOKUP(AG175,Variables!$AC$3:$AD$8,2,FALSE),"Y","N")</f>
        <v>N</v>
      </c>
      <c r="X175" s="194">
        <f t="shared" si="46"/>
        <v>1</v>
      </c>
      <c r="Y175" s="194">
        <f t="shared" si="47"/>
        <v>5.8655999999999997</v>
      </c>
      <c r="Z175" s="194">
        <f t="shared" si="48"/>
        <v>6.8699999999999997E-2</v>
      </c>
      <c r="AA175" s="194">
        <f t="shared" si="49"/>
        <v>5.7968999999999999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203">
        <f t="shared" si="50"/>
        <v>812</v>
      </c>
      <c r="AE175" s="77" t="str">
        <f t="shared" si="51"/>
        <v>aws s3 cp s3://rtdc.mdm.uploadarchive.raw/RTDC4049/ "%USERPROFILE%\AppData\Local\Temp\OnboardLogs"\RTDC4049\2017-09-01 --exclude "*" --recursive --include "*20170901*" &amp; "%USERPROFILE%\Documents\GitHub\mrs-test-scripts\Headless Mode &amp; Sideloading\WalkAndUnGZ.bat" "%USERPROFILE%\AppData\Local\Temp\OnboardLogs"\RTDC4049\2017-09-01 &amp; aws s3 cp s3://rtdc.mdm.uploadarchive.raw/RTDC4049/ "%USERPROFILE%\AppData\Local\Temp\OnboardLogs"\RTDC4049\2017-09-02 --exclude "*" --recursive --include "*20170902*" &amp; "%USERPROFILE%\Documents\GitHub\mrs-test-scripts\Headless Mode &amp; Sideloading\WalkAndUnGZ.bat" "%USERPROFILE%\AppData\Local\Temp\OnboardLogs"\RTDC4049\2017-09-02</v>
      </c>
      <c r="AF175" s="74" t="str">
        <f t="shared" si="52"/>
        <v>"C:\Program Files (x86)\AstroGrep\AstroGrep.exe" /e /r /s /spath="%USERPROFILE%\AppData\Local\Temp\OnboardLogs" /stypes="app*4049*20170901*" /stext=" 14:.+((SYSTEM_STATE.+slice.+state.+changed )|(ment ac)|(multiple cpu faults)|(system.+state.+changed )|(\[timeout)|(PRM\|1\|D)|(kpr)|(kdp)|(train st.+moving)|(\|lc)|(penalty))"</v>
      </c>
      <c r="AG175" s="206" t="str">
        <f t="shared" si="53"/>
        <v>NW</v>
      </c>
      <c r="AH175" s="78" t="str">
        <f t="shared" si="54"/>
        <v>"%USERPROFILE%\Documents\GitHub\eaglep3\Utilities\RefineRTDCRunTimes.py" --tripid 812-01 --locoid 4049 --swversion DE.1.0.9.0 --startMP 300:58656 --initTime 2017-09-01T08:36:46 --startdatetime 2017-09-01T08:39:36 --delay 71 --endMP 204:687 --enddatetime 2017-09-01T08:56:02 --enforcementcount 0 &gt;&gt;C:\Users\stu\Documents\GitHub\eaglep3-reporting\EC\2017-09-01-refined-times.txt</v>
      </c>
      <c r="AI175" s="96" t="str">
        <f t="shared" si="55"/>
        <v>echo {"issue":{"subject":"","project_id":79,"tracker_id":40,"status_id":1,"priority_id":2,"assigned_to_id":338,"start_date":"2017-09-01","description":"","custom_fields":[{"id":1,"name":"Subdivision","value":"NW"},{"id":4,"name":"Milepost","value":"0.0687"},{"id":17,"name":"Train ID","value":"812-01"},{"id":16,"name":"Locomotive ID","value":"4049"},{"id":130,"name":"Impact","value":""},{"id":150,"name":"Time of Event (Mountain Time)","value":"08:56:02"},{"id":151,"name":"Denver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 t="shared" si="56"/>
        <v>start /low /b %USERPROFILE%\Documents\GitHub\eaglep3\Utilities\DownloadLogsFromS3.py --loco 4049 --day 2017-09-01</v>
      </c>
      <c r="AN175" s="151" t="str">
        <f t="shared" si="57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14:56:02"},{"id":29,"name":"Sharepoint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</row>
    <row r="176" spans="1:91" x14ac:dyDescent="0.25">
      <c r="A176" s="32" t="s">
        <v>682</v>
      </c>
      <c r="B176" s="7">
        <v>4050</v>
      </c>
      <c r="C176" s="21" t="s">
        <v>197</v>
      </c>
      <c r="D176" s="21" t="s">
        <v>566</v>
      </c>
      <c r="E176" s="13">
        <v>42979.375891203701</v>
      </c>
      <c r="F176" s="13">
        <v>42979.381435185183</v>
      </c>
      <c r="G176" s="7">
        <v>148</v>
      </c>
      <c r="H176" s="21" t="s">
        <v>932</v>
      </c>
      <c r="I176" s="13">
        <v>42979.390706018516</v>
      </c>
      <c r="J176" s="7">
        <v>0</v>
      </c>
      <c r="K176" s="89" t="str">
        <f t="shared" si="40"/>
        <v>4049/4050</v>
      </c>
      <c r="L176" s="214" t="str">
        <f>VLOOKUP(A176,'Trips&amp;Operators'!$C$1:$G$99911,5,FALSE)</f>
        <v>LALONDE GREGORY</v>
      </c>
      <c r="M176" s="6">
        <f t="shared" si="41"/>
        <v>9.2708333322661929E-3</v>
      </c>
      <c r="N176" s="7">
        <f t="shared" si="42"/>
        <v>13.349999998463318</v>
      </c>
      <c r="O176" s="7"/>
      <c r="P176" s="7"/>
      <c r="Q176" s="22"/>
      <c r="R176" s="167"/>
      <c r="S176" s="210">
        <f t="shared" si="43"/>
        <v>1</v>
      </c>
      <c r="T176" s="192" t="str">
        <f t="shared" si="44"/>
        <v>NorthBound</v>
      </c>
      <c r="U176" s="192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3" t="str">
        <f t="shared" si="45"/>
        <v>https://d0f6bd738d7f1b3e5a7ca70fe4ff75f0.us-east-1.aws.found.io/app/kibana#/discover/Steve-Slow-Train-Analysis-(2080s-and-2083s)?_g=(refreshInterval:(display:Off,pause:!f,section:0,value:0),time:(from:'2017-09-01T08:01:17-0600',mode:absolute,to:'2017-09-01T10:22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6" s="194" t="str">
        <f>IF(AA176&lt;VLOOKUP(AG176,Variables!$AC$3:$AD$8,2,FALSE),"Y","N")</f>
        <v>N</v>
      </c>
      <c r="X176" s="194">
        <f t="shared" si="46"/>
        <v>1</v>
      </c>
      <c r="Y176" s="194">
        <f t="shared" si="47"/>
        <v>9.74E-2</v>
      </c>
      <c r="Z176" s="194">
        <f t="shared" si="48"/>
        <v>5.8963000000000001</v>
      </c>
      <c r="AA176" s="194">
        <f t="shared" si="49"/>
        <v>5.7988999999999997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203">
        <f t="shared" si="50"/>
        <v>813</v>
      </c>
      <c r="AE176" s="77" t="str">
        <f t="shared" si="51"/>
        <v>aws s3 cp s3://rtdc.mdm.uploadarchive.raw/RTDC4050/ "%USERPROFILE%\AppData\Local\Temp\OnboardLogs"\RTDC4050\2017-09-01 --exclude "*" --recursive --include "*20170901*" &amp; "%USERPROFILE%\Documents\GitHub\mrs-test-scripts\Headless Mode &amp; Sideloading\WalkAndUnGZ.bat" "%USERPROFILE%\AppData\Local\Temp\OnboardLogs"\RTDC4050\2017-09-01 &amp; aws s3 cp s3://rtdc.mdm.uploadarchive.raw/RTDC4050/ "%USERPROFILE%\AppData\Local\Temp\OnboardLogs"\RTDC4050\2017-09-02 --exclude "*" --recursive --include "*20170902*" &amp; "%USERPROFILE%\Documents\GitHub\mrs-test-scripts\Headless Mode &amp; Sideloading\WalkAndUnGZ.bat" "%USERPROFILE%\AppData\Local\Temp\OnboardLogs"\RTDC4050\2017-09-02</v>
      </c>
      <c r="AF176" s="74" t="str">
        <f t="shared" si="52"/>
        <v>"C:\Program Files (x86)\AstroGrep\AstroGrep.exe" /e /r /s /spath="%USERPROFILE%\AppData\Local\Temp\OnboardLogs" /stypes="app*4050*20170901*" /stext=" 15:.+((SYSTEM_STATE.+slice.+state.+changed )|(ment ac)|(multiple cpu faults)|(system.+state.+changed )|(\[timeout)|(PRM\|1\|D)|(kpr)|(kdp)|(train st.+moving)|(\|lc)|(penalty))"</v>
      </c>
      <c r="AG176" s="206" t="str">
        <f t="shared" si="53"/>
        <v>NW</v>
      </c>
      <c r="AH176" s="78" t="str">
        <f t="shared" si="54"/>
        <v>"%USERPROFILE%\Documents\GitHub\eaglep3\Utilities\RefineRTDCRunTimes.py" --tripid 813-01 --locoid 4050 --swversion DE.1.0.9.0 --startMP 204:974 --initTime 2017-09-01T09:01:17 --startdatetime 2017-09-01T09:09:16 --delay 148 --endMP 300:58963 --enddatetime 2017-09-01T09:22:37 --enforcementcount 0 &gt;&gt;C:\Users\stu\Documents\GitHub\eaglep3-reporting\EC\2017-09-01-refined-times.txt</v>
      </c>
      <c r="AI176" s="96" t="str">
        <f t="shared" si="55"/>
        <v>echo {"issue":{"subject":"","project_id":79,"tracker_id":40,"status_id":1,"priority_id":2,"assigned_to_id":338,"start_date":"2017-09-01","description":"","custom_fields":[{"id":1,"name":"Subdivision","value":"NW"},{"id":4,"name":"Milepost","value":"5.8963"},{"id":17,"name":"Train ID","value":"813-01"},{"id":16,"name":"Locomotive ID","value":"4050"},{"id":130,"name":"Impact","value":""},{"id":150,"name":"Time of Event (Mountain Time)","value":"09:22:37"},{"id":151,"name":"Denver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56"/>
        <v>start /low /b %USERPROFILE%\Documents\GitHub\eaglep3\Utilities\DownloadLogsFromS3.py --loco 4050 --day 2017-09-01</v>
      </c>
      <c r="AN176" s="151" t="str">
        <f t="shared" si="57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15:22:37"},{"id":29,"name":"Sharepoint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x14ac:dyDescent="0.25">
      <c r="A177" s="32" t="s">
        <v>688</v>
      </c>
      <c r="B177" s="7">
        <v>4049</v>
      </c>
      <c r="C177" s="21" t="s">
        <v>197</v>
      </c>
      <c r="D177" s="21" t="s">
        <v>565</v>
      </c>
      <c r="E177" s="13">
        <v>42979.391689814816</v>
      </c>
      <c r="F177" s="13">
        <v>42979.404918981483</v>
      </c>
      <c r="G177" s="7">
        <v>64</v>
      </c>
      <c r="H177" s="21" t="s">
        <v>503</v>
      </c>
      <c r="I177" s="13">
        <v>42979.412719907406</v>
      </c>
      <c r="J177" s="7">
        <v>0</v>
      </c>
      <c r="K177" s="89" t="str">
        <f t="shared" si="40"/>
        <v>4049/4050</v>
      </c>
      <c r="L177" s="214" t="str">
        <f>VLOOKUP(A177,'Trips&amp;Operators'!$C$1:$G$99911,5,FALSE)</f>
        <v>LALONDE GREGORY</v>
      </c>
      <c r="M177" s="6">
        <f t="shared" si="41"/>
        <v>7.8009259232203476E-3</v>
      </c>
      <c r="N177" s="7">
        <f t="shared" si="42"/>
        <v>11.233333329437301</v>
      </c>
      <c r="O177" s="7"/>
      <c r="P177" s="7"/>
      <c r="Q177" s="22"/>
      <c r="R177" s="167"/>
      <c r="S177" s="210">
        <f t="shared" si="43"/>
        <v>1</v>
      </c>
      <c r="T177" s="192" t="str">
        <f t="shared" si="44"/>
        <v>Southbound</v>
      </c>
      <c r="U177" s="192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3" t="str">
        <f t="shared" si="45"/>
        <v>https://d0f6bd738d7f1b3e5a7ca70fe4ff75f0.us-east-1.aws.found.io/app/kibana#/discover/Steve-Slow-Train-Analysis-(2080s-and-2083s)?_g=(refreshInterval:(display:Off,pause:!f,section:0,value:0),time:(from:'2017-09-01T08:24:02-0600',mode:absolute,to:'2017-09-01T10:54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77" s="194" t="str">
        <f>IF(AA177&lt;VLOOKUP(AG177,Variables!$AC$3:$AD$8,2,FALSE),"Y","N")</f>
        <v>N</v>
      </c>
      <c r="X177" s="194">
        <f t="shared" si="46"/>
        <v>1</v>
      </c>
      <c r="Y177" s="194">
        <f t="shared" si="47"/>
        <v>5.8648999999999996</v>
      </c>
      <c r="Z177" s="194">
        <f t="shared" si="48"/>
        <v>6.9199999999999998E-2</v>
      </c>
      <c r="AA177" s="194">
        <f t="shared" si="49"/>
        <v>5.7956999999999992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203">
        <f t="shared" si="50"/>
        <v>814</v>
      </c>
      <c r="AE177" s="77" t="str">
        <f t="shared" si="51"/>
        <v>aws s3 cp s3://rtdc.mdm.uploadarchive.raw/RTDC4049/ "%USERPROFILE%\AppData\Local\Temp\OnboardLogs"\RTDC4049\2017-09-01 --exclude "*" --recursive --include "*20170901*" &amp; "%USERPROFILE%\Documents\GitHub\mrs-test-scripts\Headless Mode &amp; Sideloading\WalkAndUnGZ.bat" "%USERPROFILE%\AppData\Local\Temp\OnboardLogs"\RTDC4049\2017-09-01 &amp; aws s3 cp s3://rtdc.mdm.uploadarchive.raw/RTDC4049/ "%USERPROFILE%\AppData\Local\Temp\OnboardLogs"\RTDC4049\2017-09-02 --exclude "*" --recursive --include "*20170902*" &amp; "%USERPROFILE%\Documents\GitHub\mrs-test-scripts\Headless Mode &amp; Sideloading\WalkAndUnGZ.bat" "%USERPROFILE%\AppData\Local\Temp\OnboardLogs"\RTDC4049\2017-09-02</v>
      </c>
      <c r="AF177" s="74" t="str">
        <f t="shared" si="52"/>
        <v>"C:\Program Files (x86)\AstroGrep\AstroGrep.exe" /e /r /s /spath="%USERPROFILE%\AppData\Local\Temp\OnboardLogs" /stypes="app*4049*20170901*" /stext=" 15:.+((SYSTEM_STATE.+slice.+state.+changed )|(ment ac)|(multiple cpu faults)|(system.+state.+changed )|(\[timeout)|(PRM\|1\|D)|(kpr)|(kdp)|(train st.+moving)|(\|lc)|(penalty))"</v>
      </c>
      <c r="AG177" s="206" t="str">
        <f t="shared" si="53"/>
        <v>NW</v>
      </c>
      <c r="AH177" s="78" t="str">
        <f t="shared" si="54"/>
        <v>"%USERPROFILE%\Documents\GitHub\eaglep3\Utilities\RefineRTDCRunTimes.py" --tripid 814-01 --locoid 4049 --swversion DE.1.0.9.0 --startMP 300:58649 --initTime 2017-09-01T09:24:02 --startdatetime 2017-09-01T09:43:05 --delay 64 --endMP 204:692 --enddatetime 2017-09-01T09:54:19 --enforcementcount 0 &gt;&gt;C:\Users\stu\Documents\GitHub\eaglep3-reporting\EC\2017-09-01-refined-times.txt</v>
      </c>
      <c r="AI177" s="96" t="str">
        <f t="shared" si="55"/>
        <v>echo {"issue":{"subject":"","project_id":79,"tracker_id":40,"status_id":1,"priority_id":2,"assigned_to_id":338,"start_date":"2017-09-01","description":"","custom_fields":[{"id":1,"name":"Subdivision","value":"NW"},{"id":4,"name":"Milepost","value":"0.0692"},{"id":17,"name":"Train ID","value":"814-01"},{"id":16,"name":"Locomotive ID","value":"4049"},{"id":130,"name":"Impact","value":""},{"id":150,"name":"Time of Event (Mountain Time)","value":"09:54:19"},{"id":151,"name":"Denver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56"/>
        <v>start /low /b %USERPROFILE%\Documents\GitHub\eaglep3\Utilities\DownloadLogsFromS3.py --loco 4049 --day 2017-09-01</v>
      </c>
      <c r="AN177" s="151" t="str">
        <f t="shared" si="57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15:54:19"},{"id":29,"name":"Sharepoint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x14ac:dyDescent="0.25">
      <c r="A178" s="32" t="s">
        <v>694</v>
      </c>
      <c r="B178" s="7">
        <v>4050</v>
      </c>
      <c r="C178" s="21" t="s">
        <v>197</v>
      </c>
      <c r="D178" s="21" t="s">
        <v>569</v>
      </c>
      <c r="E178" s="13">
        <v>42979.414710648147</v>
      </c>
      <c r="F178" s="13">
        <v>42979.423090277778</v>
      </c>
      <c r="G178" s="7">
        <v>52</v>
      </c>
      <c r="H178" s="21" t="s">
        <v>932</v>
      </c>
      <c r="I178" s="13">
        <v>42979.431851851848</v>
      </c>
      <c r="J178" s="7">
        <v>0</v>
      </c>
      <c r="K178" s="89" t="str">
        <f t="shared" si="40"/>
        <v>4049/4050</v>
      </c>
      <c r="L178" s="214" t="str">
        <f>VLOOKUP(A178,'Trips&amp;Operators'!$C$1:$G$99911,5,FALSE)</f>
        <v>LALONDE GREGORY</v>
      </c>
      <c r="M178" s="6">
        <f t="shared" si="41"/>
        <v>8.7615740703768097E-3</v>
      </c>
      <c r="N178" s="7">
        <f t="shared" si="42"/>
        <v>12.616666661342606</v>
      </c>
      <c r="O178" s="7"/>
      <c r="P178" s="7"/>
      <c r="Q178" s="22"/>
      <c r="R178" s="167"/>
      <c r="S178" s="210">
        <f t="shared" si="43"/>
        <v>1</v>
      </c>
      <c r="T178" s="192" t="str">
        <f t="shared" si="44"/>
        <v>NorthBound</v>
      </c>
      <c r="U178" s="192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3" t="str">
        <f t="shared" si="45"/>
        <v>https://d0f6bd738d7f1b3e5a7ca70fe4ff75f0.us-east-1.aws.found.io/app/kibana#/discover/Steve-Slow-Train-Analysis-(2080s-and-2083s)?_g=(refreshInterval:(display:Off,pause:!f,section:0,value:0),time:(from:'2017-09-01T08:57:11-0600',mode:absolute,to:'2017-09-01T11:21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8" s="194" t="str">
        <f>IF(AA178&lt;VLOOKUP(AG178,Variables!$AC$3:$AD$8,2,FALSE),"Y","N")</f>
        <v>N</v>
      </c>
      <c r="X178" s="194">
        <f t="shared" si="46"/>
        <v>1</v>
      </c>
      <c r="Y178" s="194">
        <f t="shared" si="47"/>
        <v>9.64E-2</v>
      </c>
      <c r="Z178" s="194">
        <f t="shared" si="48"/>
        <v>5.8963000000000001</v>
      </c>
      <c r="AA178" s="194">
        <f t="shared" si="49"/>
        <v>5.7999000000000001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203">
        <f t="shared" si="50"/>
        <v>815</v>
      </c>
      <c r="AE178" s="77" t="str">
        <f t="shared" si="51"/>
        <v>aws s3 cp s3://rtdc.mdm.uploadarchive.raw/RTDC4050/ "%USERPROFILE%\AppData\Local\Temp\OnboardLogs"\RTDC4050\2017-09-01 --exclude "*" --recursive --include "*20170901*" &amp; "%USERPROFILE%\Documents\GitHub\mrs-test-scripts\Headless Mode &amp; Sideloading\WalkAndUnGZ.bat" "%USERPROFILE%\AppData\Local\Temp\OnboardLogs"\RTDC4050\2017-09-01 &amp; aws s3 cp s3://rtdc.mdm.uploadarchive.raw/RTDC4050/ "%USERPROFILE%\AppData\Local\Temp\OnboardLogs"\RTDC4050\2017-09-02 --exclude "*" --recursive --include "*20170902*" &amp; "%USERPROFILE%\Documents\GitHub\mrs-test-scripts\Headless Mode &amp; Sideloading\WalkAndUnGZ.bat" "%USERPROFILE%\AppData\Local\Temp\OnboardLogs"\RTDC4050\2017-09-02</v>
      </c>
      <c r="AF178" s="74" t="str">
        <f t="shared" si="52"/>
        <v>"C:\Program Files (x86)\AstroGrep\AstroGrep.exe" /e /r /s /spath="%USERPROFILE%\AppData\Local\Temp\OnboardLogs" /stypes="app*4050*20170901*" /stext=" 16:.+((SYSTEM_STATE.+slice.+state.+changed )|(ment ac)|(multiple cpu faults)|(system.+state.+changed )|(\[timeout)|(PRM\|1\|D)|(kpr)|(kdp)|(train st.+moving)|(\|lc)|(penalty))"</v>
      </c>
      <c r="AG178" s="206" t="str">
        <f t="shared" si="53"/>
        <v>NW</v>
      </c>
      <c r="AH178" s="78" t="str">
        <f t="shared" si="54"/>
        <v>"%USERPROFILE%\Documents\GitHub\eaglep3\Utilities\RefineRTDCRunTimes.py" --tripid 815-01 --locoid 4050 --swversion DE.1.0.9.0 --startMP 204:964 --initTime 2017-09-01T09:57:11 --startdatetime 2017-09-01T10:09:15 --delay 52 --endMP 300:58963 --enddatetime 2017-09-01T10:21:52 --enforcementcount 0 &gt;&gt;C:\Users\stu\Documents\GitHub\eaglep3-reporting\EC\2017-09-01-refined-times.txt</v>
      </c>
      <c r="AI178" s="96" t="str">
        <f t="shared" si="55"/>
        <v>echo {"issue":{"subject":"","project_id":79,"tracker_id":40,"status_id":1,"priority_id":2,"assigned_to_id":338,"start_date":"2017-09-01","description":"","custom_fields":[{"id":1,"name":"Subdivision","value":"NW"},{"id":4,"name":"Milepost","value":"5.8963"},{"id":17,"name":"Train ID","value":"815-01"},{"id":16,"name":"Locomotive ID","value":"4050"},{"id":130,"name":"Impact","value":""},{"id":150,"name":"Time of Event (Mountain Time)","value":"10:21:52"},{"id":151,"name":"Denver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56"/>
        <v>start /low /b %USERPROFILE%\Documents\GitHub\eaglep3\Utilities\DownloadLogsFromS3.py --loco 4050 --day 2017-09-01</v>
      </c>
      <c r="AN178" s="151" t="str">
        <f t="shared" si="57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16:21:52"},{"id":29,"name":"Sharepoint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x14ac:dyDescent="0.25">
      <c r="A179" s="32" t="s">
        <v>698</v>
      </c>
      <c r="B179" s="7">
        <v>4049</v>
      </c>
      <c r="C179" s="21" t="s">
        <v>197</v>
      </c>
      <c r="D179" s="21" t="s">
        <v>933</v>
      </c>
      <c r="E179" s="13">
        <v>42979.433067129627</v>
      </c>
      <c r="F179" s="13">
        <v>42979.446585648147</v>
      </c>
      <c r="G179" s="7">
        <v>66</v>
      </c>
      <c r="H179" s="21" t="s">
        <v>934</v>
      </c>
      <c r="I179" s="13">
        <v>42979.454756944448</v>
      </c>
      <c r="J179" s="7">
        <v>0</v>
      </c>
      <c r="K179" s="89" t="str">
        <f t="shared" si="40"/>
        <v>4049/4050</v>
      </c>
      <c r="L179" s="214" t="str">
        <f>VLOOKUP(A179,'Trips&amp;Operators'!$C$1:$G$99911,5,FALSE)</f>
        <v>LALONDE GREGORY</v>
      </c>
      <c r="M179" s="6">
        <f t="shared" si="41"/>
        <v>8.1712963001336902E-3</v>
      </c>
      <c r="N179" s="7">
        <f t="shared" si="42"/>
        <v>11.766666672192514</v>
      </c>
      <c r="O179" s="7"/>
      <c r="P179" s="7"/>
      <c r="Q179" s="22"/>
      <c r="R179" s="167"/>
      <c r="S179" s="210">
        <f t="shared" si="43"/>
        <v>1</v>
      </c>
      <c r="T179" s="192" t="str">
        <f t="shared" si="44"/>
        <v>Southbound</v>
      </c>
      <c r="U179" s="192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3" t="str">
        <f t="shared" si="45"/>
        <v>https://d0f6bd738d7f1b3e5a7ca70fe4ff75f0.us-east-1.aws.found.io/app/kibana#/discover/Steve-Slow-Train-Analysis-(2080s-and-2083s)?_g=(refreshInterval:(display:Off,pause:!f,section:0,value:0),time:(from:'2017-09-01T09:23:37-0600',mode:absolute,to:'2017-09-01T11:54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79" s="194" t="str">
        <f>IF(AA179&lt;VLOOKUP(AG179,Variables!$AC$3:$AD$8,2,FALSE),"Y","N")</f>
        <v>N</v>
      </c>
      <c r="X179" s="194">
        <f t="shared" si="46"/>
        <v>1</v>
      </c>
      <c r="Y179" s="194">
        <f t="shared" si="47"/>
        <v>5.8653000000000004</v>
      </c>
      <c r="Z179" s="194">
        <f t="shared" si="48"/>
        <v>9.11E-2</v>
      </c>
      <c r="AA179" s="194">
        <f t="shared" si="49"/>
        <v>5.7742000000000004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203">
        <f t="shared" si="50"/>
        <v>816</v>
      </c>
      <c r="AE179" s="77" t="str">
        <f t="shared" si="51"/>
        <v>aws s3 cp s3://rtdc.mdm.uploadarchive.raw/RTDC4049/ "%USERPROFILE%\AppData\Local\Temp\OnboardLogs"\RTDC4049\2017-09-01 --exclude "*" --recursive --include "*20170901*" &amp; "%USERPROFILE%\Documents\GitHub\mrs-test-scripts\Headless Mode &amp; Sideloading\WalkAndUnGZ.bat" "%USERPROFILE%\AppData\Local\Temp\OnboardLogs"\RTDC4049\2017-09-01 &amp; aws s3 cp s3://rtdc.mdm.uploadarchive.raw/RTDC4049/ "%USERPROFILE%\AppData\Local\Temp\OnboardLogs"\RTDC4049\2017-09-02 --exclude "*" --recursive --include "*20170902*" &amp; "%USERPROFILE%\Documents\GitHub\mrs-test-scripts\Headless Mode &amp; Sideloading\WalkAndUnGZ.bat" "%USERPROFILE%\AppData\Local\Temp\OnboardLogs"\RTDC4049\2017-09-02</v>
      </c>
      <c r="AF179" s="74" t="str">
        <f t="shared" si="52"/>
        <v>"C:\Program Files (x86)\AstroGrep\AstroGrep.exe" /e /r /s /spath="%USERPROFILE%\AppData\Local\Temp\OnboardLogs" /stypes="app*4049*20170901*" /stext=" 16:.+((SYSTEM_STATE.+slice.+state.+changed )|(ment ac)|(multiple cpu faults)|(system.+state.+changed )|(\[timeout)|(PRM\|1\|D)|(kpr)|(kdp)|(train st.+moving)|(\|lc)|(penalty))"</v>
      </c>
      <c r="AG179" s="206" t="str">
        <f t="shared" si="53"/>
        <v>NW</v>
      </c>
      <c r="AH179" s="78" t="str">
        <f t="shared" si="54"/>
        <v>"%USERPROFILE%\Documents\GitHub\eaglep3\Utilities\RefineRTDCRunTimes.py" --tripid 816-01 --locoid 4049 --swversion DE.1.0.9.0 --startMP 300:58653 --initTime 2017-09-01T10:23:37 --startdatetime 2017-09-01T10:43:05 --delay 66 --endMP 204:911 --enddatetime 2017-09-01T10:54:51 --enforcementcount 0 &gt;&gt;C:\Users\stu\Documents\GitHub\eaglep3-reporting\EC\2017-09-01-refined-times.txt</v>
      </c>
      <c r="AI179" s="96" t="str">
        <f t="shared" si="55"/>
        <v>echo {"issue":{"subject":"","project_id":79,"tracker_id":40,"status_id":1,"priority_id":2,"assigned_to_id":338,"start_date":"2017-09-01","description":"","custom_fields":[{"id":1,"name":"Subdivision","value":"NW"},{"id":4,"name":"Milepost","value":"0.0911"},{"id":17,"name":"Train ID","value":"816-01"},{"id":16,"name":"Locomotive ID","value":"4049"},{"id":130,"name":"Impact","value":""},{"id":150,"name":"Time of Event (Mountain Time)","value":"10:54:51"},{"id":151,"name":"Denver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2" t="str">
        <f t="shared" si="56"/>
        <v>start /low /b %USERPROFILE%\Documents\GitHub\eaglep3\Utilities\DownloadLogsFromS3.py --loco 4049 --day 2017-09-01</v>
      </c>
      <c r="AN179" s="151" t="str">
        <f t="shared" si="57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16:54:51"},{"id":29,"name":"Sharepoint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</row>
    <row r="180" spans="1:91" s="20" customFormat="1" x14ac:dyDescent="0.25">
      <c r="A180" s="32" t="s">
        <v>703</v>
      </c>
      <c r="B180" s="7">
        <v>4056</v>
      </c>
      <c r="C180" s="21" t="s">
        <v>197</v>
      </c>
      <c r="D180" s="21" t="s">
        <v>935</v>
      </c>
      <c r="E180" s="13">
        <v>42979.440335648149</v>
      </c>
      <c r="F180" s="13">
        <v>42979.46707175926</v>
      </c>
      <c r="G180" s="7">
        <v>1978</v>
      </c>
      <c r="H180" s="21" t="s">
        <v>932</v>
      </c>
      <c r="I180" s="13">
        <v>42979.475706018522</v>
      </c>
      <c r="J180" s="7">
        <v>0</v>
      </c>
      <c r="K180" s="89" t="str">
        <f t="shared" si="40"/>
        <v>4055/4056</v>
      </c>
      <c r="L180" s="214" t="str">
        <f>VLOOKUP(A180,'Trips&amp;Operators'!$C$1:$G$99911,5,FALSE)</f>
        <v>LALONDE GREGORY</v>
      </c>
      <c r="M180" s="6">
        <f t="shared" si="41"/>
        <v>8.6342592621804215E-3</v>
      </c>
      <c r="N180" s="7">
        <f t="shared" si="42"/>
        <v>12.433333337539807</v>
      </c>
      <c r="O180" s="7"/>
      <c r="P180" s="7"/>
      <c r="Q180" s="22"/>
      <c r="R180" s="167"/>
      <c r="S180" s="210">
        <f t="shared" si="43"/>
        <v>1</v>
      </c>
      <c r="T180" s="192" t="str">
        <f t="shared" si="44"/>
        <v>NorthBound</v>
      </c>
      <c r="U180" s="192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3" t="str">
        <f t="shared" si="45"/>
        <v>https://d0f6bd738d7f1b3e5a7ca70fe4ff75f0.us-east-1.aws.found.io/app/kibana#/discover/Steve-Slow-Train-Analysis-(2080s-and-2083s)?_g=(refreshInterval:(display:Off,pause:!f,section:0,value:0),time:(from:'2017-09-01T09:34:05-0600',mode:absolute,to:'2017-09-01T12:25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80" s="194" t="str">
        <f>IF(AA180&lt;VLOOKUP(AG180,Variables!$AC$3:$AD$8,2,FALSE),"Y","N")</f>
        <v>N</v>
      </c>
      <c r="X180" s="194">
        <f t="shared" si="46"/>
        <v>1</v>
      </c>
      <c r="Y180" s="194">
        <f t="shared" si="47"/>
        <v>0.1721</v>
      </c>
      <c r="Z180" s="194">
        <f t="shared" si="48"/>
        <v>5.8963000000000001</v>
      </c>
      <c r="AA180" s="194">
        <f t="shared" si="49"/>
        <v>5.7241999999999997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203">
        <f t="shared" si="50"/>
        <v>817</v>
      </c>
      <c r="AE180" s="77" t="str">
        <f t="shared" si="51"/>
        <v>aws s3 cp s3://rtdc.mdm.uploadarchive.raw/RTDC4056/ "%USERPROFILE%\AppData\Local\Temp\OnboardLogs"\RTDC4056\2017-09-01 --exclude "*" --recursive --include "*20170901*" &amp; "%USERPROFILE%\Documents\GitHub\mrs-test-scripts\Headless Mode &amp; Sideloading\WalkAndUnGZ.bat" "%USERPROFILE%\AppData\Local\Temp\OnboardLogs"\RTDC4056\2017-09-01 &amp; aws s3 cp s3://rtdc.mdm.uploadarchive.raw/RTDC4056/ "%USERPROFILE%\AppData\Local\Temp\OnboardLogs"\RTDC4056\2017-09-02 --exclude "*" --recursive --include "*20170902*" &amp; "%USERPROFILE%\Documents\GitHub\mrs-test-scripts\Headless Mode &amp; Sideloading\WalkAndUnGZ.bat" "%USERPROFILE%\AppData\Local\Temp\OnboardLogs"\RTDC4056\2017-09-02</v>
      </c>
      <c r="AF180" s="74" t="str">
        <f t="shared" si="52"/>
        <v>"C:\Program Files (x86)\AstroGrep\AstroGrep.exe" /e /r /s /spath="%USERPROFILE%\AppData\Local\Temp\OnboardLogs" /stypes="app*4056*20170901*" /stext=" 17:.+((SYSTEM_STATE.+slice.+state.+changed )|(ment ac)|(multiple cpu faults)|(system.+state.+changed )|(\[timeout)|(PRM\|1\|D)|(kpr)|(kdp)|(train st.+moving)|(\|lc)|(penalty))"</v>
      </c>
      <c r="AG180" s="206" t="str">
        <f t="shared" si="53"/>
        <v>NW</v>
      </c>
      <c r="AH180" s="78" t="str">
        <f t="shared" si="54"/>
        <v>"%USERPROFILE%\Documents\GitHub\eaglep3\Utilities\RefineRTDCRunTimes.py" --tripid 817-01 --locoid 4056 --swversion DE.1.0.9.0 --startMP 204:1721 --initTime 2017-09-01T10:34:05 --startdatetime 2017-09-01T11:12:35 --delay 1978 --endMP 300:58963 --enddatetime 2017-09-01T11:25:01 --enforcementcount 0 &gt;&gt;C:\Users\stu\Documents\GitHub\eaglep3-reporting\EC\2017-09-01-refined-times.txt</v>
      </c>
      <c r="AI180" s="96" t="str">
        <f t="shared" si="55"/>
        <v>echo {"issue":{"subject":"","project_id":79,"tracker_id":40,"status_id":1,"priority_id":2,"assigned_to_id":338,"start_date":"2017-09-01","description":"","custom_fields":[{"id":1,"name":"Subdivision","value":"NW"},{"id":4,"name":"Milepost","value":"5.8963"},{"id":17,"name":"Train ID","value":"817-01"},{"id":16,"name":"Locomotive ID","value":"4056"},{"id":130,"name":"Impact","value":""},{"id":150,"name":"Time of Event (Mountain Time)","value":"11:25:01"},{"id":151,"name":"Denver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0" s="47"/>
      <c r="AL180" s="47"/>
      <c r="AM180" s="142" t="str">
        <f t="shared" si="56"/>
        <v>start /low /b %USERPROFILE%\Documents\GitHub\eaglep3\Utilities\DownloadLogsFromS3.py --loco 4056 --day 2017-09-01</v>
      </c>
      <c r="AN180" s="151" t="str">
        <f t="shared" si="57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17:25:01"},{"id":29,"name":"Sharepoint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2" t="s">
        <v>710</v>
      </c>
      <c r="B181" s="7">
        <v>4055</v>
      </c>
      <c r="C181" s="21" t="s">
        <v>197</v>
      </c>
      <c r="D181" s="21" t="s">
        <v>936</v>
      </c>
      <c r="E181" s="13">
        <v>42979.477268518516</v>
      </c>
      <c r="F181" s="13">
        <v>42979.479421296295</v>
      </c>
      <c r="G181" s="7">
        <v>64</v>
      </c>
      <c r="H181" s="21" t="s">
        <v>499</v>
      </c>
      <c r="I181" s="13">
        <v>42979.49622685185</v>
      </c>
      <c r="J181" s="7">
        <v>0</v>
      </c>
      <c r="K181" s="89" t="str">
        <f t="shared" si="40"/>
        <v>4055/4056</v>
      </c>
      <c r="L181" s="214" t="str">
        <f>VLOOKUP(A181,'Trips&amp;Operators'!$C$1:$G$99911,5,FALSE)</f>
        <v>LALONDE GREGORY</v>
      </c>
      <c r="M181" s="6">
        <f t="shared" si="41"/>
        <v>1.6805555555038154E-2</v>
      </c>
      <c r="N181" s="7">
        <f t="shared" si="42"/>
        <v>24.199999999254942</v>
      </c>
      <c r="O181" s="7"/>
      <c r="P181" s="7"/>
      <c r="Q181" s="22"/>
      <c r="R181" s="167"/>
      <c r="S181" s="210">
        <f t="shared" si="43"/>
        <v>1</v>
      </c>
      <c r="T181" s="192" t="str">
        <f t="shared" si="44"/>
        <v>Southbound</v>
      </c>
      <c r="U181" s="192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3" t="str">
        <f t="shared" si="45"/>
        <v>https://d0f6bd738d7f1b3e5a7ca70fe4ff75f0.us-east-1.aws.found.io/app/kibana#/discover/Steve-Slow-Train-Analysis-(2080s-and-2083s)?_g=(refreshInterval:(display:Off,pause:!f,section:0,value:0),time:(from:'2017-09-01T10:27:16-0600',mode:absolute,to:'2017-09-01T12:54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1" s="194" t="str">
        <f>IF(AA181&lt;VLOOKUP(AG181,Variables!$AC$3:$AD$8,2,FALSE),"Y","N")</f>
        <v>N</v>
      </c>
      <c r="X181" s="194">
        <f t="shared" si="46"/>
        <v>1</v>
      </c>
      <c r="Y181" s="194">
        <f t="shared" si="47"/>
        <v>5.8659999999999997</v>
      </c>
      <c r="Z181" s="194">
        <f t="shared" si="48"/>
        <v>6.8500000000000005E-2</v>
      </c>
      <c r="AA181" s="194">
        <f t="shared" si="49"/>
        <v>5.7974999999999994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203">
        <f t="shared" si="50"/>
        <v>818</v>
      </c>
      <c r="AE181" s="77" t="str">
        <f t="shared" si="51"/>
        <v>aws s3 cp s3://rtdc.mdm.uploadarchive.raw/RTDC4055/ "%USERPROFILE%\AppData\Local\Temp\OnboardLogs"\RTDC4055\2017-09-01 --exclude "*" --recursive --include "*20170901*" &amp; "%USERPROFILE%\Documents\GitHub\mrs-test-scripts\Headless Mode &amp; Sideloading\WalkAndUnGZ.bat" "%USERPROFILE%\AppData\Local\Temp\OnboardLogs"\RTDC4055\2017-09-01 &amp; aws s3 cp s3://rtdc.mdm.uploadarchive.raw/RTDC4055/ "%USERPROFILE%\AppData\Local\Temp\OnboardLogs"\RTDC4055\2017-09-02 --exclude "*" --recursive --include "*20170902*" &amp; "%USERPROFILE%\Documents\GitHub\mrs-test-scripts\Headless Mode &amp; Sideloading\WalkAndUnGZ.bat" "%USERPROFILE%\AppData\Local\Temp\OnboardLogs"\RTDC4055\2017-09-02</v>
      </c>
      <c r="AF181" s="74" t="str">
        <f t="shared" si="52"/>
        <v>"C:\Program Files (x86)\AstroGrep\AstroGrep.exe" /e /r /s /spath="%USERPROFILE%\AppData\Local\Temp\OnboardLogs" /stypes="app*4055*20170901*" /stext=" 17:.+((SYSTEM_STATE.+slice.+state.+changed )|(ment ac)|(multiple cpu faults)|(system.+state.+changed )|(\[timeout)|(PRM\|1\|D)|(kpr)|(kdp)|(train st.+moving)|(\|lc)|(penalty))"</v>
      </c>
      <c r="AG181" s="206" t="str">
        <f t="shared" si="53"/>
        <v>NW</v>
      </c>
      <c r="AH181" s="78" t="str">
        <f t="shared" si="54"/>
        <v>"%USERPROFILE%\Documents\GitHub\eaglep3\Utilities\RefineRTDCRunTimes.py" --tripid 818-01 --locoid 4055 --swversion DE.1.0.9.0 --startMP 300:58660 --initTime 2017-09-01T11:27:16 --startdatetime 2017-09-01T11:30:22 --delay 64 --endMP 204:685 --enddatetime 2017-09-01T11:54:34 --enforcementcount 0 &gt;&gt;C:\Users\stu\Documents\GitHub\eaglep3-reporting\EC\2017-09-01-refined-times.txt</v>
      </c>
      <c r="AI181" s="96" t="str">
        <f t="shared" si="55"/>
        <v>echo {"issue":{"subject":"","project_id":79,"tracker_id":40,"status_id":1,"priority_id":2,"assigned_to_id":338,"start_date":"2017-09-01","description":"","custom_fields":[{"id":1,"name":"Subdivision","value":"NW"},{"id":4,"name":"Milepost","value":"0.0685"},{"id":17,"name":"Train ID","value":"818-01"},{"id":16,"name":"Locomotive ID","value":"4055"},{"id":130,"name":"Impact","value":""},{"id":150,"name":"Time of Event (Mountain Time)","value":"11:54:34"},{"id":151,"name":"Denver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56"/>
        <v>start /low /b %USERPROFILE%\Documents\GitHub\eaglep3\Utilities\DownloadLogsFromS3.py --loco 4055 --day 2017-09-01</v>
      </c>
      <c r="AN181" s="151" t="str">
        <f t="shared" si="57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17:54:34"},{"id":29,"name":"Sharepoint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x14ac:dyDescent="0.25">
      <c r="A182" s="32" t="s">
        <v>719</v>
      </c>
      <c r="B182" s="7">
        <v>4056</v>
      </c>
      <c r="C182" s="21" t="s">
        <v>197</v>
      </c>
      <c r="D182" s="21" t="s">
        <v>507</v>
      </c>
      <c r="E182" s="13">
        <v>42979.505127314813</v>
      </c>
      <c r="F182" s="13">
        <v>42979.507094907407</v>
      </c>
      <c r="G182" s="7">
        <v>67</v>
      </c>
      <c r="H182" s="21" t="s">
        <v>937</v>
      </c>
      <c r="I182" s="13">
        <v>42979.516932870371</v>
      </c>
      <c r="J182" s="7">
        <v>0</v>
      </c>
      <c r="K182" s="89" t="str">
        <f t="shared" si="40"/>
        <v>4055/4056</v>
      </c>
      <c r="L182" s="214" t="str">
        <f>VLOOKUP(A182,'Trips&amp;Operators'!$C$1:$G$99911,5,FALSE)</f>
        <v>LALONDE GREGORY</v>
      </c>
      <c r="M182" s="6">
        <f t="shared" si="41"/>
        <v>9.8379629635019228E-3</v>
      </c>
      <c r="N182" s="7">
        <f t="shared" si="42"/>
        <v>14.166666667442769</v>
      </c>
      <c r="O182" s="7"/>
      <c r="P182" s="7"/>
      <c r="Q182" s="22"/>
      <c r="R182" s="167"/>
      <c r="S182" s="210">
        <f t="shared" si="43"/>
        <v>1</v>
      </c>
      <c r="T182" s="192" t="str">
        <f t="shared" si="44"/>
        <v>NorthBound</v>
      </c>
      <c r="U182" s="192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3" t="str">
        <f t="shared" si="45"/>
        <v>https://d0f6bd738d7f1b3e5a7ca70fe4ff75f0.us-east-1.aws.found.io/app/kibana#/discover/Steve-Slow-Train-Analysis-(2080s-and-2083s)?_g=(refreshInterval:(display:Off,pause:!f,section:0,value:0),time:(from:'2017-09-01T11:07:23-0600',mode:absolute,to:'2017-09-01T13:24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82" s="194" t="str">
        <f>IF(AA182&lt;VLOOKUP(AG182,Variables!$AC$3:$AD$8,2,FALSE),"Y","N")</f>
        <v>N</v>
      </c>
      <c r="X182" s="194">
        <f t="shared" si="46"/>
        <v>1</v>
      </c>
      <c r="Y182" s="194">
        <f t="shared" si="47"/>
        <v>9.7600000000000006E-2</v>
      </c>
      <c r="Z182" s="194">
        <f t="shared" si="48"/>
        <v>5.8959999999999999</v>
      </c>
      <c r="AA182" s="194">
        <f t="shared" si="49"/>
        <v>5.7984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203">
        <f t="shared" si="50"/>
        <v>819</v>
      </c>
      <c r="AE182" s="77" t="str">
        <f t="shared" si="51"/>
        <v>aws s3 cp s3://rtdc.mdm.uploadarchive.raw/RTDC4056/ "%USERPROFILE%\AppData\Local\Temp\OnboardLogs"\RTDC4056\2017-09-01 --exclude "*" --recursive --include "*20170901*" &amp; "%USERPROFILE%\Documents\GitHub\mrs-test-scripts\Headless Mode &amp; Sideloading\WalkAndUnGZ.bat" "%USERPROFILE%\AppData\Local\Temp\OnboardLogs"\RTDC4056\2017-09-01 &amp; aws s3 cp s3://rtdc.mdm.uploadarchive.raw/RTDC4056/ "%USERPROFILE%\AppData\Local\Temp\OnboardLogs"\RTDC4056\2017-09-02 --exclude "*" --recursive --include "*20170902*" &amp; "%USERPROFILE%\Documents\GitHub\mrs-test-scripts\Headless Mode &amp; Sideloading\WalkAndUnGZ.bat" "%USERPROFILE%\AppData\Local\Temp\OnboardLogs"\RTDC4056\2017-09-02</v>
      </c>
      <c r="AF182" s="74" t="str">
        <f t="shared" si="52"/>
        <v>"C:\Program Files (x86)\AstroGrep\AstroGrep.exe" /e /r /s /spath="%USERPROFILE%\AppData\Local\Temp\OnboardLogs" /stypes="app*4056*20170901*" /stext=" 18:.+((SYSTEM_STATE.+slice.+state.+changed )|(ment ac)|(multiple cpu faults)|(system.+state.+changed )|(\[timeout)|(PRM\|1\|D)|(kpr)|(kdp)|(train st.+moving)|(\|lc)|(penalty))"</v>
      </c>
      <c r="AG182" s="206" t="str">
        <f t="shared" si="53"/>
        <v>NW</v>
      </c>
      <c r="AH182" s="78" t="str">
        <f t="shared" si="54"/>
        <v>"%USERPROFILE%\Documents\GitHub\eaglep3\Utilities\RefineRTDCRunTimes.py" --tripid 819-01 --locoid 4056 --swversion DE.1.0.9.0 --startMP 204:976 --initTime 2017-09-01T12:07:23 --startdatetime 2017-09-01T12:10:13 --delay 67 --endMP 300:58960 --enddatetime 2017-09-01T12:24:23 --enforcementcount 0 &gt;&gt;C:\Users\stu\Documents\GitHub\eaglep3-reporting\EC\2017-09-01-refined-times.txt</v>
      </c>
      <c r="AI182" s="96" t="str">
        <f t="shared" si="55"/>
        <v>echo {"issue":{"subject":"","project_id":79,"tracker_id":40,"status_id":1,"priority_id":2,"assigned_to_id":338,"start_date":"2017-09-01","description":"","custom_fields":[{"id":1,"name":"Subdivision","value":"NW"},{"id":4,"name":"Milepost","value":"5.896"},{"id":17,"name":"Train ID","value":"819-01"},{"id":16,"name":"Locomotive ID","value":"4056"},{"id":130,"name":"Impact","value":""},{"id":150,"name":"Time of Event (Mountain Time)","value":"12:24:23"},{"id":151,"name":"Denver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56"/>
        <v>start /low /b %USERPROFILE%\Documents\GitHub\eaglep3\Utilities\DownloadLogsFromS3.py --loco 4056 --day 2017-09-01</v>
      </c>
      <c r="AN182" s="151" t="str">
        <f t="shared" si="57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18:24:23"},{"id":29,"name":"Sharepoint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</row>
    <row r="183" spans="1:91" x14ac:dyDescent="0.25">
      <c r="A183" s="32" t="s">
        <v>723</v>
      </c>
      <c r="B183" s="7">
        <v>4055</v>
      </c>
      <c r="C183" s="21" t="s">
        <v>197</v>
      </c>
      <c r="D183" s="21" t="s">
        <v>938</v>
      </c>
      <c r="E183" s="13">
        <v>42979.520810185182</v>
      </c>
      <c r="F183" s="13">
        <v>42979.522465277776</v>
      </c>
      <c r="G183" s="7">
        <v>49</v>
      </c>
      <c r="H183" s="21" t="s">
        <v>939</v>
      </c>
      <c r="I183" s="13">
        <v>42979.537754629629</v>
      </c>
      <c r="J183" s="7">
        <v>0</v>
      </c>
      <c r="K183" s="89" t="str">
        <f t="shared" si="40"/>
        <v>4055/4056</v>
      </c>
      <c r="L183" s="214" t="str">
        <f>VLOOKUP(A183,'Trips&amp;Operators'!$C$1:$G$99911,5,FALSE)</f>
        <v>LALONDE GREGORY</v>
      </c>
      <c r="M183" s="6">
        <f t="shared" si="41"/>
        <v>1.5289351853425615E-2</v>
      </c>
      <c r="N183" s="7">
        <f t="shared" si="42"/>
        <v>22.016666668932885</v>
      </c>
      <c r="O183" s="7"/>
      <c r="P183" s="7"/>
      <c r="Q183" s="22"/>
      <c r="R183" s="167"/>
      <c r="S183" s="210">
        <f t="shared" si="43"/>
        <v>1</v>
      </c>
      <c r="T183" s="192" t="str">
        <f t="shared" si="44"/>
        <v>Southbound</v>
      </c>
      <c r="U183" s="192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3" t="str">
        <f t="shared" si="45"/>
        <v>https://d0f6bd738d7f1b3e5a7ca70fe4ff75f0.us-east-1.aws.found.io/app/kibana#/discover/Steve-Slow-Train-Analysis-(2080s-and-2083s)?_g=(refreshInterval:(display:Off,pause:!f,section:0,value:0),time:(from:'2017-09-01T11:29:58-0600',mode:absolute,to:'2017-09-01T13:54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3" s="194" t="str">
        <f>IF(AA183&lt;VLOOKUP(AG183,Variables!$AC$3:$AD$8,2,FALSE),"Y","N")</f>
        <v>N</v>
      </c>
      <c r="X183" s="194">
        <f t="shared" si="46"/>
        <v>1</v>
      </c>
      <c r="Y183" s="194">
        <f t="shared" si="47"/>
        <v>5.8643000000000001</v>
      </c>
      <c r="Z183" s="194">
        <f t="shared" si="48"/>
        <v>6.9599999999999995E-2</v>
      </c>
      <c r="AA183" s="194">
        <f t="shared" si="49"/>
        <v>5.7946999999999997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203">
        <f t="shared" si="50"/>
        <v>820</v>
      </c>
      <c r="AE183" s="77" t="str">
        <f t="shared" si="51"/>
        <v>aws s3 cp s3://rtdc.mdm.uploadarchive.raw/RTDC4055/ "%USERPROFILE%\AppData\Local\Temp\OnboardLogs"\RTDC4055\2017-09-01 --exclude "*" --recursive --include "*20170901*" &amp; "%USERPROFILE%\Documents\GitHub\mrs-test-scripts\Headless Mode &amp; Sideloading\WalkAndUnGZ.bat" "%USERPROFILE%\AppData\Local\Temp\OnboardLogs"\RTDC4055\2017-09-01 &amp; aws s3 cp s3://rtdc.mdm.uploadarchive.raw/RTDC4055/ "%USERPROFILE%\AppData\Local\Temp\OnboardLogs"\RTDC4055\2017-09-02 --exclude "*" --recursive --include "*20170902*" &amp; "%USERPROFILE%\Documents\GitHub\mrs-test-scripts\Headless Mode &amp; Sideloading\WalkAndUnGZ.bat" "%USERPROFILE%\AppData\Local\Temp\OnboardLogs"\RTDC4055\2017-09-02</v>
      </c>
      <c r="AF183" s="74" t="str">
        <f t="shared" si="52"/>
        <v>"C:\Program Files (x86)\AstroGrep\AstroGrep.exe" /e /r /s /spath="%USERPROFILE%\AppData\Local\Temp\OnboardLogs" /stypes="app*4055*20170901*" /stext=" 18:.+((SYSTEM_STATE.+slice.+state.+changed )|(ment ac)|(multiple cpu faults)|(system.+state.+changed )|(\[timeout)|(PRM\|1\|D)|(kpr)|(kdp)|(train st.+moving)|(\|lc)|(penalty))"</v>
      </c>
      <c r="AG183" s="206" t="str">
        <f t="shared" si="53"/>
        <v>NW</v>
      </c>
      <c r="AH183" s="78" t="str">
        <f t="shared" si="54"/>
        <v>"%USERPROFILE%\Documents\GitHub\eaglep3\Utilities\RefineRTDCRunTimes.py" --tripid 820-01 --locoid 4055 --swversion DE.1.0.9.0 --startMP 300:58643 --initTime 2017-09-01T12:29:58 --startdatetime 2017-09-01T12:32:21 --delay 49 --endMP 204:696 --enddatetime 2017-09-01T12:54:22 --enforcementcount 0 &gt;&gt;C:\Users\stu\Documents\GitHub\eaglep3-reporting\EC\2017-09-01-refined-times.txt</v>
      </c>
      <c r="AI183" s="96" t="str">
        <f t="shared" si="55"/>
        <v>echo {"issue":{"subject":"","project_id":79,"tracker_id":40,"status_id":1,"priority_id":2,"assigned_to_id":338,"start_date":"2017-09-01","description":"","custom_fields":[{"id":1,"name":"Subdivision","value":"NW"},{"id":4,"name":"Milepost","value":"0.0696"},{"id":17,"name":"Train ID","value":"820-01"},{"id":16,"name":"Locomotive ID","value":"4055"},{"id":130,"name":"Impact","value":""},{"id":150,"name":"Time of Event (Mountain Time)","value":"12:54:22"},{"id":151,"name":"Denver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2" t="str">
        <f t="shared" si="56"/>
        <v>start /low /b %USERPROFILE%\Documents\GitHub\eaglep3\Utilities\DownloadLogsFromS3.py --loco 4055 --day 2017-09-01</v>
      </c>
      <c r="AN183" s="151" t="str">
        <f t="shared" si="57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18:54:22"},{"id":29,"name":"Sharepoint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</row>
    <row r="184" spans="1:91" s="20" customFormat="1" x14ac:dyDescent="0.25">
      <c r="A184" s="32" t="s">
        <v>602</v>
      </c>
      <c r="B184" s="7">
        <v>4056</v>
      </c>
      <c r="C184" s="21" t="s">
        <v>197</v>
      </c>
      <c r="D184" s="21" t="s">
        <v>507</v>
      </c>
      <c r="E184" s="13">
        <v>42979.541574074072</v>
      </c>
      <c r="F184" s="13">
        <v>42979.548101851855</v>
      </c>
      <c r="G184" s="7">
        <v>85</v>
      </c>
      <c r="H184" s="21" t="s">
        <v>500</v>
      </c>
      <c r="I184" s="13">
        <v>42979.557986111111</v>
      </c>
      <c r="J184" s="7">
        <v>0</v>
      </c>
      <c r="K184" s="89" t="str">
        <f t="shared" si="40"/>
        <v>4055/4056</v>
      </c>
      <c r="L184" s="214" t="str">
        <f>VLOOKUP(A184,'Trips&amp;Operators'!$C$1:$G$99911,5,FALSE)</f>
        <v>STORY SAMANTHA</v>
      </c>
      <c r="M184" s="6">
        <f t="shared" si="41"/>
        <v>9.8842592560686171E-3</v>
      </c>
      <c r="N184" s="7">
        <f t="shared" si="42"/>
        <v>14.233333328738809</v>
      </c>
      <c r="O184" s="7"/>
      <c r="P184" s="7"/>
      <c r="Q184" s="22"/>
      <c r="R184" s="167"/>
      <c r="S184" s="210">
        <f t="shared" si="43"/>
        <v>1</v>
      </c>
      <c r="T184" s="192" t="str">
        <f t="shared" si="44"/>
        <v>NorthBound</v>
      </c>
      <c r="U184" s="192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3" t="str">
        <f t="shared" si="45"/>
        <v>https://d0f6bd738d7f1b3e5a7ca70fe4ff75f0.us-east-1.aws.found.io/app/kibana#/discover/Steve-Slow-Train-Analysis-(2080s-and-2083s)?_g=(refreshInterval:(display:Off,pause:!f,section:0,value:0),time:(from:'2017-09-01T11:59:52-0600',mode:absolute,to:'2017-09-01T14:23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84" s="194" t="str">
        <f>IF(AA184&lt;VLOOKUP(AG184,Variables!$AC$3:$AD$8,2,FALSE),"Y","N")</f>
        <v>N</v>
      </c>
      <c r="X184" s="194">
        <f t="shared" si="46"/>
        <v>1</v>
      </c>
      <c r="Y184" s="194">
        <f t="shared" si="47"/>
        <v>9.7600000000000006E-2</v>
      </c>
      <c r="Z184" s="194">
        <f t="shared" si="48"/>
        <v>5.8943000000000003</v>
      </c>
      <c r="AA184" s="194">
        <f t="shared" si="49"/>
        <v>5.7967000000000004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203">
        <f t="shared" si="50"/>
        <v>821</v>
      </c>
      <c r="AE184" s="77" t="str">
        <f t="shared" si="51"/>
        <v>aws s3 cp s3://rtdc.mdm.uploadarchive.raw/RTDC4056/ "%USERPROFILE%\AppData\Local\Temp\OnboardLogs"\RTDC4056\2017-09-01 --exclude "*" --recursive --include "*20170901*" &amp; "%USERPROFILE%\Documents\GitHub\mrs-test-scripts\Headless Mode &amp; Sideloading\WalkAndUnGZ.bat" "%USERPROFILE%\AppData\Local\Temp\OnboardLogs"\RTDC4056\2017-09-01 &amp; aws s3 cp s3://rtdc.mdm.uploadarchive.raw/RTDC4056/ "%USERPROFILE%\AppData\Local\Temp\OnboardLogs"\RTDC4056\2017-09-02 --exclude "*" --recursive --include "*20170902*" &amp; "%USERPROFILE%\Documents\GitHub\mrs-test-scripts\Headless Mode &amp; Sideloading\WalkAndUnGZ.bat" "%USERPROFILE%\AppData\Local\Temp\OnboardLogs"\RTDC4056\2017-09-02</v>
      </c>
      <c r="AF184" s="74" t="str">
        <f t="shared" si="52"/>
        <v>"C:\Program Files (x86)\AstroGrep\AstroGrep.exe" /e /r /s /spath="%USERPROFILE%\AppData\Local\Temp\OnboardLogs" /stypes="app*4056*20170901*" /stext=" 19:.+((SYSTEM_STATE.+slice.+state.+changed )|(ment ac)|(multiple cpu faults)|(system.+state.+changed )|(\[timeout)|(PRM\|1\|D)|(kpr)|(kdp)|(train st.+moving)|(\|lc)|(penalty))"</v>
      </c>
      <c r="AG184" s="206" t="str">
        <f t="shared" si="53"/>
        <v>NW</v>
      </c>
      <c r="AH184" s="78" t="str">
        <f t="shared" si="54"/>
        <v>"%USERPROFILE%\Documents\GitHub\eaglep3\Utilities\RefineRTDCRunTimes.py" --tripid 821-01 --locoid 4056 --swversion DE.1.0.9.0 --startMP 204:976 --initTime 2017-09-01T12:59:52 --startdatetime 2017-09-01T13:09:16 --delay 85 --endMP 300:58943 --enddatetime 2017-09-01T13:23:30 --enforcementcount 0 &gt;&gt;C:\Users\stu\Documents\GitHub\eaglep3-reporting\EC\2017-09-01-refined-times.txt</v>
      </c>
      <c r="AI184" s="96" t="str">
        <f t="shared" si="55"/>
        <v>echo {"issue":{"subject":"","project_id":79,"tracker_id":40,"status_id":1,"priority_id":2,"assigned_to_id":338,"start_date":"2017-09-01","description":"","custom_fields":[{"id":1,"name":"Subdivision","value":"NW"},{"id":4,"name":"Milepost","value":"5.8943"},{"id":17,"name":"Train ID","value":"821-01"},{"id":16,"name":"Locomotive ID","value":"4056"},{"id":130,"name":"Impact","value":""},{"id":150,"name":"Time of Event (Mountain Time)","value":"13:23:30"},{"id":151,"name":"Denver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56"/>
        <v>start /low /b %USERPROFILE%\Documents\GitHub\eaglep3\Utilities\DownloadLogsFromS3.py --loco 4056 --day 2017-09-01</v>
      </c>
      <c r="AN184" s="151" t="str">
        <f t="shared" si="57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19:23:30"},{"id":29,"name":"Sharepoint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603</v>
      </c>
      <c r="B185" s="7">
        <v>4055</v>
      </c>
      <c r="C185" s="21" t="s">
        <v>197</v>
      </c>
      <c r="D185" s="21" t="s">
        <v>470</v>
      </c>
      <c r="E185" s="13">
        <v>42979.560636574075</v>
      </c>
      <c r="F185" s="13">
        <v>42979.570115740738</v>
      </c>
      <c r="G185" s="7">
        <v>101</v>
      </c>
      <c r="H185" s="21" t="s">
        <v>940</v>
      </c>
      <c r="I185" s="13">
        <v>42979.580127314817</v>
      </c>
      <c r="J185" s="7">
        <v>0</v>
      </c>
      <c r="K185" s="89" t="str">
        <f t="shared" si="40"/>
        <v>4055/4056</v>
      </c>
      <c r="L185" s="214" t="str">
        <f>VLOOKUP(A185,'Trips&amp;Operators'!$C$1:$G$99911,5,FALSE)</f>
        <v>STORY SAMANTHA</v>
      </c>
      <c r="M185" s="6">
        <f t="shared" si="41"/>
        <v>1.0011574078816921E-2</v>
      </c>
      <c r="N185" s="7">
        <f t="shared" si="42"/>
        <v>14.416666673496366</v>
      </c>
      <c r="O185" s="7"/>
      <c r="P185" s="7"/>
      <c r="Q185" s="22"/>
      <c r="R185" s="167"/>
      <c r="S185" s="210">
        <f t="shared" si="43"/>
        <v>1</v>
      </c>
      <c r="T185" s="192" t="str">
        <f t="shared" si="44"/>
        <v>Southbound</v>
      </c>
      <c r="U185" s="192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3" t="str">
        <f t="shared" si="45"/>
        <v>https://d0f6bd738d7f1b3e5a7ca70fe4ff75f0.us-east-1.aws.found.io/app/kibana#/discover/Steve-Slow-Train-Analysis-(2080s-and-2083s)?_g=(refreshInterval:(display:Off,pause:!f,section:0,value:0),time:(from:'2017-09-01T12:27:19-0600',mode:absolute,to:'2017-09-01T14:55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5" s="194" t="str">
        <f>IF(AA185&lt;VLOOKUP(AG185,Variables!$AC$3:$AD$8,2,FALSE),"Y","N")</f>
        <v>N</v>
      </c>
      <c r="X185" s="194">
        <f t="shared" si="46"/>
        <v>1</v>
      </c>
      <c r="Y185" s="194">
        <f t="shared" si="47"/>
        <v>5.8625999999999996</v>
      </c>
      <c r="Z185" s="194">
        <f t="shared" si="48"/>
        <v>6.3500000000000001E-2</v>
      </c>
      <c r="AA185" s="194">
        <f t="shared" si="49"/>
        <v>5.7990999999999993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203">
        <f t="shared" si="50"/>
        <v>822</v>
      </c>
      <c r="AE185" s="77" t="str">
        <f t="shared" si="51"/>
        <v>aws s3 cp s3://rtdc.mdm.uploadarchive.raw/RTDC4055/ "%USERPROFILE%\AppData\Local\Temp\OnboardLogs"\RTDC4055\2017-09-01 --exclude "*" --recursive --include "*20170901*" &amp; "%USERPROFILE%\Documents\GitHub\mrs-test-scripts\Headless Mode &amp; Sideloading\WalkAndUnGZ.bat" "%USERPROFILE%\AppData\Local\Temp\OnboardLogs"\RTDC4055\2017-09-01 &amp; aws s3 cp s3://rtdc.mdm.uploadarchive.raw/RTDC4055/ "%USERPROFILE%\AppData\Local\Temp\OnboardLogs"\RTDC4055\2017-09-02 --exclude "*" --recursive --include "*20170902*" &amp; "%USERPROFILE%\Documents\GitHub\mrs-test-scripts\Headless Mode &amp; Sideloading\WalkAndUnGZ.bat" "%USERPROFILE%\AppData\Local\Temp\OnboardLogs"\RTDC4055\2017-09-02</v>
      </c>
      <c r="AF185" s="74" t="str">
        <f t="shared" si="52"/>
        <v>"C:\Program Files (x86)\AstroGrep\AstroGrep.exe" /e /r /s /spath="%USERPROFILE%\AppData\Local\Temp\OnboardLogs" /stypes="app*4055*20170901*" /stext=" 19:.+((SYSTEM_STATE.+slice.+state.+changed )|(ment ac)|(multiple cpu faults)|(system.+state.+changed )|(\[timeout)|(PRM\|1\|D)|(kpr)|(kdp)|(train st.+moving)|(\|lc)|(penalty))"</v>
      </c>
      <c r="AG185" s="206" t="str">
        <f t="shared" si="53"/>
        <v>NW</v>
      </c>
      <c r="AH185" s="78" t="str">
        <f t="shared" si="54"/>
        <v>"%USERPROFILE%\Documents\GitHub\eaglep3\Utilities\RefineRTDCRunTimes.py" --tripid 822-01 --locoid 4055 --swversion DE.1.0.9.0 --startMP 300:58626 --initTime 2017-09-01T13:27:19 --startdatetime 2017-09-01T13:40:58 --delay 101 --endMP 204:635 --enddatetime 2017-09-01T13:55:23 --enforcementcount 0 &gt;&gt;C:\Users\stu\Documents\GitHub\eaglep3-reporting\EC\2017-09-01-refined-times.txt</v>
      </c>
      <c r="AI185" s="96" t="str">
        <f t="shared" si="55"/>
        <v>echo {"issue":{"subject":"","project_id":79,"tracker_id":40,"status_id":1,"priority_id":2,"assigned_to_id":338,"start_date":"2017-09-01","description":"","custom_fields":[{"id":1,"name":"Subdivision","value":"NW"},{"id":4,"name":"Milepost","value":"0.0635"},{"id":17,"name":"Train ID","value":"822-01"},{"id":16,"name":"Locomotive ID","value":"4055"},{"id":130,"name":"Impact","value":""},{"id":150,"name":"Time of Event (Mountain Time)","value":"13:55:23"},{"id":151,"name":"Denver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5" s="47"/>
      <c r="AL185" s="47"/>
      <c r="AM185" s="142" t="str">
        <f t="shared" si="56"/>
        <v>start /low /b %USERPROFILE%\Documents\GitHub\eaglep3\Utilities\DownloadLogsFromS3.py --loco 4055 --day 2017-09-01</v>
      </c>
      <c r="AN185" s="151" t="str">
        <f t="shared" si="57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19:55:23"},{"id":29,"name":"Sharepoint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2" t="s">
        <v>736</v>
      </c>
      <c r="B186" s="7">
        <v>4056</v>
      </c>
      <c r="C186" s="21" t="s">
        <v>197</v>
      </c>
      <c r="D186" s="21" t="s">
        <v>941</v>
      </c>
      <c r="E186" s="13">
        <v>42979.581157407411</v>
      </c>
      <c r="F186" s="13">
        <v>42979.589837962965</v>
      </c>
      <c r="G186" s="7">
        <v>86</v>
      </c>
      <c r="H186" s="21" t="s">
        <v>571</v>
      </c>
      <c r="I186" s="13">
        <v>42979.599641203706</v>
      </c>
      <c r="J186" s="7">
        <v>0</v>
      </c>
      <c r="K186" s="89" t="str">
        <f t="shared" si="40"/>
        <v>4055/4056</v>
      </c>
      <c r="L186" s="214" t="str">
        <f>VLOOKUP(A186,'Trips&amp;Operators'!$C$1:$G$99911,5,FALSE)</f>
        <v>STORY SAMANTHA</v>
      </c>
      <c r="M186" s="6">
        <f t="shared" si="41"/>
        <v>9.8032407404389232E-3</v>
      </c>
      <c r="N186" s="7">
        <f t="shared" si="42"/>
        <v>14.116666666232049</v>
      </c>
      <c r="O186" s="7"/>
      <c r="P186" s="7"/>
      <c r="Q186" s="22"/>
      <c r="R186" s="167"/>
      <c r="S186" s="210">
        <f t="shared" si="43"/>
        <v>1</v>
      </c>
      <c r="T186" s="192" t="str">
        <f t="shared" si="44"/>
        <v>NorthBound</v>
      </c>
      <c r="U186" s="192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3" t="str">
        <f t="shared" si="45"/>
        <v>https://d0f6bd738d7f1b3e5a7ca70fe4ff75f0.us-east-1.aws.found.io/app/kibana#/discover/Steve-Slow-Train-Analysis-(2080s-and-2083s)?_g=(refreshInterval:(display:Off,pause:!f,section:0,value:0),time:(from:'2017-09-01T12:56:52-0600',mode:absolute,to:'2017-09-01T15:23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86" s="194" t="str">
        <f>IF(AA186&lt;VLOOKUP(AG186,Variables!$AC$3:$AD$8,2,FALSE),"Y","N")</f>
        <v>N</v>
      </c>
      <c r="X186" s="194">
        <f t="shared" si="46"/>
        <v>1</v>
      </c>
      <c r="Y186" s="194">
        <f t="shared" si="47"/>
        <v>9.3899999999999997E-2</v>
      </c>
      <c r="Z186" s="194">
        <f t="shared" si="48"/>
        <v>5.8954000000000004</v>
      </c>
      <c r="AA186" s="194">
        <f t="shared" si="49"/>
        <v>5.8015000000000008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203">
        <f t="shared" si="50"/>
        <v>823</v>
      </c>
      <c r="AE186" s="77" t="str">
        <f t="shared" si="51"/>
        <v>aws s3 cp s3://rtdc.mdm.uploadarchive.raw/RTDC4056/ "%USERPROFILE%\AppData\Local\Temp\OnboardLogs"\RTDC4056\2017-09-01 --exclude "*" --recursive --include "*20170901*" &amp; "%USERPROFILE%\Documents\GitHub\mrs-test-scripts\Headless Mode &amp; Sideloading\WalkAndUnGZ.bat" "%USERPROFILE%\AppData\Local\Temp\OnboardLogs"\RTDC4056\2017-09-01 &amp; aws s3 cp s3://rtdc.mdm.uploadarchive.raw/RTDC4056/ "%USERPROFILE%\AppData\Local\Temp\OnboardLogs"\RTDC4056\2017-09-02 --exclude "*" --recursive --include "*20170902*" &amp; "%USERPROFILE%\Documents\GitHub\mrs-test-scripts\Headless Mode &amp; Sideloading\WalkAndUnGZ.bat" "%USERPROFILE%\AppData\Local\Temp\OnboardLogs"\RTDC4056\2017-09-02</v>
      </c>
      <c r="AF186" s="74" t="str">
        <f t="shared" si="52"/>
        <v>"C:\Program Files (x86)\AstroGrep\AstroGrep.exe" /e /r /s /spath="%USERPROFILE%\AppData\Local\Temp\OnboardLogs" /stypes="app*4056*20170901*" /stext=" 20:.+((SYSTEM_STATE.+slice.+state.+changed )|(ment ac)|(multiple cpu faults)|(system.+state.+changed )|(\[timeout)|(PRM\|1\|D)|(kpr)|(kdp)|(train st.+moving)|(\|lc)|(penalty))"</v>
      </c>
      <c r="AG186" s="206" t="str">
        <f t="shared" si="53"/>
        <v>NW</v>
      </c>
      <c r="AH186" s="78" t="str">
        <f t="shared" si="54"/>
        <v>"%USERPROFILE%\Documents\GitHub\eaglep3\Utilities\RefineRTDCRunTimes.py" --tripid 823-01 --locoid 4056 --swversion DE.1.0.9.0 --startMP 204:939 --initTime 2017-09-01T13:56:52 --startdatetime 2017-09-01T14:09:22 --delay 86 --endMP 300:58954 --enddatetime 2017-09-01T14:23:29 --enforcementcount 0 &gt;&gt;C:\Users\stu\Documents\GitHub\eaglep3-reporting\EC\2017-09-01-refined-times.txt</v>
      </c>
      <c r="AI186" s="96" t="str">
        <f t="shared" si="55"/>
        <v>echo {"issue":{"subject":"","project_id":79,"tracker_id":40,"status_id":1,"priority_id":2,"assigned_to_id":338,"start_date":"2017-09-01","description":"","custom_fields":[{"id":1,"name":"Subdivision","value":"NW"},{"id":4,"name":"Milepost","value":"5.8954"},{"id":17,"name":"Train ID","value":"823-01"},{"id":16,"name":"Locomotive ID","value":"4056"},{"id":130,"name":"Impact","value":""},{"id":150,"name":"Time of Event (Mountain Time)","value":"14:23:29"},{"id":151,"name":"Denver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2" t="str">
        <f t="shared" si="56"/>
        <v>start /low /b %USERPROFILE%\Documents\GitHub\eaglep3\Utilities\DownloadLogsFromS3.py --loco 4056 --day 2017-09-01</v>
      </c>
      <c r="AN186" s="151" t="str">
        <f t="shared" si="57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20:23:29"},{"id":29,"name":"Sharepoint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</row>
    <row r="187" spans="1:91" x14ac:dyDescent="0.25">
      <c r="A187" s="32" t="s">
        <v>744</v>
      </c>
      <c r="B187" s="7">
        <v>4055</v>
      </c>
      <c r="C187" s="21" t="s">
        <v>197</v>
      </c>
      <c r="D187" s="21" t="s">
        <v>469</v>
      </c>
      <c r="E187" s="13">
        <v>42979.602129629631</v>
      </c>
      <c r="F187" s="13">
        <v>42979.611377314817</v>
      </c>
      <c r="G187" s="7">
        <v>166</v>
      </c>
      <c r="H187" s="21" t="s">
        <v>508</v>
      </c>
      <c r="I187" s="13">
        <v>42979.62164351852</v>
      </c>
      <c r="J187" s="7">
        <v>0</v>
      </c>
      <c r="K187" s="89" t="str">
        <f t="shared" si="40"/>
        <v>4055/4056</v>
      </c>
      <c r="L187" s="214" t="str">
        <f>VLOOKUP(A187,'Trips&amp;Operators'!$C$1:$G$99911,5,FALSE)</f>
        <v>STORY SAMANTHA</v>
      </c>
      <c r="M187" s="6">
        <f t="shared" si="41"/>
        <v>1.0266203702485655E-2</v>
      </c>
      <c r="N187" s="7">
        <f t="shared" si="42"/>
        <v>14.783333331579342</v>
      </c>
      <c r="O187" s="7"/>
      <c r="P187" s="7"/>
      <c r="Q187" s="22"/>
      <c r="R187" s="167"/>
      <c r="S187" s="210">
        <f t="shared" si="43"/>
        <v>1</v>
      </c>
      <c r="T187" s="192" t="str">
        <f t="shared" si="44"/>
        <v>Southbound</v>
      </c>
      <c r="U187" s="192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3" t="str">
        <f t="shared" si="45"/>
        <v>https://d0f6bd738d7f1b3e5a7ca70fe4ff75f0.us-east-1.aws.found.io/app/kibana#/discover/Steve-Slow-Train-Analysis-(2080s-and-2083s)?_g=(refreshInterval:(display:Off,pause:!f,section:0,value:0),time:(from:'2017-09-01T13:27:04-0600',mode:absolute,to:'2017-09-01T15:55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7" s="194" t="str">
        <f>IF(AA187&lt;VLOOKUP(AG187,Variables!$AC$3:$AD$8,2,FALSE),"Y","N")</f>
        <v>N</v>
      </c>
      <c r="X187" s="194">
        <f t="shared" si="46"/>
        <v>1</v>
      </c>
      <c r="Y187" s="194">
        <f t="shared" si="47"/>
        <v>5.8623000000000003</v>
      </c>
      <c r="Z187" s="194">
        <f t="shared" si="48"/>
        <v>6.6100000000000006E-2</v>
      </c>
      <c r="AA187" s="194">
        <f t="shared" si="49"/>
        <v>5.7962000000000007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203">
        <f t="shared" si="50"/>
        <v>824</v>
      </c>
      <c r="AE187" s="77" t="str">
        <f t="shared" si="51"/>
        <v>aws s3 cp s3://rtdc.mdm.uploadarchive.raw/RTDC4055/ "%USERPROFILE%\AppData\Local\Temp\OnboardLogs"\RTDC4055\2017-09-01 --exclude "*" --recursive --include "*20170901*" &amp; "%USERPROFILE%\Documents\GitHub\mrs-test-scripts\Headless Mode &amp; Sideloading\WalkAndUnGZ.bat" "%USERPROFILE%\AppData\Local\Temp\OnboardLogs"\RTDC4055\2017-09-01 &amp; aws s3 cp s3://rtdc.mdm.uploadarchive.raw/RTDC4055/ "%USERPROFILE%\AppData\Local\Temp\OnboardLogs"\RTDC4055\2017-09-02 --exclude "*" --recursive --include "*20170902*" &amp; "%USERPROFILE%\Documents\GitHub\mrs-test-scripts\Headless Mode &amp; Sideloading\WalkAndUnGZ.bat" "%USERPROFILE%\AppData\Local\Temp\OnboardLogs"\RTDC4055\2017-09-02</v>
      </c>
      <c r="AF187" s="74" t="str">
        <f t="shared" si="52"/>
        <v>"C:\Program Files (x86)\AstroGrep\AstroGrep.exe" /e /r /s /spath="%USERPROFILE%\AppData\Local\Temp\OnboardLogs" /stypes="app*4055*20170901*" /stext=" 20:.+((SYSTEM_STATE.+slice.+state.+changed )|(ment ac)|(multiple cpu faults)|(system.+state.+changed )|(\[timeout)|(PRM\|1\|D)|(kpr)|(kdp)|(train st.+moving)|(\|lc)|(penalty))"</v>
      </c>
      <c r="AG187" s="206" t="str">
        <f t="shared" si="53"/>
        <v>NW</v>
      </c>
      <c r="AH187" s="78" t="str">
        <f t="shared" si="54"/>
        <v>"%USERPROFILE%\Documents\GitHub\eaglep3\Utilities\RefineRTDCRunTimes.py" --tripid 824-01 --locoid 4055 --swversion DE.1.0.9.0 --startMP 300:58623 --initTime 2017-09-01T14:27:04 --startdatetime 2017-09-01T14:40:23 --delay 166 --endMP 204:661 --enddatetime 2017-09-01T14:55:10 --enforcementcount 0 &gt;&gt;C:\Users\stu\Documents\GitHub\eaglep3-reporting\EC\2017-09-01-refined-times.txt</v>
      </c>
      <c r="AI187" s="96" t="str">
        <f t="shared" si="55"/>
        <v>echo {"issue":{"subject":"","project_id":79,"tracker_id":40,"status_id":1,"priority_id":2,"assigned_to_id":338,"start_date":"2017-09-01","description":"","custom_fields":[{"id":1,"name":"Subdivision","value":"NW"},{"id":4,"name":"Milepost","value":"0.0661"},{"id":17,"name":"Train ID","value":"824-01"},{"id":16,"name":"Locomotive ID","value":"4055"},{"id":130,"name":"Impact","value":""},{"id":150,"name":"Time of Event (Mountain Time)","value":"14:55:10"},{"id":151,"name":"Denver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56"/>
        <v>start /low /b %USERPROFILE%\Documents\GitHub\eaglep3\Utilities\DownloadLogsFromS3.py --loco 4055 --day 2017-09-01</v>
      </c>
      <c r="AN187" s="151" t="str">
        <f t="shared" si="57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20:55:10"},{"id":29,"name":"Sharepoint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x14ac:dyDescent="0.25">
      <c r="A188" s="32" t="s">
        <v>749</v>
      </c>
      <c r="B188" s="7">
        <v>4056</v>
      </c>
      <c r="C188" s="21" t="s">
        <v>197</v>
      </c>
      <c r="D188" s="21" t="s">
        <v>942</v>
      </c>
      <c r="E188" s="13">
        <v>42979.62358796296</v>
      </c>
      <c r="F188" s="13">
        <v>42979.63177083333</v>
      </c>
      <c r="G188" s="7">
        <v>62</v>
      </c>
      <c r="H188" s="21" t="s">
        <v>928</v>
      </c>
      <c r="I188" s="13">
        <v>42979.641423611109</v>
      </c>
      <c r="J188" s="7">
        <v>0</v>
      </c>
      <c r="K188" s="89" t="str">
        <f t="shared" si="40"/>
        <v>4055/4056</v>
      </c>
      <c r="L188" s="214" t="str">
        <f>VLOOKUP(A188,'Trips&amp;Operators'!$C$1:$G$99911,5,FALSE)</f>
        <v>STORY SAMANTHA</v>
      </c>
      <c r="M188" s="6">
        <f t="shared" si="41"/>
        <v>9.6527777786832303E-3</v>
      </c>
      <c r="N188" s="7">
        <f t="shared" si="42"/>
        <v>13.900000001303852</v>
      </c>
      <c r="O188" s="7"/>
      <c r="P188" s="7"/>
      <c r="Q188" s="22"/>
      <c r="R188" s="167"/>
      <c r="S188" s="210">
        <f t="shared" si="43"/>
        <v>1</v>
      </c>
      <c r="T188" s="192" t="str">
        <f t="shared" si="44"/>
        <v>NorthBound</v>
      </c>
      <c r="U188" s="192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3" t="str">
        <f t="shared" si="45"/>
        <v>https://d0f6bd738d7f1b3e5a7ca70fe4ff75f0.us-east-1.aws.found.io/app/kibana#/discover/Steve-Slow-Train-Analysis-(2080s-and-2083s)?_g=(refreshInterval:(display:Off,pause:!f,section:0,value:0),time:(from:'2017-09-01T13:57:58-0600',mode:absolute,to:'2017-09-01T16:23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88" s="194" t="str">
        <f>IF(AA188&lt;VLOOKUP(AG188,Variables!$AC$3:$AD$8,2,FALSE),"Y","N")</f>
        <v>N</v>
      </c>
      <c r="X188" s="194">
        <f t="shared" si="46"/>
        <v>1</v>
      </c>
      <c r="Y188" s="194">
        <f t="shared" si="47"/>
        <v>9.4399999999999998E-2</v>
      </c>
      <c r="Z188" s="194">
        <f t="shared" si="48"/>
        <v>5.8930999999999996</v>
      </c>
      <c r="AA188" s="194">
        <f t="shared" si="49"/>
        <v>5.7986999999999993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203">
        <f t="shared" si="50"/>
        <v>825</v>
      </c>
      <c r="AE188" s="77" t="str">
        <f t="shared" si="51"/>
        <v>aws s3 cp s3://rtdc.mdm.uploadarchive.raw/RTDC4056/ "%USERPROFILE%\AppData\Local\Temp\OnboardLogs"\RTDC4056\2017-09-01 --exclude "*" --recursive --include "*20170901*" &amp; "%USERPROFILE%\Documents\GitHub\mrs-test-scripts\Headless Mode &amp; Sideloading\WalkAndUnGZ.bat" "%USERPROFILE%\AppData\Local\Temp\OnboardLogs"\RTDC4056\2017-09-01 &amp; aws s3 cp s3://rtdc.mdm.uploadarchive.raw/RTDC4056/ "%USERPROFILE%\AppData\Local\Temp\OnboardLogs"\RTDC4056\2017-09-02 --exclude "*" --recursive --include "*20170902*" &amp; "%USERPROFILE%\Documents\GitHub\mrs-test-scripts\Headless Mode &amp; Sideloading\WalkAndUnGZ.bat" "%USERPROFILE%\AppData\Local\Temp\OnboardLogs"\RTDC4056\2017-09-02</v>
      </c>
      <c r="AF188" s="74" t="str">
        <f t="shared" si="52"/>
        <v>"C:\Program Files (x86)\AstroGrep\AstroGrep.exe" /e /r /s /spath="%USERPROFILE%\AppData\Local\Temp\OnboardLogs" /stypes="app*4056*20170901*" /stext=" 21:.+((SYSTEM_STATE.+slice.+state.+changed )|(ment ac)|(multiple cpu faults)|(system.+state.+changed )|(\[timeout)|(PRM\|1\|D)|(kpr)|(kdp)|(train st.+moving)|(\|lc)|(penalty))"</v>
      </c>
      <c r="AG188" s="206" t="str">
        <f t="shared" si="53"/>
        <v>NW</v>
      </c>
      <c r="AH188" s="78" t="str">
        <f t="shared" si="54"/>
        <v>"%USERPROFILE%\Documents\GitHub\eaglep3\Utilities\RefineRTDCRunTimes.py" --tripid 825-01 --locoid 4056 --swversion DE.1.0.9.0 --startMP 204:944 --initTime 2017-09-01T14:57:58 --startdatetime 2017-09-01T15:09:45 --delay 62 --endMP 300:58931 --enddatetime 2017-09-01T15:23:39 --enforcementcount 0 &gt;&gt;C:\Users\stu\Documents\GitHub\eaglep3-reporting\EC\2017-09-01-refined-times.txt</v>
      </c>
      <c r="AI188" s="96" t="str">
        <f t="shared" si="55"/>
        <v>echo {"issue":{"subject":"","project_id":79,"tracker_id":40,"status_id":1,"priority_id":2,"assigned_to_id":338,"start_date":"2017-09-01","description":"","custom_fields":[{"id":1,"name":"Subdivision","value":"NW"},{"id":4,"name":"Milepost","value":"5.8931"},{"id":17,"name":"Train ID","value":"825-01"},{"id":16,"name":"Locomotive ID","value":"4056"},{"id":130,"name":"Impact","value":""},{"id":150,"name":"Time of Event (Mountain Time)","value":"15:23:39"},{"id":151,"name":"Denver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56"/>
        <v>start /low /b %USERPROFILE%\Documents\GitHub\eaglep3\Utilities\DownloadLogsFromS3.py --loco 4056 --day 2017-09-01</v>
      </c>
      <c r="AN188" s="151" t="str">
        <f t="shared" si="57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21:23:39"},{"id":29,"name":"Sharepoint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x14ac:dyDescent="0.25">
      <c r="A189" s="32" t="s">
        <v>604</v>
      </c>
      <c r="B189" s="7">
        <v>4055</v>
      </c>
      <c r="C189" s="21" t="s">
        <v>197</v>
      </c>
      <c r="D189" s="21" t="s">
        <v>474</v>
      </c>
      <c r="E189" s="13">
        <v>42979.651018518518</v>
      </c>
      <c r="F189" s="13">
        <v>42979.653263888889</v>
      </c>
      <c r="G189" s="7">
        <v>109</v>
      </c>
      <c r="H189" s="21" t="s">
        <v>943</v>
      </c>
      <c r="I189" s="13">
        <v>42979.663344907407</v>
      </c>
      <c r="J189" s="7">
        <v>0</v>
      </c>
      <c r="K189" s="89" t="str">
        <f t="shared" si="40"/>
        <v>4055/4056</v>
      </c>
      <c r="L189" s="214" t="str">
        <f>VLOOKUP(A189,'Trips&amp;Operators'!$C$1:$G$99911,5,FALSE)</f>
        <v>STORY SAMANTHA</v>
      </c>
      <c r="M189" s="6">
        <f t="shared" si="41"/>
        <v>1.0081018517666962E-2</v>
      </c>
      <c r="N189" s="7">
        <f t="shared" si="42"/>
        <v>14.516666665440425</v>
      </c>
      <c r="O189" s="7"/>
      <c r="P189" s="7"/>
      <c r="Q189" s="22"/>
      <c r="R189" s="167"/>
      <c r="S189" s="210">
        <f t="shared" si="43"/>
        <v>1</v>
      </c>
      <c r="T189" s="192" t="str">
        <f t="shared" si="44"/>
        <v>Southbound</v>
      </c>
      <c r="U189" s="192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3" t="str">
        <f t="shared" si="45"/>
        <v>https://d0f6bd738d7f1b3e5a7ca70fe4ff75f0.us-east-1.aws.found.io/app/kibana#/discover/Steve-Slow-Train-Analysis-(2080s-and-2083s)?_g=(refreshInterval:(display:Off,pause:!f,section:0,value:0),time:(from:'2017-09-01T14:37:28-0600',mode:absolute,to:'2017-09-01T16:55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9" s="194" t="str">
        <f>IF(AA189&lt;VLOOKUP(AG189,Variables!$AC$3:$AD$8,2,FALSE),"Y","N")</f>
        <v>N</v>
      </c>
      <c r="X189" s="194">
        <f t="shared" si="46"/>
        <v>1</v>
      </c>
      <c r="Y189" s="194">
        <f t="shared" si="47"/>
        <v>5.8616999999999999</v>
      </c>
      <c r="Z189" s="194">
        <f t="shared" si="48"/>
        <v>6.0999999999999999E-2</v>
      </c>
      <c r="AA189" s="194">
        <f t="shared" si="49"/>
        <v>5.8007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203">
        <f t="shared" si="50"/>
        <v>826</v>
      </c>
      <c r="AE189" s="77" t="str">
        <f t="shared" si="51"/>
        <v>aws s3 cp s3://rtdc.mdm.uploadarchive.raw/RTDC4055/ "%USERPROFILE%\AppData\Local\Temp\OnboardLogs"\RTDC4055\2017-09-01 --exclude "*" --recursive --include "*20170901*" &amp; "%USERPROFILE%\Documents\GitHub\mrs-test-scripts\Headless Mode &amp; Sideloading\WalkAndUnGZ.bat" "%USERPROFILE%\AppData\Local\Temp\OnboardLogs"\RTDC4055\2017-09-01 &amp; aws s3 cp s3://rtdc.mdm.uploadarchive.raw/RTDC4055/ "%USERPROFILE%\AppData\Local\Temp\OnboardLogs"\RTDC4055\2017-09-02 --exclude "*" --recursive --include "*20170902*" &amp; "%USERPROFILE%\Documents\GitHub\mrs-test-scripts\Headless Mode &amp; Sideloading\WalkAndUnGZ.bat" "%USERPROFILE%\AppData\Local\Temp\OnboardLogs"\RTDC4055\2017-09-02</v>
      </c>
      <c r="AF189" s="74" t="str">
        <f t="shared" si="52"/>
        <v>"C:\Program Files (x86)\AstroGrep\AstroGrep.exe" /e /r /s /spath="%USERPROFILE%\AppData\Local\Temp\OnboardLogs" /stypes="app*4055*20170901*" /stext=" 21:.+((SYSTEM_STATE.+slice.+state.+changed )|(ment ac)|(multiple cpu faults)|(system.+state.+changed )|(\[timeout)|(PRM\|1\|D)|(kpr)|(kdp)|(train st.+moving)|(\|lc)|(penalty))"</v>
      </c>
      <c r="AG189" s="206" t="str">
        <f t="shared" si="53"/>
        <v>NW</v>
      </c>
      <c r="AH189" s="78" t="str">
        <f t="shared" si="54"/>
        <v>"%USERPROFILE%\Documents\GitHub\eaglep3\Utilities\RefineRTDCRunTimes.py" --tripid 826-01 --locoid 4055 --swversion DE.1.0.9.0 --startMP 300:58617 --initTime 2017-09-01T15:37:28 --startdatetime 2017-09-01T15:40:42 --delay 109 --endMP 204:610 --enddatetime 2017-09-01T15:55:13 --enforcementcount 0 &gt;&gt;C:\Users\stu\Documents\GitHub\eaglep3-reporting\EC\2017-09-01-refined-times.txt</v>
      </c>
      <c r="AI189" s="96" t="str">
        <f t="shared" si="55"/>
        <v>echo {"issue":{"subject":"","project_id":79,"tracker_id":40,"status_id":1,"priority_id":2,"assigned_to_id":338,"start_date":"2017-09-01","description":"","custom_fields":[{"id":1,"name":"Subdivision","value":"NW"},{"id":4,"name":"Milepost","value":"0.061"},{"id":17,"name":"Train ID","value":"826-01"},{"id":16,"name":"Locomotive ID","value":"4055"},{"id":130,"name":"Impact","value":""},{"id":150,"name":"Time of Event (Mountain Time)","value":"15:55:13"},{"id":151,"name":"Denver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56"/>
        <v>start /low /b %USERPROFILE%\Documents\GitHub\eaglep3\Utilities\DownloadLogsFromS3.py --loco 4055 --day 2017-09-01</v>
      </c>
      <c r="AN189" s="151" t="str">
        <f t="shared" si="57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21:55:13"},{"id":29,"name":"Sharepoint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x14ac:dyDescent="0.25">
      <c r="A190" s="32" t="s">
        <v>755</v>
      </c>
      <c r="B190" s="7">
        <v>4044</v>
      </c>
      <c r="C190" s="21" t="s">
        <v>197</v>
      </c>
      <c r="D190" s="21" t="s">
        <v>944</v>
      </c>
      <c r="E190" s="13">
        <v>42979.64912037037</v>
      </c>
      <c r="F190" s="13">
        <v>42979.652395833335</v>
      </c>
      <c r="G190" s="7">
        <v>88</v>
      </c>
      <c r="H190" s="21" t="s">
        <v>945</v>
      </c>
      <c r="I190" s="13">
        <v>42979.663981481484</v>
      </c>
      <c r="J190" s="7">
        <v>0</v>
      </c>
      <c r="K190" s="89" t="str">
        <f t="shared" si="40"/>
        <v>4043/4044</v>
      </c>
      <c r="L190" s="214" t="str">
        <f>VLOOKUP(A190,'Trips&amp;Operators'!$C$1:$G$99911,5,FALSE)</f>
        <v>GUNTHIER ERIC</v>
      </c>
      <c r="M190" s="6">
        <f t="shared" si="41"/>
        <v>1.1585648149775807E-2</v>
      </c>
      <c r="N190" s="7">
        <f t="shared" si="42"/>
        <v>16.683333335677162</v>
      </c>
      <c r="O190" s="7"/>
      <c r="P190" s="7"/>
      <c r="Q190" s="22"/>
      <c r="R190" s="167"/>
      <c r="S190" s="210">
        <f t="shared" si="43"/>
        <v>1</v>
      </c>
      <c r="T190" s="192" t="str">
        <f t="shared" si="44"/>
        <v>NorthBound</v>
      </c>
      <c r="U190" s="192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3" t="str">
        <f t="shared" si="45"/>
        <v>https://d0f6bd738d7f1b3e5a7ca70fe4ff75f0.us-east-1.aws.found.io/app/kibana#/discover/Steve-Slow-Train-Analysis-(2080s-and-2083s)?_g=(refreshInterval:(display:Off,pause:!f,section:0,value:0),time:(from:'2017-09-01T14:34:44-0600',mode:absolute,to:'2017-09-01T16:56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0" s="194" t="str">
        <f>IF(AA190&lt;VLOOKUP(AG190,Variables!$AC$3:$AD$8,2,FALSE),"Y","N")</f>
        <v>N</v>
      </c>
      <c r="X190" s="194">
        <f t="shared" si="46"/>
        <v>1</v>
      </c>
      <c r="Y190" s="194">
        <f t="shared" si="47"/>
        <v>9.7900000000000001E-2</v>
      </c>
      <c r="Z190" s="194">
        <f t="shared" si="48"/>
        <v>5.8933</v>
      </c>
      <c r="AA190" s="194">
        <f t="shared" si="49"/>
        <v>5.7953999999999999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203">
        <f t="shared" si="50"/>
        <v>827</v>
      </c>
      <c r="AE190" s="77" t="str">
        <f t="shared" si="51"/>
        <v>aws s3 cp s3://rtdc.mdm.uploadarchive.raw/RTDC4044/ "%USERPROFILE%\AppData\Local\Temp\OnboardLogs"\RTDC4044\2017-09-01 --exclude "*" --recursive --include "*20170901*" &amp; "%USERPROFILE%\Documents\GitHub\mrs-test-scripts\Headless Mode &amp; Sideloading\WalkAndUnGZ.bat" "%USERPROFILE%\AppData\Local\Temp\OnboardLogs"\RTDC4044\2017-09-01 &amp; aws s3 cp s3://rtdc.mdm.uploadarchive.raw/RTDC4044/ "%USERPROFILE%\AppData\Local\Temp\OnboardLogs"\RTDC4044\2017-09-02 --exclude "*" --recursive --include "*20170902*" &amp; "%USERPROFILE%\Documents\GitHub\mrs-test-scripts\Headless Mode &amp; Sideloading\WalkAndUnGZ.bat" "%USERPROFILE%\AppData\Local\Temp\OnboardLogs"\RTDC4044\2017-09-02</v>
      </c>
      <c r="AF190" s="74" t="str">
        <f t="shared" si="52"/>
        <v>"C:\Program Files (x86)\AstroGrep\AstroGrep.exe" /e /r /s /spath="%USERPROFILE%\AppData\Local\Temp\OnboardLogs" /stypes="app*4044*20170901*" /stext=" 21:.+((SYSTEM_STATE.+slice.+state.+changed )|(ment ac)|(multiple cpu faults)|(system.+state.+changed )|(\[timeout)|(PRM\|1\|D)|(kpr)|(kdp)|(train st.+moving)|(\|lc)|(penalty))"</v>
      </c>
      <c r="AG190" s="206" t="str">
        <f t="shared" si="53"/>
        <v>NW</v>
      </c>
      <c r="AH190" s="78" t="str">
        <f t="shared" si="54"/>
        <v>"%USERPROFILE%\Documents\GitHub\eaglep3\Utilities\RefineRTDCRunTimes.py" --tripid 827-01 --locoid 4044 --swversion DE.1.0.9.0 --startMP 204:979 --initTime 2017-09-01T15:34:44 --startdatetime 2017-09-01T15:39:27 --delay 88 --endMP 300:58933 --enddatetime 2017-09-01T15:56:08 --enforcementcount 0 &gt;&gt;C:\Users\stu\Documents\GitHub\eaglep3-reporting\EC\2017-09-01-refined-times.txt</v>
      </c>
      <c r="AI190" s="96" t="str">
        <f t="shared" si="55"/>
        <v>echo {"issue":{"subject":"","project_id":79,"tracker_id":40,"status_id":1,"priority_id":2,"assigned_to_id":338,"start_date":"2017-09-01","description":"","custom_fields":[{"id":1,"name":"Subdivision","value":"NW"},{"id":4,"name":"Milepost","value":"5.8933"},{"id":17,"name":"Train ID","value":"827-01"},{"id":16,"name":"Locomotive ID","value":"4044"},{"id":130,"name":"Impact","value":""},{"id":150,"name":"Time of Event (Mountain Time)","value":"15:56:08"},{"id":151,"name":"Denver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56"/>
        <v>start /low /b %USERPROFILE%\Documents\GitHub\eaglep3\Utilities\DownloadLogsFromS3.py --loco 4044 --day 2017-09-01</v>
      </c>
      <c r="AN190" s="151" t="str">
        <f t="shared" si="57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21:56:08"},{"id":29,"name":"Sharepoint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x14ac:dyDescent="0.25">
      <c r="A191" s="32" t="s">
        <v>760</v>
      </c>
      <c r="B191" s="7">
        <v>4043</v>
      </c>
      <c r="C191" s="21" t="s">
        <v>197</v>
      </c>
      <c r="D191" s="21" t="s">
        <v>946</v>
      </c>
      <c r="E191" s="13">
        <v>42979.671041666668</v>
      </c>
      <c r="F191" s="13">
        <v>42979.673055555555</v>
      </c>
      <c r="G191" s="7">
        <v>60</v>
      </c>
      <c r="H191" s="21" t="s">
        <v>939</v>
      </c>
      <c r="I191" s="13">
        <v>42979.684374999997</v>
      </c>
      <c r="J191" s="7">
        <v>0</v>
      </c>
      <c r="K191" s="89" t="str">
        <f t="shared" si="40"/>
        <v>4043/4044</v>
      </c>
      <c r="L191" s="214" t="str">
        <f>VLOOKUP(A191,'Trips&amp;Operators'!$C$1:$G$99911,5,FALSE)</f>
        <v>GUNTHIER ERIC</v>
      </c>
      <c r="M191" s="6">
        <f t="shared" si="41"/>
        <v>1.1319444442051463E-2</v>
      </c>
      <c r="N191" s="7">
        <f t="shared" si="42"/>
        <v>16.299999996554106</v>
      </c>
      <c r="O191" s="7"/>
      <c r="P191" s="7"/>
      <c r="Q191" s="22"/>
      <c r="R191" s="167"/>
      <c r="S191" s="210">
        <f t="shared" si="43"/>
        <v>1</v>
      </c>
      <c r="T191" s="192" t="str">
        <f t="shared" si="44"/>
        <v>Southbound</v>
      </c>
      <c r="U191" s="192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3" t="str">
        <f t="shared" si="45"/>
        <v>https://d0f6bd738d7f1b3e5a7ca70fe4ff75f0.us-east-1.aws.found.io/app/kibana#/discover/Steve-Slow-Train-Analysis-(2080s-and-2083s)?_g=(refreshInterval:(display:Off,pause:!f,section:0,value:0),time:(from:'2017-09-01T15:06:18-0600',mode:absolute,to:'2017-09-01T17:25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1" s="194" t="str">
        <f>IF(AA191&lt;VLOOKUP(AG191,Variables!$AC$3:$AD$8,2,FALSE),"Y","N")</f>
        <v>N</v>
      </c>
      <c r="X191" s="194">
        <f t="shared" si="46"/>
        <v>1</v>
      </c>
      <c r="Y191" s="194">
        <f t="shared" si="47"/>
        <v>5.8615000000000004</v>
      </c>
      <c r="Z191" s="194">
        <f t="shared" si="48"/>
        <v>6.9599999999999995E-2</v>
      </c>
      <c r="AA191" s="194">
        <f t="shared" si="49"/>
        <v>5.7919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203">
        <f t="shared" si="50"/>
        <v>828</v>
      </c>
      <c r="AE191" s="77" t="str">
        <f t="shared" si="51"/>
        <v>aws s3 cp s3://rtdc.mdm.uploadarchive.raw/RTDC4043/ "%USERPROFILE%\AppData\Local\Temp\OnboardLogs"\RTDC4043\2017-09-01 --exclude "*" --recursive --include "*20170901*" &amp; "%USERPROFILE%\Documents\GitHub\mrs-test-scripts\Headless Mode &amp; Sideloading\WalkAndUnGZ.bat" "%USERPROFILE%\AppData\Local\Temp\OnboardLogs"\RTDC4043\2017-09-01 &amp; aws s3 cp s3://rtdc.mdm.uploadarchive.raw/RTDC4043/ "%USERPROFILE%\AppData\Local\Temp\OnboardLogs"\RTDC4043\2017-09-02 --exclude "*" --recursive --include "*20170902*" &amp; "%USERPROFILE%\Documents\GitHub\mrs-test-scripts\Headless Mode &amp; Sideloading\WalkAndUnGZ.bat" "%USERPROFILE%\AppData\Local\Temp\OnboardLogs"\RTDC4043\2017-09-02</v>
      </c>
      <c r="AF191" s="74" t="str">
        <f t="shared" si="52"/>
        <v>"C:\Program Files (x86)\AstroGrep\AstroGrep.exe" /e /r /s /spath="%USERPROFILE%\AppData\Local\Temp\OnboardLogs" /stypes="app*4043*20170901*" /stext=" 22:.+((SYSTEM_STATE.+slice.+state.+changed )|(ment ac)|(multiple cpu faults)|(system.+state.+changed )|(\[timeout)|(PRM\|1\|D)|(kpr)|(kdp)|(train st.+moving)|(\|lc)|(penalty))"</v>
      </c>
      <c r="AG191" s="206" t="str">
        <f t="shared" si="53"/>
        <v>NW</v>
      </c>
      <c r="AH191" s="78" t="str">
        <f t="shared" si="54"/>
        <v>"%USERPROFILE%\Documents\GitHub\eaglep3\Utilities\RefineRTDCRunTimes.py" --tripid 828-01 --locoid 4043 --swversion DE.1.0.9.0 --startMP 300:58615 --initTime 2017-09-01T16:06:18 --startdatetime 2017-09-01T16:09:12 --delay 60 --endMP 204:696 --enddatetime 2017-09-01T16:25:30 --enforcementcount 0 &gt;&gt;C:\Users\stu\Documents\GitHub\eaglep3-reporting\EC\2017-09-01-refined-times.txt</v>
      </c>
      <c r="AI191" s="96" t="str">
        <f t="shared" si="55"/>
        <v>echo {"issue":{"subject":"","project_id":79,"tracker_id":40,"status_id":1,"priority_id":2,"assigned_to_id":338,"start_date":"2017-09-01","description":"","custom_fields":[{"id":1,"name":"Subdivision","value":"NW"},{"id":4,"name":"Milepost","value":"0.0696"},{"id":17,"name":"Train ID","value":"828-01"},{"id":16,"name":"Locomotive ID","value":"4043"},{"id":130,"name":"Impact","value":""},{"id":150,"name":"Time of Event (Mountain Time)","value":"16:25:30"},{"id":151,"name":"Denver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56"/>
        <v>start /low /b %USERPROFILE%\Documents\GitHub\eaglep3\Utilities\DownloadLogsFromS3.py --loco 4043 --day 2017-09-01</v>
      </c>
      <c r="AN191" s="151" t="str">
        <f t="shared" si="57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22:25:30"},{"id":29,"name":"Sharepoint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x14ac:dyDescent="0.25">
      <c r="A192" s="32" t="s">
        <v>758</v>
      </c>
      <c r="B192" s="7">
        <v>4056</v>
      </c>
      <c r="C192" s="21" t="s">
        <v>197</v>
      </c>
      <c r="D192" s="21" t="s">
        <v>947</v>
      </c>
      <c r="E192" s="13">
        <v>42979.664340277777</v>
      </c>
      <c r="F192" s="13">
        <v>42979.673113425924</v>
      </c>
      <c r="G192" s="7">
        <v>50</v>
      </c>
      <c r="H192" s="21" t="s">
        <v>500</v>
      </c>
      <c r="I192" s="13">
        <v>42979.683680555558</v>
      </c>
      <c r="J192" s="7">
        <v>0</v>
      </c>
      <c r="K192" s="89" t="str">
        <f t="shared" si="40"/>
        <v>4055/4056</v>
      </c>
      <c r="L192" s="214" t="str">
        <f>VLOOKUP(A192,'Trips&amp;Operators'!$C$1:$G$99911,5,FALSE)</f>
        <v>STORY SAMANTHA</v>
      </c>
      <c r="M192" s="6">
        <f t="shared" si="41"/>
        <v>1.0567129633272998E-2</v>
      </c>
      <c r="N192" s="7">
        <f t="shared" si="42"/>
        <v>15.216666671913117</v>
      </c>
      <c r="O192" s="7"/>
      <c r="P192" s="7"/>
      <c r="Q192" s="22"/>
      <c r="R192" s="167"/>
      <c r="S192" s="210">
        <f t="shared" si="43"/>
        <v>1</v>
      </c>
      <c r="T192" s="192" t="str">
        <f t="shared" si="44"/>
        <v>NorthBound</v>
      </c>
      <c r="U192" s="192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3" t="str">
        <f t="shared" si="45"/>
        <v>https://d0f6bd738d7f1b3e5a7ca70fe4ff75f0.us-east-1.aws.found.io/app/kibana#/discover/Steve-Slow-Train-Analysis-(2080s-and-2083s)?_g=(refreshInterval:(display:Off,pause:!f,section:0,value:0),time:(from:'2017-09-01T14:56:39-0600',mode:absolute,to:'2017-09-01T17:24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2" s="194" t="str">
        <f>IF(AA192&lt;VLOOKUP(AG192,Variables!$AC$3:$AD$8,2,FALSE),"Y","N")</f>
        <v>N</v>
      </c>
      <c r="X192" s="194">
        <f t="shared" si="46"/>
        <v>1</v>
      </c>
      <c r="Y192" s="194">
        <f t="shared" si="47"/>
        <v>8.8300000000000003E-2</v>
      </c>
      <c r="Z192" s="194">
        <f t="shared" si="48"/>
        <v>5.8943000000000003</v>
      </c>
      <c r="AA192" s="194">
        <f t="shared" si="49"/>
        <v>5.806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203">
        <f t="shared" si="50"/>
        <v>829</v>
      </c>
      <c r="AE192" s="77" t="str">
        <f t="shared" si="51"/>
        <v>aws s3 cp s3://rtdc.mdm.uploadarchive.raw/RTDC4056/ "%USERPROFILE%\AppData\Local\Temp\OnboardLogs"\RTDC4056\2017-09-01 --exclude "*" --recursive --include "*20170901*" &amp; "%USERPROFILE%\Documents\GitHub\mrs-test-scripts\Headless Mode &amp; Sideloading\WalkAndUnGZ.bat" "%USERPROFILE%\AppData\Local\Temp\OnboardLogs"\RTDC4056\2017-09-01 &amp; aws s3 cp s3://rtdc.mdm.uploadarchive.raw/RTDC4056/ "%USERPROFILE%\AppData\Local\Temp\OnboardLogs"\RTDC4056\2017-09-02 --exclude "*" --recursive --include "*20170902*" &amp; "%USERPROFILE%\Documents\GitHub\mrs-test-scripts\Headless Mode &amp; Sideloading\WalkAndUnGZ.bat" "%USERPROFILE%\AppData\Local\Temp\OnboardLogs"\RTDC4056\2017-09-02</v>
      </c>
      <c r="AF192" s="74" t="str">
        <f t="shared" si="52"/>
        <v>"C:\Program Files (x86)\AstroGrep\AstroGrep.exe" /e /r /s /spath="%USERPROFILE%\AppData\Local\Temp\OnboardLogs" /stypes="app*4056*20170901*" /stext=" 22:.+((SYSTEM_STATE.+slice.+state.+changed )|(ment ac)|(multiple cpu faults)|(system.+state.+changed )|(\[timeout)|(PRM\|1\|D)|(kpr)|(kdp)|(train st.+moving)|(\|lc)|(penalty))"</v>
      </c>
      <c r="AG192" s="206" t="str">
        <f t="shared" si="53"/>
        <v>NW</v>
      </c>
      <c r="AH192" s="78" t="str">
        <f t="shared" si="54"/>
        <v>"%USERPROFILE%\Documents\GitHub\eaglep3\Utilities\RefineRTDCRunTimes.py" --tripid 829-01 --locoid 4056 --swversion DE.1.0.9.0 --startMP 204:883 --initTime 2017-09-01T15:56:39 --startdatetime 2017-09-01T16:09:17 --delay 50 --endMP 300:58943 --enddatetime 2017-09-01T16:24:30 --enforcementcount 0 &gt;&gt;C:\Users\stu\Documents\GitHub\eaglep3-reporting\EC\2017-09-01-refined-times.txt</v>
      </c>
      <c r="AI192" s="96" t="str">
        <f t="shared" si="55"/>
        <v>echo {"issue":{"subject":"","project_id":79,"tracker_id":40,"status_id":1,"priority_id":2,"assigned_to_id":338,"start_date":"2017-09-01","description":"","custom_fields":[{"id":1,"name":"Subdivision","value":"NW"},{"id":4,"name":"Milepost","value":"5.8943"},{"id":17,"name":"Train ID","value":"829-01"},{"id":16,"name":"Locomotive ID","value":"4056"},{"id":130,"name":"Impact","value":""},{"id":150,"name":"Time of Event (Mountain Time)","value":"16:24:30"},{"id":151,"name":"Denver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56"/>
        <v>start /low /b %USERPROFILE%\Documents\GitHub\eaglep3\Utilities\DownloadLogsFromS3.py --loco 4056 --day 2017-09-01</v>
      </c>
      <c r="AN192" s="151" t="str">
        <f t="shared" si="57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22:24:30"},{"id":29,"name":"Sharepoint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x14ac:dyDescent="0.25">
      <c r="A193" s="32" t="s">
        <v>764</v>
      </c>
      <c r="B193" s="7">
        <v>4055</v>
      </c>
      <c r="C193" s="21" t="s">
        <v>197</v>
      </c>
      <c r="D193" s="21" t="s">
        <v>946</v>
      </c>
      <c r="E193" s="13">
        <v>42979.684444444443</v>
      </c>
      <c r="F193" s="13">
        <v>42979.695254629631</v>
      </c>
      <c r="G193" s="7">
        <v>62</v>
      </c>
      <c r="H193" s="21" t="s">
        <v>948</v>
      </c>
      <c r="I193" s="13">
        <v>42979.705138888887</v>
      </c>
      <c r="J193" s="7">
        <v>0</v>
      </c>
      <c r="K193" s="89" t="str">
        <f t="shared" si="40"/>
        <v>4055/4056</v>
      </c>
      <c r="L193" s="214" t="str">
        <f>VLOOKUP(A193,'Trips&amp;Operators'!$C$1:$G$99911,5,FALSE)</f>
        <v>STORY SAMANTHA</v>
      </c>
      <c r="M193" s="6">
        <f t="shared" si="41"/>
        <v>9.8842592560686171E-3</v>
      </c>
      <c r="N193" s="7">
        <f t="shared" si="42"/>
        <v>14.233333328738809</v>
      </c>
      <c r="O193" s="7"/>
      <c r="P193" s="7"/>
      <c r="Q193" s="22"/>
      <c r="R193" s="167"/>
      <c r="S193" s="210">
        <f t="shared" si="43"/>
        <v>1</v>
      </c>
      <c r="T193" s="192" t="str">
        <f t="shared" si="44"/>
        <v>Southbound</v>
      </c>
      <c r="U193" s="192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3" t="str">
        <f t="shared" si="45"/>
        <v>https://d0f6bd738d7f1b3e5a7ca70fe4ff75f0.us-east-1.aws.found.io/app/kibana#/discover/Steve-Slow-Train-Analysis-(2080s-and-2083s)?_g=(refreshInterval:(display:Off,pause:!f,section:0,value:0),time:(from:'2017-09-01T15:25:36-0600',mode:absolute,to:'2017-09-01T17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93" s="194" t="str">
        <f>IF(AA193&lt;VLOOKUP(AG193,Variables!$AC$3:$AD$8,2,FALSE),"Y","N")</f>
        <v>N</v>
      </c>
      <c r="X193" s="194">
        <f t="shared" si="46"/>
        <v>1</v>
      </c>
      <c r="Y193" s="194">
        <f t="shared" si="47"/>
        <v>5.8615000000000004</v>
      </c>
      <c r="Z193" s="194">
        <f t="shared" si="48"/>
        <v>6.9400000000000003E-2</v>
      </c>
      <c r="AA193" s="194">
        <f t="shared" si="49"/>
        <v>5.7921000000000005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203">
        <f t="shared" si="50"/>
        <v>830</v>
      </c>
      <c r="AE193" s="77" t="str">
        <f t="shared" si="51"/>
        <v>aws s3 cp s3://rtdc.mdm.uploadarchive.raw/RTDC4055/ "%USERPROFILE%\AppData\Local\Temp\OnboardLogs"\RTDC4055\2017-09-01 --exclude "*" --recursive --include "*20170901*" &amp; "%USERPROFILE%\Documents\GitHub\mrs-test-scripts\Headless Mode &amp; Sideloading\WalkAndUnGZ.bat" "%USERPROFILE%\AppData\Local\Temp\OnboardLogs"\RTDC4055\2017-09-01 &amp; aws s3 cp s3://rtdc.mdm.uploadarchive.raw/RTDC4055/ "%USERPROFILE%\AppData\Local\Temp\OnboardLogs"\RTDC4055\2017-09-02 --exclude "*" --recursive --include "*20170902*" &amp; "%USERPROFILE%\Documents\GitHub\mrs-test-scripts\Headless Mode &amp; Sideloading\WalkAndUnGZ.bat" "%USERPROFILE%\AppData\Local\Temp\OnboardLogs"\RTDC4055\2017-09-02</v>
      </c>
      <c r="AF193" s="74" t="str">
        <f t="shared" si="52"/>
        <v>"C:\Program Files (x86)\AstroGrep\AstroGrep.exe" /e /r /s /spath="%USERPROFILE%\AppData\Local\Temp\OnboardLogs" /stypes="app*4055*20170901*" /stext=" 22:.+((SYSTEM_STATE.+slice.+state.+changed )|(ment ac)|(multiple cpu faults)|(system.+state.+changed )|(\[timeout)|(PRM\|1\|D)|(kpr)|(kdp)|(train st.+moving)|(\|lc)|(penalty))"</v>
      </c>
      <c r="AG193" s="206" t="str">
        <f t="shared" si="53"/>
        <v>NW</v>
      </c>
      <c r="AH193" s="78" t="str">
        <f t="shared" si="54"/>
        <v>"%USERPROFILE%\Documents\GitHub\eaglep3\Utilities\RefineRTDCRunTimes.py" --tripid 830-01 --locoid 4055 --swversion DE.1.0.9.0 --startMP 300:58615 --initTime 2017-09-01T16:25:36 --startdatetime 2017-09-01T16:41:10 --delay 62 --endMP 204:694 --enddatetime 2017-09-01T16:55:24 --enforcementcount 0 &gt;&gt;C:\Users\stu\Documents\GitHub\eaglep3-reporting\EC\2017-09-01-refined-times.txt</v>
      </c>
      <c r="AI193" s="96" t="str">
        <f t="shared" si="55"/>
        <v>echo {"issue":{"subject":"","project_id":79,"tracker_id":40,"status_id":1,"priority_id":2,"assigned_to_id":338,"start_date":"2017-09-01","description":"","custom_fields":[{"id":1,"name":"Subdivision","value":"NW"},{"id":4,"name":"Milepost","value":"0.0694"},{"id":17,"name":"Train ID","value":"830-01"},{"id":16,"name":"Locomotive ID","value":"4055"},{"id":130,"name":"Impact","value":""},{"id":150,"name":"Time of Event (Mountain Time)","value":"16:55:24"},{"id":151,"name":"Denver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56"/>
        <v>start /low /b %USERPROFILE%\Documents\GitHub\eaglep3\Utilities\DownloadLogsFromS3.py --loco 4055 --day 2017-09-01</v>
      </c>
      <c r="AN193" s="151" t="str">
        <f t="shared" si="57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22:55:24"},{"id":29,"name":"Sharepoint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x14ac:dyDescent="0.25">
      <c r="A194" s="32" t="s">
        <v>606</v>
      </c>
      <c r="B194" s="7">
        <v>4044</v>
      </c>
      <c r="C194" s="21" t="s">
        <v>197</v>
      </c>
      <c r="D194" s="21" t="s">
        <v>922</v>
      </c>
      <c r="E194" s="13">
        <v>42979.689872685187</v>
      </c>
      <c r="F194" s="13">
        <v>42979.694398148145</v>
      </c>
      <c r="G194" s="7">
        <v>56</v>
      </c>
      <c r="H194" s="21" t="s">
        <v>945</v>
      </c>
      <c r="I194" s="13">
        <v>42979.70480324074</v>
      </c>
      <c r="J194" s="7">
        <v>0</v>
      </c>
      <c r="K194" s="89" t="str">
        <f t="shared" si="40"/>
        <v>4043/4044</v>
      </c>
      <c r="L194" s="214" t="str">
        <f>VLOOKUP(A194,'Trips&amp;Operators'!$C$1:$G$99911,5,FALSE)</f>
        <v>GUNTHIER ERIC</v>
      </c>
      <c r="M194" s="6">
        <f t="shared" si="41"/>
        <v>1.0405092594737653E-2</v>
      </c>
      <c r="N194" s="7">
        <f t="shared" si="42"/>
        <v>14.98333333642222</v>
      </c>
      <c r="O194" s="7"/>
      <c r="P194" s="7"/>
      <c r="Q194" s="22"/>
      <c r="R194" s="167"/>
      <c r="S194" s="210">
        <f t="shared" si="43"/>
        <v>1</v>
      </c>
      <c r="T194" s="192" t="str">
        <f t="shared" si="44"/>
        <v>NorthBound</v>
      </c>
      <c r="U194" s="192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3" t="str">
        <f t="shared" si="45"/>
        <v>https://d0f6bd738d7f1b3e5a7ca70fe4ff75f0.us-east-1.aws.found.io/app/kibana#/discover/Steve-Slow-Train-Analysis-(2080s-and-2083s)?_g=(refreshInterval:(display:Off,pause:!f,section:0,value:0),time:(from:'2017-09-01T15:33:25-0600',mode:absolute,to:'2017-09-01T17:54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4" s="194" t="str">
        <f>IF(AA194&lt;VLOOKUP(AG194,Variables!$AC$3:$AD$8,2,FALSE),"Y","N")</f>
        <v>N</v>
      </c>
      <c r="X194" s="194">
        <f t="shared" si="46"/>
        <v>1</v>
      </c>
      <c r="Y194" s="194">
        <f t="shared" si="47"/>
        <v>9.8599999999999993E-2</v>
      </c>
      <c r="Z194" s="194">
        <f t="shared" si="48"/>
        <v>5.8933</v>
      </c>
      <c r="AA194" s="194">
        <f t="shared" si="49"/>
        <v>5.7946999999999997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203">
        <f t="shared" si="50"/>
        <v>831</v>
      </c>
      <c r="AE194" s="77" t="str">
        <f t="shared" si="51"/>
        <v>aws s3 cp s3://rtdc.mdm.uploadarchive.raw/RTDC4044/ "%USERPROFILE%\AppData\Local\Temp\OnboardLogs"\RTDC4044\2017-09-01 --exclude "*" --recursive --include "*20170901*" &amp; "%USERPROFILE%\Documents\GitHub\mrs-test-scripts\Headless Mode &amp; Sideloading\WalkAndUnGZ.bat" "%USERPROFILE%\AppData\Local\Temp\OnboardLogs"\RTDC4044\2017-09-01 &amp; aws s3 cp s3://rtdc.mdm.uploadarchive.raw/RTDC4044/ "%USERPROFILE%\AppData\Local\Temp\OnboardLogs"\RTDC4044\2017-09-02 --exclude "*" --recursive --include "*20170902*" &amp; "%USERPROFILE%\Documents\GitHub\mrs-test-scripts\Headless Mode &amp; Sideloading\WalkAndUnGZ.bat" "%USERPROFILE%\AppData\Local\Temp\OnboardLogs"\RTDC4044\2017-09-02</v>
      </c>
      <c r="AF194" s="74" t="str">
        <f t="shared" si="52"/>
        <v>"C:\Program Files (x86)\AstroGrep\AstroGrep.exe" /e /r /s /spath="%USERPROFILE%\AppData\Local\Temp\OnboardLogs" /stypes="app*4044*20170901*" /stext=" 22:.+((SYSTEM_STATE.+slice.+state.+changed )|(ment ac)|(multiple cpu faults)|(system.+state.+changed )|(\[timeout)|(PRM\|1\|D)|(kpr)|(kdp)|(train st.+moving)|(\|lc)|(penalty))"</v>
      </c>
      <c r="AG194" s="206" t="str">
        <f t="shared" si="53"/>
        <v>NW</v>
      </c>
      <c r="AH194" s="78" t="str">
        <f t="shared" si="54"/>
        <v>"%USERPROFILE%\Documents\GitHub\eaglep3\Utilities\RefineRTDCRunTimes.py" --tripid 831-01 --locoid 4044 --swversion DE.1.0.9.0 --startMP 204:986 --initTime 2017-09-01T16:33:25 --startdatetime 2017-09-01T16:39:56 --delay 56 --endMP 300:58933 --enddatetime 2017-09-01T16:54:55 --enforcementcount 0 &gt;&gt;C:\Users\stu\Documents\GitHub\eaglep3-reporting\EC\2017-09-01-refined-times.txt</v>
      </c>
      <c r="AI194" s="96" t="str">
        <f t="shared" si="55"/>
        <v>echo {"issue":{"subject":"","project_id":79,"tracker_id":40,"status_id":1,"priority_id":2,"assigned_to_id":338,"start_date":"2017-09-01","description":"","custom_fields":[{"id":1,"name":"Subdivision","value":"NW"},{"id":4,"name":"Milepost","value":"5.8933"},{"id":17,"name":"Train ID","value":"831-01"},{"id":16,"name":"Locomotive ID","value":"4044"},{"id":130,"name":"Impact","value":""},{"id":150,"name":"Time of Event (Mountain Time)","value":"16:54:55"},{"id":151,"name":"Denver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56"/>
        <v>start /low /b %USERPROFILE%\Documents\GitHub\eaglep3\Utilities\DownloadLogsFromS3.py --loco 4044 --day 2017-09-01</v>
      </c>
      <c r="AN194" s="151" t="str">
        <f t="shared" si="57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22:54:55"},{"id":29,"name":"Sharepoint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s="20" customFormat="1" x14ac:dyDescent="0.25">
      <c r="A195" s="32" t="s">
        <v>770</v>
      </c>
      <c r="B195" s="7">
        <v>4043</v>
      </c>
      <c r="C195" s="21" t="s">
        <v>197</v>
      </c>
      <c r="D195" s="21" t="s">
        <v>502</v>
      </c>
      <c r="E195" s="13">
        <v>42979.710659722223</v>
      </c>
      <c r="F195" s="13">
        <v>42979.713240740741</v>
      </c>
      <c r="G195" s="7">
        <v>67</v>
      </c>
      <c r="H195" s="21" t="s">
        <v>949</v>
      </c>
      <c r="I195" s="13">
        <v>42979.726550925923</v>
      </c>
      <c r="J195" s="7">
        <v>0</v>
      </c>
      <c r="K195" s="89" t="str">
        <f t="shared" si="40"/>
        <v>4043/4044</v>
      </c>
      <c r="L195" s="214" t="str">
        <f>VLOOKUP(A195,'Trips&amp;Operators'!$C$1:$G$99911,5,FALSE)</f>
        <v>GUNTHIER ERIC</v>
      </c>
      <c r="M195" s="6">
        <f t="shared" si="41"/>
        <v>1.3310185182490386E-2</v>
      </c>
      <c r="N195" s="7">
        <f t="shared" si="42"/>
        <v>19.166666662786156</v>
      </c>
      <c r="O195" s="7"/>
      <c r="P195" s="7"/>
      <c r="Q195" s="22"/>
      <c r="R195" s="167"/>
      <c r="S195" s="210">
        <f t="shared" si="43"/>
        <v>1</v>
      </c>
      <c r="T195" s="192" t="str">
        <f t="shared" si="44"/>
        <v>Southbound</v>
      </c>
      <c r="U195" s="192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3" t="str">
        <f t="shared" si="45"/>
        <v>https://d0f6bd738d7f1b3e5a7ca70fe4ff75f0.us-east-1.aws.found.io/app/kibana#/discover/Steve-Slow-Train-Analysis-(2080s-and-2083s)?_g=(refreshInterval:(display:Off,pause:!f,section:0,value:0),time:(from:'2017-09-01T16:03:21-0600',mode:absolute,to:'2017-09-01T18:26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5" s="194" t="str">
        <f>IF(AA195&lt;VLOOKUP(AG195,Variables!$AC$3:$AD$8,2,FALSE),"Y","N")</f>
        <v>N</v>
      </c>
      <c r="X195" s="194">
        <f t="shared" si="46"/>
        <v>1</v>
      </c>
      <c r="Y195" s="194">
        <f t="shared" si="47"/>
        <v>5.8620999999999999</v>
      </c>
      <c r="Z195" s="194">
        <f t="shared" si="48"/>
        <v>7.17E-2</v>
      </c>
      <c r="AA195" s="194">
        <f t="shared" si="49"/>
        <v>5.7904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203">
        <f t="shared" si="50"/>
        <v>832</v>
      </c>
      <c r="AE195" s="77" t="str">
        <f t="shared" si="51"/>
        <v>aws s3 cp s3://rtdc.mdm.uploadarchive.raw/RTDC4043/ "%USERPROFILE%\AppData\Local\Temp\OnboardLogs"\RTDC4043\2017-09-01 --exclude "*" --recursive --include "*20170901*" &amp; "%USERPROFILE%\Documents\GitHub\mrs-test-scripts\Headless Mode &amp; Sideloading\WalkAndUnGZ.bat" "%USERPROFILE%\AppData\Local\Temp\OnboardLogs"\RTDC4043\2017-09-01 &amp; aws s3 cp s3://rtdc.mdm.uploadarchive.raw/RTDC4043/ "%USERPROFILE%\AppData\Local\Temp\OnboardLogs"\RTDC4043\2017-09-02 --exclude "*" --recursive --include "*20170902*" &amp; "%USERPROFILE%\Documents\GitHub\mrs-test-scripts\Headless Mode &amp; Sideloading\WalkAndUnGZ.bat" "%USERPROFILE%\AppData\Local\Temp\OnboardLogs"\RTDC4043\2017-09-02</v>
      </c>
      <c r="AF195" s="74" t="str">
        <f t="shared" si="52"/>
        <v>"C:\Program Files (x86)\AstroGrep\AstroGrep.exe" /e /r /s /spath="%USERPROFILE%\AppData\Local\Temp\OnboardLogs" /stypes="app*4043*20170901*" /stext=" 23:.+((SYSTEM_STATE.+slice.+state.+changed )|(ment ac)|(multiple cpu faults)|(system.+state.+changed )|(\[timeout)|(PRM\|1\|D)|(kpr)|(kdp)|(train st.+moving)|(\|lc)|(penalty))"</v>
      </c>
      <c r="AG195" s="206" t="str">
        <f t="shared" si="53"/>
        <v>NW</v>
      </c>
      <c r="AH195" s="78" t="str">
        <f t="shared" si="54"/>
        <v>"%USERPROFILE%\Documents\GitHub\eaglep3\Utilities\RefineRTDCRunTimes.py" --tripid 832-01 --locoid 4043 --swversion DE.1.0.9.0 --startMP 300:58621 --initTime 2017-09-01T17:03:21 --startdatetime 2017-09-01T17:07:04 --delay 67 --endMP 204:717 --enddatetime 2017-09-01T17:26:14 --enforcementcount 0 &gt;&gt;C:\Users\stu\Documents\GitHub\eaglep3-reporting\EC\2017-09-01-refined-times.txt</v>
      </c>
      <c r="AI195" s="96" t="str">
        <f t="shared" si="55"/>
        <v>echo {"issue":{"subject":"","project_id":79,"tracker_id":40,"status_id":1,"priority_id":2,"assigned_to_id":338,"start_date":"2017-09-01","description":"","custom_fields":[{"id":1,"name":"Subdivision","value":"NW"},{"id":4,"name":"Milepost","value":"0.0717"},{"id":17,"name":"Train ID","value":"832-01"},{"id":16,"name":"Locomotive ID","value":"4043"},{"id":130,"name":"Impact","value":""},{"id":150,"name":"Time of Event (Mountain Time)","value":"17:26:14"},{"id":151,"name":"Denver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5" s="47"/>
      <c r="AL195" s="47"/>
      <c r="AM195" s="142" t="str">
        <f t="shared" si="56"/>
        <v>start /low /b %USERPROFILE%\Documents\GitHub\eaglep3\Utilities\DownloadLogsFromS3.py --loco 4043 --day 2017-09-01</v>
      </c>
      <c r="AN195" s="151" t="str">
        <f t="shared" si="57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23:26:14"},{"id":29,"name":"Sharepoint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32" t="s">
        <v>607</v>
      </c>
      <c r="B196" s="7">
        <v>4056</v>
      </c>
      <c r="C196" s="21" t="s">
        <v>197</v>
      </c>
      <c r="D196" s="21" t="s">
        <v>574</v>
      </c>
      <c r="E196" s="13">
        <v>42979.711597222224</v>
      </c>
      <c r="F196" s="13">
        <v>42979.715057870373</v>
      </c>
      <c r="G196" s="7">
        <v>79</v>
      </c>
      <c r="H196" s="21" t="s">
        <v>505</v>
      </c>
      <c r="I196" s="13">
        <v>42979.725347222222</v>
      </c>
      <c r="J196" s="7">
        <v>0</v>
      </c>
      <c r="K196" s="89" t="str">
        <f t="shared" si="40"/>
        <v>4055/4056</v>
      </c>
      <c r="L196" s="214" t="str">
        <f>VLOOKUP(A196,'Trips&amp;Operators'!$C$1:$G$99911,5,FALSE)</f>
        <v>BIRKHOLZ NADINE</v>
      </c>
      <c r="M196" s="6">
        <f t="shared" si="41"/>
        <v>1.0289351848769002E-2</v>
      </c>
      <c r="N196" s="7">
        <f t="shared" si="42"/>
        <v>14.816666662227362</v>
      </c>
      <c r="O196" s="7"/>
      <c r="P196" s="7"/>
      <c r="Q196" s="22"/>
      <c r="R196" s="167"/>
      <c r="S196" s="210">
        <f t="shared" si="43"/>
        <v>1</v>
      </c>
      <c r="T196" s="192" t="str">
        <f t="shared" si="44"/>
        <v>NorthBound</v>
      </c>
      <c r="U196" s="192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3" t="str">
        <f t="shared" si="45"/>
        <v>https://d0f6bd738d7f1b3e5a7ca70fe4ff75f0.us-east-1.aws.found.io/app/kibana#/discover/Steve-Slow-Train-Analysis-(2080s-and-2083s)?_g=(refreshInterval:(display:Off,pause:!f,section:0,value:0),time:(from:'2017-09-01T16:04:42-0600',mode:absolute,to:'2017-09-01T18:24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6" s="194" t="str">
        <f>IF(AA196&lt;VLOOKUP(AG196,Variables!$AC$3:$AD$8,2,FALSE),"Y","N")</f>
        <v>N</v>
      </c>
      <c r="X196" s="194">
        <f t="shared" si="46"/>
        <v>1</v>
      </c>
      <c r="Y196" s="194">
        <f t="shared" si="47"/>
        <v>9.9000000000000005E-2</v>
      </c>
      <c r="Z196" s="194">
        <f t="shared" si="48"/>
        <v>5.8944000000000001</v>
      </c>
      <c r="AA196" s="194">
        <f t="shared" si="49"/>
        <v>5.7953999999999999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203">
        <f t="shared" si="50"/>
        <v>833</v>
      </c>
      <c r="AE196" s="77" t="str">
        <f t="shared" si="51"/>
        <v>aws s3 cp s3://rtdc.mdm.uploadarchive.raw/RTDC4056/ "%USERPROFILE%\AppData\Local\Temp\OnboardLogs"\RTDC4056\2017-09-01 --exclude "*" --recursive --include "*20170901*" &amp; "%USERPROFILE%\Documents\GitHub\mrs-test-scripts\Headless Mode &amp; Sideloading\WalkAndUnGZ.bat" "%USERPROFILE%\AppData\Local\Temp\OnboardLogs"\RTDC4056\2017-09-01 &amp; aws s3 cp s3://rtdc.mdm.uploadarchive.raw/RTDC4056/ "%USERPROFILE%\AppData\Local\Temp\OnboardLogs"\RTDC4056\2017-09-02 --exclude "*" --recursive --include "*20170902*" &amp; "%USERPROFILE%\Documents\GitHub\mrs-test-scripts\Headless Mode &amp; Sideloading\WalkAndUnGZ.bat" "%USERPROFILE%\AppData\Local\Temp\OnboardLogs"\RTDC4056\2017-09-02</v>
      </c>
      <c r="AF196" s="74" t="str">
        <f t="shared" si="52"/>
        <v>"C:\Program Files (x86)\AstroGrep\AstroGrep.exe" /e /r /s /spath="%USERPROFILE%\AppData\Local\Temp\OnboardLogs" /stypes="app*4056*20170901*" /stext=" 23:.+((SYSTEM_STATE.+slice.+state.+changed )|(ment ac)|(multiple cpu faults)|(system.+state.+changed )|(\[timeout)|(PRM\|1\|D)|(kpr)|(kdp)|(train st.+moving)|(\|lc)|(penalty))"</v>
      </c>
      <c r="AG196" s="206" t="str">
        <f t="shared" si="53"/>
        <v>NW</v>
      </c>
      <c r="AH196" s="78" t="str">
        <f t="shared" si="54"/>
        <v>"%USERPROFILE%\Documents\GitHub\eaglep3\Utilities\RefineRTDCRunTimes.py" --tripid 833-01 --locoid 4056 --swversion DE.1.0.9.0 --startMP 204:990 --initTime 2017-09-01T17:04:42 --startdatetime 2017-09-01T17:09:41 --delay 79 --endMP 300:58944 --enddatetime 2017-09-01T17:24:30 --enforcementcount 0 &gt;&gt;C:\Users\stu\Documents\GitHub\eaglep3-reporting\EC\2017-09-01-refined-times.txt</v>
      </c>
      <c r="AI196" s="96" t="str">
        <f t="shared" si="55"/>
        <v>echo {"issue":{"subject":"","project_id":79,"tracker_id":40,"status_id":1,"priority_id":2,"assigned_to_id":338,"start_date":"2017-09-01","description":"","custom_fields":[{"id":1,"name":"Subdivision","value":"NW"},{"id":4,"name":"Milepost","value":"5.8944"},{"id":17,"name":"Train ID","value":"833-01"},{"id":16,"name":"Locomotive ID","value":"4056"},{"id":130,"name":"Impact","value":""},{"id":150,"name":"Time of Event (Mountain Time)","value":"17:24:30"},{"id":151,"name":"Denver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6" s="47"/>
      <c r="AL196" s="47"/>
      <c r="AM196" s="142" t="str">
        <f t="shared" si="56"/>
        <v>start /low /b %USERPROFILE%\Documents\GitHub\eaglep3\Utilities\DownloadLogsFromS3.py --loco 4056 --day 2017-09-01</v>
      </c>
      <c r="AN196" s="151" t="str">
        <f t="shared" si="57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23:24:30"},{"id":29,"name":"Sharepoint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2" t="s">
        <v>775</v>
      </c>
      <c r="B197" s="7">
        <v>4055</v>
      </c>
      <c r="C197" s="21" t="s">
        <v>197</v>
      </c>
      <c r="D197" s="21" t="s">
        <v>501</v>
      </c>
      <c r="E197" s="13">
        <v>42979.727708333332</v>
      </c>
      <c r="F197" s="13">
        <v>42979.736226851855</v>
      </c>
      <c r="G197" s="7">
        <v>114</v>
      </c>
      <c r="H197" s="21" t="s">
        <v>499</v>
      </c>
      <c r="I197" s="13">
        <v>42979.747199074074</v>
      </c>
      <c r="J197" s="7">
        <v>0</v>
      </c>
      <c r="K197" s="89" t="str">
        <f t="shared" si="40"/>
        <v>4055/4056</v>
      </c>
      <c r="L197" s="214" t="str">
        <f>VLOOKUP(A197,'Trips&amp;Operators'!$C$1:$G$99911,5,FALSE)</f>
        <v>BIRKHOLZ NADINE</v>
      </c>
      <c r="M197" s="6">
        <f t="shared" si="41"/>
        <v>1.0972222218697425E-2</v>
      </c>
      <c r="N197" s="7">
        <f t="shared" si="42"/>
        <v>15.799999994924292</v>
      </c>
      <c r="O197" s="7"/>
      <c r="P197" s="7"/>
      <c r="Q197" s="22"/>
      <c r="R197" s="167"/>
      <c r="S197" s="210">
        <f t="shared" si="43"/>
        <v>1</v>
      </c>
      <c r="T197" s="192" t="str">
        <f t="shared" si="44"/>
        <v>Southbound</v>
      </c>
      <c r="U197" s="192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3" t="str">
        <f t="shared" si="45"/>
        <v>https://d0f6bd738d7f1b3e5a7ca70fe4ff75f0.us-east-1.aws.found.io/app/kibana#/discover/Steve-Slow-Train-Analysis-(2080s-and-2083s)?_g=(refreshInterval:(display:Off,pause:!f,section:0,value:0),time:(from:'2017-09-01T16:27:54-0600',mode:absolute,to:'2017-09-01T18:55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97" s="194" t="str">
        <f>IF(AA197&lt;VLOOKUP(AG197,Variables!$AC$3:$AD$8,2,FALSE),"Y","N")</f>
        <v>N</v>
      </c>
      <c r="X197" s="194">
        <f t="shared" si="46"/>
        <v>1</v>
      </c>
      <c r="Y197" s="194">
        <f t="shared" si="47"/>
        <v>5.8628</v>
      </c>
      <c r="Z197" s="194">
        <f t="shared" si="48"/>
        <v>6.8500000000000005E-2</v>
      </c>
      <c r="AA197" s="194">
        <f t="shared" si="49"/>
        <v>5.7942999999999998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203">
        <f t="shared" si="50"/>
        <v>834</v>
      </c>
      <c r="AE197" s="77" t="str">
        <f t="shared" si="51"/>
        <v>aws s3 cp s3://rtdc.mdm.uploadarchive.raw/RTDC4055/ "%USERPROFILE%\AppData\Local\Temp\OnboardLogs"\RTDC4055\2017-09-01 --exclude "*" --recursive --include "*20170901*" &amp; "%USERPROFILE%\Documents\GitHub\mrs-test-scripts\Headless Mode &amp; Sideloading\WalkAndUnGZ.bat" "%USERPROFILE%\AppData\Local\Temp\OnboardLogs"\RTDC4055\2017-09-01 &amp; aws s3 cp s3://rtdc.mdm.uploadarchive.raw/RTDC4055/ "%USERPROFILE%\AppData\Local\Temp\OnboardLogs"\RTDC4055\2017-09-02 --exclude "*" --recursive --include "*20170902*" &amp; "%USERPROFILE%\Documents\GitHub\mrs-test-scripts\Headless Mode &amp; Sideloading\WalkAndUnGZ.bat" "%USERPROFILE%\AppData\Local\Temp\OnboardLogs"\RTDC4055\2017-09-02</v>
      </c>
      <c r="AF197" s="74" t="str">
        <f t="shared" si="52"/>
        <v>"C:\Program Files (x86)\AstroGrep\AstroGrep.exe" /e /r /s /spath="%USERPROFILE%\AppData\Local\Temp\OnboardLogs" /stypes="app*4055*20170901*" /stext=" 23:.+((SYSTEM_STATE.+slice.+state.+changed )|(ment ac)|(multiple cpu faults)|(system.+state.+changed )|(\[timeout)|(PRM\|1\|D)|(kpr)|(kdp)|(train st.+moving)|(\|lc)|(penalty))"</v>
      </c>
      <c r="AG197" s="206" t="str">
        <f t="shared" si="53"/>
        <v>NW</v>
      </c>
      <c r="AH197" s="78" t="str">
        <f t="shared" si="54"/>
        <v>"%USERPROFILE%\Documents\GitHub\eaglep3\Utilities\RefineRTDCRunTimes.py" --tripid 834-01 --locoid 4055 --swversion DE.1.0.9.0 --startMP 300:58628 --initTime 2017-09-01T17:27:54 --startdatetime 2017-09-01T17:40:10 --delay 114 --endMP 204:685 --enddatetime 2017-09-01T17:55:58 --enforcementcount 0 &gt;&gt;C:\Users\stu\Documents\GitHub\eaglep3-reporting\EC\2017-09-01-refined-times.txt</v>
      </c>
      <c r="AI197" s="96" t="str">
        <f t="shared" si="55"/>
        <v>echo {"issue":{"subject":"","project_id":79,"tracker_id":40,"status_id":1,"priority_id":2,"assigned_to_id":338,"start_date":"2017-09-01","description":"","custom_fields":[{"id":1,"name":"Subdivision","value":"NW"},{"id":4,"name":"Milepost","value":"0.0685"},{"id":17,"name":"Train ID","value":"834-01"},{"id":16,"name":"Locomotive ID","value":"4055"},{"id":130,"name":"Impact","value":""},{"id":150,"name":"Time of Event (Mountain Time)","value":"17:55:58"},{"id":151,"name":"Denver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56"/>
        <v>start /low /b %USERPROFILE%\Documents\GitHub\eaglep3\Utilities\DownloadLogsFromS3.py --loco 4055 --day 2017-09-01</v>
      </c>
      <c r="AN197" s="151" t="str">
        <f t="shared" si="57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23:55:58"},{"id":29,"name":"Sharepoint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x14ac:dyDescent="0.25">
      <c r="A198" s="32" t="s">
        <v>776</v>
      </c>
      <c r="B198" s="7">
        <v>4044</v>
      </c>
      <c r="C198" s="21" t="s">
        <v>197</v>
      </c>
      <c r="D198" s="21" t="s">
        <v>922</v>
      </c>
      <c r="E198" s="13">
        <v>42979.731157407405</v>
      </c>
      <c r="F198" s="13">
        <v>42979.735833333332</v>
      </c>
      <c r="G198" s="7">
        <v>60</v>
      </c>
      <c r="H198" s="21" t="s">
        <v>950</v>
      </c>
      <c r="I198" s="13">
        <v>42979.747141203705</v>
      </c>
      <c r="J198" s="7">
        <v>0</v>
      </c>
      <c r="K198" s="89" t="str">
        <f t="shared" si="40"/>
        <v>4043/4044</v>
      </c>
      <c r="L198" s="214" t="str">
        <f>VLOOKUP(A198,'Trips&amp;Operators'!$C$1:$G$99911,5,FALSE)</f>
        <v>GUNTHIER ERIC</v>
      </c>
      <c r="M198" s="6">
        <f t="shared" si="41"/>
        <v>1.1307870372547768E-2</v>
      </c>
      <c r="N198" s="7">
        <f t="shared" si="42"/>
        <v>16.283333336468786</v>
      </c>
      <c r="O198" s="7"/>
      <c r="P198" s="7"/>
      <c r="Q198" s="22"/>
      <c r="R198" s="167"/>
      <c r="S198" s="210">
        <f t="shared" si="43"/>
        <v>1</v>
      </c>
      <c r="T198" s="192" t="str">
        <f t="shared" si="44"/>
        <v>NorthBound</v>
      </c>
      <c r="U198" s="192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3" t="str">
        <f t="shared" si="45"/>
        <v>https://d0f6bd738d7f1b3e5a7ca70fe4ff75f0.us-east-1.aws.found.io/app/kibana#/discover/Steve-Slow-Train-Analysis-(2080s-and-2083s)?_g=(refreshInterval:(display:Off,pause:!f,section:0,value:0),time:(from:'2017-09-01T16:32:52-0600',mode:absolute,to:'2017-09-01T18:55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8" s="194" t="str">
        <f>IF(AA198&lt;VLOOKUP(AG198,Variables!$AC$3:$AD$8,2,FALSE),"Y","N")</f>
        <v>N</v>
      </c>
      <c r="X198" s="194">
        <f t="shared" si="46"/>
        <v>1</v>
      </c>
      <c r="Y198" s="194">
        <f t="shared" si="47"/>
        <v>9.8599999999999993E-2</v>
      </c>
      <c r="Z198" s="194">
        <f t="shared" si="48"/>
        <v>5.8924000000000003</v>
      </c>
      <c r="AA198" s="194">
        <f t="shared" si="49"/>
        <v>5.7938000000000001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203">
        <f t="shared" si="50"/>
        <v>835</v>
      </c>
      <c r="AE198" s="77" t="str">
        <f t="shared" si="51"/>
        <v>aws s3 cp s3://rtdc.mdm.uploadarchive.raw/RTDC4044/ "%USERPROFILE%\AppData\Local\Temp\OnboardLogs"\RTDC4044\2017-09-01 --exclude "*" --recursive --include "*20170901*" &amp; "%USERPROFILE%\Documents\GitHub\mrs-test-scripts\Headless Mode &amp; Sideloading\WalkAndUnGZ.bat" "%USERPROFILE%\AppData\Local\Temp\OnboardLogs"\RTDC4044\2017-09-01 &amp; aws s3 cp s3://rtdc.mdm.uploadarchive.raw/RTDC4044/ "%USERPROFILE%\AppData\Local\Temp\OnboardLogs"\RTDC4044\2017-09-02 --exclude "*" --recursive --include "*20170902*" &amp; "%USERPROFILE%\Documents\GitHub\mrs-test-scripts\Headless Mode &amp; Sideloading\WalkAndUnGZ.bat" "%USERPROFILE%\AppData\Local\Temp\OnboardLogs"\RTDC4044\2017-09-02</v>
      </c>
      <c r="AF198" s="74" t="str">
        <f t="shared" si="52"/>
        <v>"C:\Program Files (x86)\AstroGrep\AstroGrep.exe" /e /r /s /spath="%USERPROFILE%\AppData\Local\Temp\OnboardLogs" /stypes="app*4044*20170901*" /stext=" 23:.+((SYSTEM_STATE.+slice.+state.+changed )|(ment ac)|(multiple cpu faults)|(system.+state.+changed )|(\[timeout)|(PRM\|1\|D)|(kpr)|(kdp)|(train st.+moving)|(\|lc)|(penalty))"</v>
      </c>
      <c r="AG198" s="206" t="str">
        <f t="shared" si="53"/>
        <v>NW</v>
      </c>
      <c r="AH198" s="78" t="str">
        <f t="shared" si="54"/>
        <v>"%USERPROFILE%\Documents\GitHub\eaglep3\Utilities\RefineRTDCRunTimes.py" --tripid 835-01 --locoid 4044 --swversion DE.1.0.9.0 --startMP 204:986 --initTime 2017-09-01T17:32:52 --startdatetime 2017-09-01T17:39:36 --delay 60 --endMP 300:58924 --enddatetime 2017-09-01T17:55:53 --enforcementcount 0 &gt;&gt;C:\Users\stu\Documents\GitHub\eaglep3-reporting\EC\2017-09-01-refined-times.txt</v>
      </c>
      <c r="AI198" s="96" t="str">
        <f t="shared" si="55"/>
        <v>echo {"issue":{"subject":"","project_id":79,"tracker_id":40,"status_id":1,"priority_id":2,"assigned_to_id":338,"start_date":"2017-09-01","description":"","custom_fields":[{"id":1,"name":"Subdivision","value":"NW"},{"id":4,"name":"Milepost","value":"5.8924"},{"id":17,"name":"Train ID","value":"835-01"},{"id":16,"name":"Locomotive ID","value":"4044"},{"id":130,"name":"Impact","value":""},{"id":150,"name":"Time of Event (Mountain Time)","value":"17:55:53"},{"id":151,"name":"Denver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56"/>
        <v>start /low /b %USERPROFILE%\Documents\GitHub\eaglep3\Utilities\DownloadLogsFromS3.py --loco 4044 --day 2017-09-01</v>
      </c>
      <c r="AN198" s="151" t="str">
        <f t="shared" si="57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23:55:53"},{"id":29,"name":"Sharepoint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s="20" customFormat="1" x14ac:dyDescent="0.25">
      <c r="A199" s="32" t="s">
        <v>785</v>
      </c>
      <c r="B199" s="7">
        <v>4043</v>
      </c>
      <c r="C199" s="21" t="s">
        <v>197</v>
      </c>
      <c r="D199" s="21" t="s">
        <v>471</v>
      </c>
      <c r="E199" s="13">
        <v>42979.751030092593</v>
      </c>
      <c r="F199" s="13">
        <v>42979.756273148145</v>
      </c>
      <c r="G199" s="7">
        <v>67</v>
      </c>
      <c r="H199" s="21" t="s">
        <v>572</v>
      </c>
      <c r="I199" s="13">
        <v>42979.768310185187</v>
      </c>
      <c r="J199" s="7">
        <v>0</v>
      </c>
      <c r="K199" s="89" t="str">
        <f t="shared" si="40"/>
        <v>4043/4044</v>
      </c>
      <c r="L199" s="214" t="str">
        <f>VLOOKUP(A199,'Trips&amp;Operators'!$C$1:$G$99911,5,FALSE)</f>
        <v>GUNTHIER ERIC</v>
      </c>
      <c r="M199" s="6">
        <f t="shared" si="41"/>
        <v>1.2037037042318843E-2</v>
      </c>
      <c r="N199" s="7">
        <f t="shared" si="42"/>
        <v>17.333333340939134</v>
      </c>
      <c r="O199" s="7"/>
      <c r="P199" s="7"/>
      <c r="Q199" s="22"/>
      <c r="R199" s="167"/>
      <c r="S199" s="210">
        <f t="shared" si="43"/>
        <v>1</v>
      </c>
      <c r="T199" s="192" t="str">
        <f t="shared" si="44"/>
        <v>Southbound</v>
      </c>
      <c r="U199" s="192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3" t="str">
        <f t="shared" si="45"/>
        <v>https://d0f6bd738d7f1b3e5a7ca70fe4ff75f0.us-east-1.aws.found.io/app/kibana#/discover/Steve-Slow-Train-Analysis-(2080s-and-2083s)?_g=(refreshInterval:(display:Off,pause:!f,section:0,value:0),time:(from:'2017-09-01T17:01:29-0600',mode:absolute,to:'2017-09-01T19:26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9" s="194" t="str">
        <f>IF(AA199&lt;VLOOKUP(AG199,Variables!$AC$3:$AD$8,2,FALSE),"Y","N")</f>
        <v>N</v>
      </c>
      <c r="X199" s="194">
        <f t="shared" si="46"/>
        <v>1</v>
      </c>
      <c r="Y199" s="194">
        <f t="shared" si="47"/>
        <v>5.8624000000000001</v>
      </c>
      <c r="Z199" s="194">
        <f t="shared" si="48"/>
        <v>6.9800000000000001E-2</v>
      </c>
      <c r="AA199" s="194">
        <f t="shared" si="49"/>
        <v>5.7926000000000002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203">
        <f t="shared" si="50"/>
        <v>836</v>
      </c>
      <c r="AE199" s="77" t="str">
        <f t="shared" si="51"/>
        <v>aws s3 cp s3://rtdc.mdm.uploadarchive.raw/RTDC4043/ "%USERPROFILE%\AppData\Local\Temp\OnboardLogs"\RTDC4043\2017-09-01 --exclude "*" --recursive --include "*20170901*" &amp; "%USERPROFILE%\Documents\GitHub\mrs-test-scripts\Headless Mode &amp; Sideloading\WalkAndUnGZ.bat" "%USERPROFILE%\AppData\Local\Temp\OnboardLogs"\RTDC4043\2017-09-01 &amp; aws s3 cp s3://rtdc.mdm.uploadarchive.raw/RTDC4043/ "%USERPROFILE%\AppData\Local\Temp\OnboardLogs"\RTDC4043\2017-09-02 --exclude "*" --recursive --include "*20170902*" &amp; "%USERPROFILE%\Documents\GitHub\mrs-test-scripts\Headless Mode &amp; Sideloading\WalkAndUnGZ.bat" "%USERPROFILE%\AppData\Local\Temp\OnboardLogs"\RTDC4043\2017-09-02</v>
      </c>
      <c r="AF199" s="74" t="str">
        <f t="shared" si="52"/>
        <v>"C:\Program Files (x86)\AstroGrep\AstroGrep.exe" /e /r /s /spath="%USERPROFILE%\AppData\Local\Temp\OnboardLogs" /stypes="app*4043*20170902*" /stext=" 00:.+((SYSTEM_STATE.+slice.+state.+changed )|(ment ac)|(multiple cpu faults)|(system.+state.+changed )|(\[timeout)|(PRM\|1\|D)|(kpr)|(kdp)|(train st.+moving)|(\|lc)|(penalty))"</v>
      </c>
      <c r="AG199" s="206" t="str">
        <f t="shared" si="53"/>
        <v>NW</v>
      </c>
      <c r="AH199" s="78" t="str">
        <f t="shared" si="54"/>
        <v>"%USERPROFILE%\Documents\GitHub\eaglep3\Utilities\RefineRTDCRunTimes.py" --tripid 836-01 --locoid 4043 --swversion DE.1.0.9.0 --startMP 300:58624 --initTime 2017-09-01T18:01:29 --startdatetime 2017-09-01T18:09:02 --delay 67 --endMP 204:698 --enddatetime 2017-09-01T18:26:22 --enforcementcount 0 &gt;&gt;C:\Users\stu\Documents\GitHub\eaglep3-reporting\EC\2017-09-01-refined-times.txt</v>
      </c>
      <c r="AI199" s="96" t="str">
        <f t="shared" si="55"/>
        <v>echo {"issue":{"subject":"","project_id":79,"tracker_id":40,"status_id":1,"priority_id":2,"assigned_to_id":338,"start_date":"2017-09-01","description":"","custom_fields":[{"id":1,"name":"Subdivision","value":"NW"},{"id":4,"name":"Milepost","value":"0.0698"},{"id":17,"name":"Train ID","value":"836-01"},{"id":16,"name":"Locomotive ID","value":"4043"},{"id":130,"name":"Impact","value":""},{"id":150,"name":"Time of Event (Mountain Time)","value":"18:26:22"},{"id":151,"name":"Denver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9" s="47"/>
      <c r="AL199" s="47"/>
      <c r="AM199" s="142" t="str">
        <f t="shared" si="56"/>
        <v>start /low /b %USERPROFILE%\Documents\GitHub\eaglep3\Utilities\DownloadLogsFromS3.py --loco 4043 --day 2017-09-01</v>
      </c>
      <c r="AN199" s="151" t="str">
        <f t="shared" si="57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00:26:22"},{"id":29,"name":"Sharepoint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x14ac:dyDescent="0.25">
      <c r="A200" s="32" t="s">
        <v>608</v>
      </c>
      <c r="B200" s="7">
        <v>4056</v>
      </c>
      <c r="C200" s="21" t="s">
        <v>197</v>
      </c>
      <c r="D200" s="21" t="s">
        <v>506</v>
      </c>
      <c r="E200" s="13">
        <v>42979.754027777781</v>
      </c>
      <c r="F200" s="13">
        <v>42979.756458333337</v>
      </c>
      <c r="G200" s="7">
        <v>63</v>
      </c>
      <c r="H200" s="21" t="s">
        <v>945</v>
      </c>
      <c r="I200" s="13">
        <v>42979.768020833333</v>
      </c>
      <c r="J200" s="7">
        <v>0</v>
      </c>
      <c r="K200" s="89" t="str">
        <f t="shared" si="40"/>
        <v>4055/4056</v>
      </c>
      <c r="L200" s="214" t="str">
        <f>VLOOKUP(A200,'Trips&amp;Operators'!$C$1:$G$99911,5,FALSE)</f>
        <v>BIRKHOLZ NADINE</v>
      </c>
      <c r="M200" s="6">
        <f t="shared" si="41"/>
        <v>1.1562499996216502E-2</v>
      </c>
      <c r="N200" s="7">
        <f t="shared" si="42"/>
        <v>16.649999994551763</v>
      </c>
      <c r="O200" s="7"/>
      <c r="P200" s="7"/>
      <c r="Q200" s="22"/>
      <c r="R200" s="167"/>
      <c r="S200" s="210">
        <f t="shared" si="43"/>
        <v>1</v>
      </c>
      <c r="T200" s="192" t="str">
        <f t="shared" si="44"/>
        <v>NorthBound</v>
      </c>
      <c r="U200" s="192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3" t="str">
        <f t="shared" si="45"/>
        <v>https://d0f6bd738d7f1b3e5a7ca70fe4ff75f0.us-east-1.aws.found.io/app/kibana#/discover/Steve-Slow-Train-Analysis-(2080s-and-2083s)?_g=(refreshInterval:(display:Off,pause:!f,section:0,value:0),time:(from:'2017-09-01T17:05:48-0600',mode:absolute,to:'2017-09-01T19:25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00" s="194" t="str">
        <f>IF(AA200&lt;VLOOKUP(AG200,Variables!$AC$3:$AD$8,2,FALSE),"Y","N")</f>
        <v>N</v>
      </c>
      <c r="X200" s="194">
        <f t="shared" si="46"/>
        <v>1</v>
      </c>
      <c r="Y200" s="194">
        <f t="shared" si="47"/>
        <v>9.6699999999999994E-2</v>
      </c>
      <c r="Z200" s="194">
        <f t="shared" si="48"/>
        <v>5.8933</v>
      </c>
      <c r="AA200" s="194">
        <f t="shared" si="49"/>
        <v>5.7965999999999998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203">
        <f t="shared" si="50"/>
        <v>837</v>
      </c>
      <c r="AE200" s="77" t="str">
        <f t="shared" si="51"/>
        <v>aws s3 cp s3://rtdc.mdm.uploadarchive.raw/RTDC4056/ "%USERPROFILE%\AppData\Local\Temp\OnboardLogs"\RTDC4056\2017-09-01 --exclude "*" --recursive --include "*20170901*" &amp; "%USERPROFILE%\Documents\GitHub\mrs-test-scripts\Headless Mode &amp; Sideloading\WalkAndUnGZ.bat" "%USERPROFILE%\AppData\Local\Temp\OnboardLogs"\RTDC4056\2017-09-01 &amp; aws s3 cp s3://rtdc.mdm.uploadarchive.raw/RTDC4056/ "%USERPROFILE%\AppData\Local\Temp\OnboardLogs"\RTDC4056\2017-09-02 --exclude "*" --recursive --include "*20170902*" &amp; "%USERPROFILE%\Documents\GitHub\mrs-test-scripts\Headless Mode &amp; Sideloading\WalkAndUnGZ.bat" "%USERPROFILE%\AppData\Local\Temp\OnboardLogs"\RTDC4056\2017-09-02</v>
      </c>
      <c r="AF200" s="74" t="str">
        <f t="shared" si="52"/>
        <v>"C:\Program Files (x86)\AstroGrep\AstroGrep.exe" /e /r /s /spath="%USERPROFILE%\AppData\Local\Temp\OnboardLogs" /stypes="app*4056*20170902*" /stext=" 00:.+((SYSTEM_STATE.+slice.+state.+changed )|(ment ac)|(multiple cpu faults)|(system.+state.+changed )|(\[timeout)|(PRM\|1\|D)|(kpr)|(kdp)|(train st.+moving)|(\|lc)|(penalty))"</v>
      </c>
      <c r="AG200" s="206" t="str">
        <f t="shared" si="53"/>
        <v>NW</v>
      </c>
      <c r="AH200" s="78" t="str">
        <f t="shared" si="54"/>
        <v>"%USERPROFILE%\Documents\GitHub\eaglep3\Utilities\RefineRTDCRunTimes.py" --tripid 837-01 --locoid 4056 --swversion DE.1.0.9.0 --startMP 204:967 --initTime 2017-09-01T18:05:48 --startdatetime 2017-09-01T18:09:18 --delay 63 --endMP 300:58933 --enddatetime 2017-09-01T18:25:57 --enforcementcount 0 &gt;&gt;C:\Users\stu\Documents\GitHub\eaglep3-reporting\EC\2017-09-01-refined-times.txt</v>
      </c>
      <c r="AI200" s="96" t="str">
        <f t="shared" si="55"/>
        <v>echo {"issue":{"subject":"","project_id":79,"tracker_id":40,"status_id":1,"priority_id":2,"assigned_to_id":338,"start_date":"2017-09-01","description":"","custom_fields":[{"id":1,"name":"Subdivision","value":"NW"},{"id":4,"name":"Milepost","value":"5.8933"},{"id":17,"name":"Train ID","value":"837-01"},{"id":16,"name":"Locomotive ID","value":"4056"},{"id":130,"name":"Impact","value":""},{"id":150,"name":"Time of Event (Mountain Time)","value":"18:25:57"},{"id":151,"name":"Denver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56"/>
        <v>start /low /b %USERPROFILE%\Documents\GitHub\eaglep3\Utilities\DownloadLogsFromS3.py --loco 4056 --day 2017-09-01</v>
      </c>
      <c r="AN200" s="151" t="str">
        <f t="shared" si="57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00:25:57"},{"id":29,"name":"Sharepoint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x14ac:dyDescent="0.25">
      <c r="A201" s="32" t="s">
        <v>788</v>
      </c>
      <c r="B201" s="7">
        <v>4055</v>
      </c>
      <c r="C201" s="21" t="s">
        <v>197</v>
      </c>
      <c r="D201" s="21" t="s">
        <v>469</v>
      </c>
      <c r="E201" s="13">
        <v>42979.76935185185</v>
      </c>
      <c r="F201" s="13">
        <v>42979.777638888889</v>
      </c>
      <c r="G201" s="7">
        <v>52</v>
      </c>
      <c r="H201" s="21" t="s">
        <v>951</v>
      </c>
      <c r="I201" s="13">
        <v>42979.789236111108</v>
      </c>
      <c r="J201" s="7">
        <v>0</v>
      </c>
      <c r="K201" s="89" t="str">
        <f t="shared" si="40"/>
        <v>4055/4056</v>
      </c>
      <c r="L201" s="214" t="str">
        <f>VLOOKUP(A201,'Trips&amp;Operators'!$C$1:$G$99911,5,FALSE)</f>
        <v>BIRKHOLZ NADINE</v>
      </c>
      <c r="M201" s="6">
        <f t="shared" si="41"/>
        <v>1.1597222219279502E-2</v>
      </c>
      <c r="N201" s="7">
        <f t="shared" si="42"/>
        <v>16.699999995762482</v>
      </c>
      <c r="O201" s="7"/>
      <c r="P201" s="7"/>
      <c r="Q201" s="22"/>
      <c r="R201" s="167"/>
      <c r="S201" s="210">
        <f t="shared" si="43"/>
        <v>1</v>
      </c>
      <c r="T201" s="192" t="str">
        <f t="shared" si="44"/>
        <v>Southbound</v>
      </c>
      <c r="U201" s="192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3" t="str">
        <f t="shared" si="45"/>
        <v>https://d0f6bd738d7f1b3e5a7ca70fe4ff75f0.us-east-1.aws.found.io/app/kibana#/discover/Steve-Slow-Train-Analysis-(2080s-and-2083s)?_g=(refreshInterval:(display:Off,pause:!f,section:0,value:0),time:(from:'2017-09-01T17:27:52-0600',mode:absolute,to:'2017-09-01T19:56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1" s="194" t="str">
        <f>IF(AA201&lt;VLOOKUP(AG201,Variables!$AC$3:$AD$8,2,FALSE),"Y","N")</f>
        <v>N</v>
      </c>
      <c r="X201" s="194">
        <f t="shared" si="46"/>
        <v>1</v>
      </c>
      <c r="Y201" s="194">
        <f t="shared" si="47"/>
        <v>5.8623000000000003</v>
      </c>
      <c r="Z201" s="194">
        <f t="shared" si="48"/>
        <v>6.5699999999999995E-2</v>
      </c>
      <c r="AA201" s="194">
        <f t="shared" si="49"/>
        <v>5.7966000000000006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203">
        <f t="shared" si="50"/>
        <v>838</v>
      </c>
      <c r="AE201" s="77" t="str">
        <f t="shared" si="51"/>
        <v>aws s3 cp s3://rtdc.mdm.uploadarchive.raw/RTDC4055/ "%USERPROFILE%\AppData\Local\Temp\OnboardLogs"\RTDC4055\2017-09-01 --exclude "*" --recursive --include "*20170901*" &amp; "%USERPROFILE%\Documents\GitHub\mrs-test-scripts\Headless Mode &amp; Sideloading\WalkAndUnGZ.bat" "%USERPROFILE%\AppData\Local\Temp\OnboardLogs"\RTDC4055\2017-09-01 &amp; aws s3 cp s3://rtdc.mdm.uploadarchive.raw/RTDC4055/ "%USERPROFILE%\AppData\Local\Temp\OnboardLogs"\RTDC4055\2017-09-02 --exclude "*" --recursive --include "*20170902*" &amp; "%USERPROFILE%\Documents\GitHub\mrs-test-scripts\Headless Mode &amp; Sideloading\WalkAndUnGZ.bat" "%USERPROFILE%\AppData\Local\Temp\OnboardLogs"\RTDC4055\2017-09-02</v>
      </c>
      <c r="AF201" s="74" t="str">
        <f t="shared" si="52"/>
        <v>"C:\Program Files (x86)\AstroGrep\AstroGrep.exe" /e /r /s /spath="%USERPROFILE%\AppData\Local\Temp\OnboardLogs" /stypes="app*4055*20170902*" /stext=" 00:.+((SYSTEM_STATE.+slice.+state.+changed )|(ment ac)|(multiple cpu faults)|(system.+state.+changed )|(\[timeout)|(PRM\|1\|D)|(kpr)|(kdp)|(train st.+moving)|(\|lc)|(penalty))"</v>
      </c>
      <c r="AG201" s="206" t="str">
        <f t="shared" si="53"/>
        <v>NW</v>
      </c>
      <c r="AH201" s="78" t="str">
        <f t="shared" si="54"/>
        <v>"%USERPROFILE%\Documents\GitHub\eaglep3\Utilities\RefineRTDCRunTimes.py" --tripid 838-01 --locoid 4055 --swversion DE.1.0.9.0 --startMP 300:58623 --initTime 2017-09-01T18:27:52 --startdatetime 2017-09-01T18:39:48 --delay 52 --endMP 204:657 --enddatetime 2017-09-01T18:56:30 --enforcementcount 0 &gt;&gt;C:\Users\stu\Documents\GitHub\eaglep3-reporting\EC\2017-09-01-refined-times.txt</v>
      </c>
      <c r="AI201" s="96" t="str">
        <f t="shared" si="55"/>
        <v>echo {"issue":{"subject":"","project_id":79,"tracker_id":40,"status_id":1,"priority_id":2,"assigned_to_id":338,"start_date":"2017-09-01","description":"","custom_fields":[{"id":1,"name":"Subdivision","value":"NW"},{"id":4,"name":"Milepost","value":"0.0657"},{"id":17,"name":"Train ID","value":"838-01"},{"id":16,"name":"Locomotive ID","value":"4055"},{"id":130,"name":"Impact","value":""},{"id":150,"name":"Time of Event (Mountain Time)","value":"18:56:30"},{"id":151,"name":"Denver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56"/>
        <v>start /low /b %USERPROFILE%\Documents\GitHub\eaglep3\Utilities\DownloadLogsFromS3.py --loco 4055 --day 2017-09-01</v>
      </c>
      <c r="AN201" s="151" t="str">
        <f t="shared" si="57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00:56:30"},{"id":29,"name":"Sharepoint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x14ac:dyDescent="0.25">
      <c r="A202" s="32" t="s">
        <v>789</v>
      </c>
      <c r="B202" s="7">
        <v>4044</v>
      </c>
      <c r="C202" s="21" t="s">
        <v>197</v>
      </c>
      <c r="D202" s="21" t="s">
        <v>952</v>
      </c>
      <c r="E202" s="13">
        <v>42979.771469907406</v>
      </c>
      <c r="F202" s="13">
        <v>42979.777361111112</v>
      </c>
      <c r="G202" s="7">
        <v>59</v>
      </c>
      <c r="H202" s="21" t="s">
        <v>953</v>
      </c>
      <c r="I202" s="13">
        <v>42979.789571759262</v>
      </c>
      <c r="J202" s="7">
        <v>0</v>
      </c>
      <c r="K202" s="89" t="str">
        <f t="shared" si="40"/>
        <v>4043/4044</v>
      </c>
      <c r="L202" s="214" t="str">
        <f>VLOOKUP(A202,'Trips&amp;Operators'!$C$1:$G$99911,5,FALSE)</f>
        <v>GUNTHIER ERIC</v>
      </c>
      <c r="M202" s="6">
        <f t="shared" si="41"/>
        <v>1.2210648150357883E-2</v>
      </c>
      <c r="N202" s="7">
        <f t="shared" si="42"/>
        <v>17.583333336515352</v>
      </c>
      <c r="O202" s="7"/>
      <c r="P202" s="7"/>
      <c r="Q202" s="22"/>
      <c r="R202" s="167"/>
      <c r="S202" s="210">
        <f t="shared" si="43"/>
        <v>1</v>
      </c>
      <c r="T202" s="192" t="str">
        <f t="shared" si="44"/>
        <v>NorthBound</v>
      </c>
      <c r="U202" s="192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3" t="str">
        <f t="shared" si="45"/>
        <v>https://d0f6bd738d7f1b3e5a7ca70fe4ff75f0.us-east-1.aws.found.io/app/kibana#/discover/Steve-Slow-Train-Analysis-(2080s-and-2083s)?_g=(refreshInterval:(display:Off,pause:!f,section:0,value:0),time:(from:'2017-09-01T17:30:55-0600',mode:absolute,to:'2017-09-01T19:56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2" s="194" t="str">
        <f>IF(AA202&lt;VLOOKUP(AG202,Variables!$AC$3:$AD$8,2,FALSE),"Y","N")</f>
        <v>N</v>
      </c>
      <c r="X202" s="194">
        <f t="shared" si="46"/>
        <v>1</v>
      </c>
      <c r="Y202" s="194">
        <f t="shared" si="47"/>
        <v>9.8299999999999998E-2</v>
      </c>
      <c r="Z202" s="194">
        <f t="shared" si="48"/>
        <v>5.8935000000000004</v>
      </c>
      <c r="AA202" s="194">
        <f t="shared" si="49"/>
        <v>5.7952000000000004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203">
        <f t="shared" si="50"/>
        <v>839</v>
      </c>
      <c r="AE202" s="77" t="str">
        <f t="shared" si="51"/>
        <v>aws s3 cp s3://rtdc.mdm.uploadarchive.raw/RTDC4044/ "%USERPROFILE%\AppData\Local\Temp\OnboardLogs"\RTDC4044\2017-09-01 --exclude "*" --recursive --include "*20170901*" &amp; "%USERPROFILE%\Documents\GitHub\mrs-test-scripts\Headless Mode &amp; Sideloading\WalkAndUnGZ.bat" "%USERPROFILE%\AppData\Local\Temp\OnboardLogs"\RTDC4044\2017-09-01 &amp; aws s3 cp s3://rtdc.mdm.uploadarchive.raw/RTDC4044/ "%USERPROFILE%\AppData\Local\Temp\OnboardLogs"\RTDC4044\2017-09-02 --exclude "*" --recursive --include "*20170902*" &amp; "%USERPROFILE%\Documents\GitHub\mrs-test-scripts\Headless Mode &amp; Sideloading\WalkAndUnGZ.bat" "%USERPROFILE%\AppData\Local\Temp\OnboardLogs"\RTDC4044\2017-09-02</v>
      </c>
      <c r="AF202" s="74" t="str">
        <f t="shared" si="52"/>
        <v>"C:\Program Files (x86)\AstroGrep\AstroGrep.exe" /e /r /s /spath="%USERPROFILE%\AppData\Local\Temp\OnboardLogs" /stypes="app*4044*20170902*" /stext=" 00:.+((SYSTEM_STATE.+slice.+state.+changed )|(ment ac)|(multiple cpu faults)|(system.+state.+changed )|(\[timeout)|(PRM\|1\|D)|(kpr)|(kdp)|(train st.+moving)|(\|lc)|(penalty))"</v>
      </c>
      <c r="AG202" s="206" t="str">
        <f t="shared" si="53"/>
        <v>NW</v>
      </c>
      <c r="AH202" s="78" t="str">
        <f t="shared" si="54"/>
        <v>"%USERPROFILE%\Documents\GitHub\eaglep3\Utilities\RefineRTDCRunTimes.py" --tripid 839-01 --locoid 4044 --swversion DE.1.0.9.0 --startMP 204:983 --initTime 2017-09-01T18:30:55 --startdatetime 2017-09-01T18:39:24 --delay 59 --endMP 300:58935 --enddatetime 2017-09-01T18:56:59 --enforcementcount 0 &gt;&gt;C:\Users\stu\Documents\GitHub\eaglep3-reporting\EC\2017-09-01-refined-times.txt</v>
      </c>
      <c r="AI202" s="96" t="str">
        <f t="shared" si="55"/>
        <v>echo {"issue":{"subject":"","project_id":79,"tracker_id":40,"status_id":1,"priority_id":2,"assigned_to_id":338,"start_date":"2017-09-01","description":"","custom_fields":[{"id":1,"name":"Subdivision","value":"NW"},{"id":4,"name":"Milepost","value":"5.8935"},{"id":17,"name":"Train ID","value":"839-01"},{"id":16,"name":"Locomotive ID","value":"4044"},{"id":130,"name":"Impact","value":""},{"id":150,"name":"Time of Event (Mountain Time)","value":"18:56:59"},{"id":151,"name":"Denver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56"/>
        <v>start /low /b %USERPROFILE%\Documents\GitHub\eaglep3\Utilities\DownloadLogsFromS3.py --loco 4044 --day 2017-09-01</v>
      </c>
      <c r="AN202" s="151" t="str">
        <f t="shared" si="57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00:56:59"},{"id":29,"name":"Sharepoint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x14ac:dyDescent="0.25">
      <c r="A203" s="32" t="s">
        <v>611</v>
      </c>
      <c r="B203" s="7">
        <v>4055</v>
      </c>
      <c r="C203" s="21" t="s">
        <v>197</v>
      </c>
      <c r="D203" s="21" t="s">
        <v>504</v>
      </c>
      <c r="E203" s="13">
        <v>42979.80978009259</v>
      </c>
      <c r="F203" s="13">
        <v>42979.820277777777</v>
      </c>
      <c r="G203" s="7">
        <v>64</v>
      </c>
      <c r="H203" s="21" t="s">
        <v>573</v>
      </c>
      <c r="I203" s="13">
        <v>42979.829872685186</v>
      </c>
      <c r="J203" s="7">
        <v>0</v>
      </c>
      <c r="K203" s="89" t="str">
        <f t="shared" si="40"/>
        <v>4055/4056</v>
      </c>
      <c r="L203" s="214" t="str">
        <f>VLOOKUP(A203,'Trips&amp;Operators'!$C$1:$G$99911,5,FALSE)</f>
        <v>STORY SAMANTHA</v>
      </c>
      <c r="M203" s="6">
        <f t="shared" si="41"/>
        <v>9.5949074093368836E-3</v>
      </c>
      <c r="N203" s="7">
        <f t="shared" si="42"/>
        <v>13.816666669445112</v>
      </c>
      <c r="O203" s="7"/>
      <c r="P203" s="7"/>
      <c r="Q203" s="22"/>
      <c r="R203" s="167"/>
      <c r="S203" s="210">
        <f t="shared" si="43"/>
        <v>1</v>
      </c>
      <c r="T203" s="192" t="str">
        <f t="shared" si="44"/>
        <v>Southbound</v>
      </c>
      <c r="U203" s="192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3" t="str">
        <f t="shared" si="45"/>
        <v>https://d0f6bd738d7f1b3e5a7ca70fe4ff75f0.us-east-1.aws.found.io/app/kibana#/discover/Steve-Slow-Train-Analysis-(2080s-and-2083s)?_g=(refreshInterval:(display:Off,pause:!f,section:0,value:0),time:(from:'2017-09-01T18:26:05-0600',mode:absolute,to:'2017-09-01T20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3" s="194" t="str">
        <f>IF(AA203&lt;VLOOKUP(AG203,Variables!$AC$3:$AD$8,2,FALSE),"Y","N")</f>
        <v>N</v>
      </c>
      <c r="X203" s="194">
        <f t="shared" si="46"/>
        <v>1</v>
      </c>
      <c r="Y203" s="194">
        <f t="shared" si="47"/>
        <v>5.8619000000000003</v>
      </c>
      <c r="Z203" s="194">
        <f t="shared" si="48"/>
        <v>6.7799999999999999E-2</v>
      </c>
      <c r="AA203" s="194">
        <f t="shared" si="49"/>
        <v>5.7941000000000003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203">
        <f t="shared" si="50"/>
        <v>840</v>
      </c>
      <c r="AE203" s="77" t="str">
        <f t="shared" si="51"/>
        <v>aws s3 cp s3://rtdc.mdm.uploadarchive.raw/RTDC4055/ "%USERPROFILE%\AppData\Local\Temp\OnboardLogs"\RTDC4055\2017-09-01 --exclude "*" --recursive --include "*20170901*" &amp; "%USERPROFILE%\Documents\GitHub\mrs-test-scripts\Headless Mode &amp; Sideloading\WalkAndUnGZ.bat" "%USERPROFILE%\AppData\Local\Temp\OnboardLogs"\RTDC4055\2017-09-01 &amp; aws s3 cp s3://rtdc.mdm.uploadarchive.raw/RTDC4055/ "%USERPROFILE%\AppData\Local\Temp\OnboardLogs"\RTDC4055\2017-09-02 --exclude "*" --recursive --include "*20170902*" &amp; "%USERPROFILE%\Documents\GitHub\mrs-test-scripts\Headless Mode &amp; Sideloading\WalkAndUnGZ.bat" "%USERPROFILE%\AppData\Local\Temp\OnboardLogs"\RTDC4055\2017-09-02</v>
      </c>
      <c r="AF203" s="74" t="str">
        <f t="shared" si="52"/>
        <v>"C:\Program Files (x86)\AstroGrep\AstroGrep.exe" /e /r /s /spath="%USERPROFILE%\AppData\Local\Temp\OnboardLogs" /stypes="app*4055*20170902*" /stext=" 01:.+((SYSTEM_STATE.+slice.+state.+changed )|(ment ac)|(multiple cpu faults)|(system.+state.+changed )|(\[timeout)|(PRM\|1\|D)|(kpr)|(kdp)|(train st.+moving)|(\|lc)|(penalty))"</v>
      </c>
      <c r="AG203" s="206" t="str">
        <f t="shared" si="53"/>
        <v>NW</v>
      </c>
      <c r="AH203" s="78" t="str">
        <f t="shared" si="54"/>
        <v>"%USERPROFILE%\Documents\GitHub\eaglep3\Utilities\RefineRTDCRunTimes.py" --tripid 840-01 --locoid 4055 --swversion DE.1.0.9.0 --startMP 300:58619 --initTime 2017-09-01T19:26:05 --startdatetime 2017-09-01T19:41:12 --delay 64 --endMP 204:678 --enddatetime 2017-09-01T19:55:01 --enforcementcount 0 &gt;&gt;C:\Users\stu\Documents\GitHub\eaglep3-reporting\EC\2017-09-01-refined-times.txt</v>
      </c>
      <c r="AI203" s="96" t="str">
        <f t="shared" si="55"/>
        <v>echo {"issue":{"subject":"","project_id":79,"tracker_id":40,"status_id":1,"priority_id":2,"assigned_to_id":338,"start_date":"2017-09-01","description":"","custom_fields":[{"id":1,"name":"Subdivision","value":"NW"},{"id":4,"name":"Milepost","value":"0.0678"},{"id":17,"name":"Train ID","value":"840-01"},{"id":16,"name":"Locomotive ID","value":"4055"},{"id":130,"name":"Impact","value":""},{"id":150,"name":"Time of Event (Mountain Time)","value":"19:55:01"},{"id":151,"name":"Denver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56"/>
        <v>start /low /b %USERPROFILE%\Documents\GitHub\eaglep3\Utilities\DownloadLogsFromS3.py --loco 4055 --day 2017-09-01</v>
      </c>
      <c r="AN203" s="151" t="str">
        <f t="shared" si="57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01:55:01"},{"id":29,"name":"Sharepoint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x14ac:dyDescent="0.25">
      <c r="A204" s="32" t="s">
        <v>796</v>
      </c>
      <c r="B204" s="7">
        <v>4056</v>
      </c>
      <c r="C204" s="21" t="s">
        <v>197</v>
      </c>
      <c r="D204" s="21" t="s">
        <v>497</v>
      </c>
      <c r="E204" s="13">
        <v>42979.796122685184</v>
      </c>
      <c r="F204" s="13">
        <v>42979.798171296294</v>
      </c>
      <c r="G204" s="7">
        <v>59</v>
      </c>
      <c r="H204" s="21" t="s">
        <v>954</v>
      </c>
      <c r="I204" s="13">
        <v>42979.80773148148</v>
      </c>
      <c r="J204" s="7">
        <v>0</v>
      </c>
      <c r="K204" s="89" t="str">
        <f t="shared" ref="K204:K241" si="58">IF(ISEVEN(B204),(B204-1)&amp;"/"&amp;B204,B204&amp;"/"&amp;(B204+1))</f>
        <v>4055/4056</v>
      </c>
      <c r="L204" s="214" t="str">
        <f>VLOOKUP(A204,'Trips&amp;Operators'!$C$1:$G$99911,5,FALSE)</f>
        <v>STORY SAMANTHA</v>
      </c>
      <c r="M204" s="6">
        <f t="shared" ref="M204:M241" si="59">I204-F204</f>
        <v>9.560185186273884E-3</v>
      </c>
      <c r="N204" s="7">
        <f t="shared" ref="N204:N241" si="60">24*60*SUM($M204:$M204)</f>
        <v>13.766666668234393</v>
      </c>
      <c r="O204" s="7"/>
      <c r="P204" s="7"/>
      <c r="Q204" s="22"/>
      <c r="R204" s="167"/>
      <c r="S204" s="210">
        <f t="shared" ref="S204:S241" si="61">1/IF(AG204="EC",12,1)*SUM(U204:U204)</f>
        <v>1</v>
      </c>
      <c r="T204" s="192" t="str">
        <f t="shared" ref="T204:T241" si="62">IF(ISEVEN(LEFT(AD204,4)),"Southbound","NorthBound")</f>
        <v>NorthBound</v>
      </c>
      <c r="U204" s="192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3" t="str">
        <f t="shared" ref="V204:V241" si="63"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-09-01T18:06:25-0600',mode:absolute,to:'2017-09-01T20:23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04" s="194" t="str">
        <f>IF(AA204&lt;VLOOKUP(AG204,Variables!$AC$3:$AD$8,2,FALSE),"Y","N")</f>
        <v>N</v>
      </c>
      <c r="X204" s="194">
        <f t="shared" ref="X204:X241" si="64">VALUE(LEFT(AD204,4))-VALUE(LEFT(AD203,4))</f>
        <v>1</v>
      </c>
      <c r="Y204" s="194">
        <f t="shared" ref="Y204:Y241" si="65">RIGHT(D204,LEN(D204)-4)/10000</f>
        <v>9.69E-2</v>
      </c>
      <c r="Z204" s="194">
        <f t="shared" ref="Z204:Z241" si="66">RIGHT(H204,LEN(H204)-4)/10000</f>
        <v>5.8925999999999998</v>
      </c>
      <c r="AA204" s="194">
        <f t="shared" ref="AA204:AA241" si="67">ABS(Z204-Y204)</f>
        <v>5.7957000000000001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203">
        <f t="shared" ref="AD204:AD241" si="68">VALUE(LEFT(A204,LEN(A204)-3))</f>
        <v>841</v>
      </c>
      <c r="AE204" s="77" t="str">
        <f t="shared" ref="AE204:AE241" si="69"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s3://rtdc.mdm.uploadarchive.raw/RTDC4056/ "%USERPROFILE%\AppData\Local\Temp\OnboardLogs"\RTDC4056\2017-09-01 --exclude "*" --recursive --include "*20170901*" &amp; "%USERPROFILE%\Documents\GitHub\mrs-test-scripts\Headless Mode &amp; Sideloading\WalkAndUnGZ.bat" "%USERPROFILE%\AppData\Local\Temp\OnboardLogs"\RTDC4056\2017-09-01 &amp; aws s3 cp s3://rtdc.mdm.uploadarchive.raw/RTDC4056/ "%USERPROFILE%\AppData\Local\Temp\OnboardLogs"\RTDC4056\2017-09-02 --exclude "*" --recursive --include "*20170902*" &amp; "%USERPROFILE%\Documents\GitHub\mrs-test-scripts\Headless Mode &amp; Sideloading\WalkAndUnGZ.bat" "%USERPROFILE%\AppData\Local\Temp\OnboardLogs"\RTDC4056\2017-09-02</v>
      </c>
      <c r="AF204" s="74" t="str">
        <f t="shared" ref="AF204:AF241" si="70"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/stypes="app*4056*20170902*" /stext=" 01:.+((SYSTEM_STATE.+slice.+state.+changed )|(ment ac)|(multiple cpu faults)|(system.+state.+changed )|(\[timeout)|(PRM\|1\|D)|(kpr)|(kdp)|(train st.+moving)|(\|lc)|(penalty))"</v>
      </c>
      <c r="AG204" s="206" t="str">
        <f t="shared" ref="AG204:AG241" si="71">DetSubdiv(A204)</f>
        <v>NW</v>
      </c>
      <c r="AH204" s="78" t="str">
        <f t="shared" si="54"/>
        <v>"%USERPROFILE%\Documents\GitHub\eaglep3\Utilities\RefineRTDCRunTimes.py" --tripid 841-01 --locoid 4056 --swversion DE.1.0.9.0 --startMP 204:969 --initTime 2017-09-01T19:06:25 --startdatetime 2017-09-01T19:09:22 --delay 59 --endMP 300:58926 --enddatetime 2017-09-01T19:23:08 --enforcementcount 0 &gt;&gt;C:\Users\stu\Documents\GitHub\eaglep3-reporting\EC\2017-09-01-refined-times.txt</v>
      </c>
      <c r="AI204" s="96" t="str">
        <f t="shared" si="55"/>
        <v>echo {"issue":{"subject":"","project_id":79,"tracker_id":40,"status_id":1,"priority_id":2,"assigned_to_id":338,"start_date":"2017-09-01","description":"","custom_fields":[{"id":1,"name":"Subdivision","value":"NW"},{"id":4,"name":"Milepost","value":"5.8926"},{"id":17,"name":"Train ID","value":"841-01"},{"id":16,"name":"Locomotive ID","value":"4056"},{"id":130,"name":"Impact","value":""},{"id":150,"name":"Time of Event (Mountain Time)","value":"19:23:08"},{"id":151,"name":"Denver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56"/>
        <v>start /low /b %USERPROFILE%\Documents\GitHub\eaglep3\Utilities\DownloadLogsFromS3.py --loco 4056 --day 2017-09-01</v>
      </c>
      <c r="AN204" s="151" t="str">
        <f t="shared" si="57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01:23:08"},{"id":29,"name":"Sharepoint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804</v>
      </c>
      <c r="B205" s="7">
        <v>4055</v>
      </c>
      <c r="C205" s="21" t="s">
        <v>197</v>
      </c>
      <c r="D205" s="21" t="s">
        <v>471</v>
      </c>
      <c r="E205" s="13">
        <v>42979.857187499998</v>
      </c>
      <c r="F205" s="13">
        <v>42979.861527777779</v>
      </c>
      <c r="G205" s="7">
        <v>49</v>
      </c>
      <c r="H205" s="21" t="s">
        <v>955</v>
      </c>
      <c r="I205" s="13">
        <v>42979.871620370373</v>
      </c>
      <c r="J205" s="7">
        <v>0</v>
      </c>
      <c r="K205" s="89" t="str">
        <f t="shared" si="58"/>
        <v>4055/4056</v>
      </c>
      <c r="L205" s="214" t="str">
        <f>VLOOKUP(A205,'Trips&amp;Operators'!$C$1:$G$99911,5,FALSE)</f>
        <v>STORY SAMANTHA</v>
      </c>
      <c r="M205" s="6">
        <f t="shared" si="59"/>
        <v>1.0092592594446614E-2</v>
      </c>
      <c r="N205" s="7">
        <f t="shared" si="60"/>
        <v>14.533333336003125</v>
      </c>
      <c r="O205" s="7"/>
      <c r="P205" s="7"/>
      <c r="Q205" s="22"/>
      <c r="R205" s="167"/>
      <c r="S205" s="210">
        <f t="shared" si="61"/>
        <v>1</v>
      </c>
      <c r="T205" s="192" t="str">
        <f t="shared" si="62"/>
        <v>Southbound</v>
      </c>
      <c r="U205" s="192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3" t="str">
        <f t="shared" si="63"/>
        <v>https://d0f6bd738d7f1b3e5a7ca70fe4ff75f0.us-east-1.aws.found.io/app/kibana#/discover/Steve-Slow-Train-Analysis-(2080s-and-2083s)?_g=(refreshInterval:(display:Off,pause:!f,section:0,value:0),time:(from:'2017-09-01T19:34:21-0600',mode:absolute,to:'2017-09-01T21:55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5" s="194" t="str">
        <f>IF(AA205&lt;VLOOKUP(AG205,Variables!$AC$3:$AD$8,2,FALSE),"Y","N")</f>
        <v>N</v>
      </c>
      <c r="X205" s="194">
        <f t="shared" si="64"/>
        <v>1</v>
      </c>
      <c r="Y205" s="194">
        <f t="shared" si="65"/>
        <v>5.8624000000000001</v>
      </c>
      <c r="Z205" s="194">
        <f t="shared" si="66"/>
        <v>7.1999999999999995E-2</v>
      </c>
      <c r="AA205" s="194">
        <f t="shared" si="67"/>
        <v>5.7904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203">
        <f t="shared" si="68"/>
        <v>842</v>
      </c>
      <c r="AE205" s="77" t="str">
        <f t="shared" si="69"/>
        <v>aws s3 cp s3://rtdc.mdm.uploadarchive.raw/RTDC4055/ "%USERPROFILE%\AppData\Local\Temp\OnboardLogs"\RTDC4055\2017-09-01 --exclude "*" --recursive --include "*20170901*" &amp; "%USERPROFILE%\Documents\GitHub\mrs-test-scripts\Headless Mode &amp; Sideloading\WalkAndUnGZ.bat" "%USERPROFILE%\AppData\Local\Temp\OnboardLogs"\RTDC4055\2017-09-01 &amp; aws s3 cp s3://rtdc.mdm.uploadarchive.raw/RTDC4055/ "%USERPROFILE%\AppData\Local\Temp\OnboardLogs"\RTDC4055\2017-09-02 --exclude "*" --recursive --include "*20170902*" &amp; "%USERPROFILE%\Documents\GitHub\mrs-test-scripts\Headless Mode &amp; Sideloading\WalkAndUnGZ.bat" "%USERPROFILE%\AppData\Local\Temp\OnboardLogs"\RTDC4055\2017-09-02</v>
      </c>
      <c r="AF205" s="74" t="str">
        <f t="shared" si="70"/>
        <v>"C:\Program Files (x86)\AstroGrep\AstroGrep.exe" /e /r /s /spath="%USERPROFILE%\AppData\Local\Temp\OnboardLogs" /stypes="app*4055*20170902*" /stext=" 02:.+((SYSTEM_STATE.+slice.+state.+changed )|(ment ac)|(multiple cpu faults)|(system.+state.+changed )|(\[timeout)|(PRM\|1\|D)|(kpr)|(kdp)|(train st.+moving)|(\|lc)|(penalty))"</v>
      </c>
      <c r="AG205" s="206" t="str">
        <f t="shared" si="71"/>
        <v>NW</v>
      </c>
      <c r="AH205" s="78" t="str">
        <f t="shared" ref="AH205:AH241" si="72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842-01 --locoid 4055 --swversion DE.1.0.9.0 --startMP 300:58624 --initTime 2017-09-01T20:34:21 --startdatetime 2017-09-01T20:40:36 --delay 49 --endMP 204:720 --enddatetime 2017-09-01T20:55:08 --enforcementcount 0 &gt;&gt;C:\Users\stu\Documents\GitHub\eaglep3-reporting\EC\2017-09-01-refined-times.txt</v>
      </c>
      <c r="AI205" s="96" t="str">
        <f t="shared" ref="AI205:AI241" si="73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{"issue":{"subject":"","project_id":79,"tracker_id":40,"status_id":1,"priority_id":2,"assigned_to_id":338,"start_date":"2017-09-01","description":"","custom_fields":[{"id":1,"name":"Subdivision","value":"NW"},{"id":4,"name":"Milepost","value":"0.072"},{"id":17,"name":"Train ID","value":"842-01"},{"id":16,"name":"Locomotive ID","value":"4055"},{"id":130,"name":"Impact","value":""},{"id":150,"name":"Time of Event (Mountain Time)","value":"20:55:08"},{"id":151,"name":"Denver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ref="AM205:AM241" si="74">"start /low /b "&amp;dls3logs&amp;" --loco "&amp;B205&amp;" --day "&amp;TEXT(F205,"YYYY-MM-DD")</f>
        <v>start /low /b %USERPROFILE%\Documents\GitHub\eaglep3\Utilities\DownloadLogsFromS3.py --loco 4055 --day 2017-09-01</v>
      </c>
      <c r="AN205" s="151" t="str">
        <f t="shared" ref="AN205:AN241" si="75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02:55:08"},{"id":29,"name":"Sharepoint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801</v>
      </c>
      <c r="B206" s="7">
        <v>4056</v>
      </c>
      <c r="C206" s="21" t="s">
        <v>197</v>
      </c>
      <c r="D206" s="21" t="s">
        <v>497</v>
      </c>
      <c r="E206" s="13">
        <v>42979.831111111111</v>
      </c>
      <c r="F206" s="13">
        <v>42979.839872685188</v>
      </c>
      <c r="G206" s="7">
        <v>616</v>
      </c>
      <c r="H206" s="21" t="s">
        <v>956</v>
      </c>
      <c r="I206" s="13">
        <v>42979.849756944444</v>
      </c>
      <c r="J206" s="7">
        <v>0</v>
      </c>
      <c r="K206" s="89" t="str">
        <f t="shared" si="58"/>
        <v>4055/4056</v>
      </c>
      <c r="L206" s="214" t="str">
        <f>VLOOKUP(A206,'Trips&amp;Operators'!$C$1:$G$99911,5,FALSE)</f>
        <v>STORY SAMANTHA</v>
      </c>
      <c r="M206" s="6">
        <f t="shared" si="59"/>
        <v>9.8842592560686171E-3</v>
      </c>
      <c r="N206" s="7">
        <f t="shared" si="60"/>
        <v>14.233333328738809</v>
      </c>
      <c r="O206" s="7"/>
      <c r="P206" s="7"/>
      <c r="Q206" s="22"/>
      <c r="R206" s="167"/>
      <c r="S206" s="210">
        <f t="shared" si="61"/>
        <v>1</v>
      </c>
      <c r="T206" s="192" t="str">
        <f t="shared" si="62"/>
        <v>NorthBound</v>
      </c>
      <c r="U206" s="192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3" t="str">
        <f t="shared" si="63"/>
        <v>https://d0f6bd738d7f1b3e5a7ca70fe4ff75f0.us-east-1.aws.found.io/app/kibana#/discover/Steve-Slow-Train-Analysis-(2080s-and-2083s)?_g=(refreshInterval:(display:Off,pause:!f,section:0,value:0),time:(from:'2017-09-01T18:56:48-0600',mode:absolute,to:'2017-09-01T21:23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06" s="194" t="str">
        <f>IF(AA206&lt;VLOOKUP(AG206,Variables!$AC$3:$AD$8,2,FALSE),"Y","N")</f>
        <v>N</v>
      </c>
      <c r="X206" s="194">
        <f t="shared" si="64"/>
        <v>1</v>
      </c>
      <c r="Y206" s="194">
        <f t="shared" si="65"/>
        <v>9.69E-2</v>
      </c>
      <c r="Z206" s="194">
        <f t="shared" si="66"/>
        <v>5.8939000000000004</v>
      </c>
      <c r="AA206" s="194">
        <f t="shared" si="67"/>
        <v>5.7970000000000006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203">
        <f t="shared" si="68"/>
        <v>843</v>
      </c>
      <c r="AE206" s="77" t="str">
        <f t="shared" si="69"/>
        <v>aws s3 cp s3://rtdc.mdm.uploadarchive.raw/RTDC4056/ "%USERPROFILE%\AppData\Local\Temp\OnboardLogs"\RTDC4056\2017-09-01 --exclude "*" --recursive --include "*20170901*" &amp; "%USERPROFILE%\Documents\GitHub\mrs-test-scripts\Headless Mode &amp; Sideloading\WalkAndUnGZ.bat" "%USERPROFILE%\AppData\Local\Temp\OnboardLogs"\RTDC4056\2017-09-01 &amp; aws s3 cp s3://rtdc.mdm.uploadarchive.raw/RTDC4056/ "%USERPROFILE%\AppData\Local\Temp\OnboardLogs"\RTDC4056\2017-09-02 --exclude "*" --recursive --include "*20170902*" &amp; "%USERPROFILE%\Documents\GitHub\mrs-test-scripts\Headless Mode &amp; Sideloading\WalkAndUnGZ.bat" "%USERPROFILE%\AppData\Local\Temp\OnboardLogs"\RTDC4056\2017-09-02</v>
      </c>
      <c r="AF206" s="74" t="str">
        <f t="shared" si="70"/>
        <v>"C:\Program Files (x86)\AstroGrep\AstroGrep.exe" /e /r /s /spath="%USERPROFILE%\AppData\Local\Temp\OnboardLogs" /stypes="app*4056*20170902*" /stext=" 02:.+((SYSTEM_STATE.+slice.+state.+changed )|(ment ac)|(multiple cpu faults)|(system.+state.+changed )|(\[timeout)|(PRM\|1\|D)|(kpr)|(kdp)|(train st.+moving)|(\|lc)|(penalty))"</v>
      </c>
      <c r="AG206" s="206" t="str">
        <f t="shared" si="71"/>
        <v>NW</v>
      </c>
      <c r="AH206" s="78" t="str">
        <f t="shared" si="72"/>
        <v>"%USERPROFILE%\Documents\GitHub\eaglep3\Utilities\RefineRTDCRunTimes.py" --tripid 843-01 --locoid 4056 --swversion DE.1.0.9.0 --startMP 204:969 --initTime 2017-09-01T19:56:48 --startdatetime 2017-09-01T20:09:25 --delay 616 --endMP 300:58939 --enddatetime 2017-09-01T20:23:39 --enforcementcount 0 &gt;&gt;C:\Users\stu\Documents\GitHub\eaglep3-reporting\EC\2017-09-01-refined-times.txt</v>
      </c>
      <c r="AI206" s="96" t="str">
        <f t="shared" si="73"/>
        <v>echo {"issue":{"subject":"","project_id":79,"tracker_id":40,"status_id":1,"priority_id":2,"assigned_to_id":338,"start_date":"2017-09-01","description":"","custom_fields":[{"id":1,"name":"Subdivision","value":"NW"},{"id":4,"name":"Milepost","value":"5.8939"},{"id":17,"name":"Train ID","value":"843-01"},{"id":16,"name":"Locomotive ID","value":"4056"},{"id":130,"name":"Impact","value":""},{"id":150,"name":"Time of Event (Mountain Time)","value":"20:23:39"},{"id":151,"name":"Denver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74"/>
        <v>start /low /b %USERPROFILE%\Documents\GitHub\eaglep3\Utilities\DownloadLogsFromS3.py --loco 4056 --day 2017-09-01</v>
      </c>
      <c r="AN206" s="151" t="str">
        <f t="shared" si="75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02:23:39"},{"id":29,"name":"Sharepoint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810</v>
      </c>
      <c r="B207" s="7">
        <v>4055</v>
      </c>
      <c r="C207" s="21" t="s">
        <v>197</v>
      </c>
      <c r="D207" s="21" t="s">
        <v>469</v>
      </c>
      <c r="E207" s="13">
        <v>42979.900092592594</v>
      </c>
      <c r="F207" s="13">
        <v>42979.903043981481</v>
      </c>
      <c r="G207" s="7">
        <v>80</v>
      </c>
      <c r="H207" s="21" t="s">
        <v>957</v>
      </c>
      <c r="I207" s="13">
        <v>42979.913726851853</v>
      </c>
      <c r="J207" s="7">
        <v>0</v>
      </c>
      <c r="K207" s="89" t="str">
        <f t="shared" si="58"/>
        <v>4055/4056</v>
      </c>
      <c r="L207" s="214" t="str">
        <f>VLOOKUP(A207,'Trips&amp;Operators'!$C$1:$G$99911,5,FALSE)</f>
        <v>GUNTHIER ERIC</v>
      </c>
      <c r="M207" s="6">
        <f t="shared" si="59"/>
        <v>1.0682870371965691E-2</v>
      </c>
      <c r="N207" s="7">
        <f t="shared" si="60"/>
        <v>15.383333335630596</v>
      </c>
      <c r="O207" s="7"/>
      <c r="P207" s="7"/>
      <c r="Q207" s="22"/>
      <c r="R207" s="167"/>
      <c r="S207" s="210">
        <f t="shared" si="61"/>
        <v>1</v>
      </c>
      <c r="T207" s="192" t="str">
        <f t="shared" si="62"/>
        <v>Southbound</v>
      </c>
      <c r="U207" s="192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3" t="str">
        <f t="shared" si="63"/>
        <v>https://d0f6bd738d7f1b3e5a7ca70fe4ff75f0.us-east-1.aws.found.io/app/kibana#/discover/Steve-Slow-Train-Analysis-(2080s-and-2083s)?_g=(refreshInterval:(display:Off,pause:!f,section:0,value:0),time:(from:'2017-09-01T20:36:08-0600',mode:absolute,to:'2017-09-01T22:55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7" s="194" t="str">
        <f>IF(AA207&lt;VLOOKUP(AG207,Variables!$AC$3:$AD$8,2,FALSE),"Y","N")</f>
        <v>N</v>
      </c>
      <c r="X207" s="194">
        <f t="shared" si="64"/>
        <v>1</v>
      </c>
      <c r="Y207" s="194">
        <f t="shared" si="65"/>
        <v>5.8623000000000003</v>
      </c>
      <c r="Z207" s="194">
        <f t="shared" si="66"/>
        <v>7.0599999999999996E-2</v>
      </c>
      <c r="AA207" s="194">
        <f t="shared" si="67"/>
        <v>5.7917000000000005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203">
        <f t="shared" si="68"/>
        <v>844</v>
      </c>
      <c r="AE207" s="77" t="str">
        <f t="shared" si="69"/>
        <v>aws s3 cp s3://rtdc.mdm.uploadarchive.raw/RTDC4055/ "%USERPROFILE%\AppData\Local\Temp\OnboardLogs"\RTDC4055\2017-09-01 --exclude "*" --recursive --include "*20170901*" &amp; "%USERPROFILE%\Documents\GitHub\mrs-test-scripts\Headless Mode &amp; Sideloading\WalkAndUnGZ.bat" "%USERPROFILE%\AppData\Local\Temp\OnboardLogs"\RTDC4055\2017-09-01 &amp; aws s3 cp s3://rtdc.mdm.uploadarchive.raw/RTDC4055/ "%USERPROFILE%\AppData\Local\Temp\OnboardLogs"\RTDC4055\2017-09-02 --exclude "*" --recursive --include "*20170902*" &amp; "%USERPROFILE%\Documents\GitHub\mrs-test-scripts\Headless Mode &amp; Sideloading\WalkAndUnGZ.bat" "%USERPROFILE%\AppData\Local\Temp\OnboardLogs"\RTDC4055\2017-09-02</v>
      </c>
      <c r="AF207" s="74" t="str">
        <f t="shared" si="70"/>
        <v>"C:\Program Files (x86)\AstroGrep\AstroGrep.exe" /e /r /s /spath="%USERPROFILE%\AppData\Local\Temp\OnboardLogs" /stypes="app*4055*20170902*" /stext=" 03:.+((SYSTEM_STATE.+slice.+state.+changed )|(ment ac)|(multiple cpu faults)|(system.+state.+changed )|(\[timeout)|(PRM\|1\|D)|(kpr)|(kdp)|(train st.+moving)|(\|lc)|(penalty))"</v>
      </c>
      <c r="AG207" s="206" t="str">
        <f t="shared" si="71"/>
        <v>NW</v>
      </c>
      <c r="AH207" s="78" t="str">
        <f t="shared" si="72"/>
        <v>"%USERPROFILE%\Documents\GitHub\eaglep3\Utilities\RefineRTDCRunTimes.py" --tripid 844-01 --locoid 4055 --swversion DE.1.0.9.0 --startMP 300:58623 --initTime 2017-09-01T21:36:08 --startdatetime 2017-09-01T21:40:23 --delay 80 --endMP 204:706 --enddatetime 2017-09-01T21:55:46 --enforcementcount 0 &gt;&gt;C:\Users\stu\Documents\GitHub\eaglep3-reporting\EC\2017-09-01-refined-times.txt</v>
      </c>
      <c r="AI207" s="96" t="str">
        <f t="shared" si="73"/>
        <v>echo {"issue":{"subject":"","project_id":79,"tracker_id":40,"status_id":1,"priority_id":2,"assigned_to_id":338,"start_date":"2017-09-01","description":"","custom_fields":[{"id":1,"name":"Subdivision","value":"NW"},{"id":4,"name":"Milepost","value":"0.0706"},{"id":17,"name":"Train ID","value":"844-01"},{"id":16,"name":"Locomotive ID","value":"4055"},{"id":130,"name":"Impact","value":""},{"id":150,"name":"Time of Event (Mountain Time)","value":"21:55:46"},{"id":151,"name":"Denver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74"/>
        <v>start /low /b %USERPROFILE%\Documents\GitHub\eaglep3\Utilities\DownloadLogsFromS3.py --loco 4055 --day 2017-09-01</v>
      </c>
      <c r="AN207" s="151" t="str">
        <f t="shared" si="75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03:55:46"},{"id":29,"name":"Sharepoint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807</v>
      </c>
      <c r="B208" s="7">
        <v>4056</v>
      </c>
      <c r="C208" s="21" t="s">
        <v>197</v>
      </c>
      <c r="D208" s="21" t="s">
        <v>958</v>
      </c>
      <c r="E208" s="13">
        <v>42979.874537037038</v>
      </c>
      <c r="F208" s="13">
        <v>42979.881504629629</v>
      </c>
      <c r="G208" s="7">
        <v>86</v>
      </c>
      <c r="H208" s="21" t="s">
        <v>956</v>
      </c>
      <c r="I208" s="13">
        <v>42979.891898148147</v>
      </c>
      <c r="J208" s="7">
        <v>0</v>
      </c>
      <c r="K208" s="89" t="str">
        <f t="shared" si="58"/>
        <v>4055/4056</v>
      </c>
      <c r="L208" s="214" t="str">
        <f>VLOOKUP(A208,'Trips&amp;Operators'!$C$1:$G$99911,5,FALSE)</f>
        <v>GUNTHIER ERIC</v>
      </c>
      <c r="M208" s="6">
        <f t="shared" si="59"/>
        <v>1.0393518517958E-2</v>
      </c>
      <c r="N208" s="7">
        <f t="shared" si="60"/>
        <v>14.96666666585952</v>
      </c>
      <c r="O208" s="7"/>
      <c r="P208" s="7"/>
      <c r="Q208" s="22"/>
      <c r="R208" s="167"/>
      <c r="S208" s="210">
        <f t="shared" si="61"/>
        <v>1</v>
      </c>
      <c r="T208" s="192" t="str">
        <f t="shared" si="62"/>
        <v>NorthBound</v>
      </c>
      <c r="U208" s="192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3" t="str">
        <f t="shared" si="63"/>
        <v>https://d0f6bd738d7f1b3e5a7ca70fe4ff75f0.us-east-1.aws.found.io/app/kibana#/discover/Steve-Slow-Train-Analysis-(2080s-and-2083s)?_g=(refreshInterval:(display:Off,pause:!f,section:0,value:0),time:(from:'2017-09-01T19:59:20-0600',mode:absolute,to:'2017-09-01T22:24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08" s="194" t="str">
        <f>IF(AA208&lt;VLOOKUP(AG208,Variables!$AC$3:$AD$8,2,FALSE),"Y","N")</f>
        <v>N</v>
      </c>
      <c r="X208" s="194">
        <f t="shared" si="64"/>
        <v>1</v>
      </c>
      <c r="Y208" s="194">
        <f t="shared" si="65"/>
        <v>0.10489999999999999</v>
      </c>
      <c r="Z208" s="194">
        <f t="shared" si="66"/>
        <v>5.8939000000000004</v>
      </c>
      <c r="AA208" s="194">
        <f t="shared" si="67"/>
        <v>5.7890000000000006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203">
        <f t="shared" si="68"/>
        <v>845</v>
      </c>
      <c r="AE208" s="77" t="str">
        <f t="shared" si="69"/>
        <v>aws s3 cp s3://rtdc.mdm.uploadarchive.raw/RTDC4056/ "%USERPROFILE%\AppData\Local\Temp\OnboardLogs"\RTDC4056\2017-09-01 --exclude "*" --recursive --include "*20170901*" &amp; "%USERPROFILE%\Documents\GitHub\mrs-test-scripts\Headless Mode &amp; Sideloading\WalkAndUnGZ.bat" "%USERPROFILE%\AppData\Local\Temp\OnboardLogs"\RTDC4056\2017-09-01 &amp; aws s3 cp s3://rtdc.mdm.uploadarchive.raw/RTDC4056/ "%USERPROFILE%\AppData\Local\Temp\OnboardLogs"\RTDC4056\2017-09-02 --exclude "*" --recursive --include "*20170902*" &amp; "%USERPROFILE%\Documents\GitHub\mrs-test-scripts\Headless Mode &amp; Sideloading\WalkAndUnGZ.bat" "%USERPROFILE%\AppData\Local\Temp\OnboardLogs"\RTDC4056\2017-09-02</v>
      </c>
      <c r="AF208" s="74" t="str">
        <f t="shared" si="70"/>
        <v>"C:\Program Files (x86)\AstroGrep\AstroGrep.exe" /e /r /s /spath="%USERPROFILE%\AppData\Local\Temp\OnboardLogs" /stypes="app*4056*20170902*" /stext=" 03:.+((SYSTEM_STATE.+slice.+state.+changed )|(ment ac)|(multiple cpu faults)|(system.+state.+changed )|(\[timeout)|(PRM\|1\|D)|(kpr)|(kdp)|(train st.+moving)|(\|lc)|(penalty))"</v>
      </c>
      <c r="AG208" s="206" t="str">
        <f t="shared" si="71"/>
        <v>NW</v>
      </c>
      <c r="AH208" s="78" t="str">
        <f t="shared" si="72"/>
        <v>"%USERPROFILE%\Documents\GitHub\eaglep3\Utilities\RefineRTDCRunTimes.py" --tripid 845-01 --locoid 4056 --swversion DE.1.0.9.0 --startMP 204:1049 --initTime 2017-09-01T20:59:20 --startdatetime 2017-09-01T21:09:22 --delay 86 --endMP 300:58939 --enddatetime 2017-09-01T21:24:20 --enforcementcount 0 &gt;&gt;C:\Users\stu\Documents\GitHub\eaglep3-reporting\EC\2017-09-01-refined-times.txt</v>
      </c>
      <c r="AI208" s="96" t="str">
        <f t="shared" si="73"/>
        <v>echo {"issue":{"subject":"","project_id":79,"tracker_id":40,"status_id":1,"priority_id":2,"assigned_to_id":338,"start_date":"2017-09-01","description":"","custom_fields":[{"id":1,"name":"Subdivision","value":"NW"},{"id":4,"name":"Milepost","value":"5.8939"},{"id":17,"name":"Train ID","value":"845-01"},{"id":16,"name":"Locomotive ID","value":"4056"},{"id":130,"name":"Impact","value":""},{"id":150,"name":"Time of Event (Mountain Time)","value":"21:24:20"},{"id":151,"name":"Denver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74"/>
        <v>start /low /b %USERPROFILE%\Documents\GitHub\eaglep3\Utilities\DownloadLogsFromS3.py --loco 4056 --day 2017-09-01</v>
      </c>
      <c r="AN208" s="151" t="str">
        <f t="shared" si="75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03:24:20"},{"id":29,"name":"Sharepoint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815</v>
      </c>
      <c r="B209" s="7">
        <v>4055</v>
      </c>
      <c r="C209" s="21" t="s">
        <v>197</v>
      </c>
      <c r="D209" s="21" t="s">
        <v>959</v>
      </c>
      <c r="E209" s="13">
        <v>42979.942928240744</v>
      </c>
      <c r="F209" s="13">
        <v>42979.945821759262</v>
      </c>
      <c r="G209" s="7">
        <v>71</v>
      </c>
      <c r="H209" s="21" t="s">
        <v>960</v>
      </c>
      <c r="I209" s="13">
        <v>42979.954884259256</v>
      </c>
      <c r="J209" s="7">
        <v>0</v>
      </c>
      <c r="K209" s="89" t="str">
        <f t="shared" si="58"/>
        <v>4055/4056</v>
      </c>
      <c r="L209" s="214" t="str">
        <f>VLOOKUP(A209,'Trips&amp;Operators'!$C$1:$G$99911,5,FALSE)</f>
        <v>GUNTHIER ERIC</v>
      </c>
      <c r="M209" s="6">
        <f t="shared" si="59"/>
        <v>9.0624999938881956E-3</v>
      </c>
      <c r="N209" s="7">
        <f t="shared" si="60"/>
        <v>13.049999991199002</v>
      </c>
      <c r="O209" s="7"/>
      <c r="P209" s="7"/>
      <c r="Q209" s="22"/>
      <c r="R209" s="167"/>
      <c r="S209" s="210">
        <f t="shared" si="61"/>
        <v>1</v>
      </c>
      <c r="T209" s="192" t="str">
        <f t="shared" si="62"/>
        <v>Southbound</v>
      </c>
      <c r="U209" s="192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3" t="str">
        <f t="shared" si="63"/>
        <v>https://d0f6bd738d7f1b3e5a7ca70fe4ff75f0.us-east-1.aws.found.io/app/kibana#/discover/Steve-Slow-Train-Analysis-(2080s-and-2083s)?_g=(refreshInterval:(display:Off,pause:!f,section:0,value:0),time:(from:'2017-09-01T21:37:49-0600',mode:absolute,to:'2017-09-01T23:55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9" s="194" t="str">
        <f>IF(AA209&lt;VLOOKUP(AG209,Variables!$AC$3:$AD$8,2,FALSE),"Y","N")</f>
        <v>N</v>
      </c>
      <c r="X209" s="194">
        <f t="shared" si="64"/>
        <v>1</v>
      </c>
      <c r="Y209" s="194">
        <f t="shared" si="65"/>
        <v>5.8708</v>
      </c>
      <c r="Z209" s="194">
        <f t="shared" si="66"/>
        <v>7.1499999999999994E-2</v>
      </c>
      <c r="AA209" s="194">
        <f t="shared" si="67"/>
        <v>5.7992999999999997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203">
        <f t="shared" si="68"/>
        <v>846</v>
      </c>
      <c r="AE209" s="77" t="str">
        <f t="shared" si="69"/>
        <v>aws s3 cp s3://rtdc.mdm.uploadarchive.raw/RTDC4055/ "%USERPROFILE%\AppData\Local\Temp\OnboardLogs"\RTDC4055\2017-09-01 --exclude "*" --recursive --include "*20170901*" &amp; "%USERPROFILE%\Documents\GitHub\mrs-test-scripts\Headless Mode &amp; Sideloading\WalkAndUnGZ.bat" "%USERPROFILE%\AppData\Local\Temp\OnboardLogs"\RTDC4055\2017-09-01 &amp; aws s3 cp s3://rtdc.mdm.uploadarchive.raw/RTDC4055/ "%USERPROFILE%\AppData\Local\Temp\OnboardLogs"\RTDC4055\2017-09-02 --exclude "*" --recursive --include "*20170902*" &amp; "%USERPROFILE%\Documents\GitHub\mrs-test-scripts\Headless Mode &amp; Sideloading\WalkAndUnGZ.bat" "%USERPROFILE%\AppData\Local\Temp\OnboardLogs"\RTDC4055\2017-09-02</v>
      </c>
      <c r="AF209" s="74" t="str">
        <f t="shared" si="70"/>
        <v>"C:\Program Files (x86)\AstroGrep\AstroGrep.exe" /e /r /s /spath="%USERPROFILE%\AppData\Local\Temp\OnboardLogs" /stypes="app*4055*20170902*" /stext=" 04:.+((SYSTEM_STATE.+slice.+state.+changed )|(ment ac)|(multiple cpu faults)|(system.+state.+changed )|(\[timeout)|(PRM\|1\|D)|(kpr)|(kdp)|(train st.+moving)|(\|lc)|(penalty))"</v>
      </c>
      <c r="AG209" s="206" t="str">
        <f t="shared" si="71"/>
        <v>NW</v>
      </c>
      <c r="AH209" s="78" t="str">
        <f t="shared" si="72"/>
        <v>"%USERPROFILE%\Documents\GitHub\eaglep3\Utilities\RefineRTDCRunTimes.py" --tripid 846-01 --locoid 4055 --swversion DE.1.0.9.0 --startMP 300:58708 --initTime 2017-09-01T22:37:49 --startdatetime 2017-09-01T22:41:59 --delay 71 --endMP 204:715 --enddatetime 2017-09-01T22:55:02 --enforcementcount 0 &gt;&gt;C:\Users\stu\Documents\GitHub\eaglep3-reporting\EC\2017-09-01-refined-times.txt</v>
      </c>
      <c r="AI209" s="96" t="str">
        <f t="shared" si="73"/>
        <v>echo {"issue":{"subject":"","project_id":79,"tracker_id":40,"status_id":1,"priority_id":2,"assigned_to_id":338,"start_date":"2017-09-01","description":"","custom_fields":[{"id":1,"name":"Subdivision","value":"NW"},{"id":4,"name":"Milepost","value":"0.0715"},{"id":17,"name":"Train ID","value":"846-01"},{"id":16,"name":"Locomotive ID","value":"4055"},{"id":130,"name":"Impact","value":""},{"id":150,"name":"Time of Event (Mountain Time)","value":"22:55:02"},{"id":151,"name":"Denver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74"/>
        <v>start /low /b %USERPROFILE%\Documents\GitHub\eaglep3\Utilities\DownloadLogsFromS3.py --loco 4055 --day 2017-09-01</v>
      </c>
      <c r="AN209" s="151" t="str">
        <f t="shared" si="75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04:55:02"},{"id":29,"name":"Sharepoint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s="20" customFormat="1" x14ac:dyDescent="0.25">
      <c r="A210" s="32" t="s">
        <v>615</v>
      </c>
      <c r="B210" s="7">
        <v>4056</v>
      </c>
      <c r="C210" s="21" t="s">
        <v>197</v>
      </c>
      <c r="D210" s="21" t="s">
        <v>959</v>
      </c>
      <c r="E210" s="13">
        <v>42979.942928240744</v>
      </c>
      <c r="F210" s="13">
        <v>42979.923125000001</v>
      </c>
      <c r="G210" s="7">
        <v>71</v>
      </c>
      <c r="H210" s="21" t="s">
        <v>960</v>
      </c>
      <c r="I210" s="13">
        <v>42979.935497685183</v>
      </c>
      <c r="J210" s="7">
        <v>0</v>
      </c>
      <c r="K210" s="89" t="str">
        <f t="shared" ref="K210" si="76">IF(ISEVEN(B210),(B210-1)&amp;"/"&amp;B210,B210&amp;"/"&amp;(B210+1))</f>
        <v>4055/4056</v>
      </c>
      <c r="L210" s="214" t="str">
        <f>VLOOKUP(A210,'Trips&amp;Operators'!$C$1:$G$99911,5,FALSE)</f>
        <v>GUNTHIER ERIC</v>
      </c>
      <c r="M210" s="6">
        <f t="shared" ref="M210" si="77">I210-F210</f>
        <v>1.2372685181617271E-2</v>
      </c>
      <c r="N210" s="7">
        <f t="shared" si="60"/>
        <v>17.81666666152887</v>
      </c>
      <c r="O210" s="7"/>
      <c r="P210" s="7"/>
      <c r="Q210" s="22"/>
      <c r="R210" s="167"/>
      <c r="S210" s="210">
        <f t="shared" ref="S210" si="78">1/IF(AG210="EC",12,1)*SUM(U210:U210)</f>
        <v>1</v>
      </c>
      <c r="T210" s="192" t="str">
        <f t="shared" ref="T210" si="79">IF(ISEVEN(LEFT(AD210,4)),"Southbound","NorthBound")</f>
        <v>NorthBound</v>
      </c>
      <c r="U210" s="192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3" t="str">
        <f t="shared" ref="V210" si="80"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-09-01T21:37:49-0600',mode:absolute,to:'2017-09-01T23:27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0" s="194" t="str">
        <f>IF(AA210&lt;VLOOKUP(AG210,Variables!$AC$3:$AD$8,2,FALSE),"Y","N")</f>
        <v>N</v>
      </c>
      <c r="X210" s="194">
        <f t="shared" si="64"/>
        <v>1</v>
      </c>
      <c r="Y210" s="194">
        <v>0.10489999999999999</v>
      </c>
      <c r="Z210" s="194">
        <v>5.8939000000000004</v>
      </c>
      <c r="AA210" s="194">
        <f t="shared" ref="AA210" si="81">ABS(Z210-Y210)</f>
        <v>5.7890000000000006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203">
        <f t="shared" ref="AD210" si="82">VALUE(LEFT(A210,LEN(A210)-3))</f>
        <v>847</v>
      </c>
      <c r="AE210" s="77" t="str">
        <f t="shared" ref="AE210" si="83"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s3://rtdc.mdm.uploadarchive.raw/RTDC4056/ "%USERPROFILE%\AppData\Local\Temp\OnboardLogs"\RTDC4056\2017-09-01 --exclude "*" --recursive --include "*20170901*" &amp; "%USERPROFILE%\Documents\GitHub\mrs-test-scripts\Headless Mode &amp; Sideloading\WalkAndUnGZ.bat" "%USERPROFILE%\AppData\Local\Temp\OnboardLogs"\RTDC4056\2017-09-01 &amp; aws s3 cp s3://rtdc.mdm.uploadarchive.raw/RTDC4056/ "%USERPROFILE%\AppData\Local\Temp\OnboardLogs"\RTDC4056\2017-09-02 --exclude "*" --recursive --include "*20170902*" &amp; "%USERPROFILE%\Documents\GitHub\mrs-test-scripts\Headless Mode &amp; Sideloading\WalkAndUnGZ.bat" "%USERPROFILE%\AppData\Local\Temp\OnboardLogs"\RTDC4056\2017-09-02</v>
      </c>
      <c r="AF210" s="74" t="str">
        <f t="shared" ref="AF210" si="84"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/stypes="app*4056*20170902*" /stext=" 04:.+((SYSTEM_STATE.+slice.+state.+changed )|(ment ac)|(multiple cpu faults)|(system.+state.+changed )|(\[timeout)|(PRM\|1\|D)|(kpr)|(kdp)|(train st.+moving)|(\|lc)|(penalty))"</v>
      </c>
      <c r="AG210" s="206" t="str">
        <f t="shared" ref="AG210" si="85">DetSubdiv(A210)</f>
        <v>NW</v>
      </c>
      <c r="AH210" s="78" t="str">
        <f t="shared" ref="AH210" si="86">refinertdcruntimes&amp;" --tripid "&amp;A210&amp;" --locoid "&amp;B210&amp;" --swversion "&amp;C210&amp;" --startMP "&amp;D210&amp;" --initTime "&amp;TEXT(E210,"yyyy-mm-ddTHH:MM:SS")&amp;" --startdatetime "&amp;TEXT(F210,"yyyy-mm-ddTHH:MM:SS")&amp;" --delay "&amp;G210&amp;" --endMP "&amp;H210&amp;" --enddatetime "&amp;TEXT(I210,"yyyy-mm-ddTHH:MM:SS")&amp;" --enforcementcount "&amp;J210&amp;IF(outputrefinedruntimes," &gt;&gt;"&amp;RefinedRTDCRunTimesOutputFile,"")</f>
        <v>"%USERPROFILE%\Documents\GitHub\eaglep3\Utilities\RefineRTDCRunTimes.py" --tripid 847-01 --locoid 4056 --swversion DE.1.0.9.0 --startMP 300:58708 --initTime 2017-09-01T22:37:49 --startdatetime 2017-09-01T22:09:18 --delay 71 --endMP 204:715 --enddatetime 2017-09-01T22:27:07 --enforcementcount 0 &gt;&gt;C:\Users\stu\Documents\GitHub\eaglep3-reporting\EC\2017-09-01-refined-times.txt</v>
      </c>
      <c r="AI210" s="96" t="str">
        <f t="shared" ref="AI210" si="87">"echo {""issue"":{""subject"":"""&amp;R210&amp;""",""project_id"":79,""tracker_id"":40,""status_id"":"&amp;redmine_status&amp;",""priority_id"":"&amp;redmine_priority&amp;",""assigned_to_id"":"&amp;redmine_assignee&amp;",""start_date"":"""&amp;TEXT(I210,"YYYY-mm-dd")&amp;""",""description"":"""&amp;AJ210&amp;""",""custom_fields"":[{""id"":1,""name"":""Subdivision"",""value"":"""&amp;AG210&amp;"""},{""id"":4,""name"":""Milepost"",""value"":"""&amp;Z210&amp;"""},{""id"":17,""name"":""Train ID"",""value"":"""&amp;A210&amp;"""},{""id"":16,""name"":""Locomotive ID"",""value"":"""&amp;B210&amp;"""},{""id"":130,""name"":""Impact"",""value"":"""&amp;AK210&amp;"""},{""id"":150,""name"":""Time of Event (Mountain Time)"",""value"":"""&amp;TEXT(I210,"hh:mm:ss")&amp;"""},{""id"":151,""name"":""Denver Issue ID"",""value"":"""&amp;"""},{""id"":178,""name"":""Operational Impact"",""value"":"""&amp;redmine_op_impact&amp;"""},{""id"":179,""name"":""Denver Segment Assigned"",""value"":"""&amp;AL210&amp;"""}]}}"&amp;"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{"issue":{"subject":"","project_id":79,"tracker_id":40,"status_id":1,"priority_id":2,"assigned_to_id":338,"start_date":"2017-09-01","description":"","custom_fields":[{"id":1,"name":"Subdivision","value":"NW"},{"id":4,"name":"Milepost","value":"5.8939"},{"id":17,"name":"Train ID","value":"847-01"},{"id":16,"name":"Locomotive ID","value":"4056"},{"id":130,"name":"Impact","value":""},{"id":150,"name":"Time of Event (Mountain Time)","value":"22:27:07"},{"id":151,"name":"Denver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0" s="47"/>
      <c r="AL210" s="47"/>
      <c r="AM210" s="142" t="str">
        <f t="shared" ref="AM210" si="88">"start /low /b "&amp;dls3logs&amp;" --loco "&amp;B210&amp;" --day "&amp;TEXT(F210,"YYYY-MM-DD")</f>
        <v>start /low /b %USERPROFILE%\Documents\GitHub\eaglep3\Utilities\DownloadLogsFromS3.py --loco 4056 --day 2017-09-01</v>
      </c>
      <c r="AN210" s="151" t="str">
        <f t="shared" ref="AN210" si="89">"echo {""issue"":{""subject"":"""&amp;R210&amp;""",""project_id"":30,""tracker_id"":4,""status_id"":"&amp;redmine_status_wcr&amp;",""priority_id"":"&amp;redmine_priority_wcr&amp;",""assigned_to_id"":"&amp;redmine_assignee_wcr&amp;",""start_date"":"""&amp;TEXT(I210-utc_offset/24,"YYYY-mm-dd")&amp;""",""description"":"""&amp;AJ210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04:27:07"},{"id":29,"name":"Sharepoint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91" s="20" customFormat="1" x14ac:dyDescent="0.25">
      <c r="A211" s="32" t="s">
        <v>818</v>
      </c>
      <c r="B211" s="7">
        <v>4056</v>
      </c>
      <c r="C211" s="21" t="s">
        <v>197</v>
      </c>
      <c r="D211" s="21" t="s">
        <v>574</v>
      </c>
      <c r="E211" s="13">
        <v>42979.957905092589</v>
      </c>
      <c r="F211" s="13">
        <v>42979.964791666665</v>
      </c>
      <c r="G211" s="7">
        <v>57</v>
      </c>
      <c r="H211" s="21" t="s">
        <v>473</v>
      </c>
      <c r="I211" s="13">
        <v>42979.975011574075</v>
      </c>
      <c r="J211" s="7">
        <v>0</v>
      </c>
      <c r="K211" s="89" t="str">
        <f t="shared" si="58"/>
        <v>4055/4056</v>
      </c>
      <c r="L211" s="214" t="str">
        <f>VLOOKUP(A211,'Trips&amp;Operators'!$C$1:$G$99911,5,FALSE)</f>
        <v>GUNTHIER ERIC</v>
      </c>
      <c r="M211" s="6">
        <f t="shared" si="59"/>
        <v>1.021990740991896E-2</v>
      </c>
      <c r="N211" s="7">
        <f t="shared" si="60"/>
        <v>14.716666670283303</v>
      </c>
      <c r="O211" s="7"/>
      <c r="P211" s="7"/>
      <c r="Q211" s="22"/>
      <c r="R211" s="167"/>
      <c r="S211" s="210">
        <f t="shared" si="61"/>
        <v>1</v>
      </c>
      <c r="T211" s="192" t="str">
        <f t="shared" si="62"/>
        <v>NorthBound</v>
      </c>
      <c r="U211" s="192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3" t="str">
        <f t="shared" si="63"/>
        <v>https://d0f6bd738d7f1b3e5a7ca70fe4ff75f0.us-east-1.aws.found.io/app/kibana#/discover/Steve-Slow-Train-Analysis-(2080s-and-2083s)?_g=(refreshInterval:(display:Off,pause:!f,section:0,value:0),time:(from:'2017-09-01T21:59:23-0600',mode:absolute,to:'2017-09-02T00:24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1" s="194" t="str">
        <f>IF(AA211&lt;VLOOKUP(AG211,Variables!$AC$3:$AD$8,2,FALSE),"Y","N")</f>
        <v>N</v>
      </c>
      <c r="X211" s="194">
        <f t="shared" si="64"/>
        <v>2</v>
      </c>
      <c r="Y211" s="194">
        <f t="shared" si="65"/>
        <v>9.9000000000000005E-2</v>
      </c>
      <c r="Z211" s="194">
        <f t="shared" si="66"/>
        <v>5.8936999999999999</v>
      </c>
      <c r="AA211" s="194">
        <f t="shared" si="67"/>
        <v>5.7946999999999997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203">
        <f t="shared" si="68"/>
        <v>849</v>
      </c>
      <c r="AE211" s="77" t="str">
        <f t="shared" si="69"/>
        <v>aws s3 cp s3://rtdc.mdm.uploadarchive.raw/RTDC4056/ "%USERPROFILE%\AppData\Local\Temp\OnboardLogs"\RTDC4056\2017-09-01 --exclude "*" --recursive --include "*20170901*" &amp; "%USERPROFILE%\Documents\GitHub\mrs-test-scripts\Headless Mode &amp; Sideloading\WalkAndUnGZ.bat" "%USERPROFILE%\AppData\Local\Temp\OnboardLogs"\RTDC4056\2017-09-01 &amp; aws s3 cp s3://rtdc.mdm.uploadarchive.raw/RTDC4056/ "%USERPROFILE%\AppData\Local\Temp\OnboardLogs"\RTDC4056\2017-09-02 --exclude "*" --recursive --include "*20170902*" &amp; "%USERPROFILE%\Documents\GitHub\mrs-test-scripts\Headless Mode &amp; Sideloading\WalkAndUnGZ.bat" "%USERPROFILE%\AppData\Local\Temp\OnboardLogs"\RTDC4056\2017-09-02</v>
      </c>
      <c r="AF211" s="74" t="str">
        <f t="shared" si="70"/>
        <v>"C:\Program Files (x86)\AstroGrep\AstroGrep.exe" /e /r /s /spath="%USERPROFILE%\AppData\Local\Temp\OnboardLogs" /stypes="app*4056*20170902*" /stext=" 05:.+((SYSTEM_STATE.+slice.+state.+changed )|(ment ac)|(multiple cpu faults)|(system.+state.+changed )|(\[timeout)|(PRM\|1\|D)|(kpr)|(kdp)|(train st.+moving)|(\|lc)|(penalty))"</v>
      </c>
      <c r="AG211" s="206" t="str">
        <f t="shared" si="71"/>
        <v>NW</v>
      </c>
      <c r="AH211" s="78" t="str">
        <f t="shared" si="72"/>
        <v>"%USERPROFILE%\Documents\GitHub\eaglep3\Utilities\RefineRTDCRunTimes.py" --tripid 849-01 --locoid 4056 --swversion DE.1.0.9.0 --startMP 204:990 --initTime 2017-09-01T22:59:23 --startdatetime 2017-09-01T23:09:18 --delay 57 --endMP 300:58937 --enddatetime 2017-09-01T23:24:01 --enforcementcount 0 &gt;&gt;C:\Users\stu\Documents\GitHub\eaglep3-reporting\EC\2017-09-01-refined-times.txt</v>
      </c>
      <c r="AI211" s="96" t="str">
        <f t="shared" si="73"/>
        <v>echo {"issue":{"subject":"","project_id":79,"tracker_id":40,"status_id":1,"priority_id":2,"assigned_to_id":338,"start_date":"2017-09-01","description":"","custom_fields":[{"id":1,"name":"Subdivision","value":"NW"},{"id":4,"name":"Milepost","value":"5.8937"},{"id":17,"name":"Train ID","value":"849-01"},{"id":16,"name":"Locomotive ID","value":"4056"},{"id":130,"name":"Impact","value":""},{"id":150,"name":"Time of Event (Mountain Time)","value":"23:24:01"},{"id":151,"name":"Denver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1" s="47"/>
      <c r="AL211" s="47"/>
      <c r="AM211" s="142" t="str">
        <f t="shared" si="74"/>
        <v>start /low /b %USERPROFILE%\Documents\GitHub\eaglep3\Utilities\DownloadLogsFromS3.py --loco 4056 --day 2017-09-01</v>
      </c>
      <c r="AN211" s="151" t="str">
        <f t="shared" si="75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05:24:01"},{"id":29,"name":"Sharepoint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x14ac:dyDescent="0.25">
      <c r="A212" s="32" t="s">
        <v>578</v>
      </c>
      <c r="B212" s="7">
        <v>4049</v>
      </c>
      <c r="C212" s="21" t="s">
        <v>197</v>
      </c>
      <c r="D212" s="21" t="s">
        <v>891</v>
      </c>
      <c r="E212" s="13">
        <v>42979.114895833336</v>
      </c>
      <c r="F212" s="13">
        <v>42979.119456018518</v>
      </c>
      <c r="G212" s="7">
        <v>281</v>
      </c>
      <c r="H212" s="21" t="s">
        <v>338</v>
      </c>
      <c r="I212" s="13">
        <v>42979.124826388892</v>
      </c>
      <c r="J212" s="7">
        <v>0</v>
      </c>
      <c r="K212" s="89" t="str">
        <f t="shared" si="58"/>
        <v>4049/4050</v>
      </c>
      <c r="L212" s="214" t="str">
        <f>VLOOKUP(A212,'Trips&amp;Operators'!$C$1:$G$99911,5,FALSE)</f>
        <v>YORK EDGAR</v>
      </c>
      <c r="M212" s="6">
        <f t="shared" si="59"/>
        <v>5.3703703742939979E-3</v>
      </c>
      <c r="N212" s="7">
        <f t="shared" si="60"/>
        <v>7.733333338983357</v>
      </c>
      <c r="O212" s="7"/>
      <c r="P212" s="7"/>
      <c r="Q212" s="22"/>
      <c r="R212" s="167"/>
      <c r="S212" s="210">
        <f t="shared" si="61"/>
        <v>1</v>
      </c>
      <c r="T212" s="192" t="str">
        <f t="shared" si="62"/>
        <v>Southbound</v>
      </c>
      <c r="U212" s="192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3" t="str">
        <f t="shared" si="63"/>
        <v>https://d0f6bd738d7f1b3e5a7ca70fe4ff75f0.us-east-1.aws.found.io/app/kibana#/discover/Steve-Slow-Train-Analysis-(2080s-and-2083s)?_g=(refreshInterval:(display:Off,pause:!f,section:0,value:0),time:(from:'2017-09-01T01:45:27-0600',mode:absolute,to:'2017-09-01T03:59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12" s="194" t="str">
        <f>IF(AA212&lt;VLOOKUP(AG212,Variables!$AC$3:$AD$8,2,FALSE),"Y","N")</f>
        <v>Y</v>
      </c>
      <c r="X212" s="194">
        <f t="shared" si="64"/>
        <v>-549</v>
      </c>
      <c r="Y212" s="194">
        <f t="shared" si="65"/>
        <v>2.298</v>
      </c>
      <c r="Z212" s="194">
        <f t="shared" si="66"/>
        <v>1.4999999999999999E-2</v>
      </c>
      <c r="AA212" s="194">
        <f t="shared" si="67"/>
        <v>2.2829999999999999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203">
        <f t="shared" si="68"/>
        <v>300</v>
      </c>
      <c r="AE212" s="77" t="str">
        <f t="shared" si="69"/>
        <v>aws s3 cp s3://rtdc.mdm.uploadarchive.raw/RTDC4049/ "%USERPROFILE%\AppData\Local\Temp\OnboardLogs"\RTDC4049\2017-09-01 --exclude "*" --recursive --include "*20170901*" &amp; "%USERPROFILE%\Documents\GitHub\mrs-test-scripts\Headless Mode &amp; Sideloading\WalkAndUnGZ.bat" "%USERPROFILE%\AppData\Local\Temp\OnboardLogs"\RTDC4049\2017-09-01 &amp; aws s3 cp s3://rtdc.mdm.uploadarchive.raw/RTDC4049/ "%USERPROFILE%\AppData\Local\Temp\OnboardLogs"\RTDC4049\2017-09-02 --exclude "*" --recursive --include "*20170902*" &amp; "%USERPROFILE%\Documents\GitHub\mrs-test-scripts\Headless Mode &amp; Sideloading\WalkAndUnGZ.bat" "%USERPROFILE%\AppData\Local\Temp\OnboardLogs"\RTDC4049\2017-09-02</v>
      </c>
      <c r="AF212" s="74" t="str">
        <f t="shared" si="70"/>
        <v>"C:\Program Files (x86)\AstroGrep\AstroGrep.exe" /e /r /s /spath="%USERPROFILE%\AppData\Local\Temp\OnboardLogs" /stypes="app*4049*20170901*" /stext=" 08:.+((SYSTEM_STATE.+slice.+state.+changed )|(ment ac)|(multiple cpu faults)|(system.+state.+changed )|(\[timeout)|(PRM\|1\|D)|(kpr)|(kdp)|(train st.+moving)|(\|lc)|(penalty))"</v>
      </c>
      <c r="AG212" s="206" t="str">
        <f t="shared" si="71"/>
        <v>Other</v>
      </c>
      <c r="AH212" s="78" t="str">
        <f t="shared" si="72"/>
        <v>"%USERPROFILE%\Documents\GitHub\eaglep3\Utilities\RefineRTDCRunTimes.py" --tripid 300-01 --locoid 4049 --swversion DE.1.0.9.0 --startMP 300:22980 --initTime 2017-09-01T02:45:27 --startdatetime 2017-09-01T02:52:01 --delay 281 --endMP 204:150 --enddatetime 2017-09-01T02:59:45 --enforcementcount 0 &gt;&gt;C:\Users\stu\Documents\GitHub\eaglep3-reporting\EC\2017-09-01-refined-times.txt</v>
      </c>
      <c r="AI212" s="96" t="str">
        <f t="shared" si="73"/>
        <v>echo {"issue":{"subject":"","project_id":79,"tracker_id":40,"status_id":1,"priority_id":2,"assigned_to_id":338,"start_date":"2017-09-01","description":"","custom_fields":[{"id":1,"name":"Subdivision","value":"Other"},{"id":4,"name":"Milepost","value":"0.015"},{"id":17,"name":"Train ID","value":"300-01"},{"id":16,"name":"Locomotive ID","value":"4049"},{"id":130,"name":"Impact","value":""},{"id":150,"name":"Time of Event (Mountain Time)","value":"02:59:45"},{"id":151,"name":"Denver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74"/>
        <v>start /low /b %USERPROFILE%\Documents\GitHub\eaglep3\Utilities\DownloadLogsFromS3.py --loco 4049 --day 2017-09-01</v>
      </c>
      <c r="AN212" s="151" t="str">
        <f t="shared" si="75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08:59:45"},{"id":29,"name":"Sharepoint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791</v>
      </c>
      <c r="B213" s="7">
        <v>4006</v>
      </c>
      <c r="C213" s="21" t="s">
        <v>197</v>
      </c>
      <c r="D213" s="21" t="s">
        <v>342</v>
      </c>
      <c r="E213" s="13">
        <v>42979.776076388887</v>
      </c>
      <c r="F213" s="13">
        <v>42979.77747685185</v>
      </c>
      <c r="G213" s="7">
        <v>58</v>
      </c>
      <c r="H213" s="21" t="s">
        <v>495</v>
      </c>
      <c r="I213" s="13">
        <v>42979.783888888887</v>
      </c>
      <c r="J213" s="7">
        <v>0</v>
      </c>
      <c r="K213" s="89" t="str">
        <f t="shared" si="58"/>
        <v>4005/4006</v>
      </c>
      <c r="L213" s="214" t="str">
        <f>VLOOKUP(A213,'Trips&amp;Operators'!$C$1:$G$99911,5,FALSE)</f>
        <v>LEVERE CRAIG</v>
      </c>
      <c r="M213" s="6">
        <f t="shared" si="59"/>
        <v>6.4120370370801538E-3</v>
      </c>
      <c r="N213" s="7">
        <f t="shared" si="60"/>
        <v>9.2333333333954215</v>
      </c>
      <c r="O213" s="7"/>
      <c r="P213" s="7"/>
      <c r="Q213" s="22"/>
      <c r="R213" s="167"/>
      <c r="S213" s="210">
        <f t="shared" si="61"/>
        <v>1</v>
      </c>
      <c r="T213" s="192" t="str">
        <f t="shared" si="62"/>
        <v>NorthBound</v>
      </c>
      <c r="U213" s="192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3" t="str">
        <f t="shared" si="63"/>
        <v>https://d0f6bd738d7f1b3e5a7ca70fe4ff75f0.us-east-1.aws.found.io/app/kibana#/discover/Steve-Slow-Train-Analysis-(2080s-and-2083s)?_g=(refreshInterval:(display:Off,pause:!f,section:0,value:0),time:(from:'2017-09-01T17:37:33-0600',mode:absolute,to:'2017-09-01T19:48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3" s="194" t="str">
        <f>IF(AA213&lt;VLOOKUP(AG213,Variables!$AC$3:$AD$8,2,FALSE),"Y","N")</f>
        <v>Y</v>
      </c>
      <c r="X213" s="194">
        <f t="shared" si="64"/>
        <v>1</v>
      </c>
      <c r="Y213" s="194">
        <f t="shared" si="65"/>
        <v>4.53E-2</v>
      </c>
      <c r="Z213" s="194">
        <f t="shared" si="66"/>
        <v>2.3306</v>
      </c>
      <c r="AA213" s="194">
        <f t="shared" si="67"/>
        <v>2.2852999999999999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203">
        <f t="shared" si="68"/>
        <v>301</v>
      </c>
      <c r="AE213" s="77" t="str">
        <f t="shared" si="69"/>
        <v>aws s3 cp s3://rtdc.mdm.uploadarchive.raw/RTDC4006/ "%USERPROFILE%\AppData\Local\Temp\OnboardLogs"\RTDC4006\2017-09-01 --exclude "*" --recursive --include "*20170901*" &amp; "%USERPROFILE%\Documents\GitHub\mrs-test-scripts\Headless Mode &amp; Sideloading\WalkAndUnGZ.bat" "%USERPROFILE%\AppData\Local\Temp\OnboardLogs"\RTDC4006\2017-09-01 &amp; aws s3 cp s3://rtdc.mdm.uploadarchive.raw/RTDC4006/ "%USERPROFILE%\AppData\Local\Temp\OnboardLogs"\RTDC4006\2017-09-02 --exclude "*" --recursive --include "*20170902*" &amp; "%USERPROFILE%\Documents\GitHub\mrs-test-scripts\Headless Mode &amp; Sideloading\WalkAndUnGZ.bat" "%USERPROFILE%\AppData\Local\Temp\OnboardLogs"\RTDC4006\2017-09-02</v>
      </c>
      <c r="AF213" s="74" t="str">
        <f t="shared" si="70"/>
        <v>"C:\Program Files (x86)\AstroGrep\AstroGrep.exe" /e /r /s /spath="%USERPROFILE%\AppData\Local\Temp\OnboardLogs" /stypes="app*4006*20170902*" /stext=" 00:.+((SYSTEM_STATE.+slice.+state.+changed )|(ment ac)|(multiple cpu faults)|(system.+state.+changed )|(\[timeout)|(PRM\|1\|D)|(kpr)|(kdp)|(train st.+moving)|(\|lc)|(penalty))"</v>
      </c>
      <c r="AG213" s="206" t="str">
        <f t="shared" si="71"/>
        <v>Other</v>
      </c>
      <c r="AH213" s="78" t="str">
        <f t="shared" si="72"/>
        <v>"%USERPROFILE%\Documents\GitHub\eaglep3\Utilities\RefineRTDCRunTimes.py" --tripid 301-01 --locoid 4006 --swversion DE.1.0.9.0 --startMP 204:453 --initTime 2017-09-01T18:37:33 --startdatetime 2017-09-01T18:39:34 --delay 58 --endMP 300:23306 --enddatetime 2017-09-01T18:48:48 --enforcementcount 0 &gt;&gt;C:\Users\stu\Documents\GitHub\eaglep3-reporting\EC\2017-09-01-refined-times.txt</v>
      </c>
      <c r="AI213" s="96" t="str">
        <f t="shared" si="73"/>
        <v>echo {"issue":{"subject":"","project_id":79,"tracker_id":40,"status_id":1,"priority_id":2,"assigned_to_id":338,"start_date":"2017-09-01","description":"","custom_fields":[{"id":1,"name":"Subdivision","value":"Other"},{"id":4,"name":"Milepost","value":"2.3306"},{"id":17,"name":"Train ID","value":"301-01"},{"id":16,"name":"Locomotive ID","value":"4006"},{"id":130,"name":"Impact","value":""},{"id":150,"name":"Time of Event (Mountain Time)","value":"18:48:48"},{"id":151,"name":"Denver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74"/>
        <v>start /low /b %USERPROFILE%\Documents\GitHub\eaglep3\Utilities\DownloadLogsFromS3.py --loco 4006 --day 2017-09-01</v>
      </c>
      <c r="AN213" s="151" t="str">
        <f t="shared" si="75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00:48:48"},{"id":29,"name":"Sharepoint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620</v>
      </c>
      <c r="B214" s="7">
        <v>4019</v>
      </c>
      <c r="C214" s="21" t="s">
        <v>197</v>
      </c>
      <c r="D214" s="21" t="s">
        <v>892</v>
      </c>
      <c r="E214" s="13">
        <v>42979.13354166667</v>
      </c>
      <c r="F214" s="13">
        <v>42979.138981481483</v>
      </c>
      <c r="G214" s="7">
        <v>135</v>
      </c>
      <c r="H214" s="21" t="s">
        <v>372</v>
      </c>
      <c r="I214" s="13">
        <v>42979.144479166665</v>
      </c>
      <c r="J214" s="7">
        <v>0</v>
      </c>
      <c r="K214" s="89" t="str">
        <f t="shared" si="58"/>
        <v>4019/4020</v>
      </c>
      <c r="L214" s="214" t="str">
        <f>VLOOKUP(A214,'Trips&amp;Operators'!$C$1:$G$99911,5,FALSE)</f>
        <v>MAELZER KURT</v>
      </c>
      <c r="M214" s="6">
        <f t="shared" si="59"/>
        <v>5.4976851824903861E-3</v>
      </c>
      <c r="N214" s="7">
        <f t="shared" si="60"/>
        <v>7.9166666627861559</v>
      </c>
      <c r="O214" s="7"/>
      <c r="P214" s="7"/>
      <c r="Q214" s="22"/>
      <c r="R214" s="167"/>
      <c r="S214" s="210">
        <f t="shared" si="61"/>
        <v>1</v>
      </c>
      <c r="T214" s="192" t="str">
        <f t="shared" si="62"/>
        <v>Southbound</v>
      </c>
      <c r="U214" s="192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3" t="str">
        <f t="shared" si="63"/>
        <v>https://d0f6bd738d7f1b3e5a7ca70fe4ff75f0.us-east-1.aws.found.io/app/kibana#/discover/Steve-Slow-Train-Analysis-(2080s-and-2083s)?_g=(refreshInterval:(display:Off,pause:!f,section:0,value:0),time:(from:'2017-09-01T02:12:18-0600',mode:absolute,to:'2017-09-01T04:28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4" s="194" t="str">
        <f>IF(AA214&lt;VLOOKUP(AG214,Variables!$AC$3:$AD$8,2,FALSE),"Y","N")</f>
        <v>Y</v>
      </c>
      <c r="X214" s="194">
        <f t="shared" si="64"/>
        <v>1</v>
      </c>
      <c r="Y214" s="194">
        <f t="shared" si="65"/>
        <v>1.9761</v>
      </c>
      <c r="Z214" s="194">
        <f t="shared" si="66"/>
        <v>1.4500000000000001E-2</v>
      </c>
      <c r="AA214" s="194">
        <f t="shared" si="67"/>
        <v>1.9616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203">
        <f t="shared" si="68"/>
        <v>302</v>
      </c>
      <c r="AE214" s="77" t="str">
        <f t="shared" si="69"/>
        <v>aws s3 cp s3://rtdc.mdm.uploadarchive.raw/RTDC4019/ "%USERPROFILE%\AppData\Local\Temp\OnboardLogs"\RTDC4019\2017-09-01 --exclude "*" --recursive --include "*20170901*" &amp; "%USERPROFILE%\Documents\GitHub\mrs-test-scripts\Headless Mode &amp; Sideloading\WalkAndUnGZ.bat" "%USERPROFILE%\AppData\Local\Temp\OnboardLogs"\RTDC4019\2017-09-01 &amp; aws s3 cp s3://rtdc.mdm.uploadarchive.raw/RTDC4019/ "%USERPROFILE%\AppData\Local\Temp\OnboardLogs"\RTDC4019\2017-09-02 --exclude "*" --recursive --include "*20170902*" &amp; "%USERPROFILE%\Documents\GitHub\mrs-test-scripts\Headless Mode &amp; Sideloading\WalkAndUnGZ.bat" "%USERPROFILE%\AppData\Local\Temp\OnboardLogs"\RTDC4019\2017-09-02</v>
      </c>
      <c r="AF214" s="74" t="str">
        <f t="shared" si="70"/>
        <v>"C:\Program Files (x86)\AstroGrep\AstroGrep.exe" /e /r /s /spath="%USERPROFILE%\AppData\Local\Temp\OnboardLogs" /stypes="app*4019*20170901*" /stext=" 09:.+((SYSTEM_STATE.+slice.+state.+changed )|(ment ac)|(multiple cpu faults)|(system.+state.+changed )|(\[timeout)|(PRM\|1\|D)|(kpr)|(kdp)|(train st.+moving)|(\|lc)|(penalty))"</v>
      </c>
      <c r="AG214" s="206" t="str">
        <f t="shared" si="71"/>
        <v>Other</v>
      </c>
      <c r="AH214" s="78" t="str">
        <f t="shared" si="72"/>
        <v>"%USERPROFILE%\Documents\GitHub\eaglep3\Utilities\RefineRTDCRunTimes.py" --tripid 302-01 --locoid 4019 --swversion DE.1.0.9.0 --startMP 300:19761 --initTime 2017-09-01T03:12:18 --startdatetime 2017-09-01T03:20:08 --delay 135 --endMP 204:145 --enddatetime 2017-09-01T03:28:03 --enforcementcount 0 &gt;&gt;C:\Users\stu\Documents\GitHub\eaglep3-reporting\EC\2017-09-01-refined-times.txt</v>
      </c>
      <c r="AI214" s="96" t="str">
        <f t="shared" si="73"/>
        <v>echo {"issue":{"subject":"","project_id":79,"tracker_id":40,"status_id":1,"priority_id":2,"assigned_to_id":338,"start_date":"2017-09-01","description":"","custom_fields":[{"id":1,"name":"Subdivision","value":"Other"},{"id":4,"name":"Milepost","value":"0.0145"},{"id":17,"name":"Train ID","value":"302-01"},{"id":16,"name":"Locomotive ID","value":"4019"},{"id":130,"name":"Impact","value":""},{"id":150,"name":"Time of Event (Mountain Time)","value":"03:28:03"},{"id":151,"name":"Denver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74"/>
        <v>start /low /b %USERPROFILE%\Documents\GitHub\eaglep3\Utilities\DownloadLogsFromS3.py --loco 4019 --day 2017-09-01</v>
      </c>
      <c r="AN214" s="151" t="str">
        <f t="shared" si="75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09:28:03"},{"id":29,"name":"Sharepoint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797</v>
      </c>
      <c r="B215" s="7">
        <v>4024</v>
      </c>
      <c r="C215" s="21" t="s">
        <v>197</v>
      </c>
      <c r="D215" s="21" t="s">
        <v>447</v>
      </c>
      <c r="E215" s="13">
        <v>42979.797222222223</v>
      </c>
      <c r="F215" s="13">
        <v>42979.799027777779</v>
      </c>
      <c r="G215" s="7">
        <v>99</v>
      </c>
      <c r="H215" s="21" t="s">
        <v>442</v>
      </c>
      <c r="I215" s="13">
        <v>42979.805138888885</v>
      </c>
      <c r="J215" s="7">
        <v>0</v>
      </c>
      <c r="K215" s="89" t="str">
        <f t="shared" si="58"/>
        <v>4023/4024</v>
      </c>
      <c r="L215" s="214" t="str">
        <f>VLOOKUP(A215,'Trips&amp;Operators'!$C$1:$G$99911,5,FALSE)</f>
        <v>LEVIN SCOTT</v>
      </c>
      <c r="M215" s="6">
        <f t="shared" si="59"/>
        <v>6.1111111062928103E-3</v>
      </c>
      <c r="N215" s="7">
        <f t="shared" si="60"/>
        <v>8.7999999930616468</v>
      </c>
      <c r="O215" s="7"/>
      <c r="P215" s="7"/>
      <c r="Q215" s="22"/>
      <c r="R215" s="167"/>
      <c r="S215" s="210">
        <f t="shared" si="61"/>
        <v>1</v>
      </c>
      <c r="T215" s="192" t="str">
        <f t="shared" si="62"/>
        <v>NorthBound</v>
      </c>
      <c r="U215" s="192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3" t="str">
        <f t="shared" si="63"/>
        <v>https://d0f6bd738d7f1b3e5a7ca70fe4ff75f0.us-east-1.aws.found.io/app/kibana#/discover/Steve-Slow-Train-Analysis-(2080s-and-2083s)?_g=(refreshInterval:(display:Off,pause:!f,section:0,value:0),time:(from:'2017-09-01T18:08:00-0600',mode:absolute,to:'2017-09-01T20:19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15" s="194" t="str">
        <f>IF(AA215&lt;VLOOKUP(AG215,Variables!$AC$3:$AD$8,2,FALSE),"Y","N")</f>
        <v>Y</v>
      </c>
      <c r="X215" s="194">
        <f t="shared" si="64"/>
        <v>1</v>
      </c>
      <c r="Y215" s="194">
        <f t="shared" si="65"/>
        <v>4.3700000000000003E-2</v>
      </c>
      <c r="Z215" s="194">
        <f t="shared" si="66"/>
        <v>2.331</v>
      </c>
      <c r="AA215" s="194">
        <f t="shared" si="67"/>
        <v>2.2873000000000001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203">
        <f t="shared" si="68"/>
        <v>303</v>
      </c>
      <c r="AE215" s="77" t="str">
        <f t="shared" si="69"/>
        <v>aws s3 cp s3://rtdc.mdm.uploadarchive.raw/RTDC4024/ "%USERPROFILE%\AppData\Local\Temp\OnboardLogs"\RTDC4024\2017-09-01 --exclude "*" --recursive --include "*20170901*" &amp; "%USERPROFILE%\Documents\GitHub\mrs-test-scripts\Headless Mode &amp; Sideloading\WalkAndUnGZ.bat" "%USERPROFILE%\AppData\Local\Temp\OnboardLogs"\RTDC4024\2017-09-01 &amp; aws s3 cp s3://rtdc.mdm.uploadarchive.raw/RTDC4024/ "%USERPROFILE%\AppData\Local\Temp\OnboardLogs"\RTDC4024\2017-09-02 --exclude "*" --recursive --include "*20170902*" &amp; "%USERPROFILE%\Documents\GitHub\mrs-test-scripts\Headless Mode &amp; Sideloading\WalkAndUnGZ.bat" "%USERPROFILE%\AppData\Local\Temp\OnboardLogs"\RTDC4024\2017-09-02</v>
      </c>
      <c r="AF215" s="74" t="str">
        <f t="shared" si="70"/>
        <v>"C:\Program Files (x86)\AstroGrep\AstroGrep.exe" /e /r /s /spath="%USERPROFILE%\AppData\Local\Temp\OnboardLogs" /stypes="app*4024*20170902*" /stext=" 01:.+((SYSTEM_STATE.+slice.+state.+changed )|(ment ac)|(multiple cpu faults)|(system.+state.+changed )|(\[timeout)|(PRM\|1\|D)|(kpr)|(kdp)|(train st.+moving)|(\|lc)|(penalty))"</v>
      </c>
      <c r="AG215" s="206" t="str">
        <f t="shared" si="71"/>
        <v>Other</v>
      </c>
      <c r="AH215" s="78" t="str">
        <f t="shared" si="72"/>
        <v>"%USERPROFILE%\Documents\GitHub\eaglep3\Utilities\RefineRTDCRunTimes.py" --tripid 303-01 --locoid 4024 --swversion DE.1.0.9.0 --startMP 204:437 --initTime 2017-09-01T19:08:00 --startdatetime 2017-09-01T19:10:36 --delay 99 --endMP 300:23310 --enddatetime 2017-09-01T19:19:24 --enforcementcount 0 &gt;&gt;C:\Users\stu\Documents\GitHub\eaglep3-reporting\EC\2017-09-01-refined-times.txt</v>
      </c>
      <c r="AI215" s="96" t="str">
        <f t="shared" si="73"/>
        <v>echo {"issue":{"subject":"","project_id":79,"tracker_id":40,"status_id":1,"priority_id":2,"assigned_to_id":338,"start_date":"2017-09-01","description":"","custom_fields":[{"id":1,"name":"Subdivision","value":"Other"},{"id":4,"name":"Milepost","value":"2.331"},{"id":17,"name":"Train ID","value":"303-01"},{"id":16,"name":"Locomotive ID","value":"4024"},{"id":130,"name":"Impact","value":""},{"id":150,"name":"Time of Event (Mountain Time)","value":"19:19:24"},{"id":151,"name":"Denver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74"/>
        <v>start /low /b %USERPROFILE%\Documents\GitHub\eaglep3\Utilities\DownloadLogsFromS3.py --loco 4024 --day 2017-09-01</v>
      </c>
      <c r="AN215" s="151" t="str">
        <f t="shared" si="75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01:19:24"},{"id":29,"name":"Sharepoint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625</v>
      </c>
      <c r="B216" s="7">
        <v>4025</v>
      </c>
      <c r="C216" s="21" t="s">
        <v>197</v>
      </c>
      <c r="D216" s="21" t="s">
        <v>893</v>
      </c>
      <c r="E216" s="13">
        <v>42979.162546296298</v>
      </c>
      <c r="F216" s="13">
        <v>42979.166388888887</v>
      </c>
      <c r="G216" s="7">
        <v>73</v>
      </c>
      <c r="H216" s="21" t="s">
        <v>345</v>
      </c>
      <c r="I216" s="13">
        <v>42979.1719212963</v>
      </c>
      <c r="J216" s="7">
        <v>0</v>
      </c>
      <c r="K216" s="89" t="str">
        <f t="shared" si="58"/>
        <v>4025/4026</v>
      </c>
      <c r="L216" s="214" t="str">
        <f>VLOOKUP(A216,'Trips&amp;Operators'!$C$1:$G$99911,5,FALSE)</f>
        <v>BONDS REYNALDO</v>
      </c>
      <c r="M216" s="6">
        <f t="shared" si="59"/>
        <v>5.5324074128293432E-3</v>
      </c>
      <c r="N216" s="7">
        <f t="shared" si="60"/>
        <v>7.9666666744742543</v>
      </c>
      <c r="O216" s="7"/>
      <c r="P216" s="7"/>
      <c r="Q216" s="22"/>
      <c r="R216" s="167"/>
      <c r="S216" s="210">
        <f t="shared" si="61"/>
        <v>1</v>
      </c>
      <c r="T216" s="192" t="str">
        <f t="shared" si="62"/>
        <v>Southbound</v>
      </c>
      <c r="U216" s="192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3" t="str">
        <f t="shared" si="63"/>
        <v>https://d0f6bd738d7f1b3e5a7ca70fe4ff75f0.us-east-1.aws.found.io/app/kibana#/discover/Steve-Slow-Train-Analysis-(2080s-and-2083s)?_g=(refreshInterval:(display:Off,pause:!f,section:0,value:0),time:(from:'2017-09-01T02:54:04-0600',mode:absolute,to:'2017-09-01T05:07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6" s="194" t="str">
        <f>IF(AA216&lt;VLOOKUP(AG216,Variables!$AC$3:$AD$8,2,FALSE),"Y","N")</f>
        <v>Y</v>
      </c>
      <c r="X216" s="194">
        <f t="shared" si="64"/>
        <v>1</v>
      </c>
      <c r="Y216" s="194">
        <f t="shared" si="65"/>
        <v>2.3355000000000001</v>
      </c>
      <c r="Z216" s="194">
        <f t="shared" si="66"/>
        <v>1.47E-2</v>
      </c>
      <c r="AA216" s="194">
        <f t="shared" si="67"/>
        <v>2.3208000000000002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203">
        <f t="shared" si="68"/>
        <v>304</v>
      </c>
      <c r="AE216" s="77" t="str">
        <f t="shared" si="69"/>
        <v>aws s3 cp s3://rtdc.mdm.uploadarchive.raw/RTDC4025/ "%USERPROFILE%\AppData\Local\Temp\OnboardLogs"\RTDC4025\2017-09-01 --exclude "*" --recursive --include "*20170901*" &amp; "%USERPROFILE%\Documents\GitHub\mrs-test-scripts\Headless Mode &amp; Sideloading\WalkAndUnGZ.bat" "%USERPROFILE%\AppData\Local\Temp\OnboardLogs"\RTDC4025\2017-09-01 &amp; aws s3 cp s3://rtdc.mdm.uploadarchive.raw/RTDC4025/ "%USERPROFILE%\AppData\Local\Temp\OnboardLogs"\RTDC4025\2017-09-02 --exclude "*" --recursive --include "*20170902*" &amp; "%USERPROFILE%\Documents\GitHub\mrs-test-scripts\Headless Mode &amp; Sideloading\WalkAndUnGZ.bat" "%USERPROFILE%\AppData\Local\Temp\OnboardLogs"\RTDC4025\2017-09-02</v>
      </c>
      <c r="AF216" s="74" t="str">
        <f t="shared" si="70"/>
        <v>"C:\Program Files (x86)\AstroGrep\AstroGrep.exe" /e /r /s /spath="%USERPROFILE%\AppData\Local\Temp\OnboardLogs" /stypes="app*4025*20170901*" /stext=" 10:.+((SYSTEM_STATE.+slice.+state.+changed )|(ment ac)|(multiple cpu faults)|(system.+state.+changed )|(\[timeout)|(PRM\|1\|D)|(kpr)|(kdp)|(train st.+moving)|(\|lc)|(penalty))"</v>
      </c>
      <c r="AG216" s="206" t="str">
        <f t="shared" si="71"/>
        <v>Other</v>
      </c>
      <c r="AH216" s="78" t="str">
        <f t="shared" si="72"/>
        <v>"%USERPROFILE%\Documents\GitHub\eaglep3\Utilities\RefineRTDCRunTimes.py" --tripid 304-01 --locoid 4025 --swversion DE.1.0.9.0 --startMP 300:23355 --initTime 2017-09-01T03:54:04 --startdatetime 2017-09-01T03:59:36 --delay 73 --endMP 204:147 --enddatetime 2017-09-01T04:07:34 --enforcementcount 0 &gt;&gt;C:\Users\stu\Documents\GitHub\eaglep3-reporting\EC\2017-09-01-refined-times.txt</v>
      </c>
      <c r="AI216" s="96" t="str">
        <f t="shared" si="73"/>
        <v>echo {"issue":{"subject":"","project_id":79,"tracker_id":40,"status_id":1,"priority_id":2,"assigned_to_id":338,"start_date":"2017-09-01","description":"","custom_fields":[{"id":1,"name":"Subdivision","value":"Other"},{"id":4,"name":"Milepost","value":"0.0147"},{"id":17,"name":"Train ID","value":"304-01"},{"id":16,"name":"Locomotive ID","value":"4025"},{"id":130,"name":"Impact","value":""},{"id":150,"name":"Time of Event (Mountain Time)","value":"04:07:34"},{"id":151,"name":"Denver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74"/>
        <v>start /low /b %USERPROFILE%\Documents\GitHub\eaglep3\Utilities\DownloadLogsFromS3.py --loco 4025 --day 2017-09-01</v>
      </c>
      <c r="AN216" s="151" t="str">
        <f t="shared" si="75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10:07:34"},{"id":29,"name":"Sharepoint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s="20" customFormat="1" x14ac:dyDescent="0.25">
      <c r="A217" s="32" t="s">
        <v>799</v>
      </c>
      <c r="B217" s="7">
        <v>4058</v>
      </c>
      <c r="C217" s="21" t="s">
        <v>197</v>
      </c>
      <c r="D217" s="21" t="s">
        <v>377</v>
      </c>
      <c r="E217" s="13">
        <v>42979.817210648151</v>
      </c>
      <c r="F217" s="13">
        <v>42979.818796296298</v>
      </c>
      <c r="G217" s="7">
        <v>60</v>
      </c>
      <c r="H217" s="21" t="s">
        <v>495</v>
      </c>
      <c r="I217" s="13">
        <v>42979.824780092589</v>
      </c>
      <c r="J217" s="7">
        <v>0</v>
      </c>
      <c r="K217" s="89" t="str">
        <f t="shared" si="58"/>
        <v>4057/4058</v>
      </c>
      <c r="L217" s="214" t="str">
        <f>VLOOKUP(A217,'Trips&amp;Operators'!$C$1:$G$99911,5,FALSE)</f>
        <v>HOLCOMB KAMDEN</v>
      </c>
      <c r="M217" s="6">
        <f t="shared" si="59"/>
        <v>5.9837962908204645E-3</v>
      </c>
      <c r="N217" s="7">
        <f t="shared" si="60"/>
        <v>8.6166666587814689</v>
      </c>
      <c r="O217" s="7"/>
      <c r="P217" s="7"/>
      <c r="Q217" s="22"/>
      <c r="R217" s="167"/>
      <c r="S217" s="210">
        <f t="shared" si="61"/>
        <v>1</v>
      </c>
      <c r="T217" s="192" t="str">
        <f t="shared" si="62"/>
        <v>NorthBound</v>
      </c>
      <c r="U217" s="192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3" t="str">
        <f t="shared" si="63"/>
        <v>https://d0f6bd738d7f1b3e5a7ca70fe4ff75f0.us-east-1.aws.found.io/app/kibana#/discover/Steve-Slow-Train-Analysis-(2080s-and-2083s)?_g=(refreshInterval:(display:Off,pause:!f,section:0,value:0),time:(from:'2017-09-01T18:36:47-0600',mode:absolute,to:'2017-09-01T20:47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17" s="194" t="str">
        <f>IF(AA217&lt;VLOOKUP(AG217,Variables!$AC$3:$AD$8,2,FALSE),"Y","N")</f>
        <v>Y</v>
      </c>
      <c r="X217" s="194">
        <f t="shared" si="64"/>
        <v>1</v>
      </c>
      <c r="Y217" s="194">
        <f t="shared" si="65"/>
        <v>4.4400000000000002E-2</v>
      </c>
      <c r="Z217" s="194">
        <f t="shared" si="66"/>
        <v>2.3306</v>
      </c>
      <c r="AA217" s="194">
        <f t="shared" si="67"/>
        <v>2.2862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203">
        <f t="shared" si="68"/>
        <v>305</v>
      </c>
      <c r="AE217" s="77" t="str">
        <f t="shared" si="69"/>
        <v>aws s3 cp s3://rtdc.mdm.uploadarchive.raw/RTDC4058/ "%USERPROFILE%\AppData\Local\Temp\OnboardLogs"\RTDC4058\2017-09-01 --exclude "*" --recursive --include "*20170901*" &amp; "%USERPROFILE%\Documents\GitHub\mrs-test-scripts\Headless Mode &amp; Sideloading\WalkAndUnGZ.bat" "%USERPROFILE%\AppData\Local\Temp\OnboardLogs"\RTDC4058\2017-09-01 &amp; aws s3 cp s3://rtdc.mdm.uploadarchive.raw/RTDC4058/ "%USERPROFILE%\AppData\Local\Temp\OnboardLogs"\RTDC4058\2017-09-02 --exclude "*" --recursive --include "*20170902*" &amp; "%USERPROFILE%\Documents\GitHub\mrs-test-scripts\Headless Mode &amp; Sideloading\WalkAndUnGZ.bat" "%USERPROFILE%\AppData\Local\Temp\OnboardLogs"\RTDC4058\2017-09-02</v>
      </c>
      <c r="AF217" s="74" t="str">
        <f t="shared" si="70"/>
        <v>"C:\Program Files (x86)\AstroGrep\AstroGrep.exe" /e /r /s /spath="%USERPROFILE%\AppData\Local\Temp\OnboardLogs" /stypes="app*4058*20170902*" /stext=" 01:.+((SYSTEM_STATE.+slice.+state.+changed )|(ment ac)|(multiple cpu faults)|(system.+state.+changed )|(\[timeout)|(PRM\|1\|D)|(kpr)|(kdp)|(train st.+moving)|(\|lc)|(penalty))"</v>
      </c>
      <c r="AG217" s="206" t="str">
        <f t="shared" si="71"/>
        <v>Other</v>
      </c>
      <c r="AH217" s="78" t="str">
        <f t="shared" si="72"/>
        <v>"%USERPROFILE%\Documents\GitHub\eaglep3\Utilities\RefineRTDCRunTimes.py" --tripid 305-01 --locoid 4058 --swversion DE.1.0.9.0 --startMP 204:444 --initTime 2017-09-01T19:36:47 --startdatetime 2017-09-01T19:39:04 --delay 60 --endMP 300:23306 --enddatetime 2017-09-01T19:47:41 --enforcementcount 0 &gt;&gt;C:\Users\stu\Documents\GitHub\eaglep3-reporting\EC\2017-09-01-refined-times.txt</v>
      </c>
      <c r="AI217" s="96" t="str">
        <f t="shared" si="73"/>
        <v>echo {"issue":{"subject":"","project_id":79,"tracker_id":40,"status_id":1,"priority_id":2,"assigned_to_id":338,"start_date":"2017-09-01","description":"","custom_fields":[{"id":1,"name":"Subdivision","value":"Other"},{"id":4,"name":"Milepost","value":"2.3306"},{"id":17,"name":"Train ID","value":"305-01"},{"id":16,"name":"Locomotive ID","value":"4058"},{"id":130,"name":"Impact","value":""},{"id":150,"name":"Time of Event (Mountain Time)","value":"19:47:41"},{"id":151,"name":"Denver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7" s="47"/>
      <c r="AL217" s="47"/>
      <c r="AM217" s="142" t="str">
        <f t="shared" si="74"/>
        <v>start /low /b %USERPROFILE%\Documents\GitHub\eaglep3\Utilities\DownloadLogsFromS3.py --loco 4058 --day 2017-09-01</v>
      </c>
      <c r="AN217" s="151" t="str">
        <f t="shared" si="75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01:47:41"},{"id":29,"name":"Sharepoint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x14ac:dyDescent="0.25">
      <c r="A218" s="32" t="s">
        <v>626</v>
      </c>
      <c r="B218" s="7">
        <v>4011</v>
      </c>
      <c r="C218" s="21" t="s">
        <v>197</v>
      </c>
      <c r="D218" s="21" t="s">
        <v>564</v>
      </c>
      <c r="E218" s="13">
        <v>42979.170347222222</v>
      </c>
      <c r="F218" s="13">
        <v>42979.175127314818</v>
      </c>
      <c r="G218" s="7">
        <v>98</v>
      </c>
      <c r="H218" s="21" t="s">
        <v>382</v>
      </c>
      <c r="I218" s="13">
        <v>42979.180995370371</v>
      </c>
      <c r="J218" s="7">
        <v>0</v>
      </c>
      <c r="K218" s="89" t="str">
        <f t="shared" si="58"/>
        <v>4011/4012</v>
      </c>
      <c r="L218" s="214" t="str">
        <f>VLOOKUP(A218,'Trips&amp;Operators'!$C$1:$G$99911,5,FALSE)</f>
        <v>WEST BRYAN</v>
      </c>
      <c r="M218" s="6">
        <f t="shared" si="59"/>
        <v>5.8680555521277711E-3</v>
      </c>
      <c r="N218" s="7">
        <f t="shared" si="60"/>
        <v>8.4499999950639904</v>
      </c>
      <c r="O218" s="7"/>
      <c r="P218" s="7"/>
      <c r="Q218" s="22"/>
      <c r="R218" s="167"/>
      <c r="S218" s="210">
        <f t="shared" si="61"/>
        <v>1</v>
      </c>
      <c r="T218" s="192" t="str">
        <f t="shared" si="62"/>
        <v>Southbound</v>
      </c>
      <c r="U218" s="192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3" t="str">
        <f t="shared" si="63"/>
        <v>https://d0f6bd738d7f1b3e5a7ca70fe4ff75f0.us-east-1.aws.found.io/app/kibana#/discover/Steve-Slow-Train-Analysis-(2080s-and-2083s)?_g=(refreshInterval:(display:Off,pause:!f,section:0,value:0),time:(from:'2017-09-01T03:05:18-0600',mode:absolute,to:'2017-09-01T05:20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8" s="194" t="str">
        <f>IF(AA218&lt;VLOOKUP(AG218,Variables!$AC$3:$AD$8,2,FALSE),"Y","N")</f>
        <v>Y</v>
      </c>
      <c r="X218" s="194">
        <f t="shared" si="64"/>
        <v>1</v>
      </c>
      <c r="Y218" s="194">
        <f t="shared" si="65"/>
        <v>2.3571</v>
      </c>
      <c r="Z218" s="194">
        <f t="shared" si="66"/>
        <v>1.5599999999999999E-2</v>
      </c>
      <c r="AA218" s="194">
        <f t="shared" si="67"/>
        <v>2.3414999999999999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203">
        <f t="shared" si="68"/>
        <v>306</v>
      </c>
      <c r="AE218" s="77" t="str">
        <f t="shared" si="69"/>
        <v>aws s3 cp s3://rtdc.mdm.uploadarchive.raw/RTDC4011/ "%USERPROFILE%\AppData\Local\Temp\OnboardLogs"\RTDC4011\2017-09-01 --exclude "*" --recursive --include "*20170901*" &amp; "%USERPROFILE%\Documents\GitHub\mrs-test-scripts\Headless Mode &amp; Sideloading\WalkAndUnGZ.bat" "%USERPROFILE%\AppData\Local\Temp\OnboardLogs"\RTDC4011\2017-09-01 &amp; aws s3 cp s3://rtdc.mdm.uploadarchive.raw/RTDC4011/ "%USERPROFILE%\AppData\Local\Temp\OnboardLogs"\RTDC4011\2017-09-02 --exclude "*" --recursive --include "*20170902*" &amp; "%USERPROFILE%\Documents\GitHub\mrs-test-scripts\Headless Mode &amp; Sideloading\WalkAndUnGZ.bat" "%USERPROFILE%\AppData\Local\Temp\OnboardLogs"\RTDC4011\2017-09-02</v>
      </c>
      <c r="AF218" s="74" t="str">
        <f t="shared" si="70"/>
        <v>"C:\Program Files (x86)\AstroGrep\AstroGrep.exe" /e /r /s /spath="%USERPROFILE%\AppData\Local\Temp\OnboardLogs" /stypes="app*4011*20170901*" /stext=" 10:.+((SYSTEM_STATE.+slice.+state.+changed )|(ment ac)|(multiple cpu faults)|(system.+state.+changed )|(\[timeout)|(PRM\|1\|D)|(kpr)|(kdp)|(train st.+moving)|(\|lc)|(penalty))"</v>
      </c>
      <c r="AG218" s="206" t="str">
        <f t="shared" si="71"/>
        <v>Other</v>
      </c>
      <c r="AH218" s="78" t="str">
        <f t="shared" si="72"/>
        <v>"%USERPROFILE%\Documents\GitHub\eaglep3\Utilities\RefineRTDCRunTimes.py" --tripid 306-01 --locoid 4011 --swversion DE.1.0.9.0 --startMP 300:23571 --initTime 2017-09-01T04:05:18 --startdatetime 2017-09-01T04:12:11 --delay 98 --endMP 204:156 --enddatetime 2017-09-01T04:20:38 --enforcementcount 0 &gt;&gt;C:\Users\stu\Documents\GitHub\eaglep3-reporting\EC\2017-09-01-refined-times.txt</v>
      </c>
      <c r="AI218" s="96" t="str">
        <f t="shared" si="73"/>
        <v>echo {"issue":{"subject":"","project_id":79,"tracker_id":40,"status_id":1,"priority_id":2,"assigned_to_id":338,"start_date":"2017-09-01","description":"","custom_fields":[{"id":1,"name":"Subdivision","value":"Other"},{"id":4,"name":"Milepost","value":"0.0156"},{"id":17,"name":"Train ID","value":"306-01"},{"id":16,"name":"Locomotive ID","value":"4011"},{"id":130,"name":"Impact","value":""},{"id":150,"name":"Time of Event (Mountain Time)","value":"04:20:38"},{"id":151,"name":"Denver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74"/>
        <v>start /low /b %USERPROFILE%\Documents\GitHub\eaglep3\Utilities\DownloadLogsFromS3.py --loco 4011 --day 2017-09-01</v>
      </c>
      <c r="AN218" s="151" t="str">
        <f t="shared" si="75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10:20:38"},{"id":29,"name":"Sharepoint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x14ac:dyDescent="0.25">
      <c r="A219" s="32" t="s">
        <v>827</v>
      </c>
      <c r="B219" s="7">
        <v>4020</v>
      </c>
      <c r="C219" s="21" t="s">
        <v>197</v>
      </c>
      <c r="D219" s="21" t="s">
        <v>370</v>
      </c>
      <c r="E219" s="13">
        <v>42980.047627314816</v>
      </c>
      <c r="F219" s="13">
        <v>42980.049467592595</v>
      </c>
      <c r="G219" s="7">
        <v>56</v>
      </c>
      <c r="H219" s="21" t="s">
        <v>494</v>
      </c>
      <c r="I219" s="13">
        <v>42980.058657407404</v>
      </c>
      <c r="J219" s="7">
        <v>0</v>
      </c>
      <c r="K219" s="89" t="str">
        <f t="shared" si="58"/>
        <v>4019/4020</v>
      </c>
      <c r="L219" s="214" t="str">
        <f>VLOOKUP(A219,'Trips&amp;Operators'!$C$1:$G$99911,5,FALSE)</f>
        <v>YANG JAN</v>
      </c>
      <c r="M219" s="6">
        <f t="shared" si="59"/>
        <v>9.1898148093605414E-3</v>
      </c>
      <c r="N219" s="7">
        <f t="shared" si="60"/>
        <v>13.23333332547918</v>
      </c>
      <c r="O219" s="7"/>
      <c r="P219" s="7"/>
      <c r="Q219" s="22"/>
      <c r="R219" s="167"/>
      <c r="S219" s="210">
        <f t="shared" si="61"/>
        <v>1</v>
      </c>
      <c r="T219" s="192" t="str">
        <f t="shared" si="62"/>
        <v>NorthBound</v>
      </c>
      <c r="U219" s="192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3" t="str">
        <f t="shared" si="63"/>
        <v>https://d0f6bd738d7f1b3e5a7ca70fe4ff75f0.us-east-1.aws.found.io/app/kibana#/discover/Steve-Slow-Train-Analysis-(2080s-and-2083s)?_g=(refreshInterval:(display:Off,pause:!f,section:0,value:0),time:(from:'2017-09-02T00:08:35-0600',mode:absolute,to:'2017-09-02T02:24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9" s="194" t="str">
        <f>IF(AA219&lt;VLOOKUP(AG219,Variables!$AC$3:$AD$8,2,FALSE),"Y","N")</f>
        <v>Y</v>
      </c>
      <c r="X219" s="194">
        <f t="shared" si="64"/>
        <v>1</v>
      </c>
      <c r="Y219" s="194">
        <f t="shared" si="65"/>
        <v>4.6399999999999997E-2</v>
      </c>
      <c r="Z219" s="194">
        <f t="shared" si="66"/>
        <v>2.3311999999999999</v>
      </c>
      <c r="AA219" s="194">
        <f t="shared" si="67"/>
        <v>2.2847999999999997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203">
        <f t="shared" si="68"/>
        <v>307</v>
      </c>
      <c r="AE219" s="77" t="str">
        <f t="shared" si="69"/>
        <v>aws s3 cp s3://rtdc.mdm.uploadarchive.raw/RTDC4020/ "%USERPROFILE%\AppData\Local\Temp\OnboardLogs"\RTDC4020\2017-09-02 --exclude "*" --recursive --include "*20170902*" &amp; "%USERPROFILE%\Documents\GitHub\mrs-test-scripts\Headless Mode &amp; Sideloading\WalkAndUnGZ.bat" "%USERPROFILE%\AppData\Local\Temp\OnboardLogs"\RTDC4020\2017-09-02 &amp; aws s3 cp s3://rtdc.mdm.uploadarchive.raw/RTDC4020/ "%USERPROFILE%\AppData\Local\Temp\OnboardLogs"\RTDC4020\2017-09-03 --exclude "*" --recursive --include "*20170903*" &amp; "%USERPROFILE%\Documents\GitHub\mrs-test-scripts\Headless Mode &amp; Sideloading\WalkAndUnGZ.bat" "%USERPROFILE%\AppData\Local\Temp\OnboardLogs"\RTDC4020\2017-09-03</v>
      </c>
      <c r="AF219" s="74" t="str">
        <f t="shared" si="70"/>
        <v>"C:\Program Files (x86)\AstroGrep\AstroGrep.exe" /e /r /s /spath="%USERPROFILE%\AppData\Local\Temp\OnboardLogs" /stypes="app*4020*20170902*" /stext=" 07:.+((SYSTEM_STATE.+slice.+state.+changed )|(ment ac)|(multiple cpu faults)|(system.+state.+changed )|(\[timeout)|(PRM\|1\|D)|(kpr)|(kdp)|(train st.+moving)|(\|lc)|(penalty))"</v>
      </c>
      <c r="AG219" s="206" t="str">
        <f t="shared" si="71"/>
        <v>Other</v>
      </c>
      <c r="AH219" s="78" t="str">
        <f t="shared" si="72"/>
        <v>"%USERPROFILE%\Documents\GitHub\eaglep3\Utilities\RefineRTDCRunTimes.py" --tripid 307-01 --locoid 4020 --swversion DE.1.0.9.0 --startMP 204:464 --initTime 2017-09-02T01:08:35 --startdatetime 2017-09-02T01:11:14 --delay 56 --endMP 300:23312 --enddatetime 2017-09-02T01:24:28 --enforcementcount 0 &gt;&gt;C:\Users\stu\Documents\GitHub\eaglep3-reporting\EC\2017-09-01-refined-times.txt</v>
      </c>
      <c r="AI219" s="96" t="str">
        <f t="shared" si="73"/>
        <v>echo {"issue":{"subject":"","project_id":79,"tracker_id":40,"status_id":1,"priority_id":2,"assigned_to_id":338,"start_date":"2017-09-02","description":"","custom_fields":[{"id":1,"name":"Subdivision","value":"Other"},{"id":4,"name":"Milepost","value":"2.3312"},{"id":17,"name":"Train ID","value":"307-01"},{"id":16,"name":"Locomotive ID","value":"4020"},{"id":130,"name":"Impact","value":""},{"id":150,"name":"Time of Event (Mountain Time)","value":"01:24:28"},{"id":151,"name":"Denver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74"/>
        <v>start /low /b %USERPROFILE%\Documents\GitHub\eaglep3\Utilities\DownloadLogsFromS3.py --loco 4020 --day 2017-09-02</v>
      </c>
      <c r="AN219" s="151" t="str">
        <f t="shared" si="75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07:24:28"},{"id":29,"name":"Sharepoint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x14ac:dyDescent="0.25">
      <c r="A220" s="32" t="s">
        <v>628</v>
      </c>
      <c r="B220" s="7">
        <v>4005</v>
      </c>
      <c r="C220" s="21" t="s">
        <v>197</v>
      </c>
      <c r="D220" s="21" t="s">
        <v>894</v>
      </c>
      <c r="E220" s="13">
        <v>42979.179629629631</v>
      </c>
      <c r="F220" s="13">
        <v>42979.184039351851</v>
      </c>
      <c r="G220" s="7">
        <v>68</v>
      </c>
      <c r="H220" s="21" t="s">
        <v>338</v>
      </c>
      <c r="I220" s="13">
        <v>42979.190462962964</v>
      </c>
      <c r="J220" s="7">
        <v>0</v>
      </c>
      <c r="K220" s="89" t="str">
        <f t="shared" si="58"/>
        <v>4005/4006</v>
      </c>
      <c r="L220" s="214" t="str">
        <f>VLOOKUP(A220,'Trips&amp;Operators'!$C$1:$G$99911,5,FALSE)</f>
        <v>DAVIS WENDY</v>
      </c>
      <c r="M220" s="6">
        <f t="shared" si="59"/>
        <v>6.4236111138598062E-3</v>
      </c>
      <c r="N220" s="7">
        <f t="shared" si="60"/>
        <v>9.2500000039581209</v>
      </c>
      <c r="O220" s="7"/>
      <c r="P220" s="7"/>
      <c r="Q220" s="22"/>
      <c r="R220" s="167"/>
      <c r="S220" s="210">
        <f t="shared" si="61"/>
        <v>1</v>
      </c>
      <c r="T220" s="192" t="str">
        <f t="shared" si="62"/>
        <v>Southbound</v>
      </c>
      <c r="U220" s="192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3" t="str">
        <f t="shared" si="63"/>
        <v>https://d0f6bd738d7f1b3e5a7ca70fe4ff75f0.us-east-1.aws.found.io/app/kibana#/discover/Steve-Slow-Train-Analysis-(2080s-and-2083s)?_g=(refreshInterval:(display:Off,pause:!f,section:0,value:0),time:(from:'2017-09-01T03:18:40-0600',mode:absolute,to:'2017-09-01T05:34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0" s="194" t="str">
        <f>IF(AA220&lt;VLOOKUP(AG220,Variables!$AC$3:$AD$8,2,FALSE),"Y","N")</f>
        <v>Y</v>
      </c>
      <c r="X220" s="194">
        <f t="shared" si="64"/>
        <v>1</v>
      </c>
      <c r="Y220" s="194">
        <f t="shared" si="65"/>
        <v>2.3397999999999999</v>
      </c>
      <c r="Z220" s="194">
        <f t="shared" si="66"/>
        <v>1.4999999999999999E-2</v>
      </c>
      <c r="AA220" s="194">
        <f t="shared" si="67"/>
        <v>2.3247999999999998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203">
        <f t="shared" si="68"/>
        <v>308</v>
      </c>
      <c r="AE220" s="77" t="str">
        <f t="shared" si="69"/>
        <v>aws s3 cp s3://rtdc.mdm.uploadarchive.raw/RTDC4005/ "%USERPROFILE%\AppData\Local\Temp\OnboardLogs"\RTDC4005\2017-09-01 --exclude "*" --recursive --include "*20170901*" &amp; "%USERPROFILE%\Documents\GitHub\mrs-test-scripts\Headless Mode &amp; Sideloading\WalkAndUnGZ.bat" "%USERPROFILE%\AppData\Local\Temp\OnboardLogs"\RTDC4005\2017-09-01 &amp; aws s3 cp s3://rtdc.mdm.uploadarchive.raw/RTDC4005/ "%USERPROFILE%\AppData\Local\Temp\OnboardLogs"\RTDC4005\2017-09-02 --exclude "*" --recursive --include "*20170902*" &amp; "%USERPROFILE%\Documents\GitHub\mrs-test-scripts\Headless Mode &amp; Sideloading\WalkAndUnGZ.bat" "%USERPROFILE%\AppData\Local\Temp\OnboardLogs"\RTDC4005\2017-09-02</v>
      </c>
      <c r="AF220" s="74" t="str">
        <f t="shared" si="70"/>
        <v>"C:\Program Files (x86)\AstroGrep\AstroGrep.exe" /e /r /s /spath="%USERPROFILE%\AppData\Local\Temp\OnboardLogs" /stypes="app*4005*20170901*" /stext=" 10:.+((SYSTEM_STATE.+slice.+state.+changed )|(ment ac)|(multiple cpu faults)|(system.+state.+changed )|(\[timeout)|(PRM\|1\|D)|(kpr)|(kdp)|(train st.+moving)|(\|lc)|(penalty))"</v>
      </c>
      <c r="AG220" s="206" t="str">
        <f t="shared" si="71"/>
        <v>Other</v>
      </c>
      <c r="AH220" s="78" t="str">
        <f t="shared" si="72"/>
        <v>"%USERPROFILE%\Documents\GitHub\eaglep3\Utilities\RefineRTDCRunTimes.py" --tripid 308-01 --locoid 4005 --swversion DE.1.0.9.0 --startMP 300:23398 --initTime 2017-09-01T04:18:40 --startdatetime 2017-09-01T04:25:01 --delay 68 --endMP 204:150 --enddatetime 2017-09-01T04:34:16 --enforcementcount 0 &gt;&gt;C:\Users\stu\Documents\GitHub\eaglep3-reporting\EC\2017-09-01-refined-times.txt</v>
      </c>
      <c r="AI220" s="96" t="str">
        <f t="shared" si="73"/>
        <v>echo {"issue":{"subject":"","project_id":79,"tracker_id":40,"status_id":1,"priority_id":2,"assigned_to_id":338,"start_date":"2017-09-01","description":"","custom_fields":[{"id":1,"name":"Subdivision","value":"Other"},{"id":4,"name":"Milepost","value":"0.015"},{"id":17,"name":"Train ID","value":"308-01"},{"id":16,"name":"Locomotive ID","value":"4005"},{"id":130,"name":"Impact","value":""},{"id":150,"name":"Time of Event (Mountain Time)","value":"04:34:16"},{"id":151,"name":"Denver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74"/>
        <v>start /low /b %USERPROFILE%\Documents\GitHub\eaglep3\Utilities\DownloadLogsFromS3.py --loco 4005 --day 2017-09-01</v>
      </c>
      <c r="AN220" s="151" t="str">
        <f t="shared" si="75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10:34:16"},{"id":29,"name":"Sharepoint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x14ac:dyDescent="0.25">
      <c r="A221" s="32" t="s">
        <v>829</v>
      </c>
      <c r="B221" s="7">
        <v>4026</v>
      </c>
      <c r="C221" s="21" t="s">
        <v>197</v>
      </c>
      <c r="D221" s="21" t="s">
        <v>364</v>
      </c>
      <c r="E221" s="13">
        <v>42980.071238425924</v>
      </c>
      <c r="F221" s="13">
        <v>42980.074641203704</v>
      </c>
      <c r="G221" s="7">
        <v>239</v>
      </c>
      <c r="H221" s="21" t="s">
        <v>895</v>
      </c>
      <c r="I221" s="13">
        <v>42980.083113425928</v>
      </c>
      <c r="J221" s="7">
        <v>0</v>
      </c>
      <c r="K221" s="89" t="str">
        <f t="shared" si="58"/>
        <v>4025/4026</v>
      </c>
      <c r="L221" s="214" t="str">
        <f>VLOOKUP(A221,'Trips&amp;Operators'!$C$1:$G$99911,5,FALSE)</f>
        <v>PERKINS DARREN</v>
      </c>
      <c r="M221" s="6">
        <f t="shared" si="59"/>
        <v>8.4722222236450762E-3</v>
      </c>
      <c r="N221" s="7">
        <f t="shared" si="60"/>
        <v>12.20000000204891</v>
      </c>
      <c r="O221" s="7"/>
      <c r="P221" s="7"/>
      <c r="Q221" s="22"/>
      <c r="R221" s="167"/>
      <c r="S221" s="210">
        <f t="shared" si="61"/>
        <v>1</v>
      </c>
      <c r="T221" s="192" t="str">
        <f t="shared" si="62"/>
        <v>NorthBound</v>
      </c>
      <c r="U221" s="192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3" t="str">
        <f t="shared" si="63"/>
        <v>https://d0f6bd738d7f1b3e5a7ca70fe4ff75f0.us-east-1.aws.found.io/app/kibana#/discover/Steve-Slow-Train-Analysis-(2080s-and-2083s)?_g=(refreshInterval:(display:Off,pause:!f,section:0,value:0),time:(from:'2017-09-02T00:42:35-0600',mode:absolute,to:'2017-09-02T02:59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1" s="194" t="str">
        <f>IF(AA221&lt;VLOOKUP(AG221,Variables!$AC$3:$AD$8,2,FALSE),"Y","N")</f>
        <v>Y</v>
      </c>
      <c r="X221" s="194">
        <f t="shared" si="64"/>
        <v>1</v>
      </c>
      <c r="Y221" s="194">
        <f t="shared" si="65"/>
        <v>4.58E-2</v>
      </c>
      <c r="Z221" s="194">
        <f t="shared" si="66"/>
        <v>2.3302</v>
      </c>
      <c r="AA221" s="194">
        <f t="shared" si="67"/>
        <v>2.2844000000000002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203">
        <f t="shared" si="68"/>
        <v>309</v>
      </c>
      <c r="AE221" s="77" t="str">
        <f t="shared" si="69"/>
        <v>aws s3 cp s3://rtdc.mdm.uploadarchive.raw/RTDC4026/ "%USERPROFILE%\AppData\Local\Temp\OnboardLogs"\RTDC4026\2017-09-02 --exclude "*" --recursive --include "*20170902*" &amp; "%USERPROFILE%\Documents\GitHub\mrs-test-scripts\Headless Mode &amp; Sideloading\WalkAndUnGZ.bat" "%USERPROFILE%\AppData\Local\Temp\OnboardLogs"\RTDC4026\2017-09-02 &amp; aws s3 cp s3://rtdc.mdm.uploadarchive.raw/RTDC4026/ "%USERPROFILE%\AppData\Local\Temp\OnboardLogs"\RTDC4026\2017-09-03 --exclude "*" --recursive --include "*20170903*" &amp; "%USERPROFILE%\Documents\GitHub\mrs-test-scripts\Headless Mode &amp; Sideloading\WalkAndUnGZ.bat" "%USERPROFILE%\AppData\Local\Temp\OnboardLogs"\RTDC4026\2017-09-03</v>
      </c>
      <c r="AF221" s="74" t="str">
        <f t="shared" si="70"/>
        <v>"C:\Program Files (x86)\AstroGrep\AstroGrep.exe" /e /r /s /spath="%USERPROFILE%\AppData\Local\Temp\OnboardLogs" /stypes="app*4026*20170902*" /stext=" 07:.+((SYSTEM_STATE.+slice.+state.+changed )|(ment ac)|(multiple cpu faults)|(system.+state.+changed )|(\[timeout)|(PRM\|1\|D)|(kpr)|(kdp)|(train st.+moving)|(\|lc)|(penalty))"</v>
      </c>
      <c r="AG221" s="206" t="str">
        <f t="shared" si="71"/>
        <v>Other</v>
      </c>
      <c r="AH221" s="78" t="str">
        <f t="shared" si="72"/>
        <v>"%USERPROFILE%\Documents\GitHub\eaglep3\Utilities\RefineRTDCRunTimes.py" --tripid 309-01 --locoid 4026 --swversion DE.1.0.9.0 --startMP 204:458 --initTime 2017-09-02T01:42:35 --startdatetime 2017-09-02T01:47:29 --delay 239 --endMP 300:23302 --enddatetime 2017-09-02T01:59:41 --enforcementcount 0 &gt;&gt;C:\Users\stu\Documents\GitHub\eaglep3-reporting\EC\2017-09-01-refined-times.txt</v>
      </c>
      <c r="AI221" s="96" t="str">
        <f t="shared" si="73"/>
        <v>echo {"issue":{"subject":"","project_id":79,"tracker_id":40,"status_id":1,"priority_id":2,"assigned_to_id":338,"start_date":"2017-09-02","description":"","custom_fields":[{"id":1,"name":"Subdivision","value":"Other"},{"id":4,"name":"Milepost","value":"2.3302"},{"id":17,"name":"Train ID","value":"309-01"},{"id":16,"name":"Locomotive ID","value":"4026"},{"id":130,"name":"Impact","value":""},{"id":150,"name":"Time of Event (Mountain Time)","value":"01:59:41"},{"id":151,"name":"Denver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74"/>
        <v>start /low /b %USERPROFILE%\Documents\GitHub\eaglep3\Utilities\DownloadLogsFromS3.py --loco 4026 --day 2017-09-02</v>
      </c>
      <c r="AN221" s="151" t="str">
        <f t="shared" si="75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07:59:41"},{"id":29,"name":"Sharepoint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</row>
    <row r="222" spans="1:91" x14ac:dyDescent="0.25">
      <c r="A222" s="32" t="s">
        <v>633</v>
      </c>
      <c r="B222" s="7">
        <v>4023</v>
      </c>
      <c r="C222" s="21" t="s">
        <v>197</v>
      </c>
      <c r="D222" s="21" t="s">
        <v>896</v>
      </c>
      <c r="E222" s="13">
        <v>42979.203576388885</v>
      </c>
      <c r="F222" s="13">
        <v>42979.205775462964</v>
      </c>
      <c r="G222" s="7">
        <v>67</v>
      </c>
      <c r="H222" s="21" t="s">
        <v>340</v>
      </c>
      <c r="I222" s="13">
        <v>42979.211400462962</v>
      </c>
      <c r="J222" s="7">
        <v>0</v>
      </c>
      <c r="K222" s="89" t="str">
        <f t="shared" si="58"/>
        <v>4023/4024</v>
      </c>
      <c r="L222" s="214" t="str">
        <f>VLOOKUP(A222,'Trips&amp;Operators'!$C$1:$G$99911,5,FALSE)</f>
        <v>MACDONALD THOMAS</v>
      </c>
      <c r="M222" s="6">
        <f t="shared" si="59"/>
        <v>5.6249999979627319E-3</v>
      </c>
      <c r="N222" s="7">
        <f t="shared" si="60"/>
        <v>8.0999999970663339</v>
      </c>
      <c r="O222" s="7"/>
      <c r="P222" s="7"/>
      <c r="Q222" s="22"/>
      <c r="R222" s="167"/>
      <c r="S222" s="210">
        <f t="shared" si="61"/>
        <v>1</v>
      </c>
      <c r="T222" s="192" t="str">
        <f t="shared" si="62"/>
        <v>Southbound</v>
      </c>
      <c r="U222" s="192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3" t="str">
        <f t="shared" si="63"/>
        <v>https://d0f6bd738d7f1b3e5a7ca70fe4ff75f0.us-east-1.aws.found.io/app/kibana#/discover/Steve-Slow-Train-Analysis-(2080s-and-2083s)?_g=(refreshInterval:(display:Off,pause:!f,section:0,value:0),time:(from:'2017-09-01T03:53:09-0600',mode:absolute,to:'2017-09-01T06:04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2" s="194" t="str">
        <f>IF(AA222&lt;VLOOKUP(AG222,Variables!$AC$3:$AD$8,2,FALSE),"Y","N")</f>
        <v>Y</v>
      </c>
      <c r="X222" s="194">
        <f t="shared" si="64"/>
        <v>1</v>
      </c>
      <c r="Y222" s="194">
        <f t="shared" si="65"/>
        <v>2.3633000000000002</v>
      </c>
      <c r="Z222" s="194">
        <f t="shared" si="66"/>
        <v>1.43E-2</v>
      </c>
      <c r="AA222" s="194">
        <f t="shared" si="67"/>
        <v>2.3490000000000002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203">
        <f t="shared" si="68"/>
        <v>310</v>
      </c>
      <c r="AE222" s="77" t="str">
        <f t="shared" si="69"/>
        <v>aws s3 cp s3://rtdc.mdm.uploadarchive.raw/RTDC4023/ "%USERPROFILE%\AppData\Local\Temp\OnboardLogs"\RTDC4023\2017-09-01 --exclude "*" --recursive --include "*20170901*" &amp; "%USERPROFILE%\Documents\GitHub\mrs-test-scripts\Headless Mode &amp; Sideloading\WalkAndUnGZ.bat" "%USERPROFILE%\AppData\Local\Temp\OnboardLogs"\RTDC4023\2017-09-01 &amp; aws s3 cp s3://rtdc.mdm.uploadarchive.raw/RTDC4023/ "%USERPROFILE%\AppData\Local\Temp\OnboardLogs"\RTDC4023\2017-09-02 --exclude "*" --recursive --include "*20170902*" &amp; "%USERPROFILE%\Documents\GitHub\mrs-test-scripts\Headless Mode &amp; Sideloading\WalkAndUnGZ.bat" "%USERPROFILE%\AppData\Local\Temp\OnboardLogs"\RTDC4023\2017-09-02</v>
      </c>
      <c r="AF222" s="74" t="str">
        <f t="shared" si="70"/>
        <v>"C:\Program Files (x86)\AstroGrep\AstroGrep.exe" /e /r /s /spath="%USERPROFILE%\AppData\Local\Temp\OnboardLogs" /stypes="app*4023*20170901*" /stext=" 11:.+((SYSTEM_STATE.+slice.+state.+changed )|(ment ac)|(multiple cpu faults)|(system.+state.+changed )|(\[timeout)|(PRM\|1\|D)|(kpr)|(kdp)|(train st.+moving)|(\|lc)|(penalty))"</v>
      </c>
      <c r="AG222" s="206" t="str">
        <f t="shared" si="71"/>
        <v>Other</v>
      </c>
      <c r="AH222" s="78" t="str">
        <f t="shared" si="72"/>
        <v>"%USERPROFILE%\Documents\GitHub\eaglep3\Utilities\RefineRTDCRunTimes.py" --tripid 310-01 --locoid 4023 --swversion DE.1.0.9.0 --startMP 300:23633 --initTime 2017-09-01T04:53:09 --startdatetime 2017-09-01T04:56:19 --delay 67 --endMP 204:143 --enddatetime 2017-09-01T05:04:25 --enforcementcount 0 &gt;&gt;C:\Users\stu\Documents\GitHub\eaglep3-reporting\EC\2017-09-01-refined-times.txt</v>
      </c>
      <c r="AI222" s="96" t="str">
        <f t="shared" si="73"/>
        <v>echo {"issue":{"subject":"","project_id":79,"tracker_id":40,"status_id":1,"priority_id":2,"assigned_to_id":338,"start_date":"2017-09-01","description":"","custom_fields":[{"id":1,"name":"Subdivision","value":"Other"},{"id":4,"name":"Milepost","value":"0.0143"},{"id":17,"name":"Train ID","value":"310-01"},{"id":16,"name":"Locomotive ID","value":"4023"},{"id":130,"name":"Impact","value":""},{"id":150,"name":"Time of Event (Mountain Time)","value":"05:04:25"},{"id":151,"name":"Denver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74"/>
        <v>start /low /b %USERPROFILE%\Documents\GitHub\eaglep3\Utilities\DownloadLogsFromS3.py --loco 4023 --day 2017-09-01</v>
      </c>
      <c r="AN222" s="151" t="str">
        <f t="shared" si="75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11:04:25"},{"id":29,"name":"Sharepoint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</row>
    <row r="223" spans="1:91" x14ac:dyDescent="0.25">
      <c r="A223" s="32" t="s">
        <v>639</v>
      </c>
      <c r="B223" s="7">
        <v>4057</v>
      </c>
      <c r="C223" s="21" t="s">
        <v>197</v>
      </c>
      <c r="D223" s="21" t="s">
        <v>897</v>
      </c>
      <c r="E223" s="13">
        <v>42979.220937500002</v>
      </c>
      <c r="F223" s="13">
        <v>42979.226377314815</v>
      </c>
      <c r="G223" s="7">
        <v>78</v>
      </c>
      <c r="H223" s="21" t="s">
        <v>382</v>
      </c>
      <c r="I223" s="13">
        <v>42979.233865740738</v>
      </c>
      <c r="J223" s="7">
        <v>0</v>
      </c>
      <c r="K223" s="89" t="str">
        <f t="shared" si="58"/>
        <v>4057/4058</v>
      </c>
      <c r="L223" s="214" t="str">
        <f>VLOOKUP(A223,'Trips&amp;Operators'!$C$1:$G$99911,5,FALSE)</f>
        <v>BARRON PERLA</v>
      </c>
      <c r="M223" s="6">
        <f t="shared" si="59"/>
        <v>7.4884259229293093E-3</v>
      </c>
      <c r="N223" s="7">
        <f t="shared" si="60"/>
        <v>10.783333329018205</v>
      </c>
      <c r="O223" s="7"/>
      <c r="P223" s="7"/>
      <c r="Q223" s="22"/>
      <c r="R223" s="167"/>
      <c r="S223" s="210">
        <f t="shared" si="61"/>
        <v>1</v>
      </c>
      <c r="T223" s="192" t="str">
        <f t="shared" si="62"/>
        <v>Southbound</v>
      </c>
      <c r="U223" s="192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93" t="str">
        <f t="shared" si="63"/>
        <v>https://d0f6bd738d7f1b3e5a7ca70fe4ff75f0.us-east-1.aws.found.io/app/kibana#/discover/Steve-Slow-Train-Analysis-(2080s-and-2083s)?_g=(refreshInterval:(display:Off,pause:!f,section:0,value:0),time:(from:'2017-09-01T04:18:09-0600',mode:absolute,to:'2017-09-01T06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23" s="194" t="str">
        <f>IF(AA223&lt;VLOOKUP(AG223,Variables!$AC$3:$AD$8,2,FALSE),"Y","N")</f>
        <v>Y</v>
      </c>
      <c r="X223" s="194">
        <f t="shared" si="64"/>
        <v>2</v>
      </c>
      <c r="Y223" s="194">
        <f t="shared" si="65"/>
        <v>2.2745000000000002</v>
      </c>
      <c r="Z223" s="194">
        <f t="shared" si="66"/>
        <v>1.5599999999999999E-2</v>
      </c>
      <c r="AA223" s="194">
        <f t="shared" si="67"/>
        <v>2.2589000000000001</v>
      </c>
      <c r="AB223" s="54" t="e">
        <f>VLOOKUP(A223,Enforcements!$C$7:$K$11,8,0)</f>
        <v>#N/A</v>
      </c>
      <c r="AC223" s="51" t="e">
        <f>VLOOKUP(A223,Enforcements!$C$7:$E$11,3,0)</f>
        <v>#N/A</v>
      </c>
      <c r="AD223" s="203">
        <f t="shared" si="68"/>
        <v>312</v>
      </c>
      <c r="AE223" s="77" t="str">
        <f t="shared" si="69"/>
        <v>aws s3 cp s3://rtdc.mdm.uploadarchive.raw/RTDC4057/ "%USERPROFILE%\AppData\Local\Temp\OnboardLogs"\RTDC4057\2017-09-01 --exclude "*" --recursive --include "*20170901*" &amp; "%USERPROFILE%\Documents\GitHub\mrs-test-scripts\Headless Mode &amp; Sideloading\WalkAndUnGZ.bat" "%USERPROFILE%\AppData\Local\Temp\OnboardLogs"\RTDC4057\2017-09-01 &amp; aws s3 cp s3://rtdc.mdm.uploadarchive.raw/RTDC4057/ "%USERPROFILE%\AppData\Local\Temp\OnboardLogs"\RTDC4057\2017-09-02 --exclude "*" --recursive --include "*20170902*" &amp; "%USERPROFILE%\Documents\GitHub\mrs-test-scripts\Headless Mode &amp; Sideloading\WalkAndUnGZ.bat" "%USERPROFILE%\AppData\Local\Temp\OnboardLogs"\RTDC4057\2017-09-02</v>
      </c>
      <c r="AF223" s="74" t="str">
        <f t="shared" si="70"/>
        <v>"C:\Program Files (x86)\AstroGrep\AstroGrep.exe" /e /r /s /spath="%USERPROFILE%\AppData\Local\Temp\OnboardLogs" /stypes="app*4057*20170901*" /stext=" 11:.+((SYSTEM_STATE.+slice.+state.+changed )|(ment ac)|(multiple cpu faults)|(system.+state.+changed )|(\[timeout)|(PRM\|1\|D)|(kpr)|(kdp)|(train st.+moving)|(\|lc)|(penalty))"</v>
      </c>
      <c r="AG223" s="206" t="str">
        <f t="shared" si="71"/>
        <v>Other</v>
      </c>
      <c r="AH223" s="78" t="str">
        <f t="shared" si="72"/>
        <v>"%USERPROFILE%\Documents\GitHub\eaglep3\Utilities\RefineRTDCRunTimes.py" --tripid 312-01 --locoid 4057 --swversion DE.1.0.9.0 --startMP 300:22745 --initTime 2017-09-01T05:18:09 --startdatetime 2017-09-01T05:25:59 --delay 78 --endMP 204:156 --enddatetime 2017-09-01T05:36:46 --enforcementcount 0 &gt;&gt;C:\Users\stu\Documents\GitHub\eaglep3-reporting\EC\2017-09-01-refined-times.txt</v>
      </c>
      <c r="AI223" s="96" t="str">
        <f t="shared" si="73"/>
        <v>echo {"issue":{"subject":"","project_id":79,"tracker_id":40,"status_id":1,"priority_id":2,"assigned_to_id":338,"start_date":"2017-09-01","description":"","custom_fields":[{"id":1,"name":"Subdivision","value":"Other"},{"id":4,"name":"Milepost","value":"0.0156"},{"id":17,"name":"Train ID","value":"312-01"},{"id":16,"name":"Locomotive ID","value":"4057"},{"id":130,"name":"Impact","value":""},{"id":150,"name":"Time of Event (Mountain Time)","value":"05:36:46"},{"id":151,"name":"Denver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74"/>
        <v>start /low /b %USERPROFILE%\Documents\GitHub\eaglep3\Utilities\DownloadLogsFromS3.py --loco 4057 --day 2017-09-01</v>
      </c>
      <c r="AN223" s="151" t="str">
        <f t="shared" si="75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11:36:46"},{"id":29,"name":"Sharepoint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 s="32" t="s">
        <v>582</v>
      </c>
      <c r="B224" s="7">
        <v>4056</v>
      </c>
      <c r="C224" s="21" t="s">
        <v>197</v>
      </c>
      <c r="D224" s="21" t="s">
        <v>961</v>
      </c>
      <c r="E224" s="13">
        <v>42979.198958333334</v>
      </c>
      <c r="F224" s="13">
        <v>42979.23574074074</v>
      </c>
      <c r="G224" s="7">
        <v>111</v>
      </c>
      <c r="H224" s="21" t="s">
        <v>962</v>
      </c>
      <c r="I224" s="13">
        <v>42979.245868055557</v>
      </c>
      <c r="J224" s="7">
        <v>0</v>
      </c>
      <c r="K224" s="89" t="str">
        <f t="shared" si="58"/>
        <v>4055/4056</v>
      </c>
      <c r="L224" s="214" t="str">
        <f>VLOOKUP(A224,'Trips&amp;Operators'!$C$1:$G$99911,5,FALSE)</f>
        <v>WILLIAMS DONTE</v>
      </c>
      <c r="M224" s="6">
        <f t="shared" si="59"/>
        <v>1.0127314817509614E-2</v>
      </c>
      <c r="N224" s="7">
        <f t="shared" si="60"/>
        <v>14.583333337213844</v>
      </c>
      <c r="O224" s="7"/>
      <c r="P224" s="7"/>
      <c r="Q224" s="22"/>
      <c r="R224" s="167"/>
      <c r="S224" s="210">
        <f t="shared" si="61"/>
        <v>0</v>
      </c>
      <c r="T224" s="192" t="str">
        <f t="shared" si="62"/>
        <v>NorthBound</v>
      </c>
      <c r="U224" s="192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3" t="str">
        <f t="shared" si="63"/>
        <v>https://d0f6bd738d7f1b3e5a7ca70fe4ff75f0.us-east-1.aws.found.io/app/kibana#/discover/Steve-Slow-Train-Analysis-(2080s-and-2083s)?_g=(refreshInterval:(display:Off,pause:!f,section:0,value:0),time:(from:'2017-09-01T03:46:30-0600',mode:absolute,to:'2017-09-01T06:54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24" s="194" t="str">
        <f>IF(AA224&lt;VLOOKUP(AG224,Variables!$AC$3:$AD$8,2,FALSE),"Y","N")</f>
        <v>Y</v>
      </c>
      <c r="X224" s="194">
        <f t="shared" si="64"/>
        <v>589</v>
      </c>
      <c r="Y224" s="194">
        <f t="shared" si="65"/>
        <v>2.8997999999999999</v>
      </c>
      <c r="Z224" s="194">
        <f t="shared" si="66"/>
        <v>2.9455</v>
      </c>
      <c r="AA224" s="194">
        <f t="shared" si="67"/>
        <v>4.5700000000000074E-2</v>
      </c>
      <c r="AB224" s="54" t="e">
        <f>VLOOKUP(A224,Enforcements!$C$7:$K$11,8,0)</f>
        <v>#N/A</v>
      </c>
      <c r="AC224" s="51" t="e">
        <f>VLOOKUP(A224,Enforcements!$C$7:$E$11,3,0)</f>
        <v>#N/A</v>
      </c>
      <c r="AD224" s="203">
        <f t="shared" si="68"/>
        <v>901</v>
      </c>
      <c r="AE224" s="77" t="str">
        <f t="shared" si="69"/>
        <v>aws s3 cp s3://rtdc.mdm.uploadarchive.raw/RTDC4056/ "%USERPROFILE%\AppData\Local\Temp\OnboardLogs"\RTDC4056\2017-09-01 --exclude "*" --recursive --include "*20170901*" &amp; "%USERPROFILE%\Documents\GitHub\mrs-test-scripts\Headless Mode &amp; Sideloading\WalkAndUnGZ.bat" "%USERPROFILE%\AppData\Local\Temp\OnboardLogs"\RTDC4056\2017-09-01 &amp; aws s3 cp s3://rtdc.mdm.uploadarchive.raw/RTDC4056/ "%USERPROFILE%\AppData\Local\Temp\OnboardLogs"\RTDC4056\2017-09-02 --exclude "*" --recursive --include "*20170902*" &amp; "%USERPROFILE%\Documents\GitHub\mrs-test-scripts\Headless Mode &amp; Sideloading\WalkAndUnGZ.bat" "%USERPROFILE%\AppData\Local\Temp\OnboardLogs"\RTDC4056\2017-09-02</v>
      </c>
      <c r="AF224" s="74" t="str">
        <f t="shared" si="70"/>
        <v>"C:\Program Files (x86)\AstroGrep\AstroGrep.exe" /e /r /s /spath="%USERPROFILE%\AppData\Local\Temp\OnboardLogs" /stypes="app*4056*20170901*" /stext=" 11:.+((SYSTEM_STATE.+slice.+state.+changed )|(ment ac)|(multiple cpu faults)|(system.+state.+changed )|(\[timeout)|(PRM\|1\|D)|(kpr)|(kdp)|(train st.+moving)|(\|lc)|(penalty))"</v>
      </c>
      <c r="AG224" s="206" t="str">
        <f t="shared" si="71"/>
        <v>Other</v>
      </c>
      <c r="AH224" s="78" t="str">
        <f t="shared" si="72"/>
        <v>"%USERPROFILE%\Documents\GitHub\eaglep3\Utilities\RefineRTDCRunTimes.py" --tripid 901-01 --locoid 4056 --swversion DE.1.0.9.0 --startMP 300:28998 --initTime 2017-09-01T04:46:30 --startdatetime 2017-09-01T05:39:28 --delay 111 --endMP 300:29455 --enddatetime 2017-09-01T05:54:03 --enforcementcount 0 &gt;&gt;C:\Users\stu\Documents\GitHub\eaglep3-reporting\EC\2017-09-01-refined-times.txt</v>
      </c>
      <c r="AI224" s="96" t="str">
        <f t="shared" si="73"/>
        <v>echo {"issue":{"subject":"","project_id":79,"tracker_id":40,"status_id":1,"priority_id":2,"assigned_to_id":338,"start_date":"2017-09-01","description":"","custom_fields":[{"id":1,"name":"Subdivision","value":"Other"},{"id":4,"name":"Milepost","value":"2.9455"},{"id":17,"name":"Train ID","value":"901-01"},{"id":16,"name":"Locomotive ID","value":"4056"},{"id":130,"name":"Impact","value":""},{"id":150,"name":"Time of Event (Mountain Time)","value":"05:54:03"},{"id":151,"name":"Denver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74"/>
        <v>start /low /b %USERPROFILE%\Documents\GitHub\eaglep3\Utilities\DownloadLogsFromS3.py --loco 4056 --day 2017-09-01</v>
      </c>
      <c r="AN224" s="151" t="str">
        <f t="shared" si="75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11:54:03"},{"id":29,"name":"Sharepoint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91" x14ac:dyDescent="0.25">
      <c r="A225" s="32" t="s">
        <v>582</v>
      </c>
      <c r="B225" s="7">
        <v>4056</v>
      </c>
      <c r="C225" s="21" t="s">
        <v>197</v>
      </c>
      <c r="D225" s="21" t="s">
        <v>963</v>
      </c>
      <c r="E225" s="13">
        <v>42979.213564814818</v>
      </c>
      <c r="F225" s="13">
        <v>42979.23574074074</v>
      </c>
      <c r="G225" s="7">
        <v>39</v>
      </c>
      <c r="H225" s="21" t="s">
        <v>964</v>
      </c>
      <c r="I225" s="13">
        <v>42979.245868055557</v>
      </c>
      <c r="J225" s="7">
        <v>0</v>
      </c>
      <c r="K225" s="89" t="str">
        <f t="shared" si="58"/>
        <v>4055/4056</v>
      </c>
      <c r="L225" s="214" t="str">
        <f>VLOOKUP(A225,'Trips&amp;Operators'!$C$1:$G$99911,5,FALSE)</f>
        <v>WILLIAMS DONTE</v>
      </c>
      <c r="M225" s="6">
        <f t="shared" si="59"/>
        <v>1.0127314817509614E-2</v>
      </c>
      <c r="N225" s="7">
        <f t="shared" si="60"/>
        <v>14.583333337213844</v>
      </c>
      <c r="O225" s="7"/>
      <c r="P225" s="7"/>
      <c r="Q225" s="22"/>
      <c r="R225" s="167"/>
      <c r="S225" s="210">
        <f t="shared" si="61"/>
        <v>0</v>
      </c>
      <c r="T225" s="192" t="str">
        <f t="shared" si="62"/>
        <v>NorthBound</v>
      </c>
      <c r="U225" s="192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3" t="str">
        <f t="shared" si="63"/>
        <v>https://d0f6bd738d7f1b3e5a7ca70fe4ff75f0.us-east-1.aws.found.io/app/kibana#/discover/Steve-Slow-Train-Analysis-(2080s-and-2083s)?_g=(refreshInterval:(display:Off,pause:!f,section:0,value:0),time:(from:'2017-09-01T04:07:32-0600',mode:absolute,to:'2017-09-01T06:54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25" s="194" t="str">
        <f>IF(AA225&lt;VLOOKUP(AG225,Variables!$AC$3:$AD$8,2,FALSE),"Y","N")</f>
        <v>Y</v>
      </c>
      <c r="X225" s="194">
        <f t="shared" si="64"/>
        <v>0</v>
      </c>
      <c r="Y225" s="194">
        <f t="shared" si="65"/>
        <v>5.8905000000000003</v>
      </c>
      <c r="Z225" s="194">
        <f t="shared" si="66"/>
        <v>5.8906999999999998</v>
      </c>
      <c r="AA225" s="194">
        <f t="shared" si="67"/>
        <v>1.9999999999953388E-4</v>
      </c>
      <c r="AB225" s="54" t="e">
        <f>VLOOKUP(A225,Enforcements!$C$7:$K$11,8,0)</f>
        <v>#N/A</v>
      </c>
      <c r="AC225" s="51" t="e">
        <f>VLOOKUP(A225,Enforcements!$C$7:$E$11,3,0)</f>
        <v>#N/A</v>
      </c>
      <c r="AD225" s="203">
        <f t="shared" si="68"/>
        <v>901</v>
      </c>
      <c r="AE225" s="77" t="str">
        <f t="shared" si="69"/>
        <v>aws s3 cp s3://rtdc.mdm.uploadarchive.raw/RTDC4056/ "%USERPROFILE%\AppData\Local\Temp\OnboardLogs"\RTDC4056\2017-09-01 --exclude "*" --recursive --include "*20170901*" &amp; "%USERPROFILE%\Documents\GitHub\mrs-test-scripts\Headless Mode &amp; Sideloading\WalkAndUnGZ.bat" "%USERPROFILE%\AppData\Local\Temp\OnboardLogs"\RTDC4056\2017-09-01 &amp; aws s3 cp s3://rtdc.mdm.uploadarchive.raw/RTDC4056/ "%USERPROFILE%\AppData\Local\Temp\OnboardLogs"\RTDC4056\2017-09-02 --exclude "*" --recursive --include "*20170902*" &amp; "%USERPROFILE%\Documents\GitHub\mrs-test-scripts\Headless Mode &amp; Sideloading\WalkAndUnGZ.bat" "%USERPROFILE%\AppData\Local\Temp\OnboardLogs"\RTDC4056\2017-09-02</v>
      </c>
      <c r="AF225" s="74" t="str">
        <f t="shared" si="70"/>
        <v>"C:\Program Files (x86)\AstroGrep\AstroGrep.exe" /e /r /s /spath="%USERPROFILE%\AppData\Local\Temp\OnboardLogs" /stypes="app*4056*20170901*" /stext=" 11:.+((SYSTEM_STATE.+slice.+state.+changed )|(ment ac)|(multiple cpu faults)|(system.+state.+changed )|(\[timeout)|(PRM\|1\|D)|(kpr)|(kdp)|(train st.+moving)|(\|lc)|(penalty))"</v>
      </c>
      <c r="AG225" s="206" t="str">
        <f t="shared" si="71"/>
        <v>Other</v>
      </c>
      <c r="AH225" s="78" t="str">
        <f t="shared" si="72"/>
        <v>"%USERPROFILE%\Documents\GitHub\eaglep3\Utilities\RefineRTDCRunTimes.py" --tripid 901-01 --locoid 4056 --swversion DE.1.0.9.0 --startMP 300:58905 --initTime 2017-09-01T05:07:32 --startdatetime 2017-09-01T05:39:28 --delay 39 --endMP 300:58907 --enddatetime 2017-09-01T05:54:03 --enforcementcount 0 &gt;&gt;C:\Users\stu\Documents\GitHub\eaglep3-reporting\EC\2017-09-01-refined-times.txt</v>
      </c>
      <c r="AI225" s="96" t="str">
        <f t="shared" si="73"/>
        <v>echo {"issue":{"subject":"","project_id":79,"tracker_id":40,"status_id":1,"priority_id":2,"assigned_to_id":338,"start_date":"2017-09-01","description":"","custom_fields":[{"id":1,"name":"Subdivision","value":"Other"},{"id":4,"name":"Milepost","value":"5.8907"},{"id":17,"name":"Train ID","value":"901-01"},{"id":16,"name":"Locomotive ID","value":"4056"},{"id":130,"name":"Impact","value":""},{"id":150,"name":"Time of Event (Mountain Time)","value":"05:54:03"},{"id":151,"name":"Denver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74"/>
        <v>start /low /b %USERPROFILE%\Documents\GitHub\eaglep3\Utilities\DownloadLogsFromS3.py --loco 4056 --day 2017-09-01</v>
      </c>
      <c r="AN225" s="151" t="str">
        <f t="shared" si="75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11:54:03"},{"id":29,"name":"Sharepoint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</row>
    <row r="226" spans="1:91" x14ac:dyDescent="0.25">
      <c r="A226" s="32" t="s">
        <v>647</v>
      </c>
      <c r="B226" s="7">
        <v>4043</v>
      </c>
      <c r="C226" s="21" t="s">
        <v>197</v>
      </c>
      <c r="D226" s="21" t="s">
        <v>965</v>
      </c>
      <c r="E226" s="13">
        <v>42979.241319444445</v>
      </c>
      <c r="F226" s="13">
        <v>42979.244699074072</v>
      </c>
      <c r="G226" s="7">
        <v>91</v>
      </c>
      <c r="H226" s="21" t="s">
        <v>939</v>
      </c>
      <c r="I226" s="13">
        <v>42979.249618055554</v>
      </c>
      <c r="J226" s="7">
        <v>0</v>
      </c>
      <c r="K226" s="89" t="str">
        <f t="shared" si="58"/>
        <v>4043/4044</v>
      </c>
      <c r="L226" s="214" t="str">
        <f>VLOOKUP(A226,'Trips&amp;Operators'!$C$1:$G$99911,5,FALSE)</f>
        <v>TOUSIGNAUT CARL</v>
      </c>
      <c r="M226" s="6">
        <f t="shared" si="59"/>
        <v>4.9189814817509614E-3</v>
      </c>
      <c r="N226" s="7">
        <f t="shared" si="60"/>
        <v>7.0833333337213844</v>
      </c>
      <c r="O226" s="7"/>
      <c r="P226" s="7"/>
      <c r="Q226" s="22"/>
      <c r="R226" s="167"/>
      <c r="S226" s="210">
        <f t="shared" si="61"/>
        <v>1</v>
      </c>
      <c r="T226" s="192" t="str">
        <f t="shared" si="62"/>
        <v>Southbound</v>
      </c>
      <c r="U226" s="192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193" t="str">
        <f t="shared" si="63"/>
        <v>https://d0f6bd738d7f1b3e5a7ca70fe4ff75f0.us-east-1.aws.found.io/app/kibana#/discover/Steve-Slow-Train-Analysis-(2080s-and-2083s)?_g=(refreshInterval:(display:Off,pause:!f,section:0,value:0),time:(from:'2017-09-01T04:47:30-0600',mode:absolute,to:'2017-09-01T06:59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6" s="194" t="str">
        <f>IF(AA226&lt;VLOOKUP(AG226,Variables!$AC$3:$AD$8,2,FALSE),"Y","N")</f>
        <v>Y</v>
      </c>
      <c r="X226" s="194">
        <f t="shared" si="64"/>
        <v>1</v>
      </c>
      <c r="Y226" s="194">
        <f t="shared" si="65"/>
        <v>2.3496999999999999</v>
      </c>
      <c r="Z226" s="194">
        <f t="shared" si="66"/>
        <v>6.9599999999999995E-2</v>
      </c>
      <c r="AA226" s="194">
        <f t="shared" si="67"/>
        <v>2.2801</v>
      </c>
      <c r="AB226" s="54" t="e">
        <f>VLOOKUP(A226,Enforcements!$C$7:$K$11,8,0)</f>
        <v>#N/A</v>
      </c>
      <c r="AC226" s="51" t="e">
        <f>VLOOKUP(A226,Enforcements!$C$7:$E$11,3,0)</f>
        <v>#N/A</v>
      </c>
      <c r="AD226" s="203">
        <f t="shared" si="68"/>
        <v>902</v>
      </c>
      <c r="AE226" s="77" t="str">
        <f t="shared" si="69"/>
        <v>aws s3 cp s3://rtdc.mdm.uploadarchive.raw/RTDC4043/ "%USERPROFILE%\AppData\Local\Temp\OnboardLogs"\RTDC4043\2017-09-01 --exclude "*" --recursive --include "*20170901*" &amp; "%USERPROFILE%\Documents\GitHub\mrs-test-scripts\Headless Mode &amp; Sideloading\WalkAndUnGZ.bat" "%USERPROFILE%\AppData\Local\Temp\OnboardLogs"\RTDC4043\2017-09-01 &amp; aws s3 cp s3://rtdc.mdm.uploadarchive.raw/RTDC4043/ "%USERPROFILE%\AppData\Local\Temp\OnboardLogs"\RTDC4043\2017-09-02 --exclude "*" --recursive --include "*20170902*" &amp; "%USERPROFILE%\Documents\GitHub\mrs-test-scripts\Headless Mode &amp; Sideloading\WalkAndUnGZ.bat" "%USERPROFILE%\AppData\Local\Temp\OnboardLogs"\RTDC4043\2017-09-02</v>
      </c>
      <c r="AF226" s="74" t="str">
        <f t="shared" si="70"/>
        <v>"C:\Program Files (x86)\AstroGrep\AstroGrep.exe" /e /r /s /spath="%USERPROFILE%\AppData\Local\Temp\OnboardLogs" /stypes="app*4043*20170901*" /stext=" 11:.+((SYSTEM_STATE.+slice.+state.+changed )|(ment ac)|(multiple cpu faults)|(system.+state.+changed )|(\[timeout)|(PRM\|1\|D)|(kpr)|(kdp)|(train st.+moving)|(\|lc)|(penalty))"</v>
      </c>
      <c r="AG226" s="206" t="str">
        <f t="shared" si="71"/>
        <v>Other</v>
      </c>
      <c r="AH226" s="78" t="str">
        <f t="shared" si="72"/>
        <v>"%USERPROFILE%\Documents\GitHub\eaglep3\Utilities\RefineRTDCRunTimes.py" --tripid 902-01 --locoid 4043 --swversion DE.1.0.9.0 --startMP 300:23497 --initTime 2017-09-01T05:47:30 --startdatetime 2017-09-01T05:52:22 --delay 91 --endMP 204:696 --enddatetime 2017-09-01T05:59:27 --enforcementcount 0 &gt;&gt;C:\Users\stu\Documents\GitHub\eaglep3-reporting\EC\2017-09-01-refined-times.txt</v>
      </c>
      <c r="AI226" s="96" t="str">
        <f t="shared" si="73"/>
        <v>echo {"issue":{"subject":"","project_id":79,"tracker_id":40,"status_id":1,"priority_id":2,"assigned_to_id":338,"start_date":"2017-09-01","description":"","custom_fields":[{"id":1,"name":"Subdivision","value":"Other"},{"id":4,"name":"Milepost","value":"0.0696"},{"id":17,"name":"Train ID","value":"902-01"},{"id":16,"name":"Locomotive ID","value":"4043"},{"id":130,"name":"Impact","value":""},{"id":150,"name":"Time of Event (Mountain Time)","value":"05:59:27"},{"id":151,"name":"Denver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74"/>
        <v>start /low /b %USERPROFILE%\Documents\GitHub\eaglep3\Utilities\DownloadLogsFromS3.py --loco 4043 --day 2017-09-01</v>
      </c>
      <c r="AN226" s="151" t="str">
        <f t="shared" si="75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11:59:27"},{"id":29,"name":"Sharepoint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91" x14ac:dyDescent="0.25">
      <c r="A227" s="32" t="s">
        <v>680</v>
      </c>
      <c r="B227" s="7">
        <v>4044</v>
      </c>
      <c r="C227" s="21" t="s">
        <v>197</v>
      </c>
      <c r="D227" s="21" t="s">
        <v>472</v>
      </c>
      <c r="E227" s="13">
        <v>42979.359664351854</v>
      </c>
      <c r="F227" s="13">
        <v>42979.361886574072</v>
      </c>
      <c r="G227" s="7">
        <v>118</v>
      </c>
      <c r="H227" s="21" t="s">
        <v>496</v>
      </c>
      <c r="I227" s="13">
        <v>42979.374293981484</v>
      </c>
      <c r="J227" s="7">
        <v>0</v>
      </c>
      <c r="K227" s="89" t="str">
        <f t="shared" si="58"/>
        <v>4043/4044</v>
      </c>
      <c r="L227" s="214" t="str">
        <f>VLOOKUP(A227,'Trips&amp;Operators'!$C$1:$G$99911,5,FALSE)</f>
        <v>WILLIAMS DONTE</v>
      </c>
      <c r="M227" s="6">
        <f t="shared" si="59"/>
        <v>1.2407407411956228E-2</v>
      </c>
      <c r="N227" s="7">
        <f t="shared" si="60"/>
        <v>17.866666673216969</v>
      </c>
      <c r="O227" s="7"/>
      <c r="P227" s="7"/>
      <c r="Q227" s="22"/>
      <c r="R227" s="167"/>
      <c r="S227" s="210">
        <f t="shared" si="61"/>
        <v>1</v>
      </c>
      <c r="T227" s="192" t="str">
        <f t="shared" si="62"/>
        <v>NorthBound</v>
      </c>
      <c r="U227" s="192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193" t="str">
        <f t="shared" si="63"/>
        <v>https://d0f6bd738d7f1b3e5a7ca70fe4ff75f0.us-east-1.aws.found.io/app/kibana#/discover/Steve-Slow-Train-Analysis-(2080s-and-2083s)?_g=(refreshInterval:(display:Off,pause:!f,section:0,value:0),time:(from:'2017-09-01T07:37:55-0600',mode:absolute,to:'2017-09-01T09:58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7" s="194" t="str">
        <f>IF(AA227&lt;VLOOKUP(AG227,Variables!$AC$3:$AD$8,2,FALSE),"Y","N")</f>
        <v>Y</v>
      </c>
      <c r="X227" s="194">
        <f t="shared" si="64"/>
        <v>1</v>
      </c>
      <c r="Y227" s="194">
        <f t="shared" si="65"/>
        <v>9.7799999999999998E-2</v>
      </c>
      <c r="Z227" s="194">
        <f t="shared" si="66"/>
        <v>2.3300999999999998</v>
      </c>
      <c r="AA227" s="194">
        <f t="shared" si="67"/>
        <v>2.2323</v>
      </c>
      <c r="AB227" s="54" t="e">
        <f>VLOOKUP(A227,Enforcements!$C$7:$K$11,8,0)</f>
        <v>#N/A</v>
      </c>
      <c r="AC227" s="51" t="e">
        <f>VLOOKUP(A227,Enforcements!$C$7:$E$11,3,0)</f>
        <v>#N/A</v>
      </c>
      <c r="AD227" s="203">
        <f t="shared" si="68"/>
        <v>903</v>
      </c>
      <c r="AE227" s="77" t="str">
        <f t="shared" si="69"/>
        <v>aws s3 cp s3://rtdc.mdm.uploadarchive.raw/RTDC4044/ "%USERPROFILE%\AppData\Local\Temp\OnboardLogs"\RTDC4044\2017-09-01 --exclude "*" --recursive --include "*20170901*" &amp; "%USERPROFILE%\Documents\GitHub\mrs-test-scripts\Headless Mode &amp; Sideloading\WalkAndUnGZ.bat" "%USERPROFILE%\AppData\Local\Temp\OnboardLogs"\RTDC4044\2017-09-01 &amp; aws s3 cp s3://rtdc.mdm.uploadarchive.raw/RTDC4044/ "%USERPROFILE%\AppData\Local\Temp\OnboardLogs"\RTDC4044\2017-09-02 --exclude "*" --recursive --include "*20170902*" &amp; "%USERPROFILE%\Documents\GitHub\mrs-test-scripts\Headless Mode &amp; Sideloading\WalkAndUnGZ.bat" "%USERPROFILE%\AppData\Local\Temp\OnboardLogs"\RTDC4044\2017-09-02</v>
      </c>
      <c r="AF227" s="74" t="str">
        <f t="shared" si="70"/>
        <v>"C:\Program Files (x86)\AstroGrep\AstroGrep.exe" /e /r /s /spath="%USERPROFILE%\AppData\Local\Temp\OnboardLogs" /stypes="app*4044*20170901*" /stext=" 14:.+((SYSTEM_STATE.+slice.+state.+changed )|(ment ac)|(multiple cpu faults)|(system.+state.+changed )|(\[timeout)|(PRM\|1\|D)|(kpr)|(kdp)|(train st.+moving)|(\|lc)|(penalty))"</v>
      </c>
      <c r="AG227" s="206" t="str">
        <f t="shared" si="71"/>
        <v>Other</v>
      </c>
      <c r="AH227" s="78" t="str">
        <f t="shared" si="72"/>
        <v>"%USERPROFILE%\Documents\GitHub\eaglep3\Utilities\RefineRTDCRunTimes.py" --tripid 903-01 --locoid 4044 --swversion DE.1.0.9.0 --startMP 204:978 --initTime 2017-09-01T08:37:55 --startdatetime 2017-09-01T08:41:07 --delay 118 --endMP 300:23301 --enddatetime 2017-09-01T08:58:59 --enforcementcount 0 &gt;&gt;C:\Users\stu\Documents\GitHub\eaglep3-reporting\EC\2017-09-01-refined-times.txt</v>
      </c>
      <c r="AI227" s="96" t="str">
        <f t="shared" si="73"/>
        <v>echo {"issue":{"subject":"","project_id":79,"tracker_id":40,"status_id":1,"priority_id":2,"assigned_to_id":338,"start_date":"2017-09-01","description":"","custom_fields":[{"id":1,"name":"Subdivision","value":"Other"},{"id":4,"name":"Milepost","value":"2.3301"},{"id":17,"name":"Train ID","value":"903-01"},{"id":16,"name":"Locomotive ID","value":"4044"},{"id":130,"name":"Impact","value":""},{"id":150,"name":"Time of Event (Mountain Time)","value":"08:58:59"},{"id":151,"name":"Denver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74"/>
        <v>start /low /b %USERPROFILE%\Documents\GitHub\eaglep3\Utilities\DownloadLogsFromS3.py --loco 4044 --day 2017-09-01</v>
      </c>
      <c r="AN227" s="151" t="str">
        <f t="shared" si="75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14:58:59"},{"id":29,"name":"Sharepoint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</row>
    <row r="228" spans="1:91" x14ac:dyDescent="0.25">
      <c r="A228" s="32" t="s">
        <v>751</v>
      </c>
      <c r="B228" s="7">
        <v>4043</v>
      </c>
      <c r="C228" s="21" t="s">
        <v>197</v>
      </c>
      <c r="D228" s="21" t="s">
        <v>966</v>
      </c>
      <c r="E228" s="13">
        <v>42979.637418981481</v>
      </c>
      <c r="F228" s="13">
        <v>42979.641284722224</v>
      </c>
      <c r="G228" s="7">
        <v>60</v>
      </c>
      <c r="H228" s="21" t="s">
        <v>967</v>
      </c>
      <c r="I228" s="13">
        <v>42979.646585648145</v>
      </c>
      <c r="J228" s="7">
        <v>0</v>
      </c>
      <c r="K228" s="89" t="str">
        <f t="shared" si="58"/>
        <v>4043/4044</v>
      </c>
      <c r="L228" s="214" t="str">
        <f>VLOOKUP(A228,'Trips&amp;Operators'!$C$1:$G$99911,5,FALSE)</f>
        <v>GUNTHIER ERIC</v>
      </c>
      <c r="M228" s="6">
        <f t="shared" si="59"/>
        <v>5.3009259208920412E-3</v>
      </c>
      <c r="N228" s="7">
        <f t="shared" si="60"/>
        <v>7.6333333260845393</v>
      </c>
      <c r="O228" s="7"/>
      <c r="P228" s="7"/>
      <c r="Q228" s="22"/>
      <c r="R228" s="167"/>
      <c r="S228" s="210">
        <f t="shared" si="61"/>
        <v>1</v>
      </c>
      <c r="T228" s="192" t="str">
        <f t="shared" si="62"/>
        <v>Southbound</v>
      </c>
      <c r="U228" s="192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193" t="str">
        <f t="shared" si="63"/>
        <v>https://d0f6bd738d7f1b3e5a7ca70fe4ff75f0.us-east-1.aws.found.io/app/kibana#/discover/Steve-Slow-Train-Analysis-(2080s-and-2083s)?_g=(refreshInterval:(display:Off,pause:!f,section:0,value:0),time:(from:'2017-09-01T14:17:53-0600',mode:absolute,to:'2017-09-01T16:31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8" s="194" t="str">
        <f>IF(AA228&lt;VLOOKUP(AG228,Variables!$AC$3:$AD$8,2,FALSE),"Y","N")</f>
        <v>Y</v>
      </c>
      <c r="X228" s="194">
        <f t="shared" si="64"/>
        <v>1</v>
      </c>
      <c r="Y228" s="194">
        <f t="shared" si="65"/>
        <v>2.2301000000000002</v>
      </c>
      <c r="Z228" s="194">
        <f t="shared" si="66"/>
        <v>7.1199999999999999E-2</v>
      </c>
      <c r="AA228" s="194">
        <f t="shared" si="67"/>
        <v>2.1589</v>
      </c>
      <c r="AB228" s="54" t="e">
        <f>VLOOKUP(A228,Enforcements!$C$7:$K$11,8,0)</f>
        <v>#N/A</v>
      </c>
      <c r="AC228" s="51" t="e">
        <f>VLOOKUP(A228,Enforcements!$C$7:$E$11,3,0)</f>
        <v>#N/A</v>
      </c>
      <c r="AD228" s="203">
        <f t="shared" si="68"/>
        <v>904</v>
      </c>
      <c r="AE228" s="77" t="str">
        <f t="shared" si="69"/>
        <v>aws s3 cp s3://rtdc.mdm.uploadarchive.raw/RTDC4043/ "%USERPROFILE%\AppData\Local\Temp\OnboardLogs"\RTDC4043\2017-09-01 --exclude "*" --recursive --include "*20170901*" &amp; "%USERPROFILE%\Documents\GitHub\mrs-test-scripts\Headless Mode &amp; Sideloading\WalkAndUnGZ.bat" "%USERPROFILE%\AppData\Local\Temp\OnboardLogs"\RTDC4043\2017-09-01 &amp; aws s3 cp s3://rtdc.mdm.uploadarchive.raw/RTDC4043/ "%USERPROFILE%\AppData\Local\Temp\OnboardLogs"\RTDC4043\2017-09-02 --exclude "*" --recursive --include "*20170902*" &amp; "%USERPROFILE%\Documents\GitHub\mrs-test-scripts\Headless Mode &amp; Sideloading\WalkAndUnGZ.bat" "%USERPROFILE%\AppData\Local\Temp\OnboardLogs"\RTDC4043\2017-09-02</v>
      </c>
      <c r="AF228" s="74" t="str">
        <f t="shared" si="70"/>
        <v>"C:\Program Files (x86)\AstroGrep\AstroGrep.exe" /e /r /s /spath="%USERPROFILE%\AppData\Local\Temp\OnboardLogs" /stypes="app*4043*20170901*" /stext=" 21:.+((SYSTEM_STATE.+slice.+state.+changed )|(ment ac)|(multiple cpu faults)|(system.+state.+changed )|(\[timeout)|(PRM\|1\|D)|(kpr)|(kdp)|(train st.+moving)|(\|lc)|(penalty))"</v>
      </c>
      <c r="AG228" s="206" t="str">
        <f t="shared" si="71"/>
        <v>Other</v>
      </c>
      <c r="AH228" s="78" t="str">
        <f t="shared" si="72"/>
        <v>"%USERPROFILE%\Documents\GitHub\eaglep3\Utilities\RefineRTDCRunTimes.py" --tripid 904-01 --locoid 4043 --swversion DE.1.0.9.0 --startMP 300:22301 --initTime 2017-09-01T15:17:53 --startdatetime 2017-09-01T15:23:27 --delay 60 --endMP 204:712 --enddatetime 2017-09-01T15:31:05 --enforcementcount 0 &gt;&gt;C:\Users\stu\Documents\GitHub\eaglep3-reporting\EC\2017-09-01-refined-times.txt</v>
      </c>
      <c r="AI228" s="96" t="str">
        <f t="shared" si="73"/>
        <v>echo {"issue":{"subject":"","project_id":79,"tracker_id":40,"status_id":1,"priority_id":2,"assigned_to_id":338,"start_date":"2017-09-01","description":"","custom_fields":[{"id":1,"name":"Subdivision","value":"Other"},{"id":4,"name":"Milepost","value":"0.0712"},{"id":17,"name":"Train ID","value":"904-01"},{"id":16,"name":"Locomotive ID","value":"4043"},{"id":130,"name":"Impact","value":""},{"id":150,"name":"Time of Event (Mountain Time)","value":"15:31:05"},{"id":151,"name":"Denver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74"/>
        <v>start /low /b %USERPROFILE%\Documents\GitHub\eaglep3\Utilities\DownloadLogsFromS3.py --loco 4043 --day 2017-09-01</v>
      </c>
      <c r="AN228" s="151" t="str">
        <f t="shared" si="75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21:31:05"},{"id":29,"name":"Sharepoint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91" x14ac:dyDescent="0.25">
      <c r="A229" s="32" t="s">
        <v>794</v>
      </c>
      <c r="B229" s="7">
        <v>4043</v>
      </c>
      <c r="C229" s="21" t="s">
        <v>197</v>
      </c>
      <c r="D229" s="21" t="s">
        <v>968</v>
      </c>
      <c r="E229" s="13">
        <v>42979.790775462963</v>
      </c>
      <c r="F229" s="13">
        <v>42979.792210648149</v>
      </c>
      <c r="G229" s="7">
        <v>54</v>
      </c>
      <c r="H229" s="21" t="s">
        <v>969</v>
      </c>
      <c r="I229" s="13">
        <v>42979.801782407405</v>
      </c>
      <c r="J229" s="7">
        <v>0</v>
      </c>
      <c r="K229" s="89" t="str">
        <f t="shared" si="58"/>
        <v>4043/4044</v>
      </c>
      <c r="L229" s="214" t="str">
        <f>VLOOKUP(A229,'Trips&amp;Operators'!$C$1:$G$99911,5,FALSE)</f>
        <v>GUNTHIER ERIC</v>
      </c>
      <c r="M229" s="6">
        <f t="shared" si="59"/>
        <v>9.5717592557775788E-3</v>
      </c>
      <c r="N229" s="7">
        <f t="shared" si="60"/>
        <v>13.783333328319713</v>
      </c>
      <c r="O229" s="7"/>
      <c r="P229" s="7"/>
      <c r="Q229" s="22"/>
      <c r="R229" s="167"/>
      <c r="S229" s="210">
        <f t="shared" si="61"/>
        <v>0</v>
      </c>
      <c r="T229" s="192" t="str">
        <f t="shared" si="62"/>
        <v>Southbound</v>
      </c>
      <c r="U229" s="192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3" t="str">
        <f t="shared" si="63"/>
        <v>https://d0f6bd738d7f1b3e5a7ca70fe4ff75f0.us-east-1.aws.found.io/app/kibana#/discover/Steve-Slow-Train-Analysis-(2080s-and-2083s)?_g=(refreshInterval:(display:Off,pause:!f,section:0,value:0),time:(from:'2017-09-01T17:58:43-0600',mode:absolute,to:'2017-09-01T20:14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9" s="194" t="str">
        <f>IF(AA229&lt;VLOOKUP(AG229,Variables!$AC$3:$AD$8,2,FALSE),"Y","N")</f>
        <v>Y</v>
      </c>
      <c r="X229" s="194">
        <f t="shared" si="64"/>
        <v>2</v>
      </c>
      <c r="Y229" s="194">
        <f t="shared" si="65"/>
        <v>5.8611000000000004</v>
      </c>
      <c r="Z229" s="194">
        <f t="shared" si="66"/>
        <v>2.8776000000000002</v>
      </c>
      <c r="AA229" s="194">
        <f t="shared" si="67"/>
        <v>2.9835000000000003</v>
      </c>
      <c r="AB229" s="54" t="e">
        <f>VLOOKUP(A229,Enforcements!$C$7:$K$11,8,0)</f>
        <v>#N/A</v>
      </c>
      <c r="AC229" s="51" t="e">
        <f>VLOOKUP(A229,Enforcements!$C$7:$E$11,3,0)</f>
        <v>#N/A</v>
      </c>
      <c r="AD229" s="203">
        <f t="shared" si="68"/>
        <v>906</v>
      </c>
      <c r="AE229" s="77" t="str">
        <f t="shared" si="69"/>
        <v>aws s3 cp s3://rtdc.mdm.uploadarchive.raw/RTDC4043/ "%USERPROFILE%\AppData\Local\Temp\OnboardLogs"\RTDC4043\2017-09-01 --exclude "*" --recursive --include "*20170901*" &amp; "%USERPROFILE%\Documents\GitHub\mrs-test-scripts\Headless Mode &amp; Sideloading\WalkAndUnGZ.bat" "%USERPROFILE%\AppData\Local\Temp\OnboardLogs"\RTDC4043\2017-09-01 &amp; aws s3 cp s3://rtdc.mdm.uploadarchive.raw/RTDC4043/ "%USERPROFILE%\AppData\Local\Temp\OnboardLogs"\RTDC4043\2017-09-02 --exclude "*" --recursive --include "*20170902*" &amp; "%USERPROFILE%\Documents\GitHub\mrs-test-scripts\Headless Mode &amp; Sideloading\WalkAndUnGZ.bat" "%USERPROFILE%\AppData\Local\Temp\OnboardLogs"\RTDC4043\2017-09-02</v>
      </c>
      <c r="AF229" s="74" t="str">
        <f t="shared" si="70"/>
        <v>"C:\Program Files (x86)\AstroGrep\AstroGrep.exe" /e /r /s /spath="%USERPROFILE%\AppData\Local\Temp\OnboardLogs" /stypes="app*4043*20170902*" /stext=" 01:.+((SYSTEM_STATE.+slice.+state.+changed )|(ment ac)|(multiple cpu faults)|(system.+state.+changed )|(\[timeout)|(PRM\|1\|D)|(kpr)|(kdp)|(train st.+moving)|(\|lc)|(penalty))"</v>
      </c>
      <c r="AG229" s="206" t="str">
        <f t="shared" si="71"/>
        <v>Other</v>
      </c>
      <c r="AH229" s="78" t="str">
        <f t="shared" si="72"/>
        <v>"%USERPROFILE%\Documents\GitHub\eaglep3\Utilities\RefineRTDCRunTimes.py" --tripid 906-01 --locoid 4043 --swversion DE.1.0.9.0 --startMP 300:58611 --initTime 2017-09-01T18:58:43 --startdatetime 2017-09-01T19:00:47 --delay 54 --endMP 300:28776 --enddatetime 2017-09-01T19:14:34 --enforcementcount 0 &gt;&gt;C:\Users\stu\Documents\GitHub\eaglep3-reporting\EC\2017-09-01-refined-times.txt</v>
      </c>
      <c r="AI229" s="96" t="str">
        <f t="shared" si="73"/>
        <v>echo {"issue":{"subject":"","project_id":79,"tracker_id":40,"status_id":1,"priority_id":2,"assigned_to_id":338,"start_date":"2017-09-01","description":"","custom_fields":[{"id":1,"name":"Subdivision","value":"Other"},{"id":4,"name":"Milepost","value":"2.8776"},{"id":17,"name":"Train ID","value":"906-01"},{"id":16,"name":"Locomotive ID","value":"4043"},{"id":130,"name":"Impact","value":""},{"id":150,"name":"Time of Event (Mountain Time)","value":"19:14:34"},{"id":151,"name":"Denver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74"/>
        <v>start /low /b %USERPROFILE%\Documents\GitHub\eaglep3\Utilities\DownloadLogsFromS3.py --loco 4043 --day 2017-09-01</v>
      </c>
      <c r="AN229" s="151" t="str">
        <f t="shared" si="75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01:14:34"},{"id":29,"name":"Sharepoint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91" x14ac:dyDescent="0.25">
      <c r="A230" s="32" t="s">
        <v>821</v>
      </c>
      <c r="B230" s="7">
        <v>4055</v>
      </c>
      <c r="C230" s="21" t="s">
        <v>197</v>
      </c>
      <c r="D230" s="21" t="s">
        <v>504</v>
      </c>
      <c r="E230" s="13">
        <v>42979.976736111108</v>
      </c>
      <c r="F230" s="13">
        <v>42979.978344907409</v>
      </c>
      <c r="G230" s="7">
        <v>54</v>
      </c>
      <c r="H230" s="21" t="s">
        <v>509</v>
      </c>
      <c r="I230" s="13">
        <v>42979.989432870374</v>
      </c>
      <c r="J230" s="7">
        <v>0</v>
      </c>
      <c r="K230" s="89" t="str">
        <f t="shared" si="58"/>
        <v>4055/4056</v>
      </c>
      <c r="L230" s="214" t="str">
        <f>VLOOKUP(A230,'Trips&amp;Operators'!$C$1:$G$99911,5,FALSE)</f>
        <v>GUNTHIER ERIC</v>
      </c>
      <c r="M230" s="6">
        <f t="shared" si="59"/>
        <v>1.1087962964666076E-2</v>
      </c>
      <c r="N230" s="7">
        <f t="shared" si="60"/>
        <v>15.966666669119149</v>
      </c>
      <c r="O230" s="7"/>
      <c r="P230" s="7"/>
      <c r="Q230" s="22"/>
      <c r="R230" s="167"/>
      <c r="S230" s="210">
        <f t="shared" si="61"/>
        <v>0</v>
      </c>
      <c r="T230" s="192" t="str">
        <f t="shared" si="62"/>
        <v>Southbound</v>
      </c>
      <c r="U230" s="192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3" t="str">
        <f t="shared" si="63"/>
        <v>https://d0f6bd738d7f1b3e5a7ca70fe4ff75f0.us-east-1.aws.found.io/app/kibana#/discover/Steve-Slow-Train-Analysis-(2080s-and-2083s)?_g=(refreshInterval:(display:Off,pause:!f,section:0,value:0),time:(from:'2017-09-01T22:26:30-0600',mode:absolute,to:'2017-09-02T00:44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30" s="194" t="str">
        <f>IF(AA230&lt;VLOOKUP(AG230,Variables!$AC$3:$AD$8,2,FALSE),"Y","N")</f>
        <v>Y</v>
      </c>
      <c r="X230" s="194">
        <f t="shared" si="64"/>
        <v>2</v>
      </c>
      <c r="Y230" s="194">
        <f t="shared" si="65"/>
        <v>5.8619000000000003</v>
      </c>
      <c r="Z230" s="194">
        <f t="shared" si="66"/>
        <v>2.8786</v>
      </c>
      <c r="AA230" s="194">
        <f t="shared" si="67"/>
        <v>2.9833000000000003</v>
      </c>
      <c r="AB230" s="54" t="e">
        <f>VLOOKUP(A230,Enforcements!$C$7:$K$11,8,0)</f>
        <v>#N/A</v>
      </c>
      <c r="AC230" s="51" t="e">
        <f>VLOOKUP(A230,Enforcements!$C$7:$E$11,3,0)</f>
        <v>#N/A</v>
      </c>
      <c r="AD230" s="203">
        <f t="shared" si="68"/>
        <v>908</v>
      </c>
      <c r="AE230" s="77" t="str">
        <f t="shared" si="69"/>
        <v>aws s3 cp s3://rtdc.mdm.uploadarchive.raw/RTDC4055/ "%USERPROFILE%\AppData\Local\Temp\OnboardLogs"\RTDC4055\2017-09-01 --exclude "*" --recursive --include "*20170901*" &amp; "%USERPROFILE%\Documents\GitHub\mrs-test-scripts\Headless Mode &amp; Sideloading\WalkAndUnGZ.bat" "%USERPROFILE%\AppData\Local\Temp\OnboardLogs"\RTDC4055\2017-09-01 &amp; aws s3 cp s3://rtdc.mdm.uploadarchive.raw/RTDC4055/ "%USERPROFILE%\AppData\Local\Temp\OnboardLogs"\RTDC4055\2017-09-02 --exclude "*" --recursive --include "*20170902*" &amp; "%USERPROFILE%\Documents\GitHub\mrs-test-scripts\Headless Mode &amp; Sideloading\WalkAndUnGZ.bat" "%USERPROFILE%\AppData\Local\Temp\OnboardLogs"\RTDC4055\2017-09-02</v>
      </c>
      <c r="AF230" s="74" t="str">
        <f t="shared" si="70"/>
        <v>"C:\Program Files (x86)\AstroGrep\AstroGrep.exe" /e /r /s /spath="%USERPROFILE%\AppData\Local\Temp\OnboardLogs" /stypes="app*4055*20170902*" /stext=" 05:.+((SYSTEM_STATE.+slice.+state.+changed )|(ment ac)|(multiple cpu faults)|(system.+state.+changed )|(\[timeout)|(PRM\|1\|D)|(kpr)|(kdp)|(train st.+moving)|(\|lc)|(penalty))"</v>
      </c>
      <c r="AG230" s="206" t="str">
        <f t="shared" si="71"/>
        <v>Other</v>
      </c>
      <c r="AH230" s="78" t="str">
        <f t="shared" si="72"/>
        <v>"%USERPROFILE%\Documents\GitHub\eaglep3\Utilities\RefineRTDCRunTimes.py" --tripid 908-01 --locoid 4055 --swversion DE.1.0.9.0 --startMP 300:58619 --initTime 2017-09-01T23:26:30 --startdatetime 2017-09-01T23:28:49 --delay 54 --endMP 300:28786 --enddatetime 2017-09-01T23:44:47 --enforcementcount 0 &gt;&gt;C:\Users\stu\Documents\GitHub\eaglep3-reporting\EC\2017-09-01-refined-times.txt</v>
      </c>
      <c r="AI230" s="96" t="str">
        <f t="shared" si="73"/>
        <v>echo {"issue":{"subject":"","project_id":79,"tracker_id":40,"status_id":1,"priority_id":2,"assigned_to_id":338,"start_date":"2017-09-01","description":"","custom_fields":[{"id":1,"name":"Subdivision","value":"Other"},{"id":4,"name":"Milepost","value":"2.8786"},{"id":17,"name":"Train ID","value":"908-01"},{"id":16,"name":"Locomotive ID","value":"4055"},{"id":130,"name":"Impact","value":""},{"id":150,"name":"Time of Event (Mountain Time)","value":"23:44:47"},{"id":151,"name":"Denver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74"/>
        <v>start /low /b %USERPROFILE%\Documents\GitHub\eaglep3\Utilities\DownloadLogsFromS3.py --loco 4055 --day 2017-09-01</v>
      </c>
      <c r="AN230" s="151" t="str">
        <f t="shared" si="75"/>
        <v>echo {"issue":{"subject":"","project_id":30,"tracker_id":4,"status_id":1,"priority_id":1,"assigned_to_id":10,"start_date":"2017-09-02","description":"","custom_fields":[{"id":30,"name":"Category","value":"Issue"},{"id":3,"name":"Functional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UTC","value":"2017-09-02 05:44:47"},{"id":29,"name":"Sharepoint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91" x14ac:dyDescent="0.25">
      <c r="A231" s="32" t="s">
        <v>618</v>
      </c>
      <c r="B231" s="7">
        <v>4050</v>
      </c>
      <c r="C231" s="21" t="s">
        <v>197</v>
      </c>
      <c r="D231" s="21" t="s">
        <v>447</v>
      </c>
      <c r="E231" s="13">
        <v>42979.126284722224</v>
      </c>
      <c r="F231" s="13">
        <v>42979.136840277781</v>
      </c>
      <c r="G231" s="7">
        <v>62</v>
      </c>
      <c r="H231" s="21" t="s">
        <v>898</v>
      </c>
      <c r="I231" s="13">
        <v>42979.138402777775</v>
      </c>
      <c r="J231" s="7">
        <v>0</v>
      </c>
      <c r="K231" s="89" t="str">
        <f t="shared" si="58"/>
        <v>4049/4050</v>
      </c>
      <c r="L231" s="214" t="str">
        <f>VLOOKUP(A231,'Trips&amp;Operators'!$C$1:$G$99911,5,FALSE)</f>
        <v>SPECTOR MICHAEL</v>
      </c>
      <c r="M231" s="6">
        <f t="shared" si="59"/>
        <v>1.5624999941792339E-3</v>
      </c>
      <c r="N231" s="7">
        <f t="shared" si="60"/>
        <v>2.2499999916180968</v>
      </c>
      <c r="O231" s="7"/>
      <c r="P231" s="7"/>
      <c r="Q231" s="22"/>
      <c r="R231" s="167"/>
      <c r="S231" s="210">
        <f t="shared" si="61"/>
        <v>0</v>
      </c>
      <c r="T231" s="192" t="str">
        <f t="shared" si="62"/>
        <v>NorthBound</v>
      </c>
      <c r="U231" s="192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3" t="str">
        <f t="shared" si="63"/>
        <v>https://d0f6bd738d7f1b3e5a7ca70fe4ff75f0.us-east-1.aws.found.io/app/kibana#/discover/Steve-Slow-Train-Analysis-(2080s-and-2083s)?_g=(refreshInterval:(display:Off,pause:!f,section:0,value:0),time:(from:'2017-09-01T02:01:51-0600',mode:absolute,to:'2017-09-01T04:19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1" s="194" t="str">
        <f>IF(AA231&lt;VLOOKUP(AG231,Variables!$AC$3:$AD$8,2,FALSE),"Y","N")</f>
        <v>Y</v>
      </c>
      <c r="X231" s="194">
        <f t="shared" si="64"/>
        <v>-857</v>
      </c>
      <c r="Y231" s="194">
        <f t="shared" si="65"/>
        <v>4.3700000000000003E-2</v>
      </c>
      <c r="Z231" s="194">
        <f t="shared" si="66"/>
        <v>0.35599999999999998</v>
      </c>
      <c r="AA231" s="194">
        <f t="shared" si="67"/>
        <v>0.31229999999999997</v>
      </c>
      <c r="AB231" s="54" t="e">
        <f>VLOOKUP(A231,Enforcements!$C$7:$K$11,8,0)</f>
        <v>#N/A</v>
      </c>
      <c r="AC231" s="51" t="e">
        <f>VLOOKUP(A231,Enforcements!$C$7:$E$11,3,0)</f>
        <v>#N/A</v>
      </c>
      <c r="AD231" s="203">
        <f t="shared" si="68"/>
        <v>51</v>
      </c>
      <c r="AE231" s="77" t="str">
        <f t="shared" si="69"/>
        <v>aws s3 cp s3://rtdc.mdm.uploadarchive.raw/RTDC4050/ "%USERPROFILE%\AppData\Local\Temp\OnboardLogs"\RTDC4050\2017-09-01 --exclude "*" --recursive --include "*20170901*" &amp; "%USERPROFILE%\Documents\GitHub\mrs-test-scripts\Headless Mode &amp; Sideloading\WalkAndUnGZ.bat" "%USERPROFILE%\AppData\Local\Temp\OnboardLogs"\RTDC4050\2017-09-01 &amp; aws s3 cp s3://rtdc.mdm.uploadarchive.raw/RTDC4050/ "%USERPROFILE%\AppData\Local\Temp\OnboardLogs"\RTDC4050\2017-09-02 --exclude "*" --recursive --include "*20170902*" &amp; "%USERPROFILE%\Documents\GitHub\mrs-test-scripts\Headless Mode &amp; Sideloading\WalkAndUnGZ.bat" "%USERPROFILE%\AppData\Local\Temp\OnboardLogs"\RTDC4050\2017-09-02</v>
      </c>
      <c r="AF231" s="74" t="str">
        <f t="shared" si="70"/>
        <v>"C:\Program Files (x86)\AstroGrep\AstroGrep.exe" /e /r /s /spath="%USERPROFILE%\AppData\Local\Temp\OnboardLogs" /stypes="app*4050*20170901*" /stext=" 09:.+((SYSTEM_STATE.+slice.+state.+changed )|(ment ac)|(multiple cpu faults)|(system.+state.+changed )|(\[timeout)|(PRM\|1\|D)|(kpr)|(kdp)|(train st.+moving)|(\|lc)|(penalty))"</v>
      </c>
      <c r="AG231" s="206" t="str">
        <f t="shared" si="71"/>
        <v>Shuttle/Test</v>
      </c>
      <c r="AH231" s="78" t="str">
        <f t="shared" si="72"/>
        <v>"%USERPROFILE%\Documents\GitHub\eaglep3\Utilities\RefineRTDCRunTimes.py" --tripid 51-01 --locoid 4050 --swversion DE.1.0.9.0 --startMP 204:437 --initTime 2017-09-01T03:01:51 --startdatetime 2017-09-01T03:17:03 --delay 62 --endMP 204:3560 --enddatetime 2017-09-01T03:19:18 --enforcementcount 0 &gt;&gt;C:\Users\stu\Documents\GitHub\eaglep3-reporting\EC\2017-09-01-refined-times.txt</v>
      </c>
      <c r="AI231" s="96" t="str">
        <f t="shared" si="73"/>
        <v>echo {"issue":{"subject":"","project_id":79,"tracker_id":40,"status_id":1,"priority_id":2,"assigned_to_id":338,"start_date":"2017-09-01","description":"","custom_fields":[{"id":1,"name":"Subdivision","value":"Shuttle/Test"},{"id":4,"name":"Milepost","value":"0.356"},{"id":17,"name":"Train ID","value":"51-01"},{"id":16,"name":"Locomotive ID","value":"4050"},{"id":130,"name":"Impact","value":""},{"id":150,"name":"Time of Event (Mountain Time)","value":"03:19:18"},{"id":151,"name":"Denver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 t="shared" si="74"/>
        <v>start /low /b %USERPROFILE%\Documents\GitHub\eaglep3\Utilities\DownloadLogsFromS3.py --loco 4050 --day 2017-09-01</v>
      </c>
      <c r="AN231" s="151" t="str">
        <f t="shared" si="75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09:19:18"},{"id":29,"name":"Sharepoint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</row>
    <row r="232" spans="1:91" x14ac:dyDescent="0.25">
      <c r="A232" s="32" t="s">
        <v>621</v>
      </c>
      <c r="B232" s="7">
        <v>4049</v>
      </c>
      <c r="C232" s="21" t="s">
        <v>197</v>
      </c>
      <c r="D232" s="21" t="s">
        <v>899</v>
      </c>
      <c r="E232" s="13">
        <v>42979.139513888891</v>
      </c>
      <c r="F232" s="13">
        <v>42979.141377314816</v>
      </c>
      <c r="G232" s="7">
        <v>65</v>
      </c>
      <c r="H232" s="21" t="s">
        <v>900</v>
      </c>
      <c r="I232" s="13">
        <v>42979.142465277779</v>
      </c>
      <c r="J232" s="7">
        <v>0</v>
      </c>
      <c r="K232" s="89" t="str">
        <f t="shared" si="58"/>
        <v>4049/4050</v>
      </c>
      <c r="L232" s="214" t="str">
        <f>VLOOKUP(A232,'Trips&amp;Operators'!$C$1:$G$99911,5,FALSE)</f>
        <v>SPECTOR MICHAEL</v>
      </c>
      <c r="M232" s="6">
        <f t="shared" si="59"/>
        <v>1.0879629626288079E-3</v>
      </c>
      <c r="N232" s="7">
        <f t="shared" si="60"/>
        <v>1.5666666661854833</v>
      </c>
      <c r="O232" s="7"/>
      <c r="P232" s="7"/>
      <c r="Q232" s="22"/>
      <c r="R232" s="167"/>
      <c r="S232" s="210">
        <f t="shared" si="61"/>
        <v>0</v>
      </c>
      <c r="T232" s="192" t="str">
        <f t="shared" si="62"/>
        <v>Southbound</v>
      </c>
      <c r="U232" s="192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3" t="str">
        <f t="shared" si="63"/>
        <v>https://d0f6bd738d7f1b3e5a7ca70fe4ff75f0.us-east-1.aws.found.io/app/kibana#/discover/Steve-Slow-Train-Analysis-(2080s-and-2083s)?_g=(refreshInterval:(display:Off,pause:!f,section:0,value:0),time:(from:'2017-09-01T02:20:54-0600',mode:absolute,to:'2017-09-01T04:25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32" s="194" t="str">
        <f>IF(AA232&lt;VLOOKUP(AG232,Variables!$AC$3:$AD$8,2,FALSE),"Y","N")</f>
        <v>Y</v>
      </c>
      <c r="X232" s="194">
        <f t="shared" si="64"/>
        <v>1</v>
      </c>
      <c r="Y232" s="194">
        <f t="shared" si="65"/>
        <v>0.32229999999999998</v>
      </c>
      <c r="Z232" s="194">
        <f t="shared" si="66"/>
        <v>0.1173</v>
      </c>
      <c r="AA232" s="194">
        <f t="shared" si="67"/>
        <v>0.20499999999999996</v>
      </c>
      <c r="AB232" s="54" t="e">
        <f>VLOOKUP(A232,Enforcements!$C$7:$K$11,8,0)</f>
        <v>#N/A</v>
      </c>
      <c r="AC232" s="51" t="e">
        <f>VLOOKUP(A232,Enforcements!$C$7:$E$11,3,0)</f>
        <v>#N/A</v>
      </c>
      <c r="AD232" s="203">
        <f t="shared" si="68"/>
        <v>52</v>
      </c>
      <c r="AE232" s="77" t="str">
        <f t="shared" si="69"/>
        <v>aws s3 cp s3://rtdc.mdm.uploadarchive.raw/RTDC4049/ "%USERPROFILE%\AppData\Local\Temp\OnboardLogs"\RTDC4049\2017-09-01 --exclude "*" --recursive --include "*20170901*" &amp; "%USERPROFILE%\Documents\GitHub\mrs-test-scripts\Headless Mode &amp; Sideloading\WalkAndUnGZ.bat" "%USERPROFILE%\AppData\Local\Temp\OnboardLogs"\RTDC4049\2017-09-01 &amp; aws s3 cp s3://rtdc.mdm.uploadarchive.raw/RTDC4049/ "%USERPROFILE%\AppData\Local\Temp\OnboardLogs"\RTDC4049\2017-09-02 --exclude "*" --recursive --include "*20170902*" &amp; "%USERPROFILE%\Documents\GitHub\mrs-test-scripts\Headless Mode &amp; Sideloading\WalkAndUnGZ.bat" "%USERPROFILE%\AppData\Local\Temp\OnboardLogs"\RTDC4049\2017-09-02</v>
      </c>
      <c r="AF232" s="74" t="str">
        <f t="shared" si="70"/>
        <v>"C:\Program Files (x86)\AstroGrep\AstroGrep.exe" /e /r /s /spath="%USERPROFILE%\AppData\Local\Temp\OnboardLogs" /stypes="app*4049*20170901*" /stext=" 09:.+((SYSTEM_STATE.+slice.+state.+changed )|(ment ac)|(multiple cpu faults)|(system.+state.+changed )|(\[timeout)|(PRM\|1\|D)|(kpr)|(kdp)|(train st.+moving)|(\|lc)|(penalty))"</v>
      </c>
      <c r="AG232" s="206" t="str">
        <f t="shared" si="71"/>
        <v>Shuttle/Test</v>
      </c>
      <c r="AH232" s="78" t="str">
        <f t="shared" si="72"/>
        <v>"%USERPROFILE%\Documents\GitHub\eaglep3\Utilities\RefineRTDCRunTimes.py" --tripid 52-01 --locoid 4049 --swversion DE.1.0.9.0 --startMP 204:3223 --initTime 2017-09-01T03:20:54 --startdatetime 2017-09-01T03:23:35 --delay 65 --endMP 204:1173 --enddatetime 2017-09-01T03:25:09 --enforcementcount 0 &gt;&gt;C:\Users\stu\Documents\GitHub\eaglep3-reporting\EC\2017-09-01-refined-times.txt</v>
      </c>
      <c r="AI232" s="96" t="str">
        <f t="shared" si="73"/>
        <v>echo {"issue":{"subject":"","project_id":79,"tracker_id":40,"status_id":1,"priority_id":2,"assigned_to_id":338,"start_date":"2017-09-01","description":"","custom_fields":[{"id":1,"name":"Subdivision","value":"Shuttle/Test"},{"id":4,"name":"Milepost","value":"0.1173"},{"id":17,"name":"Train ID","value":"52-01"},{"id":16,"name":"Locomotive ID","value":"4049"},{"id":130,"name":"Impact","value":""},{"id":150,"name":"Time of Event (Mountain Time)","value":"03:25:09"},{"id":151,"name":"Denver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2" t="str">
        <f t="shared" si="74"/>
        <v>start /low /b %USERPROFILE%\Documents\GitHub\eaglep3\Utilities\DownloadLogsFromS3.py --loco 4049 --day 2017-09-01</v>
      </c>
      <c r="AN232" s="151" t="str">
        <f t="shared" si="75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09:25:09"},{"id":29,"name":"Sharepoint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</row>
    <row r="233" spans="1:91" x14ac:dyDescent="0.25">
      <c r="A233" s="32" t="s">
        <v>598</v>
      </c>
      <c r="B233" s="7">
        <v>4041</v>
      </c>
      <c r="C233" s="21" t="s">
        <v>197</v>
      </c>
      <c r="D233" s="21" t="s">
        <v>901</v>
      </c>
      <c r="E233" s="13">
        <v>42979.452152777776</v>
      </c>
      <c r="F233" s="13">
        <v>42979.45616898148</v>
      </c>
      <c r="G233" s="7">
        <v>70</v>
      </c>
      <c r="H233" s="21" t="s">
        <v>902</v>
      </c>
      <c r="I233" s="13">
        <v>42979.462708333333</v>
      </c>
      <c r="J233" s="7">
        <v>0</v>
      </c>
      <c r="K233" s="89" t="str">
        <f t="shared" si="58"/>
        <v>4041/4042</v>
      </c>
      <c r="L233" s="214" t="str">
        <f>VLOOKUP(A233,'Trips&amp;Operators'!$C$1:$G$99911,5,FALSE)</f>
        <v>MOSES BRADLEY</v>
      </c>
      <c r="M233" s="6">
        <f t="shared" si="59"/>
        <v>6.5393518525524996E-3</v>
      </c>
      <c r="N233" s="7">
        <f t="shared" si="60"/>
        <v>9.4166666676755995</v>
      </c>
      <c r="O233" s="7"/>
      <c r="P233" s="7"/>
      <c r="Q233" s="22"/>
      <c r="R233" s="167"/>
      <c r="S233" s="210">
        <f t="shared" si="61"/>
        <v>1</v>
      </c>
      <c r="T233" s="192" t="str">
        <f t="shared" si="62"/>
        <v>Southbound</v>
      </c>
      <c r="U233" s="192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193" t="str">
        <f t="shared" si="63"/>
        <v>https://d0f6bd738d7f1b3e5a7ca70fe4ff75f0.us-east-1.aws.found.io/app/kibana#/discover/Steve-Slow-Train-Analysis-(2080s-and-2083s)?_g=(refreshInterval:(display:Off,pause:!f,section:0,value:0),time:(from:'2017-09-01T09:51:06-0600',mode:absolute,to:'2017-09-01T12:06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33" s="194" t="str">
        <f>IF(AA233&lt;VLOOKUP(AG233,Variables!$AC$3:$AD$8,2,FALSE),"Y","N")</f>
        <v>Y</v>
      </c>
      <c r="X233" s="194">
        <f t="shared" si="64"/>
        <v>6</v>
      </c>
      <c r="Y233" s="194">
        <f t="shared" si="65"/>
        <v>2.2098</v>
      </c>
      <c r="Z233" s="194">
        <f t="shared" si="66"/>
        <v>0.1164</v>
      </c>
      <c r="AA233" s="194">
        <f t="shared" si="67"/>
        <v>2.0933999999999999</v>
      </c>
      <c r="AB233" s="54" t="e">
        <f>VLOOKUP(A233,Enforcements!$C$7:$K$11,8,0)</f>
        <v>#N/A</v>
      </c>
      <c r="AC233" s="51" t="e">
        <f>VLOOKUP(A233,Enforcements!$C$7:$E$11,3,0)</f>
        <v>#N/A</v>
      </c>
      <c r="AD233" s="203">
        <f t="shared" si="68"/>
        <v>58</v>
      </c>
      <c r="AE233" s="77" t="str">
        <f t="shared" si="69"/>
        <v>aws s3 cp s3://rtdc.mdm.uploadarchive.raw/RTDC4041/ "%USERPROFILE%\AppData\Local\Temp\OnboardLogs"\RTDC4041\2017-09-01 --exclude "*" --recursive --include "*20170901*" &amp; "%USERPROFILE%\Documents\GitHub\mrs-test-scripts\Headless Mode &amp; Sideloading\WalkAndUnGZ.bat" "%USERPROFILE%\AppData\Local\Temp\OnboardLogs"\RTDC4041\2017-09-01 &amp; aws s3 cp s3://rtdc.mdm.uploadarchive.raw/RTDC4041/ "%USERPROFILE%\AppData\Local\Temp\OnboardLogs"\RTDC4041\2017-09-02 --exclude "*" --recursive --include "*20170902*" &amp; "%USERPROFILE%\Documents\GitHub\mrs-test-scripts\Headless Mode &amp; Sideloading\WalkAndUnGZ.bat" "%USERPROFILE%\AppData\Local\Temp\OnboardLogs"\RTDC4041\2017-09-02</v>
      </c>
      <c r="AF233" s="74" t="str">
        <f t="shared" si="70"/>
        <v>"C:\Program Files (x86)\AstroGrep\AstroGrep.exe" /e /r /s /spath="%USERPROFILE%\AppData\Local\Temp\OnboardLogs" /stypes="app*4041*20170901*" /stext=" 17:.+((SYSTEM_STATE.+slice.+state.+changed )|(ment ac)|(multiple cpu faults)|(system.+state.+changed )|(\[timeout)|(PRM\|1\|D)|(kpr)|(kdp)|(train st.+moving)|(\|lc)|(penalty))"</v>
      </c>
      <c r="AG233" s="206" t="str">
        <f t="shared" si="71"/>
        <v>Shuttle/Test</v>
      </c>
      <c r="AH233" s="78" t="str">
        <f t="shared" si="72"/>
        <v>"%USERPROFILE%\Documents\GitHub\eaglep3\Utilities\RefineRTDCRunTimes.py" --tripid 58-01 --locoid 4041 --swversion DE.1.0.9.0 --startMP 300:22098 --initTime 2017-09-01T10:51:06 --startdatetime 2017-09-01T10:56:53 --delay 70 --endMP 204:1164 --enddatetime 2017-09-01T11:06:18 --enforcementcount 0 &gt;&gt;C:\Users\stu\Documents\GitHub\eaglep3-reporting\EC\2017-09-01-refined-times.txt</v>
      </c>
      <c r="AI233" s="96" t="str">
        <f t="shared" si="73"/>
        <v>echo {"issue":{"subject":"","project_id":79,"tracker_id":40,"status_id":1,"priority_id":2,"assigned_to_id":338,"start_date":"2017-09-01","description":"","custom_fields":[{"id":1,"name":"Subdivision","value":"Shuttle/Test"},{"id":4,"name":"Milepost","value":"0.1164"},{"id":17,"name":"Train ID","value":"58-01"},{"id":16,"name":"Locomotive ID","value":"4041"},{"id":130,"name":"Impact","value":""},{"id":150,"name":"Time of Event (Mountain Time)","value":"11:06:18"},{"id":151,"name":"Denver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2" t="str">
        <f t="shared" si="74"/>
        <v>start /low /b %USERPROFILE%\Documents\GitHub\eaglep3\Utilities\DownloadLogsFromS3.py --loco 4041 --day 2017-09-01</v>
      </c>
      <c r="AN233" s="151" t="str">
        <f t="shared" si="75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17:06:18"},{"id":29,"name":"Sharepoint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/>
    </row>
    <row r="234" spans="1:91" s="20" customFormat="1" x14ac:dyDescent="0.25">
      <c r="A234" s="32" t="s">
        <v>675</v>
      </c>
      <c r="B234" s="7">
        <v>4050</v>
      </c>
      <c r="C234" s="21" t="s">
        <v>197</v>
      </c>
      <c r="D234" s="21" t="s">
        <v>903</v>
      </c>
      <c r="E234" s="13">
        <v>42979.333518518521</v>
      </c>
      <c r="F234" s="13">
        <v>42979.360833333332</v>
      </c>
      <c r="G234" s="7">
        <v>281</v>
      </c>
      <c r="H234" s="21" t="s">
        <v>904</v>
      </c>
      <c r="I234" s="13">
        <v>42979.372245370374</v>
      </c>
      <c r="J234" s="7">
        <v>0</v>
      </c>
      <c r="K234" s="89" t="str">
        <f t="shared" si="58"/>
        <v>4049/4050</v>
      </c>
      <c r="L234" s="214" t="str">
        <f>VLOOKUP(A234,'Trips&amp;Operators'!$C$1:$G$99911,5,FALSE)</f>
        <v>SPECTOR MICHAEL</v>
      </c>
      <c r="M234" s="6">
        <f t="shared" si="59"/>
        <v>1.1412037041736767E-2</v>
      </c>
      <c r="N234" s="7">
        <f t="shared" si="60"/>
        <v>16.433333340100944</v>
      </c>
      <c r="O234" s="7"/>
      <c r="P234" s="7"/>
      <c r="Q234" s="22"/>
      <c r="R234" s="167"/>
      <c r="S234" s="210">
        <f t="shared" si="61"/>
        <v>0</v>
      </c>
      <c r="T234" s="192" t="str">
        <f t="shared" si="62"/>
        <v>NorthBound</v>
      </c>
      <c r="U234" s="192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93" t="str">
        <f t="shared" si="63"/>
        <v>https://d0f6bd738d7f1b3e5a7ca70fe4ff75f0.us-east-1.aws.found.io/app/kibana#/discover/Steve-Slow-Train-Analysis-(2080s-and-2083s)?_g=(refreshInterval:(display:Off,pause:!f,section:0,value:0),time:(from:'2017-09-01T07:00:16-0600',mode:absolute,to:'2017-09-01T09:56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4" s="194" t="str">
        <f>IF(AA234&lt;VLOOKUP(AG234,Variables!$AC$3:$AD$8,2,FALSE),"Y","N")</f>
        <v>Y</v>
      </c>
      <c r="X234" s="194">
        <f t="shared" si="64"/>
        <v>3</v>
      </c>
      <c r="Y234" s="194">
        <f t="shared" si="65"/>
        <v>0.1484</v>
      </c>
      <c r="Z234" s="194">
        <f t="shared" si="66"/>
        <v>0.56369999999999998</v>
      </c>
      <c r="AA234" s="194">
        <f t="shared" si="67"/>
        <v>0.4153</v>
      </c>
      <c r="AB234" s="54" t="e">
        <f>VLOOKUP(A234,Enforcements!$C$7:$K$11,8,0)</f>
        <v>#N/A</v>
      </c>
      <c r="AC234" s="51" t="e">
        <f>VLOOKUP(A234,Enforcements!$C$7:$E$11,3,0)</f>
        <v>#N/A</v>
      </c>
      <c r="AD234" s="203">
        <f t="shared" si="68"/>
        <v>61</v>
      </c>
      <c r="AE234" s="77" t="str">
        <f t="shared" si="69"/>
        <v>aws s3 cp s3://rtdc.mdm.uploadarchive.raw/RTDC4050/ "%USERPROFILE%\AppData\Local\Temp\OnboardLogs"\RTDC4050\2017-09-01 --exclude "*" --recursive --include "*20170901*" &amp; "%USERPROFILE%\Documents\GitHub\mrs-test-scripts\Headless Mode &amp; Sideloading\WalkAndUnGZ.bat" "%USERPROFILE%\AppData\Local\Temp\OnboardLogs"\RTDC4050\2017-09-01 &amp; aws s3 cp s3://rtdc.mdm.uploadarchive.raw/RTDC4050/ "%USERPROFILE%\AppData\Local\Temp\OnboardLogs"\RTDC4050\2017-09-02 --exclude "*" --recursive --include "*20170902*" &amp; "%USERPROFILE%\Documents\GitHub\mrs-test-scripts\Headless Mode &amp; Sideloading\WalkAndUnGZ.bat" "%USERPROFILE%\AppData\Local\Temp\OnboardLogs"\RTDC4050\2017-09-02</v>
      </c>
      <c r="AF234" s="74" t="str">
        <f t="shared" si="70"/>
        <v>"C:\Program Files (x86)\AstroGrep\AstroGrep.exe" /e /r /s /spath="%USERPROFILE%\AppData\Local\Temp\OnboardLogs" /stypes="app*4050*20170901*" /stext=" 14:.+((SYSTEM_STATE.+slice.+state.+changed )|(ment ac)|(multiple cpu faults)|(system.+state.+changed )|(\[timeout)|(PRM\|1\|D)|(kpr)|(kdp)|(train st.+moving)|(\|lc)|(penalty))"</v>
      </c>
      <c r="AG234" s="206" t="str">
        <f t="shared" si="71"/>
        <v>Shuttle/Test</v>
      </c>
      <c r="AH234" s="78" t="str">
        <f t="shared" si="72"/>
        <v>"%USERPROFILE%\Documents\GitHub\eaglep3\Utilities\RefineRTDCRunTimes.py" --tripid 61-01 --locoid 4050 --swversion DE.1.0.9.0 --startMP 204:1484 --initTime 2017-09-01T08:00:16 --startdatetime 2017-09-01T08:39:36 --delay 281 --endMP 300:5637 --enddatetime 2017-09-01T08:56:02 --enforcementcount 0 &gt;&gt;C:\Users\stu\Documents\GitHub\eaglep3-reporting\EC\2017-09-01-refined-times.txt</v>
      </c>
      <c r="AI234" s="96" t="str">
        <f t="shared" si="73"/>
        <v>echo {"issue":{"subject":"","project_id":79,"tracker_id":40,"status_id":1,"priority_id":2,"assigned_to_id":338,"start_date":"2017-09-01","description":"","custom_fields":[{"id":1,"name":"Subdivision","value":"Shuttle/Test"},{"id":4,"name":"Milepost","value":"0.5637"},{"id":17,"name":"Train ID","value":"61-01"},{"id":16,"name":"Locomotive ID","value":"4050"},{"id":130,"name":"Impact","value":""},{"id":150,"name":"Time of Event (Mountain Time)","value":"08:56:02"},{"id":151,"name":"Denver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4" s="47"/>
      <c r="AL234" s="47"/>
      <c r="AM234" s="142" t="str">
        <f t="shared" si="74"/>
        <v>start /low /b %USERPROFILE%\Documents\GitHub\eaglep3\Utilities\DownloadLogsFromS3.py --loco 4050 --day 2017-09-01</v>
      </c>
      <c r="AN234" s="151" t="str">
        <f t="shared" si="75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14:56:02"},{"id":29,"name":"Sharepoint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x14ac:dyDescent="0.25">
      <c r="A235" s="32" t="s">
        <v>600</v>
      </c>
      <c r="B235" s="7">
        <v>4055</v>
      </c>
      <c r="C235" s="21" t="s">
        <v>197</v>
      </c>
      <c r="D235" s="21" t="s">
        <v>905</v>
      </c>
      <c r="E235" s="13">
        <v>42979.435474537036</v>
      </c>
      <c r="F235" s="13">
        <v>42979.437106481484</v>
      </c>
      <c r="G235" s="7">
        <v>62</v>
      </c>
      <c r="H235" s="21" t="s">
        <v>568</v>
      </c>
      <c r="I235" s="13">
        <v>42979.438784722224</v>
      </c>
      <c r="J235" s="7">
        <v>0</v>
      </c>
      <c r="K235" s="89" t="str">
        <f t="shared" si="58"/>
        <v>4055/4056</v>
      </c>
      <c r="L235" s="214" t="str">
        <f>VLOOKUP(A235,'Trips&amp;Operators'!$C$1:$G$99911,5,FALSE)</f>
        <v>DELGADO DIANAH</v>
      </c>
      <c r="M235" s="6">
        <f t="shared" si="59"/>
        <v>1.6782407401478849E-3</v>
      </c>
      <c r="N235" s="7">
        <f t="shared" si="60"/>
        <v>2.4166666658129543</v>
      </c>
      <c r="O235" s="7"/>
      <c r="P235" s="7"/>
      <c r="Q235" s="22"/>
      <c r="R235" s="167"/>
      <c r="S235" s="210">
        <f t="shared" si="61"/>
        <v>0</v>
      </c>
      <c r="T235" s="192" t="str">
        <f t="shared" si="62"/>
        <v>Southbound</v>
      </c>
      <c r="U235" s="192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93" t="str">
        <f t="shared" si="63"/>
        <v>https://d0f6bd738d7f1b3e5a7ca70fe4ff75f0.us-east-1.aws.found.io/app/kibana#/discover/Steve-Slow-Train-Analysis-(2080s-and-2083s)?_g=(refreshInterval:(display:Off,pause:!f,section:0,value:0),time:(from:'2017-09-01T09:27:05-0600',mode:absolute,to:'2017-09-01T11:31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35" s="194" t="str">
        <f>IF(AA235&lt;VLOOKUP(AG235,Variables!$AC$3:$AD$8,2,FALSE),"Y","N")</f>
        <v>Y</v>
      </c>
      <c r="X235" s="194">
        <f t="shared" si="64"/>
        <v>3</v>
      </c>
      <c r="Y235" s="194">
        <f t="shared" si="65"/>
        <v>0.52400000000000002</v>
      </c>
      <c r="Z235" s="194">
        <f t="shared" si="66"/>
        <v>6.5600000000000006E-2</v>
      </c>
      <c r="AA235" s="194">
        <f t="shared" si="67"/>
        <v>0.45840000000000003</v>
      </c>
      <c r="AB235" s="54" t="e">
        <f>VLOOKUP(A235,Enforcements!$C$7:$K$11,8,0)</f>
        <v>#N/A</v>
      </c>
      <c r="AC235" s="51" t="e">
        <f>VLOOKUP(A235,Enforcements!$C$7:$E$11,3,0)</f>
        <v>#N/A</v>
      </c>
      <c r="AD235" s="203">
        <f t="shared" si="68"/>
        <v>64</v>
      </c>
      <c r="AE235" s="77" t="str">
        <f t="shared" si="69"/>
        <v>aws s3 cp s3://rtdc.mdm.uploadarchive.raw/RTDC4055/ "%USERPROFILE%\AppData\Local\Temp\OnboardLogs"\RTDC4055\2017-09-01 --exclude "*" --recursive --include "*20170901*" &amp; "%USERPROFILE%\Documents\GitHub\mrs-test-scripts\Headless Mode &amp; Sideloading\WalkAndUnGZ.bat" "%USERPROFILE%\AppData\Local\Temp\OnboardLogs"\RTDC4055\2017-09-01 &amp; aws s3 cp s3://rtdc.mdm.uploadarchive.raw/RTDC4055/ "%USERPROFILE%\AppData\Local\Temp\OnboardLogs"\RTDC4055\2017-09-02 --exclude "*" --recursive --include "*20170902*" &amp; "%USERPROFILE%\Documents\GitHub\mrs-test-scripts\Headless Mode &amp; Sideloading\WalkAndUnGZ.bat" "%USERPROFILE%\AppData\Local\Temp\OnboardLogs"\RTDC4055\2017-09-02</v>
      </c>
      <c r="AF235" s="74" t="str">
        <f t="shared" si="70"/>
        <v>"C:\Program Files (x86)\AstroGrep\AstroGrep.exe" /e /r /s /spath="%USERPROFILE%\AppData\Local\Temp\OnboardLogs" /stypes="app*4055*20170901*" /stext=" 16:.+((SYSTEM_STATE.+slice.+state.+changed )|(ment ac)|(multiple cpu faults)|(system.+state.+changed )|(\[timeout)|(PRM\|1\|D)|(kpr)|(kdp)|(train st.+moving)|(\|lc)|(penalty))"</v>
      </c>
      <c r="AG235" s="206" t="str">
        <f t="shared" si="71"/>
        <v>Shuttle/Test</v>
      </c>
      <c r="AH235" s="78" t="str">
        <f t="shared" si="72"/>
        <v>"%USERPROFILE%\Documents\GitHub\eaglep3\Utilities\RefineRTDCRunTimes.py" --tripid 64-01 --locoid 4055 --swversion DE.1.0.9.0 --startMP 300:5240 --initTime 2017-09-01T10:27:05 --startdatetime 2017-09-01T10:29:26 --delay 62 --endMP 204:656 --enddatetime 2017-09-01T10:31:51 --enforcementcount 0 &gt;&gt;C:\Users\stu\Documents\GitHub\eaglep3-reporting\EC\2017-09-01-refined-times.txt</v>
      </c>
      <c r="AI235" s="96" t="str">
        <f t="shared" si="73"/>
        <v>echo {"issue":{"subject":"","project_id":79,"tracker_id":40,"status_id":1,"priority_id":2,"assigned_to_id":338,"start_date":"2017-09-01","description":"","custom_fields":[{"id":1,"name":"Subdivision","value":"Shuttle/Test"},{"id":4,"name":"Milepost","value":"0.0656"},{"id":17,"name":"Train ID","value":"64-01"},{"id":16,"name":"Locomotive ID","value":"4055"},{"id":130,"name":"Impact","value":""},{"id":150,"name":"Time of Event (Mountain Time)","value":"10:31:51"},{"id":151,"name":"Denver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2" t="str">
        <f t="shared" si="74"/>
        <v>start /low /b %USERPROFILE%\Documents\GitHub\eaglep3\Utilities\DownloadLogsFromS3.py --loco 4055 --day 2017-09-01</v>
      </c>
      <c r="AN235" s="151" t="str">
        <f t="shared" si="75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16:31:51"},{"id":29,"name":"Sharepoint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/>
    </row>
    <row r="236" spans="1:91" x14ac:dyDescent="0.25">
      <c r="A236" s="32" t="s">
        <v>600</v>
      </c>
      <c r="B236" s="7">
        <v>4056</v>
      </c>
      <c r="C236" s="21" t="s">
        <v>197</v>
      </c>
      <c r="D236" s="21" t="s">
        <v>906</v>
      </c>
      <c r="E236" s="13">
        <v>42979.43136574074</v>
      </c>
      <c r="F236" s="13">
        <v>42979.437106481484</v>
      </c>
      <c r="G236" s="7">
        <v>61</v>
      </c>
      <c r="H236" s="21" t="s">
        <v>907</v>
      </c>
      <c r="I236" s="13">
        <v>42979.438784722224</v>
      </c>
      <c r="J236" s="7">
        <v>0</v>
      </c>
      <c r="K236" s="89" t="str">
        <f t="shared" si="58"/>
        <v>4055/4056</v>
      </c>
      <c r="L236" s="214" t="str">
        <f>VLOOKUP(A236,'Trips&amp;Operators'!$C$1:$G$99911,5,FALSE)</f>
        <v>DELGADO DIANAH</v>
      </c>
      <c r="M236" s="6">
        <f t="shared" si="59"/>
        <v>1.6782407401478849E-3</v>
      </c>
      <c r="N236" s="7">
        <f t="shared" si="60"/>
        <v>2.4166666658129543</v>
      </c>
      <c r="O236" s="7"/>
      <c r="P236" s="7"/>
      <c r="Q236" s="22"/>
      <c r="R236" s="167"/>
      <c r="S236" s="210">
        <f t="shared" si="61"/>
        <v>0</v>
      </c>
      <c r="T236" s="192" t="str">
        <f t="shared" si="62"/>
        <v>Southbound</v>
      </c>
      <c r="U236" s="192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93" t="str">
        <f t="shared" si="63"/>
        <v>https://d0f6bd738d7f1b3e5a7ca70fe4ff75f0.us-east-1.aws.found.io/app/kibana#/discover/Steve-Slow-Train-Analysis-(2080s-and-2083s)?_g=(refreshInterval:(display:Off,pause:!f,section:0,value:0),time:(from:'2017-09-01T09:21:10-0600',mode:absolute,to:'2017-09-01T11:31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36" s="194" t="str">
        <f>IF(AA236&lt;VLOOKUP(AG236,Variables!$AC$3:$AD$8,2,FALSE),"Y","N")</f>
        <v>Y</v>
      </c>
      <c r="X236" s="194">
        <f t="shared" si="64"/>
        <v>0</v>
      </c>
      <c r="Y236" s="194">
        <f t="shared" si="65"/>
        <v>0.14710000000000001</v>
      </c>
      <c r="Z236" s="194">
        <f t="shared" si="66"/>
        <v>0.55549999999999999</v>
      </c>
      <c r="AA236" s="194">
        <f t="shared" si="67"/>
        <v>0.40839999999999999</v>
      </c>
      <c r="AB236" s="54" t="e">
        <f>VLOOKUP(A236,Enforcements!$C$7:$K$11,8,0)</f>
        <v>#N/A</v>
      </c>
      <c r="AC236" s="51" t="e">
        <f>VLOOKUP(A236,Enforcements!$C$7:$E$11,3,0)</f>
        <v>#N/A</v>
      </c>
      <c r="AD236" s="203">
        <f t="shared" si="68"/>
        <v>64</v>
      </c>
      <c r="AE236" s="77" t="str">
        <f t="shared" si="69"/>
        <v>aws s3 cp s3://rtdc.mdm.uploadarchive.raw/RTDC4056/ "%USERPROFILE%\AppData\Local\Temp\OnboardLogs"\RTDC4056\2017-09-01 --exclude "*" --recursive --include "*20170901*" &amp; "%USERPROFILE%\Documents\GitHub\mrs-test-scripts\Headless Mode &amp; Sideloading\WalkAndUnGZ.bat" "%USERPROFILE%\AppData\Local\Temp\OnboardLogs"\RTDC4056\2017-09-01 &amp; aws s3 cp s3://rtdc.mdm.uploadarchive.raw/RTDC4056/ "%USERPROFILE%\AppData\Local\Temp\OnboardLogs"\RTDC4056\2017-09-02 --exclude "*" --recursive --include "*20170902*" &amp; "%USERPROFILE%\Documents\GitHub\mrs-test-scripts\Headless Mode &amp; Sideloading\WalkAndUnGZ.bat" "%USERPROFILE%\AppData\Local\Temp\OnboardLogs"\RTDC4056\2017-09-02</v>
      </c>
      <c r="AF236" s="74" t="str">
        <f t="shared" si="70"/>
        <v>"C:\Program Files (x86)\AstroGrep\AstroGrep.exe" /e /r /s /spath="%USERPROFILE%\AppData\Local\Temp\OnboardLogs" /stypes="app*4056*20170901*" /stext=" 16:.+((SYSTEM_STATE.+slice.+state.+changed )|(ment ac)|(multiple cpu faults)|(system.+state.+changed )|(\[timeout)|(PRM\|1\|D)|(kpr)|(kdp)|(train st.+moving)|(\|lc)|(penalty))"</v>
      </c>
      <c r="AG236" s="206" t="str">
        <f t="shared" si="71"/>
        <v>Shuttle/Test</v>
      </c>
      <c r="AH236" s="78" t="str">
        <f t="shared" si="72"/>
        <v>"%USERPROFILE%\Documents\GitHub\eaglep3\Utilities\RefineRTDCRunTimes.py" --tripid 64-01 --locoid 4056 --swversion DE.1.0.9.0 --startMP 204:1471 --initTime 2017-09-01T10:21:10 --startdatetime 2017-09-01T10:29:26 --delay 61 --endMP 300:5555 --enddatetime 2017-09-01T10:31:51 --enforcementcount 0 &gt;&gt;C:\Users\stu\Documents\GitHub\eaglep3-reporting\EC\2017-09-01-refined-times.txt</v>
      </c>
      <c r="AI236" s="96" t="str">
        <f t="shared" si="73"/>
        <v>echo {"issue":{"subject":"","project_id":79,"tracker_id":40,"status_id":1,"priority_id":2,"assigned_to_id":338,"start_date":"2017-09-01","description":"","custom_fields":[{"id":1,"name":"Subdivision","value":"Shuttle/Test"},{"id":4,"name":"Milepost","value":"0.5555"},{"id":17,"name":"Train ID","value":"64-01"},{"id":16,"name":"Locomotive ID","value":"4056"},{"id":130,"name":"Impact","value":""},{"id":150,"name":"Time of Event (Mountain Time)","value":"10:31:51"},{"id":151,"name":"Denver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2" t="str">
        <f t="shared" si="74"/>
        <v>start /low /b %USERPROFILE%\Documents\GitHub\eaglep3\Utilities\DownloadLogsFromS3.py --loco 4056 --day 2017-09-01</v>
      </c>
      <c r="AN236" s="151" t="str">
        <f t="shared" si="75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16:31:51"},{"id":29,"name":"Sharepoint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/>
    </row>
    <row r="237" spans="1:91" x14ac:dyDescent="0.25">
      <c r="A237" s="32" t="s">
        <v>600</v>
      </c>
      <c r="B237" s="7">
        <v>4050</v>
      </c>
      <c r="C237" s="21" t="s">
        <v>197</v>
      </c>
      <c r="D237" s="21" t="s">
        <v>908</v>
      </c>
      <c r="E237" s="13">
        <v>42979.460949074077</v>
      </c>
      <c r="F237" s="13">
        <v>42979.478946759256</v>
      </c>
      <c r="G237" s="7">
        <v>65</v>
      </c>
      <c r="H237" s="21" t="s">
        <v>909</v>
      </c>
      <c r="I237" s="13">
        <v>42979.484652777777</v>
      </c>
      <c r="J237" s="7">
        <v>0</v>
      </c>
      <c r="K237" s="89" t="str">
        <f t="shared" si="58"/>
        <v>4049/4050</v>
      </c>
      <c r="L237" s="214" t="str">
        <f>VLOOKUP(A237,'Trips&amp;Operators'!$C$1:$G$99911,5,FALSE)</f>
        <v>DELGADO DIANAH</v>
      </c>
      <c r="M237" s="6">
        <f t="shared" si="59"/>
        <v>5.7060185208683833E-3</v>
      </c>
      <c r="N237" s="7">
        <f t="shared" si="60"/>
        <v>8.216666670050472</v>
      </c>
      <c r="O237" s="7"/>
      <c r="P237" s="7"/>
      <c r="Q237" s="22"/>
      <c r="R237" s="167"/>
      <c r="S237" s="210">
        <f t="shared" si="61"/>
        <v>0</v>
      </c>
      <c r="T237" s="192" t="str">
        <f t="shared" si="62"/>
        <v>Southbound</v>
      </c>
      <c r="U237" s="192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93" t="str">
        <f t="shared" si="63"/>
        <v>https://d0f6bd738d7f1b3e5a7ca70fe4ff75f0.us-east-1.aws.found.io/app/kibana#/discover/Steve-Slow-Train-Analysis-(2080s-and-2083s)?_g=(refreshInterval:(display:Off,pause:!f,section:0,value:0),time:(from:'2017-09-01T10:03:46-0600',mode:absolute,to:'2017-09-01T12:37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7" s="194" t="str">
        <f>IF(AA237&lt;VLOOKUP(AG237,Variables!$AC$3:$AD$8,2,FALSE),"Y","N")</f>
        <v>Y</v>
      </c>
      <c r="X237" s="194">
        <f t="shared" si="64"/>
        <v>0</v>
      </c>
      <c r="Y237" s="194">
        <f t="shared" si="65"/>
        <v>0.1235</v>
      </c>
      <c r="Z237" s="194">
        <f t="shared" si="66"/>
        <v>2.4228999999999998</v>
      </c>
      <c r="AA237" s="194">
        <f t="shared" si="67"/>
        <v>2.2993999999999999</v>
      </c>
      <c r="AB237" s="54" t="e">
        <f>VLOOKUP(A237,Enforcements!$C$7:$K$11,8,0)</f>
        <v>#N/A</v>
      </c>
      <c r="AC237" s="51" t="e">
        <f>VLOOKUP(A237,Enforcements!$C$7:$E$11,3,0)</f>
        <v>#N/A</v>
      </c>
      <c r="AD237" s="203">
        <f t="shared" si="68"/>
        <v>64</v>
      </c>
      <c r="AE237" s="77" t="str">
        <f t="shared" si="69"/>
        <v>aws s3 cp s3://rtdc.mdm.uploadarchive.raw/RTDC4050/ "%USERPROFILE%\AppData\Local\Temp\OnboardLogs"\RTDC4050\2017-09-01 --exclude "*" --recursive --include "*20170901*" &amp; "%USERPROFILE%\Documents\GitHub\mrs-test-scripts\Headless Mode &amp; Sideloading\WalkAndUnGZ.bat" "%USERPROFILE%\AppData\Local\Temp\OnboardLogs"\RTDC4050\2017-09-01 &amp; aws s3 cp s3://rtdc.mdm.uploadarchive.raw/RTDC4050/ "%USERPROFILE%\AppData\Local\Temp\OnboardLogs"\RTDC4050\2017-09-02 --exclude "*" --recursive --include "*20170902*" &amp; "%USERPROFILE%\Documents\GitHub\mrs-test-scripts\Headless Mode &amp; Sideloading\WalkAndUnGZ.bat" "%USERPROFILE%\AppData\Local\Temp\OnboardLogs"\RTDC4050\2017-09-02</v>
      </c>
      <c r="AF237" s="74" t="str">
        <f t="shared" si="70"/>
        <v>"C:\Program Files (x86)\AstroGrep\AstroGrep.exe" /e /r /s /spath="%USERPROFILE%\AppData\Local\Temp\OnboardLogs" /stypes="app*4050*20170901*" /stext=" 17:.+((SYSTEM_STATE.+slice.+state.+changed )|(ment ac)|(multiple cpu faults)|(system.+state.+changed )|(\[timeout)|(PRM\|1\|D)|(kpr)|(kdp)|(train st.+moving)|(\|lc)|(penalty))"</v>
      </c>
      <c r="AG237" s="206" t="str">
        <f t="shared" si="71"/>
        <v>Shuttle/Test</v>
      </c>
      <c r="AH237" s="78" t="str">
        <f t="shared" si="72"/>
        <v>"%USERPROFILE%\Documents\GitHub\eaglep3\Utilities\RefineRTDCRunTimes.py" --tripid 64-01 --locoid 4050 --swversion DE.1.0.9.0 --startMP 204:1235 --initTime 2017-09-01T11:03:46 --startdatetime 2017-09-01T11:29:41 --delay 65 --endMP 300:24229 --enddatetime 2017-09-01T11:37:54 --enforcementcount 0 &gt;&gt;C:\Users\stu\Documents\GitHub\eaglep3-reporting\EC\2017-09-01-refined-times.txt</v>
      </c>
      <c r="AI237" s="96" t="str">
        <f t="shared" si="73"/>
        <v>echo {"issue":{"subject":"","project_id":79,"tracker_id":40,"status_id":1,"priority_id":2,"assigned_to_id":338,"start_date":"2017-09-01","description":"","custom_fields":[{"id":1,"name":"Subdivision","value":"Shuttle/Test"},{"id":4,"name":"Milepost","value":"2.4229"},{"id":17,"name":"Train ID","value":"64-01"},{"id":16,"name":"Locomotive ID","value":"4050"},{"id":130,"name":"Impact","value":""},{"id":150,"name":"Time of Event (Mountain Time)","value":"11:37:54"},{"id":151,"name":"Denver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2" t="str">
        <f t="shared" si="74"/>
        <v>start /low /b %USERPROFILE%\Documents\GitHub\eaglep3\Utilities\DownloadLogsFromS3.py --loco 4050 --day 2017-09-01</v>
      </c>
      <c r="AN237" s="151" t="str">
        <f t="shared" si="75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17:37:54"},{"id":29,"name":"Sharepoint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/>
    </row>
    <row r="238" spans="1:91" s="20" customFormat="1" x14ac:dyDescent="0.25">
      <c r="A238" s="32" t="s">
        <v>718</v>
      </c>
      <c r="B238" s="7">
        <v>4032</v>
      </c>
      <c r="C238" s="21" t="s">
        <v>197</v>
      </c>
      <c r="D238" s="21" t="s">
        <v>910</v>
      </c>
      <c r="E238" s="13">
        <v>42979.500486111108</v>
      </c>
      <c r="F238" s="13">
        <v>42979.506851851853</v>
      </c>
      <c r="G238" s="7">
        <v>417</v>
      </c>
      <c r="H238" s="21" t="s">
        <v>911</v>
      </c>
      <c r="I238" s="13">
        <v>42979.513287037036</v>
      </c>
      <c r="J238" s="7">
        <v>0</v>
      </c>
      <c r="K238" s="89" t="str">
        <f t="shared" si="58"/>
        <v>4031/4032</v>
      </c>
      <c r="L238" s="214" t="str">
        <f>VLOOKUP(A238,'Trips&amp;Operators'!$C$1:$G$99911,5,FALSE)</f>
        <v>WILLIAMS DONTE</v>
      </c>
      <c r="M238" s="6">
        <f t="shared" si="59"/>
        <v>6.435185183363501E-3</v>
      </c>
      <c r="N238" s="7">
        <f t="shared" si="60"/>
        <v>9.2666666640434414</v>
      </c>
      <c r="O238" s="7"/>
      <c r="P238" s="7"/>
      <c r="Q238" s="22"/>
      <c r="R238" s="167"/>
      <c r="S238" s="210">
        <f t="shared" si="61"/>
        <v>1</v>
      </c>
      <c r="T238" s="192" t="str">
        <f t="shared" si="62"/>
        <v>NorthBound</v>
      </c>
      <c r="U238" s="192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1</v>
      </c>
      <c r="V238" s="193" t="str">
        <f t="shared" si="63"/>
        <v>https://d0f6bd738d7f1b3e5a7ca70fe4ff75f0.us-east-1.aws.found.io/app/kibana#/discover/Steve-Slow-Train-Analysis-(2080s-and-2083s)?_g=(refreshInterval:(display:Off,pause:!f,section:0,value:0),time:(from:'2017-09-01T11:00:42-0600',mode:absolute,to:'2017-09-01T13:19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38" s="194" t="str">
        <f>IF(AA238&lt;VLOOKUP(AG238,Variables!$AC$3:$AD$8,2,FALSE),"Y","N")</f>
        <v>Y</v>
      </c>
      <c r="X238" s="194">
        <f t="shared" si="64"/>
        <v>1</v>
      </c>
      <c r="Y238" s="194">
        <f t="shared" si="65"/>
        <v>0.1145</v>
      </c>
      <c r="Z238" s="194">
        <f t="shared" si="66"/>
        <v>2.4222000000000001</v>
      </c>
      <c r="AA238" s="194">
        <f t="shared" si="67"/>
        <v>2.3077000000000001</v>
      </c>
      <c r="AB238" s="54" t="e">
        <f>VLOOKUP(A238,Enforcements!$C$7:$K$11,8,0)</f>
        <v>#N/A</v>
      </c>
      <c r="AC238" s="51" t="e">
        <f>VLOOKUP(A238,Enforcements!$C$7:$E$11,3,0)</f>
        <v>#N/A</v>
      </c>
      <c r="AD238" s="203">
        <f t="shared" si="68"/>
        <v>65</v>
      </c>
      <c r="AE238" s="77" t="str">
        <f t="shared" si="69"/>
        <v>aws s3 cp s3://rtdc.mdm.uploadarchive.raw/RTDC4032/ "%USERPROFILE%\AppData\Local\Temp\OnboardLogs"\RTDC4032\2017-09-01 --exclude "*" --recursive --include "*20170901*" &amp; "%USERPROFILE%\Documents\GitHub\mrs-test-scripts\Headless Mode &amp; Sideloading\WalkAndUnGZ.bat" "%USERPROFILE%\AppData\Local\Temp\OnboardLogs"\RTDC4032\2017-09-01 &amp; aws s3 cp s3://rtdc.mdm.uploadarchive.raw/RTDC4032/ "%USERPROFILE%\AppData\Local\Temp\OnboardLogs"\RTDC4032\2017-09-02 --exclude "*" --recursive --include "*20170902*" &amp; "%USERPROFILE%\Documents\GitHub\mrs-test-scripts\Headless Mode &amp; Sideloading\WalkAndUnGZ.bat" "%USERPROFILE%\AppData\Local\Temp\OnboardLogs"\RTDC4032\2017-09-02</v>
      </c>
      <c r="AF238" s="74" t="str">
        <f t="shared" si="70"/>
        <v>"C:\Program Files (x86)\AstroGrep\AstroGrep.exe" /e /r /s /spath="%USERPROFILE%\AppData\Local\Temp\OnboardLogs" /stypes="app*4032*20170901*" /stext=" 18:.+((SYSTEM_STATE.+slice.+state.+changed )|(ment ac)|(multiple cpu faults)|(system.+state.+changed )|(\[timeout)|(PRM\|1\|D)|(kpr)|(kdp)|(train st.+moving)|(\|lc)|(penalty))"</v>
      </c>
      <c r="AG238" s="206" t="str">
        <f t="shared" si="71"/>
        <v>Shuttle/Test</v>
      </c>
      <c r="AH238" s="78" t="str">
        <f t="shared" si="72"/>
        <v>"%USERPROFILE%\Documents\GitHub\eaglep3\Utilities\RefineRTDCRunTimes.py" --tripid 65-01 --locoid 4032 --swversion DE.1.0.9.0 --startMP 204:1145 --initTime 2017-09-01T12:00:42 --startdatetime 2017-09-01T12:09:52 --delay 417 --endMP 300:24222 --enddatetime 2017-09-01T12:19:08 --enforcementcount 0 &gt;&gt;C:\Users\stu\Documents\GitHub\eaglep3-reporting\EC\2017-09-01-refined-times.txt</v>
      </c>
      <c r="AI238" s="96" t="str">
        <f t="shared" si="73"/>
        <v>echo {"issue":{"subject":"","project_id":79,"tracker_id":40,"status_id":1,"priority_id":2,"assigned_to_id":338,"start_date":"2017-09-01","description":"","custom_fields":[{"id":1,"name":"Subdivision","value":"Shuttle/Test"},{"id":4,"name":"Milepost","value":"2.4222"},{"id":17,"name":"Train ID","value":"65-01"},{"id":16,"name":"Locomotive ID","value":"4032"},{"id":130,"name":"Impact","value":""},{"id":150,"name":"Time of Event (Mountain Time)","value":"12:19:08"},{"id":151,"name":"Denver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8" s="47"/>
      <c r="AL238" s="47"/>
      <c r="AM238" s="142" t="str">
        <f t="shared" si="74"/>
        <v>start /low /b %USERPROFILE%\Documents\GitHub\eaglep3\Utilities\DownloadLogsFromS3.py --loco 4032 --day 2017-09-01</v>
      </c>
      <c r="AN238" s="151" t="str">
        <f t="shared" si="75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18:19:08"},{"id":29,"name":"Sharepoint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x14ac:dyDescent="0.25">
      <c r="A239" s="32" t="s">
        <v>769</v>
      </c>
      <c r="B239" s="7">
        <v>4042</v>
      </c>
      <c r="C239" s="21" t="s">
        <v>197</v>
      </c>
      <c r="D239" s="21" t="s">
        <v>912</v>
      </c>
      <c r="E239" s="13">
        <v>42979.704768518517</v>
      </c>
      <c r="F239" s="13">
        <v>42979.706817129627</v>
      </c>
      <c r="G239" s="7">
        <v>63</v>
      </c>
      <c r="H239" s="21" t="s">
        <v>913</v>
      </c>
      <c r="I239" s="13">
        <v>42979.714490740742</v>
      </c>
      <c r="J239" s="7">
        <v>0</v>
      </c>
      <c r="K239" s="89" t="str">
        <f t="shared" si="58"/>
        <v>4041/4042</v>
      </c>
      <c r="L239" s="214" t="str">
        <f>VLOOKUP(A239,'Trips&amp;Operators'!$C$1:$G$99911,5,FALSE)</f>
        <v>MOSES BRADLEY</v>
      </c>
      <c r="M239" s="6">
        <f t="shared" si="59"/>
        <v>7.6736111150239594E-3</v>
      </c>
      <c r="N239" s="7">
        <f t="shared" si="60"/>
        <v>11.050000005634502</v>
      </c>
      <c r="O239" s="7"/>
      <c r="P239" s="7"/>
      <c r="Q239" s="22"/>
      <c r="R239" s="167"/>
      <c r="S239" s="210">
        <f t="shared" si="61"/>
        <v>1</v>
      </c>
      <c r="T239" s="192" t="str">
        <f t="shared" si="62"/>
        <v>NorthBound</v>
      </c>
      <c r="U239" s="192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1</v>
      </c>
      <c r="V239" s="193" t="str">
        <f t="shared" si="63"/>
        <v>https://d0f6bd738d7f1b3e5a7ca70fe4ff75f0.us-east-1.aws.found.io/app/kibana#/discover/Steve-Slow-Train-Analysis-(2080s-and-2083s)?_g=(refreshInterval:(display:Off,pause:!f,section:0,value:0),time:(from:'2017-09-01T15:54:52-0600',mode:absolute,to:'2017-09-01T18:08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9" s="194" t="str">
        <f>IF(AA239&lt;VLOOKUP(AG239,Variables!$AC$3:$AD$8,2,FALSE),"Y","N")</f>
        <v>Y</v>
      </c>
      <c r="X239" s="194">
        <f t="shared" si="64"/>
        <v>2</v>
      </c>
      <c r="Y239" s="194">
        <f t="shared" si="65"/>
        <v>0.14860000000000001</v>
      </c>
      <c r="Z239" s="194">
        <f t="shared" si="66"/>
        <v>2.3346</v>
      </c>
      <c r="AA239" s="194">
        <f t="shared" si="67"/>
        <v>2.1859999999999999</v>
      </c>
      <c r="AB239" s="54" t="e">
        <f>VLOOKUP(A239,Enforcements!$C$7:$K$11,8,0)</f>
        <v>#N/A</v>
      </c>
      <c r="AC239" s="51" t="e">
        <f>VLOOKUP(A239,Enforcements!$C$7:$E$11,3,0)</f>
        <v>#N/A</v>
      </c>
      <c r="AD239" s="203">
        <f t="shared" si="68"/>
        <v>67</v>
      </c>
      <c r="AE239" s="77" t="str">
        <f t="shared" si="69"/>
        <v>aws s3 cp s3://rtdc.mdm.uploadarchive.raw/RTDC4042/ "%USERPROFILE%\AppData\Local\Temp\OnboardLogs"\RTDC4042\2017-09-01 --exclude "*" --recursive --include "*20170901*" &amp; "%USERPROFILE%\Documents\GitHub\mrs-test-scripts\Headless Mode &amp; Sideloading\WalkAndUnGZ.bat" "%USERPROFILE%\AppData\Local\Temp\OnboardLogs"\RTDC4042\2017-09-01 &amp; aws s3 cp s3://rtdc.mdm.uploadarchive.raw/RTDC4042/ "%USERPROFILE%\AppData\Local\Temp\OnboardLogs"\RTDC4042\2017-09-02 --exclude "*" --recursive --include "*20170902*" &amp; "%USERPROFILE%\Documents\GitHub\mrs-test-scripts\Headless Mode &amp; Sideloading\WalkAndUnGZ.bat" "%USERPROFILE%\AppData\Local\Temp\OnboardLogs"\RTDC4042\2017-09-02</v>
      </c>
      <c r="AF239" s="74" t="str">
        <f t="shared" si="70"/>
        <v>"C:\Program Files (x86)\AstroGrep\AstroGrep.exe" /e /r /s /spath="%USERPROFILE%\AppData\Local\Temp\OnboardLogs" /stypes="app*4042*20170901*" /stext=" 23:.+((SYSTEM_STATE.+slice.+state.+changed )|(ment ac)|(multiple cpu faults)|(system.+state.+changed )|(\[timeout)|(PRM\|1\|D)|(kpr)|(kdp)|(train st.+moving)|(\|lc)|(penalty))"</v>
      </c>
      <c r="AG239" s="206" t="str">
        <f t="shared" si="71"/>
        <v>Shuttle/Test</v>
      </c>
      <c r="AH239" s="78" t="str">
        <f t="shared" si="72"/>
        <v>"%USERPROFILE%\Documents\GitHub\eaglep3\Utilities\RefineRTDCRunTimes.py" --tripid 67-01 --locoid 4042 --swversion DE.1.0.9.0 --startMP 204:1486 --initTime 2017-09-01T16:54:52 --startdatetime 2017-09-01T16:57:49 --delay 63 --endMP 300:23346 --enddatetime 2017-09-01T17:08:52 --enforcementcount 0 &gt;&gt;C:\Users\stu\Documents\GitHub\eaglep3-reporting\EC\2017-09-01-refined-times.txt</v>
      </c>
      <c r="AI239" s="96" t="str">
        <f t="shared" si="73"/>
        <v>echo {"issue":{"subject":"","project_id":79,"tracker_id":40,"status_id":1,"priority_id":2,"assigned_to_id":338,"start_date":"2017-09-01","description":"","custom_fields":[{"id":1,"name":"Subdivision","value":"Shuttle/Test"},{"id":4,"name":"Milepost","value":"2.3346"},{"id":17,"name":"Train ID","value":"67-01"},{"id":16,"name":"Locomotive ID","value":"4042"},{"id":130,"name":"Impact","value":""},{"id":150,"name":"Time of Event (Mountain Time)","value":"17:08:52"},{"id":151,"name":"Denver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2" t="str">
        <f t="shared" si="74"/>
        <v>start /low /b %USERPROFILE%\Documents\GitHub\eaglep3\Utilities\DownloadLogsFromS3.py --loco 4042 --day 2017-09-01</v>
      </c>
      <c r="AN239" s="151" t="str">
        <f t="shared" si="75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23:08:52"},{"id":29,"name":"Sharepoint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/>
    </row>
    <row r="240" spans="1:91" x14ac:dyDescent="0.25">
      <c r="A240" s="32" t="s">
        <v>777</v>
      </c>
      <c r="B240" s="7">
        <v>4062</v>
      </c>
      <c r="C240" s="21" t="s">
        <v>197</v>
      </c>
      <c r="D240" s="21" t="s">
        <v>914</v>
      </c>
      <c r="E240" s="13">
        <v>42979.731921296298</v>
      </c>
      <c r="F240" s="13">
        <v>42979.733680555553</v>
      </c>
      <c r="G240" s="7">
        <v>79</v>
      </c>
      <c r="H240" s="21" t="s">
        <v>442</v>
      </c>
      <c r="I240" s="13">
        <v>42979.740798611114</v>
      </c>
      <c r="J240" s="7">
        <v>0</v>
      </c>
      <c r="K240" s="89" t="str">
        <f t="shared" si="58"/>
        <v>4061/4062</v>
      </c>
      <c r="L240" s="214" t="str">
        <f>VLOOKUP(A240,'Trips&amp;Operators'!$C$1:$G$99911,5,FALSE)</f>
        <v>GONZALEZ ARMANDO</v>
      </c>
      <c r="M240" s="6">
        <f t="shared" si="59"/>
        <v>7.1180555605678819E-3</v>
      </c>
      <c r="N240" s="7">
        <f t="shared" si="60"/>
        <v>10.25000000721775</v>
      </c>
      <c r="O240" s="7"/>
      <c r="P240" s="7"/>
      <c r="Q240" s="22"/>
      <c r="R240" s="167"/>
      <c r="S240" s="210">
        <f t="shared" si="61"/>
        <v>1</v>
      </c>
      <c r="T240" s="192" t="str">
        <f t="shared" si="62"/>
        <v>NorthBound</v>
      </c>
      <c r="U240" s="192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1</v>
      </c>
      <c r="V240" s="193" t="str">
        <f t="shared" si="63"/>
        <v>https://d0f6bd738d7f1b3e5a7ca70fe4ff75f0.us-east-1.aws.found.io/app/kibana#/discover/Steve-Slow-Train-Analysis-(2080s-and-2083s)?_g=(refreshInterval:(display:Off,pause:!f,section:0,value:0),time:(from:'2017-09-01T16:33:58-0600',mode:absolute,to:'2017-09-01T18:46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40" s="194" t="str">
        <f>IF(AA240&lt;VLOOKUP(AG240,Variables!$AC$3:$AD$8,2,FALSE),"Y","N")</f>
        <v>Y</v>
      </c>
      <c r="X240" s="194">
        <f t="shared" si="64"/>
        <v>4</v>
      </c>
      <c r="Y240" s="194">
        <f t="shared" si="65"/>
        <v>0.1143</v>
      </c>
      <c r="Z240" s="194">
        <f t="shared" si="66"/>
        <v>2.331</v>
      </c>
      <c r="AA240" s="194">
        <f t="shared" si="67"/>
        <v>2.2166999999999999</v>
      </c>
      <c r="AB240" s="54" t="e">
        <f>VLOOKUP(A240,Enforcements!$C$7:$K$11,8,0)</f>
        <v>#N/A</v>
      </c>
      <c r="AC240" s="51" t="e">
        <f>VLOOKUP(A240,Enforcements!$C$7:$E$11,3,0)</f>
        <v>#N/A</v>
      </c>
      <c r="AD240" s="203">
        <f t="shared" si="68"/>
        <v>71</v>
      </c>
      <c r="AE240" s="77" t="str">
        <f t="shared" si="69"/>
        <v>aws s3 cp s3://rtdc.mdm.uploadarchive.raw/RTDC4062/ "%USERPROFILE%\AppData\Local\Temp\OnboardLogs"\RTDC4062\2017-09-01 --exclude "*" --recursive --include "*20170901*" &amp; "%USERPROFILE%\Documents\GitHub\mrs-test-scripts\Headless Mode &amp; Sideloading\WalkAndUnGZ.bat" "%USERPROFILE%\AppData\Local\Temp\OnboardLogs"\RTDC4062\2017-09-01 &amp; aws s3 cp s3://rtdc.mdm.uploadarchive.raw/RTDC4062/ "%USERPROFILE%\AppData\Local\Temp\OnboardLogs"\RTDC4062\2017-09-02 --exclude "*" --recursive --include "*20170902*" &amp; "%USERPROFILE%\Documents\GitHub\mrs-test-scripts\Headless Mode &amp; Sideloading\WalkAndUnGZ.bat" "%USERPROFILE%\AppData\Local\Temp\OnboardLogs"\RTDC4062\2017-09-02</v>
      </c>
      <c r="AF240" s="74" t="str">
        <f t="shared" si="70"/>
        <v>"C:\Program Files (x86)\AstroGrep\AstroGrep.exe" /e /r /s /spath="%USERPROFILE%\AppData\Local\Temp\OnboardLogs" /stypes="app*4062*20170901*" /stext=" 23:.+((SYSTEM_STATE.+slice.+state.+changed )|(ment ac)|(multiple cpu faults)|(system.+state.+changed )|(\[timeout)|(PRM\|1\|D)|(kpr)|(kdp)|(train st.+moving)|(\|lc)|(penalty))"</v>
      </c>
      <c r="AG240" s="206" t="str">
        <f t="shared" si="71"/>
        <v>Shuttle/Test</v>
      </c>
      <c r="AH240" s="78" t="str">
        <f t="shared" si="72"/>
        <v>"%USERPROFILE%\Documents\GitHub\eaglep3\Utilities\RefineRTDCRunTimes.py" --tripid 71-01 --locoid 4062 --swversion DE.1.0.9.0 --startMP 204:1143 --initTime 2017-09-01T17:33:58 --startdatetime 2017-09-01T17:36:30 --delay 79 --endMP 300:23310 --enddatetime 2017-09-01T17:46:45 --enforcementcount 0 &gt;&gt;C:\Users\stu\Documents\GitHub\eaglep3-reporting\EC\2017-09-01-refined-times.txt</v>
      </c>
      <c r="AI240" s="96" t="str">
        <f t="shared" si="73"/>
        <v>echo {"issue":{"subject":"","project_id":79,"tracker_id":40,"status_id":1,"priority_id":2,"assigned_to_id":338,"start_date":"2017-09-01","description":"","custom_fields":[{"id":1,"name":"Subdivision","value":"Shuttle/Test"},{"id":4,"name":"Milepost","value":"2.331"},{"id":17,"name":"Train ID","value":"71-01"},{"id":16,"name":"Locomotive ID","value":"4062"},{"id":130,"name":"Impact","value":""},{"id":150,"name":"Time of Event (Mountain Time)","value":"17:46:45"},{"id":151,"name":"Denver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2" t="str">
        <f t="shared" si="74"/>
        <v>start /low /b %USERPROFILE%\Documents\GitHub\eaglep3\Utilities\DownloadLogsFromS3.py --loco 4062 --day 2017-09-01</v>
      </c>
      <c r="AN240" s="151" t="str">
        <f t="shared" si="75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23:46:45"},{"id":29,"name":"Sharepoint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/>
    </row>
    <row r="241" spans="1:41" x14ac:dyDescent="0.25">
      <c r="A241" s="32" t="s">
        <v>779</v>
      </c>
      <c r="B241" s="7">
        <v>4017</v>
      </c>
      <c r="C241" s="21" t="s">
        <v>197</v>
      </c>
      <c r="D241" s="21" t="s">
        <v>915</v>
      </c>
      <c r="E241" s="13">
        <v>42979.742777777778</v>
      </c>
      <c r="F241" s="13">
        <v>42979.744363425925</v>
      </c>
      <c r="G241" s="7">
        <v>57</v>
      </c>
      <c r="H241" s="21" t="s">
        <v>916</v>
      </c>
      <c r="I241" s="13">
        <v>42979.749282407407</v>
      </c>
      <c r="J241" s="7">
        <v>0</v>
      </c>
      <c r="K241" s="89" t="str">
        <f t="shared" si="58"/>
        <v>4017/4018</v>
      </c>
      <c r="L241" s="214" t="str">
        <f>VLOOKUP(A241,'Trips&amp;Operators'!$C$1:$G$99911,5,FALSE)</f>
        <v>ELBAUM MIKE</v>
      </c>
      <c r="M241" s="6">
        <f t="shared" si="59"/>
        <v>4.9189814817509614E-3</v>
      </c>
      <c r="N241" s="7">
        <f t="shared" si="60"/>
        <v>7.0833333337213844</v>
      </c>
      <c r="O241" s="7"/>
      <c r="P241" s="7"/>
      <c r="Q241" s="22"/>
      <c r="R241" s="167"/>
      <c r="S241" s="210">
        <f t="shared" si="61"/>
        <v>1</v>
      </c>
      <c r="T241" s="192" t="str">
        <f t="shared" si="62"/>
        <v>Southbound</v>
      </c>
      <c r="U241" s="192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1</v>
      </c>
      <c r="V241" s="193" t="str">
        <f t="shared" si="63"/>
        <v>https://d0f6bd738d7f1b3e5a7ca70fe4ff75f0.us-east-1.aws.found.io/app/kibana#/discover/Steve-Slow-Train-Analysis-(2080s-and-2083s)?_g=(refreshInterval:(display:Off,pause:!f,section:0,value:0),time:(from:'2017-09-01T16:49:36-0600',mode:absolute,to:'2017-09-01T18:58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41" s="194" t="str">
        <f>IF(AA241&lt;VLOOKUP(AG241,Variables!$AC$3:$AD$8,2,FALSE),"Y","N")</f>
        <v>Y</v>
      </c>
      <c r="X241" s="194">
        <f t="shared" si="64"/>
        <v>9</v>
      </c>
      <c r="Y241" s="194">
        <f t="shared" si="65"/>
        <v>2.351</v>
      </c>
      <c r="Z241" s="194">
        <f t="shared" si="66"/>
        <v>0.2455</v>
      </c>
      <c r="AA241" s="194">
        <f t="shared" si="67"/>
        <v>2.1055000000000001</v>
      </c>
      <c r="AB241" s="54" t="e">
        <f>VLOOKUP(A241,Enforcements!$C$7:$K$11,8,0)</f>
        <v>#N/A</v>
      </c>
      <c r="AC241" s="51" t="e">
        <f>VLOOKUP(A241,Enforcements!$C$7:$E$11,3,0)</f>
        <v>#N/A</v>
      </c>
      <c r="AD241" s="203">
        <f t="shared" si="68"/>
        <v>80</v>
      </c>
      <c r="AE241" s="77" t="str">
        <f t="shared" si="69"/>
        <v>aws s3 cp s3://rtdc.mdm.uploadarchive.raw/RTDC4017/ "%USERPROFILE%\AppData\Local\Temp\OnboardLogs"\RTDC4017\2017-09-01 --exclude "*" --recursive --include "*20170901*" &amp; "%USERPROFILE%\Documents\GitHub\mrs-test-scripts\Headless Mode &amp; Sideloading\WalkAndUnGZ.bat" "%USERPROFILE%\AppData\Local\Temp\OnboardLogs"\RTDC4017\2017-09-01 &amp; aws s3 cp s3://rtdc.mdm.uploadarchive.raw/RTDC4017/ "%USERPROFILE%\AppData\Local\Temp\OnboardLogs"\RTDC4017\2017-09-02 --exclude "*" --recursive --include "*20170902*" &amp; "%USERPROFILE%\Documents\GitHub\mrs-test-scripts\Headless Mode &amp; Sideloading\WalkAndUnGZ.bat" "%USERPROFILE%\AppData\Local\Temp\OnboardLogs"\RTDC4017\2017-09-02</v>
      </c>
      <c r="AF241" s="74" t="str">
        <f t="shared" si="70"/>
        <v>"C:\Program Files (x86)\AstroGrep\AstroGrep.exe" /e /r /s /spath="%USERPROFILE%\AppData\Local\Temp\OnboardLogs" /stypes="app*4017*20170901*" /stext=" 23:.+((SYSTEM_STATE.+slice.+state.+changed )|(ment ac)|(multiple cpu faults)|(system.+state.+changed )|(\[timeout)|(PRM\|1\|D)|(kpr)|(kdp)|(train st.+moving)|(\|lc)|(penalty))"</v>
      </c>
      <c r="AG241" s="206" t="str">
        <f t="shared" si="71"/>
        <v>Shuttle/Test</v>
      </c>
      <c r="AH241" s="78" t="str">
        <f t="shared" si="72"/>
        <v>"%USERPROFILE%\Documents\GitHub\eaglep3\Utilities\RefineRTDCRunTimes.py" --tripid 80-01 --locoid 4017 --swversion DE.1.0.9.0 --startMP 300:23510 --initTime 2017-09-01T17:49:36 --startdatetime 2017-09-01T17:51:53 --delay 57 --endMP 204:2455 --enddatetime 2017-09-01T17:58:58 --enforcementcount 0 &gt;&gt;C:\Users\stu\Documents\GitHub\eaglep3-reporting\EC\2017-09-01-refined-times.txt</v>
      </c>
      <c r="AI241" s="96" t="str">
        <f t="shared" si="73"/>
        <v>echo {"issue":{"subject":"","project_id":79,"tracker_id":40,"status_id":1,"priority_id":2,"assigned_to_id":338,"start_date":"2017-09-01","description":"","custom_fields":[{"id":1,"name":"Subdivision","value":"Shuttle/Test"},{"id":4,"name":"Milepost","value":"0.2455"},{"id":17,"name":"Train ID","value":"80-01"},{"id":16,"name":"Locomotive ID","value":"4017"},{"id":130,"name":"Impact","value":""},{"id":150,"name":"Time of Event (Mountain Time)","value":"17:58:58"},{"id":151,"name":"Denver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2" t="str">
        <f t="shared" si="74"/>
        <v>start /low /b %USERPROFILE%\Documents\GitHub\eaglep3\Utilities\DownloadLogsFromS3.py --loco 4017 --day 2017-09-01</v>
      </c>
      <c r="AN241" s="151" t="str">
        <f t="shared" si="75"/>
        <v>echo {"issue":{"subject":"","project_id":30,"tracker_id":4,"status_id":1,"priority_id":1,"assigned_to_id":10,"start_date":"2017-09-01","description":"","custom_fields":[{"id":30,"name":"Category","value":"Issue"},{"id":3,"name":"Functional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UTC","value":"2017-09-01 23:58:58"},{"id":29,"name":"Sharepoint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/>
    </row>
    <row r="242" spans="1:4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M242"/>
      <c r="AO242"/>
    </row>
    <row r="243" spans="1:4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4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M244"/>
      <c r="AO244"/>
    </row>
    <row r="245" spans="1:4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4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4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4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4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4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4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4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4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4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4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4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</sheetData>
  <autoFilter ref="A12:AG254">
    <sortState ref="A13:AG254">
      <sortCondition ref="AG13:AG241"/>
      <sortCondition ref="AD13:AD241"/>
    </sortState>
  </autoFilter>
  <sortState ref="A13:AN208">
    <sortCondition ref="AG13:AG208"/>
    <sortCondition ref="AD13:AD208"/>
  </sortState>
  <mergeCells count="1">
    <mergeCell ref="A11:P11"/>
  </mergeCells>
  <conditionalFormatting sqref="W11:W12 W260:X1048576 W13:X241">
    <cfRule type="cellIs" dxfId="10" priority="415" operator="equal">
      <formula>"Y"</formula>
    </cfRule>
  </conditionalFormatting>
  <conditionalFormatting sqref="X260:X1048576 X13:X241">
    <cfRule type="cellIs" dxfId="9" priority="398" operator="greaterThan">
      <formula>1</formula>
    </cfRule>
  </conditionalFormatting>
  <conditionalFormatting sqref="X260:X1048576 X12:X241">
    <cfRule type="cellIs" dxfId="8" priority="395" operator="equal">
      <formula>0</formula>
    </cfRule>
  </conditionalFormatting>
  <conditionalFormatting sqref="A13:S241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A13:S241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AK13:AK241</xm:sqref>
        </x14:dataValidation>
        <x14:dataValidation type="list" allowBlank="1" showInputMessage="1" showErrorMessage="1">
          <x14:formula1>
            <xm:f>'Redmine List Values'!$C$2:$C$15</xm:f>
          </x14:formula1>
          <xm:sqref>AL13:AL241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1"/>
  <sheetViews>
    <sheetView tabSelected="1" topLeftCell="A6" workbookViewId="0">
      <selection activeCell="K26" sqref="K26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9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9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197">
        <f>COUNTIF($O$7:$O$258,"=Y")</f>
        <v>5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198">
        <f>COUNTA($O$7:$O$258)-O2</f>
        <v>29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69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8" t="str">
        <f>"Eagle P3 Braking Events - "&amp;TEXT(Variables!$A$2,"YYYY-mm-dd")</f>
        <v>Eagle P3 Braking Events - 2017-09-01</v>
      </c>
      <c r="B5" s="218"/>
      <c r="C5" s="218"/>
      <c r="D5" s="218"/>
      <c r="E5" s="218"/>
      <c r="F5" s="218"/>
      <c r="G5" s="218"/>
      <c r="H5" s="218"/>
      <c r="I5" s="218"/>
      <c r="J5" s="218"/>
      <c r="K5" s="218"/>
      <c r="L5" s="218"/>
      <c r="M5" s="218"/>
      <c r="N5" s="218"/>
      <c r="O5" s="218"/>
      <c r="P5" s="128"/>
      <c r="R5" s="80"/>
      <c r="S5" s="83"/>
      <c r="T5" s="85"/>
      <c r="V5" s="44"/>
      <c r="X5" s="204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199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363</v>
      </c>
      <c r="X6" s="205" t="s">
        <v>356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192</v>
      </c>
    </row>
    <row r="7" spans="1:32" s="1" customFormat="1" x14ac:dyDescent="0.25">
      <c r="A7" s="31">
        <v>42979.390648148146</v>
      </c>
      <c r="B7" s="30" t="s">
        <v>511</v>
      </c>
      <c r="C7" s="30" t="s">
        <v>594</v>
      </c>
      <c r="D7" s="30" t="s">
        <v>49</v>
      </c>
      <c r="E7" s="30" t="s">
        <v>187</v>
      </c>
      <c r="F7" s="42">
        <v>270</v>
      </c>
      <c r="G7" s="42">
        <v>321</v>
      </c>
      <c r="H7" s="42">
        <v>58349</v>
      </c>
      <c r="I7" s="42">
        <v>57512</v>
      </c>
      <c r="J7" s="30" t="s">
        <v>188</v>
      </c>
      <c r="K7" s="42">
        <v>58301</v>
      </c>
      <c r="L7" s="131" t="s">
        <v>51</v>
      </c>
      <c r="M7" s="132">
        <f t="shared" ref="M7:M40" si="0">CONVERT((I7-K7)/10000,"mi","ft")*IF(L7="Increasing Mileposts (1)",-1,1)</f>
        <v>-416.59199999999998</v>
      </c>
      <c r="N7" s="133" t="str">
        <f>VLOOKUP(C7,'Trips&amp;Operators'!$C$1:$G$99911,5,FALSE)</f>
        <v>WEST BRYAN</v>
      </c>
      <c r="O7" s="200" t="s">
        <v>180</v>
      </c>
      <c r="P7" s="134" t="s">
        <v>381</v>
      </c>
      <c r="Q7" s="30"/>
      <c r="R7" s="81" t="str">
        <f>VLOOKUP(C7,'Train Runs'!$A$13:$AE$9913,31,0)</f>
        <v>aws s3 cp s3://rtdc.mdm.uploadarchive.raw/RTDC4011/ "%USERPROFILE%\AppData\Local\Temp\OnboardLogs"\RTDC4011\2017-09-01 --exclude "*" --recursive --include "*20170901*" &amp; "%USERPROFILE%\Documents\GitHub\mrs-test-scripts\Headless Mode &amp; Sideloading\WalkAndUnGZ.bat" "%USERPROFILE%\AppData\Local\Temp\OnboardLogs"\RTDC4011\2017-09-01 &amp; aws s3 cp s3://rtdc.mdm.uploadarchive.raw/RTDC4011/ "%USERPROFILE%\AppData\Local\Temp\OnboardLogs"\RTDC4011\2017-09-02 --exclude "*" --recursive --include "*20170902*" &amp; "%USERPROFILE%\Documents\GitHub\mrs-test-scripts\Headless Mode &amp; Sideloading\WalkAndUnGZ.bat" "%USERPROFILE%\AppData\Local\Temp\OnboardLogs"\RTDC4011\2017-09-02</v>
      </c>
      <c r="S7" s="84" t="str">
        <f>VLOOKUP(C7,'Train Runs'!$A$13:$AE$9913,22,0)</f>
        <v>https://d0f6bd738d7f1b3e5a7ca70fe4ff75f0.us-east-1.aws.found.io/app/kibana#/discover/Steve-Slow-Train-Analysis-(2080s-and-2083s)?_g=(refreshInterval:(display:Off,pause:!f,section:0,value:0),time:(from:'2017-09-01T07:38:14-0600',mode:absolute,to:'2017-09-01T10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7" s="86" t="str">
        <f t="shared" ref="T7:T40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/stypes="*4011*201709011*" /stext=" 15:.+((SYSTEM_STATE.+slice.+state.+changed )|(ment ac)|(multiple cpu faults)|(system.+state.+changed )|(\[timeout)|(PRM\|1\|D)|(kpr)|(kdp)|(train st.+moving)|(\|lc)|(penalty))"</v>
      </c>
      <c r="U7" s="9" t="str">
        <f t="shared" ref="U7:U40" si="2">MID(B7,13,4)</f>
        <v>4011</v>
      </c>
      <c r="V7" s="31">
        <f t="shared" ref="V7:V40" si="3">A7-utc_offset/24</f>
        <v>42979.640648148146</v>
      </c>
      <c r="W7" s="45" t="str">
        <f t="shared" ref="W7:W40" si="4">DetSubdiv(C7)</f>
        <v>EC</v>
      </c>
      <c r="X7" s="22">
        <f t="shared" ref="X7:X40" si="5">VALUE(LEFT(C7,LEN(C7)-3))</f>
        <v>136</v>
      </c>
      <c r="Y7" s="96" t="str">
        <f t="shared" ref="Y7:Y40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Arrival","project_id":79,"tracker_id":40,"status_id":1,"priority_id":2,"assigned_to_id":338,"start_date":"2017-09-01","description":"","custom_fields":[{"id":1,"name":"Subdivision","value":"EC"},{"id":4,"name":"Milepost","value":"5.8301"},{"id":17,"name":"Train ID","value":"136-01"},{"id":16,"name":"Locomotive ID","value":"4011"},{"id":130,"name":"Impact","value":""},{"id":150,"name":"Time of Event (Mountain Time)","value":"09:22:32"},{"id":151,"name":"Denver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40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/c/Users/stu/AppData/Local/Temp/OnboardLogs/RTDC4011 --include="*4011*201709011*"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"%USERPROFILE%\AppData\Local\Temp\OnboardLogs"\RTDC4011\*4011*201709011* &gt;&gt; 2017-09-01-SliceDisagreementCheck.txt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4011 --day 2017-09-01</v>
      </c>
    </row>
    <row r="8" spans="1:32" s="1" customFormat="1" x14ac:dyDescent="0.25">
      <c r="A8" s="31">
        <v>42979.369375000002</v>
      </c>
      <c r="B8" s="30" t="s">
        <v>592</v>
      </c>
      <c r="C8" s="30" t="s">
        <v>593</v>
      </c>
      <c r="D8" s="30" t="s">
        <v>49</v>
      </c>
      <c r="E8" s="30" t="s">
        <v>187</v>
      </c>
      <c r="F8" s="42">
        <v>320</v>
      </c>
      <c r="G8" s="42">
        <v>373</v>
      </c>
      <c r="H8" s="42">
        <v>58361</v>
      </c>
      <c r="I8" s="42">
        <v>57406</v>
      </c>
      <c r="J8" s="30" t="s">
        <v>188</v>
      </c>
      <c r="K8" s="42">
        <v>58301</v>
      </c>
      <c r="L8" s="131" t="s">
        <v>51</v>
      </c>
      <c r="M8" s="132">
        <f t="shared" si="0"/>
        <v>-472.56</v>
      </c>
      <c r="N8" s="133" t="str">
        <f>VLOOKUP(C8,'Trips&amp;Operators'!$C$1:$G$99911,5,FALSE)</f>
        <v>BARRON PERLA</v>
      </c>
      <c r="O8" s="200" t="s">
        <v>180</v>
      </c>
      <c r="P8" s="134" t="s">
        <v>381</v>
      </c>
      <c r="Q8" s="30"/>
      <c r="R8" s="81" t="str">
        <f>VLOOKUP(C8,'Train Runs'!$A$13:$AE$9913,31,0)</f>
        <v>aws s3 cp s3://rtdc.mdm.uploadarchive.raw/RTDC4057/ "%USERPROFILE%\AppData\Local\Temp\OnboardLogs"\RTDC4057\2017-09-01 --exclude "*" --recursive --include "*20170901*" &amp; "%USERPROFILE%\Documents\GitHub\mrs-test-scripts\Headless Mode &amp; Sideloading\WalkAndUnGZ.bat" "%USERPROFILE%\AppData\Local\Temp\OnboardLogs"\RTDC4057\2017-09-01 &amp; aws s3 cp s3://rtdc.mdm.uploadarchive.raw/RTDC4057/ "%USERPROFILE%\AppData\Local\Temp\OnboardLogs"\RTDC4057\2017-09-02 --exclude "*" --recursive --include "*20170902*" &amp; "%USERPROFILE%\Documents\GitHub\mrs-test-scripts\Headless Mode &amp; Sideloading\WalkAndUnGZ.bat" "%USERPROFILE%\AppData\Local\Temp\OnboardLogs"\RTDC4057\2017-09-02</v>
      </c>
      <c r="S8" s="84" t="str">
        <f>VLOOKUP(C8,'Train Runs'!$A$13:$AE$9913,22,0)</f>
        <v>https://d0f6bd738d7f1b3e5a7ca70fe4ff75f0.us-east-1.aws.found.io/app/kibana#/discover/Steve-Slow-Train-Analysis-(2080s-and-2083s)?_g=(refreshInterval:(display:Off,pause:!f,section:0,value:0),time:(from:'2017-09-01T07:08:48-0600',mode:absolute,to:'2017-09-01T10:06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8" s="86" t="str">
        <f t="shared" si="1"/>
        <v>"C:\Program Files (x86)\AstroGrep\AstroGrep.exe" /e /r /s /spath="%USERPROFILE%\AppData\Local\Temp\OnboardLogs" /stypes="*4057*201709011*" /stext=" 14:.+((SYSTEM_STATE.+slice.+state.+changed )|(ment ac)|(multiple cpu faults)|(system.+state.+changed )|(\[timeout)|(PRM\|1\|D)|(kpr)|(kdp)|(train st.+moving)|(\|lc)|(penalty))"</v>
      </c>
      <c r="U8" s="9" t="str">
        <f t="shared" si="2"/>
        <v>4057</v>
      </c>
      <c r="V8" s="31">
        <f t="shared" si="3"/>
        <v>42979.619375000002</v>
      </c>
      <c r="W8" s="45" t="str">
        <f t="shared" si="4"/>
        <v>EC</v>
      </c>
      <c r="X8" s="22">
        <f t="shared" si="5"/>
        <v>132</v>
      </c>
      <c r="Y8" s="96" t="str">
        <f t="shared" si="6"/>
        <v>echo {"issue":{"subject":"Early Arrival","project_id":79,"tracker_id":40,"status_id":1,"priority_id":2,"assigned_to_id":338,"start_date":"2017-09-01","description":"","custom_fields":[{"id":1,"name":"Subdivision","value":"EC"},{"id":4,"name":"Milepost","value":"5.8301"},{"id":17,"name":"Train ID","value":"132-01"},{"id":16,"name":"Locomotive ID","value":"4057"},{"id":130,"name":"Impact","value":""},{"id":150,"name":"Time of Event (Mountain Time)","value":"08:51:54"},{"id":151,"name":"Denver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/c/Users/stu/AppData/Local/Temp/OnboardLogs/RTDC4057 --include="*4057*201709011*"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"%USERPROFILE%\AppData\Local\Temp\OnboardLogs"\RTDC4057\*4057*201709011* &gt;&gt; 2017-09-01-SliceDisagreementCheck.txt</v>
      </c>
      <c r="AE8" s="145" t="str">
        <f t="shared" ref="AE8:AE40" si="9">"start /low /b "&amp;dls3logs&amp;" --loco "&amp;U8&amp;" --day "&amp;TEXT(V8,"YYYY-MM-DD")</f>
        <v>start /low /b %USERPROFILE%\Documents\GitHub\eaglep3\Utilities\DownloadLogsFromS3.py --loco 4057 --day 2017-09-01</v>
      </c>
    </row>
    <row r="9" spans="1:32" s="1" customFormat="1" x14ac:dyDescent="0.25">
      <c r="A9" s="31">
        <v>42979.830127314817</v>
      </c>
      <c r="B9" s="30" t="s">
        <v>511</v>
      </c>
      <c r="C9" s="30" t="s">
        <v>612</v>
      </c>
      <c r="D9" s="30" t="s">
        <v>49</v>
      </c>
      <c r="E9" s="30" t="s">
        <v>187</v>
      </c>
      <c r="F9" s="42">
        <v>200</v>
      </c>
      <c r="G9" s="42">
        <v>257</v>
      </c>
      <c r="H9" s="42">
        <v>63538</v>
      </c>
      <c r="I9" s="42">
        <v>63106</v>
      </c>
      <c r="J9" s="30" t="s">
        <v>188</v>
      </c>
      <c r="K9" s="42">
        <v>63309</v>
      </c>
      <c r="L9" s="131" t="s">
        <v>51</v>
      </c>
      <c r="M9" s="132">
        <f t="shared" si="0"/>
        <v>-107.184</v>
      </c>
      <c r="N9" s="133" t="str">
        <f>VLOOKUP(C9,'Trips&amp;Operators'!$C$1:$G$99911,5,FALSE)</f>
        <v>NICHOLSON WESLEY</v>
      </c>
      <c r="O9" s="200" t="s">
        <v>180</v>
      </c>
      <c r="P9" s="134" t="s">
        <v>381</v>
      </c>
      <c r="Q9" s="30"/>
      <c r="R9" s="81" t="str">
        <f>VLOOKUP(C9,'Train Runs'!$A$13:$AE$9913,31,0)</f>
        <v>aws s3 cp s3://rtdc.mdm.uploadarchive.raw/RTDC4011/ "%USERPROFILE%\AppData\Local\Temp\OnboardLogs"\RTDC4011\2017-09-01 --exclude "*" --recursive --include "*20170901*" &amp; "%USERPROFILE%\Documents\GitHub\mrs-test-scripts\Headless Mode &amp; Sideloading\WalkAndUnGZ.bat" "%USERPROFILE%\AppData\Local\Temp\OnboardLogs"\RTDC4011\2017-09-01 &amp; aws s3 cp s3://rtdc.mdm.uploadarchive.raw/RTDC4011/ "%USERPROFILE%\AppData\Local\Temp\OnboardLogs"\RTDC4011\2017-09-02 --exclude "*" --recursive --include "*20170902*" &amp; "%USERPROFILE%\Documents\GitHub\mrs-test-scripts\Headless Mode &amp; Sideloading\WalkAndUnGZ.bat" "%USERPROFILE%\AppData\Local\Temp\OnboardLogs"\RTDC4011\2017-09-02</v>
      </c>
      <c r="S9" s="84" t="str">
        <f>VLOOKUP(C9,'Train Runs'!$A$13:$AE$9913,22,0)</f>
        <v>https://d0f6bd738d7f1b3e5a7ca70fe4ff75f0.us-east-1.aws.found.io/app/kibana#/discover/Steve-Slow-Train-Analysis-(2080s-and-2083s)?_g=(refreshInterval:(display:Off,pause:!f,section:0,value:0),time:(from:'2017-09-01T18:10:43-0600',mode:absolute,to:'2017-09-01T21:11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9" s="86" t="str">
        <f t="shared" si="1"/>
        <v>"C:\Program Files (x86)\AstroGrep\AstroGrep.exe" /e /r /s /spath="%USERPROFILE%\AppData\Local\Temp\OnboardLogs" /stypes="*4011*201709020*" /stext=" 01:.+((SYSTEM_STATE.+slice.+state.+changed )|(ment ac)|(multiple cpu faults)|(system.+state.+changed )|(\[timeout)|(PRM\|1\|D)|(kpr)|(kdp)|(train st.+moving)|(\|lc)|(penalty))"</v>
      </c>
      <c r="U9" s="9" t="str">
        <f t="shared" si="2"/>
        <v>4011</v>
      </c>
      <c r="V9" s="31">
        <f t="shared" si="3"/>
        <v>42980.080127314817</v>
      </c>
      <c r="W9" s="45" t="str">
        <f t="shared" si="4"/>
        <v>EC</v>
      </c>
      <c r="X9" s="22">
        <f t="shared" si="5"/>
        <v>220</v>
      </c>
      <c r="Y9" s="96" t="str">
        <f t="shared" si="6"/>
        <v>echo {"issue":{"subject":"Early Arrival","project_id":79,"tracker_id":40,"status_id":1,"priority_id":2,"assigned_to_id":338,"start_date":"2017-09-01","description":"","custom_fields":[{"id":1,"name":"Subdivision","value":"EC"},{"id":4,"name":"Milepost","value":"6.3309"},{"id":17,"name":"Train ID","value":"220-01"},{"id":16,"name":"Locomotive ID","value":"4011"},{"id":130,"name":"Impact","value":""},{"id":150,"name":"Time of Event (Mountain Time)","value":"19:55:23"},{"id":151,"name":"Denver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/c/Users/stu/AppData/Local/Temp/OnboardLogs/RTDC4011 --include="*4011*201709020*"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"%USERPROFILE%\AppData\Local\Temp\OnboardLogs"\RTDC4011\*4011*201709020* &gt;&gt; 2017-09-01-SliceDisagreementCheck.txt</v>
      </c>
      <c r="AE9" s="145" t="str">
        <f t="shared" si="9"/>
        <v>start /low /b %USERPROFILE%\Documents\GitHub\eaglep3\Utilities\DownloadLogsFromS3.py --loco 4011 --day 2017-09-02</v>
      </c>
    </row>
    <row r="10" spans="1:32" s="1" customFormat="1" x14ac:dyDescent="0.25">
      <c r="A10" s="31">
        <v>42979.387488425928</v>
      </c>
      <c r="B10" s="30" t="s">
        <v>511</v>
      </c>
      <c r="C10" s="30" t="s">
        <v>594</v>
      </c>
      <c r="D10" s="30" t="s">
        <v>49</v>
      </c>
      <c r="E10" s="30" t="s">
        <v>187</v>
      </c>
      <c r="F10" s="42">
        <v>650</v>
      </c>
      <c r="G10" s="42">
        <v>700</v>
      </c>
      <c r="H10" s="42">
        <v>79973</v>
      </c>
      <c r="I10" s="42">
        <v>76769</v>
      </c>
      <c r="J10" s="30" t="s">
        <v>188</v>
      </c>
      <c r="K10" s="42">
        <v>78469</v>
      </c>
      <c r="L10" s="131" t="s">
        <v>51</v>
      </c>
      <c r="M10" s="132">
        <f t="shared" si="0"/>
        <v>-897.6</v>
      </c>
      <c r="N10" s="133" t="str">
        <f>VLOOKUP(C10,'Trips&amp;Operators'!$C$1:$G$99911,5,FALSE)</f>
        <v>WEST BRYAN</v>
      </c>
      <c r="O10" s="200" t="s">
        <v>180</v>
      </c>
      <c r="P10" s="134" t="s">
        <v>381</v>
      </c>
      <c r="Q10" s="30"/>
      <c r="R10" s="81" t="str">
        <f>VLOOKUP(C10,'Train Runs'!$A$13:$AE$9913,31,0)</f>
        <v>aws s3 cp s3://rtdc.mdm.uploadarchive.raw/RTDC4011/ "%USERPROFILE%\AppData\Local\Temp\OnboardLogs"\RTDC4011\2017-09-01 --exclude "*" --recursive --include "*20170901*" &amp; "%USERPROFILE%\Documents\GitHub\mrs-test-scripts\Headless Mode &amp; Sideloading\WalkAndUnGZ.bat" "%USERPROFILE%\AppData\Local\Temp\OnboardLogs"\RTDC4011\2017-09-01 &amp; aws s3 cp s3://rtdc.mdm.uploadarchive.raw/RTDC4011/ "%USERPROFILE%\AppData\Local\Temp\OnboardLogs"\RTDC4011\2017-09-02 --exclude "*" --recursive --include "*20170902*" &amp; "%USERPROFILE%\Documents\GitHub\mrs-test-scripts\Headless Mode &amp; Sideloading\WalkAndUnGZ.bat" "%USERPROFILE%\AppData\Local\Temp\OnboardLogs"\RTDC4011\2017-09-02</v>
      </c>
      <c r="S10" s="84" t="str">
        <f>VLOOKUP(C10,'Train Runs'!$A$13:$AE$9913,22,0)</f>
        <v>https://d0f6bd738d7f1b3e5a7ca70fe4ff75f0.us-east-1.aws.found.io/app/kibana#/discover/Steve-Slow-Train-Analysis-(2080s-and-2083s)?_g=(refreshInterval:(display:Off,pause:!f,section:0,value:0),time:(from:'2017-09-01T07:38:14-0600',mode:absolute,to:'2017-09-01T10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0" s="86" t="str">
        <f t="shared" si="1"/>
        <v>"C:\Program Files (x86)\AstroGrep\AstroGrep.exe" /e /r /s /spath="%USERPROFILE%\AppData\Local\Temp\OnboardLogs" /stypes="*4011*201709011*" /stext=" 15:.+((SYSTEM_STATE.+slice.+state.+changed )|(ment ac)|(multiple cpu faults)|(system.+state.+changed )|(\[timeout)|(PRM\|1\|D)|(kpr)|(kdp)|(train st.+moving)|(\|lc)|(penalty))"</v>
      </c>
      <c r="U10" s="9" t="str">
        <f t="shared" si="2"/>
        <v>4011</v>
      </c>
      <c r="V10" s="31">
        <f t="shared" si="3"/>
        <v>42979.637488425928</v>
      </c>
      <c r="W10" s="45" t="str">
        <f t="shared" si="4"/>
        <v>EC</v>
      </c>
      <c r="X10" s="22">
        <f t="shared" si="5"/>
        <v>136</v>
      </c>
      <c r="Y10" s="96" t="str">
        <f t="shared" si="6"/>
        <v>echo {"issue":{"subject":"Early Arrival","project_id":79,"tracker_id":40,"status_id":1,"priority_id":2,"assigned_to_id":338,"start_date":"2017-09-01","description":"","custom_fields":[{"id":1,"name":"Subdivision","value":"EC"},{"id":4,"name":"Milepost","value":"7.8469"},{"id":17,"name":"Train ID","value":"136-01"},{"id":16,"name":"Locomotive ID","value":"4011"},{"id":130,"name":"Impact","value":""},{"id":150,"name":"Time of Event (Mountain Time)","value":"09:17:59"},{"id":151,"name":"Denver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/c/Users/stu/AppData/Local/Temp/OnboardLogs/RTDC4011 --include="*4011*201709011*"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"%USERPROFILE%\AppData\Local\Temp\OnboardLogs"\RTDC4011\*4011*201709011* &gt;&gt; 2017-09-01-SliceDisagreementCheck.txt</v>
      </c>
      <c r="AE10" s="145" t="str">
        <f t="shared" si="9"/>
        <v>start /low /b %USERPROFILE%\Documents\GitHub\eaglep3\Utilities\DownloadLogsFromS3.py --loco 4011 --day 2017-09-01</v>
      </c>
    </row>
    <row r="11" spans="1:32" s="1" customFormat="1" x14ac:dyDescent="0.25">
      <c r="A11" s="31">
        <v>42980.009236111109</v>
      </c>
      <c r="B11" s="30" t="s">
        <v>613</v>
      </c>
      <c r="C11" s="30" t="s">
        <v>616</v>
      </c>
      <c r="D11" s="30" t="s">
        <v>96</v>
      </c>
      <c r="E11" s="30" t="s">
        <v>195</v>
      </c>
      <c r="F11" s="42">
        <v>400</v>
      </c>
      <c r="G11" s="42">
        <v>450</v>
      </c>
      <c r="H11" s="42">
        <v>116993</v>
      </c>
      <c r="I11" s="42">
        <v>115294</v>
      </c>
      <c r="J11" s="30" t="s">
        <v>196</v>
      </c>
      <c r="K11" s="42">
        <v>119716</v>
      </c>
      <c r="L11" s="131" t="s">
        <v>51</v>
      </c>
      <c r="M11" s="132">
        <f t="shared" si="0"/>
        <v>-2334.8159999999998</v>
      </c>
      <c r="N11" s="133" t="str">
        <f>VLOOKUP(C11,'Trips&amp;Operators'!$C$1:$G$99911,5,FALSE)</f>
        <v>ELBAUM MIKE</v>
      </c>
      <c r="O11" s="200" t="s">
        <v>180</v>
      </c>
      <c r="P11" s="134"/>
      <c r="Q11" s="30"/>
      <c r="R11" s="81" t="str">
        <f>VLOOKUP(C11,'Train Runs'!$A$13:$AE$9913,31,0)</f>
        <v>aws s3 cp s3://rtdc.mdm.uploadarchive.raw/RTDC4039/ "%USERPROFILE%\AppData\Local\Temp\OnboardLogs"\RTDC4039\2017-09-01 --exclude "*" --recursive --include "*20170901*" &amp; "%USERPROFILE%\Documents\GitHub\mrs-test-scripts\Headless Mode &amp; Sideloading\WalkAndUnGZ.bat" "%USERPROFILE%\AppData\Local\Temp\OnboardLogs"\RTDC4039\2017-09-01 &amp; aws s3 cp s3://rtdc.mdm.uploadarchive.raw/RTDC4039/ "%USERPROFILE%\AppData\Local\Temp\OnboardLogs"\RTDC4039\2017-09-02 --exclude "*" --recursive --include "*20170902*" &amp; "%USERPROFILE%\Documents\GitHub\mrs-test-scripts\Headless Mode &amp; Sideloading\WalkAndUnGZ.bat" "%USERPROFILE%\AppData\Local\Temp\OnboardLogs"\RTDC4039\2017-09-02</v>
      </c>
      <c r="S11" s="84" t="str">
        <f>VLOOKUP(C11,'Train Runs'!$A$13:$AE$9913,22,0)</f>
        <v>https://d0f6bd738d7f1b3e5a7ca70fe4ff75f0.us-east-1.aws.found.io/app/kibana#/discover/Steve-Slow-Train-Analysis-(2080s-and-2083s)?_g=(refreshInterval:(display:Off,pause:!f,section:0,value:0),time:(from:'2017-09-01T22:43:40-0600',mode:absolute,to:'2017-09-02T01:38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1" s="86" t="str">
        <f t="shared" si="1"/>
        <v>"C:\Program Files (x86)\AstroGrep\AstroGrep.exe" /e /r /s /spath="%USERPROFILE%\AppData\Local\Temp\OnboardLogs" /stypes="*4039*201709020*" /stext=" 06:.+((SYSTEM_STATE.+slice.+state.+changed )|(ment ac)|(multiple cpu faults)|(system.+state.+changed )|(\[timeout)|(PRM\|1\|D)|(kpr)|(kdp)|(train st.+moving)|(\|lc)|(penalty))"</v>
      </c>
      <c r="U11" s="9" t="str">
        <f t="shared" si="2"/>
        <v>4039</v>
      </c>
      <c r="V11" s="31">
        <f t="shared" si="3"/>
        <v>42980.259236111109</v>
      </c>
      <c r="W11" s="45" t="str">
        <f t="shared" si="4"/>
        <v>EC</v>
      </c>
      <c r="X11" s="22">
        <f t="shared" si="5"/>
        <v>238</v>
      </c>
      <c r="Y11" s="96" t="str">
        <f t="shared" si="6"/>
        <v>echo {"issue":{"subject":"","project_id":79,"tracker_id":40,"status_id":1,"priority_id":2,"assigned_to_id":338,"start_date":"2017-09-02","description":"","custom_fields":[{"id":1,"name":"Subdivision","value":"EC"},{"id":4,"name":"Milepost","value":"11.9716"},{"id":17,"name":"Train ID","value":"238-01"},{"id":16,"name":"Locomotive ID","value":"4039"},{"id":130,"name":"Impact","value":""},{"id":150,"name":"Time of Event (Mountain Time)","value":"00:13:18"},{"id":151,"name":"Denver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/c/Users/stu/AppData/Local/Temp/OnboardLogs/RTDC4039 --include="*4039*201709020*"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"%USERPROFILE%\AppData\Local\Temp\OnboardLogs"\RTDC4039\*4039*201709020* &gt;&gt; 2017-09-01-SliceDisagreementCheck.txt</v>
      </c>
      <c r="AE11" s="145" t="str">
        <f t="shared" si="9"/>
        <v>start /low /b %USERPROFILE%\Documents\GitHub\eaglep3\Utilities\DownloadLogsFromS3.py --loco 4039 --day 2017-09-02</v>
      </c>
    </row>
    <row r="12" spans="1:32" x14ac:dyDescent="0.25">
      <c r="A12" s="31">
        <v>42979.388368055559</v>
      </c>
      <c r="B12" s="30" t="s">
        <v>513</v>
      </c>
      <c r="C12" s="30" t="s">
        <v>595</v>
      </c>
      <c r="D12" s="30" t="s">
        <v>49</v>
      </c>
      <c r="E12" s="30" t="s">
        <v>195</v>
      </c>
      <c r="F12" s="42">
        <v>350</v>
      </c>
      <c r="G12" s="42">
        <v>416</v>
      </c>
      <c r="H12" s="42">
        <v>223730</v>
      </c>
      <c r="I12" s="42">
        <v>224789</v>
      </c>
      <c r="J12" s="30" t="s">
        <v>196</v>
      </c>
      <c r="K12" s="42">
        <v>224578</v>
      </c>
      <c r="L12" s="131" t="s">
        <v>50</v>
      </c>
      <c r="M12" s="132">
        <f t="shared" si="0"/>
        <v>-111.408</v>
      </c>
      <c r="N12" s="133" t="str">
        <f>VLOOKUP(C12,'Trips&amp;Operators'!$C$1:$G$99911,5,FALSE)</f>
        <v>MACDONALD THOMAS</v>
      </c>
      <c r="O12" s="200" t="s">
        <v>180</v>
      </c>
      <c r="P12" s="134"/>
      <c r="Q12" s="30"/>
      <c r="R12" s="81" t="str">
        <f>VLOOKUP(C12,'Train Runs'!$A$13:$AE$9913,31,0)</f>
        <v>aws s3 cp s3://rtdc.mdm.uploadarchive.raw/RTDC4024/ "%USERPROFILE%\AppData\Local\Temp\OnboardLogs"\RTDC4024\2017-09-01 --exclude "*" --recursive --include "*20170901*" &amp; "%USERPROFILE%\Documents\GitHub\mrs-test-scripts\Headless Mode &amp; Sideloading\WalkAndUnGZ.bat" "%USERPROFILE%\AppData\Local\Temp\OnboardLogs"\RTDC4024\2017-09-01 &amp; aws s3 cp s3://rtdc.mdm.uploadarchive.raw/RTDC4024/ "%USERPROFILE%\AppData\Local\Temp\OnboardLogs"\RTDC4024\2017-09-02 --exclude "*" --recursive --include "*20170902*" &amp; "%USERPROFILE%\Documents\GitHub\mrs-test-scripts\Headless Mode &amp; Sideloading\WalkAndUnGZ.bat" "%USERPROFILE%\AppData\Local\Temp\OnboardLogs"\RTDC4024\2017-09-02</v>
      </c>
      <c r="S12" s="84" t="str">
        <f>VLOOKUP(C12,'Train Runs'!$A$13:$AE$9913,22,0)</f>
        <v>https://d0f6bd738d7f1b3e5a7ca70fe4ff75f0.us-east-1.aws.found.io/app/kibana#/discover/Steve-Slow-Train-Analysis-(2080s-and-2083s)?_g=(refreshInterval:(display:Off,pause:!f,section:0,value:0),time:(from:'2017-09-01T07:40:32-0600',mode:absolute,to:'2017-09-01T10:22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12" s="86" t="str">
        <f t="shared" si="1"/>
        <v>"C:\Program Files (x86)\AstroGrep\AstroGrep.exe" /e /r /s /spath="%USERPROFILE%\AppData\Local\Temp\OnboardLogs" /stypes="*4024*201709011*" /stext=" 15:.+((SYSTEM_STATE.+slice.+state.+changed )|(ment ac)|(multiple cpu faults)|(system.+state.+changed )|(\[timeout)|(PRM\|1\|D)|(kpr)|(kdp)|(train st.+moving)|(\|lc)|(penalty))"</v>
      </c>
      <c r="U12" s="9" t="str">
        <f t="shared" si="2"/>
        <v>4024</v>
      </c>
      <c r="V12" s="31">
        <f t="shared" si="3"/>
        <v>42979.638368055559</v>
      </c>
      <c r="W12" s="45" t="str">
        <f t="shared" si="4"/>
        <v>EC</v>
      </c>
      <c r="X12" s="22">
        <f t="shared" si="5"/>
        <v>141</v>
      </c>
      <c r="Y12" s="96" t="str">
        <f t="shared" si="6"/>
        <v>echo {"issue":{"subject":"","project_id":79,"tracker_id":40,"status_id":1,"priority_id":2,"assigned_to_id":338,"start_date":"2017-09-01","description":"","custom_fields":[{"id":1,"name":"Subdivision","value":"EC"},{"id":4,"name":"Milepost","value":"22.4578"},{"id":17,"name":"Train ID","value":"141-01"},{"id":16,"name":"Locomotive ID","value":"4024"},{"id":130,"name":"Impact","value":""},{"id":150,"name":"Time of Event (Mountain Time)","value":"09:19:15"},{"id":151,"name":"Denver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/c/Users/stu/AppData/Local/Temp/OnboardLogs/RTDC4024 --include="*4024*201709011*"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"%USERPROFILE%\AppData\Local\Temp\OnboardLogs"\RTDC4024\*4024*201709011* &gt;&gt; 2017-09-01-SliceDisagreementCheck.txt</v>
      </c>
      <c r="AE12" s="145" t="str">
        <f t="shared" si="9"/>
        <v>start /low /b %USERPROFILE%\Documents\GitHub\eaglep3\Utilities\DownloadLogsFromS3.py --loco 4024 --day 2017-09-01</v>
      </c>
      <c r="AF12" s="1"/>
    </row>
    <row r="13" spans="1:32" x14ac:dyDescent="0.25">
      <c r="A13" s="31">
        <v>42979.260625000003</v>
      </c>
      <c r="B13" s="30" t="s">
        <v>514</v>
      </c>
      <c r="C13" s="30" t="s">
        <v>586</v>
      </c>
      <c r="D13" s="30" t="s">
        <v>96</v>
      </c>
      <c r="E13" s="30" t="s">
        <v>195</v>
      </c>
      <c r="F13" s="42">
        <v>350</v>
      </c>
      <c r="G13" s="42">
        <v>400</v>
      </c>
      <c r="H13" s="42">
        <v>225899</v>
      </c>
      <c r="I13" s="42">
        <v>224823</v>
      </c>
      <c r="J13" s="30" t="s">
        <v>196</v>
      </c>
      <c r="K13" s="42">
        <v>228668</v>
      </c>
      <c r="L13" s="131" t="s">
        <v>51</v>
      </c>
      <c r="M13" s="132">
        <f t="shared" si="0"/>
        <v>-2030.16</v>
      </c>
      <c r="N13" s="133" t="str">
        <f>VLOOKUP(C13,'Trips&amp;Operators'!$C$1:$G$99911,5,FALSE)</f>
        <v>MACDONALD THOMAS</v>
      </c>
      <c r="O13" s="200" t="s">
        <v>180</v>
      </c>
      <c r="P13" s="134"/>
      <c r="Q13" s="30"/>
      <c r="R13" s="81" t="str">
        <f>VLOOKUP(C13,'Train Runs'!$A$13:$AE$9913,31,0)</f>
        <v>aws s3 cp s3://rtdc.mdm.uploadarchive.raw/RTDC4023/ "%USERPROFILE%\AppData\Local\Temp\OnboardLogs"\RTDC4023\2017-09-01 --exclude "*" --recursive --include "*20170901*" &amp; "%USERPROFILE%\Documents\GitHub\mrs-test-scripts\Headless Mode &amp; Sideloading\WalkAndUnGZ.bat" "%USERPROFILE%\AppData\Local\Temp\OnboardLogs"\RTDC4023\2017-09-01 &amp; aws s3 cp s3://rtdc.mdm.uploadarchive.raw/RTDC4023/ "%USERPROFILE%\AppData\Local\Temp\OnboardLogs"\RTDC4023\2017-09-02 --exclude "*" --recursive --include "*20170902*" &amp; "%USERPROFILE%\Documents\GitHub\mrs-test-scripts\Headless Mode &amp; Sideloading\WalkAndUnGZ.bat" "%USERPROFILE%\AppData\Local\Temp\OnboardLogs"\RTDC4023\2017-09-02</v>
      </c>
      <c r="S13" s="84" t="str">
        <f>VLOOKUP(C13,'Train Runs'!$A$13:$AE$9913,22,0)</f>
        <v>https://d0f6bd738d7f1b3e5a7ca70fe4ff75f0.us-east-1.aws.found.io/app/kibana#/discover/Steve-Slow-Train-Analysis-(2080s-and-2083s)?_g=(refreshInterval:(display:Off,pause:!f,section:0,value:0),time:(from:'2017-09-01T05:09:39-0600',mode:absolute,to:'2017-09-01T07:52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13" s="86" t="str">
        <f t="shared" si="1"/>
        <v>"C:\Program Files (x86)\AstroGrep\AstroGrep.exe" /e /r /s /spath="%USERPROFILE%\AppData\Local\Temp\OnboardLogs" /stypes="*4023*201709011*" /stext=" 12:.+((SYSTEM_STATE.+slice.+state.+changed )|(ment ac)|(multiple cpu faults)|(system.+state.+changed )|(\[timeout)|(PRM\|1\|D)|(kpr)|(kdp)|(train st.+moving)|(\|lc)|(penalty))"</v>
      </c>
      <c r="U13" s="9" t="str">
        <f t="shared" si="2"/>
        <v>4023</v>
      </c>
      <c r="V13" s="31">
        <f t="shared" si="3"/>
        <v>42979.510625000003</v>
      </c>
      <c r="W13" s="45" t="str">
        <f t="shared" si="4"/>
        <v>EC</v>
      </c>
      <c r="X13" s="22">
        <f t="shared" si="5"/>
        <v>114</v>
      </c>
      <c r="Y13" s="96" t="str">
        <f t="shared" si="6"/>
        <v>echo {"issue":{"subject":"","project_id":79,"tracker_id":40,"status_id":1,"priority_id":2,"assigned_to_id":338,"start_date":"2017-09-01","description":"","custom_fields":[{"id":1,"name":"Subdivision","value":"EC"},{"id":4,"name":"Milepost","value":"22.8668"},{"id":17,"name":"Train ID","value":"114-01"},{"id":16,"name":"Locomotive ID","value":"4023"},{"id":130,"name":"Impact","value":""},{"id":150,"name":"Time of Event (Mountain Time)","value":"06:15:18"},{"id":151,"name":"Denver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/c/Users/stu/AppData/Local/Temp/OnboardLogs/RTDC4023 --include="*4023*201709011*"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"%USERPROFILE%\AppData\Local\Temp\OnboardLogs"\RTDC4023\*4023*201709011* &gt;&gt; 2017-09-01-SliceDisagreementCheck.txt</v>
      </c>
      <c r="AE13" s="145" t="str">
        <f t="shared" si="9"/>
        <v>start /low /b %USERPROFILE%\Documents\GitHub\eaglep3\Utilities\DownloadLogsFromS3.py --loco 4023 --day 2017-09-01</v>
      </c>
      <c r="AF13" s="1"/>
    </row>
    <row r="14" spans="1:32" x14ac:dyDescent="0.25">
      <c r="A14" s="31">
        <v>42979.498333333337</v>
      </c>
      <c r="B14" s="30" t="s">
        <v>510</v>
      </c>
      <c r="C14" s="30" t="s">
        <v>601</v>
      </c>
      <c r="D14" s="30" t="s">
        <v>49</v>
      </c>
      <c r="E14" s="30" t="s">
        <v>368</v>
      </c>
      <c r="F14" s="42">
        <v>0</v>
      </c>
      <c r="G14" s="42">
        <v>421</v>
      </c>
      <c r="H14" s="42">
        <v>160615</v>
      </c>
      <c r="I14" s="42">
        <v>162116</v>
      </c>
      <c r="J14" s="30" t="s">
        <v>369</v>
      </c>
      <c r="K14" s="42">
        <v>162254</v>
      </c>
      <c r="L14" s="131" t="s">
        <v>50</v>
      </c>
      <c r="M14" s="132">
        <f t="shared" si="0"/>
        <v>72.864000000000004</v>
      </c>
      <c r="N14" s="133" t="str">
        <f>VLOOKUP(C14,'Trips&amp;Operators'!$C$1:$G$99911,5,FALSE)</f>
        <v>BRUDER RICHARD</v>
      </c>
      <c r="O14" s="200" t="s">
        <v>371</v>
      </c>
      <c r="P14" s="134" t="s">
        <v>987</v>
      </c>
      <c r="Q14" s="30"/>
      <c r="R14" s="81" t="str">
        <f>VLOOKUP(C14,'Train Runs'!$A$13:$AE$9913,31,0)</f>
        <v>aws s3 cp s3://rtdc.mdm.uploadarchive.raw/RTDC4012/ "%USERPROFILE%\AppData\Local\Temp\OnboardLogs"\RTDC4012\2017-09-01 --exclude "*" --recursive --include "*20170901*" &amp; "%USERPROFILE%\Documents\GitHub\mrs-test-scripts\Headless Mode &amp; Sideloading\WalkAndUnGZ.bat" "%USERPROFILE%\AppData\Local\Temp\OnboardLogs"\RTDC4012\2017-09-01 &amp; aws s3 cp s3://rtdc.mdm.uploadarchive.raw/RTDC4012/ "%USERPROFILE%\AppData\Local\Temp\OnboardLogs"\RTDC4012\2017-09-02 --exclude "*" --recursive --include "*20170902*" &amp; "%USERPROFILE%\Documents\GitHub\mrs-test-scripts\Headless Mode &amp; Sideloading\WalkAndUnGZ.bat" "%USERPROFILE%\AppData\Local\Temp\OnboardLogs"\RTDC4012\2017-09-02</v>
      </c>
      <c r="S14" s="84" t="str">
        <f>VLOOKUP(C14,'Train Runs'!$A$13:$AE$9913,22,0)</f>
        <v>https://d0f6bd738d7f1b3e5a7ca70fe4ff75f0.us-east-1.aws.found.io/app/kibana#/discover/Steve-Slow-Train-Analysis-(2080s-and-2083s)?_g=(refreshInterval:(display:Off,pause:!f,section:0,value:0),time:(from:'2017-09-01T10:24:55-0600',mode:absolute,to:'2017-09-01T12:58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4" s="86" t="str">
        <f t="shared" si="1"/>
        <v>"C:\Program Files (x86)\AstroGrep\AstroGrep.exe" /e /r /s /spath="%USERPROFILE%\AppData\Local\Temp\OnboardLogs" /stypes="*4012*201709011*" /stext=" 17:.+((SYSTEM_STATE.+slice.+state.+changed )|(ment ac)|(multiple cpu faults)|(system.+state.+changed )|(\[timeout)|(PRM\|1\|D)|(kpr)|(kdp)|(train st.+moving)|(\|lc)|(penalty))"</v>
      </c>
      <c r="U14" s="9" t="str">
        <f t="shared" si="2"/>
        <v>4012</v>
      </c>
      <c r="V14" s="31">
        <f t="shared" si="3"/>
        <v>42979.748333333337</v>
      </c>
      <c r="W14" s="45" t="str">
        <f t="shared" si="4"/>
        <v>EC</v>
      </c>
      <c r="X14" s="22">
        <f t="shared" si="5"/>
        <v>163</v>
      </c>
      <c r="Y14" s="96" t="str">
        <f t="shared" si="6"/>
        <v>echo {"issue":{"subject":"False occupancy @ ML1680","project_id":79,"tracker_id":40,"status_id":1,"priority_id":2,"assigned_to_id":338,"start_date":"2017-09-01","description":"","custom_fields":[{"id":1,"name":"Subdivision","value":"EC"},{"id":4,"name":"Milepost","value":"16.2254"},{"id":17,"name":"Train ID","value":"163-01"},{"id":16,"name":"Locomotive ID","value":"4012"},{"id":130,"name":"Impact","value":""},{"id":150,"name":"Time of Event (Mountain Time)","value":"11:57:36"},{"id":151,"name":"Denver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/c/Users/stu/AppData/Local/Temp/OnboardLogs/RTDC4012 --include="*4012*201709011*"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"%USERPROFILE%\AppData\Local\Temp\OnboardLogs"\RTDC4012\*4012*201709011* &gt;&gt; 2017-09-01-SliceDisagreementCheck.txt</v>
      </c>
      <c r="AE14" s="145" t="str">
        <f t="shared" si="9"/>
        <v>start /low /b %USERPROFILE%\Documents\GitHub\eaglep3\Utilities\DownloadLogsFromS3.py --loco 4012 --day 2017-09-01</v>
      </c>
      <c r="AF14" s="1"/>
    </row>
    <row r="15" spans="1:32" x14ac:dyDescent="0.25">
      <c r="A15" s="31">
        <v>42979.836469907408</v>
      </c>
      <c r="B15" s="30" t="s">
        <v>613</v>
      </c>
      <c r="C15" s="30" t="s">
        <v>614</v>
      </c>
      <c r="D15" s="30" t="s">
        <v>49</v>
      </c>
      <c r="E15" s="30" t="s">
        <v>368</v>
      </c>
      <c r="F15" s="42">
        <v>0</v>
      </c>
      <c r="G15" s="42">
        <v>711</v>
      </c>
      <c r="H15" s="42">
        <v>180904</v>
      </c>
      <c r="I15" s="42">
        <v>177227</v>
      </c>
      <c r="J15" s="30" t="s">
        <v>369</v>
      </c>
      <c r="K15" s="42">
        <v>175398</v>
      </c>
      <c r="L15" s="131" t="s">
        <v>51</v>
      </c>
      <c r="M15" s="132">
        <f t="shared" si="0"/>
        <v>965.71199999999999</v>
      </c>
      <c r="N15" s="133" t="str">
        <f>VLOOKUP(C15,'Trips&amp;Operators'!$C$1:$G$99911,5,FALSE)</f>
        <v>HART KEVIN</v>
      </c>
      <c r="O15" s="200" t="s">
        <v>371</v>
      </c>
      <c r="P15" s="134" t="s">
        <v>988</v>
      </c>
      <c r="Q15" s="30"/>
      <c r="R15" s="81" t="str">
        <f>VLOOKUP(C15,'Train Runs'!$A$13:$AE$9913,31,0)</f>
        <v>aws s3 cp s3://rtdc.mdm.uploadarchive.raw/RTDC4039/ "%USERPROFILE%\AppData\Local\Temp\OnboardLogs"\RTDC4039\2017-09-01 --exclude "*" --recursive --include "*20170901*" &amp; "%USERPROFILE%\Documents\GitHub\mrs-test-scripts\Headless Mode &amp; Sideloading\WalkAndUnGZ.bat" "%USERPROFILE%\AppData\Local\Temp\OnboardLogs"\RTDC4039\2017-09-01 &amp; aws s3 cp s3://rtdc.mdm.uploadarchive.raw/RTDC4039/ "%USERPROFILE%\AppData\Local\Temp\OnboardLogs"\RTDC4039\2017-09-02 --exclude "*" --recursive --include "*20170902*" &amp; "%USERPROFILE%\Documents\GitHub\mrs-test-scripts\Headless Mode &amp; Sideloading\WalkAndUnGZ.bat" "%USERPROFILE%\AppData\Local\Temp\OnboardLogs"\RTDC4039\2017-09-02</v>
      </c>
      <c r="S15" s="84" t="str">
        <f>VLOOKUP(C15,'Train Runs'!$A$13:$AE$9913,22,0)</f>
        <v>https://d0f6bd738d7f1b3e5a7ca70fe4ff75f0.us-east-1.aws.found.io/app/kibana#/discover/Steve-Slow-Train-Analysis-(2080s-and-2083s)?_g=(refreshInterval:(display:Off,pause:!f,section:0,value:0),time:(from:'2017-09-01T18:52:09-0600',mode:absolute,to:'2017-09-01T21:37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5" s="86" t="str">
        <f t="shared" si="1"/>
        <v>"C:\Program Files (x86)\AstroGrep\AstroGrep.exe" /e /r /s /spath="%USERPROFILE%\AppData\Local\Temp\OnboardLogs" /stypes="*4039*201709020*" /stext=" 02:.+((SYSTEM_STATE.+slice.+state.+changed )|(ment ac)|(multiple cpu faults)|(system.+state.+changed )|(\[timeout)|(PRM\|1\|D)|(kpr)|(kdp)|(train st.+moving)|(\|lc)|(penalty))"</v>
      </c>
      <c r="U15" s="9" t="str">
        <f t="shared" si="2"/>
        <v>4039</v>
      </c>
      <c r="V15" s="31">
        <f t="shared" si="3"/>
        <v>42980.086469907408</v>
      </c>
      <c r="W15" s="45" t="str">
        <f t="shared" si="4"/>
        <v>EC</v>
      </c>
      <c r="X15" s="22">
        <f t="shared" si="5"/>
        <v>222</v>
      </c>
      <c r="Y15" s="96" t="str">
        <f t="shared" si="6"/>
        <v>echo {"issue":{"subject":"Wi-MAX data drop","project_id":79,"tracker_id":40,"status_id":1,"priority_id":2,"assigned_to_id":338,"start_date":"2017-09-01","description":"","custom_fields":[{"id":1,"name":"Subdivision","value":"EC"},{"id":4,"name":"Milepost","value":"17.5398"},{"id":17,"name":"Train ID","value":"222-01"},{"id":16,"name":"Locomotive ID","value":"4039"},{"id":130,"name":"Impact","value":""},{"id":150,"name":"Time of Event (Mountain Time)","value":"20:04:31"},{"id":151,"name":"Denver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/c/Users/stu/AppData/Local/Temp/OnboardLogs/RTDC4039 --include="*4039*201709020*"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"%USERPROFILE%\AppData\Local\Temp\OnboardLogs"\RTDC4039\*4039*201709020* &gt;&gt; 2017-09-01-SliceDisagreementCheck.txt</v>
      </c>
      <c r="AE15" s="145" t="str">
        <f t="shared" si="9"/>
        <v>start /low /b %USERPROFILE%\Documents\GitHub\eaglep3\Utilities\DownloadLogsFromS3.py --loco 4039 --day 2017-09-02</v>
      </c>
      <c r="AF15" s="1"/>
    </row>
    <row r="16" spans="1:32" x14ac:dyDescent="0.25">
      <c r="A16" s="31">
        <v>42979.669085648151</v>
      </c>
      <c r="B16" s="30" t="s">
        <v>511</v>
      </c>
      <c r="C16" s="30" t="s">
        <v>605</v>
      </c>
      <c r="D16" s="30" t="s">
        <v>49</v>
      </c>
      <c r="E16" s="30" t="s">
        <v>368</v>
      </c>
      <c r="F16" s="42">
        <v>0</v>
      </c>
      <c r="G16" s="42">
        <v>609</v>
      </c>
      <c r="H16" s="42">
        <v>186038</v>
      </c>
      <c r="I16" s="42">
        <v>183373</v>
      </c>
      <c r="J16" s="30" t="s">
        <v>369</v>
      </c>
      <c r="K16" s="42">
        <v>182920</v>
      </c>
      <c r="L16" s="131" t="s">
        <v>51</v>
      </c>
      <c r="M16" s="132">
        <f t="shared" si="0"/>
        <v>239.184</v>
      </c>
      <c r="N16" s="133" t="str">
        <f>VLOOKUP(C16,'Trips&amp;Operators'!$C$1:$G$99911,5,FALSE)</f>
        <v>BRUDER RICHARD</v>
      </c>
      <c r="O16" s="200" t="s">
        <v>371</v>
      </c>
      <c r="P16" s="134" t="s">
        <v>991</v>
      </c>
      <c r="Q16" s="30"/>
      <c r="R16" s="81" t="str">
        <f>VLOOKUP(C16,'Train Runs'!$A$13:$AE$9913,31,0)</f>
        <v>aws s3 cp s3://rtdc.mdm.uploadarchive.raw/RTDC4011/ "%USERPROFILE%\AppData\Local\Temp\OnboardLogs"\RTDC4011\2017-09-01 --exclude "*" --recursive --include "*20170901*" &amp; "%USERPROFILE%\Documents\GitHub\mrs-test-scripts\Headless Mode &amp; Sideloading\WalkAndUnGZ.bat" "%USERPROFILE%\AppData\Local\Temp\OnboardLogs"\RTDC4011\2017-09-01 &amp; aws s3 cp s3://rtdc.mdm.uploadarchive.raw/RTDC4011/ "%USERPROFILE%\AppData\Local\Temp\OnboardLogs"\RTDC4011\2017-09-02 --exclude "*" --recursive --include "*20170902*" &amp; "%USERPROFILE%\Documents\GitHub\mrs-test-scripts\Headless Mode &amp; Sideloading\WalkAndUnGZ.bat" "%USERPROFILE%\AppData\Local\Temp\OnboardLogs"\RTDC4011\2017-09-02</v>
      </c>
      <c r="S16" s="84" t="str">
        <f>VLOOKUP(C16,'Train Runs'!$A$13:$AE$9913,22,0)</f>
        <v>https://d0f6bd738d7f1b3e5a7ca70fe4ff75f0.us-east-1.aws.found.io/app/kibana#/discover/Steve-Slow-Train-Analysis-(2080s-and-2083s)?_g=(refreshInterval:(display:Off,pause:!f,section:0,value:0),time:(from:'2017-09-01T14:52:26-0600',mode:absolute,to:'2017-09-01T17:34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6" s="86" t="str">
        <f t="shared" si="1"/>
        <v>"C:\Program Files (x86)\AstroGrep\AstroGrep.exe" /e /r /s /spath="%USERPROFILE%\AppData\Local\Temp\OnboardLogs" /stypes="*4011*201709012*" /stext=" 22:.+((SYSTEM_STATE.+slice.+state.+changed )|(ment ac)|(multiple cpu faults)|(system.+state.+changed )|(\[timeout)|(PRM\|1\|D)|(kpr)|(kdp)|(train st.+moving)|(\|lc)|(penalty))"</v>
      </c>
      <c r="U16" s="9" t="str">
        <f t="shared" si="2"/>
        <v>4011</v>
      </c>
      <c r="V16" s="31">
        <f t="shared" si="3"/>
        <v>42979.919085648151</v>
      </c>
      <c r="W16" s="45" t="str">
        <f t="shared" si="4"/>
        <v>EC</v>
      </c>
      <c r="X16" s="22">
        <f t="shared" si="5"/>
        <v>192</v>
      </c>
      <c r="Y16" s="96" t="str">
        <f t="shared" si="6"/>
        <v>echo {"issue":{"subject":"Premature downgrade at EC1827RH 183-1T 1S","project_id":79,"tracker_id":40,"status_id":1,"priority_id":2,"assigned_to_id":338,"start_date":"2017-09-01","description":"16:03:10 - signal dropped from 270 to 0, do logs show anything unusual?","custom_fields":[{"id":1,"name":"Subdivision","value":"EC"},{"id":4,"name":"Milepost","value":"18.292"},{"id":17,"name":"Train ID","value":"192-01"},{"id":16,"name":"Locomotive ID","value":"4011"},{"id":130,"name":"Impact","value":"Enforcement"},{"id":150,"name":"Time of Event (Mountain Time)","value":"16:03:29"},{"id":151,"name":"Denver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16" s="159" t="s">
        <v>992</v>
      </c>
      <c r="AA16" s="47" t="s">
        <v>120</v>
      </c>
      <c r="AB16" s="47" t="s">
        <v>125</v>
      </c>
      <c r="AC16" s="115" t="str">
        <f t="shared" si="7"/>
        <v>grep -hrE -A400 "Enforcement Action" /c/Users/stu/AppData/Local/Temp/OnboardLogs/RTDC4011 --include="*4011*201709012*"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"%USERPROFILE%\AppData\Local\Temp\OnboardLogs"\RTDC4011\*4011*201709012* &gt;&gt; 2017-09-01-SliceDisagreementCheck.txt</v>
      </c>
      <c r="AE16" s="145" t="str">
        <f t="shared" si="9"/>
        <v>start /low /b %USERPROFILE%\Documents\GitHub\eaglep3\Utilities\DownloadLogsFromS3.py --loco 4011 --day 2017-09-01</v>
      </c>
      <c r="AF16" s="1"/>
    </row>
    <row r="17" spans="1:32" x14ac:dyDescent="0.25">
      <c r="A17" s="31">
        <v>42979.395011574074</v>
      </c>
      <c r="B17" s="30" t="s">
        <v>479</v>
      </c>
      <c r="C17" s="30" t="s">
        <v>596</v>
      </c>
      <c r="D17" s="30" t="s">
        <v>49</v>
      </c>
      <c r="E17" s="30" t="s">
        <v>476</v>
      </c>
      <c r="F17" s="42">
        <v>0</v>
      </c>
      <c r="G17" s="42">
        <v>616</v>
      </c>
      <c r="H17" s="42">
        <v>187422</v>
      </c>
      <c r="I17" s="42">
        <v>190098</v>
      </c>
      <c r="J17" s="30" t="s">
        <v>477</v>
      </c>
      <c r="K17" s="42">
        <v>190834</v>
      </c>
      <c r="L17" s="131" t="s">
        <v>50</v>
      </c>
      <c r="M17" s="132">
        <f t="shared" si="0"/>
        <v>388.608</v>
      </c>
      <c r="N17" s="133" t="str">
        <f>VLOOKUP(C17,'Trips&amp;Operators'!$C$1:$G$99911,5,FALSE)</f>
        <v>BIRENBAUM THOMAS</v>
      </c>
      <c r="O17" s="200" t="s">
        <v>371</v>
      </c>
      <c r="P17" s="134" t="s">
        <v>988</v>
      </c>
      <c r="Q17" s="30"/>
      <c r="R17" s="81" t="str">
        <f>VLOOKUP(C17,'Train Runs'!$A$13:$AE$9913,31,0)</f>
        <v>aws s3 cp s3://rtdc.mdm.uploadarchive.raw/RTDC4020/ "%USERPROFILE%\AppData\Local\Temp\OnboardLogs"\RTDC4020\2017-09-01 --exclude "*" --recursive --include "*20170901*" &amp; "%USERPROFILE%\Documents\GitHub\mrs-test-scripts\Headless Mode &amp; Sideloading\WalkAndUnGZ.bat" "%USERPROFILE%\AppData\Local\Temp\OnboardLogs"\RTDC4020\2017-09-01 &amp; aws s3 cp s3://rtdc.mdm.uploadarchive.raw/RTDC4020/ "%USERPROFILE%\AppData\Local\Temp\OnboardLogs"\RTDC4020\2017-09-02 --exclude "*" --recursive --include "*20170902*" &amp; "%USERPROFILE%\Documents\GitHub\mrs-test-scripts\Headless Mode &amp; Sideloading\WalkAndUnGZ.bat" "%USERPROFILE%\AppData\Local\Temp\OnboardLogs"\RTDC4020\2017-09-02</v>
      </c>
      <c r="S17" s="84" t="str">
        <f>VLOOKUP(C17,'Train Runs'!$A$13:$AE$9913,22,0)</f>
        <v>https://d0f6bd738d7f1b3e5a7ca70fe4ff75f0.us-east-1.aws.found.io/app/kibana#/discover/Steve-Slow-Train-Analysis-(2080s-and-2083s)?_g=(refreshInterval:(display:Off,pause:!f,section:0,value:0),time:(from:'2017-09-01T07:53:14-0600',mode:absolute,to:'2017-09-01T10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17" s="86" t="str">
        <f t="shared" si="1"/>
        <v>"C:\Program Files (x86)\AstroGrep\AstroGrep.exe" /e /r /s /spath="%USERPROFILE%\AppData\Local\Temp\OnboardLogs" /stypes="*4020*201709011*" /stext=" 15:.+((SYSTEM_STATE.+slice.+state.+changed )|(ment ac)|(multiple cpu faults)|(system.+state.+changed )|(\[timeout)|(PRM\|1\|D)|(kpr)|(kdp)|(train st.+moving)|(\|lc)|(penalty))"</v>
      </c>
      <c r="U17" s="9" t="str">
        <f t="shared" si="2"/>
        <v>4020</v>
      </c>
      <c r="V17" s="31">
        <f t="shared" si="3"/>
        <v>42979.645011574074</v>
      </c>
      <c r="W17" s="45" t="str">
        <f t="shared" si="4"/>
        <v>EC</v>
      </c>
      <c r="X17" s="22">
        <f t="shared" si="5"/>
        <v>143</v>
      </c>
      <c r="Y17" s="96" t="str">
        <f t="shared" si="6"/>
        <v>echo {"issue":{"subject":"Wi-MAX data drop","project_id":79,"tracker_id":40,"status_id":1,"priority_id":2,"assigned_to_id":338,"start_date":"2017-09-01","description":"","custom_fields":[{"id":1,"name":"Subdivision","value":"EC"},{"id":4,"name":"Milepost","value":"19.0834"},{"id":17,"name":"Train ID","value":"143-01"},{"id":16,"name":"Locomotive ID","value":"4020"},{"id":130,"name":"Impact","value":""},{"id":150,"name":"Time of Event (Mountain Time)","value":"09:28:49"},{"id":151,"name":"Denver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/c/Users/stu/AppData/Local/Temp/OnboardLogs/RTDC4020 --include="*4020*201709011*"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"%USERPROFILE%\AppData\Local\Temp\OnboardLogs"\RTDC4020\*4020*201709011* &gt;&gt; 2017-09-01-SliceDisagreementCheck.txt</v>
      </c>
      <c r="AE17" s="145" t="str">
        <f t="shared" si="9"/>
        <v>start /low /b %USERPROFILE%\Documents\GitHub\eaglep3\Utilities\DownloadLogsFromS3.py --loco 4020 --day 2017-09-01</v>
      </c>
      <c r="AF17" s="1"/>
    </row>
    <row r="18" spans="1:32" x14ac:dyDescent="0.25">
      <c r="A18" s="31">
        <v>42979.763113425928</v>
      </c>
      <c r="B18" s="30" t="s">
        <v>479</v>
      </c>
      <c r="C18" s="30" t="s">
        <v>609</v>
      </c>
      <c r="D18" s="30" t="s">
        <v>49</v>
      </c>
      <c r="E18" s="30" t="s">
        <v>476</v>
      </c>
      <c r="F18" s="42">
        <v>0</v>
      </c>
      <c r="G18" s="42">
        <v>428</v>
      </c>
      <c r="H18" s="42">
        <v>216523</v>
      </c>
      <c r="I18" s="42">
        <v>217920</v>
      </c>
      <c r="J18" s="30" t="s">
        <v>477</v>
      </c>
      <c r="K18" s="42">
        <v>217229</v>
      </c>
      <c r="L18" s="131" t="s">
        <v>50</v>
      </c>
      <c r="M18" s="132">
        <f t="shared" si="0"/>
        <v>-364.84800000000001</v>
      </c>
      <c r="N18" s="133" t="str">
        <f>VLOOKUP(C18,'Trips&amp;Operators'!$C$1:$G$99911,5,FALSE)</f>
        <v>YANG JAN</v>
      </c>
      <c r="O18" s="200" t="s">
        <v>371</v>
      </c>
      <c r="P18" s="134" t="s">
        <v>988</v>
      </c>
      <c r="Q18" s="30"/>
      <c r="R18" s="81" t="str">
        <f>VLOOKUP(C18,'Train Runs'!$A$13:$AE$9913,31,0)</f>
        <v>aws s3 cp s3://rtdc.mdm.uploadarchive.raw/RTDC4020/ "%USERPROFILE%\AppData\Local\Temp\OnboardLogs"\RTDC4020\2017-09-01 --exclude "*" --recursive --include "*20170901*" &amp; "%USERPROFILE%\Documents\GitHub\mrs-test-scripts\Headless Mode &amp; Sideloading\WalkAndUnGZ.bat" "%USERPROFILE%\AppData\Local\Temp\OnboardLogs"\RTDC4020\2017-09-01 &amp; aws s3 cp s3://rtdc.mdm.uploadarchive.raw/RTDC4020/ "%USERPROFILE%\AppData\Local\Temp\OnboardLogs"\RTDC4020\2017-09-02 --exclude "*" --recursive --include "*20170902*" &amp; "%USERPROFILE%\Documents\GitHub\mrs-test-scripts\Headless Mode &amp; Sideloading\WalkAndUnGZ.bat" "%USERPROFILE%\AppData\Local\Temp\OnboardLogs"\RTDC4020\2017-09-02</v>
      </c>
      <c r="S18" s="84" t="str">
        <f>VLOOKUP(C18,'Train Runs'!$A$13:$AE$9913,22,0)</f>
        <v>https://d0f6bd738d7f1b3e5a7ca70fe4ff75f0.us-east-1.aws.found.io/app/kibana#/discover/Steve-Slow-Train-Analysis-(2080s-and-2083s)?_g=(refreshInterval:(display:Off,pause:!f,section:0,value:0),time:(from:'2017-09-01T16:38:20-0600',mode:absolute,to:'2017-09-01T19:18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18" s="86" t="str">
        <f t="shared" si="1"/>
        <v>"C:\Program Files (x86)\AstroGrep\AstroGrep.exe" /e /r /s /spath="%USERPROFILE%\AppData\Local\Temp\OnboardLogs" /stypes="*4020*201709020*" /stext=" 00:.+((SYSTEM_STATE.+slice.+state.+changed )|(ment ac)|(multiple cpu faults)|(system.+state.+changed )|(\[timeout)|(PRM\|1\|D)|(kpr)|(kdp)|(train st.+moving)|(\|lc)|(penalty))"</v>
      </c>
      <c r="U18" s="9" t="str">
        <f t="shared" si="2"/>
        <v>4020</v>
      </c>
      <c r="V18" s="31">
        <f t="shared" si="3"/>
        <v>42980.013113425928</v>
      </c>
      <c r="W18" s="45" t="str">
        <f t="shared" si="4"/>
        <v>EC</v>
      </c>
      <c r="X18" s="22">
        <f t="shared" si="5"/>
        <v>213</v>
      </c>
      <c r="Y18" s="96" t="str">
        <f t="shared" si="6"/>
        <v>echo {"issue":{"subject":"Wi-MAX data drop","project_id":79,"tracker_id":40,"status_id":1,"priority_id":2,"assigned_to_id":338,"start_date":"2017-09-01","description":"","custom_fields":[{"id":1,"name":"Subdivision","value":"EC"},{"id":4,"name":"Milepost","value":"21.7229"},{"id":17,"name":"Train ID","value":"213-01"},{"id":16,"name":"Locomotive ID","value":"4020"},{"id":130,"name":"Impact","value":""},{"id":150,"name":"Time of Event (Mountain Time)","value":"18:18:53"},{"id":151,"name":"Denver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/c/Users/stu/AppData/Local/Temp/OnboardLogs/RTDC4020 --include="*4020*201709020*"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"%USERPROFILE%\AppData\Local\Temp\OnboardLogs"\RTDC4020\*4020*201709020* &gt;&gt; 2017-09-01-SliceDisagreementCheck.txt</v>
      </c>
      <c r="AE18" s="145" t="str">
        <f t="shared" si="9"/>
        <v>start /low /b %USERPROFILE%\Documents\GitHub\eaglep3\Utilities\DownloadLogsFromS3.py --loco 4020 --day 2017-09-02</v>
      </c>
      <c r="AF18" s="1"/>
    </row>
    <row r="19" spans="1:32" x14ac:dyDescent="0.25">
      <c r="A19" s="31">
        <v>42979.202962962961</v>
      </c>
      <c r="B19" s="30" t="s">
        <v>579</v>
      </c>
      <c r="C19" s="30" t="s">
        <v>580</v>
      </c>
      <c r="D19" s="30" t="s">
        <v>49</v>
      </c>
      <c r="E19" s="30" t="s">
        <v>181</v>
      </c>
      <c r="F19" s="42">
        <v>0</v>
      </c>
      <c r="G19" s="42">
        <v>37</v>
      </c>
      <c r="H19" s="42">
        <v>233389</v>
      </c>
      <c r="I19" s="42">
        <v>233441</v>
      </c>
      <c r="J19" s="30" t="s">
        <v>182</v>
      </c>
      <c r="K19" s="42">
        <v>233491</v>
      </c>
      <c r="L19" s="131" t="s">
        <v>50</v>
      </c>
      <c r="M19" s="132">
        <f t="shared" si="0"/>
        <v>26.4</v>
      </c>
      <c r="N19" s="133" t="str">
        <f>VLOOKUP(C19,'Trips&amp;Operators'!$C$1:$G$99911,5,FALSE)</f>
        <v>BONDS REYNALDO</v>
      </c>
      <c r="O19" s="200" t="s">
        <v>180</v>
      </c>
      <c r="P19" s="134"/>
      <c r="Q19" s="30"/>
      <c r="R19" s="81" t="str">
        <f>VLOOKUP(C19,'Train Runs'!$A$13:$AE$9913,31,0)</f>
        <v>aws s3 cp s3://rtdc.mdm.uploadarchive.raw/RTDC4026/ "%USERPROFILE%\AppData\Local\Temp\OnboardLogs"\RTDC4026\2017-09-01 --exclude "*" --recursive --include "*20170901*" &amp; "%USERPROFILE%\Documents\GitHub\mrs-test-scripts\Headless Mode &amp; Sideloading\WalkAndUnGZ.bat" "%USERPROFILE%\AppData\Local\Temp\OnboardLogs"\RTDC4026\2017-09-01 &amp; aws s3 cp s3://rtdc.mdm.uploadarchive.raw/RTDC4026/ "%USERPROFILE%\AppData\Local\Temp\OnboardLogs"\RTDC4026\2017-09-02 --exclude "*" --recursive --include "*20170902*" &amp; "%USERPROFILE%\Documents\GitHub\mrs-test-scripts\Headless Mode &amp; Sideloading\WalkAndUnGZ.bat" "%USERPROFILE%\AppData\Local\Temp\OnboardLogs"\RTDC4026\2017-09-02</v>
      </c>
      <c r="S19" s="84" t="str">
        <f>VLOOKUP(C19,'Train Runs'!$A$13:$AE$9913,22,0)</f>
        <v>https://d0f6bd738d7f1b3e5a7ca70fe4ff75f0.us-east-1.aws.found.io/app/kibana#/discover/Steve-Slow-Train-Analysis-(2080s-and-2083s)?_g=(refreshInterval:(display:Off,pause:!f,section:0,value:0),time:(from:'2017-09-01T03:09:33-0600',mode:absolute,to:'2017-09-01T05:52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9" s="86" t="str">
        <f t="shared" si="1"/>
        <v>"C:\Program Files (x86)\AstroGrep\AstroGrep.exe" /e /r /s /spath="%USERPROFILE%\AppData\Local\Temp\OnboardLogs" /stypes="*4026*201709011*" /stext=" 10:.+((SYSTEM_STATE.+slice.+state.+changed )|(ment ac)|(multiple cpu faults)|(system.+state.+changed )|(\[timeout)|(PRM\|1\|D)|(kpr)|(kdp)|(train st.+moving)|(\|lc)|(penalty))"</v>
      </c>
      <c r="U19" s="9" t="str">
        <f t="shared" si="2"/>
        <v>4026</v>
      </c>
      <c r="V19" s="31">
        <f t="shared" si="3"/>
        <v>42979.452962962961</v>
      </c>
      <c r="W19" s="45" t="str">
        <f t="shared" si="4"/>
        <v>EC</v>
      </c>
      <c r="X19" s="22">
        <f t="shared" si="5"/>
        <v>105</v>
      </c>
      <c r="Y19" s="96" t="str">
        <f t="shared" si="6"/>
        <v>echo {"issue":{"subject":"","project_id":79,"tracker_id":40,"status_id":1,"priority_id":2,"assigned_to_id":338,"start_date":"2017-09-01","description":"","custom_fields":[{"id":1,"name":"Subdivision","value":"EC"},{"id":4,"name":"Milepost","value":"23.3491"},{"id":17,"name":"Train ID","value":"105-01"},{"id":16,"name":"Locomotive ID","value":"4026"},{"id":130,"name":"Impact","value":""},{"id":150,"name":"Time of Event (Mountain Time)","value":"04:52:16"},{"id":151,"name":"Denver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/c/Users/stu/AppData/Local/Temp/OnboardLogs/RTDC4026 --include="*4026*201709011*"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"%USERPROFILE%\AppData\Local\Temp\OnboardLogs"\RTDC4026\*4026*201709011* &gt;&gt; 2017-09-01-SliceDisagreementCheck.txt</v>
      </c>
      <c r="AE19" s="145" t="str">
        <f t="shared" si="9"/>
        <v>start /low /b %USERPROFILE%\Documents\GitHub\eaglep3\Utilities\DownloadLogsFromS3.py --loco 4026 --day 2017-09-01</v>
      </c>
      <c r="AF19" s="1"/>
    </row>
    <row r="20" spans="1:32" x14ac:dyDescent="0.25">
      <c r="A20" s="31">
        <v>42979.34814814815</v>
      </c>
      <c r="B20" s="30" t="s">
        <v>579</v>
      </c>
      <c r="C20" s="30" t="s">
        <v>591</v>
      </c>
      <c r="D20" s="30" t="s">
        <v>49</v>
      </c>
      <c r="E20" s="30" t="s">
        <v>181</v>
      </c>
      <c r="F20" s="42">
        <v>0</v>
      </c>
      <c r="G20" s="42">
        <v>51</v>
      </c>
      <c r="H20" s="42">
        <v>233334</v>
      </c>
      <c r="I20" s="42">
        <v>233376</v>
      </c>
      <c r="J20" s="30" t="s">
        <v>182</v>
      </c>
      <c r="K20" s="42">
        <v>233491</v>
      </c>
      <c r="L20" s="131" t="s">
        <v>50</v>
      </c>
      <c r="M20" s="132">
        <f t="shared" si="0"/>
        <v>60.72</v>
      </c>
      <c r="N20" s="133" t="str">
        <f>VLOOKUP(C20,'Trips&amp;Operators'!$C$1:$G$99911,5,FALSE)</f>
        <v>BONDS REYNALDO</v>
      </c>
      <c r="O20" s="200" t="s">
        <v>180</v>
      </c>
      <c r="P20" s="134"/>
      <c r="Q20" s="30"/>
      <c r="R20" s="81" t="str">
        <f>VLOOKUP(C20,'Train Runs'!$A$13:$AE$9913,31,0)</f>
        <v>aws s3 cp s3://rtdc.mdm.uploadarchive.raw/RTDC4026/ "%USERPROFILE%\AppData\Local\Temp\OnboardLogs"\RTDC4026\2017-09-01 --exclude "*" --recursive --include "*20170901*" &amp; "%USERPROFILE%\Documents\GitHub\mrs-test-scripts\Headless Mode &amp; Sideloading\WalkAndUnGZ.bat" "%USERPROFILE%\AppData\Local\Temp\OnboardLogs"\RTDC4026\2017-09-01 &amp; aws s3 cp s3://rtdc.mdm.uploadarchive.raw/RTDC4026/ "%USERPROFILE%\AppData\Local\Temp\OnboardLogs"\RTDC4026\2017-09-02 --exclude "*" --recursive --include "*20170902*" &amp; "%USERPROFILE%\Documents\GitHub\mrs-test-scripts\Headless Mode &amp; Sideloading\WalkAndUnGZ.bat" "%USERPROFILE%\AppData\Local\Temp\OnboardLogs"\RTDC4026\2017-09-02</v>
      </c>
      <c r="S20" s="84" t="str">
        <f>VLOOKUP(C20,'Train Runs'!$A$13:$AE$9913,22,0)</f>
        <v>https://d0f6bd738d7f1b3e5a7ca70fe4ff75f0.us-east-1.aws.found.io/app/kibana#/discover/Steve-Slow-Train-Analysis-(2080s-and-2083s)?_g=(refreshInterval:(display:Off,pause:!f,section:0,value:0),time:(from:'2017-09-01T06:38:43-0600',mode:absolute,to:'2017-09-01T09:21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0" s="86" t="str">
        <f t="shared" si="1"/>
        <v>"C:\Program Files (x86)\AstroGrep\AstroGrep.exe" /e /r /s /spath="%USERPROFILE%\AppData\Local\Temp\OnboardLogs" /stypes="*4026*201709011*" /stext=" 14:.+((SYSTEM_STATE.+slice.+state.+changed )|(ment ac)|(multiple cpu faults)|(system.+state.+changed )|(\[timeout)|(PRM\|1\|D)|(kpr)|(kdp)|(train st.+moving)|(\|lc)|(penalty))"</v>
      </c>
      <c r="U20" s="9" t="str">
        <f t="shared" si="2"/>
        <v>4026</v>
      </c>
      <c r="V20" s="31">
        <f t="shared" si="3"/>
        <v>42979.59814814815</v>
      </c>
      <c r="W20" s="45" t="str">
        <f t="shared" si="4"/>
        <v>EC</v>
      </c>
      <c r="X20" s="22">
        <f t="shared" si="5"/>
        <v>133</v>
      </c>
      <c r="Y20" s="96" t="str">
        <f t="shared" si="6"/>
        <v>echo {"issue":{"subject":"","project_id":79,"tracker_id":40,"status_id":1,"priority_id":2,"assigned_to_id":338,"start_date":"2017-09-01","description":"","custom_fields":[{"id":1,"name":"Subdivision","value":"EC"},{"id":4,"name":"Milepost","value":"23.3491"},{"id":17,"name":"Train ID","value":"133-01"},{"id":16,"name":"Locomotive ID","value":"4026"},{"id":130,"name":"Impact","value":""},{"id":150,"name":"Time of Event (Mountain Time)","value":"08:21:20"},{"id":151,"name":"Denver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/c/Users/stu/AppData/Local/Temp/OnboardLogs/RTDC4026 --include="*4026*201709011*"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"%USERPROFILE%\AppData\Local\Temp\OnboardLogs"\RTDC4026\*4026*201709011* &gt;&gt; 2017-09-01-SliceDisagreementCheck.txt</v>
      </c>
      <c r="AE20" s="145" t="str">
        <f t="shared" si="9"/>
        <v>start /low /b %USERPROFILE%\Documents\GitHub\eaglep3\Utilities\DownloadLogsFromS3.py --loco 4026 --day 2017-09-01</v>
      </c>
      <c r="AF20" s="1"/>
    </row>
    <row r="21" spans="1:32" x14ac:dyDescent="0.25">
      <c r="A21" s="31">
        <v>42979.422280092593</v>
      </c>
      <c r="B21" s="30" t="s">
        <v>579</v>
      </c>
      <c r="C21" s="30" t="s">
        <v>597</v>
      </c>
      <c r="D21" s="30" t="s">
        <v>49</v>
      </c>
      <c r="E21" s="30" t="s">
        <v>181</v>
      </c>
      <c r="F21" s="42">
        <v>0</v>
      </c>
      <c r="G21" s="42">
        <v>42</v>
      </c>
      <c r="H21" s="42">
        <v>233363</v>
      </c>
      <c r="I21" s="42">
        <v>233393</v>
      </c>
      <c r="J21" s="30" t="s">
        <v>182</v>
      </c>
      <c r="K21" s="42">
        <v>233491</v>
      </c>
      <c r="L21" s="131" t="s">
        <v>50</v>
      </c>
      <c r="M21" s="132">
        <f t="shared" si="0"/>
        <v>51.744</v>
      </c>
      <c r="N21" s="133" t="str">
        <f>VLOOKUP(C21,'Trips&amp;Operators'!$C$1:$G$99911,5,FALSE)</f>
        <v>BONDS REYNALDO</v>
      </c>
      <c r="O21" s="200" t="s">
        <v>180</v>
      </c>
      <c r="P21" s="134"/>
      <c r="Q21" s="30"/>
      <c r="R21" s="81" t="str">
        <f>VLOOKUP(C21,'Train Runs'!$A$13:$AE$9913,31,0)</f>
        <v>aws s3 cp s3://rtdc.mdm.uploadarchive.raw/RTDC4026/ "%USERPROFILE%\AppData\Local\Temp\OnboardLogs"\RTDC4026\2017-09-01 --exclude "*" --recursive --include "*20170901*" &amp; "%USERPROFILE%\Documents\GitHub\mrs-test-scripts\Headless Mode &amp; Sideloading\WalkAndUnGZ.bat" "%USERPROFILE%\AppData\Local\Temp\OnboardLogs"\RTDC4026\2017-09-01 &amp; aws s3 cp s3://rtdc.mdm.uploadarchive.raw/RTDC4026/ "%USERPROFILE%\AppData\Local\Temp\OnboardLogs"\RTDC4026\2017-09-02 --exclude "*" --recursive --include "*20170902*" &amp; "%USERPROFILE%\Documents\GitHub\mrs-test-scripts\Headless Mode &amp; Sideloading\WalkAndUnGZ.bat" "%USERPROFILE%\AppData\Local\Temp\OnboardLogs"\RTDC4026\2017-09-02</v>
      </c>
      <c r="S21" s="84" t="str">
        <f>VLOOKUP(C21,'Train Runs'!$A$13:$AE$9913,22,0)</f>
        <v>https://d0f6bd738d7f1b3e5a7ca70fe4ff75f0.us-east-1.aws.found.io/app/kibana#/discover/Steve-Slow-Train-Analysis-(2080s-and-2083s)?_g=(refreshInterval:(display:Off,pause:!f,section:0,value:0),time:(from:'2017-09-01T08:24:05-0600',mode:absolute,to:'2017-09-01T11:08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1" s="86" t="str">
        <f t="shared" si="1"/>
        <v>"C:\Program Files (x86)\AstroGrep\AstroGrep.exe" /e /r /s /spath="%USERPROFILE%\AppData\Local\Temp\OnboardLogs" /stypes="*4026*201709011*" /stext=" 16:.+((SYSTEM_STATE.+slice.+state.+changed )|(ment ac)|(multiple cpu faults)|(system.+state.+changed )|(\[timeout)|(PRM\|1\|D)|(kpr)|(kdp)|(train st.+moving)|(\|lc)|(penalty))"</v>
      </c>
      <c r="U21" s="9" t="str">
        <f t="shared" si="2"/>
        <v>4026</v>
      </c>
      <c r="V21" s="31">
        <f t="shared" si="3"/>
        <v>42979.672280092593</v>
      </c>
      <c r="W21" s="45" t="str">
        <f t="shared" si="4"/>
        <v>EC</v>
      </c>
      <c r="X21" s="22">
        <f t="shared" si="5"/>
        <v>147</v>
      </c>
      <c r="Y21" s="96" t="str">
        <f t="shared" si="6"/>
        <v>echo {"issue":{"subject":"","project_id":79,"tracker_id":40,"status_id":1,"priority_id":2,"assigned_to_id":338,"start_date":"2017-09-01","description":"","custom_fields":[{"id":1,"name":"Subdivision","value":"EC"},{"id":4,"name":"Milepost","value":"23.3491"},{"id":17,"name":"Train ID","value":"147-01"},{"id":16,"name":"Locomotive ID","value":"4026"},{"id":130,"name":"Impact","value":""},{"id":150,"name":"Time of Event (Mountain Time)","value":"10:08:05"},{"id":151,"name":"Denver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/c/Users/stu/AppData/Local/Temp/OnboardLogs/RTDC4026 --include="*4026*201709011*"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"%USERPROFILE%\AppData\Local\Temp\OnboardLogs"\RTDC4026\*4026*201709011* &gt;&gt; 2017-09-01-SliceDisagreementCheck.txt</v>
      </c>
      <c r="AE21" s="145" t="str">
        <f t="shared" si="9"/>
        <v>start /low /b %USERPROFILE%\Documents\GitHub\eaglep3\Utilities\DownloadLogsFromS3.py --loco 4026 --day 2017-09-01</v>
      </c>
      <c r="AF21" s="1"/>
    </row>
    <row r="22" spans="1:32" x14ac:dyDescent="0.25">
      <c r="A22" s="31">
        <v>42979.786481481482</v>
      </c>
      <c r="B22" s="30" t="s">
        <v>579</v>
      </c>
      <c r="C22" s="30" t="s">
        <v>610</v>
      </c>
      <c r="D22" s="30" t="s">
        <v>49</v>
      </c>
      <c r="E22" s="30" t="s">
        <v>181</v>
      </c>
      <c r="F22" s="42">
        <v>0</v>
      </c>
      <c r="G22" s="42">
        <v>50</v>
      </c>
      <c r="H22" s="42">
        <v>233387</v>
      </c>
      <c r="I22" s="42">
        <v>233424</v>
      </c>
      <c r="J22" s="30" t="s">
        <v>182</v>
      </c>
      <c r="K22" s="42">
        <v>233491</v>
      </c>
      <c r="L22" s="131" t="s">
        <v>50</v>
      </c>
      <c r="M22" s="132">
        <f t="shared" si="0"/>
        <v>35.375999999999998</v>
      </c>
      <c r="N22" s="133" t="str">
        <f>VLOOKUP(C22,'Trips&amp;Operators'!$C$1:$G$99911,5,FALSE)</f>
        <v>PERKINS DARREN</v>
      </c>
      <c r="O22" s="200" t="s">
        <v>180</v>
      </c>
      <c r="P22" s="134"/>
      <c r="Q22" s="30"/>
      <c r="R22" s="81" t="str">
        <f>VLOOKUP(C22,'Train Runs'!$A$13:$AE$9913,31,0)</f>
        <v>aws s3 cp s3://rtdc.mdm.uploadarchive.raw/RTDC4026/ "%USERPROFILE%\AppData\Local\Temp\OnboardLogs"\RTDC4026\2017-09-01 --exclude "*" --recursive --include "*20170901*" &amp; "%USERPROFILE%\Documents\GitHub\mrs-test-scripts\Headless Mode &amp; Sideloading\WalkAndUnGZ.bat" "%USERPROFILE%\AppData\Local\Temp\OnboardLogs"\RTDC4026\2017-09-01 &amp; aws s3 cp s3://rtdc.mdm.uploadarchive.raw/RTDC4026/ "%USERPROFILE%\AppData\Local\Temp\OnboardLogs"\RTDC4026\2017-09-02 --exclude "*" --recursive --include "*20170902*" &amp; "%USERPROFILE%\Documents\GitHub\mrs-test-scripts\Headless Mode &amp; Sideloading\WalkAndUnGZ.bat" "%USERPROFILE%\AppData\Local\Temp\OnboardLogs"\RTDC4026\2017-09-02</v>
      </c>
      <c r="S22" s="84" t="str">
        <f>VLOOKUP(C22,'Train Runs'!$A$13:$AE$9913,22,0)</f>
        <v>https://d0f6bd738d7f1b3e5a7ca70fe4ff75f0.us-east-1.aws.found.io/app/kibana#/discover/Steve-Slow-Train-Analysis-(2080s-and-2083s)?_g=(refreshInterval:(display:Off,pause:!f,section:0,value:0),time:(from:'2017-09-01T17:09:26-0600',mode:absolute,to:'2017-09-01T19:52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2" s="86" t="str">
        <f t="shared" si="1"/>
        <v>"C:\Program Files (x86)\AstroGrep\AstroGrep.exe" /e /r /s /spath="%USERPROFILE%\AppData\Local\Temp\OnboardLogs" /stypes="*4026*201709020*" /stext=" 00:.+((SYSTEM_STATE.+slice.+state.+changed )|(ment ac)|(multiple cpu faults)|(system.+state.+changed )|(\[timeout)|(PRM\|1\|D)|(kpr)|(kdp)|(train st.+moving)|(\|lc)|(penalty))"</v>
      </c>
      <c r="U22" s="9" t="str">
        <f t="shared" si="2"/>
        <v>4026</v>
      </c>
      <c r="V22" s="31">
        <f t="shared" si="3"/>
        <v>42980.036481481482</v>
      </c>
      <c r="W22" s="45" t="str">
        <f t="shared" si="4"/>
        <v>EC</v>
      </c>
      <c r="X22" s="22">
        <f t="shared" si="5"/>
        <v>217</v>
      </c>
      <c r="Y22" s="96" t="str">
        <f t="shared" si="6"/>
        <v>echo {"issue":{"subject":"","project_id":79,"tracker_id":40,"status_id":1,"priority_id":2,"assigned_to_id":338,"start_date":"2017-09-01","description":"","custom_fields":[{"id":1,"name":"Subdivision","value":"EC"},{"id":4,"name":"Milepost","value":"23.3491"},{"id":17,"name":"Train ID","value":"217-01"},{"id":16,"name":"Locomotive ID","value":"4026"},{"id":130,"name":"Impact","value":""},{"id":150,"name":"Time of Event (Mountain Time)","value":"18:52:32"},{"id":151,"name":"Denver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/c/Users/stu/AppData/Local/Temp/OnboardLogs/RTDC4026 --include="*4026*201709020*"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"%USERPROFILE%\AppData\Local\Temp\OnboardLogs"\RTDC4026\*4026*201709020* &gt;&gt; 2017-09-01-SliceDisagreementCheck.txt</v>
      </c>
      <c r="AE22" s="145" t="str">
        <f t="shared" si="9"/>
        <v>start /low /b %USERPROFILE%\Documents\GitHub\eaglep3\Utilities\DownloadLogsFromS3.py --loco 4026 --day 2017-09-02</v>
      </c>
      <c r="AF22" s="1"/>
    </row>
    <row r="23" spans="1:32" x14ac:dyDescent="0.25">
      <c r="A23" s="31">
        <v>42979.555555555555</v>
      </c>
      <c r="B23" s="30" t="s">
        <v>581</v>
      </c>
      <c r="C23" s="30" t="s">
        <v>602</v>
      </c>
      <c r="D23" s="30" t="s">
        <v>49</v>
      </c>
      <c r="E23" s="30" t="s">
        <v>195</v>
      </c>
      <c r="F23" s="42">
        <v>150</v>
      </c>
      <c r="G23" s="42">
        <v>330</v>
      </c>
      <c r="H23" s="42">
        <v>55560</v>
      </c>
      <c r="I23" s="42">
        <v>56148</v>
      </c>
      <c r="J23" s="30" t="s">
        <v>196</v>
      </c>
      <c r="K23" s="42">
        <v>57008</v>
      </c>
      <c r="L23" s="131" t="s">
        <v>50</v>
      </c>
      <c r="M23" s="132">
        <f t="shared" si="0"/>
        <v>454.08</v>
      </c>
      <c r="N23" s="133" t="str">
        <f>VLOOKUP(C23,'Trips&amp;Operators'!$C$1:$G$99911,5,FALSE)</f>
        <v>STORY SAMANTHA</v>
      </c>
      <c r="O23" s="200" t="s">
        <v>180</v>
      </c>
      <c r="P23" s="134"/>
      <c r="Q23" s="30"/>
      <c r="R23" s="81" t="str">
        <f>VLOOKUP(C23,'Train Runs'!$A$13:$AE$9913,31,0)</f>
        <v>aws s3 cp s3://rtdc.mdm.uploadarchive.raw/RTDC4056/ "%USERPROFILE%\AppData\Local\Temp\OnboardLogs"\RTDC4056\2017-09-01 --exclude "*" --recursive --include "*20170901*" &amp; "%USERPROFILE%\Documents\GitHub\mrs-test-scripts\Headless Mode &amp; Sideloading\WalkAndUnGZ.bat" "%USERPROFILE%\AppData\Local\Temp\OnboardLogs"\RTDC4056\2017-09-01 &amp; aws s3 cp s3://rtdc.mdm.uploadarchive.raw/RTDC4056/ "%USERPROFILE%\AppData\Local\Temp\OnboardLogs"\RTDC4056\2017-09-02 --exclude "*" --recursive --include "*20170902*" &amp; "%USERPROFILE%\Documents\GitHub\mrs-test-scripts\Headless Mode &amp; Sideloading\WalkAndUnGZ.bat" "%USERPROFILE%\AppData\Local\Temp\OnboardLogs"\RTDC4056\2017-09-02</v>
      </c>
      <c r="S23" s="84" t="str">
        <f>VLOOKUP(C23,'Train Runs'!$A$13:$AE$9913,22,0)</f>
        <v>https://d0f6bd738d7f1b3e5a7ca70fe4ff75f0.us-east-1.aws.found.io/app/kibana#/discover/Steve-Slow-Train-Analysis-(2080s-and-2083s)?_g=(refreshInterval:(display:Off,pause:!f,section:0,value:0),time:(from:'2017-09-01T11:59:52-0600',mode:absolute,to:'2017-09-01T14:23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23" s="86" t="str">
        <f t="shared" si="1"/>
        <v>"C:\Program Files (x86)\AstroGrep\AstroGrep.exe" /e /r /s /spath="%USERPROFILE%\AppData\Local\Temp\OnboardLogs" /stypes="*4056*201709011*" /stext=" 19:.+((SYSTEM_STATE.+slice.+state.+changed )|(ment ac)|(multiple cpu faults)|(system.+state.+changed )|(\[timeout)|(PRM\|1\|D)|(kpr)|(kdp)|(train st.+moving)|(\|lc)|(penalty))"</v>
      </c>
      <c r="U23" s="9" t="str">
        <f t="shared" si="2"/>
        <v>4056</v>
      </c>
      <c r="V23" s="31">
        <f t="shared" si="3"/>
        <v>42979.805555555555</v>
      </c>
      <c r="W23" s="45" t="str">
        <f t="shared" si="4"/>
        <v>NW</v>
      </c>
      <c r="X23" s="22">
        <f t="shared" si="5"/>
        <v>821</v>
      </c>
      <c r="Y23" s="96" t="str">
        <f t="shared" si="6"/>
        <v>echo {"issue":{"subject":"","project_id":79,"tracker_id":40,"status_id":1,"priority_id":2,"assigned_to_id":338,"start_date":"2017-09-01","description":"","custom_fields":[{"id":1,"name":"Subdivision","value":"NW"},{"id":4,"name":"Milepost","value":"5.7008"},{"id":17,"name":"Train ID","value":"821-01"},{"id":16,"name":"Locomotive ID","value":"4056"},{"id":130,"name":"Impact","value":""},{"id":150,"name":"Time of Event (Mountain Time)","value":"13:20:00"},{"id":151,"name":"Denver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/c/Users/stu/AppData/Local/Temp/OnboardLogs/RTDC4056 --include="*4056*201709011*"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"%USERPROFILE%\AppData\Local\Temp\OnboardLogs"\RTDC4056\*4056*201709011* &gt;&gt; 2017-09-01-SliceDisagreementCheck.txt</v>
      </c>
      <c r="AE23" s="145" t="str">
        <f t="shared" si="9"/>
        <v>start /low /b %USERPROFILE%\Documents\GitHub\eaglep3\Utilities\DownloadLogsFromS3.py --loco 4056 --day 2017-09-01</v>
      </c>
      <c r="AF23" s="1"/>
    </row>
    <row r="24" spans="1:32" x14ac:dyDescent="0.25">
      <c r="A24" s="31">
        <v>42979.21947916667</v>
      </c>
      <c r="B24" s="30" t="s">
        <v>584</v>
      </c>
      <c r="C24" s="30" t="s">
        <v>585</v>
      </c>
      <c r="D24" s="30" t="s">
        <v>96</v>
      </c>
      <c r="E24" s="30" t="s">
        <v>195</v>
      </c>
      <c r="F24" s="42">
        <v>150</v>
      </c>
      <c r="G24" s="42">
        <v>200</v>
      </c>
      <c r="H24" s="42">
        <v>56779</v>
      </c>
      <c r="I24" s="42">
        <v>56371</v>
      </c>
      <c r="J24" s="30" t="s">
        <v>196</v>
      </c>
      <c r="K24" s="42">
        <v>59050</v>
      </c>
      <c r="L24" s="131" t="s">
        <v>51</v>
      </c>
      <c r="M24" s="132">
        <f t="shared" si="0"/>
        <v>-1414.5120000000002</v>
      </c>
      <c r="N24" s="133" t="str">
        <f>VLOOKUP(C24,'Trips&amp;Operators'!$C$1:$G$99911,5,FALSE)</f>
        <v>WILLIAMS DONTE</v>
      </c>
      <c r="O24" s="200" t="s">
        <v>180</v>
      </c>
      <c r="P24" s="134"/>
      <c r="Q24" s="30"/>
      <c r="R24" s="81" t="str">
        <f>VLOOKUP(C24,'Train Runs'!$A$13:$AE$9913,31,0)</f>
        <v>aws s3 cp s3://rtdc.mdm.uploadarchive.raw/RTDC4055/ "%USERPROFILE%\AppData\Local\Temp\OnboardLogs"\RTDC4055\2017-09-01 --exclude "*" --recursive --include "*20170901*" &amp; "%USERPROFILE%\Documents\GitHub\mrs-test-scripts\Headless Mode &amp; Sideloading\WalkAndUnGZ.bat" "%USERPROFILE%\AppData\Local\Temp\OnboardLogs"\RTDC4055\2017-09-01 &amp; aws s3 cp s3://rtdc.mdm.uploadarchive.raw/RTDC4055/ "%USERPROFILE%\AppData\Local\Temp\OnboardLogs"\RTDC4055\2017-09-02 --exclude "*" --recursive --include "*20170902*" &amp; "%USERPROFILE%\Documents\GitHub\mrs-test-scripts\Headless Mode &amp; Sideloading\WalkAndUnGZ.bat" "%USERPROFILE%\AppData\Local\Temp\OnboardLogs"\RTDC4055\2017-09-02</v>
      </c>
      <c r="S24" s="84" t="str">
        <f>VLOOKUP(C24,'Train Runs'!$A$13:$AE$9913,22,0)</f>
        <v>https://d0f6bd738d7f1b3e5a7ca70fe4ff75f0.us-east-1.aws.found.io/app/kibana#/discover/Steve-Slow-Train-Analysis-(2080s-and-2083s)?_g=(refreshInterval:(display:Off,pause:!f,section:0,value:0),time:(from:'2017-09-01T04:11:21-0600',mode:absolute,to:'2017-09-01T06:29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4" s="86" t="str">
        <f t="shared" si="1"/>
        <v>"C:\Program Files (x86)\AstroGrep\AstroGrep.exe" /e /r /s /spath="%USERPROFILE%\AppData\Local\Temp\OnboardLogs" /stypes="*4055*201709011*" /stext=" 11:.+((SYSTEM_STATE.+slice.+state.+changed )|(ment ac)|(multiple cpu faults)|(system.+state.+changed )|(\[timeout)|(PRM\|1\|D)|(kpr)|(kdp)|(train st.+moving)|(\|lc)|(penalty))"</v>
      </c>
      <c r="U24" s="9" t="str">
        <f t="shared" si="2"/>
        <v>4055</v>
      </c>
      <c r="V24" s="31">
        <f t="shared" si="3"/>
        <v>42979.46947916667</v>
      </c>
      <c r="W24" s="45" t="str">
        <f t="shared" si="4"/>
        <v>NW</v>
      </c>
      <c r="X24" s="22">
        <f t="shared" si="5"/>
        <v>800</v>
      </c>
      <c r="Y24" s="96" t="str">
        <f t="shared" si="6"/>
        <v>echo {"issue":{"subject":"","project_id":79,"tracker_id":40,"status_id":1,"priority_id":2,"assigned_to_id":338,"start_date":"2017-09-01","description":"","custom_fields":[{"id":1,"name":"Subdivision","value":"NW"},{"id":4,"name":"Milepost","value":"5.905"},{"id":17,"name":"Train ID","value":"800-01"},{"id":16,"name":"Locomotive ID","value":"4055"},{"id":130,"name":"Impact","value":""},{"id":150,"name":"Time of Event (Mountain Time)","value":"05:16:03"},{"id":151,"name":"Denver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/c/Users/stu/AppData/Local/Temp/OnboardLogs/RTDC4055 --include="*4055*201709011*"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"%USERPROFILE%\AppData\Local\Temp\OnboardLogs"\RTDC4055\*4055*201709011* &gt;&gt; 2017-09-01-SliceDisagreementCheck.txt</v>
      </c>
      <c r="AE24" s="145" t="str">
        <f t="shared" si="9"/>
        <v>start /low /b %USERPROFILE%\Documents\GitHub\eaglep3\Utilities\DownloadLogsFromS3.py --loco 4055 --day 2017-09-01</v>
      </c>
      <c r="AF24" s="1"/>
    </row>
    <row r="25" spans="1:32" x14ac:dyDescent="0.25">
      <c r="A25" s="31">
        <v>42979.571967592594</v>
      </c>
      <c r="B25" s="30" t="s">
        <v>584</v>
      </c>
      <c r="C25" s="30" t="s">
        <v>603</v>
      </c>
      <c r="D25" s="30" t="s">
        <v>96</v>
      </c>
      <c r="E25" s="30" t="s">
        <v>195</v>
      </c>
      <c r="F25" s="42">
        <v>150</v>
      </c>
      <c r="G25" s="42">
        <v>203</v>
      </c>
      <c r="H25" s="42">
        <v>56661</v>
      </c>
      <c r="I25" s="42">
        <v>56249</v>
      </c>
      <c r="J25" s="30" t="s">
        <v>196</v>
      </c>
      <c r="K25" s="42">
        <v>59050</v>
      </c>
      <c r="L25" s="131" t="s">
        <v>51</v>
      </c>
      <c r="M25" s="132">
        <f t="shared" si="0"/>
        <v>-1478.9280000000001</v>
      </c>
      <c r="N25" s="133" t="str">
        <f>VLOOKUP(C25,'Trips&amp;Operators'!$C$1:$G$99911,5,FALSE)</f>
        <v>STORY SAMANTHA</v>
      </c>
      <c r="O25" s="200" t="s">
        <v>180</v>
      </c>
      <c r="P25" s="134"/>
      <c r="Q25" s="30"/>
      <c r="R25" s="81" t="str">
        <f>VLOOKUP(C25,'Train Runs'!$A$13:$AE$9913,31,0)</f>
        <v>aws s3 cp s3://rtdc.mdm.uploadarchive.raw/RTDC4055/ "%USERPROFILE%\AppData\Local\Temp\OnboardLogs"\RTDC4055\2017-09-01 --exclude "*" --recursive --include "*20170901*" &amp; "%USERPROFILE%\Documents\GitHub\mrs-test-scripts\Headless Mode &amp; Sideloading\WalkAndUnGZ.bat" "%USERPROFILE%\AppData\Local\Temp\OnboardLogs"\RTDC4055\2017-09-01 &amp; aws s3 cp s3://rtdc.mdm.uploadarchive.raw/RTDC4055/ "%USERPROFILE%\AppData\Local\Temp\OnboardLogs"\RTDC4055\2017-09-02 --exclude "*" --recursive --include "*20170902*" &amp; "%USERPROFILE%\Documents\GitHub\mrs-test-scripts\Headless Mode &amp; Sideloading\WalkAndUnGZ.bat" "%USERPROFILE%\AppData\Local\Temp\OnboardLogs"\RTDC4055\2017-09-02</v>
      </c>
      <c r="S25" s="84" t="str">
        <f>VLOOKUP(C25,'Train Runs'!$A$13:$AE$9913,22,0)</f>
        <v>https://d0f6bd738d7f1b3e5a7ca70fe4ff75f0.us-east-1.aws.found.io/app/kibana#/discover/Steve-Slow-Train-Analysis-(2080s-and-2083s)?_g=(refreshInterval:(display:Off,pause:!f,section:0,value:0),time:(from:'2017-09-01T12:27:19-0600',mode:absolute,to:'2017-09-01T14:55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5" s="86" t="str">
        <f t="shared" si="1"/>
        <v>"C:\Program Files (x86)\AstroGrep\AstroGrep.exe" /e /r /s /spath="%USERPROFILE%\AppData\Local\Temp\OnboardLogs" /stypes="*4055*201709011*" /stext=" 19:.+((SYSTEM_STATE.+slice.+state.+changed )|(ment ac)|(multiple cpu faults)|(system.+state.+changed )|(\[timeout)|(PRM\|1\|D)|(kpr)|(kdp)|(train st.+moving)|(\|lc)|(penalty))"</v>
      </c>
      <c r="U25" s="9" t="str">
        <f t="shared" si="2"/>
        <v>4055</v>
      </c>
      <c r="V25" s="31">
        <f t="shared" si="3"/>
        <v>42979.821967592594</v>
      </c>
      <c r="W25" s="45" t="str">
        <f t="shared" si="4"/>
        <v>NW</v>
      </c>
      <c r="X25" s="22">
        <f t="shared" si="5"/>
        <v>822</v>
      </c>
      <c r="Y25" s="96" t="str">
        <f t="shared" si="6"/>
        <v>echo {"issue":{"subject":"","project_id":79,"tracker_id":40,"status_id":1,"priority_id":2,"assigned_to_id":338,"start_date":"2017-09-01","description":"","custom_fields":[{"id":1,"name":"Subdivision","value":"NW"},{"id":4,"name":"Milepost","value":"5.905"},{"id":17,"name":"Train ID","value":"822-01"},{"id":16,"name":"Locomotive ID","value":"4055"},{"id":130,"name":"Impact","value":""},{"id":150,"name":"Time of Event (Mountain Time)","value":"13:43:38"},{"id":151,"name":"Denver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/c/Users/stu/AppData/Local/Temp/OnboardLogs/RTDC4055 --include="*4055*201709011*"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"%USERPROFILE%\AppData\Local\Temp\OnboardLogs"\RTDC4055\*4055*201709011* &gt;&gt; 2017-09-01-SliceDisagreementCheck.txt</v>
      </c>
      <c r="AE25" s="145" t="str">
        <f t="shared" si="9"/>
        <v>start /low /b %USERPROFILE%\Documents\GitHub\eaglep3\Utilities\DownloadLogsFromS3.py --loco 4055 --day 2017-09-01</v>
      </c>
      <c r="AF25" s="1"/>
    </row>
    <row r="26" spans="1:32" x14ac:dyDescent="0.25">
      <c r="A26" s="31">
        <v>42979.260763888888</v>
      </c>
      <c r="B26" s="30" t="s">
        <v>587</v>
      </c>
      <c r="C26" s="30" t="s">
        <v>588</v>
      </c>
      <c r="D26" s="30" t="s">
        <v>49</v>
      </c>
      <c r="E26" s="30" t="s">
        <v>368</v>
      </c>
      <c r="F26" s="42">
        <v>0</v>
      </c>
      <c r="G26" s="42">
        <v>287</v>
      </c>
      <c r="H26" s="42">
        <v>32558</v>
      </c>
      <c r="I26" s="42">
        <v>33187</v>
      </c>
      <c r="J26" s="30" t="s">
        <v>369</v>
      </c>
      <c r="K26" s="42">
        <v>34583</v>
      </c>
      <c r="L26" s="131" t="s">
        <v>50</v>
      </c>
      <c r="M26" s="132">
        <f t="shared" si="0"/>
        <v>737.08799999999997</v>
      </c>
      <c r="N26" s="133" t="str">
        <f>VLOOKUP(C26,'Trips&amp;Operators'!$C$1:$G$99911,5,FALSE)</f>
        <v>TOUSIGNAUT CARL</v>
      </c>
      <c r="O26" s="200" t="s">
        <v>180</v>
      </c>
      <c r="P26" s="134" t="s">
        <v>996</v>
      </c>
      <c r="Q26" s="30"/>
      <c r="R26" s="81" t="str">
        <f>VLOOKUP(C26,'Train Runs'!$A$13:$AE$9913,31,0)</f>
        <v>aws s3 cp s3://rtdc.mdm.uploadarchive.raw/RTDC4044/ "%USERPROFILE%\AppData\Local\Temp\OnboardLogs"\RTDC4044\2017-09-01 --exclude "*" --recursive --include "*20170901*" &amp; "%USERPROFILE%\Documents\GitHub\mrs-test-scripts\Headless Mode &amp; Sideloading\WalkAndUnGZ.bat" "%USERPROFILE%\AppData\Local\Temp\OnboardLogs"\RTDC4044\2017-09-01 &amp; aws s3 cp s3://rtdc.mdm.uploadarchive.raw/RTDC4044/ "%USERPROFILE%\AppData\Local\Temp\OnboardLogs"\RTDC4044\2017-09-02 --exclude "*" --recursive --include "*20170902*" &amp; "%USERPROFILE%\Documents\GitHub\mrs-test-scripts\Headless Mode &amp; Sideloading\WalkAndUnGZ.bat" "%USERPROFILE%\AppData\Local\Temp\OnboardLogs"\RTDC4044\2017-09-02</v>
      </c>
      <c r="S26" s="84" t="str">
        <f>VLOOKUP(C26,'Train Runs'!$A$13:$AE$9913,22,0)</f>
        <v>https://d0f6bd738d7f1b3e5a7ca70fe4ff75f0.us-east-1.aws.found.io/app/kibana#/discover/Steve-Slow-Train-Analysis-(2080s-and-2083s)?_g=(refreshInterval:(display:Off,pause:!f,section:0,value:0),time:(from:'2017-09-01T05:01:40-0600',mode:absolute,to:'2017-09-01T07:24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26" s="86" t="str">
        <f t="shared" si="1"/>
        <v>"C:\Program Files (x86)\AstroGrep\AstroGrep.exe" /e /r /s /spath="%USERPROFILE%\AppData\Local\Temp\OnboardLogs" /stypes="*4044*201709011*" /stext=" 12:.+((SYSTEM_STATE.+slice.+state.+changed )|(ment ac)|(multiple cpu faults)|(system.+state.+changed )|(\[timeout)|(PRM\|1\|D)|(kpr)|(kdp)|(train st.+moving)|(\|lc)|(penalty))"</v>
      </c>
      <c r="U26" s="9" t="str">
        <f t="shared" si="2"/>
        <v>4044</v>
      </c>
      <c r="V26" s="31">
        <f t="shared" si="3"/>
        <v>42979.510763888888</v>
      </c>
      <c r="W26" s="45" t="str">
        <f t="shared" si="4"/>
        <v>NW</v>
      </c>
      <c r="X26" s="22">
        <f t="shared" si="5"/>
        <v>803</v>
      </c>
      <c r="Y26" s="96" t="str">
        <f t="shared" si="6"/>
        <v>echo {"issue":{"subject":"RESTRICTING aspect","project_id":79,"tracker_id":40,"status_id":1,"priority_id":2,"assigned_to_id":338,"start_date":"2017-09-01","description":"","custom_fields":[{"id":1,"name":"Subdivision","value":"NW"},{"id":4,"name":"Milepost","value":"3.4583"},{"id":17,"name":"Train ID","value":"803-01"},{"id":16,"name":"Locomotive ID","value":"4044"},{"id":130,"name":"Impact","value":""},{"id":150,"name":"Time of Event (Mountain Time)","value":"06:15:30"},{"id":151,"name":"Denver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/c/Users/stu/AppData/Local/Temp/OnboardLogs/RTDC4044 --include="*4044*201709011*"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"%USERPROFILE%\AppData\Local\Temp\OnboardLogs"\RTDC4044\*4044*201709011* &gt;&gt; 2017-09-01-SliceDisagreementCheck.txt</v>
      </c>
      <c r="AE26" s="145" t="str">
        <f t="shared" si="9"/>
        <v>start /low /b %USERPROFILE%\Documents\GitHub\eaglep3\Utilities\DownloadLogsFromS3.py --loco 4044 --day 2017-09-01</v>
      </c>
      <c r="AF26" s="1"/>
    </row>
    <row r="27" spans="1:32" x14ac:dyDescent="0.25">
      <c r="A27" s="31">
        <v>42979.282106481478</v>
      </c>
      <c r="B27" s="30" t="s">
        <v>581</v>
      </c>
      <c r="C27" s="30" t="s">
        <v>589</v>
      </c>
      <c r="D27" s="30" t="s">
        <v>49</v>
      </c>
      <c r="E27" s="30" t="s">
        <v>368</v>
      </c>
      <c r="F27" s="42">
        <v>0</v>
      </c>
      <c r="G27" s="42">
        <v>289</v>
      </c>
      <c r="H27" s="42">
        <v>32534</v>
      </c>
      <c r="I27" s="42">
        <v>33310</v>
      </c>
      <c r="J27" s="30" t="s">
        <v>369</v>
      </c>
      <c r="K27" s="42">
        <v>34583</v>
      </c>
      <c r="L27" s="131" t="s">
        <v>50</v>
      </c>
      <c r="M27" s="132">
        <f t="shared" si="0"/>
        <v>672.14400000000001</v>
      </c>
      <c r="N27" s="133" t="str">
        <f>VLOOKUP(C27,'Trips&amp;Operators'!$C$1:$G$99911,5,FALSE)</f>
        <v>HUFFSMITH MONTY</v>
      </c>
      <c r="O27" s="200" t="s">
        <v>180</v>
      </c>
      <c r="P27" s="134" t="s">
        <v>996</v>
      </c>
      <c r="Q27" s="30"/>
      <c r="R27" s="81" t="str">
        <f>VLOOKUP(C27,'Train Runs'!$A$13:$AE$9913,31,0)</f>
        <v>aws s3 cp s3://rtdc.mdm.uploadarchive.raw/RTDC4056/ "%USERPROFILE%\AppData\Local\Temp\OnboardLogs"\RTDC4056\2017-09-01 --exclude "*" --recursive --include "*20170901*" &amp; "%USERPROFILE%\Documents\GitHub\mrs-test-scripts\Headless Mode &amp; Sideloading\WalkAndUnGZ.bat" "%USERPROFILE%\AppData\Local\Temp\OnboardLogs"\RTDC4056\2017-09-01 &amp; aws s3 cp s3://rtdc.mdm.uploadarchive.raw/RTDC4056/ "%USERPROFILE%\AppData\Local\Temp\OnboardLogs"\RTDC4056\2017-09-02 --exclude "*" --recursive --include "*20170902*" &amp; "%USERPROFILE%\Documents\GitHub\mrs-test-scripts\Headless Mode &amp; Sideloading\WalkAndUnGZ.bat" "%USERPROFILE%\AppData\Local\Temp\OnboardLogs"\RTDC4056\2017-09-02</v>
      </c>
      <c r="S27" s="84" t="str">
        <f>VLOOKUP(C27,'Train Runs'!$A$13:$AE$9913,22,0)</f>
        <v>https://d0f6bd738d7f1b3e5a7ca70fe4ff75f0.us-east-1.aws.found.io/app/kibana#/discover/Steve-Slow-Train-Analysis-(2080s-and-2083s)?_g=(refreshInterval:(display:Off,pause:!f,section:0,value:0),time:(from:'2017-09-01T05:31:47-0600',mode:absolute,to:'2017-09-01T07:54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27" s="86" t="str">
        <f t="shared" si="1"/>
        <v>"C:\Program Files (x86)\AstroGrep\AstroGrep.exe" /e /r /s /spath="%USERPROFILE%\AppData\Local\Temp\OnboardLogs" /stypes="*4056*201709011*" /stext=" 12:.+((SYSTEM_STATE.+slice.+state.+changed )|(ment ac)|(multiple cpu faults)|(system.+state.+changed )|(\[timeout)|(PRM\|1\|D)|(kpr)|(kdp)|(train st.+moving)|(\|lc)|(penalty))"</v>
      </c>
      <c r="U27" s="9" t="str">
        <f t="shared" si="2"/>
        <v>4056</v>
      </c>
      <c r="V27" s="31">
        <f t="shared" si="3"/>
        <v>42979.532106481478</v>
      </c>
      <c r="W27" s="45" t="str">
        <f t="shared" si="4"/>
        <v>NW</v>
      </c>
      <c r="X27" s="22">
        <f t="shared" si="5"/>
        <v>805</v>
      </c>
      <c r="Y27" s="96" t="str">
        <f t="shared" si="6"/>
        <v>echo {"issue":{"subject":"RESTRICTING aspect","project_id":79,"tracker_id":40,"status_id":1,"priority_id":2,"assigned_to_id":338,"start_date":"2017-09-01","description":"","custom_fields":[{"id":1,"name":"Subdivision","value":"NW"},{"id":4,"name":"Milepost","value":"3.4583"},{"id":17,"name":"Train ID","value":"805-01"},{"id":16,"name":"Locomotive ID","value":"4056"},{"id":130,"name":"Impact","value":""},{"id":150,"name":"Time of Event (Mountain Time)","value":"06:46:14"},{"id":151,"name":"Denver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/c/Users/stu/AppData/Local/Temp/OnboardLogs/RTDC4056 --include="*4056*201709011*"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"%USERPROFILE%\AppData\Local\Temp\OnboardLogs"\RTDC4056\*4056*201709011* &gt;&gt; 2017-09-01-SliceDisagreementCheck.txt</v>
      </c>
      <c r="AE27" s="145" t="str">
        <f t="shared" si="9"/>
        <v>start /low /b %USERPROFILE%\Documents\GitHub\eaglep3\Utilities\DownloadLogsFromS3.py --loco 4056 --day 2017-09-01</v>
      </c>
      <c r="AF27" s="1"/>
    </row>
    <row r="28" spans="1:32" x14ac:dyDescent="0.25">
      <c r="A28" s="31">
        <v>42979.302453703705</v>
      </c>
      <c r="B28" s="30" t="s">
        <v>587</v>
      </c>
      <c r="C28" s="30" t="s">
        <v>590</v>
      </c>
      <c r="D28" s="30" t="s">
        <v>49</v>
      </c>
      <c r="E28" s="30" t="s">
        <v>368</v>
      </c>
      <c r="F28" s="42">
        <v>0</v>
      </c>
      <c r="G28" s="42">
        <v>288</v>
      </c>
      <c r="H28" s="42">
        <v>32736</v>
      </c>
      <c r="I28" s="42">
        <v>33338</v>
      </c>
      <c r="J28" s="30" t="s">
        <v>369</v>
      </c>
      <c r="K28" s="42">
        <v>34583</v>
      </c>
      <c r="L28" s="131" t="s">
        <v>50</v>
      </c>
      <c r="M28" s="132">
        <f t="shared" si="0"/>
        <v>657.36</v>
      </c>
      <c r="N28" s="133" t="str">
        <f>VLOOKUP(C28,'Trips&amp;Operators'!$C$1:$G$99911,5,FALSE)</f>
        <v>TOUSIGNAUT CARL</v>
      </c>
      <c r="O28" s="200" t="s">
        <v>180</v>
      </c>
      <c r="P28" s="134" t="s">
        <v>996</v>
      </c>
      <c r="Q28" s="30"/>
      <c r="R28" s="81" t="str">
        <f>VLOOKUP(C28,'Train Runs'!$A$13:$AE$9913,31,0)</f>
        <v>aws s3 cp s3://rtdc.mdm.uploadarchive.raw/RTDC4044/ "%USERPROFILE%\AppData\Local\Temp\OnboardLogs"\RTDC4044\2017-09-01 --exclude "*" --recursive --include "*20170901*" &amp; "%USERPROFILE%\Documents\GitHub\mrs-test-scripts\Headless Mode &amp; Sideloading\WalkAndUnGZ.bat" "%USERPROFILE%\AppData\Local\Temp\OnboardLogs"\RTDC4044\2017-09-01 &amp; aws s3 cp s3://rtdc.mdm.uploadarchive.raw/RTDC4044/ "%USERPROFILE%\AppData\Local\Temp\OnboardLogs"\RTDC4044\2017-09-02 --exclude "*" --recursive --include "*20170902*" &amp; "%USERPROFILE%\Documents\GitHub\mrs-test-scripts\Headless Mode &amp; Sideloading\WalkAndUnGZ.bat" "%USERPROFILE%\AppData\Local\Temp\OnboardLogs"\RTDC4044\2017-09-02</v>
      </c>
      <c r="S28" s="84" t="str">
        <f>VLOOKUP(C28,'Train Runs'!$A$13:$AE$9913,22,0)</f>
        <v>https://d0f6bd738d7f1b3e5a7ca70fe4ff75f0.us-east-1.aws.found.io/app/kibana#/discover/Steve-Slow-Train-Analysis-(2080s-and-2083s)?_g=(refreshInterval:(display:Off,pause:!f,section:0,value:0),time:(from:'2017-09-01T05:57:04-0600',mode:absolute,to:'2017-09-01T08:23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28" s="86" t="str">
        <f t="shared" si="1"/>
        <v>"C:\Program Files (x86)\AstroGrep\AstroGrep.exe" /e /r /s /spath="%USERPROFILE%\AppData\Local\Temp\OnboardLogs" /stypes="*4044*201709011*" /stext=" 13:.+((SYSTEM_STATE.+slice.+state.+changed )|(ment ac)|(multiple cpu faults)|(system.+state.+changed )|(\[timeout)|(PRM\|1\|D)|(kpr)|(kdp)|(train st.+moving)|(\|lc)|(penalty))"</v>
      </c>
      <c r="U28" s="9" t="str">
        <f t="shared" si="2"/>
        <v>4044</v>
      </c>
      <c r="V28" s="31">
        <f t="shared" si="3"/>
        <v>42979.552453703705</v>
      </c>
      <c r="W28" s="45" t="str">
        <f t="shared" si="4"/>
        <v>NW</v>
      </c>
      <c r="X28" s="22">
        <f t="shared" si="5"/>
        <v>807</v>
      </c>
      <c r="Y28" s="96" t="str">
        <f t="shared" si="6"/>
        <v>echo {"issue":{"subject":"RESTRICTING aspect","project_id":79,"tracker_id":40,"status_id":1,"priority_id":2,"assigned_to_id":338,"start_date":"2017-09-01","description":"","custom_fields":[{"id":1,"name":"Subdivision","value":"NW"},{"id":4,"name":"Milepost","value":"3.4583"},{"id":17,"name":"Train ID","value":"807-01"},{"id":16,"name":"Locomotive ID","value":"4044"},{"id":130,"name":"Impact","value":""},{"id":150,"name":"Time of Event (Mountain Time)","value":"07:15:32"},{"id":151,"name":"Denver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/c/Users/stu/AppData/Local/Temp/OnboardLogs/RTDC4044 --include="*4044*201709011*"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"%USERPROFILE%\AppData\Local\Temp\OnboardLogs"\RTDC4044\*4044*201709011* &gt;&gt; 2017-09-01-SliceDisagreementCheck.txt</v>
      </c>
      <c r="AE28" s="145" t="str">
        <f t="shared" si="9"/>
        <v>start /low /b %USERPROFILE%\Documents\GitHub\eaglep3\Utilities\DownloadLogsFromS3.py --loco 4044 --day 2017-09-01</v>
      </c>
      <c r="AF28" s="1"/>
    </row>
    <row r="29" spans="1:32" x14ac:dyDescent="0.25">
      <c r="A29" s="31">
        <v>42979.762638888889</v>
      </c>
      <c r="B29" s="30" t="s">
        <v>581</v>
      </c>
      <c r="C29" s="30" t="s">
        <v>608</v>
      </c>
      <c r="D29" s="30" t="s">
        <v>96</v>
      </c>
      <c r="E29" s="30" t="s">
        <v>368</v>
      </c>
      <c r="F29" s="42">
        <v>200</v>
      </c>
      <c r="G29" s="42">
        <v>251</v>
      </c>
      <c r="H29" s="42">
        <v>35697</v>
      </c>
      <c r="I29" s="42">
        <v>36515</v>
      </c>
      <c r="J29" s="30" t="s">
        <v>369</v>
      </c>
      <c r="K29" s="42">
        <v>34583</v>
      </c>
      <c r="L29" s="131" t="s">
        <v>50</v>
      </c>
      <c r="M29" s="132">
        <f t="shared" si="0"/>
        <v>-1020.096</v>
      </c>
      <c r="N29" s="133" t="str">
        <f>VLOOKUP(C29,'Trips&amp;Operators'!$C$1:$G$99911,5,FALSE)</f>
        <v>BIRKHOLZ NADINE</v>
      </c>
      <c r="O29" s="200" t="s">
        <v>180</v>
      </c>
      <c r="P29" s="134" t="s">
        <v>996</v>
      </c>
      <c r="Q29" s="30"/>
      <c r="R29" s="81" t="str">
        <f>VLOOKUP(C29,'Train Runs'!$A$13:$AE$9913,31,0)</f>
        <v>aws s3 cp s3://rtdc.mdm.uploadarchive.raw/RTDC4056/ "%USERPROFILE%\AppData\Local\Temp\OnboardLogs"\RTDC4056\2017-09-01 --exclude "*" --recursive --include "*20170901*" &amp; "%USERPROFILE%\Documents\GitHub\mrs-test-scripts\Headless Mode &amp; Sideloading\WalkAndUnGZ.bat" "%USERPROFILE%\AppData\Local\Temp\OnboardLogs"\RTDC4056\2017-09-01 &amp; aws s3 cp s3://rtdc.mdm.uploadarchive.raw/RTDC4056/ "%USERPROFILE%\AppData\Local\Temp\OnboardLogs"\RTDC4056\2017-09-02 --exclude "*" --recursive --include "*20170902*" &amp; "%USERPROFILE%\Documents\GitHub\mrs-test-scripts\Headless Mode &amp; Sideloading\WalkAndUnGZ.bat" "%USERPROFILE%\AppData\Local\Temp\OnboardLogs"\RTDC4056\2017-09-02</v>
      </c>
      <c r="S29" s="84" t="str">
        <f>VLOOKUP(C29,'Train Runs'!$A$13:$AE$9913,22,0)</f>
        <v>https://d0f6bd738d7f1b3e5a7ca70fe4ff75f0.us-east-1.aws.found.io/app/kibana#/discover/Steve-Slow-Train-Analysis-(2080s-and-2083s)?_g=(refreshInterval:(display:Off,pause:!f,section:0,value:0),time:(from:'2017-09-01T17:05:48-0600',mode:absolute,to:'2017-09-01T19:25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29" s="86" t="str">
        <f t="shared" si="1"/>
        <v>"C:\Program Files (x86)\AstroGrep\AstroGrep.exe" /e /r /s /spath="%USERPROFILE%\AppData\Local\Temp\OnboardLogs" /stypes="*4056*201709020*" /stext=" 00:.+((SYSTEM_STATE.+slice.+state.+changed )|(ment ac)|(multiple cpu faults)|(system.+state.+changed )|(\[timeout)|(PRM\|1\|D)|(kpr)|(kdp)|(train st.+moving)|(\|lc)|(penalty))"</v>
      </c>
      <c r="U29" s="9" t="str">
        <f t="shared" si="2"/>
        <v>4056</v>
      </c>
      <c r="V29" s="31">
        <f t="shared" si="3"/>
        <v>42980.012638888889</v>
      </c>
      <c r="W29" s="45" t="str">
        <f t="shared" si="4"/>
        <v>NW</v>
      </c>
      <c r="X29" s="22">
        <f t="shared" si="5"/>
        <v>837</v>
      </c>
      <c r="Y29" s="96" t="str">
        <f t="shared" si="6"/>
        <v>echo {"issue":{"subject":"RESTRICTING aspect","project_id":79,"tracker_id":40,"status_id":1,"priority_id":2,"assigned_to_id":338,"start_date":"2017-09-01","description":"","custom_fields":[{"id":1,"name":"Subdivision","value":"NW"},{"id":4,"name":"Milepost","value":"3.4583"},{"id":17,"name":"Train ID","value":"837-01"},{"id":16,"name":"Locomotive ID","value":"4056"},{"id":130,"name":"Impact","value":""},{"id":150,"name":"Time of Event (Mountain Time)","value":"18:18:12"},{"id":151,"name":"Denver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/c/Users/stu/AppData/Local/Temp/OnboardLogs/RTDC4056 --include="*4056*201709020*"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"%USERPROFILE%\AppData\Local\Temp\OnboardLogs"\RTDC4056\*4056*201709020* &gt;&gt; 2017-09-01-SliceDisagreementCheck.txt</v>
      </c>
      <c r="AE29" s="145" t="str">
        <f t="shared" si="9"/>
        <v>start /low /b %USERPROFILE%\Documents\GitHub\eaglep3\Utilities\DownloadLogsFromS3.py --loco 4056 --day 2017-09-02</v>
      </c>
      <c r="AF29" s="1"/>
    </row>
    <row r="30" spans="1:32" x14ac:dyDescent="0.25">
      <c r="A30" s="31">
        <v>42979.663344907407</v>
      </c>
      <c r="B30" s="30" t="s">
        <v>584</v>
      </c>
      <c r="C30" s="30" t="s">
        <v>604</v>
      </c>
      <c r="D30" s="30" t="s">
        <v>49</v>
      </c>
      <c r="E30" s="30" t="s">
        <v>181</v>
      </c>
      <c r="F30" s="42">
        <v>0</v>
      </c>
      <c r="G30" s="42">
        <v>22</v>
      </c>
      <c r="H30" s="42">
        <v>601</v>
      </c>
      <c r="I30" s="42">
        <v>589</v>
      </c>
      <c r="J30" s="30" t="s">
        <v>182</v>
      </c>
      <c r="K30" s="42">
        <v>575</v>
      </c>
      <c r="L30" s="131" t="s">
        <v>51</v>
      </c>
      <c r="M30" s="132">
        <f t="shared" si="0"/>
        <v>7.3920000000000003</v>
      </c>
      <c r="N30" s="133" t="str">
        <f>VLOOKUP(C30,'Trips&amp;Operators'!$C$1:$G$99911,5,FALSE)</f>
        <v>STORY SAMANTHA</v>
      </c>
      <c r="O30" s="200" t="s">
        <v>180</v>
      </c>
      <c r="P30" s="134"/>
      <c r="Q30" s="30"/>
      <c r="R30" s="81" t="str">
        <f>VLOOKUP(C30,'Train Runs'!$A$13:$AE$9913,31,0)</f>
        <v>aws s3 cp s3://rtdc.mdm.uploadarchive.raw/RTDC4055/ "%USERPROFILE%\AppData\Local\Temp\OnboardLogs"\RTDC4055\2017-09-01 --exclude "*" --recursive --include "*20170901*" &amp; "%USERPROFILE%\Documents\GitHub\mrs-test-scripts\Headless Mode &amp; Sideloading\WalkAndUnGZ.bat" "%USERPROFILE%\AppData\Local\Temp\OnboardLogs"\RTDC4055\2017-09-01 &amp; aws s3 cp s3://rtdc.mdm.uploadarchive.raw/RTDC4055/ "%USERPROFILE%\AppData\Local\Temp\OnboardLogs"\RTDC4055\2017-09-02 --exclude "*" --recursive --include "*20170902*" &amp; "%USERPROFILE%\Documents\GitHub\mrs-test-scripts\Headless Mode &amp; Sideloading\WalkAndUnGZ.bat" "%USERPROFILE%\AppData\Local\Temp\OnboardLogs"\RTDC4055\2017-09-02</v>
      </c>
      <c r="S30" s="84" t="str">
        <f>VLOOKUP(C30,'Train Runs'!$A$13:$AE$9913,22,0)</f>
        <v>https://d0f6bd738d7f1b3e5a7ca70fe4ff75f0.us-east-1.aws.found.io/app/kibana#/discover/Steve-Slow-Train-Analysis-(2080s-and-2083s)?_g=(refreshInterval:(display:Off,pause:!f,section:0,value:0),time:(from:'2017-09-01T14:37:28-0600',mode:absolute,to:'2017-09-01T16:55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30" s="86" t="str">
        <f t="shared" si="1"/>
        <v>"C:\Program Files (x86)\AstroGrep\AstroGrep.exe" /e /r /s /spath="%USERPROFILE%\AppData\Local\Temp\OnboardLogs" /stypes="*4055*201709012*" /stext=" 21:.+((SYSTEM_STATE.+slice.+state.+changed )|(ment ac)|(multiple cpu faults)|(system.+state.+changed )|(\[timeout)|(PRM\|1\|D)|(kpr)|(kdp)|(train st.+moving)|(\|lc)|(penalty))"</v>
      </c>
      <c r="U30" s="9" t="str">
        <f t="shared" si="2"/>
        <v>4055</v>
      </c>
      <c r="V30" s="31">
        <f t="shared" si="3"/>
        <v>42979.913344907407</v>
      </c>
      <c r="W30" s="45" t="str">
        <f t="shared" si="4"/>
        <v>NW</v>
      </c>
      <c r="X30" s="22">
        <f t="shared" si="5"/>
        <v>826</v>
      </c>
      <c r="Y30" s="96" t="str">
        <f t="shared" si="6"/>
        <v>echo {"issue":{"subject":"","project_id":79,"tracker_id":40,"status_id":1,"priority_id":2,"assigned_to_id":338,"start_date":"2017-09-01","description":"","custom_fields":[{"id":1,"name":"Subdivision","value":"NW"},{"id":4,"name":"Milepost","value":"0.0575"},{"id":17,"name":"Train ID","value":"826-01"},{"id":16,"name":"Locomotive ID","value":"4055"},{"id":130,"name":"Impact","value":""},{"id":150,"name":"Time of Event (Mountain Time)","value":"15:55:13"},{"id":151,"name":"Denver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/c/Users/stu/AppData/Local/Temp/OnboardLogs/RTDC4055 --include="*4055*201709012*"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"%USERPROFILE%\AppData\Local\Temp\OnboardLogs"\RTDC4055\*4055*201709012* &gt;&gt; 2017-09-01-SliceDisagreementCheck.txt</v>
      </c>
      <c r="AE30" s="145" t="str">
        <f t="shared" si="9"/>
        <v>start /low /b %USERPROFILE%\Documents\GitHub\eaglep3\Utilities\DownloadLogsFromS3.py --loco 4055 --day 2017-09-01</v>
      </c>
      <c r="AF30" s="1"/>
    </row>
    <row r="31" spans="1:32" x14ac:dyDescent="0.25">
      <c r="A31" s="31">
        <v>42979.829872685186</v>
      </c>
      <c r="B31" s="30" t="s">
        <v>584</v>
      </c>
      <c r="C31" s="30" t="s">
        <v>611</v>
      </c>
      <c r="D31" s="30" t="s">
        <v>49</v>
      </c>
      <c r="E31" s="30" t="s">
        <v>181</v>
      </c>
      <c r="F31" s="42">
        <v>0</v>
      </c>
      <c r="G31" s="42">
        <v>38</v>
      </c>
      <c r="H31" s="42">
        <v>668</v>
      </c>
      <c r="I31" s="42">
        <v>647</v>
      </c>
      <c r="J31" s="30" t="s">
        <v>182</v>
      </c>
      <c r="K31" s="42">
        <v>575</v>
      </c>
      <c r="L31" s="131" t="s">
        <v>51</v>
      </c>
      <c r="M31" s="132">
        <f t="shared" si="0"/>
        <v>38.015999999999998</v>
      </c>
      <c r="N31" s="133" t="str">
        <f>VLOOKUP(C31,'Trips&amp;Operators'!$C$1:$G$99911,5,FALSE)</f>
        <v>STORY SAMANTHA</v>
      </c>
      <c r="O31" s="200" t="s">
        <v>180</v>
      </c>
      <c r="P31" s="134"/>
      <c r="Q31" s="30"/>
      <c r="R31" s="81" t="str">
        <f>VLOOKUP(C31,'Train Runs'!$A$13:$AE$9913,31,0)</f>
        <v>aws s3 cp s3://rtdc.mdm.uploadarchive.raw/RTDC4055/ "%USERPROFILE%\AppData\Local\Temp\OnboardLogs"\RTDC4055\2017-09-01 --exclude "*" --recursive --include "*20170901*" &amp; "%USERPROFILE%\Documents\GitHub\mrs-test-scripts\Headless Mode &amp; Sideloading\WalkAndUnGZ.bat" "%USERPROFILE%\AppData\Local\Temp\OnboardLogs"\RTDC4055\2017-09-01 &amp; aws s3 cp s3://rtdc.mdm.uploadarchive.raw/RTDC4055/ "%USERPROFILE%\AppData\Local\Temp\OnboardLogs"\RTDC4055\2017-09-02 --exclude "*" --recursive --include "*20170902*" &amp; "%USERPROFILE%\Documents\GitHub\mrs-test-scripts\Headless Mode &amp; Sideloading\WalkAndUnGZ.bat" "%USERPROFILE%\AppData\Local\Temp\OnboardLogs"\RTDC4055\2017-09-02</v>
      </c>
      <c r="S31" s="84" t="str">
        <f>VLOOKUP(C31,'Train Runs'!$A$13:$AE$9913,22,0)</f>
        <v>https://d0f6bd738d7f1b3e5a7ca70fe4ff75f0.us-east-1.aws.found.io/app/kibana#/discover/Steve-Slow-Train-Analysis-(2080s-and-2083s)?_g=(refreshInterval:(display:Off,pause:!f,section:0,value:0),time:(from:'2017-09-01T18:26:05-0600',mode:absolute,to:'2017-09-01T20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31" s="86" t="str">
        <f t="shared" si="1"/>
        <v>"C:\Program Files (x86)\AstroGrep\AstroGrep.exe" /e /r /s /spath="%USERPROFILE%\AppData\Local\Temp\OnboardLogs" /stypes="*4055*201709020*" /stext=" 01:.+((SYSTEM_STATE.+slice.+state.+changed )|(ment ac)|(multiple cpu faults)|(system.+state.+changed )|(\[timeout)|(PRM\|1\|D)|(kpr)|(kdp)|(train st.+moving)|(\|lc)|(penalty))"</v>
      </c>
      <c r="U31" s="9" t="str">
        <f t="shared" si="2"/>
        <v>4055</v>
      </c>
      <c r="V31" s="31">
        <f t="shared" si="3"/>
        <v>42980.079872685186</v>
      </c>
      <c r="W31" s="45" t="str">
        <f t="shared" si="4"/>
        <v>NW</v>
      </c>
      <c r="X31" s="22">
        <f t="shared" si="5"/>
        <v>840</v>
      </c>
      <c r="Y31" s="96" t="str">
        <f t="shared" si="6"/>
        <v>echo {"issue":{"subject":"","project_id":79,"tracker_id":40,"status_id":1,"priority_id":2,"assigned_to_id":338,"start_date":"2017-09-01","description":"","custom_fields":[{"id":1,"name":"Subdivision","value":"NW"},{"id":4,"name":"Milepost","value":"0.0575"},{"id":17,"name":"Train ID","value":"840-01"},{"id":16,"name":"Locomotive ID","value":"4055"},{"id":130,"name":"Impact","value":""},{"id":150,"name":"Time of Event (Mountain Time)","value":"19:55:01"},{"id":151,"name":"Denver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/c/Users/stu/AppData/Local/Temp/OnboardLogs/RTDC4055 --include="*4055*201709020*"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"%USERPROFILE%\AppData\Local\Temp\OnboardLogs"\RTDC4055\*4055*201709020* &gt;&gt; 2017-09-01-SliceDisagreementCheck.txt</v>
      </c>
      <c r="AE31" s="145" t="str">
        <f t="shared" si="9"/>
        <v>start /low /b %USERPROFILE%\Documents\GitHub\eaglep3\Utilities\DownloadLogsFromS3.py --loco 4055 --day 2017-09-02</v>
      </c>
      <c r="AF31" s="1"/>
    </row>
    <row r="32" spans="1:32" x14ac:dyDescent="0.25">
      <c r="A32" s="31">
        <v>42979.308159722219</v>
      </c>
      <c r="B32" s="30" t="s">
        <v>587</v>
      </c>
      <c r="C32" s="30" t="s">
        <v>590</v>
      </c>
      <c r="D32" s="30" t="s">
        <v>49</v>
      </c>
      <c r="E32" s="30" t="s">
        <v>181</v>
      </c>
      <c r="F32" s="42">
        <v>0</v>
      </c>
      <c r="G32" s="42">
        <v>130</v>
      </c>
      <c r="H32" s="42">
        <v>58515</v>
      </c>
      <c r="I32" s="42">
        <v>58647</v>
      </c>
      <c r="J32" s="30" t="s">
        <v>182</v>
      </c>
      <c r="K32" s="42">
        <v>59048</v>
      </c>
      <c r="L32" s="131" t="s">
        <v>50</v>
      </c>
      <c r="M32" s="132">
        <f t="shared" si="0"/>
        <v>211.72800000000001</v>
      </c>
      <c r="N32" s="133" t="str">
        <f>VLOOKUP(C32,'Trips&amp;Operators'!$C$1:$G$99911,5,FALSE)</f>
        <v>TOUSIGNAUT CARL</v>
      </c>
      <c r="O32" s="200" t="s">
        <v>180</v>
      </c>
      <c r="P32" s="134"/>
      <c r="Q32" s="30"/>
      <c r="R32" s="81" t="str">
        <f>VLOOKUP(C32,'Train Runs'!$A$13:$AE$9913,31,0)</f>
        <v>aws s3 cp s3://rtdc.mdm.uploadarchive.raw/RTDC4044/ "%USERPROFILE%\AppData\Local\Temp\OnboardLogs"\RTDC4044\2017-09-01 --exclude "*" --recursive --include "*20170901*" &amp; "%USERPROFILE%\Documents\GitHub\mrs-test-scripts\Headless Mode &amp; Sideloading\WalkAndUnGZ.bat" "%USERPROFILE%\AppData\Local\Temp\OnboardLogs"\RTDC4044\2017-09-01 &amp; aws s3 cp s3://rtdc.mdm.uploadarchive.raw/RTDC4044/ "%USERPROFILE%\AppData\Local\Temp\OnboardLogs"\RTDC4044\2017-09-02 --exclude "*" --recursive --include "*20170902*" &amp; "%USERPROFILE%\Documents\GitHub\mrs-test-scripts\Headless Mode &amp; Sideloading\WalkAndUnGZ.bat" "%USERPROFILE%\AppData\Local\Temp\OnboardLogs"\RTDC4044\2017-09-02</v>
      </c>
      <c r="S32" s="84" t="str">
        <f>VLOOKUP(C32,'Train Runs'!$A$13:$AE$9913,22,0)</f>
        <v>https://d0f6bd738d7f1b3e5a7ca70fe4ff75f0.us-east-1.aws.found.io/app/kibana#/discover/Steve-Slow-Train-Analysis-(2080s-and-2083s)?_g=(refreshInterval:(display:Off,pause:!f,section:0,value:0),time:(from:'2017-09-01T05:57:04-0600',mode:absolute,to:'2017-09-01T08:23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2" s="86" t="str">
        <f t="shared" si="1"/>
        <v>"C:\Program Files (x86)\AstroGrep\AstroGrep.exe" /e /r /s /spath="%USERPROFILE%\AppData\Local\Temp\OnboardLogs" /stypes="*4044*201709011*" /stext=" 13:.+((SYSTEM_STATE.+slice.+state.+changed )|(ment ac)|(multiple cpu faults)|(system.+state.+changed )|(\[timeout)|(PRM\|1\|D)|(kpr)|(kdp)|(train st.+moving)|(\|lc)|(penalty))"</v>
      </c>
      <c r="U32" s="9" t="str">
        <f t="shared" si="2"/>
        <v>4044</v>
      </c>
      <c r="V32" s="31">
        <f t="shared" si="3"/>
        <v>42979.558159722219</v>
      </c>
      <c r="W32" s="45" t="str">
        <f t="shared" si="4"/>
        <v>NW</v>
      </c>
      <c r="X32" s="22">
        <f t="shared" si="5"/>
        <v>807</v>
      </c>
      <c r="Y32" s="96" t="str">
        <f t="shared" si="6"/>
        <v>echo {"issue":{"subject":"","project_id":79,"tracker_id":40,"status_id":1,"priority_id":2,"assigned_to_id":338,"start_date":"2017-09-01","description":"","custom_fields":[{"id":1,"name":"Subdivision","value":"NW"},{"id":4,"name":"Milepost","value":"5.9048"},{"id":17,"name":"Train ID","value":"807-01"},{"id":16,"name":"Locomotive ID","value":"4044"},{"id":130,"name":"Impact","value":""},{"id":150,"name":"Time of Event (Mountain Time)","value":"07:23:45"},{"id":151,"name":"Denver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/c/Users/stu/AppData/Local/Temp/OnboardLogs/RTDC4044 --include="*4044*201709011*"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"%USERPROFILE%\AppData\Local\Temp\OnboardLogs"\RTDC4044\*4044*201709011* &gt;&gt; 2017-09-01-SliceDisagreementCheck.txt</v>
      </c>
      <c r="AE32" s="145" t="str">
        <f t="shared" si="9"/>
        <v>start /low /b %USERPROFILE%\Documents\GitHub\eaglep3\Utilities\DownloadLogsFromS3.py --loco 4044 --day 2017-09-01</v>
      </c>
      <c r="AF32" s="1"/>
    </row>
    <row r="33" spans="1:32" x14ac:dyDescent="0.25">
      <c r="A33" s="31">
        <v>42979.70480324074</v>
      </c>
      <c r="B33" s="30" t="s">
        <v>587</v>
      </c>
      <c r="C33" s="30" t="s">
        <v>606</v>
      </c>
      <c r="D33" s="30" t="s">
        <v>49</v>
      </c>
      <c r="E33" s="30" t="s">
        <v>181</v>
      </c>
      <c r="F33" s="42">
        <v>0</v>
      </c>
      <c r="G33" s="42">
        <v>139</v>
      </c>
      <c r="H33" s="42">
        <v>58335</v>
      </c>
      <c r="I33" s="42">
        <v>58527</v>
      </c>
      <c r="J33" s="30" t="s">
        <v>182</v>
      </c>
      <c r="K33" s="42">
        <v>59048</v>
      </c>
      <c r="L33" s="131" t="s">
        <v>50</v>
      </c>
      <c r="M33" s="132">
        <f t="shared" si="0"/>
        <v>275.08800000000002</v>
      </c>
      <c r="N33" s="133" t="str">
        <f>VLOOKUP(C33,'Trips&amp;Operators'!$C$1:$G$99911,5,FALSE)</f>
        <v>GUNTHIER ERIC</v>
      </c>
      <c r="O33" s="200" t="s">
        <v>180</v>
      </c>
      <c r="P33" s="134"/>
      <c r="Q33" s="30"/>
      <c r="R33" s="81" t="str">
        <f>VLOOKUP(C33,'Train Runs'!$A$13:$AE$9913,31,0)</f>
        <v>aws s3 cp s3://rtdc.mdm.uploadarchive.raw/RTDC4044/ "%USERPROFILE%\AppData\Local\Temp\OnboardLogs"\RTDC4044\2017-09-01 --exclude "*" --recursive --include "*20170901*" &amp; "%USERPROFILE%\Documents\GitHub\mrs-test-scripts\Headless Mode &amp; Sideloading\WalkAndUnGZ.bat" "%USERPROFILE%\AppData\Local\Temp\OnboardLogs"\RTDC4044\2017-09-01 &amp; aws s3 cp s3://rtdc.mdm.uploadarchive.raw/RTDC4044/ "%USERPROFILE%\AppData\Local\Temp\OnboardLogs"\RTDC4044\2017-09-02 --exclude "*" --recursive --include "*20170902*" &amp; "%USERPROFILE%\Documents\GitHub\mrs-test-scripts\Headless Mode &amp; Sideloading\WalkAndUnGZ.bat" "%USERPROFILE%\AppData\Local\Temp\OnboardLogs"\RTDC4044\2017-09-02</v>
      </c>
      <c r="S33" s="84" t="str">
        <f>VLOOKUP(C33,'Train Runs'!$A$13:$AE$9913,22,0)</f>
        <v>https://d0f6bd738d7f1b3e5a7ca70fe4ff75f0.us-east-1.aws.found.io/app/kibana#/discover/Steve-Slow-Train-Analysis-(2080s-and-2083s)?_g=(refreshInterval:(display:Off,pause:!f,section:0,value:0),time:(from:'2017-09-01T15:33:25-0600',mode:absolute,to:'2017-09-01T17:54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3" s="86" t="str">
        <f t="shared" si="1"/>
        <v>"C:\Program Files (x86)\AstroGrep\AstroGrep.exe" /e /r /s /spath="%USERPROFILE%\AppData\Local\Temp\OnboardLogs" /stypes="*4044*201709012*" /stext=" 22:.+((SYSTEM_STATE.+slice.+state.+changed )|(ment ac)|(multiple cpu faults)|(system.+state.+changed )|(\[timeout)|(PRM\|1\|D)|(kpr)|(kdp)|(train st.+moving)|(\|lc)|(penalty))"</v>
      </c>
      <c r="U33" s="9" t="str">
        <f t="shared" si="2"/>
        <v>4044</v>
      </c>
      <c r="V33" s="31">
        <f t="shared" si="3"/>
        <v>42979.95480324074</v>
      </c>
      <c r="W33" s="45" t="str">
        <f t="shared" si="4"/>
        <v>NW</v>
      </c>
      <c r="X33" s="22">
        <f t="shared" si="5"/>
        <v>831</v>
      </c>
      <c r="Y33" s="96" t="str">
        <f t="shared" si="6"/>
        <v>echo {"issue":{"subject":"","project_id":79,"tracker_id":40,"status_id":1,"priority_id":2,"assigned_to_id":338,"start_date":"2017-09-01","description":"","custom_fields":[{"id":1,"name":"Subdivision","value":"NW"},{"id":4,"name":"Milepost","value":"5.9048"},{"id":17,"name":"Train ID","value":"831-01"},{"id":16,"name":"Locomotive ID","value":"4044"},{"id":130,"name":"Impact","value":""},{"id":150,"name":"Time of Event (Mountain Time)","value":"16:54:55"},{"id":151,"name":"Denver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/c/Users/stu/AppData/Local/Temp/OnboardLogs/RTDC4044 --include="*4044*201709012*"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"%USERPROFILE%\AppData\Local\Temp\OnboardLogs"\RTDC4044\*4044*201709012* &gt;&gt; 2017-09-01-SliceDisagreementCheck.txt</v>
      </c>
      <c r="AE33" s="145" t="str">
        <f t="shared" si="9"/>
        <v>start /low /b %USERPROFILE%\Documents\GitHub\eaglep3\Utilities\DownloadLogsFromS3.py --loco 4044 --day 2017-09-01</v>
      </c>
      <c r="AF33" s="1"/>
    </row>
    <row r="34" spans="1:32" x14ac:dyDescent="0.25">
      <c r="A34" s="31">
        <v>42979.725347222222</v>
      </c>
      <c r="B34" s="30" t="s">
        <v>581</v>
      </c>
      <c r="C34" s="30" t="s">
        <v>607</v>
      </c>
      <c r="D34" s="30" t="s">
        <v>49</v>
      </c>
      <c r="E34" s="30" t="s">
        <v>181</v>
      </c>
      <c r="F34" s="42">
        <v>0</v>
      </c>
      <c r="G34" s="42">
        <v>70</v>
      </c>
      <c r="H34" s="42">
        <v>58835</v>
      </c>
      <c r="I34" s="42">
        <v>58894</v>
      </c>
      <c r="J34" s="30" t="s">
        <v>182</v>
      </c>
      <c r="K34" s="42">
        <v>59048</v>
      </c>
      <c r="L34" s="131" t="s">
        <v>50</v>
      </c>
      <c r="M34" s="132">
        <f t="shared" si="0"/>
        <v>81.311999999999998</v>
      </c>
      <c r="N34" s="133" t="str">
        <f>VLOOKUP(C34,'Trips&amp;Operators'!$C$1:$G$99911,5,FALSE)</f>
        <v>BIRKHOLZ NADINE</v>
      </c>
      <c r="O34" s="200" t="s">
        <v>180</v>
      </c>
      <c r="P34" s="134"/>
      <c r="Q34" s="30"/>
      <c r="R34" s="81" t="str">
        <f>VLOOKUP(C34,'Train Runs'!$A$13:$AE$9913,31,0)</f>
        <v>aws s3 cp s3://rtdc.mdm.uploadarchive.raw/RTDC4056/ "%USERPROFILE%\AppData\Local\Temp\OnboardLogs"\RTDC4056\2017-09-01 --exclude "*" --recursive --include "*20170901*" &amp; "%USERPROFILE%\Documents\GitHub\mrs-test-scripts\Headless Mode &amp; Sideloading\WalkAndUnGZ.bat" "%USERPROFILE%\AppData\Local\Temp\OnboardLogs"\RTDC4056\2017-09-01 &amp; aws s3 cp s3://rtdc.mdm.uploadarchive.raw/RTDC4056/ "%USERPROFILE%\AppData\Local\Temp\OnboardLogs"\RTDC4056\2017-09-02 --exclude "*" --recursive --include "*20170902*" &amp; "%USERPROFILE%\Documents\GitHub\mrs-test-scripts\Headless Mode &amp; Sideloading\WalkAndUnGZ.bat" "%USERPROFILE%\AppData\Local\Temp\OnboardLogs"\RTDC4056\2017-09-02</v>
      </c>
      <c r="S34" s="84" t="str">
        <f>VLOOKUP(C34,'Train Runs'!$A$13:$AE$9913,22,0)</f>
        <v>https://d0f6bd738d7f1b3e5a7ca70fe4ff75f0.us-east-1.aws.found.io/app/kibana#/discover/Steve-Slow-Train-Analysis-(2080s-and-2083s)?_g=(refreshInterval:(display:Off,pause:!f,section:0,value:0),time:(from:'2017-09-01T16:04:42-0600',mode:absolute,to:'2017-09-01T18:24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34" s="86" t="str">
        <f t="shared" si="1"/>
        <v>"C:\Program Files (x86)\AstroGrep\AstroGrep.exe" /e /r /s /spath="%USERPROFILE%\AppData\Local\Temp\OnboardLogs" /stypes="*4056*201709012*" /stext=" 23:.+((SYSTEM_STATE.+slice.+state.+changed )|(ment ac)|(multiple cpu faults)|(system.+state.+changed )|(\[timeout)|(PRM\|1\|D)|(kpr)|(kdp)|(train st.+moving)|(\|lc)|(penalty))"</v>
      </c>
      <c r="U34" s="9" t="str">
        <f t="shared" si="2"/>
        <v>4056</v>
      </c>
      <c r="V34" s="31">
        <f t="shared" si="3"/>
        <v>42979.975347222222</v>
      </c>
      <c r="W34" s="45" t="str">
        <f t="shared" si="4"/>
        <v>NW</v>
      </c>
      <c r="X34" s="22">
        <f t="shared" si="5"/>
        <v>833</v>
      </c>
      <c r="Y34" s="96" t="str">
        <f t="shared" si="6"/>
        <v>echo {"issue":{"subject":"","project_id":79,"tracker_id":40,"status_id":1,"priority_id":2,"assigned_to_id":338,"start_date":"2017-09-01","description":"","custom_fields":[{"id":1,"name":"Subdivision","value":"NW"},{"id":4,"name":"Milepost","value":"5.9048"},{"id":17,"name":"Train ID","value":"833-01"},{"id":16,"name":"Locomotive ID","value":"4056"},{"id":130,"name":"Impact","value":""},{"id":150,"name":"Time of Event (Mountain Time)","value":"17:24:30"},{"id":151,"name":"Denver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/c/Users/stu/AppData/Local/Temp/OnboardLogs/RTDC4056 --include="*4056*201709012*"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"%USERPROFILE%\AppData\Local\Temp\OnboardLogs"\RTDC4056\*4056*201709012* &gt;&gt; 2017-09-01-SliceDisagreementCheck.txt</v>
      </c>
      <c r="AE34" s="145" t="str">
        <f t="shared" si="9"/>
        <v>start /low /b %USERPROFILE%\Documents\GitHub\eaglep3\Utilities\DownloadLogsFromS3.py --loco 4056 --day 2017-09-01</v>
      </c>
      <c r="AF34" s="1"/>
    </row>
    <row r="35" spans="1:32" x14ac:dyDescent="0.25">
      <c r="A35" s="31">
        <v>42979.935497685183</v>
      </c>
      <c r="B35" s="30" t="s">
        <v>581</v>
      </c>
      <c r="C35" s="30" t="s">
        <v>615</v>
      </c>
      <c r="D35" s="30" t="s">
        <v>96</v>
      </c>
      <c r="E35" s="30" t="s">
        <v>181</v>
      </c>
      <c r="F35" s="42">
        <v>0</v>
      </c>
      <c r="G35" s="42">
        <v>4</v>
      </c>
      <c r="H35" s="42">
        <v>59058</v>
      </c>
      <c r="I35" s="42">
        <v>59058</v>
      </c>
      <c r="J35" s="30" t="s">
        <v>182</v>
      </c>
      <c r="K35" s="42">
        <v>59058</v>
      </c>
      <c r="L35" s="131" t="s">
        <v>50</v>
      </c>
      <c r="M35" s="132">
        <f t="shared" si="0"/>
        <v>0</v>
      </c>
      <c r="N35" s="133" t="str">
        <f>VLOOKUP(C35,'Trips&amp;Operators'!$C$1:$G$99911,5,FALSE)</f>
        <v>GUNTHIER ERIC</v>
      </c>
      <c r="O35" s="200" t="s">
        <v>180</v>
      </c>
      <c r="P35" s="134"/>
      <c r="Q35" s="30"/>
      <c r="R35" s="81" t="str">
        <f>VLOOKUP(C35,'Train Runs'!$A$13:$AE$9913,31,0)</f>
        <v>aws s3 cp s3://rtdc.mdm.uploadarchive.raw/RTDC4056/ "%USERPROFILE%\AppData\Local\Temp\OnboardLogs"\RTDC4056\2017-09-01 --exclude "*" --recursive --include "*20170901*" &amp; "%USERPROFILE%\Documents\GitHub\mrs-test-scripts\Headless Mode &amp; Sideloading\WalkAndUnGZ.bat" "%USERPROFILE%\AppData\Local\Temp\OnboardLogs"\RTDC4056\2017-09-01 &amp; aws s3 cp s3://rtdc.mdm.uploadarchive.raw/RTDC4056/ "%USERPROFILE%\AppData\Local\Temp\OnboardLogs"\RTDC4056\2017-09-02 --exclude "*" --recursive --include "*20170902*" &amp; "%USERPROFILE%\Documents\GitHub\mrs-test-scripts\Headless Mode &amp; Sideloading\WalkAndUnGZ.bat" "%USERPROFILE%\AppData\Local\Temp\OnboardLogs"\RTDC4056\2017-09-02</v>
      </c>
      <c r="S35" s="84" t="str">
        <f>VLOOKUP(C35,'Train Runs'!$A$13:$AE$9913,22,0)</f>
        <v>https://d0f6bd738d7f1b3e5a7ca70fe4ff75f0.us-east-1.aws.found.io/app/kibana#/discover/Steve-Slow-Train-Analysis-(2080s-and-2083s)?_g=(refreshInterval:(display:Off,pause:!f,section:0,value:0),time:(from:'2017-09-01T21:37:49-0600',mode:absolute,to:'2017-09-01T23:27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35" s="86" t="str">
        <f t="shared" si="1"/>
        <v>"C:\Program Files (x86)\AstroGrep\AstroGrep.exe" /e /r /s /spath="%USERPROFILE%\AppData\Local\Temp\OnboardLogs" /stypes="*4056*201709020*" /stext=" 04:.+((SYSTEM_STATE.+slice.+state.+changed )|(ment ac)|(multiple cpu faults)|(system.+state.+changed )|(\[timeout)|(PRM\|1\|D)|(kpr)|(kdp)|(train st.+moving)|(\|lc)|(penalty))"</v>
      </c>
      <c r="U35" s="9" t="str">
        <f t="shared" si="2"/>
        <v>4056</v>
      </c>
      <c r="V35" s="31">
        <f t="shared" si="3"/>
        <v>42980.185497685183</v>
      </c>
      <c r="W35" s="45" t="str">
        <f t="shared" si="4"/>
        <v>NW</v>
      </c>
      <c r="X35" s="22">
        <f t="shared" si="5"/>
        <v>847</v>
      </c>
      <c r="Y35" s="96" t="str">
        <f t="shared" si="6"/>
        <v>echo {"issue":{"subject":"","project_id":79,"tracker_id":40,"status_id":1,"priority_id":2,"assigned_to_id":338,"start_date":"2017-09-01","description":"","custom_fields":[{"id":1,"name":"Subdivision","value":"NW"},{"id":4,"name":"Milepost","value":"5.9058"},{"id":17,"name":"Train ID","value":"847-01"},{"id":16,"name":"Locomotive ID","value":"4056"},{"id":130,"name":"Impact","value":""},{"id":150,"name":"Time of Event (Mountain Time)","value":"22:27:07"},{"id":151,"name":"Denver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/c/Users/stu/AppData/Local/Temp/OnboardLogs/RTDC4056 --include="*4056*201709020*"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"%USERPROFILE%\AppData\Local\Temp\OnboardLogs"\RTDC4056\*4056*201709020* &gt;&gt; 2017-09-01-SliceDisagreementCheck.txt</v>
      </c>
      <c r="AE35" s="145" t="str">
        <f t="shared" si="9"/>
        <v>start /low /b %USERPROFILE%\Documents\GitHub\eaglep3\Utilities\DownloadLogsFromS3.py --loco 4056 --day 2017-09-02</v>
      </c>
      <c r="AF35" s="1"/>
    </row>
    <row r="36" spans="1:32" x14ac:dyDescent="0.25">
      <c r="A36" s="31">
        <v>42979.204641203702</v>
      </c>
      <c r="B36" s="30" t="s">
        <v>581</v>
      </c>
      <c r="C36" s="30" t="s">
        <v>582</v>
      </c>
      <c r="D36" s="30" t="s">
        <v>96</v>
      </c>
      <c r="E36" s="30" t="s">
        <v>583</v>
      </c>
      <c r="F36" s="42">
        <v>0</v>
      </c>
      <c r="G36" s="42">
        <v>85</v>
      </c>
      <c r="H36" s="42">
        <v>29343</v>
      </c>
      <c r="I36" s="42">
        <v>29445</v>
      </c>
      <c r="J36" s="30" t="s">
        <v>477</v>
      </c>
      <c r="K36" s="42">
        <v>28990</v>
      </c>
      <c r="L36" s="131" t="s">
        <v>50</v>
      </c>
      <c r="M36" s="132">
        <f t="shared" si="0"/>
        <v>-240.24</v>
      </c>
      <c r="N36" s="133" t="str">
        <f>VLOOKUP(C36,'Trips&amp;Operators'!$C$1:$G$99911,5,FALSE)</f>
        <v>WILLIAMS DONTE</v>
      </c>
      <c r="O36" s="200" t="s">
        <v>180</v>
      </c>
      <c r="P36" s="134"/>
      <c r="Q36" s="30"/>
      <c r="R36" s="81" t="str">
        <f>VLOOKUP(C36,'Train Runs'!$A$13:$AE$9913,31,0)</f>
        <v>aws s3 cp s3://rtdc.mdm.uploadarchive.raw/RTDC4056/ "%USERPROFILE%\AppData\Local\Temp\OnboardLogs"\RTDC4056\2017-09-01 --exclude "*" --recursive --include "*20170901*" &amp; "%USERPROFILE%\Documents\GitHub\mrs-test-scripts\Headless Mode &amp; Sideloading\WalkAndUnGZ.bat" "%USERPROFILE%\AppData\Local\Temp\OnboardLogs"\RTDC4056\2017-09-01 &amp; aws s3 cp s3://rtdc.mdm.uploadarchive.raw/RTDC4056/ "%USERPROFILE%\AppData\Local\Temp\OnboardLogs"\RTDC4056\2017-09-02 --exclude "*" --recursive --include "*20170902*" &amp; "%USERPROFILE%\Documents\GitHub\mrs-test-scripts\Headless Mode &amp; Sideloading\WalkAndUnGZ.bat" "%USERPROFILE%\AppData\Local\Temp\OnboardLogs"\RTDC4056\2017-09-02</v>
      </c>
      <c r="S36" s="84" t="str">
        <f>VLOOKUP(C36,'Train Runs'!$A$13:$AE$9913,22,0)</f>
        <v>https://d0f6bd738d7f1b3e5a7ca70fe4ff75f0.us-east-1.aws.found.io/app/kibana#/discover/Steve-Slow-Train-Analysis-(2080s-and-2083s)?_g=(refreshInterval:(display:Off,pause:!f,section:0,value:0),time:(from:'2017-09-01T03:46:30-0600',mode:absolute,to:'2017-09-01T06:54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36" s="86" t="str">
        <f t="shared" si="1"/>
        <v>"C:\Program Files (x86)\AstroGrep\AstroGrep.exe" /e /r /s /spath="%USERPROFILE%\AppData\Local\Temp\OnboardLogs" /stypes="*4056*201709011*" /stext=" 10:.+((SYSTEM_STATE.+slice.+state.+changed )|(ment ac)|(multiple cpu faults)|(system.+state.+changed )|(\[timeout)|(PRM\|1\|D)|(kpr)|(kdp)|(train st.+moving)|(\|lc)|(penalty))"</v>
      </c>
      <c r="U36" s="9" t="str">
        <f t="shared" si="2"/>
        <v>4056</v>
      </c>
      <c r="V36" s="31">
        <f t="shared" si="3"/>
        <v>42979.454641203702</v>
      </c>
      <c r="W36" s="45" t="str">
        <f t="shared" si="4"/>
        <v>Other</v>
      </c>
      <c r="X36" s="22">
        <f t="shared" si="5"/>
        <v>901</v>
      </c>
      <c r="Y36" s="96" t="str">
        <f t="shared" si="6"/>
        <v>echo {"issue":{"subject":"","project_id":79,"tracker_id":40,"status_id":1,"priority_id":2,"assigned_to_id":338,"start_date":"2017-09-01","description":"","custom_fields":[{"id":1,"name":"Subdivision","value":"Other"},{"id":4,"name":"Milepost","value":"2.899"},{"id":17,"name":"Train ID","value":"901-01"},{"id":16,"name":"Locomotive ID","value":"4056"},{"id":130,"name":"Impact","value":""},{"id":150,"name":"Time of Event (Mountain Time)","value":"04:54:41"},{"id":151,"name":"Denver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/c/Users/stu/AppData/Local/Temp/OnboardLogs/RTDC4056 --include="*4056*201709011*"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"%USERPROFILE%\AppData\Local\Temp\OnboardLogs"\RTDC4056\*4056*201709011* &gt;&gt; 2017-09-01-SliceDisagreementCheck.txt</v>
      </c>
      <c r="AE36" s="145" t="str">
        <f t="shared" si="9"/>
        <v>start /low /b %USERPROFILE%\Documents\GitHub\eaglep3\Utilities\DownloadLogsFromS3.py --loco 4056 --day 2017-09-01</v>
      </c>
      <c r="AF36" s="1"/>
    </row>
    <row r="37" spans="1:32" x14ac:dyDescent="0.25">
      <c r="A37" s="31">
        <v>42979.205787037034</v>
      </c>
      <c r="B37" s="30" t="s">
        <v>581</v>
      </c>
      <c r="C37" s="30" t="s">
        <v>582</v>
      </c>
      <c r="D37" s="30" t="s">
        <v>96</v>
      </c>
      <c r="E37" s="30" t="s">
        <v>583</v>
      </c>
      <c r="F37" s="42">
        <v>0</v>
      </c>
      <c r="G37" s="42">
        <v>14</v>
      </c>
      <c r="H37" s="42">
        <v>29444</v>
      </c>
      <c r="I37" s="42">
        <v>29487</v>
      </c>
      <c r="J37" s="30" t="s">
        <v>477</v>
      </c>
      <c r="K37" s="42">
        <v>28990</v>
      </c>
      <c r="L37" s="131" t="s">
        <v>50</v>
      </c>
      <c r="M37" s="132">
        <f t="shared" si="0"/>
        <v>-262.416</v>
      </c>
      <c r="N37" s="133" t="str">
        <f>VLOOKUP(C37,'Trips&amp;Operators'!$C$1:$G$99911,5,FALSE)</f>
        <v>WILLIAMS DONTE</v>
      </c>
      <c r="O37" s="200" t="s">
        <v>180</v>
      </c>
      <c r="P37" s="134"/>
      <c r="Q37" s="30"/>
      <c r="R37" s="81" t="str">
        <f>VLOOKUP(C37,'Train Runs'!$A$13:$AE$9913,31,0)</f>
        <v>aws s3 cp s3://rtdc.mdm.uploadarchive.raw/RTDC4056/ "%USERPROFILE%\AppData\Local\Temp\OnboardLogs"\RTDC4056\2017-09-01 --exclude "*" --recursive --include "*20170901*" &amp; "%USERPROFILE%\Documents\GitHub\mrs-test-scripts\Headless Mode &amp; Sideloading\WalkAndUnGZ.bat" "%USERPROFILE%\AppData\Local\Temp\OnboardLogs"\RTDC4056\2017-09-01 &amp; aws s3 cp s3://rtdc.mdm.uploadarchive.raw/RTDC4056/ "%USERPROFILE%\AppData\Local\Temp\OnboardLogs"\RTDC4056\2017-09-02 --exclude "*" --recursive --include "*20170902*" &amp; "%USERPROFILE%\Documents\GitHub\mrs-test-scripts\Headless Mode &amp; Sideloading\WalkAndUnGZ.bat" "%USERPROFILE%\AppData\Local\Temp\OnboardLogs"\RTDC4056\2017-09-02</v>
      </c>
      <c r="S37" s="84" t="str">
        <f>VLOOKUP(C37,'Train Runs'!$A$13:$AE$9913,22,0)</f>
        <v>https://d0f6bd738d7f1b3e5a7ca70fe4ff75f0.us-east-1.aws.found.io/app/kibana#/discover/Steve-Slow-Train-Analysis-(2080s-and-2083s)?_g=(refreshInterval:(display:Off,pause:!f,section:0,value:0),time:(from:'2017-09-01T03:46:30-0600',mode:absolute,to:'2017-09-01T06:54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37" s="86" t="str">
        <f t="shared" si="1"/>
        <v>"C:\Program Files (x86)\AstroGrep\AstroGrep.exe" /e /r /s /spath="%USERPROFILE%\AppData\Local\Temp\OnboardLogs" /stypes="*4056*201709011*" /stext=" 10:.+((SYSTEM_STATE.+slice.+state.+changed )|(ment ac)|(multiple cpu faults)|(system.+state.+changed )|(\[timeout)|(PRM\|1\|D)|(kpr)|(kdp)|(train st.+moving)|(\|lc)|(penalty))"</v>
      </c>
      <c r="U37" s="9" t="str">
        <f t="shared" si="2"/>
        <v>4056</v>
      </c>
      <c r="V37" s="31">
        <f t="shared" si="3"/>
        <v>42979.455787037034</v>
      </c>
      <c r="W37" s="45" t="str">
        <f t="shared" si="4"/>
        <v>Other</v>
      </c>
      <c r="X37" s="22">
        <f t="shared" si="5"/>
        <v>901</v>
      </c>
      <c r="Y37" s="96" t="str">
        <f t="shared" si="6"/>
        <v>echo {"issue":{"subject":"","project_id":79,"tracker_id":40,"status_id":1,"priority_id":2,"assigned_to_id":338,"start_date":"2017-09-01","description":"","custom_fields":[{"id":1,"name":"Subdivision","value":"Other"},{"id":4,"name":"Milepost","value":"2.899"},{"id":17,"name":"Train ID","value":"901-01"},{"id":16,"name":"Locomotive ID","value":"4056"},{"id":130,"name":"Impact","value":""},{"id":150,"name":"Time of Event (Mountain Time)","value":"04:56:20"},{"id":151,"name":"Denver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/c/Users/stu/AppData/Local/Temp/OnboardLogs/RTDC4056 --include="*4056*201709011*"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"%USERPROFILE%\AppData\Local\Temp\OnboardLogs"\RTDC4056\*4056*201709011* &gt;&gt; 2017-09-01-SliceDisagreementCheck.txt</v>
      </c>
      <c r="AE37" s="145" t="str">
        <f t="shared" si="9"/>
        <v>start /low /b %USERPROFILE%\Documents\GitHub\eaglep3\Utilities\DownloadLogsFromS3.py --loco 4056 --day 2017-09-01</v>
      </c>
      <c r="AF37" s="1"/>
    </row>
    <row r="38" spans="1:32" x14ac:dyDescent="0.25">
      <c r="A38" s="31">
        <v>42979.119629629633</v>
      </c>
      <c r="B38" s="30" t="s">
        <v>577</v>
      </c>
      <c r="C38" s="30" t="s">
        <v>578</v>
      </c>
      <c r="D38" s="30" t="s">
        <v>96</v>
      </c>
      <c r="E38" s="30" t="s">
        <v>476</v>
      </c>
      <c r="F38" s="42">
        <v>0</v>
      </c>
      <c r="G38" s="42">
        <v>143</v>
      </c>
      <c r="H38" s="42">
        <v>22316</v>
      </c>
      <c r="I38" s="42">
        <v>22060</v>
      </c>
      <c r="J38" s="30" t="s">
        <v>477</v>
      </c>
      <c r="K38" s="42">
        <v>24235</v>
      </c>
      <c r="L38" s="131" t="s">
        <v>51</v>
      </c>
      <c r="M38" s="132">
        <f t="shared" si="0"/>
        <v>-1148.4000000000001</v>
      </c>
      <c r="N38" s="133" t="str">
        <f>VLOOKUP(C38,'Trips&amp;Operators'!$C$1:$G$99911,5,FALSE)</f>
        <v>YORK EDGAR</v>
      </c>
      <c r="O38" s="200" t="s">
        <v>180</v>
      </c>
      <c r="P38" s="134"/>
      <c r="Q38" s="30"/>
      <c r="R38" s="81" t="str">
        <f>VLOOKUP(C38,'Train Runs'!$A$13:$AE$9913,31,0)</f>
        <v>aws s3 cp s3://rtdc.mdm.uploadarchive.raw/RTDC4049/ "%USERPROFILE%\AppData\Local\Temp\OnboardLogs"\RTDC4049\2017-09-01 --exclude "*" --recursive --include "*20170901*" &amp; "%USERPROFILE%\Documents\GitHub\mrs-test-scripts\Headless Mode &amp; Sideloading\WalkAndUnGZ.bat" "%USERPROFILE%\AppData\Local\Temp\OnboardLogs"\RTDC4049\2017-09-01 &amp; aws s3 cp s3://rtdc.mdm.uploadarchive.raw/RTDC4049/ "%USERPROFILE%\AppData\Local\Temp\OnboardLogs"\RTDC4049\2017-09-02 --exclude "*" --recursive --include "*20170902*" &amp; "%USERPROFILE%\Documents\GitHub\mrs-test-scripts\Headless Mode &amp; Sideloading\WalkAndUnGZ.bat" "%USERPROFILE%\AppData\Local\Temp\OnboardLogs"\RTDC4049\2017-09-02</v>
      </c>
      <c r="S38" s="84" t="str">
        <f>VLOOKUP(C38,'Train Runs'!$A$13:$AE$9913,22,0)</f>
        <v>https://d0f6bd738d7f1b3e5a7ca70fe4ff75f0.us-east-1.aws.found.io/app/kibana#/discover/Steve-Slow-Train-Analysis-(2080s-and-2083s)?_g=(refreshInterval:(display:Off,pause:!f,section:0,value:0),time:(from:'2017-09-01T01:45:27-0600',mode:absolute,to:'2017-09-01T03:59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38" s="86" t="str">
        <f t="shared" si="1"/>
        <v>"C:\Program Files (x86)\AstroGrep\AstroGrep.exe" /e /r /s /spath="%USERPROFILE%\AppData\Local\Temp\OnboardLogs" /stypes="*4049*201709010*" /stext=" 08:.+((SYSTEM_STATE.+slice.+state.+changed )|(ment ac)|(multiple cpu faults)|(system.+state.+changed )|(\[timeout)|(PRM\|1\|D)|(kpr)|(kdp)|(train st.+moving)|(\|lc)|(penalty))"</v>
      </c>
      <c r="U38" s="9" t="str">
        <f t="shared" si="2"/>
        <v>4049</v>
      </c>
      <c r="V38" s="31">
        <f t="shared" si="3"/>
        <v>42979.369629629633</v>
      </c>
      <c r="W38" s="45" t="str">
        <f t="shared" si="4"/>
        <v>Other</v>
      </c>
      <c r="X38" s="22">
        <f t="shared" si="5"/>
        <v>300</v>
      </c>
      <c r="Y38" s="96" t="str">
        <f t="shared" si="6"/>
        <v>echo {"issue":{"subject":"","project_id":79,"tracker_id":40,"status_id":1,"priority_id":2,"assigned_to_id":338,"start_date":"2017-09-01","description":"","custom_fields":[{"id":1,"name":"Subdivision","value":"Other"},{"id":4,"name":"Milepost","value":"2.4235"},{"id":17,"name":"Train ID","value":"300-01"},{"id":16,"name":"Locomotive ID","value":"4049"},{"id":130,"name":"Impact","value":""},{"id":150,"name":"Time of Event (Mountain Time)","value":"02:52:16"},{"id":151,"name":"Denver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/c/Users/stu/AppData/Local/Temp/OnboardLogs/RTDC4049 --include="*4049*201709010*"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"%USERPROFILE%\AppData\Local\Temp\OnboardLogs"\RTDC4049\*4049*201709010* &gt;&gt; 2017-09-01-SliceDisagreementCheck.txt</v>
      </c>
      <c r="AE38" s="145" t="str">
        <f t="shared" si="9"/>
        <v>start /low /b %USERPROFILE%\Documents\GitHub\eaglep3\Utilities\DownloadLogsFromS3.py --loco 4049 --day 2017-09-01</v>
      </c>
      <c r="AF38" s="1"/>
    </row>
    <row r="39" spans="1:32" x14ac:dyDescent="0.25">
      <c r="A39" s="31">
        <v>42979.458622685182</v>
      </c>
      <c r="B39" s="30" t="s">
        <v>411</v>
      </c>
      <c r="C39" s="30" t="s">
        <v>598</v>
      </c>
      <c r="D39" s="30" t="s">
        <v>49</v>
      </c>
      <c r="E39" s="30" t="s">
        <v>368</v>
      </c>
      <c r="F39" s="42">
        <v>0</v>
      </c>
      <c r="G39" s="42">
        <v>365</v>
      </c>
      <c r="H39" s="42">
        <v>8949</v>
      </c>
      <c r="I39" s="42">
        <v>8256</v>
      </c>
      <c r="J39" s="30" t="s">
        <v>369</v>
      </c>
      <c r="K39" s="42">
        <v>6799</v>
      </c>
      <c r="L39" s="131" t="s">
        <v>51</v>
      </c>
      <c r="M39" s="132">
        <f t="shared" si="0"/>
        <v>769.29600000000005</v>
      </c>
      <c r="N39" s="133" t="str">
        <f>VLOOKUP(C39,'Trips&amp;Operators'!$C$1:$G$99911,5,FALSE)</f>
        <v>MOSES BRADLEY</v>
      </c>
      <c r="O39" s="200" t="s">
        <v>180</v>
      </c>
      <c r="P39" s="134"/>
      <c r="Q39" s="30"/>
      <c r="R39" s="81" t="str">
        <f>VLOOKUP(C39,'Train Runs'!$A$13:$AE$9913,31,0)</f>
        <v>aws s3 cp s3://rtdc.mdm.uploadarchive.raw/RTDC4041/ "%USERPROFILE%\AppData\Local\Temp\OnboardLogs"\RTDC4041\2017-09-01 --exclude "*" --recursive --include "*20170901*" &amp; "%USERPROFILE%\Documents\GitHub\mrs-test-scripts\Headless Mode &amp; Sideloading\WalkAndUnGZ.bat" "%USERPROFILE%\AppData\Local\Temp\OnboardLogs"\RTDC4041\2017-09-01 &amp; aws s3 cp s3://rtdc.mdm.uploadarchive.raw/RTDC4041/ "%USERPROFILE%\AppData\Local\Temp\OnboardLogs"\RTDC4041\2017-09-02 --exclude "*" --recursive --include "*20170902*" &amp; "%USERPROFILE%\Documents\GitHub\mrs-test-scripts\Headless Mode &amp; Sideloading\WalkAndUnGZ.bat" "%USERPROFILE%\AppData\Local\Temp\OnboardLogs"\RTDC4041\2017-09-02</v>
      </c>
      <c r="S39" s="84" t="str">
        <f>VLOOKUP(C39,'Train Runs'!$A$13:$AE$9913,22,0)</f>
        <v>https://d0f6bd738d7f1b3e5a7ca70fe4ff75f0.us-east-1.aws.found.io/app/kibana#/discover/Steve-Slow-Train-Analysis-(2080s-and-2083s)?_g=(refreshInterval:(display:Off,pause:!f,section:0,value:0),time:(from:'2017-09-01T09:51:06-0600',mode:absolute,to:'2017-09-01T12:06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39" s="86" t="str">
        <f t="shared" si="1"/>
        <v>"C:\Program Files (x86)\AstroGrep\AstroGrep.exe" /e /r /s /spath="%USERPROFILE%\AppData\Local\Temp\OnboardLogs" /stypes="*4041*201709011*" /stext=" 17:.+((SYSTEM_STATE.+slice.+state.+changed )|(ment ac)|(multiple cpu faults)|(system.+state.+changed )|(\[timeout)|(PRM\|1\|D)|(kpr)|(kdp)|(train st.+moving)|(\|lc)|(penalty))"</v>
      </c>
      <c r="U39" s="9" t="str">
        <f t="shared" si="2"/>
        <v>4041</v>
      </c>
      <c r="V39" s="31">
        <f t="shared" si="3"/>
        <v>42979.708622685182</v>
      </c>
      <c r="W39" s="45" t="str">
        <f t="shared" si="4"/>
        <v>Shuttle/Test</v>
      </c>
      <c r="X39" s="22">
        <f t="shared" si="5"/>
        <v>58</v>
      </c>
      <c r="Y39" s="96" t="str">
        <f t="shared" si="6"/>
        <v>echo {"issue":{"subject":"","project_id":79,"tracker_id":40,"status_id":1,"priority_id":2,"assigned_to_id":338,"start_date":"2017-09-01","description":"","custom_fields":[{"id":1,"name":"Subdivision","value":"Shuttle/Test"},{"id":4,"name":"Milepost","value":"0.6799"},{"id":17,"name":"Train ID","value":"58-01"},{"id":16,"name":"Locomotive ID","value":"4041"},{"id":130,"name":"Impact","value":""},{"id":150,"name":"Time of Event (Mountain Time)","value":"11:00:25"},{"id":151,"name":"Denver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si="7"/>
        <v>grep -hrE -A400 "Enforcement Action" /c/Users/stu/AppData/Local/Temp/OnboardLogs/RTDC4041 --include="*4041*201709011*"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"%USERPROFILE%\AppData\Local\Temp\OnboardLogs"\RTDC4041\*4041*201709011* &gt;&gt; 2017-09-01-SliceDisagreementCheck.txt</v>
      </c>
      <c r="AE39" s="145" t="str">
        <f t="shared" si="9"/>
        <v>start /low /b %USERPROFILE%\Documents\GitHub\eaglep3\Utilities\DownloadLogsFromS3.py --loco 4041 --day 2017-09-01</v>
      </c>
      <c r="AF39" s="1"/>
    </row>
    <row r="40" spans="1:32" x14ac:dyDescent="0.25">
      <c r="A40" s="31">
        <v>42979.484664351854</v>
      </c>
      <c r="B40" s="30" t="s">
        <v>599</v>
      </c>
      <c r="C40" s="30" t="s">
        <v>600</v>
      </c>
      <c r="D40" s="30" t="s">
        <v>96</v>
      </c>
      <c r="E40" s="30" t="s">
        <v>181</v>
      </c>
      <c r="F40" s="42">
        <v>0</v>
      </c>
      <c r="G40" s="42">
        <v>5</v>
      </c>
      <c r="H40" s="42">
        <v>826</v>
      </c>
      <c r="I40" s="42">
        <v>0</v>
      </c>
      <c r="J40" s="30" t="s">
        <v>182</v>
      </c>
      <c r="K40" s="42">
        <v>826</v>
      </c>
      <c r="L40" s="131" t="s">
        <v>51</v>
      </c>
      <c r="M40" s="132">
        <f t="shared" si="0"/>
        <v>-436.12799999999999</v>
      </c>
      <c r="N40" s="133" t="str">
        <f>VLOOKUP(C40,'Trips&amp;Operators'!$C$1:$G$99911,5,FALSE)</f>
        <v>DELGADO DIANAH</v>
      </c>
      <c r="O40" s="200" t="s">
        <v>180</v>
      </c>
      <c r="P40" s="134"/>
      <c r="Q40" s="30"/>
      <c r="R40" s="81" t="str">
        <f>VLOOKUP(C40,'Train Runs'!$A$13:$AE$9913,31,0)</f>
        <v>aws s3 cp s3://rtdc.mdm.uploadarchive.raw/RTDC4055/ "%USERPROFILE%\AppData\Local\Temp\OnboardLogs"\RTDC4055\2017-09-01 --exclude "*" --recursive --include "*20170901*" &amp; "%USERPROFILE%\Documents\GitHub\mrs-test-scripts\Headless Mode &amp; Sideloading\WalkAndUnGZ.bat" "%USERPROFILE%\AppData\Local\Temp\OnboardLogs"\RTDC4055\2017-09-01 &amp; aws s3 cp s3://rtdc.mdm.uploadarchive.raw/RTDC4055/ "%USERPROFILE%\AppData\Local\Temp\OnboardLogs"\RTDC4055\2017-09-02 --exclude "*" --recursive --include "*20170902*" &amp; "%USERPROFILE%\Documents\GitHub\mrs-test-scripts\Headless Mode &amp; Sideloading\WalkAndUnGZ.bat" "%USERPROFILE%\AppData\Local\Temp\OnboardLogs"\RTDC4055\2017-09-02</v>
      </c>
      <c r="S40" s="84" t="str">
        <f>VLOOKUP(C40,'Train Runs'!$A$13:$AE$9913,22,0)</f>
        <v>https://d0f6bd738d7f1b3e5a7ca70fe4ff75f0.us-east-1.aws.found.io/app/kibana#/discover/Steve-Slow-Train-Analysis-(2080s-and-2083s)?_g=(refreshInterval:(display:Off,pause:!f,section:0,value:0),time:(from:'2017-09-01T09:27:05-0600',mode:absolute,to:'2017-09-01T11:31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40" s="86" t="str">
        <f t="shared" si="1"/>
        <v>"C:\Program Files (x86)\AstroGrep\AstroGrep.exe" /e /r /s /spath="%USERPROFILE%\AppData\Local\Temp\OnboardLogs" /stypes="*4031*201709011*" /stext=" 17:.+((SYSTEM_STATE.+slice.+state.+changed )|(ment ac)|(multiple cpu faults)|(system.+state.+changed )|(\[timeout)|(PRM\|1\|D)|(kpr)|(kdp)|(train st.+moving)|(\|lc)|(penalty))"</v>
      </c>
      <c r="U40" s="9" t="str">
        <f t="shared" si="2"/>
        <v>4031</v>
      </c>
      <c r="V40" s="31">
        <f t="shared" si="3"/>
        <v>42979.734664351854</v>
      </c>
      <c r="W40" s="45" t="str">
        <f t="shared" si="4"/>
        <v>Shuttle/Test</v>
      </c>
      <c r="X40" s="22">
        <f t="shared" si="5"/>
        <v>64</v>
      </c>
      <c r="Y40" s="96" t="str">
        <f t="shared" si="6"/>
        <v>echo {"issue":{"subject":"","project_id":79,"tracker_id":40,"status_id":1,"priority_id":2,"assigned_to_id":338,"start_date":"2017-09-01","description":"","custom_fields":[{"id":1,"name":"Subdivision","value":"Shuttle/Test"},{"id":4,"name":"Milepost","value":"0.0826"},{"id":17,"name":"Train ID","value":"64-01"},{"id":16,"name":"Locomotive ID","value":"4031"},{"id":130,"name":"Impact","value":""},{"id":150,"name":"Time of Event (Mountain Time)","value":"11:37:55"},{"id":151,"name":"Denver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7"/>
        <v>grep -hrE -A400 "Enforcement Action" /c/Users/stu/AppData/Local/Temp/OnboardLogs/RTDC4031 --include="*4031*201709011*"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"%USERPROFILE%\AppData\Local\Temp\OnboardLogs"\RTDC4031\*4031*201709011* &gt;&gt; 2017-09-01-SliceDisagreementCheck.txt</v>
      </c>
      <c r="AE40" s="145" t="str">
        <f t="shared" si="9"/>
        <v>start /low /b %USERPROFILE%\Documents\GitHub\eaglep3\Utilities\DownloadLogsFromS3.py --loco 4031 --day 2017-09-01</v>
      </c>
      <c r="AF40" s="1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</sheetData>
  <autoFilter ref="A6:AC56">
    <sortState ref="A7:AC56">
      <sortCondition ref="W7:W40"/>
      <sortCondition ref="E7:E40"/>
      <sortCondition ref="K7:K40"/>
      <sortCondition ref="F7:F40"/>
    </sortState>
  </autoFilter>
  <sortState ref="A7:AE37">
    <sortCondition ref="W7:W37"/>
    <sortCondition ref="E7:E37"/>
    <sortCondition ref="K7:K37"/>
    <sortCondition ref="C7:C37"/>
    <sortCondition ref="F7:F37"/>
  </sortState>
  <mergeCells count="1">
    <mergeCell ref="A5:O5"/>
  </mergeCells>
  <conditionalFormatting sqref="O6:P6 R6 O62:O1048576 O7:O40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0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AA7:AA40</xm:sqref>
        </x14:dataValidation>
        <x14:dataValidation type="list" allowBlank="1" showInputMessage="1" showErrorMessage="1">
          <x14:formula1>
            <xm:f>'Redmine List Values'!$C$2:$C$15</xm:f>
          </x14:formula1>
          <xm:sqref>AB7:AB40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9"/>
  <sheetViews>
    <sheetView workbookViewId="0">
      <selection activeCell="I3" sqref="I3"/>
    </sheetView>
  </sheetViews>
  <sheetFormatPr defaultRowHeight="15" x14ac:dyDescent="0.25"/>
  <cols>
    <col min="1" max="1" width="9.140625" style="169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9"/>
      <c r="B1" s="219" t="str">
        <f>"Trips that did not appear in PTC Data "&amp;TEXT(Variables!$A$2,"YYYY-mm-dd")</f>
        <v>Trips that did not appear in PTC Data 2017-09-01</v>
      </c>
      <c r="C1" s="219"/>
      <c r="D1" s="219"/>
      <c r="E1" s="219"/>
      <c r="F1" s="219"/>
    </row>
    <row r="2" spans="1:10" s="23" customFormat="1" ht="45" x14ac:dyDescent="0.25">
      <c r="A2" s="196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2">
        <v>847</v>
      </c>
      <c r="B3" s="42" t="str">
        <f>A3&amp;"-"&amp;IF(DAY(Variables!$A$2)&lt;10,0,"")&amp;DAY(Variables!$A$2)</f>
        <v>847-01</v>
      </c>
      <c r="C3" s="135"/>
      <c r="D3" s="153"/>
      <c r="E3" s="30"/>
      <c r="F3" s="21" t="str">
        <f>VLOOKUP(B3,'Trips&amp;Operators'!$C$2:$E$9912,3,FALSE)</f>
        <v>GUNTHIER</v>
      </c>
      <c r="G3" s="21" t="str">
        <f>VLOOKUP(B3,'Trips&amp;Operators'!$C$1:$F$9912,4,FALSE)</f>
        <v>ERIC</v>
      </c>
      <c r="H3" s="29" t="str">
        <f>VLOOKUP(B3,'Trips&amp;Operators'!$C$1:$H$9912,5,FALSE)</f>
        <v>GUNTHIER ERIC</v>
      </c>
      <c r="I3" s="45" t="str">
        <f t="shared" ref="I3:I4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22847-01%22)),sort:!(Time.ISO8601,asc))</v>
      </c>
      <c r="J3" s="30" t="str">
        <f>VLOOKUP(B3,'Train Runs'!$A$13:$A$99910,1,FALSE)</f>
        <v>847-01</v>
      </c>
    </row>
    <row r="4" spans="1:10" x14ac:dyDescent="0.25">
      <c r="A4" s="192"/>
      <c r="B4" s="42" t="str">
        <f>A4&amp;"-"&amp;IF(DAY(Variables!$A$2)&lt;10,0,"")&amp;DAY(Variables!$A$2)</f>
        <v>-01</v>
      </c>
      <c r="C4" s="135"/>
      <c r="D4" s="153"/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4" s="30" t="e">
        <f>VLOOKUP(B4,'Train Runs'!$A$13:$A$99910,1,FALSE)</f>
        <v>#N/A</v>
      </c>
    </row>
    <row r="5" spans="1:10" x14ac:dyDescent="0.25">
      <c r="A5" s="192"/>
      <c r="B5" s="42" t="str">
        <f>A5&amp;"-"&amp;IF(DAY(Variables!$A$2)&lt;10,0,"")&amp;DAY(Variables!$A$2)</f>
        <v>-01</v>
      </c>
      <c r="C5" s="135"/>
      <c r="D5" s="153"/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45" t="str">
        <f t="shared" ref="I5:I23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5" s="30" t="e">
        <f>VLOOKUP(B5,'Train Runs'!$A$13:$A$99910,1,FALSE)</f>
        <v>#N/A</v>
      </c>
    </row>
    <row r="6" spans="1:10" x14ac:dyDescent="0.25">
      <c r="A6" s="192"/>
      <c r="B6" s="42" t="str">
        <f>A6&amp;"-"&amp;IF(DAY(Variables!$A$2)&lt;10,0,"")&amp;DAY(Variables!$A$2)</f>
        <v>-01</v>
      </c>
      <c r="C6" s="135"/>
      <c r="D6" s="153"/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6" s="30" t="e">
        <f>VLOOKUP(B6,'Train Runs'!$A$13:$A$99910,1,FALSE)</f>
        <v>#N/A</v>
      </c>
    </row>
    <row r="7" spans="1:10" x14ac:dyDescent="0.25">
      <c r="A7" s="192"/>
      <c r="B7" s="42" t="str">
        <f>A7&amp;"-"&amp;IF(DAY(Variables!$A$2)&lt;10,0,"")&amp;DAY(Variables!$A$2)</f>
        <v>-01</v>
      </c>
      <c r="C7" s="135"/>
      <c r="D7" s="153"/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7" s="30" t="e">
        <f>VLOOKUP(B7,'Train Runs'!$A$13:$A$99910,1,FALSE)</f>
        <v>#N/A</v>
      </c>
    </row>
    <row r="8" spans="1:10" x14ac:dyDescent="0.25">
      <c r="A8" s="192"/>
      <c r="B8" s="42" t="str">
        <f>A8&amp;"-"&amp;IF(DAY(Variables!$A$2)&lt;10,0,"")&amp;DAY(Variables!$A$2)</f>
        <v>-01</v>
      </c>
      <c r="C8" s="135"/>
      <c r="D8" s="153"/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8" s="30" t="e">
        <f>VLOOKUP(B8,'Train Runs'!$A$13:$A$99910,1,FALSE)</f>
        <v>#N/A</v>
      </c>
    </row>
    <row r="9" spans="1:10" x14ac:dyDescent="0.25">
      <c r="A9" s="192"/>
      <c r="B9" s="42" t="str">
        <f>A9&amp;"-"&amp;IF(DAY(Variables!$A$2)&lt;10,0,"")&amp;DAY(Variables!$A$2)</f>
        <v>-01</v>
      </c>
      <c r="C9" s="135"/>
      <c r="D9" s="153"/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9" s="30" t="e">
        <f>VLOOKUP(B9,'Train Runs'!$A$13:$A$99910,1,FALSE)</f>
        <v>#N/A</v>
      </c>
    </row>
    <row r="10" spans="1:10" x14ac:dyDescent="0.25">
      <c r="A10" s="192"/>
      <c r="B10" s="42" t="str">
        <f>A10&amp;"-"&amp;IF(DAY(Variables!$A$2)&lt;10,0,"")&amp;DAY(Variables!$A$2)</f>
        <v>-01</v>
      </c>
      <c r="C10" s="135"/>
      <c r="D10" s="153"/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0" s="30" t="e">
        <f>VLOOKUP(B10,'Train Runs'!$A$13:$A$99910,1,FALSE)</f>
        <v>#N/A</v>
      </c>
    </row>
    <row r="11" spans="1:10" x14ac:dyDescent="0.25">
      <c r="A11" s="192"/>
      <c r="B11" s="42" t="str">
        <f>A11&amp;"-"&amp;IF(DAY(Variables!$A$2)&lt;10,0,"")&amp;DAY(Variables!$A$2)</f>
        <v>-01</v>
      </c>
      <c r="C11" s="135"/>
      <c r="D11" s="153"/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1" s="30" t="e">
        <f>VLOOKUP(B11,'Train Runs'!$A$13:$A$99910,1,FALSE)</f>
        <v>#N/A</v>
      </c>
    </row>
    <row r="12" spans="1:10" x14ac:dyDescent="0.25">
      <c r="A12" s="192"/>
      <c r="B12" s="42" t="str">
        <f>A12&amp;"-"&amp;IF(DAY(Variables!$A$2)&lt;10,0,"")&amp;DAY(Variables!$A$2)</f>
        <v>-01</v>
      </c>
      <c r="C12" s="135"/>
      <c r="D12" s="153"/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2" s="30" t="e">
        <f>VLOOKUP(B12,'Train Runs'!$A$13:$A$99910,1,FALSE)</f>
        <v>#N/A</v>
      </c>
    </row>
    <row r="13" spans="1:10" x14ac:dyDescent="0.25">
      <c r="A13" s="192"/>
      <c r="B13" s="42" t="str">
        <f>A13&amp;"-"&amp;IF(DAY(Variables!$A$2)&lt;10,0,"")&amp;DAY(Variables!$A$2)</f>
        <v>-01</v>
      </c>
      <c r="C13" s="135"/>
      <c r="D13" s="153"/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3" s="30" t="e">
        <f>VLOOKUP(B13,'Train Runs'!$A$13:$A$99910,1,FALSE)</f>
        <v>#N/A</v>
      </c>
    </row>
    <row r="14" spans="1:10" x14ac:dyDescent="0.25">
      <c r="A14" s="192"/>
      <c r="B14" s="42" t="str">
        <f>A14&amp;"-"&amp;IF(DAY(Variables!$A$2)&lt;10,0,"")&amp;DAY(Variables!$A$2)</f>
        <v>-01</v>
      </c>
      <c r="C14" s="135"/>
      <c r="D14" s="153"/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4" s="30" t="e">
        <f>VLOOKUP(B14,'Train Runs'!$A$13:$A$99910,1,FALSE)</f>
        <v>#N/A</v>
      </c>
    </row>
    <row r="15" spans="1:10" x14ac:dyDescent="0.25">
      <c r="A15" s="192"/>
      <c r="B15" s="42" t="str">
        <f>A15&amp;"-"&amp;IF(DAY(Variables!$A$2)&lt;10,0,"")&amp;DAY(Variables!$A$2)</f>
        <v>-01</v>
      </c>
      <c r="C15" s="135"/>
      <c r="D15" s="153"/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5" s="30" t="e">
        <f>VLOOKUP(B15,'Train Runs'!$A$13:$A$99910,1,FALSE)</f>
        <v>#N/A</v>
      </c>
    </row>
    <row r="16" spans="1:10" x14ac:dyDescent="0.25">
      <c r="A16" s="192"/>
      <c r="B16" s="42" t="str">
        <f>A16&amp;"-"&amp;IF(DAY(Variables!$A$2)&lt;10,0,"")&amp;DAY(Variables!$A$2)</f>
        <v>-01</v>
      </c>
      <c r="C16" s="135"/>
      <c r="D16" s="153"/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6" s="30" t="e">
        <f>VLOOKUP(B16,'Train Runs'!$A$13:$A$99910,1,FALSE)</f>
        <v>#N/A</v>
      </c>
    </row>
    <row r="17" spans="1:10" x14ac:dyDescent="0.25">
      <c r="A17" s="192"/>
      <c r="B17" s="42" t="str">
        <f>A17&amp;"-"&amp;IF(DAY(Variables!$A$2)&lt;10,0,"")&amp;DAY(Variables!$A$2)</f>
        <v>-01</v>
      </c>
      <c r="C17" s="135"/>
      <c r="D17" s="153"/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7" s="30" t="e">
        <f>VLOOKUP(B17,'Train Runs'!$A$13:$A$99910,1,FALSE)</f>
        <v>#N/A</v>
      </c>
    </row>
    <row r="18" spans="1:10" x14ac:dyDescent="0.25">
      <c r="A18" s="192"/>
      <c r="B18" s="42" t="str">
        <f>A18&amp;"-"&amp;IF(DAY(Variables!$A$2)&lt;10,0,"")&amp;DAY(Variables!$A$2)</f>
        <v>-01</v>
      </c>
      <c r="C18" s="135"/>
      <c r="D18" s="153"/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8" s="30" t="e">
        <f>VLOOKUP(B18,'Train Runs'!$A$13:$A$99910,1,FALSE)</f>
        <v>#N/A</v>
      </c>
    </row>
    <row r="19" spans="1:10" x14ac:dyDescent="0.25">
      <c r="A19" s="192"/>
      <c r="B19" s="42" t="str">
        <f>A19&amp;"-"&amp;IF(DAY(Variables!$A$2)&lt;10,0,"")&amp;DAY(Variables!$A$2)</f>
        <v>-01</v>
      </c>
      <c r="C19" s="135"/>
      <c r="D19" s="153"/>
      <c r="E19" s="30"/>
      <c r="F19" s="21" t="e">
        <f>VLOOKUP(B19,'Trips&amp;Operators'!$C$2:$E$9912,3,FALSE)</f>
        <v>#N/A</v>
      </c>
      <c r="G19" s="21" t="e">
        <f>VLOOKUP(B19,'Trips&amp;Operators'!$C$1:$F$9912,4,FALSE)</f>
        <v>#N/A</v>
      </c>
      <c r="H19" s="29" t="e">
        <f>VLOOKUP(B19,'Trips&amp;Operators'!$C$1:$H$9912,5,FALSE)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9" s="30" t="e">
        <f>VLOOKUP(B19,'Train Runs'!$A$13:$A$99910,1,FALSE)</f>
        <v>#N/A</v>
      </c>
    </row>
    <row r="20" spans="1:10" x14ac:dyDescent="0.25">
      <c r="A20" s="192"/>
      <c r="B20" s="42" t="str">
        <f>A20&amp;"-"&amp;IF(DAY(Variables!$A$2)&lt;10,0,"")&amp;DAY(Variables!$A$2)</f>
        <v>-01</v>
      </c>
      <c r="C20" s="135"/>
      <c r="D20" s="153"/>
      <c r="E20" s="30"/>
      <c r="F20" s="21" t="e">
        <f>VLOOKUP(B20,'Trips&amp;Operators'!$C$2:$E$9912,3,FALSE)</f>
        <v>#N/A</v>
      </c>
      <c r="G20" s="21" t="e">
        <f>VLOOKUP(B20,'Trips&amp;Operators'!$C$1:$F$9912,4,FALSE)</f>
        <v>#N/A</v>
      </c>
      <c r="H20" s="29" t="e">
        <f>VLOOKUP(B20,'Trips&amp;Operators'!$C$1:$H$9912,5,FALSE)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0" s="30" t="e">
        <f>VLOOKUP(B20,'Train Runs'!$A$13:$A$99910,1,FALSE)</f>
        <v>#N/A</v>
      </c>
    </row>
    <row r="21" spans="1:10" x14ac:dyDescent="0.25">
      <c r="A21" s="192"/>
      <c r="B21" s="42" t="str">
        <f>A21&amp;"-"&amp;IF(DAY(Variables!$A$2)&lt;10,0,"")&amp;DAY(Variables!$A$2)</f>
        <v>-01</v>
      </c>
      <c r="C21" s="135"/>
      <c r="D21" s="153"/>
      <c r="E21" s="30"/>
      <c r="F21" s="21" t="e">
        <f>VLOOKUP(B21,'Trips&amp;Operators'!$C$2:$E$9912,3,FALSE)</f>
        <v>#N/A</v>
      </c>
      <c r="G21" s="21" t="e">
        <f>VLOOKUP(B21,'Trips&amp;Operators'!$C$1:$F$9912,4,FALSE)</f>
        <v>#N/A</v>
      </c>
      <c r="H21" s="29" t="e">
        <f>VLOOKUP(B21,'Trips&amp;Operators'!$C$1:$H$9912,5,FALSE)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1" s="30" t="e">
        <f>VLOOKUP(B21,'Train Runs'!$A$13:$A$99910,1,FALSE)</f>
        <v>#N/A</v>
      </c>
    </row>
    <row r="22" spans="1:10" x14ac:dyDescent="0.25">
      <c r="A22" s="192"/>
      <c r="B22" s="42" t="str">
        <f>A22&amp;"-"&amp;IF(DAY(Variables!$A$2)&lt;10,0,"")&amp;DAY(Variables!$A$2)</f>
        <v>-01</v>
      </c>
      <c r="C22" s="135"/>
      <c r="D22" s="153"/>
      <c r="E22" s="30"/>
      <c r="F22" s="21" t="e">
        <f>VLOOKUP(B22,'Trips&amp;Operators'!$C$2:$E$9912,3,FALSE)</f>
        <v>#N/A</v>
      </c>
      <c r="G22" s="21" t="e">
        <f>VLOOKUP(B22,'Trips&amp;Operators'!$C$1:$F$9912,4,FALSE)</f>
        <v>#N/A</v>
      </c>
      <c r="H22" s="29" t="e">
        <f>VLOOKUP(B22,'Trips&amp;Operators'!$C$1:$H$9912,5,FALSE)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2" s="30" t="e">
        <f>VLOOKUP(B22,'Train Runs'!$A$13:$A$99910,1,FALSE)</f>
        <v>#N/A</v>
      </c>
    </row>
    <row r="23" spans="1:10" x14ac:dyDescent="0.25">
      <c r="A23" s="192"/>
      <c r="B23" s="42" t="str">
        <f>A23&amp;"-"&amp;IF(DAY(Variables!$A$2)&lt;10,0,"")&amp;DAY(Variables!$A$2)</f>
        <v>-01</v>
      </c>
      <c r="C23" s="135"/>
      <c r="D23" s="153"/>
      <c r="E23" s="30"/>
      <c r="F23" s="21" t="e">
        <f>VLOOKUP(B23,'Trips&amp;Operators'!$C$2:$E$9912,3,FALSE)</f>
        <v>#N/A</v>
      </c>
      <c r="G23" s="21" t="e">
        <f>VLOOKUP(B23,'Trips&amp;Operators'!$C$1:$F$9912,4,FALSE)</f>
        <v>#N/A</v>
      </c>
      <c r="H23" s="29" t="e">
        <f>VLOOKUP(B23,'Trips&amp;Operators'!$C$1:$H$9912,5,FALSE)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3" s="30" t="e">
        <f>VLOOKUP(B23,'Train Runs'!$A$13:$A$99910,1,FALSE)</f>
        <v>#N/A</v>
      </c>
    </row>
    <row r="24" spans="1:10" x14ac:dyDescent="0.25">
      <c r="A24" s="192"/>
      <c r="B24" s="42"/>
      <c r="C24" s="135"/>
      <c r="D24" s="153"/>
      <c r="E24" s="30"/>
      <c r="F24" s="21"/>
      <c r="G24" s="21"/>
      <c r="H24" s="29"/>
      <c r="I24" s="45"/>
      <c r="J24" s="30"/>
    </row>
    <row r="25" spans="1:10" x14ac:dyDescent="0.25">
      <c r="A25" s="192"/>
      <c r="B25" s="42"/>
      <c r="C25" s="135"/>
      <c r="D25" s="153"/>
      <c r="E25" s="30"/>
      <c r="F25" s="21"/>
      <c r="G25" s="21"/>
      <c r="H25" s="29"/>
      <c r="I25" s="45"/>
      <c r="J25" s="30"/>
    </row>
    <row r="26" spans="1:10" x14ac:dyDescent="0.25">
      <c r="A26" s="192"/>
      <c r="B26" s="42"/>
      <c r="C26" s="135"/>
      <c r="D26" s="153"/>
      <c r="E26" s="30"/>
      <c r="F26" s="21"/>
      <c r="G26" s="21"/>
      <c r="H26" s="29"/>
      <c r="I26" s="45"/>
      <c r="J26" s="30"/>
    </row>
    <row r="27" spans="1:10" x14ac:dyDescent="0.25">
      <c r="A27" s="192"/>
      <c r="B27" s="42"/>
      <c r="C27" s="135"/>
      <c r="D27" s="153"/>
      <c r="E27" s="30"/>
      <c r="F27" s="21"/>
      <c r="G27" s="21"/>
      <c r="H27" s="29"/>
      <c r="I27" s="45"/>
      <c r="J27" s="30"/>
    </row>
    <row r="28" spans="1:10" x14ac:dyDescent="0.25">
      <c r="A28" s="192"/>
      <c r="B28" s="42"/>
      <c r="C28" s="135"/>
      <c r="D28" s="153"/>
      <c r="E28" s="30"/>
      <c r="F28" s="21"/>
      <c r="G28" s="21"/>
      <c r="H28" s="29"/>
      <c r="I28" s="45"/>
      <c r="J28" s="30"/>
    </row>
    <row r="29" spans="1:10" x14ac:dyDescent="0.25">
      <c r="A29" s="192"/>
      <c r="B29" s="42"/>
      <c r="C29" s="135"/>
      <c r="D29" s="153"/>
      <c r="E29" s="30"/>
      <c r="F29" s="21"/>
      <c r="G29" s="21"/>
      <c r="H29" s="29"/>
      <c r="I29" s="45"/>
      <c r="J29" s="30"/>
    </row>
    <row r="30" spans="1:10" x14ac:dyDescent="0.25">
      <c r="A30" s="192"/>
      <c r="B30" s="42"/>
      <c r="C30" s="135"/>
      <c r="D30" s="153"/>
      <c r="E30" s="30"/>
      <c r="F30" s="21"/>
      <c r="G30" s="21"/>
      <c r="H30" s="29"/>
      <c r="I30" s="45"/>
      <c r="J30" s="30"/>
    </row>
    <row r="31" spans="1:10" x14ac:dyDescent="0.25">
      <c r="A31" s="192"/>
      <c r="B31" s="42"/>
      <c r="C31" s="135"/>
      <c r="D31" s="153"/>
      <c r="E31" s="30"/>
      <c r="F31" s="21"/>
      <c r="G31" s="21"/>
      <c r="H31" s="29"/>
      <c r="I31" s="45"/>
      <c r="J31" s="30"/>
    </row>
    <row r="32" spans="1:10" x14ac:dyDescent="0.25">
      <c r="A32" s="192"/>
      <c r="B32" s="42"/>
      <c r="C32" s="135"/>
      <c r="D32" s="153"/>
      <c r="E32" s="30"/>
      <c r="F32" s="21"/>
      <c r="G32" s="21"/>
      <c r="H32" s="29"/>
      <c r="I32" s="45"/>
      <c r="J32" s="30"/>
    </row>
    <row r="33" spans="1:10" x14ac:dyDescent="0.25">
      <c r="A33" s="192"/>
      <c r="B33" s="42"/>
      <c r="C33" s="135"/>
      <c r="D33" s="153"/>
      <c r="E33" s="30"/>
      <c r="F33" s="21"/>
      <c r="G33" s="21"/>
      <c r="H33" s="29"/>
      <c r="I33" s="45"/>
      <c r="J33" s="30"/>
    </row>
    <row r="34" spans="1:10" x14ac:dyDescent="0.25">
      <c r="A34" s="192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2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2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2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2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2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2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2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2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2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2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2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2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2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2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2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2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2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2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2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2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2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2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2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2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2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2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2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2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2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2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2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2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2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2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2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2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2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2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2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2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2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2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2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2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2"/>
      <c r="B79" s="42"/>
      <c r="C79" s="135"/>
      <c r="D79" s="153"/>
      <c r="E79" s="30"/>
      <c r="F79" s="21"/>
      <c r="G79" s="21"/>
      <c r="H79" s="29"/>
      <c r="I79" s="45"/>
      <c r="J79" s="30"/>
    </row>
  </sheetData>
  <autoFilter ref="A2:J31"/>
  <sortState ref="A3:J110">
    <sortCondition ref="A3:A11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260"/>
  <sheetViews>
    <sheetView topLeftCell="A233" workbookViewId="0">
      <selection sqref="A1:F249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190</v>
      </c>
      <c r="G1" s="8" t="s">
        <v>189</v>
      </c>
    </row>
    <row r="2" spans="1:7" x14ac:dyDescent="0.25">
      <c r="A2" s="8">
        <v>42979.047314814816</v>
      </c>
      <c r="B2" s="20" t="s">
        <v>412</v>
      </c>
      <c r="C2" s="20" t="s">
        <v>535</v>
      </c>
      <c r="D2" s="138">
        <v>890000</v>
      </c>
      <c r="E2" s="20" t="s">
        <v>387</v>
      </c>
      <c r="F2" s="20" t="s">
        <v>388</v>
      </c>
      <c r="G2" s="8" t="str">
        <f>E2&amp;" "&amp;F2</f>
        <v>LOZA FIDEL</v>
      </c>
    </row>
    <row r="3" spans="1:7" x14ac:dyDescent="0.25">
      <c r="A3" s="8">
        <v>42979.04828703704</v>
      </c>
      <c r="B3" s="20" t="s">
        <v>412</v>
      </c>
      <c r="C3" s="20" t="s">
        <v>535</v>
      </c>
      <c r="D3" s="138">
        <v>890000</v>
      </c>
      <c r="E3" s="20" t="s">
        <v>387</v>
      </c>
      <c r="F3" s="20" t="s">
        <v>388</v>
      </c>
      <c r="G3" s="8" t="str">
        <f t="shared" ref="G3:G66" si="0">E3&amp;" "&amp;F3</f>
        <v>LOZA FIDEL</v>
      </c>
    </row>
    <row r="4" spans="1:7" x14ac:dyDescent="0.25">
      <c r="A4" s="8">
        <v>42979.049780092595</v>
      </c>
      <c r="B4" s="20" t="s">
        <v>412</v>
      </c>
      <c r="C4" s="20" t="s">
        <v>535</v>
      </c>
      <c r="D4" s="138">
        <v>890000</v>
      </c>
      <c r="E4" s="20" t="s">
        <v>387</v>
      </c>
      <c r="F4" s="20" t="s">
        <v>388</v>
      </c>
      <c r="G4" s="8" t="str">
        <f t="shared" si="0"/>
        <v>LOZA FIDEL</v>
      </c>
    </row>
    <row r="5" spans="1:7" x14ac:dyDescent="0.25">
      <c r="A5" s="8">
        <v>42979.054722222223</v>
      </c>
      <c r="B5" s="20" t="s">
        <v>399</v>
      </c>
      <c r="C5" s="20" t="s">
        <v>515</v>
      </c>
      <c r="D5" s="138">
        <v>2620000</v>
      </c>
      <c r="E5" s="20" t="s">
        <v>432</v>
      </c>
      <c r="F5" s="20" t="s">
        <v>433</v>
      </c>
      <c r="G5" s="8" t="str">
        <f t="shared" si="0"/>
        <v>PERKINS DARREN</v>
      </c>
    </row>
    <row r="6" spans="1:7" x14ac:dyDescent="0.25">
      <c r="A6" s="8">
        <v>42979.069386574076</v>
      </c>
      <c r="B6" s="20" t="s">
        <v>385</v>
      </c>
      <c r="C6" s="20" t="s">
        <v>536</v>
      </c>
      <c r="D6" s="138">
        <v>3220000</v>
      </c>
      <c r="E6" s="20" t="s">
        <v>413</v>
      </c>
      <c r="F6" s="20" t="s">
        <v>414</v>
      </c>
      <c r="G6" s="8" t="str">
        <f t="shared" si="0"/>
        <v>RESPASS AARON</v>
      </c>
    </row>
    <row r="7" spans="1:7" x14ac:dyDescent="0.25">
      <c r="A7" s="8">
        <v>42979.093460648146</v>
      </c>
      <c r="B7" s="20" t="s">
        <v>534</v>
      </c>
      <c r="C7" s="20" t="s">
        <v>537</v>
      </c>
      <c r="D7" s="138">
        <v>2620000</v>
      </c>
      <c r="E7" s="20" t="s">
        <v>432</v>
      </c>
      <c r="F7" s="20" t="s">
        <v>433</v>
      </c>
      <c r="G7" s="8" t="str">
        <f t="shared" si="0"/>
        <v>PERKINS DARREN</v>
      </c>
    </row>
    <row r="8" spans="1:7" x14ac:dyDescent="0.25">
      <c r="A8" s="8">
        <v>42979.117731481485</v>
      </c>
      <c r="B8" s="20" t="s">
        <v>577</v>
      </c>
      <c r="C8" s="20" t="s">
        <v>578</v>
      </c>
      <c r="D8" s="138">
        <v>1830000</v>
      </c>
      <c r="E8" s="20" t="s">
        <v>452</v>
      </c>
      <c r="F8" s="20" t="s">
        <v>453</v>
      </c>
      <c r="G8" s="8" t="str">
        <f t="shared" si="0"/>
        <v>YORK EDGAR</v>
      </c>
    </row>
    <row r="9" spans="1:7" ht="15.75" thickBot="1" x14ac:dyDescent="0.3">
      <c r="A9" s="24">
        <v>42979.126759259256</v>
      </c>
      <c r="B9" s="20" t="s">
        <v>617</v>
      </c>
      <c r="C9" s="20" t="s">
        <v>618</v>
      </c>
      <c r="D9" s="138">
        <v>1090000</v>
      </c>
      <c r="E9" s="20" t="s">
        <v>449</v>
      </c>
      <c r="F9" s="20" t="s">
        <v>191</v>
      </c>
      <c r="G9" s="8" t="str">
        <f t="shared" si="0"/>
        <v>SPECTOR MICHAEL</v>
      </c>
    </row>
    <row r="10" spans="1:7" x14ac:dyDescent="0.25">
      <c r="A10" s="8">
        <v>42979.128425925926</v>
      </c>
      <c r="B10" s="20" t="s">
        <v>516</v>
      </c>
      <c r="C10" s="20" t="s">
        <v>619</v>
      </c>
      <c r="D10" s="138">
        <v>1830000</v>
      </c>
      <c r="E10" s="20" t="s">
        <v>452</v>
      </c>
      <c r="F10" s="20" t="s">
        <v>453</v>
      </c>
      <c r="G10" s="8" t="str">
        <f t="shared" si="0"/>
        <v>YORK EDGAR</v>
      </c>
    </row>
    <row r="11" spans="1:7" x14ac:dyDescent="0.25">
      <c r="A11" s="8">
        <v>42979.13480324074</v>
      </c>
      <c r="B11" s="20" t="s">
        <v>478</v>
      </c>
      <c r="C11" s="20" t="s">
        <v>620</v>
      </c>
      <c r="D11" s="138">
        <v>2010000</v>
      </c>
      <c r="E11" s="20" t="s">
        <v>517</v>
      </c>
      <c r="F11" s="20" t="s">
        <v>518</v>
      </c>
      <c r="G11" s="8" t="str">
        <f t="shared" si="0"/>
        <v>MAELZER KURT</v>
      </c>
    </row>
    <row r="12" spans="1:7" x14ac:dyDescent="0.25">
      <c r="A12" s="8">
        <v>42979.140046296299</v>
      </c>
      <c r="B12" s="20" t="s">
        <v>577</v>
      </c>
      <c r="C12" s="20" t="s">
        <v>621</v>
      </c>
      <c r="D12" s="138">
        <v>1090000</v>
      </c>
      <c r="E12" s="20" t="s">
        <v>449</v>
      </c>
      <c r="F12" s="20" t="s">
        <v>191</v>
      </c>
      <c r="G12" s="8" t="str">
        <f t="shared" si="0"/>
        <v>SPECTOR MICHAEL</v>
      </c>
    </row>
    <row r="13" spans="1:7" x14ac:dyDescent="0.25">
      <c r="A13" s="8">
        <v>42979.14702546296</v>
      </c>
      <c r="B13" s="20" t="s">
        <v>479</v>
      </c>
      <c r="C13" s="20" t="s">
        <v>622</v>
      </c>
      <c r="D13" s="138">
        <v>2010000</v>
      </c>
      <c r="E13" s="20" t="s">
        <v>517</v>
      </c>
      <c r="F13" s="20" t="s">
        <v>518</v>
      </c>
      <c r="G13" s="8" t="str">
        <f t="shared" si="0"/>
        <v>MAELZER KURT</v>
      </c>
    </row>
    <row r="14" spans="1:7" x14ac:dyDescent="0.25">
      <c r="A14" s="8">
        <v>42979.160694444443</v>
      </c>
      <c r="B14" s="20" t="s">
        <v>613</v>
      </c>
      <c r="C14" s="20" t="s">
        <v>623</v>
      </c>
      <c r="D14" s="138">
        <v>1830000</v>
      </c>
      <c r="E14" s="20" t="s">
        <v>452</v>
      </c>
      <c r="F14" s="20" t="s">
        <v>453</v>
      </c>
      <c r="G14" s="8" t="str">
        <f t="shared" si="0"/>
        <v>YORK EDGAR</v>
      </c>
    </row>
    <row r="15" spans="1:7" x14ac:dyDescent="0.25">
      <c r="A15" s="8">
        <v>42979.163136574076</v>
      </c>
      <c r="B15" s="20" t="s">
        <v>624</v>
      </c>
      <c r="C15" s="20" t="s">
        <v>625</v>
      </c>
      <c r="D15" s="138">
        <v>940000</v>
      </c>
      <c r="E15" s="20" t="s">
        <v>450</v>
      </c>
      <c r="F15" s="20" t="s">
        <v>451</v>
      </c>
      <c r="G15" s="8" t="str">
        <f t="shared" si="0"/>
        <v>BONDS REYNALDO</v>
      </c>
    </row>
    <row r="16" spans="1:7" x14ac:dyDescent="0.25">
      <c r="A16" s="8">
        <v>42979.171215277776</v>
      </c>
      <c r="B16" s="20" t="s">
        <v>511</v>
      </c>
      <c r="C16" s="20" t="s">
        <v>626</v>
      </c>
      <c r="D16" s="138">
        <v>3490000</v>
      </c>
      <c r="E16" s="20" t="s">
        <v>391</v>
      </c>
      <c r="F16" s="20" t="s">
        <v>392</v>
      </c>
      <c r="G16" s="8" t="str">
        <f t="shared" si="0"/>
        <v>WEST BRYAN</v>
      </c>
    </row>
    <row r="17" spans="1:7" x14ac:dyDescent="0.25">
      <c r="A17" s="8">
        <v>42979.174340277779</v>
      </c>
      <c r="B17" s="20" t="s">
        <v>579</v>
      </c>
      <c r="C17" s="20" t="s">
        <v>580</v>
      </c>
      <c r="D17" s="138">
        <v>940000</v>
      </c>
      <c r="E17" s="20" t="s">
        <v>450</v>
      </c>
      <c r="F17" s="20" t="s">
        <v>451</v>
      </c>
      <c r="G17" s="8" t="str">
        <f t="shared" si="0"/>
        <v>BONDS REYNALDO</v>
      </c>
    </row>
    <row r="18" spans="1:7" x14ac:dyDescent="0.25">
      <c r="A18" s="8">
        <v>42979.180185185185</v>
      </c>
      <c r="B18" s="20" t="s">
        <v>627</v>
      </c>
      <c r="C18" s="20" t="s">
        <v>628</v>
      </c>
      <c r="D18" s="138">
        <v>1990000</v>
      </c>
      <c r="E18" s="20" t="s">
        <v>349</v>
      </c>
      <c r="F18" s="20" t="s">
        <v>519</v>
      </c>
      <c r="G18" s="8" t="str">
        <f t="shared" si="0"/>
        <v>DAVIS WENDY</v>
      </c>
    </row>
    <row r="19" spans="1:7" x14ac:dyDescent="0.25">
      <c r="A19" s="8">
        <v>42979.184131944443</v>
      </c>
      <c r="B19" s="20" t="s">
        <v>510</v>
      </c>
      <c r="C19" s="20" t="s">
        <v>629</v>
      </c>
      <c r="D19" s="138">
        <v>3490000</v>
      </c>
      <c r="E19" s="20" t="s">
        <v>391</v>
      </c>
      <c r="F19" s="20" t="s">
        <v>392</v>
      </c>
      <c r="G19" s="8" t="str">
        <f t="shared" si="0"/>
        <v>WEST BRYAN</v>
      </c>
    </row>
    <row r="20" spans="1:7" x14ac:dyDescent="0.25">
      <c r="A20" s="8">
        <v>42979.190092592595</v>
      </c>
      <c r="B20" s="20" t="s">
        <v>478</v>
      </c>
      <c r="C20" s="20" t="s">
        <v>630</v>
      </c>
      <c r="D20" s="138">
        <v>2010000</v>
      </c>
      <c r="E20" s="20" t="s">
        <v>517</v>
      </c>
      <c r="F20" s="20" t="s">
        <v>518</v>
      </c>
      <c r="G20" s="8" t="str">
        <f t="shared" si="0"/>
        <v>MAELZER KURT</v>
      </c>
    </row>
    <row r="21" spans="1:7" x14ac:dyDescent="0.25">
      <c r="A21" s="8">
        <v>42979.193067129629</v>
      </c>
      <c r="B21" s="20" t="s">
        <v>429</v>
      </c>
      <c r="C21" s="20" t="s">
        <v>631</v>
      </c>
      <c r="D21" s="138">
        <v>1990000</v>
      </c>
      <c r="E21" s="20" t="s">
        <v>349</v>
      </c>
      <c r="F21" s="20" t="s">
        <v>519</v>
      </c>
      <c r="G21" s="8" t="str">
        <f t="shared" si="0"/>
        <v>DAVIS WENDY</v>
      </c>
    </row>
    <row r="22" spans="1:7" x14ac:dyDescent="0.25">
      <c r="A22" s="26">
        <v>42979.200023148151</v>
      </c>
      <c r="B22" s="20" t="s">
        <v>581</v>
      </c>
      <c r="C22" s="20" t="s">
        <v>582</v>
      </c>
      <c r="D22" s="138">
        <v>3040000</v>
      </c>
      <c r="E22" s="20" t="s">
        <v>430</v>
      </c>
      <c r="F22" s="20" t="s">
        <v>431</v>
      </c>
      <c r="G22" s="8" t="str">
        <f t="shared" si="0"/>
        <v>WILLIAMS DONTE</v>
      </c>
    </row>
    <row r="23" spans="1:7" x14ac:dyDescent="0.25">
      <c r="A23" s="8">
        <v>42979.202372685184</v>
      </c>
      <c r="B23" s="20" t="s">
        <v>516</v>
      </c>
      <c r="C23" s="20" t="s">
        <v>632</v>
      </c>
      <c r="D23" s="138">
        <v>1830000</v>
      </c>
      <c r="E23" s="20" t="s">
        <v>452</v>
      </c>
      <c r="F23" s="20" t="s">
        <v>453</v>
      </c>
      <c r="G23" s="8" t="str">
        <f t="shared" si="0"/>
        <v>YORK EDGAR</v>
      </c>
    </row>
    <row r="24" spans="1:7" x14ac:dyDescent="0.25">
      <c r="A24" s="8">
        <v>42979.20412037037</v>
      </c>
      <c r="B24" s="20" t="s">
        <v>514</v>
      </c>
      <c r="C24" s="20" t="s">
        <v>633</v>
      </c>
      <c r="D24" s="138">
        <v>2560000</v>
      </c>
      <c r="E24" s="20" t="s">
        <v>634</v>
      </c>
      <c r="F24" s="20" t="s">
        <v>635</v>
      </c>
      <c r="G24" s="8" t="str">
        <f t="shared" si="0"/>
        <v>MACDONALD THOMAS</v>
      </c>
    </row>
    <row r="25" spans="1:7" x14ac:dyDescent="0.25">
      <c r="A25" s="8">
        <v>42979.211805555555</v>
      </c>
      <c r="B25" s="20" t="s">
        <v>624</v>
      </c>
      <c r="C25" s="20" t="s">
        <v>636</v>
      </c>
      <c r="D25" s="138">
        <v>940000</v>
      </c>
      <c r="E25" s="20" t="s">
        <v>450</v>
      </c>
      <c r="F25" s="20" t="s">
        <v>451</v>
      </c>
      <c r="G25" s="8" t="str">
        <f t="shared" si="0"/>
        <v>BONDS REYNALDO</v>
      </c>
    </row>
    <row r="26" spans="1:7" x14ac:dyDescent="0.25">
      <c r="A26" s="8">
        <v>42979.213784722226</v>
      </c>
      <c r="B26" s="20" t="s">
        <v>581</v>
      </c>
      <c r="C26" s="20" t="s">
        <v>582</v>
      </c>
      <c r="D26" s="138">
        <v>3040000</v>
      </c>
      <c r="E26" s="20" t="s">
        <v>430</v>
      </c>
      <c r="F26" s="20" t="s">
        <v>431</v>
      </c>
      <c r="G26" s="8" t="str">
        <f t="shared" si="0"/>
        <v>WILLIAMS DONTE</v>
      </c>
    </row>
    <row r="27" spans="1:7" x14ac:dyDescent="0.25">
      <c r="A27" s="8">
        <v>42979.213865740741</v>
      </c>
      <c r="B27" s="20" t="s">
        <v>511</v>
      </c>
      <c r="C27" s="20" t="s">
        <v>637</v>
      </c>
      <c r="D27" s="138">
        <v>3490000</v>
      </c>
      <c r="E27" s="20" t="s">
        <v>391</v>
      </c>
      <c r="F27" s="20" t="s">
        <v>392</v>
      </c>
      <c r="G27" s="8" t="str">
        <f t="shared" si="0"/>
        <v>WEST BRYAN</v>
      </c>
    </row>
    <row r="28" spans="1:7" x14ac:dyDescent="0.25">
      <c r="A28" s="8">
        <v>42979.214224537034</v>
      </c>
      <c r="B28" s="20" t="s">
        <v>513</v>
      </c>
      <c r="C28" s="20" t="s">
        <v>638</v>
      </c>
      <c r="D28" s="138">
        <v>2560000</v>
      </c>
      <c r="E28" s="20" t="s">
        <v>634</v>
      </c>
      <c r="F28" s="20" t="s">
        <v>635</v>
      </c>
      <c r="G28" s="8" t="str">
        <f t="shared" si="0"/>
        <v>MACDONALD THOMAS</v>
      </c>
    </row>
    <row r="29" spans="1:7" x14ac:dyDescent="0.25">
      <c r="A29" s="8">
        <v>42979.215671296297</v>
      </c>
      <c r="B29" s="20" t="s">
        <v>513</v>
      </c>
      <c r="C29" s="20" t="s">
        <v>638</v>
      </c>
      <c r="D29" s="138">
        <v>2560000</v>
      </c>
      <c r="E29" s="20" t="s">
        <v>634</v>
      </c>
      <c r="F29" s="20" t="s">
        <v>635</v>
      </c>
      <c r="G29" s="8" t="str">
        <f t="shared" si="0"/>
        <v>MACDONALD THOMAS</v>
      </c>
    </row>
    <row r="30" spans="1:7" x14ac:dyDescent="0.25">
      <c r="A30" s="8">
        <v>42979.216944444444</v>
      </c>
      <c r="B30" s="20" t="s">
        <v>584</v>
      </c>
      <c r="C30" s="20" t="s">
        <v>585</v>
      </c>
      <c r="D30" s="138">
        <v>3040000</v>
      </c>
      <c r="E30" s="20" t="s">
        <v>430</v>
      </c>
      <c r="F30" s="20" t="s">
        <v>431</v>
      </c>
      <c r="G30" s="8" t="str">
        <f t="shared" si="0"/>
        <v>WILLIAMS DONTE</v>
      </c>
    </row>
    <row r="31" spans="1:7" x14ac:dyDescent="0.25">
      <c r="A31" s="8">
        <v>42979.221493055556</v>
      </c>
      <c r="B31" s="20" t="s">
        <v>592</v>
      </c>
      <c r="C31" s="20" t="s">
        <v>639</v>
      </c>
      <c r="D31" s="138">
        <v>3510000</v>
      </c>
      <c r="E31" s="20" t="s">
        <v>389</v>
      </c>
      <c r="F31" s="20" t="s">
        <v>390</v>
      </c>
      <c r="G31" s="8" t="str">
        <f t="shared" si="0"/>
        <v>BARRON PERLA</v>
      </c>
    </row>
    <row r="32" spans="1:7" x14ac:dyDescent="0.25">
      <c r="A32" s="8">
        <v>42979.224861111114</v>
      </c>
      <c r="B32" s="20" t="s">
        <v>479</v>
      </c>
      <c r="C32" s="20" t="s">
        <v>640</v>
      </c>
      <c r="D32" s="138">
        <v>2010000</v>
      </c>
      <c r="E32" s="20" t="s">
        <v>517</v>
      </c>
      <c r="F32" s="20" t="s">
        <v>518</v>
      </c>
      <c r="G32" s="8" t="str">
        <f t="shared" si="0"/>
        <v>MAELZER KURT</v>
      </c>
    </row>
    <row r="33" spans="1:7" x14ac:dyDescent="0.25">
      <c r="A33" s="8">
        <v>42979.233240740738</v>
      </c>
      <c r="B33" s="20" t="s">
        <v>627</v>
      </c>
      <c r="C33" s="20" t="s">
        <v>641</v>
      </c>
      <c r="D33" s="138">
        <v>1990000</v>
      </c>
      <c r="E33" s="20" t="s">
        <v>349</v>
      </c>
      <c r="F33" s="20" t="s">
        <v>519</v>
      </c>
      <c r="G33" s="8" t="str">
        <f t="shared" si="0"/>
        <v>DAVIS WENDY</v>
      </c>
    </row>
    <row r="34" spans="1:7" x14ac:dyDescent="0.25">
      <c r="A34" s="8">
        <v>42979.233402777776</v>
      </c>
      <c r="B34" s="20" t="s">
        <v>581</v>
      </c>
      <c r="C34" s="20" t="s">
        <v>642</v>
      </c>
      <c r="D34" s="138">
        <v>3040000</v>
      </c>
      <c r="E34" s="20" t="s">
        <v>430</v>
      </c>
      <c r="F34" s="20" t="s">
        <v>431</v>
      </c>
      <c r="G34" s="8" t="str">
        <f t="shared" si="0"/>
        <v>WILLIAMS DONTE</v>
      </c>
    </row>
    <row r="35" spans="1:7" x14ac:dyDescent="0.25">
      <c r="A35" s="8">
        <v>42979.234814814816</v>
      </c>
      <c r="B35" s="20" t="s">
        <v>613</v>
      </c>
      <c r="C35" s="20" t="s">
        <v>643</v>
      </c>
      <c r="D35" s="138">
        <v>1830000</v>
      </c>
      <c r="E35" s="20" t="s">
        <v>452</v>
      </c>
      <c r="F35" s="20" t="s">
        <v>453</v>
      </c>
      <c r="G35" s="8" t="str">
        <f t="shared" si="0"/>
        <v>YORK EDGAR</v>
      </c>
    </row>
    <row r="36" spans="1:7" x14ac:dyDescent="0.25">
      <c r="A36" s="8">
        <v>42979.236921296295</v>
      </c>
      <c r="B36" s="20" t="s">
        <v>644</v>
      </c>
      <c r="C36" s="20" t="s">
        <v>645</v>
      </c>
      <c r="D36" s="138">
        <v>3510000</v>
      </c>
      <c r="E36" s="20" t="s">
        <v>389</v>
      </c>
      <c r="F36" s="20" t="s">
        <v>390</v>
      </c>
      <c r="G36" s="8" t="str">
        <f t="shared" si="0"/>
        <v>BARRON PERLA</v>
      </c>
    </row>
    <row r="37" spans="1:7" x14ac:dyDescent="0.25">
      <c r="A37" s="8">
        <v>42979.2421412037</v>
      </c>
      <c r="B37" s="20" t="s">
        <v>646</v>
      </c>
      <c r="C37" s="20" t="s">
        <v>647</v>
      </c>
      <c r="D37" s="138">
        <v>3520000</v>
      </c>
      <c r="E37" s="20" t="s">
        <v>458</v>
      </c>
      <c r="F37" s="20" t="s">
        <v>459</v>
      </c>
      <c r="G37" s="8" t="str">
        <f t="shared" si="0"/>
        <v>TOUSIGNAUT CARL</v>
      </c>
    </row>
    <row r="38" spans="1:7" x14ac:dyDescent="0.25">
      <c r="A38" s="8">
        <v>42979.246736111112</v>
      </c>
      <c r="B38" s="20" t="s">
        <v>579</v>
      </c>
      <c r="C38" s="20" t="s">
        <v>648</v>
      </c>
      <c r="D38" s="138">
        <v>3300000</v>
      </c>
      <c r="E38" s="20" t="s">
        <v>649</v>
      </c>
      <c r="F38" s="20" t="s">
        <v>650</v>
      </c>
      <c r="G38" s="8" t="str">
        <f t="shared" si="0"/>
        <v>LANGERAK WILLIAM</v>
      </c>
    </row>
    <row r="39" spans="1:7" x14ac:dyDescent="0.25">
      <c r="A39" s="8">
        <v>42979.248703703706</v>
      </c>
      <c r="B39" s="20" t="s">
        <v>584</v>
      </c>
      <c r="C39" s="20" t="s">
        <v>651</v>
      </c>
      <c r="D39" s="138">
        <v>3040000</v>
      </c>
      <c r="E39" s="20" t="s">
        <v>430</v>
      </c>
      <c r="F39" s="20" t="s">
        <v>431</v>
      </c>
      <c r="G39" s="8" t="str">
        <f t="shared" si="0"/>
        <v>WILLIAMS DONTE</v>
      </c>
    </row>
    <row r="40" spans="1:7" x14ac:dyDescent="0.25">
      <c r="A40" s="8">
        <v>42979.251655092594</v>
      </c>
      <c r="B40" s="25" t="s">
        <v>587</v>
      </c>
      <c r="C40" s="20" t="s">
        <v>588</v>
      </c>
      <c r="D40" s="138">
        <v>3520000</v>
      </c>
      <c r="E40" s="20" t="s">
        <v>458</v>
      </c>
      <c r="F40" s="20" t="s">
        <v>459</v>
      </c>
      <c r="G40" s="8" t="str">
        <f t="shared" si="0"/>
        <v>TOUSIGNAUT CARL</v>
      </c>
    </row>
    <row r="41" spans="1:7" x14ac:dyDescent="0.25">
      <c r="A41" s="8">
        <v>42979.255555555559</v>
      </c>
      <c r="B41" s="20" t="s">
        <v>510</v>
      </c>
      <c r="C41" s="20" t="s">
        <v>652</v>
      </c>
      <c r="D41" s="138">
        <v>3490000</v>
      </c>
      <c r="E41" s="20" t="s">
        <v>391</v>
      </c>
      <c r="F41" s="20" t="s">
        <v>392</v>
      </c>
      <c r="G41" s="8" t="str">
        <f t="shared" si="0"/>
        <v>WEST BRYAN</v>
      </c>
    </row>
    <row r="42" spans="1:7" x14ac:dyDescent="0.25">
      <c r="A42" s="8">
        <v>42979.257060185184</v>
      </c>
      <c r="B42" s="20" t="s">
        <v>514</v>
      </c>
      <c r="C42" s="20" t="s">
        <v>586</v>
      </c>
      <c r="D42" s="138">
        <v>2560000</v>
      </c>
      <c r="E42" s="20" t="s">
        <v>634</v>
      </c>
      <c r="F42" s="20" t="s">
        <v>635</v>
      </c>
      <c r="G42" s="8" t="str">
        <f t="shared" si="0"/>
        <v>MACDONALD THOMAS</v>
      </c>
    </row>
    <row r="43" spans="1:7" x14ac:dyDescent="0.25">
      <c r="A43" s="8">
        <v>42979.262928240743</v>
      </c>
      <c r="B43" s="20" t="s">
        <v>478</v>
      </c>
      <c r="C43" s="20" t="s">
        <v>653</v>
      </c>
      <c r="D43" s="138">
        <v>2010000</v>
      </c>
      <c r="E43" s="20" t="s">
        <v>517</v>
      </c>
      <c r="F43" s="20" t="s">
        <v>518</v>
      </c>
      <c r="G43" s="8" t="str">
        <f t="shared" si="0"/>
        <v>MAELZER KURT</v>
      </c>
    </row>
    <row r="44" spans="1:7" x14ac:dyDescent="0.25">
      <c r="A44" s="8">
        <v>42979.265752314815</v>
      </c>
      <c r="B44" s="20" t="s">
        <v>592</v>
      </c>
      <c r="C44" s="20" t="s">
        <v>654</v>
      </c>
      <c r="D44" s="138">
        <v>3510000</v>
      </c>
      <c r="E44" s="20" t="s">
        <v>389</v>
      </c>
      <c r="F44" s="20" t="s">
        <v>390</v>
      </c>
      <c r="G44" s="8" t="str">
        <f t="shared" si="0"/>
        <v>BARRON PERLA</v>
      </c>
    </row>
    <row r="45" spans="1:7" x14ac:dyDescent="0.25">
      <c r="A45" s="8">
        <v>42979.268252314818</v>
      </c>
      <c r="B45" s="20" t="s">
        <v>646</v>
      </c>
      <c r="C45" s="20" t="s">
        <v>655</v>
      </c>
      <c r="D45" s="138">
        <v>3520000</v>
      </c>
      <c r="E45" s="20" t="s">
        <v>458</v>
      </c>
      <c r="F45" s="20" t="s">
        <v>459</v>
      </c>
      <c r="G45" s="8" t="str">
        <f t="shared" si="0"/>
        <v>TOUSIGNAUT CARL</v>
      </c>
    </row>
    <row r="46" spans="1:7" x14ac:dyDescent="0.25">
      <c r="A46" s="8">
        <v>42979.268738425926</v>
      </c>
      <c r="B46" s="20" t="s">
        <v>429</v>
      </c>
      <c r="C46" s="20" t="s">
        <v>656</v>
      </c>
      <c r="D46" s="138">
        <v>3260000</v>
      </c>
      <c r="E46" s="20" t="s">
        <v>657</v>
      </c>
      <c r="F46" s="20" t="s">
        <v>658</v>
      </c>
      <c r="G46" s="8" t="str">
        <f t="shared" si="0"/>
        <v>PAGE MARCUS</v>
      </c>
    </row>
    <row r="47" spans="1:7" x14ac:dyDescent="0.25">
      <c r="A47" s="8">
        <v>42979.272511574076</v>
      </c>
      <c r="B47" s="20" t="s">
        <v>581</v>
      </c>
      <c r="C47" s="20" t="s">
        <v>589</v>
      </c>
      <c r="D47" s="138">
        <v>3180000</v>
      </c>
      <c r="E47" s="20" t="s">
        <v>520</v>
      </c>
      <c r="F47" s="20" t="s">
        <v>521</v>
      </c>
      <c r="G47" s="8" t="str">
        <f t="shared" si="0"/>
        <v>HUFFSMITH MONTY</v>
      </c>
    </row>
    <row r="48" spans="1:7" x14ac:dyDescent="0.25">
      <c r="A48" s="8">
        <v>42979.274722222224</v>
      </c>
      <c r="B48" s="20" t="s">
        <v>516</v>
      </c>
      <c r="C48" s="20" t="s">
        <v>659</v>
      </c>
      <c r="D48" s="138">
        <v>1830000</v>
      </c>
      <c r="E48" s="20" t="s">
        <v>452</v>
      </c>
      <c r="F48" s="20" t="s">
        <v>453</v>
      </c>
      <c r="G48" s="8" t="str">
        <f t="shared" si="0"/>
        <v>YORK EDGAR</v>
      </c>
    </row>
    <row r="49" spans="1:7" x14ac:dyDescent="0.25">
      <c r="A49" s="8">
        <v>42979.279050925928</v>
      </c>
      <c r="B49" s="20" t="s">
        <v>624</v>
      </c>
      <c r="C49" s="20" t="s">
        <v>660</v>
      </c>
      <c r="D49" s="138">
        <v>3300000</v>
      </c>
      <c r="E49" s="20" t="s">
        <v>649</v>
      </c>
      <c r="F49" s="20" t="s">
        <v>650</v>
      </c>
      <c r="G49" s="8" t="str">
        <f t="shared" si="0"/>
        <v>LANGERAK WILLIAM</v>
      </c>
    </row>
    <row r="50" spans="1:7" x14ac:dyDescent="0.25">
      <c r="A50" s="8">
        <v>42979.287349537037</v>
      </c>
      <c r="B50" s="20" t="s">
        <v>511</v>
      </c>
      <c r="C50" s="20" t="s">
        <v>661</v>
      </c>
      <c r="D50" s="138">
        <v>3490000</v>
      </c>
      <c r="E50" s="20" t="s">
        <v>391</v>
      </c>
      <c r="F50" s="20" t="s">
        <v>392</v>
      </c>
      <c r="G50" s="8" t="str">
        <f t="shared" si="0"/>
        <v>WEST BRYAN</v>
      </c>
    </row>
    <row r="51" spans="1:7" x14ac:dyDescent="0.25">
      <c r="A51" s="8">
        <v>42979.2890625</v>
      </c>
      <c r="B51" s="20" t="s">
        <v>513</v>
      </c>
      <c r="C51" s="20" t="s">
        <v>662</v>
      </c>
      <c r="D51" s="138">
        <v>1110000</v>
      </c>
      <c r="E51" s="20" t="s">
        <v>454</v>
      </c>
      <c r="F51" s="20" t="s">
        <v>455</v>
      </c>
      <c r="G51" s="8" t="str">
        <f t="shared" si="0"/>
        <v>STARKS ANGELINA</v>
      </c>
    </row>
    <row r="52" spans="1:7" x14ac:dyDescent="0.25">
      <c r="A52" s="8">
        <v>42979.290046296293</v>
      </c>
      <c r="B52" s="20" t="s">
        <v>587</v>
      </c>
      <c r="C52" s="20" t="s">
        <v>590</v>
      </c>
      <c r="D52" s="138">
        <v>3520000</v>
      </c>
      <c r="E52" s="20" t="s">
        <v>458</v>
      </c>
      <c r="F52" s="20" t="s">
        <v>459</v>
      </c>
      <c r="G52" s="8" t="str">
        <f t="shared" si="0"/>
        <v>TOUSIGNAUT CARL</v>
      </c>
    </row>
    <row r="53" spans="1:7" x14ac:dyDescent="0.25">
      <c r="A53" s="8">
        <v>42979.290613425925</v>
      </c>
      <c r="B53" s="20" t="s">
        <v>584</v>
      </c>
      <c r="C53" s="20" t="s">
        <v>663</v>
      </c>
      <c r="D53" s="138">
        <v>3180000</v>
      </c>
      <c r="E53" s="20" t="s">
        <v>520</v>
      </c>
      <c r="F53" s="20" t="s">
        <v>521</v>
      </c>
      <c r="G53" s="8" t="str">
        <f t="shared" si="0"/>
        <v>HUFFSMITH MONTY</v>
      </c>
    </row>
    <row r="54" spans="1:7" x14ac:dyDescent="0.25">
      <c r="A54" s="8">
        <v>42979.298587962963</v>
      </c>
      <c r="B54" s="20" t="s">
        <v>479</v>
      </c>
      <c r="C54" s="20" t="s">
        <v>664</v>
      </c>
      <c r="D54" s="138">
        <v>2010000</v>
      </c>
      <c r="E54" s="20" t="s">
        <v>517</v>
      </c>
      <c r="F54" s="20" t="s">
        <v>518</v>
      </c>
      <c r="G54" s="8" t="str">
        <f t="shared" si="0"/>
        <v>MAELZER KURT</v>
      </c>
    </row>
    <row r="55" spans="1:7" x14ac:dyDescent="0.25">
      <c r="A55" s="8">
        <v>42979.306527777779</v>
      </c>
      <c r="B55" s="20" t="s">
        <v>613</v>
      </c>
      <c r="C55" s="20" t="s">
        <v>665</v>
      </c>
      <c r="D55" s="138">
        <v>1830000</v>
      </c>
      <c r="E55" s="20" t="s">
        <v>452</v>
      </c>
      <c r="F55" s="20" t="s">
        <v>453</v>
      </c>
      <c r="G55" s="8" t="str">
        <f t="shared" si="0"/>
        <v>YORK EDGAR</v>
      </c>
    </row>
    <row r="56" spans="1:7" x14ac:dyDescent="0.25">
      <c r="A56" s="8">
        <v>42979.307187500002</v>
      </c>
      <c r="B56" s="20" t="s">
        <v>627</v>
      </c>
      <c r="C56" s="20" t="s">
        <v>666</v>
      </c>
      <c r="D56" s="138">
        <v>3260000</v>
      </c>
      <c r="E56" s="20" t="s">
        <v>657</v>
      </c>
      <c r="F56" s="20" t="s">
        <v>658</v>
      </c>
      <c r="G56" s="8" t="str">
        <f t="shared" si="0"/>
        <v>PAGE MARCUS</v>
      </c>
    </row>
    <row r="57" spans="1:7" x14ac:dyDescent="0.25">
      <c r="A57" s="8">
        <v>42979.308657407404</v>
      </c>
      <c r="B57" s="20" t="s">
        <v>644</v>
      </c>
      <c r="C57" s="20" t="s">
        <v>667</v>
      </c>
      <c r="D57" s="138">
        <v>3510000</v>
      </c>
      <c r="E57" s="20" t="s">
        <v>389</v>
      </c>
      <c r="F57" s="20" t="s">
        <v>390</v>
      </c>
      <c r="G57" s="8" t="str">
        <f t="shared" si="0"/>
        <v>BARRON PERLA</v>
      </c>
    </row>
    <row r="58" spans="1:7" x14ac:dyDescent="0.25">
      <c r="A58" s="8">
        <v>42979.311388888891</v>
      </c>
      <c r="B58" s="20" t="s">
        <v>646</v>
      </c>
      <c r="C58" s="20" t="s">
        <v>668</v>
      </c>
      <c r="D58" s="138">
        <v>3520000</v>
      </c>
      <c r="E58" s="20" t="s">
        <v>458</v>
      </c>
      <c r="F58" s="20" t="s">
        <v>459</v>
      </c>
      <c r="G58" s="8" t="str">
        <f t="shared" si="0"/>
        <v>TOUSIGNAUT CARL</v>
      </c>
    </row>
    <row r="59" spans="1:7" x14ac:dyDescent="0.25">
      <c r="A59" s="8">
        <v>42979.315416666665</v>
      </c>
      <c r="B59" s="20" t="s">
        <v>581</v>
      </c>
      <c r="C59" s="20" t="s">
        <v>669</v>
      </c>
      <c r="D59" s="138">
        <v>3040000</v>
      </c>
      <c r="E59" s="20" t="s">
        <v>430</v>
      </c>
      <c r="F59" s="20" t="s">
        <v>431</v>
      </c>
      <c r="G59" s="8" t="str">
        <f t="shared" si="0"/>
        <v>WILLIAMS DONTE</v>
      </c>
    </row>
    <row r="60" spans="1:7" x14ac:dyDescent="0.25">
      <c r="A60" s="8">
        <v>42979.319687499999</v>
      </c>
      <c r="B60" s="20" t="s">
        <v>579</v>
      </c>
      <c r="C60" s="20" t="s">
        <v>591</v>
      </c>
      <c r="D60" s="138">
        <v>940000</v>
      </c>
      <c r="E60" s="20" t="s">
        <v>450</v>
      </c>
      <c r="F60" s="20" t="s">
        <v>451</v>
      </c>
      <c r="G60" s="8" t="str">
        <f t="shared" si="0"/>
        <v>BONDS REYNALDO</v>
      </c>
    </row>
    <row r="61" spans="1:7" x14ac:dyDescent="0.25">
      <c r="A61" s="8">
        <v>42979.328981481478</v>
      </c>
      <c r="B61" s="20" t="s">
        <v>514</v>
      </c>
      <c r="C61" s="20" t="s">
        <v>670</v>
      </c>
      <c r="D61" s="138">
        <v>1110000</v>
      </c>
      <c r="E61" s="20" t="s">
        <v>454</v>
      </c>
      <c r="F61" s="20" t="s">
        <v>455</v>
      </c>
      <c r="G61" s="8" t="str">
        <f t="shared" si="0"/>
        <v>STARKS ANGELINA</v>
      </c>
    </row>
    <row r="62" spans="1:7" x14ac:dyDescent="0.25">
      <c r="A62" s="8">
        <v>42979.329826388886</v>
      </c>
      <c r="B62" s="20" t="s">
        <v>510</v>
      </c>
      <c r="C62" s="20" t="s">
        <v>671</v>
      </c>
      <c r="D62" s="138">
        <v>3490000</v>
      </c>
      <c r="E62" s="20" t="s">
        <v>391</v>
      </c>
      <c r="F62" s="20" t="s">
        <v>392</v>
      </c>
      <c r="G62" s="8" t="str">
        <f t="shared" si="0"/>
        <v>WEST BRYAN</v>
      </c>
    </row>
    <row r="63" spans="1:7" x14ac:dyDescent="0.25">
      <c r="A63" s="8">
        <v>42979.33184027778</v>
      </c>
      <c r="B63" s="20" t="s">
        <v>584</v>
      </c>
      <c r="C63" s="20" t="s">
        <v>672</v>
      </c>
      <c r="D63" s="138">
        <v>3040000</v>
      </c>
      <c r="E63" s="20" t="s">
        <v>430</v>
      </c>
      <c r="F63" s="20" t="s">
        <v>431</v>
      </c>
      <c r="G63" s="8" t="str">
        <f t="shared" si="0"/>
        <v>WILLIAMS DONTE</v>
      </c>
    </row>
    <row r="64" spans="1:7" x14ac:dyDescent="0.25">
      <c r="A64" s="26">
        <v>42979.334710648145</v>
      </c>
      <c r="B64" s="20" t="s">
        <v>478</v>
      </c>
      <c r="C64" s="20" t="s">
        <v>673</v>
      </c>
      <c r="D64" s="138">
        <v>2010000</v>
      </c>
      <c r="E64" s="20" t="s">
        <v>517</v>
      </c>
      <c r="F64" s="20" t="s">
        <v>518</v>
      </c>
      <c r="G64" s="8" t="str">
        <f t="shared" si="0"/>
        <v>MAELZER KURT</v>
      </c>
    </row>
    <row r="65" spans="1:7" x14ac:dyDescent="0.25">
      <c r="A65" s="8">
        <v>42979.33520833333</v>
      </c>
      <c r="B65" s="20" t="s">
        <v>587</v>
      </c>
      <c r="C65" s="20" t="s">
        <v>674</v>
      </c>
      <c r="D65" s="138">
        <v>3520000</v>
      </c>
      <c r="E65" s="20" t="s">
        <v>458</v>
      </c>
      <c r="F65" s="20" t="s">
        <v>459</v>
      </c>
      <c r="G65" s="8" t="str">
        <f t="shared" si="0"/>
        <v>TOUSIGNAUT CARL</v>
      </c>
    </row>
    <row r="66" spans="1:7" x14ac:dyDescent="0.25">
      <c r="A66" s="8">
        <v>42979.336284722223</v>
      </c>
      <c r="B66" s="20" t="s">
        <v>617</v>
      </c>
      <c r="C66" s="20" t="s">
        <v>675</v>
      </c>
      <c r="D66" s="138">
        <v>1090000</v>
      </c>
      <c r="E66" s="20" t="s">
        <v>449</v>
      </c>
      <c r="F66" s="20" t="s">
        <v>191</v>
      </c>
      <c r="G66" s="8" t="str">
        <f t="shared" si="0"/>
        <v>SPECTOR MICHAEL</v>
      </c>
    </row>
    <row r="67" spans="1:7" x14ac:dyDescent="0.25">
      <c r="A67" s="8">
        <v>42979.336377314816</v>
      </c>
      <c r="B67" s="20" t="s">
        <v>587</v>
      </c>
      <c r="C67" s="20" t="s">
        <v>674</v>
      </c>
      <c r="D67" s="138">
        <v>3520000</v>
      </c>
      <c r="E67" s="20" t="s">
        <v>458</v>
      </c>
      <c r="F67" s="20" t="s">
        <v>459</v>
      </c>
      <c r="G67" s="8" t="str">
        <f t="shared" ref="G67:G130" si="1">E67&amp;" "&amp;F67</f>
        <v>TOUSIGNAUT CARL</v>
      </c>
    </row>
    <row r="68" spans="1:7" x14ac:dyDescent="0.25">
      <c r="A68" s="8">
        <v>42979.339108796295</v>
      </c>
      <c r="B68" s="20" t="s">
        <v>429</v>
      </c>
      <c r="C68" s="20" t="s">
        <v>676</v>
      </c>
      <c r="D68" s="138">
        <v>1990000</v>
      </c>
      <c r="E68" s="20" t="s">
        <v>349</v>
      </c>
      <c r="F68" s="20" t="s">
        <v>519</v>
      </c>
      <c r="G68" s="8" t="str">
        <f t="shared" si="1"/>
        <v>DAVIS WENDY</v>
      </c>
    </row>
    <row r="69" spans="1:7" x14ac:dyDescent="0.25">
      <c r="A69" s="8">
        <v>42979.339953703704</v>
      </c>
      <c r="B69" s="20" t="s">
        <v>592</v>
      </c>
      <c r="C69" s="20" t="s">
        <v>593</v>
      </c>
      <c r="D69" s="138">
        <v>3510000</v>
      </c>
      <c r="E69" s="20" t="s">
        <v>389</v>
      </c>
      <c r="F69" s="20" t="s">
        <v>390</v>
      </c>
      <c r="G69" s="8" t="str">
        <f t="shared" si="1"/>
        <v>BARRON PERLA</v>
      </c>
    </row>
    <row r="70" spans="1:7" x14ac:dyDescent="0.25">
      <c r="A70" s="8">
        <v>42979.340462962966</v>
      </c>
      <c r="B70" s="20" t="s">
        <v>577</v>
      </c>
      <c r="C70" s="20" t="s">
        <v>675</v>
      </c>
      <c r="D70" s="138">
        <v>1090000</v>
      </c>
      <c r="E70" s="20" t="s">
        <v>449</v>
      </c>
      <c r="F70" s="20" t="s">
        <v>191</v>
      </c>
      <c r="G70" s="8" t="str">
        <f t="shared" si="1"/>
        <v>SPECTOR MICHAEL</v>
      </c>
    </row>
    <row r="71" spans="1:7" x14ac:dyDescent="0.25">
      <c r="A71" s="8">
        <v>42979.345451388886</v>
      </c>
      <c r="B71" s="20" t="s">
        <v>617</v>
      </c>
      <c r="C71" s="20" t="s">
        <v>674</v>
      </c>
      <c r="D71" s="138">
        <v>3520000</v>
      </c>
      <c r="E71" s="20" t="s">
        <v>458</v>
      </c>
      <c r="F71" s="20" t="s">
        <v>459</v>
      </c>
      <c r="G71" s="8" t="str">
        <f t="shared" si="1"/>
        <v>TOUSIGNAUT CARL</v>
      </c>
    </row>
    <row r="72" spans="1:7" x14ac:dyDescent="0.25">
      <c r="A72" s="8">
        <v>42979.346435185187</v>
      </c>
      <c r="B72" s="20" t="s">
        <v>617</v>
      </c>
      <c r="C72" s="20" t="s">
        <v>674</v>
      </c>
      <c r="D72" s="138">
        <v>3520000</v>
      </c>
      <c r="E72" s="20" t="s">
        <v>458</v>
      </c>
      <c r="F72" s="20" t="s">
        <v>459</v>
      </c>
      <c r="G72" s="8" t="str">
        <f t="shared" si="1"/>
        <v>TOUSIGNAUT CARL</v>
      </c>
    </row>
    <row r="73" spans="1:7" x14ac:dyDescent="0.25">
      <c r="A73" s="8">
        <v>42979.34814814815</v>
      </c>
      <c r="B73" s="20" t="s">
        <v>516</v>
      </c>
      <c r="C73" s="20" t="s">
        <v>677</v>
      </c>
      <c r="D73" s="138">
        <v>1830000</v>
      </c>
      <c r="E73" s="20" t="s">
        <v>452</v>
      </c>
      <c r="F73" s="20" t="s">
        <v>453</v>
      </c>
      <c r="G73" s="8" t="str">
        <f t="shared" si="1"/>
        <v>YORK EDGAR</v>
      </c>
    </row>
    <row r="74" spans="1:7" x14ac:dyDescent="0.25">
      <c r="A74" s="8">
        <v>42979.359305555554</v>
      </c>
      <c r="B74" s="20" t="s">
        <v>624</v>
      </c>
      <c r="C74" s="20" t="s">
        <v>678</v>
      </c>
      <c r="D74" s="138">
        <v>940000</v>
      </c>
      <c r="E74" s="20" t="s">
        <v>450</v>
      </c>
      <c r="F74" s="20" t="s">
        <v>451</v>
      </c>
      <c r="G74" s="8" t="str">
        <f t="shared" si="1"/>
        <v>BONDS REYNALDO</v>
      </c>
    </row>
    <row r="75" spans="1:7" x14ac:dyDescent="0.25">
      <c r="A75" s="8">
        <v>42979.359456018516</v>
      </c>
      <c r="B75" s="20" t="s">
        <v>577</v>
      </c>
      <c r="C75" s="20" t="s">
        <v>679</v>
      </c>
      <c r="D75" s="138">
        <v>3520000</v>
      </c>
      <c r="E75" s="20" t="s">
        <v>458</v>
      </c>
      <c r="F75" s="20" t="s">
        <v>459</v>
      </c>
      <c r="G75" s="8" t="str">
        <f t="shared" si="1"/>
        <v>TOUSIGNAUT CARL</v>
      </c>
    </row>
    <row r="76" spans="1:7" x14ac:dyDescent="0.25">
      <c r="A76" s="8">
        <v>42979.360625000001</v>
      </c>
      <c r="B76" s="20" t="s">
        <v>511</v>
      </c>
      <c r="C76" s="20" t="s">
        <v>594</v>
      </c>
      <c r="D76" s="138">
        <v>3490000</v>
      </c>
      <c r="E76" s="20" t="s">
        <v>391</v>
      </c>
      <c r="F76" s="20" t="s">
        <v>392</v>
      </c>
      <c r="G76" s="8" t="str">
        <f t="shared" si="1"/>
        <v>WEST BRYAN</v>
      </c>
    </row>
    <row r="77" spans="1:7" x14ac:dyDescent="0.25">
      <c r="A77" s="8">
        <v>42979.360821759263</v>
      </c>
      <c r="B77" s="20" t="s">
        <v>587</v>
      </c>
      <c r="C77" s="20" t="s">
        <v>680</v>
      </c>
      <c r="D77" s="138">
        <v>3040000</v>
      </c>
      <c r="E77" s="20" t="s">
        <v>430</v>
      </c>
      <c r="F77" s="20" t="s">
        <v>431</v>
      </c>
      <c r="G77" s="8" t="str">
        <f t="shared" si="1"/>
        <v>WILLIAMS DONTE</v>
      </c>
    </row>
    <row r="78" spans="1:7" x14ac:dyDescent="0.25">
      <c r="A78" s="8">
        <v>42979.362013888887</v>
      </c>
      <c r="B78" s="20" t="s">
        <v>513</v>
      </c>
      <c r="C78" s="20" t="s">
        <v>595</v>
      </c>
      <c r="D78" s="138">
        <v>2560000</v>
      </c>
      <c r="E78" s="20" t="s">
        <v>634</v>
      </c>
      <c r="F78" s="20" t="s">
        <v>635</v>
      </c>
      <c r="G78" s="8" t="str">
        <f t="shared" si="1"/>
        <v>MACDONALD THOMAS</v>
      </c>
    </row>
    <row r="79" spans="1:7" x14ac:dyDescent="0.25">
      <c r="A79" s="8">
        <v>42979.370868055557</v>
      </c>
      <c r="B79" s="20" t="s">
        <v>479</v>
      </c>
      <c r="C79" s="20" t="s">
        <v>596</v>
      </c>
      <c r="D79" s="138">
        <v>3030000</v>
      </c>
      <c r="E79" s="20" t="s">
        <v>681</v>
      </c>
      <c r="F79" s="20" t="s">
        <v>635</v>
      </c>
      <c r="G79" s="8" t="str">
        <f t="shared" si="1"/>
        <v>BIRENBAUM THOMAS</v>
      </c>
    </row>
    <row r="80" spans="1:7" x14ac:dyDescent="0.25">
      <c r="A80" s="8">
        <v>42979.377395833333</v>
      </c>
      <c r="B80" s="20" t="s">
        <v>617</v>
      </c>
      <c r="C80" s="20" t="s">
        <v>682</v>
      </c>
      <c r="D80" s="138">
        <v>2530000</v>
      </c>
      <c r="E80" s="20" t="s">
        <v>683</v>
      </c>
      <c r="F80" s="20" t="s">
        <v>684</v>
      </c>
      <c r="G80" s="8" t="str">
        <f t="shared" si="1"/>
        <v>LALONDE GREGORY</v>
      </c>
    </row>
    <row r="81" spans="1:7" x14ac:dyDescent="0.25">
      <c r="A81" s="8">
        <v>42979.379942129628</v>
      </c>
      <c r="B81" s="20" t="s">
        <v>613</v>
      </c>
      <c r="C81" s="20" t="s">
        <v>685</v>
      </c>
      <c r="D81" s="138">
        <v>1830000</v>
      </c>
      <c r="E81" s="20" t="s">
        <v>452</v>
      </c>
      <c r="F81" s="20" t="s">
        <v>453</v>
      </c>
      <c r="G81" s="8" t="str">
        <f t="shared" si="1"/>
        <v>YORK EDGAR</v>
      </c>
    </row>
    <row r="82" spans="1:7" x14ac:dyDescent="0.25">
      <c r="A82" s="8">
        <v>42979.381550925929</v>
      </c>
      <c r="B82" s="20" t="s">
        <v>644</v>
      </c>
      <c r="C82" s="20" t="s">
        <v>686</v>
      </c>
      <c r="D82" s="138">
        <v>3510000</v>
      </c>
      <c r="E82" s="20" t="s">
        <v>389</v>
      </c>
      <c r="F82" s="20" t="s">
        <v>390</v>
      </c>
      <c r="G82" s="8" t="str">
        <f t="shared" si="1"/>
        <v>BARRON PERLA</v>
      </c>
    </row>
    <row r="83" spans="1:7" x14ac:dyDescent="0.25">
      <c r="A83" s="8">
        <v>42979.382430555554</v>
      </c>
      <c r="B83" s="20" t="s">
        <v>627</v>
      </c>
      <c r="C83" s="20" t="s">
        <v>687</v>
      </c>
      <c r="D83" s="138">
        <v>1990000</v>
      </c>
      <c r="E83" s="20" t="s">
        <v>349</v>
      </c>
      <c r="F83" s="20" t="s">
        <v>519</v>
      </c>
      <c r="G83" s="8" t="str">
        <f t="shared" si="1"/>
        <v>DAVIS WENDY</v>
      </c>
    </row>
    <row r="84" spans="1:7" x14ac:dyDescent="0.25">
      <c r="A84" s="8">
        <v>42979.392083333332</v>
      </c>
      <c r="B84" s="20" t="s">
        <v>579</v>
      </c>
      <c r="C84" s="20" t="s">
        <v>597</v>
      </c>
      <c r="D84" s="138">
        <v>940000</v>
      </c>
      <c r="E84" s="20" t="s">
        <v>450</v>
      </c>
      <c r="F84" s="20" t="s">
        <v>451</v>
      </c>
      <c r="G84" s="8" t="str">
        <f t="shared" si="1"/>
        <v>BONDS REYNALDO</v>
      </c>
    </row>
    <row r="85" spans="1:7" x14ac:dyDescent="0.25">
      <c r="A85" s="8">
        <v>42979.392187500001</v>
      </c>
      <c r="B85" s="20" t="s">
        <v>577</v>
      </c>
      <c r="C85" s="20" t="s">
        <v>688</v>
      </c>
      <c r="D85" s="138">
        <v>2530000</v>
      </c>
      <c r="E85" s="20" t="s">
        <v>683</v>
      </c>
      <c r="F85" s="20" t="s">
        <v>684</v>
      </c>
      <c r="G85" s="8" t="str">
        <f t="shared" si="1"/>
        <v>LALONDE GREGORY</v>
      </c>
    </row>
    <row r="86" spans="1:7" x14ac:dyDescent="0.25">
      <c r="A86" s="8">
        <v>42979.400671296295</v>
      </c>
      <c r="B86" s="20" t="s">
        <v>514</v>
      </c>
      <c r="C86" s="20" t="s">
        <v>689</v>
      </c>
      <c r="D86" s="138">
        <v>2560000</v>
      </c>
      <c r="E86" s="20" t="s">
        <v>634</v>
      </c>
      <c r="F86" s="20" t="s">
        <v>635</v>
      </c>
      <c r="G86" s="8" t="str">
        <f t="shared" si="1"/>
        <v>MACDONALD THOMAS</v>
      </c>
    </row>
    <row r="87" spans="1:7" x14ac:dyDescent="0.25">
      <c r="A87" s="8">
        <v>42979.40247685185</v>
      </c>
      <c r="B87" s="20" t="s">
        <v>510</v>
      </c>
      <c r="C87" s="20" t="s">
        <v>690</v>
      </c>
      <c r="D87" s="138">
        <v>3490000</v>
      </c>
      <c r="E87" s="20" t="s">
        <v>391</v>
      </c>
      <c r="F87" s="20" t="s">
        <v>392</v>
      </c>
      <c r="G87" s="8" t="str">
        <f t="shared" si="1"/>
        <v>WEST BRYAN</v>
      </c>
    </row>
    <row r="88" spans="1:7" x14ac:dyDescent="0.25">
      <c r="A88" s="8">
        <v>42979.411354166667</v>
      </c>
      <c r="B88" s="20" t="s">
        <v>592</v>
      </c>
      <c r="C88" s="20" t="s">
        <v>691</v>
      </c>
      <c r="D88" s="138">
        <v>3510000</v>
      </c>
      <c r="E88" s="20" t="s">
        <v>389</v>
      </c>
      <c r="F88" s="20" t="s">
        <v>390</v>
      </c>
      <c r="G88" s="8" t="str">
        <f t="shared" si="1"/>
        <v>BARRON PERLA</v>
      </c>
    </row>
    <row r="89" spans="1:7" x14ac:dyDescent="0.25">
      <c r="A89" s="8">
        <v>42979.411689814813</v>
      </c>
      <c r="B89" s="20" t="s">
        <v>478</v>
      </c>
      <c r="C89" s="20" t="s">
        <v>692</v>
      </c>
      <c r="D89" s="138">
        <v>3030000</v>
      </c>
      <c r="E89" s="20" t="s">
        <v>681</v>
      </c>
      <c r="F89" s="20" t="s">
        <v>635</v>
      </c>
      <c r="G89" s="8" t="str">
        <f t="shared" si="1"/>
        <v>BIRENBAUM THOMAS</v>
      </c>
    </row>
    <row r="90" spans="1:7" x14ac:dyDescent="0.25">
      <c r="A90" s="8">
        <v>42979.413530092592</v>
      </c>
      <c r="B90" s="20" t="s">
        <v>429</v>
      </c>
      <c r="C90" s="20" t="s">
        <v>693</v>
      </c>
      <c r="D90" s="138">
        <v>1990000</v>
      </c>
      <c r="E90" s="20" t="s">
        <v>349</v>
      </c>
      <c r="F90" s="20" t="s">
        <v>519</v>
      </c>
      <c r="G90" s="8" t="str">
        <f t="shared" si="1"/>
        <v>DAVIS WENDY</v>
      </c>
    </row>
    <row r="91" spans="1:7" x14ac:dyDescent="0.25">
      <c r="A91" s="8">
        <v>42979.415081018517</v>
      </c>
      <c r="B91" s="20" t="s">
        <v>617</v>
      </c>
      <c r="C91" s="20" t="s">
        <v>694</v>
      </c>
      <c r="D91" s="138">
        <v>2530000</v>
      </c>
      <c r="E91" s="20" t="s">
        <v>683</v>
      </c>
      <c r="F91" s="20" t="s">
        <v>684</v>
      </c>
      <c r="G91" s="8" t="str">
        <f t="shared" si="1"/>
        <v>LALONDE GREGORY</v>
      </c>
    </row>
    <row r="92" spans="1:7" x14ac:dyDescent="0.25">
      <c r="A92" s="8">
        <v>42979.422002314815</v>
      </c>
      <c r="B92" s="20" t="s">
        <v>516</v>
      </c>
      <c r="C92" s="20" t="s">
        <v>695</v>
      </c>
      <c r="D92" s="138">
        <v>3040000</v>
      </c>
      <c r="E92" s="20" t="s">
        <v>430</v>
      </c>
      <c r="F92" s="20" t="s">
        <v>431</v>
      </c>
      <c r="G92" s="8" t="str">
        <f t="shared" si="1"/>
        <v>WILLIAMS DONTE</v>
      </c>
    </row>
    <row r="93" spans="1:7" x14ac:dyDescent="0.25">
      <c r="A93" s="8">
        <v>42979.431793981479</v>
      </c>
      <c r="B93" s="20" t="s">
        <v>581</v>
      </c>
      <c r="C93" s="20" t="s">
        <v>600</v>
      </c>
      <c r="D93" s="138">
        <v>2370000</v>
      </c>
      <c r="E93" s="20" t="s">
        <v>526</v>
      </c>
      <c r="F93" s="20" t="s">
        <v>527</v>
      </c>
      <c r="G93" s="8" t="str">
        <f t="shared" si="1"/>
        <v>DELGADO DIANAH</v>
      </c>
    </row>
    <row r="94" spans="1:7" x14ac:dyDescent="0.25">
      <c r="A94" s="8">
        <v>42979.432523148149</v>
      </c>
      <c r="B94" s="20" t="s">
        <v>511</v>
      </c>
      <c r="C94" s="20" t="s">
        <v>696</v>
      </c>
      <c r="D94" s="138">
        <v>3490000</v>
      </c>
      <c r="E94" s="20" t="s">
        <v>391</v>
      </c>
      <c r="F94" s="20" t="s">
        <v>392</v>
      </c>
      <c r="G94" s="8" t="str">
        <f t="shared" si="1"/>
        <v>WEST BRYAN</v>
      </c>
    </row>
    <row r="95" spans="1:7" x14ac:dyDescent="0.25">
      <c r="A95" s="8">
        <v>42979.433171296296</v>
      </c>
      <c r="B95" s="20" t="s">
        <v>624</v>
      </c>
      <c r="C95" s="20" t="s">
        <v>697</v>
      </c>
      <c r="D95" s="138">
        <v>940000</v>
      </c>
      <c r="E95" s="20" t="s">
        <v>450</v>
      </c>
      <c r="F95" s="20" t="s">
        <v>451</v>
      </c>
      <c r="G95" s="8" t="str">
        <f t="shared" si="1"/>
        <v>BONDS REYNALDO</v>
      </c>
    </row>
    <row r="96" spans="1:7" x14ac:dyDescent="0.25">
      <c r="A96" s="8">
        <v>42979.433564814812</v>
      </c>
      <c r="B96" s="20" t="s">
        <v>577</v>
      </c>
      <c r="C96" s="20" t="s">
        <v>698</v>
      </c>
      <c r="D96" s="138">
        <v>2530000</v>
      </c>
      <c r="E96" s="20" t="s">
        <v>683</v>
      </c>
      <c r="F96" s="20" t="s">
        <v>684</v>
      </c>
      <c r="G96" s="8" t="str">
        <f t="shared" si="1"/>
        <v>LALONDE GREGORY</v>
      </c>
    </row>
    <row r="97" spans="1:7" x14ac:dyDescent="0.25">
      <c r="A97" s="8">
        <v>42979.434467592589</v>
      </c>
      <c r="B97" s="20" t="s">
        <v>513</v>
      </c>
      <c r="C97" s="20" t="s">
        <v>699</v>
      </c>
      <c r="D97" s="138">
        <v>2560000</v>
      </c>
      <c r="E97" s="20" t="s">
        <v>634</v>
      </c>
      <c r="F97" s="20" t="s">
        <v>635</v>
      </c>
      <c r="G97" s="8" t="str">
        <f t="shared" si="1"/>
        <v>MACDONALD THOMAS</v>
      </c>
    </row>
    <row r="98" spans="1:7" x14ac:dyDescent="0.25">
      <c r="A98" s="8">
        <v>42979.435972222222</v>
      </c>
      <c r="B98" s="20" t="s">
        <v>584</v>
      </c>
      <c r="C98" s="20" t="s">
        <v>600</v>
      </c>
      <c r="D98" s="138">
        <v>2370000</v>
      </c>
      <c r="E98" s="20" t="s">
        <v>526</v>
      </c>
      <c r="F98" s="20" t="s">
        <v>527</v>
      </c>
      <c r="G98" s="8" t="str">
        <f t="shared" si="1"/>
        <v>DELGADO DIANAH</v>
      </c>
    </row>
    <row r="99" spans="1:7" x14ac:dyDescent="0.25">
      <c r="A99" s="8">
        <v>42979.442662037036</v>
      </c>
      <c r="B99" s="20" t="s">
        <v>479</v>
      </c>
      <c r="C99" s="20" t="s">
        <v>700</v>
      </c>
      <c r="D99" s="138">
        <v>1810000</v>
      </c>
      <c r="E99" s="20" t="s">
        <v>482</v>
      </c>
      <c r="F99" s="20" t="s">
        <v>483</v>
      </c>
      <c r="G99" s="8" t="str">
        <f t="shared" si="1"/>
        <v>NEWELL JAMES</v>
      </c>
    </row>
    <row r="100" spans="1:7" x14ac:dyDescent="0.25">
      <c r="A100" s="8">
        <v>42979.452650462961</v>
      </c>
      <c r="B100" s="20" t="s">
        <v>411</v>
      </c>
      <c r="C100" s="20" t="s">
        <v>598</v>
      </c>
      <c r="D100" s="138">
        <v>2040000</v>
      </c>
      <c r="E100" s="20" t="s">
        <v>522</v>
      </c>
      <c r="F100" s="20" t="s">
        <v>523</v>
      </c>
      <c r="G100" s="8" t="str">
        <f t="shared" si="1"/>
        <v>MOSES BRADLEY</v>
      </c>
    </row>
    <row r="101" spans="1:7" x14ac:dyDescent="0.25">
      <c r="A101" s="8">
        <v>42979.454710648148</v>
      </c>
      <c r="B101" s="20" t="s">
        <v>627</v>
      </c>
      <c r="C101" s="20" t="s">
        <v>701</v>
      </c>
      <c r="D101" s="138">
        <v>1990000</v>
      </c>
      <c r="E101" s="20" t="s">
        <v>349</v>
      </c>
      <c r="F101" s="20" t="s">
        <v>519</v>
      </c>
      <c r="G101" s="8" t="str">
        <f t="shared" si="1"/>
        <v>DAVIS WENDY</v>
      </c>
    </row>
    <row r="102" spans="1:7" x14ac:dyDescent="0.25">
      <c r="A102" s="8">
        <v>42979.455312500002</v>
      </c>
      <c r="B102" s="20" t="s">
        <v>644</v>
      </c>
      <c r="C102" s="20" t="s">
        <v>702</v>
      </c>
      <c r="D102" s="138">
        <v>3510000</v>
      </c>
      <c r="E102" s="20" t="s">
        <v>389</v>
      </c>
      <c r="F102" s="20" t="s">
        <v>390</v>
      </c>
      <c r="G102" s="8" t="str">
        <f t="shared" si="1"/>
        <v>BARRON PERLA</v>
      </c>
    </row>
    <row r="103" spans="1:7" x14ac:dyDescent="0.25">
      <c r="A103" s="8">
        <v>42979.461493055554</v>
      </c>
      <c r="B103" s="20" t="s">
        <v>617</v>
      </c>
      <c r="C103" s="20" t="s">
        <v>600</v>
      </c>
      <c r="D103" s="138">
        <v>2370000</v>
      </c>
      <c r="E103" s="20" t="s">
        <v>526</v>
      </c>
      <c r="F103" s="20" t="s">
        <v>527</v>
      </c>
      <c r="G103" s="8" t="str">
        <f t="shared" si="1"/>
        <v>DELGADO DIANAH</v>
      </c>
    </row>
    <row r="104" spans="1:7" x14ac:dyDescent="0.25">
      <c r="A104" s="8">
        <v>42979.462881944448</v>
      </c>
      <c r="B104" s="20" t="s">
        <v>581</v>
      </c>
      <c r="C104" s="20" t="s">
        <v>703</v>
      </c>
      <c r="D104" s="138">
        <v>2530000</v>
      </c>
      <c r="E104" s="20" t="s">
        <v>683</v>
      </c>
      <c r="F104" s="20" t="s">
        <v>684</v>
      </c>
      <c r="G104" s="8" t="str">
        <f t="shared" si="1"/>
        <v>LALONDE GREGORY</v>
      </c>
    </row>
    <row r="105" spans="1:7" x14ac:dyDescent="0.25">
      <c r="A105" s="8">
        <v>42979.464189814818</v>
      </c>
      <c r="B105" s="20" t="s">
        <v>613</v>
      </c>
      <c r="C105" s="20" t="s">
        <v>704</v>
      </c>
      <c r="D105" s="138">
        <v>3040000</v>
      </c>
      <c r="E105" s="20" t="s">
        <v>430</v>
      </c>
      <c r="F105" s="20" t="s">
        <v>431</v>
      </c>
      <c r="G105" s="8" t="str">
        <f t="shared" si="1"/>
        <v>WILLIAMS DONTE</v>
      </c>
    </row>
    <row r="106" spans="1:7" x14ac:dyDescent="0.25">
      <c r="A106" s="8">
        <v>42979.467106481483</v>
      </c>
      <c r="B106" s="20" t="s">
        <v>579</v>
      </c>
      <c r="C106" s="20" t="s">
        <v>705</v>
      </c>
      <c r="D106" s="138">
        <v>2630000</v>
      </c>
      <c r="E106" s="20" t="s">
        <v>706</v>
      </c>
      <c r="F106" s="20" t="s">
        <v>707</v>
      </c>
      <c r="G106" s="8" t="str">
        <f t="shared" si="1"/>
        <v>SAFIEF AEIMEN</v>
      </c>
    </row>
    <row r="107" spans="1:7" x14ac:dyDescent="0.25">
      <c r="A107" s="8">
        <v>42979.473969907405</v>
      </c>
      <c r="B107" s="20" t="s">
        <v>478</v>
      </c>
      <c r="C107" s="20" t="s">
        <v>708</v>
      </c>
      <c r="D107" s="138">
        <v>1810000</v>
      </c>
      <c r="E107" s="20" t="s">
        <v>482</v>
      </c>
      <c r="F107" s="20" t="s">
        <v>483</v>
      </c>
      <c r="G107" s="8" t="str">
        <f t="shared" si="1"/>
        <v>NEWELL JAMES</v>
      </c>
    </row>
    <row r="108" spans="1:7" x14ac:dyDescent="0.25">
      <c r="A108" s="8">
        <v>42979.474282407406</v>
      </c>
      <c r="B108" s="20" t="s">
        <v>599</v>
      </c>
      <c r="C108" s="20" t="s">
        <v>600</v>
      </c>
      <c r="D108" s="138">
        <v>2370000</v>
      </c>
      <c r="E108" s="20" t="s">
        <v>526</v>
      </c>
      <c r="F108" s="20" t="s">
        <v>527</v>
      </c>
      <c r="G108" s="8" t="str">
        <f t="shared" si="1"/>
        <v>DELGADO DIANAH</v>
      </c>
    </row>
    <row r="109" spans="1:7" x14ac:dyDescent="0.25">
      <c r="A109" s="8">
        <v>42979.475659722222</v>
      </c>
      <c r="B109" s="20" t="s">
        <v>599</v>
      </c>
      <c r="C109" s="20" t="s">
        <v>600</v>
      </c>
      <c r="D109" s="138">
        <v>2370000</v>
      </c>
      <c r="E109" s="20" t="s">
        <v>526</v>
      </c>
      <c r="F109" s="20" t="s">
        <v>527</v>
      </c>
      <c r="G109" s="8" t="str">
        <f t="shared" si="1"/>
        <v>DELGADO DIANAH</v>
      </c>
    </row>
    <row r="110" spans="1:7" x14ac:dyDescent="0.25">
      <c r="A110" s="8">
        <v>42979.476412037038</v>
      </c>
      <c r="B110" s="20" t="s">
        <v>510</v>
      </c>
      <c r="C110" s="20" t="s">
        <v>601</v>
      </c>
      <c r="D110" s="138">
        <v>1770000</v>
      </c>
      <c r="E110" s="20" t="s">
        <v>480</v>
      </c>
      <c r="F110" s="20" t="s">
        <v>481</v>
      </c>
      <c r="G110" s="8" t="str">
        <f t="shared" si="1"/>
        <v>BRUDER RICHARD</v>
      </c>
    </row>
    <row r="111" spans="1:7" x14ac:dyDescent="0.25">
      <c r="A111" s="8">
        <v>42979.476643518516</v>
      </c>
      <c r="B111" s="20" t="s">
        <v>514</v>
      </c>
      <c r="C111" s="20" t="s">
        <v>709</v>
      </c>
      <c r="D111" s="138">
        <v>2560000</v>
      </c>
      <c r="E111" s="20" t="s">
        <v>634</v>
      </c>
      <c r="F111" s="20" t="s">
        <v>635</v>
      </c>
      <c r="G111" s="8" t="str">
        <f t="shared" si="1"/>
        <v>MACDONALD THOMAS</v>
      </c>
    </row>
    <row r="112" spans="1:7" x14ac:dyDescent="0.25">
      <c r="A112" s="8">
        <v>42979.477800925924</v>
      </c>
      <c r="B112" s="20" t="s">
        <v>584</v>
      </c>
      <c r="C112" s="20" t="s">
        <v>710</v>
      </c>
      <c r="D112" s="138">
        <v>2530000</v>
      </c>
      <c r="E112" s="20" t="s">
        <v>683</v>
      </c>
      <c r="F112" s="20" t="s">
        <v>684</v>
      </c>
      <c r="G112" s="8" t="str">
        <f t="shared" si="1"/>
        <v>LALONDE GREGORY</v>
      </c>
    </row>
    <row r="113" spans="1:7" x14ac:dyDescent="0.25">
      <c r="A113" s="8">
        <v>42979.486377314817</v>
      </c>
      <c r="B113" s="20" t="s">
        <v>592</v>
      </c>
      <c r="C113" s="20" t="s">
        <v>711</v>
      </c>
      <c r="D113" s="138">
        <v>3510000</v>
      </c>
      <c r="E113" s="20" t="s">
        <v>389</v>
      </c>
      <c r="F113" s="20" t="s">
        <v>390</v>
      </c>
      <c r="G113" s="8" t="str">
        <f t="shared" si="1"/>
        <v>BARRON PERLA</v>
      </c>
    </row>
    <row r="114" spans="1:7" x14ac:dyDescent="0.25">
      <c r="A114" s="8">
        <v>42979.486527777779</v>
      </c>
      <c r="B114" s="20" t="s">
        <v>429</v>
      </c>
      <c r="C114" s="20" t="s">
        <v>712</v>
      </c>
      <c r="D114" s="138">
        <v>1180000</v>
      </c>
      <c r="E114" s="20" t="s">
        <v>713</v>
      </c>
      <c r="F114" s="20" t="s">
        <v>714</v>
      </c>
      <c r="G114" s="8" t="str">
        <f t="shared" si="1"/>
        <v>LEVERE CRAIG</v>
      </c>
    </row>
    <row r="115" spans="1:7" x14ac:dyDescent="0.25">
      <c r="A115" s="8">
        <v>42979.488703703704</v>
      </c>
      <c r="B115" s="20" t="s">
        <v>514</v>
      </c>
      <c r="C115" s="20" t="s">
        <v>709</v>
      </c>
      <c r="D115" s="138">
        <v>2560000</v>
      </c>
      <c r="E115" s="20" t="s">
        <v>634</v>
      </c>
      <c r="F115" s="20" t="s">
        <v>635</v>
      </c>
      <c r="G115" s="8" t="str">
        <f t="shared" si="1"/>
        <v>MACDONALD THOMAS</v>
      </c>
    </row>
    <row r="116" spans="1:7" x14ac:dyDescent="0.25">
      <c r="A116" s="8">
        <v>42979.495925925927</v>
      </c>
      <c r="B116" s="20" t="s">
        <v>516</v>
      </c>
      <c r="C116" s="20" t="s">
        <v>715</v>
      </c>
      <c r="D116" s="138">
        <v>3000000</v>
      </c>
      <c r="E116" s="20" t="s">
        <v>402</v>
      </c>
      <c r="F116" s="20" t="s">
        <v>403</v>
      </c>
      <c r="G116" s="8" t="str">
        <f t="shared" si="1"/>
        <v>FORTUNATO FRANK</v>
      </c>
    </row>
    <row r="117" spans="1:7" x14ac:dyDescent="0.25">
      <c r="A117" s="8">
        <v>42979.500439814816</v>
      </c>
      <c r="B117" s="20" t="s">
        <v>624</v>
      </c>
      <c r="C117" s="20" t="s">
        <v>716</v>
      </c>
      <c r="D117" s="138">
        <v>2630000</v>
      </c>
      <c r="E117" s="20" t="s">
        <v>706</v>
      </c>
      <c r="F117" s="20" t="s">
        <v>707</v>
      </c>
      <c r="G117" s="8" t="str">
        <f t="shared" si="1"/>
        <v>SAFIEF AEIMEN</v>
      </c>
    </row>
    <row r="118" spans="1:7" x14ac:dyDescent="0.25">
      <c r="A118" s="8">
        <v>42979.50476851852</v>
      </c>
      <c r="B118" s="20" t="s">
        <v>717</v>
      </c>
      <c r="C118" s="20" t="s">
        <v>718</v>
      </c>
      <c r="D118" s="138">
        <v>3040000</v>
      </c>
      <c r="E118" s="20" t="s">
        <v>430</v>
      </c>
      <c r="F118" s="20" t="s">
        <v>431</v>
      </c>
      <c r="G118" s="8" t="str">
        <f t="shared" si="1"/>
        <v>WILLIAMS DONTE</v>
      </c>
    </row>
    <row r="119" spans="1:7" x14ac:dyDescent="0.25">
      <c r="A119" s="8">
        <v>42979.505578703705</v>
      </c>
      <c r="B119" s="20" t="s">
        <v>581</v>
      </c>
      <c r="C119" s="20" t="s">
        <v>719</v>
      </c>
      <c r="D119" s="138">
        <v>2530000</v>
      </c>
      <c r="E119" s="20" t="s">
        <v>683</v>
      </c>
      <c r="F119" s="20" t="s">
        <v>684</v>
      </c>
      <c r="G119" s="8" t="str">
        <f t="shared" si="1"/>
        <v>LALONDE GREGORY</v>
      </c>
    </row>
    <row r="120" spans="1:7" x14ac:dyDescent="0.25">
      <c r="A120" s="8">
        <v>42979.509976851848</v>
      </c>
      <c r="B120" s="20" t="s">
        <v>513</v>
      </c>
      <c r="C120" s="20" t="s">
        <v>720</v>
      </c>
      <c r="D120" s="138">
        <v>1300000</v>
      </c>
      <c r="E120" s="20" t="s">
        <v>456</v>
      </c>
      <c r="F120" s="20" t="s">
        <v>457</v>
      </c>
      <c r="G120" s="8" t="str">
        <f t="shared" si="1"/>
        <v>LEVIN SCOTT</v>
      </c>
    </row>
    <row r="121" spans="1:7" x14ac:dyDescent="0.25">
      <c r="A121" s="8">
        <v>42979.515682870369</v>
      </c>
      <c r="B121" s="20" t="s">
        <v>479</v>
      </c>
      <c r="C121" s="20" t="s">
        <v>721</v>
      </c>
      <c r="D121" s="138">
        <v>2040000</v>
      </c>
      <c r="E121" s="20" t="s">
        <v>522</v>
      </c>
      <c r="F121" s="20" t="s">
        <v>523</v>
      </c>
      <c r="G121" s="8" t="str">
        <f t="shared" si="1"/>
        <v>MOSES BRADLEY</v>
      </c>
    </row>
    <row r="122" spans="1:7" x14ac:dyDescent="0.25">
      <c r="A122" s="8">
        <v>42979.515960648147</v>
      </c>
      <c r="B122" s="25" t="s">
        <v>511</v>
      </c>
      <c r="C122" s="20" t="s">
        <v>722</v>
      </c>
      <c r="D122" s="138">
        <v>1770000</v>
      </c>
      <c r="E122" s="20" t="s">
        <v>480</v>
      </c>
      <c r="F122" s="20" t="s">
        <v>481</v>
      </c>
      <c r="G122" s="8" t="str">
        <f t="shared" si="1"/>
        <v>BRUDER RICHARD</v>
      </c>
    </row>
    <row r="123" spans="1:7" x14ac:dyDescent="0.25">
      <c r="A123" s="8">
        <v>42979.521145833336</v>
      </c>
      <c r="B123" s="20" t="s">
        <v>584</v>
      </c>
      <c r="C123" s="20" t="s">
        <v>723</v>
      </c>
      <c r="D123" s="138">
        <v>2530000</v>
      </c>
      <c r="E123" s="20" t="s">
        <v>683</v>
      </c>
      <c r="F123" s="20" t="s">
        <v>684</v>
      </c>
      <c r="G123" s="8" t="str">
        <f t="shared" si="1"/>
        <v>LALONDE GREGORY</v>
      </c>
    </row>
    <row r="124" spans="1:7" x14ac:dyDescent="0.25">
      <c r="A124" s="8">
        <v>42979.5233912037</v>
      </c>
      <c r="B124" s="20" t="s">
        <v>627</v>
      </c>
      <c r="C124" s="20" t="s">
        <v>724</v>
      </c>
      <c r="D124" s="138">
        <v>1180000</v>
      </c>
      <c r="E124" s="20" t="s">
        <v>713</v>
      </c>
      <c r="F124" s="20" t="s">
        <v>714</v>
      </c>
      <c r="G124" s="8" t="str">
        <f t="shared" si="1"/>
        <v>LEVERE CRAIG</v>
      </c>
    </row>
    <row r="125" spans="1:7" x14ac:dyDescent="0.25">
      <c r="A125" s="8">
        <v>42979.527314814812</v>
      </c>
      <c r="B125" s="20" t="s">
        <v>613</v>
      </c>
      <c r="C125" s="20" t="s">
        <v>725</v>
      </c>
      <c r="D125" s="138">
        <v>3000000</v>
      </c>
      <c r="E125" s="20" t="s">
        <v>402</v>
      </c>
      <c r="F125" s="20" t="s">
        <v>403</v>
      </c>
      <c r="G125" s="8" t="str">
        <f t="shared" si="1"/>
        <v>FORTUNATO FRANK</v>
      </c>
    </row>
    <row r="126" spans="1:7" x14ac:dyDescent="0.25">
      <c r="A126" s="8">
        <v>42979.528993055559</v>
      </c>
      <c r="B126" s="20" t="s">
        <v>644</v>
      </c>
      <c r="C126" s="20" t="s">
        <v>726</v>
      </c>
      <c r="D126" s="138">
        <v>3330000</v>
      </c>
      <c r="E126" s="20" t="s">
        <v>524</v>
      </c>
      <c r="F126" s="20" t="s">
        <v>525</v>
      </c>
      <c r="G126" s="8" t="str">
        <f t="shared" si="1"/>
        <v>GONZALEZ ARMANDO</v>
      </c>
    </row>
    <row r="127" spans="1:7" x14ac:dyDescent="0.25">
      <c r="A127" s="8">
        <v>42979.537280092591</v>
      </c>
      <c r="B127" s="20" t="s">
        <v>579</v>
      </c>
      <c r="C127" s="20" t="s">
        <v>727</v>
      </c>
      <c r="D127" s="138">
        <v>2630000</v>
      </c>
      <c r="E127" s="20" t="s">
        <v>706</v>
      </c>
      <c r="F127" s="20" t="s">
        <v>707</v>
      </c>
      <c r="G127" s="8" t="str">
        <f t="shared" si="1"/>
        <v>SAFIEF AEIMEN</v>
      </c>
    </row>
    <row r="128" spans="1:7" x14ac:dyDescent="0.25">
      <c r="A128" s="8">
        <v>42979.542314814818</v>
      </c>
      <c r="B128" s="20" t="s">
        <v>581</v>
      </c>
      <c r="C128" s="20" t="s">
        <v>602</v>
      </c>
      <c r="D128" s="138">
        <v>1740000</v>
      </c>
      <c r="E128" s="20" t="s">
        <v>528</v>
      </c>
      <c r="F128" s="20" t="s">
        <v>529</v>
      </c>
      <c r="G128" s="8" t="str">
        <f t="shared" si="1"/>
        <v>STORY SAMANTHA</v>
      </c>
    </row>
    <row r="129" spans="1:7" x14ac:dyDescent="0.25">
      <c r="A129" s="8">
        <v>42979.54488425926</v>
      </c>
      <c r="B129" s="20" t="s">
        <v>514</v>
      </c>
      <c r="C129" s="20" t="s">
        <v>728</v>
      </c>
      <c r="D129" s="138">
        <v>1300000</v>
      </c>
      <c r="E129" s="20" t="s">
        <v>456</v>
      </c>
      <c r="F129" s="20" t="s">
        <v>457</v>
      </c>
      <c r="G129" s="8" t="str">
        <f t="shared" si="1"/>
        <v>LEVIN SCOTT</v>
      </c>
    </row>
    <row r="130" spans="1:7" x14ac:dyDescent="0.25">
      <c r="A130" s="8">
        <v>42979.549409722225</v>
      </c>
      <c r="B130" s="20" t="s">
        <v>510</v>
      </c>
      <c r="C130" s="20" t="s">
        <v>729</v>
      </c>
      <c r="D130" s="138">
        <v>1770000</v>
      </c>
      <c r="E130" s="20" t="s">
        <v>480</v>
      </c>
      <c r="F130" s="20" t="s">
        <v>481</v>
      </c>
      <c r="G130" s="8" t="str">
        <f t="shared" si="1"/>
        <v>BRUDER RICHARD</v>
      </c>
    </row>
    <row r="131" spans="1:7" x14ac:dyDescent="0.25">
      <c r="A131" s="8">
        <v>42979.556435185186</v>
      </c>
      <c r="B131" s="20" t="s">
        <v>478</v>
      </c>
      <c r="C131" s="20" t="s">
        <v>730</v>
      </c>
      <c r="D131" s="138">
        <v>2040000</v>
      </c>
      <c r="E131" s="20" t="s">
        <v>522</v>
      </c>
      <c r="F131" s="20" t="s">
        <v>523</v>
      </c>
      <c r="G131" s="8" t="str">
        <f t="shared" ref="G131:G194" si="2">E131&amp;" "&amp;F131</f>
        <v>MOSES BRADLEY</v>
      </c>
    </row>
    <row r="132" spans="1:7" x14ac:dyDescent="0.25">
      <c r="A132" s="8">
        <v>42979.557766203703</v>
      </c>
      <c r="B132" s="20" t="s">
        <v>592</v>
      </c>
      <c r="C132" s="20" t="s">
        <v>731</v>
      </c>
      <c r="D132" s="138">
        <v>3330000</v>
      </c>
      <c r="E132" s="20" t="s">
        <v>524</v>
      </c>
      <c r="F132" s="20" t="s">
        <v>525</v>
      </c>
      <c r="G132" s="8" t="str">
        <f t="shared" si="2"/>
        <v>GONZALEZ ARMANDO</v>
      </c>
    </row>
    <row r="133" spans="1:7" x14ac:dyDescent="0.25">
      <c r="A133" s="8">
        <v>42979.55810185185</v>
      </c>
      <c r="B133" s="20" t="s">
        <v>429</v>
      </c>
      <c r="C133" s="20" t="s">
        <v>732</v>
      </c>
      <c r="D133" s="138">
        <v>1180000</v>
      </c>
      <c r="E133" s="20" t="s">
        <v>713</v>
      </c>
      <c r="F133" s="20" t="s">
        <v>714</v>
      </c>
      <c r="G133" s="8" t="str">
        <f t="shared" si="2"/>
        <v>LEVERE CRAIG</v>
      </c>
    </row>
    <row r="134" spans="1:7" x14ac:dyDescent="0.25">
      <c r="A134" s="8">
        <v>42979.561574074076</v>
      </c>
      <c r="B134" s="20" t="s">
        <v>584</v>
      </c>
      <c r="C134" s="20" t="s">
        <v>603</v>
      </c>
      <c r="D134" s="138">
        <v>1740000</v>
      </c>
      <c r="E134" s="20" t="s">
        <v>528</v>
      </c>
      <c r="F134" s="20" t="s">
        <v>529</v>
      </c>
      <c r="G134" s="8" t="str">
        <f t="shared" si="2"/>
        <v>STORY SAMANTHA</v>
      </c>
    </row>
    <row r="135" spans="1:7" x14ac:dyDescent="0.25">
      <c r="A135" s="8">
        <v>42979.568020833336</v>
      </c>
      <c r="B135" s="20" t="s">
        <v>516</v>
      </c>
      <c r="C135" s="20" t="s">
        <v>733</v>
      </c>
      <c r="D135" s="138">
        <v>3000000</v>
      </c>
      <c r="E135" s="20" t="s">
        <v>402</v>
      </c>
      <c r="F135" s="20" t="s">
        <v>403</v>
      </c>
      <c r="G135" s="8" t="str">
        <f t="shared" si="2"/>
        <v>FORTUNATO FRANK</v>
      </c>
    </row>
    <row r="136" spans="1:7" x14ac:dyDescent="0.25">
      <c r="A136" s="8">
        <v>42979.569594907407</v>
      </c>
      <c r="B136" s="20" t="s">
        <v>624</v>
      </c>
      <c r="C136" s="20" t="s">
        <v>734</v>
      </c>
      <c r="D136" s="138">
        <v>2630000</v>
      </c>
      <c r="E136" s="20" t="s">
        <v>706</v>
      </c>
      <c r="F136" s="20" t="s">
        <v>707</v>
      </c>
      <c r="G136" s="8" t="str">
        <f t="shared" si="2"/>
        <v>SAFIEF AEIMEN</v>
      </c>
    </row>
    <row r="137" spans="1:7" x14ac:dyDescent="0.25">
      <c r="A137" s="8">
        <v>42979.578275462962</v>
      </c>
      <c r="B137" s="20" t="s">
        <v>513</v>
      </c>
      <c r="C137" s="20" t="s">
        <v>735</v>
      </c>
      <c r="D137" s="138">
        <v>1300000</v>
      </c>
      <c r="E137" s="20" t="s">
        <v>456</v>
      </c>
      <c r="F137" s="20" t="s">
        <v>457</v>
      </c>
      <c r="G137" s="8" t="str">
        <f t="shared" si="2"/>
        <v>LEVIN SCOTT</v>
      </c>
    </row>
    <row r="138" spans="1:7" x14ac:dyDescent="0.25">
      <c r="A138" s="8">
        <v>42979.581909722219</v>
      </c>
      <c r="B138" s="20" t="s">
        <v>581</v>
      </c>
      <c r="C138" s="20" t="s">
        <v>736</v>
      </c>
      <c r="D138" s="138">
        <v>1740000</v>
      </c>
      <c r="E138" s="20" t="s">
        <v>528</v>
      </c>
      <c r="F138" s="20" t="s">
        <v>529</v>
      </c>
      <c r="G138" s="8" t="str">
        <f t="shared" si="2"/>
        <v>STORY SAMANTHA</v>
      </c>
    </row>
    <row r="139" spans="1:7" x14ac:dyDescent="0.25">
      <c r="A139" s="8">
        <v>42979.589062500003</v>
      </c>
      <c r="B139" s="20" t="s">
        <v>511</v>
      </c>
      <c r="C139" s="20" t="s">
        <v>737</v>
      </c>
      <c r="D139" s="138">
        <v>1770000</v>
      </c>
      <c r="E139" s="20" t="s">
        <v>480</v>
      </c>
      <c r="F139" s="20" t="s">
        <v>481</v>
      </c>
      <c r="G139" s="8" t="str">
        <f t="shared" si="2"/>
        <v>BRUDER RICHARD</v>
      </c>
    </row>
    <row r="140" spans="1:7" x14ac:dyDescent="0.25">
      <c r="A140" s="8">
        <v>42979.589131944442</v>
      </c>
      <c r="B140" s="20" t="s">
        <v>479</v>
      </c>
      <c r="C140" s="20" t="s">
        <v>738</v>
      </c>
      <c r="D140" s="138">
        <v>1810000</v>
      </c>
      <c r="E140" s="20" t="s">
        <v>482</v>
      </c>
      <c r="F140" s="20" t="s">
        <v>483</v>
      </c>
      <c r="G140" s="8" t="str">
        <f t="shared" si="2"/>
        <v>NEWELL JAMES</v>
      </c>
    </row>
    <row r="141" spans="1:7" x14ac:dyDescent="0.25">
      <c r="A141" s="8">
        <v>42979.596967592595</v>
      </c>
      <c r="B141" s="20" t="s">
        <v>627</v>
      </c>
      <c r="C141" s="20" t="s">
        <v>739</v>
      </c>
      <c r="D141" s="138">
        <v>1180000</v>
      </c>
      <c r="E141" s="20" t="s">
        <v>713</v>
      </c>
      <c r="F141" s="20" t="s">
        <v>714</v>
      </c>
      <c r="G141" s="8" t="str">
        <f t="shared" si="2"/>
        <v>LEVERE CRAIG</v>
      </c>
    </row>
    <row r="142" spans="1:7" x14ac:dyDescent="0.25">
      <c r="A142" s="8">
        <v>42979.599606481483</v>
      </c>
      <c r="B142" s="20" t="s">
        <v>644</v>
      </c>
      <c r="C142" s="20" t="s">
        <v>740</v>
      </c>
      <c r="D142" s="138">
        <v>2420000</v>
      </c>
      <c r="E142" s="20" t="s">
        <v>741</v>
      </c>
      <c r="F142" s="20" t="s">
        <v>742</v>
      </c>
      <c r="G142" s="8" t="str">
        <f t="shared" si="2"/>
        <v>HOLCOMB KAMDEN</v>
      </c>
    </row>
    <row r="143" spans="1:7" x14ac:dyDescent="0.25">
      <c r="A143" s="8">
        <v>42979.600451388891</v>
      </c>
      <c r="B143" s="20" t="s">
        <v>613</v>
      </c>
      <c r="C143" s="20" t="s">
        <v>743</v>
      </c>
      <c r="D143" s="138">
        <v>3000000</v>
      </c>
      <c r="E143" s="20" t="s">
        <v>402</v>
      </c>
      <c r="F143" s="20" t="s">
        <v>403</v>
      </c>
      <c r="G143" s="8" t="str">
        <f t="shared" si="2"/>
        <v>FORTUNATO FRANK</v>
      </c>
    </row>
    <row r="144" spans="1:7" x14ac:dyDescent="0.25">
      <c r="A144" s="8">
        <v>42979.603796296295</v>
      </c>
      <c r="B144" s="20" t="s">
        <v>584</v>
      </c>
      <c r="C144" s="20" t="s">
        <v>744</v>
      </c>
      <c r="D144" s="138">
        <v>1740000</v>
      </c>
      <c r="E144" s="20" t="s">
        <v>528</v>
      </c>
      <c r="F144" s="20" t="s">
        <v>529</v>
      </c>
      <c r="G144" s="8" t="str">
        <f t="shared" si="2"/>
        <v>STORY SAMANTHA</v>
      </c>
    </row>
    <row r="145" spans="1:7" x14ac:dyDescent="0.25">
      <c r="A145" s="8">
        <v>42979.611377314817</v>
      </c>
      <c r="B145" s="20" t="s">
        <v>579</v>
      </c>
      <c r="C145" s="20" t="s">
        <v>745</v>
      </c>
      <c r="D145" s="138">
        <v>2630000</v>
      </c>
      <c r="E145" s="20" t="s">
        <v>706</v>
      </c>
      <c r="F145" s="20" t="s">
        <v>707</v>
      </c>
      <c r="G145" s="8" t="str">
        <f t="shared" si="2"/>
        <v>SAFIEF AEIMEN</v>
      </c>
    </row>
    <row r="146" spans="1:7" x14ac:dyDescent="0.25">
      <c r="A146" s="8">
        <v>42979.612962962965</v>
      </c>
      <c r="B146" s="20" t="s">
        <v>514</v>
      </c>
      <c r="C146" s="20" t="s">
        <v>746</v>
      </c>
      <c r="D146" s="138">
        <v>1300000</v>
      </c>
      <c r="E146" s="20" t="s">
        <v>456</v>
      </c>
      <c r="F146" s="20" t="s">
        <v>457</v>
      </c>
      <c r="G146" s="8" t="str">
        <f t="shared" si="2"/>
        <v>LEVIN SCOTT</v>
      </c>
    </row>
    <row r="147" spans="1:7" x14ac:dyDescent="0.25">
      <c r="A147" s="8">
        <v>42979.620162037034</v>
      </c>
      <c r="B147" s="20" t="s">
        <v>478</v>
      </c>
      <c r="C147" s="20" t="s">
        <v>747</v>
      </c>
      <c r="D147" s="138">
        <v>1810000</v>
      </c>
      <c r="E147" s="20" t="s">
        <v>482</v>
      </c>
      <c r="F147" s="20" t="s">
        <v>483</v>
      </c>
      <c r="G147" s="8" t="str">
        <f t="shared" si="2"/>
        <v>NEWELL JAMES</v>
      </c>
    </row>
    <row r="148" spans="1:7" x14ac:dyDescent="0.25">
      <c r="A148" s="8">
        <v>42979.621469907404</v>
      </c>
      <c r="B148" s="20" t="s">
        <v>510</v>
      </c>
      <c r="C148" s="20" t="s">
        <v>748</v>
      </c>
      <c r="D148" s="138">
        <v>1770000</v>
      </c>
      <c r="E148" s="20" t="s">
        <v>480</v>
      </c>
      <c r="F148" s="20" t="s">
        <v>481</v>
      </c>
      <c r="G148" s="8" t="str">
        <f t="shared" si="2"/>
        <v>BRUDER RICHARD</v>
      </c>
    </row>
    <row r="149" spans="1:7" x14ac:dyDescent="0.25">
      <c r="A149" s="8">
        <v>42979.624074074076</v>
      </c>
      <c r="B149" s="20" t="s">
        <v>581</v>
      </c>
      <c r="C149" s="20" t="s">
        <v>749</v>
      </c>
      <c r="D149" s="138">
        <v>1740000</v>
      </c>
      <c r="E149" s="20" t="s">
        <v>528</v>
      </c>
      <c r="F149" s="20" t="s">
        <v>529</v>
      </c>
      <c r="G149" s="8" t="str">
        <f t="shared" si="2"/>
        <v>STORY SAMANTHA</v>
      </c>
    </row>
    <row r="150" spans="1:7" x14ac:dyDescent="0.25">
      <c r="A150" s="8">
        <v>42979.631053240744</v>
      </c>
      <c r="B150" s="20" t="s">
        <v>429</v>
      </c>
      <c r="C150" s="20" t="s">
        <v>750</v>
      </c>
      <c r="D150" s="138">
        <v>1180000</v>
      </c>
      <c r="E150" s="20" t="s">
        <v>713</v>
      </c>
      <c r="F150" s="20" t="s">
        <v>714</v>
      </c>
      <c r="G150" s="8" t="str">
        <f t="shared" si="2"/>
        <v>LEVERE CRAIG</v>
      </c>
    </row>
    <row r="151" spans="1:7" x14ac:dyDescent="0.25">
      <c r="A151" s="8">
        <v>42979.634780092594</v>
      </c>
      <c r="B151" s="20" t="s">
        <v>646</v>
      </c>
      <c r="C151" s="20" t="s">
        <v>751</v>
      </c>
      <c r="D151" s="138">
        <v>3500000</v>
      </c>
      <c r="E151" s="20" t="s">
        <v>460</v>
      </c>
      <c r="F151" s="20" t="s">
        <v>461</v>
      </c>
      <c r="G151" s="8" t="str">
        <f t="shared" si="2"/>
        <v>GUNTHIER ERIC</v>
      </c>
    </row>
    <row r="152" spans="1:7" x14ac:dyDescent="0.25">
      <c r="A152" s="8">
        <v>42979.635578703703</v>
      </c>
      <c r="B152" s="20" t="s">
        <v>646</v>
      </c>
      <c r="C152" s="20" t="s">
        <v>751</v>
      </c>
      <c r="D152" s="138">
        <v>3500000</v>
      </c>
      <c r="E152" s="20" t="s">
        <v>460</v>
      </c>
      <c r="F152" s="20" t="s">
        <v>461</v>
      </c>
      <c r="G152" s="8" t="str">
        <f t="shared" si="2"/>
        <v>GUNTHIER ERIC</v>
      </c>
    </row>
    <row r="153" spans="1:7" x14ac:dyDescent="0.25">
      <c r="A153" s="8">
        <v>42979.63789351852</v>
      </c>
      <c r="B153" s="20" t="s">
        <v>646</v>
      </c>
      <c r="C153" s="20" t="s">
        <v>751</v>
      </c>
      <c r="D153" s="138">
        <v>3500000</v>
      </c>
      <c r="E153" s="20" t="s">
        <v>460</v>
      </c>
      <c r="F153" s="20" t="s">
        <v>461</v>
      </c>
      <c r="G153" s="8" t="str">
        <f t="shared" si="2"/>
        <v>GUNTHIER ERIC</v>
      </c>
    </row>
    <row r="154" spans="1:7" x14ac:dyDescent="0.25">
      <c r="A154" s="8">
        <v>42979.63821759259</v>
      </c>
      <c r="B154" s="20" t="s">
        <v>592</v>
      </c>
      <c r="C154" s="20" t="s">
        <v>752</v>
      </c>
      <c r="D154" s="138">
        <v>2420000</v>
      </c>
      <c r="E154" s="20" t="s">
        <v>741</v>
      </c>
      <c r="F154" s="20" t="s">
        <v>742</v>
      </c>
      <c r="G154" s="8" t="str">
        <f t="shared" si="2"/>
        <v>HOLCOMB KAMDEN</v>
      </c>
    </row>
    <row r="155" spans="1:7" x14ac:dyDescent="0.25">
      <c r="A155" s="8">
        <v>42979.641030092593</v>
      </c>
      <c r="B155" s="20" t="s">
        <v>516</v>
      </c>
      <c r="C155" s="20" t="s">
        <v>753</v>
      </c>
      <c r="D155" s="138">
        <v>3000000</v>
      </c>
      <c r="E155" s="20" t="s">
        <v>402</v>
      </c>
      <c r="F155" s="20" t="s">
        <v>403</v>
      </c>
      <c r="G155" s="8" t="str">
        <f t="shared" si="2"/>
        <v>FORTUNATO FRANK</v>
      </c>
    </row>
    <row r="156" spans="1:7" x14ac:dyDescent="0.25">
      <c r="A156" s="8">
        <v>42979.64303240741</v>
      </c>
      <c r="B156" s="20" t="s">
        <v>624</v>
      </c>
      <c r="C156" s="20" t="s">
        <v>754</v>
      </c>
      <c r="D156" s="138">
        <v>2630000</v>
      </c>
      <c r="E156" s="20" t="s">
        <v>706</v>
      </c>
      <c r="F156" s="20" t="s">
        <v>707</v>
      </c>
      <c r="G156" s="8" t="str">
        <f t="shared" si="2"/>
        <v>SAFIEF AEIMEN</v>
      </c>
    </row>
    <row r="157" spans="1:7" x14ac:dyDescent="0.25">
      <c r="A157" s="8">
        <v>42979.64984953704</v>
      </c>
      <c r="B157" s="20" t="s">
        <v>587</v>
      </c>
      <c r="C157" s="20" t="s">
        <v>755</v>
      </c>
      <c r="D157" s="138">
        <v>3500000</v>
      </c>
      <c r="E157" s="20" t="s">
        <v>460</v>
      </c>
      <c r="F157" s="20" t="s">
        <v>461</v>
      </c>
      <c r="G157" s="8" t="str">
        <f t="shared" si="2"/>
        <v>GUNTHIER ERIC</v>
      </c>
    </row>
    <row r="158" spans="1:7" x14ac:dyDescent="0.25">
      <c r="A158" s="8">
        <v>42979.651226851849</v>
      </c>
      <c r="B158" s="20" t="s">
        <v>513</v>
      </c>
      <c r="C158" s="20" t="s">
        <v>756</v>
      </c>
      <c r="D158" s="138">
        <v>1300000</v>
      </c>
      <c r="E158" s="20" t="s">
        <v>456</v>
      </c>
      <c r="F158" s="20" t="s">
        <v>457</v>
      </c>
      <c r="G158" s="8" t="str">
        <f t="shared" si="2"/>
        <v>LEVIN SCOTT</v>
      </c>
    </row>
    <row r="159" spans="1:7" x14ac:dyDescent="0.25">
      <c r="A159" s="8">
        <v>42979.651504629626</v>
      </c>
      <c r="B159" s="20" t="s">
        <v>584</v>
      </c>
      <c r="C159" s="20" t="s">
        <v>604</v>
      </c>
      <c r="D159" s="138">
        <v>1740000</v>
      </c>
      <c r="E159" s="20" t="s">
        <v>528</v>
      </c>
      <c r="F159" s="20" t="s">
        <v>529</v>
      </c>
      <c r="G159" s="8" t="str">
        <f t="shared" si="2"/>
        <v>STORY SAMANTHA</v>
      </c>
    </row>
    <row r="160" spans="1:7" x14ac:dyDescent="0.25">
      <c r="A160" s="8">
        <v>42979.661828703705</v>
      </c>
      <c r="B160" s="20" t="s">
        <v>511</v>
      </c>
      <c r="C160" s="20" t="s">
        <v>605</v>
      </c>
      <c r="D160" s="138">
        <v>1770000</v>
      </c>
      <c r="E160" s="20" t="s">
        <v>480</v>
      </c>
      <c r="F160" s="20" t="s">
        <v>481</v>
      </c>
      <c r="G160" s="8" t="str">
        <f t="shared" si="2"/>
        <v>BRUDER RICHARD</v>
      </c>
    </row>
    <row r="161" spans="1:7" x14ac:dyDescent="0.25">
      <c r="A161" s="8">
        <v>42979.663506944446</v>
      </c>
      <c r="B161" s="20" t="s">
        <v>479</v>
      </c>
      <c r="C161" s="20" t="s">
        <v>757</v>
      </c>
      <c r="D161" s="138">
        <v>1810000</v>
      </c>
      <c r="E161" s="20" t="s">
        <v>482</v>
      </c>
      <c r="F161" s="20" t="s">
        <v>483</v>
      </c>
      <c r="G161" s="8" t="str">
        <f t="shared" si="2"/>
        <v>NEWELL JAMES</v>
      </c>
    </row>
    <row r="162" spans="1:7" x14ac:dyDescent="0.25">
      <c r="A162" s="8">
        <v>42979.664699074077</v>
      </c>
      <c r="B162" s="20" t="s">
        <v>581</v>
      </c>
      <c r="C162" s="20" t="s">
        <v>758</v>
      </c>
      <c r="D162" s="138">
        <v>1740000</v>
      </c>
      <c r="E162" s="20" t="s">
        <v>528</v>
      </c>
      <c r="F162" s="20" t="s">
        <v>529</v>
      </c>
      <c r="G162" s="8" t="str">
        <f t="shared" si="2"/>
        <v>STORY SAMANTHA</v>
      </c>
    </row>
    <row r="163" spans="1:7" x14ac:dyDescent="0.25">
      <c r="A163" s="8">
        <v>42979.668912037036</v>
      </c>
      <c r="B163" s="20" t="s">
        <v>627</v>
      </c>
      <c r="C163" s="20" t="s">
        <v>759</v>
      </c>
      <c r="D163" s="138">
        <v>1180000</v>
      </c>
      <c r="E163" s="20" t="s">
        <v>713</v>
      </c>
      <c r="F163" s="20" t="s">
        <v>714</v>
      </c>
      <c r="G163" s="8" t="str">
        <f t="shared" si="2"/>
        <v>LEVERE CRAIG</v>
      </c>
    </row>
    <row r="164" spans="1:7" x14ac:dyDescent="0.25">
      <c r="A164" s="8">
        <v>42979.67150462963</v>
      </c>
      <c r="B164" s="20" t="s">
        <v>646</v>
      </c>
      <c r="C164" s="20" t="s">
        <v>760</v>
      </c>
      <c r="D164" s="138">
        <v>3500000</v>
      </c>
      <c r="E164" s="20" t="s">
        <v>460</v>
      </c>
      <c r="F164" s="20" t="s">
        <v>461</v>
      </c>
      <c r="G164" s="8" t="str">
        <f t="shared" si="2"/>
        <v>GUNTHIER ERIC</v>
      </c>
    </row>
    <row r="165" spans="1:7" x14ac:dyDescent="0.25">
      <c r="A165" s="8">
        <v>42979.6721875</v>
      </c>
      <c r="B165" s="20" t="s">
        <v>644</v>
      </c>
      <c r="C165" s="20" t="s">
        <v>761</v>
      </c>
      <c r="D165" s="138">
        <v>2420000</v>
      </c>
      <c r="E165" s="20" t="s">
        <v>741</v>
      </c>
      <c r="F165" s="20" t="s">
        <v>742</v>
      </c>
      <c r="G165" s="8" t="str">
        <f t="shared" si="2"/>
        <v>HOLCOMB KAMDEN</v>
      </c>
    </row>
    <row r="166" spans="1:7" x14ac:dyDescent="0.25">
      <c r="A166" s="8">
        <v>42979.674340277779</v>
      </c>
      <c r="B166" s="20" t="s">
        <v>613</v>
      </c>
      <c r="C166" s="20" t="s">
        <v>762</v>
      </c>
      <c r="D166" s="138">
        <v>3000000</v>
      </c>
      <c r="E166" s="20" t="s">
        <v>402</v>
      </c>
      <c r="F166" s="20" t="s">
        <v>403</v>
      </c>
      <c r="G166" s="8" t="str">
        <f t="shared" si="2"/>
        <v>FORTUNATO FRANK</v>
      </c>
    </row>
    <row r="167" spans="1:7" x14ac:dyDescent="0.25">
      <c r="A167" s="8">
        <v>42979.683171296296</v>
      </c>
      <c r="B167" s="20" t="s">
        <v>579</v>
      </c>
      <c r="C167" s="20" t="s">
        <v>763</v>
      </c>
      <c r="D167" s="138">
        <v>2630000</v>
      </c>
      <c r="E167" s="20" t="s">
        <v>706</v>
      </c>
      <c r="F167" s="20" t="s">
        <v>707</v>
      </c>
      <c r="G167" s="8" t="str">
        <f t="shared" si="2"/>
        <v>SAFIEF AEIMEN</v>
      </c>
    </row>
    <row r="168" spans="1:7" x14ac:dyDescent="0.25">
      <c r="A168" s="8">
        <v>42979.684930555559</v>
      </c>
      <c r="B168" s="20" t="s">
        <v>584</v>
      </c>
      <c r="C168" s="20" t="s">
        <v>764</v>
      </c>
      <c r="D168" s="138">
        <v>1740000</v>
      </c>
      <c r="E168" s="20" t="s">
        <v>528</v>
      </c>
      <c r="F168" s="20" t="s">
        <v>529</v>
      </c>
      <c r="G168" s="8" t="str">
        <f t="shared" si="2"/>
        <v>STORY SAMANTHA</v>
      </c>
    </row>
    <row r="169" spans="1:7" x14ac:dyDescent="0.25">
      <c r="A169" s="8">
        <v>42979.687581018516</v>
      </c>
      <c r="B169" s="20" t="s">
        <v>514</v>
      </c>
      <c r="C169" s="20" t="s">
        <v>765</v>
      </c>
      <c r="D169" s="138">
        <v>1300000</v>
      </c>
      <c r="E169" s="20" t="s">
        <v>456</v>
      </c>
      <c r="F169" s="20" t="s">
        <v>457</v>
      </c>
      <c r="G169" s="8" t="str">
        <f t="shared" si="2"/>
        <v>LEVIN SCOTT</v>
      </c>
    </row>
    <row r="170" spans="1:7" x14ac:dyDescent="0.25">
      <c r="A170" s="8">
        <v>42979.690300925926</v>
      </c>
      <c r="B170" s="20" t="s">
        <v>587</v>
      </c>
      <c r="C170" s="20" t="s">
        <v>606</v>
      </c>
      <c r="D170" s="138">
        <v>3500000</v>
      </c>
      <c r="E170" s="20" t="s">
        <v>460</v>
      </c>
      <c r="F170" s="20" t="s">
        <v>461</v>
      </c>
      <c r="G170" s="8" t="str">
        <f t="shared" si="2"/>
        <v>GUNTHIER ERIC</v>
      </c>
    </row>
    <row r="171" spans="1:7" x14ac:dyDescent="0.25">
      <c r="A171" s="8">
        <v>42979.692719907405</v>
      </c>
      <c r="B171" s="20" t="s">
        <v>478</v>
      </c>
      <c r="C171" s="20" t="s">
        <v>766</v>
      </c>
      <c r="D171" s="138">
        <v>1810000</v>
      </c>
      <c r="E171" s="20" t="s">
        <v>482</v>
      </c>
      <c r="F171" s="20" t="s">
        <v>483</v>
      </c>
      <c r="G171" s="8" t="str">
        <f t="shared" si="2"/>
        <v>NEWELL JAMES</v>
      </c>
    </row>
    <row r="172" spans="1:7" x14ac:dyDescent="0.25">
      <c r="A172" s="8">
        <v>42979.695150462961</v>
      </c>
      <c r="B172" s="20" t="s">
        <v>510</v>
      </c>
      <c r="C172" s="20" t="s">
        <v>767</v>
      </c>
      <c r="D172" s="138">
        <v>1770000</v>
      </c>
      <c r="E172" s="20" t="s">
        <v>480</v>
      </c>
      <c r="F172" s="20" t="s">
        <v>481</v>
      </c>
      <c r="G172" s="8" t="str">
        <f t="shared" si="2"/>
        <v>BRUDER RICHARD</v>
      </c>
    </row>
    <row r="173" spans="1:7" x14ac:dyDescent="0.25">
      <c r="A173" s="8">
        <v>42979.703368055554</v>
      </c>
      <c r="B173" s="20" t="s">
        <v>429</v>
      </c>
      <c r="C173" s="20" t="s">
        <v>768</v>
      </c>
      <c r="D173" s="138">
        <v>1180000</v>
      </c>
      <c r="E173" s="20" t="s">
        <v>713</v>
      </c>
      <c r="F173" s="20" t="s">
        <v>714</v>
      </c>
      <c r="G173" s="8" t="str">
        <f t="shared" si="2"/>
        <v>LEVERE CRAIG</v>
      </c>
    </row>
    <row r="174" spans="1:7" x14ac:dyDescent="0.25">
      <c r="A174" s="8">
        <v>42979.70521990741</v>
      </c>
      <c r="B174" s="20" t="s">
        <v>386</v>
      </c>
      <c r="C174" s="20" t="s">
        <v>769</v>
      </c>
      <c r="D174" s="138">
        <v>2040000</v>
      </c>
      <c r="E174" s="20" t="s">
        <v>522</v>
      </c>
      <c r="F174" s="20" t="s">
        <v>523</v>
      </c>
      <c r="G174" s="8" t="str">
        <f t="shared" si="2"/>
        <v>MOSES BRADLEY</v>
      </c>
    </row>
    <row r="175" spans="1:7" x14ac:dyDescent="0.25">
      <c r="A175" s="8">
        <v>42979.711192129631</v>
      </c>
      <c r="B175" s="20" t="s">
        <v>646</v>
      </c>
      <c r="C175" s="20" t="s">
        <v>770</v>
      </c>
      <c r="D175" s="138">
        <v>3500000</v>
      </c>
      <c r="E175" s="20" t="s">
        <v>460</v>
      </c>
      <c r="F175" s="20" t="s">
        <v>461</v>
      </c>
      <c r="G175" s="8" t="str">
        <f t="shared" si="2"/>
        <v>GUNTHIER ERIC</v>
      </c>
    </row>
    <row r="176" spans="1:7" x14ac:dyDescent="0.25">
      <c r="A176" s="8">
        <v>42979.712245370371</v>
      </c>
      <c r="B176" s="20" t="s">
        <v>581</v>
      </c>
      <c r="C176" s="20" t="s">
        <v>607</v>
      </c>
      <c r="D176" s="138">
        <v>3280000</v>
      </c>
      <c r="E176" s="20" t="s">
        <v>486</v>
      </c>
      <c r="F176" s="20" t="s">
        <v>487</v>
      </c>
      <c r="G176" s="8" t="str">
        <f t="shared" si="2"/>
        <v>BIRKHOLZ NADINE</v>
      </c>
    </row>
    <row r="177" spans="1:7" x14ac:dyDescent="0.25">
      <c r="A177" s="8">
        <v>42979.712418981479</v>
      </c>
      <c r="B177" s="20" t="s">
        <v>592</v>
      </c>
      <c r="C177" s="20" t="s">
        <v>771</v>
      </c>
      <c r="D177" s="138">
        <v>2420000</v>
      </c>
      <c r="E177" s="20" t="s">
        <v>741</v>
      </c>
      <c r="F177" s="20" t="s">
        <v>742</v>
      </c>
      <c r="G177" s="8" t="str">
        <f t="shared" si="2"/>
        <v>HOLCOMB KAMDEN</v>
      </c>
    </row>
    <row r="178" spans="1:7" x14ac:dyDescent="0.25">
      <c r="A178" s="8">
        <v>42979.714236111111</v>
      </c>
      <c r="B178" s="20" t="s">
        <v>516</v>
      </c>
      <c r="C178" s="20" t="s">
        <v>772</v>
      </c>
      <c r="D178" s="138">
        <v>3000000</v>
      </c>
      <c r="E178" s="20" t="s">
        <v>402</v>
      </c>
      <c r="F178" s="20" t="s">
        <v>403</v>
      </c>
      <c r="G178" s="8" t="str">
        <f t="shared" si="2"/>
        <v>FORTUNATO FRANK</v>
      </c>
    </row>
    <row r="179" spans="1:7" x14ac:dyDescent="0.25">
      <c r="A179" s="8">
        <v>42979.716296296298</v>
      </c>
      <c r="B179" s="20" t="s">
        <v>624</v>
      </c>
      <c r="C179" s="20" t="s">
        <v>773</v>
      </c>
      <c r="D179" s="138">
        <v>2630000</v>
      </c>
      <c r="E179" s="20" t="s">
        <v>706</v>
      </c>
      <c r="F179" s="20" t="s">
        <v>707</v>
      </c>
      <c r="G179" s="8" t="str">
        <f t="shared" si="2"/>
        <v>SAFIEF AEIMEN</v>
      </c>
    </row>
    <row r="180" spans="1:7" x14ac:dyDescent="0.25">
      <c r="A180" s="8">
        <v>42979.724490740744</v>
      </c>
      <c r="B180" s="20" t="s">
        <v>513</v>
      </c>
      <c r="C180" s="20" t="s">
        <v>774</v>
      </c>
      <c r="D180" s="138">
        <v>1300000</v>
      </c>
      <c r="E180" s="20" t="s">
        <v>456</v>
      </c>
      <c r="F180" s="20" t="s">
        <v>457</v>
      </c>
      <c r="G180" s="8" t="str">
        <f t="shared" si="2"/>
        <v>LEVIN SCOTT</v>
      </c>
    </row>
    <row r="181" spans="1:7" x14ac:dyDescent="0.25">
      <c r="A181" s="8">
        <v>42979.728402777779</v>
      </c>
      <c r="B181" s="20" t="s">
        <v>584</v>
      </c>
      <c r="C181" s="20" t="s">
        <v>775</v>
      </c>
      <c r="D181" s="138">
        <v>3280000</v>
      </c>
      <c r="E181" s="20" t="s">
        <v>486</v>
      </c>
      <c r="F181" s="20" t="s">
        <v>487</v>
      </c>
      <c r="G181" s="8" t="str">
        <f t="shared" si="2"/>
        <v>BIRKHOLZ NADINE</v>
      </c>
    </row>
    <row r="182" spans="1:7" x14ac:dyDescent="0.25">
      <c r="A182" s="8">
        <v>42979.731620370374</v>
      </c>
      <c r="B182" s="20" t="s">
        <v>587</v>
      </c>
      <c r="C182" s="20" t="s">
        <v>776</v>
      </c>
      <c r="D182" s="138">
        <v>3500000</v>
      </c>
      <c r="E182" s="20" t="s">
        <v>460</v>
      </c>
      <c r="F182" s="20" t="s">
        <v>461</v>
      </c>
      <c r="G182" s="8" t="str">
        <f t="shared" si="2"/>
        <v>GUNTHIER ERIC</v>
      </c>
    </row>
    <row r="183" spans="1:7" x14ac:dyDescent="0.25">
      <c r="A183" s="8">
        <v>42979.732557870368</v>
      </c>
      <c r="B183" s="20" t="s">
        <v>443</v>
      </c>
      <c r="C183" s="20" t="s">
        <v>777</v>
      </c>
      <c r="D183" s="138">
        <v>3330000</v>
      </c>
      <c r="E183" s="20" t="s">
        <v>524</v>
      </c>
      <c r="F183" s="20" t="s">
        <v>525</v>
      </c>
      <c r="G183" s="8" t="str">
        <f t="shared" si="2"/>
        <v>GONZALEZ ARMANDO</v>
      </c>
    </row>
    <row r="184" spans="1:7" x14ac:dyDescent="0.25">
      <c r="A184" s="8">
        <v>42979.734930555554</v>
      </c>
      <c r="B184" s="20" t="s">
        <v>511</v>
      </c>
      <c r="C184" s="20" t="s">
        <v>778</v>
      </c>
      <c r="D184" s="138">
        <v>1770000</v>
      </c>
      <c r="E184" s="20" t="s">
        <v>480</v>
      </c>
      <c r="F184" s="20" t="s">
        <v>481</v>
      </c>
      <c r="G184" s="8" t="str">
        <f t="shared" si="2"/>
        <v>BRUDER RICHARD</v>
      </c>
    </row>
    <row r="185" spans="1:7" x14ac:dyDescent="0.25">
      <c r="A185" s="8">
        <v>42979.735567129632</v>
      </c>
      <c r="B185" s="20" t="s">
        <v>479</v>
      </c>
      <c r="C185" s="20" t="s">
        <v>609</v>
      </c>
      <c r="D185" s="138">
        <v>2730000</v>
      </c>
      <c r="E185" s="20" t="s">
        <v>400</v>
      </c>
      <c r="F185" s="20" t="s">
        <v>401</v>
      </c>
      <c r="G185" s="8" t="str">
        <f t="shared" si="2"/>
        <v>YANG JAN</v>
      </c>
    </row>
    <row r="186" spans="1:7" x14ac:dyDescent="0.25">
      <c r="A186" s="8">
        <v>42979.74322916667</v>
      </c>
      <c r="B186" s="20" t="s">
        <v>512</v>
      </c>
      <c r="C186" s="20" t="s">
        <v>779</v>
      </c>
      <c r="D186" s="138">
        <v>3340000</v>
      </c>
      <c r="E186" s="20" t="s">
        <v>780</v>
      </c>
      <c r="F186" s="20" t="s">
        <v>781</v>
      </c>
      <c r="G186" s="8" t="str">
        <f t="shared" si="2"/>
        <v>ELBAUM MIKE</v>
      </c>
    </row>
    <row r="187" spans="1:7" x14ac:dyDescent="0.25">
      <c r="A187" s="8">
        <v>42979.743275462963</v>
      </c>
      <c r="B187" s="20" t="s">
        <v>627</v>
      </c>
      <c r="C187" s="20" t="s">
        <v>782</v>
      </c>
      <c r="D187" s="138">
        <v>1180000</v>
      </c>
      <c r="E187" s="20" t="s">
        <v>713</v>
      </c>
      <c r="F187" s="20" t="s">
        <v>714</v>
      </c>
      <c r="G187" s="8" t="str">
        <f t="shared" si="2"/>
        <v>LEVERE CRAIG</v>
      </c>
    </row>
    <row r="188" spans="1:7" x14ac:dyDescent="0.25">
      <c r="A188" s="8">
        <v>42979.747789351852</v>
      </c>
      <c r="B188" s="20" t="s">
        <v>644</v>
      </c>
      <c r="C188" s="20" t="s">
        <v>783</v>
      </c>
      <c r="D188" s="138">
        <v>2420000</v>
      </c>
      <c r="E188" s="20" t="s">
        <v>741</v>
      </c>
      <c r="F188" s="20" t="s">
        <v>742</v>
      </c>
      <c r="G188" s="8" t="str">
        <f t="shared" si="2"/>
        <v>HOLCOMB KAMDEN</v>
      </c>
    </row>
    <row r="189" spans="1:7" x14ac:dyDescent="0.25">
      <c r="A189" s="8">
        <v>42979.748460648145</v>
      </c>
      <c r="B189" s="20" t="s">
        <v>613</v>
      </c>
      <c r="C189" s="20" t="s">
        <v>784</v>
      </c>
      <c r="D189" s="138">
        <v>3000000</v>
      </c>
      <c r="E189" s="20" t="s">
        <v>402</v>
      </c>
      <c r="F189" s="20" t="s">
        <v>403</v>
      </c>
      <c r="G189" s="8" t="str">
        <f t="shared" si="2"/>
        <v>FORTUNATO FRANK</v>
      </c>
    </row>
    <row r="190" spans="1:7" x14ac:dyDescent="0.25">
      <c r="A190" s="8">
        <v>42979.751504629632</v>
      </c>
      <c r="B190" s="20" t="s">
        <v>646</v>
      </c>
      <c r="C190" s="20" t="s">
        <v>785</v>
      </c>
      <c r="D190" s="138">
        <v>3500000</v>
      </c>
      <c r="E190" s="20" t="s">
        <v>460</v>
      </c>
      <c r="F190" s="20" t="s">
        <v>461</v>
      </c>
      <c r="G190" s="8" t="str">
        <f t="shared" si="2"/>
        <v>GUNTHIER ERIC</v>
      </c>
    </row>
    <row r="191" spans="1:7" x14ac:dyDescent="0.25">
      <c r="A191" s="8">
        <v>42979.754537037035</v>
      </c>
      <c r="B191" s="20" t="s">
        <v>581</v>
      </c>
      <c r="C191" s="20" t="s">
        <v>608</v>
      </c>
      <c r="D191" s="138">
        <v>3280000</v>
      </c>
      <c r="E191" s="20" t="s">
        <v>486</v>
      </c>
      <c r="F191" s="20" t="s">
        <v>487</v>
      </c>
      <c r="G191" s="8" t="str">
        <f t="shared" si="2"/>
        <v>BIRKHOLZ NADINE</v>
      </c>
    </row>
    <row r="192" spans="1:7" x14ac:dyDescent="0.25">
      <c r="A192" s="8">
        <v>42979.757291666669</v>
      </c>
      <c r="B192" s="20" t="s">
        <v>579</v>
      </c>
      <c r="C192" s="20" t="s">
        <v>610</v>
      </c>
      <c r="D192" s="138">
        <v>2620000</v>
      </c>
      <c r="E192" s="20" t="s">
        <v>432</v>
      </c>
      <c r="F192" s="20" t="s">
        <v>433</v>
      </c>
      <c r="G192" s="8" t="str">
        <f t="shared" si="2"/>
        <v>PERKINS DARREN</v>
      </c>
    </row>
    <row r="193" spans="1:7" x14ac:dyDescent="0.25">
      <c r="A193" s="8">
        <v>42979.759699074071</v>
      </c>
      <c r="B193" s="20" t="s">
        <v>514</v>
      </c>
      <c r="C193" s="20" t="s">
        <v>774</v>
      </c>
      <c r="D193" s="138">
        <v>1300000</v>
      </c>
      <c r="E193" s="20" t="s">
        <v>456</v>
      </c>
      <c r="F193" s="20" t="s">
        <v>457</v>
      </c>
      <c r="G193" s="8" t="str">
        <f t="shared" si="2"/>
        <v>LEVIN SCOTT</v>
      </c>
    </row>
    <row r="194" spans="1:7" x14ac:dyDescent="0.25">
      <c r="A194" s="8">
        <v>42979.765347222223</v>
      </c>
      <c r="B194" s="20" t="s">
        <v>514</v>
      </c>
      <c r="C194" s="20" t="s">
        <v>786</v>
      </c>
      <c r="D194" s="138">
        <v>1300000</v>
      </c>
      <c r="E194" s="20" t="s">
        <v>456</v>
      </c>
      <c r="F194" s="20" t="s">
        <v>457</v>
      </c>
      <c r="G194" s="8" t="str">
        <f t="shared" si="2"/>
        <v>LEVIN SCOTT</v>
      </c>
    </row>
    <row r="195" spans="1:7" x14ac:dyDescent="0.25">
      <c r="A195" s="8">
        <v>42979.767592592594</v>
      </c>
      <c r="B195" s="20" t="s">
        <v>510</v>
      </c>
      <c r="C195" s="20" t="s">
        <v>787</v>
      </c>
      <c r="D195" s="138">
        <v>3320000</v>
      </c>
      <c r="E195" s="20" t="s">
        <v>532</v>
      </c>
      <c r="F195" s="20" t="s">
        <v>533</v>
      </c>
      <c r="G195" s="8" t="str">
        <f t="shared" ref="G195:G258" si="3">E195&amp;" "&amp;F195</f>
        <v>NICHOLSON WESLEY</v>
      </c>
    </row>
    <row r="196" spans="1:7" x14ac:dyDescent="0.25">
      <c r="A196" s="8">
        <v>42979.769745370373</v>
      </c>
      <c r="B196" s="20" t="s">
        <v>584</v>
      </c>
      <c r="C196" s="20" t="s">
        <v>788</v>
      </c>
      <c r="D196" s="138">
        <v>3280000</v>
      </c>
      <c r="E196" s="20" t="s">
        <v>486</v>
      </c>
      <c r="F196" s="20" t="s">
        <v>487</v>
      </c>
      <c r="G196" s="8" t="str">
        <f t="shared" si="3"/>
        <v>BIRKHOLZ NADINE</v>
      </c>
    </row>
    <row r="197" spans="1:7" x14ac:dyDescent="0.25">
      <c r="A197" s="8">
        <v>42979.771909722222</v>
      </c>
      <c r="B197" s="20" t="s">
        <v>587</v>
      </c>
      <c r="C197" s="20" t="s">
        <v>789</v>
      </c>
      <c r="D197" s="138">
        <v>3500000</v>
      </c>
      <c r="E197" s="20" t="s">
        <v>460</v>
      </c>
      <c r="F197" s="20" t="s">
        <v>461</v>
      </c>
      <c r="G197" s="8" t="str">
        <f t="shared" si="3"/>
        <v>GUNTHIER ERIC</v>
      </c>
    </row>
    <row r="198" spans="1:7" x14ac:dyDescent="0.25">
      <c r="A198" s="8">
        <v>42979.77584490741</v>
      </c>
      <c r="B198" s="20" t="s">
        <v>478</v>
      </c>
      <c r="C198" s="20" t="s">
        <v>790</v>
      </c>
      <c r="D198" s="138">
        <v>2730000</v>
      </c>
      <c r="E198" s="20" t="s">
        <v>400</v>
      </c>
      <c r="F198" s="20" t="s">
        <v>401</v>
      </c>
      <c r="G198" s="8" t="str">
        <f t="shared" si="3"/>
        <v>YANG JAN</v>
      </c>
    </row>
    <row r="199" spans="1:7" x14ac:dyDescent="0.25">
      <c r="A199" s="8">
        <v>42979.776516203703</v>
      </c>
      <c r="B199" s="20" t="s">
        <v>429</v>
      </c>
      <c r="C199" s="20" t="s">
        <v>791</v>
      </c>
      <c r="D199" s="138">
        <v>1180000</v>
      </c>
      <c r="E199" s="20" t="s">
        <v>713</v>
      </c>
      <c r="F199" s="20" t="s">
        <v>714</v>
      </c>
      <c r="G199" s="8" t="str">
        <f t="shared" si="3"/>
        <v>LEVERE CRAIG</v>
      </c>
    </row>
    <row r="200" spans="1:7" x14ac:dyDescent="0.25">
      <c r="A200" s="8">
        <v>42979.785578703704</v>
      </c>
      <c r="B200" s="20" t="s">
        <v>592</v>
      </c>
      <c r="C200" s="20" t="s">
        <v>792</v>
      </c>
      <c r="D200" s="138">
        <v>2420000</v>
      </c>
      <c r="E200" s="20" t="s">
        <v>741</v>
      </c>
      <c r="F200" s="20" t="s">
        <v>742</v>
      </c>
      <c r="G200" s="8" t="str">
        <f t="shared" si="3"/>
        <v>HOLCOMB KAMDEN</v>
      </c>
    </row>
    <row r="201" spans="1:7" x14ac:dyDescent="0.25">
      <c r="A201" s="8">
        <v>42979.787928240738</v>
      </c>
      <c r="B201" s="20" t="s">
        <v>516</v>
      </c>
      <c r="C201" s="20" t="s">
        <v>793</v>
      </c>
      <c r="D201" s="138">
        <v>3190000</v>
      </c>
      <c r="E201" s="20" t="s">
        <v>484</v>
      </c>
      <c r="F201" s="20" t="s">
        <v>485</v>
      </c>
      <c r="G201" s="8" t="str">
        <f t="shared" si="3"/>
        <v>HART KEVIN</v>
      </c>
    </row>
    <row r="202" spans="1:7" x14ac:dyDescent="0.25">
      <c r="A202" s="26">
        <v>42979.790625000001</v>
      </c>
      <c r="B202" s="20" t="s">
        <v>478</v>
      </c>
      <c r="C202" s="20" t="s">
        <v>790</v>
      </c>
      <c r="D202" s="138">
        <v>2730000</v>
      </c>
      <c r="E202" s="20" t="s">
        <v>400</v>
      </c>
      <c r="F202" s="20" t="s">
        <v>401</v>
      </c>
      <c r="G202" s="8" t="str">
        <f t="shared" si="3"/>
        <v>YANG JAN</v>
      </c>
    </row>
    <row r="203" spans="1:7" x14ac:dyDescent="0.25">
      <c r="A203" s="8">
        <v>42979.791168981479</v>
      </c>
      <c r="B203" s="20" t="s">
        <v>646</v>
      </c>
      <c r="C203" s="20" t="s">
        <v>794</v>
      </c>
      <c r="D203" s="138">
        <v>3500000</v>
      </c>
      <c r="E203" s="20" t="s">
        <v>460</v>
      </c>
      <c r="F203" s="20" t="s">
        <v>461</v>
      </c>
      <c r="G203" s="8" t="str">
        <f t="shared" si="3"/>
        <v>GUNTHIER ERIC</v>
      </c>
    </row>
    <row r="204" spans="1:7" x14ac:dyDescent="0.25">
      <c r="A204" s="8">
        <v>42979.795289351852</v>
      </c>
      <c r="B204" s="20" t="s">
        <v>624</v>
      </c>
      <c r="C204" s="20" t="s">
        <v>795</v>
      </c>
      <c r="D204" s="138">
        <v>2620000</v>
      </c>
      <c r="E204" s="20" t="s">
        <v>432</v>
      </c>
      <c r="F204" s="20" t="s">
        <v>433</v>
      </c>
      <c r="G204" s="8" t="str">
        <f t="shared" si="3"/>
        <v>PERKINS DARREN</v>
      </c>
    </row>
    <row r="205" spans="1:7" x14ac:dyDescent="0.25">
      <c r="A205" s="8">
        <v>42979.796597222223</v>
      </c>
      <c r="B205" s="20" t="s">
        <v>581</v>
      </c>
      <c r="C205" s="20" t="s">
        <v>796</v>
      </c>
      <c r="D205" s="138">
        <v>1740000</v>
      </c>
      <c r="E205" s="20" t="s">
        <v>528</v>
      </c>
      <c r="F205" s="20" t="s">
        <v>529</v>
      </c>
      <c r="G205" s="8" t="str">
        <f t="shared" si="3"/>
        <v>STORY SAMANTHA</v>
      </c>
    </row>
    <row r="206" spans="1:7" x14ac:dyDescent="0.25">
      <c r="A206" s="8">
        <v>42979.798067129632</v>
      </c>
      <c r="B206" s="20" t="s">
        <v>513</v>
      </c>
      <c r="C206" s="20" t="s">
        <v>797</v>
      </c>
      <c r="D206" s="138">
        <v>1300000</v>
      </c>
      <c r="E206" s="20" t="s">
        <v>456</v>
      </c>
      <c r="F206" s="20" t="s">
        <v>457</v>
      </c>
      <c r="G206" s="8" t="str">
        <f t="shared" si="3"/>
        <v>LEVIN SCOTT</v>
      </c>
    </row>
    <row r="207" spans="1:7" x14ac:dyDescent="0.25">
      <c r="A207" s="8">
        <v>42979.799953703703</v>
      </c>
      <c r="B207" s="20" t="s">
        <v>511</v>
      </c>
      <c r="C207" s="20" t="s">
        <v>612</v>
      </c>
      <c r="D207" s="138">
        <v>3320000</v>
      </c>
      <c r="E207" s="20" t="s">
        <v>532</v>
      </c>
      <c r="F207" s="20" t="s">
        <v>533</v>
      </c>
      <c r="G207" s="8" t="str">
        <f t="shared" si="3"/>
        <v>NICHOLSON WESLEY</v>
      </c>
    </row>
    <row r="208" spans="1:7" x14ac:dyDescent="0.25">
      <c r="A208" s="8">
        <v>42979.810266203705</v>
      </c>
      <c r="B208" s="20" t="s">
        <v>584</v>
      </c>
      <c r="C208" s="20" t="s">
        <v>611</v>
      </c>
      <c r="D208" s="138">
        <v>1740000</v>
      </c>
      <c r="E208" s="20" t="s">
        <v>528</v>
      </c>
      <c r="F208" s="20" t="s">
        <v>529</v>
      </c>
      <c r="G208" s="8" t="str">
        <f t="shared" si="3"/>
        <v>STORY SAMANTHA</v>
      </c>
    </row>
    <row r="209" spans="1:7" x14ac:dyDescent="0.25">
      <c r="A209" s="8">
        <v>42979.811828703707</v>
      </c>
      <c r="B209" s="20" t="s">
        <v>479</v>
      </c>
      <c r="C209" s="20" t="s">
        <v>798</v>
      </c>
      <c r="D209" s="138">
        <v>3130000</v>
      </c>
      <c r="E209" s="20" t="s">
        <v>530</v>
      </c>
      <c r="F209" s="20" t="s">
        <v>531</v>
      </c>
      <c r="G209" s="8" t="str">
        <f t="shared" si="3"/>
        <v>ZEWDU DEREJE</v>
      </c>
    </row>
    <row r="210" spans="1:7" x14ac:dyDescent="0.25">
      <c r="A210" s="8">
        <v>42979.817696759259</v>
      </c>
      <c r="B210" s="20" t="s">
        <v>644</v>
      </c>
      <c r="C210" s="20" t="s">
        <v>799</v>
      </c>
      <c r="D210" s="138">
        <v>2420000</v>
      </c>
      <c r="E210" s="20" t="s">
        <v>741</v>
      </c>
      <c r="F210" s="20" t="s">
        <v>742</v>
      </c>
      <c r="G210" s="8" t="str">
        <f t="shared" si="3"/>
        <v>HOLCOMB KAMDEN</v>
      </c>
    </row>
    <row r="211" spans="1:7" x14ac:dyDescent="0.25">
      <c r="A211" s="8">
        <v>42979.828518518516</v>
      </c>
      <c r="B211" s="20" t="s">
        <v>613</v>
      </c>
      <c r="C211" s="20" t="s">
        <v>614</v>
      </c>
      <c r="D211" s="138">
        <v>3190000</v>
      </c>
      <c r="E211" s="20" t="s">
        <v>484</v>
      </c>
      <c r="F211" s="20" t="s">
        <v>485</v>
      </c>
      <c r="G211" s="8" t="str">
        <f t="shared" si="3"/>
        <v>HART KEVIN</v>
      </c>
    </row>
    <row r="212" spans="1:7" x14ac:dyDescent="0.25">
      <c r="A212" s="8">
        <v>42979.829143518517</v>
      </c>
      <c r="B212" s="20" t="s">
        <v>579</v>
      </c>
      <c r="C212" s="20" t="s">
        <v>800</v>
      </c>
      <c r="D212" s="138">
        <v>2620000</v>
      </c>
      <c r="E212" s="20" t="s">
        <v>432</v>
      </c>
      <c r="F212" s="20" t="s">
        <v>433</v>
      </c>
      <c r="G212" s="8" t="str">
        <f t="shared" si="3"/>
        <v>PERKINS DARREN</v>
      </c>
    </row>
    <row r="213" spans="1:7" x14ac:dyDescent="0.25">
      <c r="A213" s="8">
        <v>42979.831759259258</v>
      </c>
      <c r="B213" s="20" t="s">
        <v>581</v>
      </c>
      <c r="C213" s="20" t="s">
        <v>801</v>
      </c>
      <c r="D213" s="138">
        <v>1740000</v>
      </c>
      <c r="E213" s="20" t="s">
        <v>528</v>
      </c>
      <c r="F213" s="20" t="s">
        <v>529</v>
      </c>
      <c r="G213" s="8" t="str">
        <f t="shared" si="3"/>
        <v>STORY SAMANTHA</v>
      </c>
    </row>
    <row r="214" spans="1:7" x14ac:dyDescent="0.25">
      <c r="A214" s="8">
        <v>42979.837199074071</v>
      </c>
      <c r="B214" s="20" t="s">
        <v>613</v>
      </c>
      <c r="C214" s="20" t="s">
        <v>614</v>
      </c>
      <c r="D214" s="138">
        <v>3190000</v>
      </c>
      <c r="E214" s="20" t="s">
        <v>484</v>
      </c>
      <c r="F214" s="20" t="s">
        <v>485</v>
      </c>
      <c r="G214" s="8" t="str">
        <f t="shared" si="3"/>
        <v>HART KEVIN</v>
      </c>
    </row>
    <row r="215" spans="1:7" x14ac:dyDescent="0.25">
      <c r="A215" s="8">
        <v>42979.848402777781</v>
      </c>
      <c r="B215" s="20" t="s">
        <v>478</v>
      </c>
      <c r="C215" s="20" t="s">
        <v>802</v>
      </c>
      <c r="D215" s="138">
        <v>3130000</v>
      </c>
      <c r="E215" s="20" t="s">
        <v>530</v>
      </c>
      <c r="F215" s="20" t="s">
        <v>531</v>
      </c>
      <c r="G215" s="8" t="str">
        <f t="shared" si="3"/>
        <v>ZEWDU DEREJE</v>
      </c>
    </row>
    <row r="216" spans="1:7" x14ac:dyDescent="0.25">
      <c r="A216" s="8">
        <v>42979.848460648151</v>
      </c>
      <c r="B216" s="20" t="s">
        <v>510</v>
      </c>
      <c r="C216" s="20" t="s">
        <v>803</v>
      </c>
      <c r="D216" s="138">
        <v>3320000</v>
      </c>
      <c r="E216" s="20" t="s">
        <v>532</v>
      </c>
      <c r="F216" s="20" t="s">
        <v>533</v>
      </c>
      <c r="G216" s="8" t="str">
        <f t="shared" si="3"/>
        <v>NICHOLSON WESLEY</v>
      </c>
    </row>
    <row r="217" spans="1:7" x14ac:dyDescent="0.25">
      <c r="A217" s="8">
        <v>42979.857546296298</v>
      </c>
      <c r="B217" s="20" t="s">
        <v>584</v>
      </c>
      <c r="C217" s="20" t="s">
        <v>804</v>
      </c>
      <c r="D217" s="138">
        <v>1740000</v>
      </c>
      <c r="E217" s="20" t="s">
        <v>528</v>
      </c>
      <c r="F217" s="20" t="s">
        <v>529</v>
      </c>
      <c r="G217" s="8" t="str">
        <f t="shared" si="3"/>
        <v>STORY SAMANTHA</v>
      </c>
    </row>
    <row r="218" spans="1:7" x14ac:dyDescent="0.25">
      <c r="A218" s="8">
        <v>42979.860497685186</v>
      </c>
      <c r="B218" s="20" t="s">
        <v>624</v>
      </c>
      <c r="C218" s="20" t="s">
        <v>805</v>
      </c>
      <c r="D218" s="138">
        <v>2620000</v>
      </c>
      <c r="E218" s="20" t="s">
        <v>432</v>
      </c>
      <c r="F218" s="20" t="s">
        <v>433</v>
      </c>
      <c r="G218" s="8" t="str">
        <f t="shared" si="3"/>
        <v>PERKINS DARREN</v>
      </c>
    </row>
    <row r="219" spans="1:7" x14ac:dyDescent="0.25">
      <c r="A219" s="8">
        <v>42979.865115740744</v>
      </c>
      <c r="B219" s="20" t="s">
        <v>516</v>
      </c>
      <c r="C219" s="20" t="s">
        <v>806</v>
      </c>
      <c r="D219" s="138">
        <v>3340000</v>
      </c>
      <c r="E219" s="20" t="s">
        <v>780</v>
      </c>
      <c r="F219" s="20" t="s">
        <v>781</v>
      </c>
      <c r="G219" s="8" t="str">
        <f t="shared" si="3"/>
        <v>ELBAUM MIKE</v>
      </c>
    </row>
    <row r="220" spans="1:7" x14ac:dyDescent="0.25">
      <c r="A220" s="8">
        <v>42979.875324074077</v>
      </c>
      <c r="B220" s="20" t="s">
        <v>581</v>
      </c>
      <c r="C220" s="20" t="s">
        <v>807</v>
      </c>
      <c r="D220" s="138">
        <v>3500000</v>
      </c>
      <c r="E220" s="20" t="s">
        <v>460</v>
      </c>
      <c r="F220" s="20" t="s">
        <v>461</v>
      </c>
      <c r="G220" s="8" t="str">
        <f t="shared" si="3"/>
        <v>GUNTHIER ERIC</v>
      </c>
    </row>
    <row r="221" spans="1:7" x14ac:dyDescent="0.25">
      <c r="A221" s="8">
        <v>42979.885752314818</v>
      </c>
      <c r="B221" s="20" t="s">
        <v>479</v>
      </c>
      <c r="C221" s="20" t="s">
        <v>808</v>
      </c>
      <c r="D221" s="138">
        <v>2730000</v>
      </c>
      <c r="E221" s="20" t="s">
        <v>400</v>
      </c>
      <c r="F221" s="20" t="s">
        <v>401</v>
      </c>
      <c r="G221" s="8" t="str">
        <f t="shared" si="3"/>
        <v>YANG JAN</v>
      </c>
    </row>
    <row r="222" spans="1:7" x14ac:dyDescent="0.25">
      <c r="A222" s="8">
        <v>42979.886469907404</v>
      </c>
      <c r="B222" s="20" t="s">
        <v>511</v>
      </c>
      <c r="C222" s="20" t="s">
        <v>809</v>
      </c>
      <c r="D222" s="138">
        <v>3320000</v>
      </c>
      <c r="E222" s="20" t="s">
        <v>532</v>
      </c>
      <c r="F222" s="20" t="s">
        <v>533</v>
      </c>
      <c r="G222" s="8" t="str">
        <f t="shared" si="3"/>
        <v>NICHOLSON WESLEY</v>
      </c>
    </row>
    <row r="223" spans="1:7" x14ac:dyDescent="0.25">
      <c r="A223" s="8">
        <v>42979.900763888887</v>
      </c>
      <c r="B223" s="20" t="s">
        <v>584</v>
      </c>
      <c r="C223" s="20" t="s">
        <v>810</v>
      </c>
      <c r="D223" s="138">
        <v>3500000</v>
      </c>
      <c r="E223" s="20" t="s">
        <v>460</v>
      </c>
      <c r="F223" s="20" t="s">
        <v>461</v>
      </c>
      <c r="G223" s="8" t="str">
        <f t="shared" si="3"/>
        <v>GUNTHIER ERIC</v>
      </c>
    </row>
    <row r="224" spans="1:7" x14ac:dyDescent="0.25">
      <c r="A224" s="8">
        <v>42979.90320601852</v>
      </c>
      <c r="B224" t="s">
        <v>613</v>
      </c>
      <c r="C224" t="s">
        <v>811</v>
      </c>
      <c r="D224" s="138">
        <v>3340000</v>
      </c>
      <c r="E224" t="s">
        <v>780</v>
      </c>
      <c r="F224" s="20" t="s">
        <v>781</v>
      </c>
      <c r="G224" s="8" t="str">
        <f t="shared" si="3"/>
        <v>ELBAUM MIKE</v>
      </c>
    </row>
    <row r="225" spans="1:7" x14ac:dyDescent="0.25">
      <c r="A225" s="8">
        <v>42979.904629629629</v>
      </c>
      <c r="B225" t="s">
        <v>579</v>
      </c>
      <c r="C225" t="s">
        <v>812</v>
      </c>
      <c r="D225" s="138">
        <v>2620000</v>
      </c>
      <c r="E225" t="s">
        <v>432</v>
      </c>
      <c r="F225" s="20" t="s">
        <v>433</v>
      </c>
      <c r="G225" s="8" t="str">
        <f t="shared" si="3"/>
        <v>PERKINS DARREN</v>
      </c>
    </row>
    <row r="226" spans="1:7" x14ac:dyDescent="0.25">
      <c r="A226" s="8">
        <v>42979.916134259256</v>
      </c>
      <c r="B226" t="s">
        <v>581</v>
      </c>
      <c r="C226" t="s">
        <v>615</v>
      </c>
      <c r="D226" s="138">
        <v>3500000</v>
      </c>
      <c r="E226" t="s">
        <v>460</v>
      </c>
      <c r="F226" s="20" t="s">
        <v>461</v>
      </c>
      <c r="G226" s="8" t="str">
        <f t="shared" si="3"/>
        <v>GUNTHIER ERIC</v>
      </c>
    </row>
    <row r="227" spans="1:7" x14ac:dyDescent="0.25">
      <c r="A227" s="8">
        <v>42979.926458333335</v>
      </c>
      <c r="B227" t="s">
        <v>510</v>
      </c>
      <c r="C227" t="s">
        <v>813</v>
      </c>
      <c r="D227" s="138">
        <v>3320000</v>
      </c>
      <c r="E227" t="s">
        <v>532</v>
      </c>
      <c r="F227" s="20" t="s">
        <v>533</v>
      </c>
      <c r="G227" s="8" t="str">
        <f t="shared" si="3"/>
        <v>NICHOLSON WESLEY</v>
      </c>
    </row>
    <row r="228" spans="1:7" x14ac:dyDescent="0.25">
      <c r="A228" s="8">
        <v>42979.932337962964</v>
      </c>
      <c r="B228" t="s">
        <v>478</v>
      </c>
      <c r="C228" t="s">
        <v>814</v>
      </c>
      <c r="D228" s="138">
        <v>2730000</v>
      </c>
      <c r="E228" t="s">
        <v>400</v>
      </c>
      <c r="F228" s="20" t="s">
        <v>401</v>
      </c>
      <c r="G228" s="8" t="str">
        <f t="shared" si="3"/>
        <v>YANG JAN</v>
      </c>
    </row>
    <row r="229" spans="1:7" x14ac:dyDescent="0.25">
      <c r="A229" s="8">
        <v>42979.943518518521</v>
      </c>
      <c r="B229" t="s">
        <v>584</v>
      </c>
      <c r="C229" t="s">
        <v>815</v>
      </c>
      <c r="D229" s="138">
        <v>3500000</v>
      </c>
      <c r="E229" t="s">
        <v>460</v>
      </c>
      <c r="F229" s="20" t="s">
        <v>461</v>
      </c>
      <c r="G229" s="8" t="str">
        <f t="shared" si="3"/>
        <v>GUNTHIER ERIC</v>
      </c>
    </row>
    <row r="230" spans="1:7" x14ac:dyDescent="0.25">
      <c r="A230" s="8">
        <v>42979.944606481484</v>
      </c>
      <c r="B230" t="s">
        <v>516</v>
      </c>
      <c r="C230" t="s">
        <v>816</v>
      </c>
      <c r="D230" s="138">
        <v>3340000</v>
      </c>
      <c r="E230" t="s">
        <v>780</v>
      </c>
      <c r="F230" s="20" t="s">
        <v>781</v>
      </c>
      <c r="G230" s="8" t="str">
        <f t="shared" si="3"/>
        <v>ELBAUM MIKE</v>
      </c>
    </row>
    <row r="231" spans="1:7" x14ac:dyDescent="0.25">
      <c r="A231" s="8">
        <v>42979.945462962962</v>
      </c>
      <c r="B231" t="s">
        <v>624</v>
      </c>
      <c r="C231" t="s">
        <v>817</v>
      </c>
      <c r="D231" s="138">
        <v>2620000</v>
      </c>
      <c r="E231" t="s">
        <v>432</v>
      </c>
      <c r="F231" s="20" t="s">
        <v>433</v>
      </c>
      <c r="G231" s="8" t="str">
        <f t="shared" si="3"/>
        <v>PERKINS DARREN</v>
      </c>
    </row>
    <row r="232" spans="1:7" x14ac:dyDescent="0.25">
      <c r="A232" s="8">
        <v>42979.946226851855</v>
      </c>
      <c r="B232" t="s">
        <v>624</v>
      </c>
      <c r="C232" t="s">
        <v>817</v>
      </c>
      <c r="D232" s="138">
        <v>2620000</v>
      </c>
      <c r="E232" t="s">
        <v>432</v>
      </c>
      <c r="F232" s="20" t="s">
        <v>433</v>
      </c>
      <c r="G232" s="8" t="str">
        <f t="shared" si="3"/>
        <v>PERKINS DARREN</v>
      </c>
    </row>
    <row r="233" spans="1:7" x14ac:dyDescent="0.25">
      <c r="A233" s="8">
        <v>42979.958333333336</v>
      </c>
      <c r="B233" t="s">
        <v>581</v>
      </c>
      <c r="C233" t="s">
        <v>818</v>
      </c>
      <c r="D233" s="138">
        <v>3500000</v>
      </c>
      <c r="E233" t="s">
        <v>460</v>
      </c>
      <c r="F233" s="20" t="s">
        <v>461</v>
      </c>
      <c r="G233" s="8" t="str">
        <f t="shared" si="3"/>
        <v>GUNTHIER ERIC</v>
      </c>
    </row>
    <row r="234" spans="1:7" x14ac:dyDescent="0.25">
      <c r="A234" s="8">
        <v>42979.97247685185</v>
      </c>
      <c r="B234" t="s">
        <v>511</v>
      </c>
      <c r="C234" t="s">
        <v>819</v>
      </c>
      <c r="D234" s="138">
        <v>3320000</v>
      </c>
      <c r="E234" t="s">
        <v>532</v>
      </c>
      <c r="F234" s="20" t="s">
        <v>533</v>
      </c>
      <c r="G234" s="8" t="str">
        <f t="shared" si="3"/>
        <v>NICHOLSON WESLEY</v>
      </c>
    </row>
    <row r="235" spans="1:7" x14ac:dyDescent="0.25">
      <c r="A235" s="8">
        <v>42979.973321759258</v>
      </c>
      <c r="B235" t="s">
        <v>479</v>
      </c>
      <c r="C235" t="s">
        <v>820</v>
      </c>
      <c r="D235" s="138">
        <v>2730000</v>
      </c>
      <c r="E235" t="s">
        <v>400</v>
      </c>
      <c r="F235" s="20" t="s">
        <v>401</v>
      </c>
      <c r="G235" s="8" t="str">
        <f t="shared" si="3"/>
        <v>YANG JAN</v>
      </c>
    </row>
    <row r="236" spans="1:7" x14ac:dyDescent="0.25">
      <c r="A236" s="8">
        <v>42979.977141203701</v>
      </c>
      <c r="B236" t="s">
        <v>584</v>
      </c>
      <c r="C236" t="s">
        <v>821</v>
      </c>
      <c r="D236" s="138">
        <v>3500000</v>
      </c>
      <c r="E236" t="s">
        <v>460</v>
      </c>
      <c r="F236" s="20" t="s">
        <v>461</v>
      </c>
      <c r="G236" s="8" t="str">
        <f t="shared" si="3"/>
        <v>GUNTHIER ERIC</v>
      </c>
    </row>
    <row r="237" spans="1:7" x14ac:dyDescent="0.25">
      <c r="A237" s="8">
        <v>42979.987291666665</v>
      </c>
      <c r="B237" t="s">
        <v>579</v>
      </c>
      <c r="C237" t="s">
        <v>822</v>
      </c>
      <c r="D237" s="138">
        <v>2620000</v>
      </c>
      <c r="E237" t="s">
        <v>432</v>
      </c>
      <c r="F237" s="20" t="s">
        <v>433</v>
      </c>
      <c r="G237" s="8" t="str">
        <f t="shared" si="3"/>
        <v>PERKINS DARREN</v>
      </c>
    </row>
    <row r="238" spans="1:7" x14ac:dyDescent="0.25">
      <c r="A238" s="8">
        <v>42979.990671296298</v>
      </c>
      <c r="B238" t="s">
        <v>613</v>
      </c>
      <c r="C238" t="s">
        <v>616</v>
      </c>
      <c r="D238" s="138">
        <v>3340000</v>
      </c>
      <c r="E238" t="s">
        <v>780</v>
      </c>
      <c r="F238" s="20" t="s">
        <v>781</v>
      </c>
      <c r="G238" s="8" t="str">
        <f t="shared" si="3"/>
        <v>ELBAUM MIKE</v>
      </c>
    </row>
    <row r="239" spans="1:7" x14ac:dyDescent="0.25">
      <c r="A239" s="8">
        <v>42980.01425925926</v>
      </c>
      <c r="B239" t="s">
        <v>510</v>
      </c>
      <c r="C239" t="s">
        <v>823</v>
      </c>
      <c r="D239" s="138">
        <v>3320000</v>
      </c>
      <c r="E239" t="s">
        <v>532</v>
      </c>
      <c r="F239" s="20" t="s">
        <v>533</v>
      </c>
      <c r="G239" s="8" t="str">
        <f t="shared" si="3"/>
        <v>NICHOLSON WESLEY</v>
      </c>
    </row>
    <row r="240" spans="1:7" x14ac:dyDescent="0.25">
      <c r="A240" s="8">
        <v>42980.015636574077</v>
      </c>
      <c r="B240" t="s">
        <v>478</v>
      </c>
      <c r="C240" t="s">
        <v>824</v>
      </c>
      <c r="D240" s="138">
        <v>2730000</v>
      </c>
      <c r="E240" t="s">
        <v>400</v>
      </c>
      <c r="F240" s="20" t="s">
        <v>401</v>
      </c>
      <c r="G240" s="8" t="str">
        <f t="shared" si="3"/>
        <v>YANG JAN</v>
      </c>
    </row>
    <row r="241" spans="1:7" x14ac:dyDescent="0.25">
      <c r="A241" s="8">
        <v>42980.028900462959</v>
      </c>
      <c r="B241" t="s">
        <v>516</v>
      </c>
      <c r="C241" t="s">
        <v>825</v>
      </c>
      <c r="D241" s="138">
        <v>3340000</v>
      </c>
      <c r="E241" t="s">
        <v>780</v>
      </c>
      <c r="F241" s="20" t="s">
        <v>781</v>
      </c>
      <c r="G241" s="8" t="str">
        <f t="shared" si="3"/>
        <v>ELBAUM MIKE</v>
      </c>
    </row>
    <row r="242" spans="1:7" x14ac:dyDescent="0.25">
      <c r="A242" s="8">
        <v>42980.035219907404</v>
      </c>
      <c r="B242" t="s">
        <v>624</v>
      </c>
      <c r="C242" t="s">
        <v>826</v>
      </c>
      <c r="D242" s="138">
        <v>2620000</v>
      </c>
      <c r="E242" t="s">
        <v>432</v>
      </c>
      <c r="F242" s="20" t="s">
        <v>433</v>
      </c>
      <c r="G242" s="8" t="str">
        <f t="shared" si="3"/>
        <v>PERKINS DARREN</v>
      </c>
    </row>
    <row r="243" spans="1:7" x14ac:dyDescent="0.25">
      <c r="A243" s="8">
        <v>42980.048043981478</v>
      </c>
      <c r="B243" t="s">
        <v>479</v>
      </c>
      <c r="C243" t="s">
        <v>827</v>
      </c>
      <c r="D243" s="138">
        <v>2730000</v>
      </c>
      <c r="E243" t="s">
        <v>400</v>
      </c>
      <c r="F243" s="20" t="s">
        <v>401</v>
      </c>
      <c r="G243" s="8" t="str">
        <f t="shared" si="3"/>
        <v>YANG JAN</v>
      </c>
    </row>
    <row r="244" spans="1:7" x14ac:dyDescent="0.25">
      <c r="A244" s="8">
        <v>42980.058796296296</v>
      </c>
      <c r="B244" t="s">
        <v>511</v>
      </c>
      <c r="C244" t="s">
        <v>828</v>
      </c>
      <c r="D244" s="138">
        <v>3320000</v>
      </c>
      <c r="E244" t="s">
        <v>532</v>
      </c>
      <c r="F244" s="20" t="s">
        <v>533</v>
      </c>
      <c r="G244" s="8" t="str">
        <f t="shared" si="3"/>
        <v>NICHOLSON WESLEY</v>
      </c>
    </row>
    <row r="245" spans="1:7" x14ac:dyDescent="0.25">
      <c r="A245" s="8">
        <v>42980.073506944442</v>
      </c>
      <c r="B245" t="s">
        <v>579</v>
      </c>
      <c r="C245" t="s">
        <v>829</v>
      </c>
      <c r="D245" s="138">
        <v>2620000</v>
      </c>
      <c r="E245" t="s">
        <v>432</v>
      </c>
      <c r="F245" s="20" t="s">
        <v>433</v>
      </c>
      <c r="G245" s="8" t="str">
        <f t="shared" si="3"/>
        <v>PERKINS DARREN</v>
      </c>
    </row>
    <row r="246" spans="1:7" x14ac:dyDescent="0.25">
      <c r="A246" s="8">
        <v>42980.075868055559</v>
      </c>
      <c r="B246" t="s">
        <v>613</v>
      </c>
      <c r="C246" t="s">
        <v>830</v>
      </c>
      <c r="D246" s="138">
        <v>3340000</v>
      </c>
      <c r="E246" t="s">
        <v>780</v>
      </c>
      <c r="F246" s="20" t="s">
        <v>781</v>
      </c>
      <c r="G246" s="8" t="str">
        <f t="shared" si="3"/>
        <v>ELBAUM MIKE</v>
      </c>
    </row>
    <row r="247" spans="1:7" x14ac:dyDescent="0.25">
      <c r="A247" s="8">
        <v>42980.077870370369</v>
      </c>
      <c r="B247" t="s">
        <v>511</v>
      </c>
      <c r="C247" t="s">
        <v>828</v>
      </c>
      <c r="D247" s="138">
        <v>3320000</v>
      </c>
      <c r="E247" t="s">
        <v>532</v>
      </c>
      <c r="F247" s="20" t="s">
        <v>533</v>
      </c>
      <c r="G247" s="8" t="str">
        <f t="shared" si="3"/>
        <v>NICHOLSON WESLEY</v>
      </c>
    </row>
    <row r="248" spans="1:7" x14ac:dyDescent="0.25">
      <c r="A248" s="8">
        <v>42980.110462962963</v>
      </c>
      <c r="B248" t="s">
        <v>516</v>
      </c>
      <c r="C248" t="s">
        <v>831</v>
      </c>
      <c r="D248" s="138">
        <v>3340000</v>
      </c>
      <c r="E248" t="s">
        <v>780</v>
      </c>
      <c r="F248" s="20" t="s">
        <v>781</v>
      </c>
      <c r="G248" s="8" t="str">
        <f t="shared" si="3"/>
        <v>ELBAUM MIKE</v>
      </c>
    </row>
    <row r="249" spans="1:7" x14ac:dyDescent="0.25">
      <c r="A249" s="8">
        <v>42980.111145833333</v>
      </c>
      <c r="B249" t="s">
        <v>516</v>
      </c>
      <c r="C249" t="s">
        <v>831</v>
      </c>
      <c r="D249" s="138">
        <v>3340000</v>
      </c>
      <c r="E249" t="s">
        <v>780</v>
      </c>
      <c r="F249" s="20" t="s">
        <v>781</v>
      </c>
      <c r="G249" s="8" t="str">
        <f t="shared" si="3"/>
        <v>ELBAUM MIKE</v>
      </c>
    </row>
    <row r="250" spans="1:7" x14ac:dyDescent="0.25">
      <c r="A250" s="8">
        <v>42970.976006944446</v>
      </c>
      <c r="B250" t="s">
        <v>386</v>
      </c>
      <c r="C250" t="s">
        <v>417</v>
      </c>
      <c r="D250" s="138">
        <v>3220000</v>
      </c>
      <c r="E250" t="s">
        <v>413</v>
      </c>
      <c r="F250" s="20" t="s">
        <v>414</v>
      </c>
      <c r="G250" s="8" t="str">
        <f t="shared" si="3"/>
        <v>RESPASS AARON</v>
      </c>
    </row>
    <row r="251" spans="1:7" x14ac:dyDescent="0.25">
      <c r="A251" s="8">
        <v>42970.985254629632</v>
      </c>
      <c r="B251" t="s">
        <v>410</v>
      </c>
      <c r="C251" t="s">
        <v>418</v>
      </c>
      <c r="D251" s="138">
        <v>3000000</v>
      </c>
      <c r="E251" t="s">
        <v>402</v>
      </c>
      <c r="F251" s="20" t="s">
        <v>403</v>
      </c>
      <c r="G251" s="8" t="str">
        <f t="shared" si="3"/>
        <v>FORTUNATO FRANK</v>
      </c>
    </row>
    <row r="252" spans="1:7" x14ac:dyDescent="0.25">
      <c r="A252" s="8">
        <v>42970.986562500002</v>
      </c>
      <c r="B252" t="s">
        <v>385</v>
      </c>
      <c r="C252" t="s">
        <v>419</v>
      </c>
      <c r="D252" s="138">
        <v>3490000</v>
      </c>
      <c r="E252" t="s">
        <v>391</v>
      </c>
      <c r="F252" s="20" t="s">
        <v>392</v>
      </c>
      <c r="G252" s="8" t="str">
        <f t="shared" si="3"/>
        <v>WEST BRYAN</v>
      </c>
    </row>
    <row r="253" spans="1:7" x14ac:dyDescent="0.25">
      <c r="A253" s="8">
        <v>42971.015821759262</v>
      </c>
      <c r="B253" t="s">
        <v>411</v>
      </c>
      <c r="C253" t="s">
        <v>420</v>
      </c>
      <c r="D253" s="138">
        <v>3220000</v>
      </c>
      <c r="E253" t="s">
        <v>413</v>
      </c>
      <c r="F253" s="20" t="s">
        <v>414</v>
      </c>
      <c r="G253" s="8" t="str">
        <f t="shared" si="3"/>
        <v>RESPASS AARON</v>
      </c>
    </row>
    <row r="254" spans="1:7" x14ac:dyDescent="0.25">
      <c r="A254" s="8">
        <v>42971.017129629632</v>
      </c>
      <c r="B254" t="s">
        <v>398</v>
      </c>
      <c r="C254" t="s">
        <v>421</v>
      </c>
      <c r="D254" s="138">
        <v>3090000</v>
      </c>
      <c r="E254" t="s">
        <v>415</v>
      </c>
      <c r="F254" s="20" t="s">
        <v>416</v>
      </c>
      <c r="G254" s="8" t="str">
        <f t="shared" si="3"/>
        <v>LAMAR NEKESHA</v>
      </c>
    </row>
    <row r="255" spans="1:7" x14ac:dyDescent="0.25">
      <c r="A255" s="8">
        <v>42971.026342592595</v>
      </c>
      <c r="B255" t="s">
        <v>412</v>
      </c>
      <c r="C255" t="s">
        <v>422</v>
      </c>
      <c r="D255" s="138">
        <v>3000000</v>
      </c>
      <c r="E255" t="s">
        <v>402</v>
      </c>
      <c r="F255" s="20" t="s">
        <v>403</v>
      </c>
      <c r="G255" s="8" t="str">
        <f t="shared" si="3"/>
        <v>FORTUNATO FRANK</v>
      </c>
    </row>
    <row r="256" spans="1:7" x14ac:dyDescent="0.25">
      <c r="A256" s="8">
        <v>42971.029131944444</v>
      </c>
      <c r="B256" t="s">
        <v>384</v>
      </c>
      <c r="C256" t="s">
        <v>423</v>
      </c>
      <c r="D256" s="138">
        <v>3490000</v>
      </c>
      <c r="E256" t="s">
        <v>391</v>
      </c>
      <c r="F256" s="20" t="s">
        <v>392</v>
      </c>
      <c r="G256" s="8" t="str">
        <f t="shared" si="3"/>
        <v>WEST BRYAN</v>
      </c>
    </row>
    <row r="257" spans="1:7" x14ac:dyDescent="0.25">
      <c r="A257" s="8">
        <v>42971.049212962964</v>
      </c>
      <c r="B257" t="s">
        <v>386</v>
      </c>
      <c r="C257" t="s">
        <v>424</v>
      </c>
      <c r="D257" s="138">
        <v>3220000</v>
      </c>
      <c r="E257" t="s">
        <v>413</v>
      </c>
      <c r="F257" s="20" t="s">
        <v>414</v>
      </c>
      <c r="G257" s="8" t="str">
        <f t="shared" si="3"/>
        <v>RESPASS AARON</v>
      </c>
    </row>
    <row r="258" spans="1:7" x14ac:dyDescent="0.25">
      <c r="A258" s="8">
        <v>42971.055162037039</v>
      </c>
      <c r="B258" t="s">
        <v>399</v>
      </c>
      <c r="C258" t="s">
        <v>425</v>
      </c>
      <c r="D258" s="138">
        <v>3090000</v>
      </c>
      <c r="E258" t="s">
        <v>415</v>
      </c>
      <c r="F258" s="20" t="s">
        <v>416</v>
      </c>
      <c r="G258" s="8" t="str">
        <f t="shared" si="3"/>
        <v>LAMAR NEKESHA</v>
      </c>
    </row>
    <row r="259" spans="1:7" x14ac:dyDescent="0.25">
      <c r="A259" s="8">
        <v>42971.068877314814</v>
      </c>
      <c r="B259" t="s">
        <v>385</v>
      </c>
      <c r="C259" t="s">
        <v>426</v>
      </c>
      <c r="D259" s="138">
        <v>3490000</v>
      </c>
      <c r="E259" t="s">
        <v>391</v>
      </c>
      <c r="F259" s="20" t="s">
        <v>392</v>
      </c>
      <c r="G259" s="8" t="str">
        <f t="shared" ref="G259:G260" si="4">E259&amp;" "&amp;F259</f>
        <v>WEST BRYAN</v>
      </c>
    </row>
    <row r="260" spans="1:7" x14ac:dyDescent="0.25">
      <c r="A260" s="8">
        <v>42971.089328703703</v>
      </c>
      <c r="B260" t="s">
        <v>398</v>
      </c>
      <c r="C260" t="s">
        <v>427</v>
      </c>
      <c r="D260" s="138">
        <v>3090000</v>
      </c>
      <c r="E260" t="s">
        <v>415</v>
      </c>
      <c r="F260" s="20" t="s">
        <v>416</v>
      </c>
      <c r="G260" s="8" t="str">
        <f t="shared" si="4"/>
        <v>LAMAR NEKESHA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68" t="s">
        <v>158</v>
      </c>
      <c r="B1" s="168" t="s">
        <v>161</v>
      </c>
      <c r="C1" s="168" t="s">
        <v>154</v>
      </c>
      <c r="D1" s="136" t="s">
        <v>166</v>
      </c>
      <c r="E1" s="168" t="s">
        <v>155</v>
      </c>
      <c r="F1" s="168" t="s">
        <v>153</v>
      </c>
      <c r="G1" s="168" t="s">
        <v>151</v>
      </c>
      <c r="H1" s="168" t="s">
        <v>164</v>
      </c>
      <c r="I1" s="168" t="s">
        <v>165</v>
      </c>
      <c r="J1" s="168" t="s">
        <v>538</v>
      </c>
      <c r="K1" s="168" t="s">
        <v>159</v>
      </c>
      <c r="L1" s="168" t="s">
        <v>157</v>
      </c>
      <c r="M1" s="168" t="s">
        <v>152</v>
      </c>
      <c r="N1" s="168" t="s">
        <v>162</v>
      </c>
      <c r="O1" s="168" t="s">
        <v>353</v>
      </c>
      <c r="P1" s="168" t="s">
        <v>156</v>
      </c>
      <c r="Q1" s="168" t="s">
        <v>163</v>
      </c>
      <c r="R1" s="168" t="s">
        <v>354</v>
      </c>
      <c r="S1" s="168" t="s">
        <v>160</v>
      </c>
    </row>
    <row r="2" spans="1:19" x14ac:dyDescent="0.25">
      <c r="A2" s="169">
        <v>68.16</v>
      </c>
      <c r="B2" s="169">
        <v>0.36</v>
      </c>
      <c r="C2" s="169">
        <v>51.08</v>
      </c>
      <c r="D2" s="8">
        <v>42979</v>
      </c>
      <c r="E2" s="169">
        <v>0.54</v>
      </c>
      <c r="F2" s="169" t="s">
        <v>542</v>
      </c>
      <c r="G2" s="169">
        <v>281.83</v>
      </c>
      <c r="H2" s="169">
        <v>0</v>
      </c>
      <c r="I2" s="169">
        <v>0</v>
      </c>
      <c r="J2" s="169"/>
      <c r="K2" s="169">
        <v>1013.91</v>
      </c>
      <c r="L2" s="169" t="s">
        <v>541</v>
      </c>
      <c r="M2" s="169">
        <v>68.16</v>
      </c>
      <c r="N2" s="169">
        <v>1504245600</v>
      </c>
      <c r="O2" s="169">
        <v>0</v>
      </c>
      <c r="P2" s="169">
        <v>3.71</v>
      </c>
      <c r="Q2" s="169">
        <v>200</v>
      </c>
      <c r="R2" s="169">
        <v>4.5999999999999996</v>
      </c>
      <c r="S2" s="169">
        <v>0.45</v>
      </c>
    </row>
    <row r="3" spans="1:19" x14ac:dyDescent="0.25">
      <c r="A3" s="169">
        <v>65.69</v>
      </c>
      <c r="B3" s="169">
        <v>0.14000000000000001</v>
      </c>
      <c r="C3" s="169">
        <v>51.02</v>
      </c>
      <c r="D3" s="8">
        <v>42979.041666666664</v>
      </c>
      <c r="E3" s="169">
        <v>0.59</v>
      </c>
      <c r="F3" s="169" t="s">
        <v>376</v>
      </c>
      <c r="G3" s="169">
        <v>281.95999999999998</v>
      </c>
      <c r="H3" s="169">
        <v>0</v>
      </c>
      <c r="I3" s="169">
        <v>0</v>
      </c>
      <c r="J3" s="169"/>
      <c r="K3" s="169">
        <v>1012.76</v>
      </c>
      <c r="L3" s="169" t="s">
        <v>375</v>
      </c>
      <c r="M3" s="169">
        <v>65.69</v>
      </c>
      <c r="N3" s="169">
        <v>1504249200</v>
      </c>
      <c r="O3" s="169">
        <v>0</v>
      </c>
      <c r="P3" s="169">
        <v>3.71</v>
      </c>
      <c r="Q3" s="169">
        <v>289</v>
      </c>
      <c r="R3" s="169">
        <v>4.67</v>
      </c>
      <c r="S3" s="169">
        <v>1.86</v>
      </c>
    </row>
    <row r="4" spans="1:19" x14ac:dyDescent="0.25">
      <c r="A4" s="169">
        <v>63.7</v>
      </c>
      <c r="B4" s="169">
        <v>0.01</v>
      </c>
      <c r="C4" s="169">
        <v>50.95</v>
      </c>
      <c r="D4" s="8">
        <v>42979.083333333336</v>
      </c>
      <c r="E4" s="169">
        <v>0.63</v>
      </c>
      <c r="F4" s="169" t="s">
        <v>376</v>
      </c>
      <c r="G4" s="169">
        <v>282.19</v>
      </c>
      <c r="H4" s="169">
        <v>0</v>
      </c>
      <c r="I4" s="169">
        <v>0</v>
      </c>
      <c r="J4" s="169"/>
      <c r="K4" s="169">
        <v>1013.46</v>
      </c>
      <c r="L4" s="169" t="s">
        <v>375</v>
      </c>
      <c r="M4" s="169">
        <v>63.7</v>
      </c>
      <c r="N4" s="169">
        <v>1504252800</v>
      </c>
      <c r="O4" s="169">
        <v>0</v>
      </c>
      <c r="P4" s="169">
        <v>3.54</v>
      </c>
      <c r="Q4" s="169">
        <v>292</v>
      </c>
      <c r="R4" s="169">
        <v>3.17</v>
      </c>
      <c r="S4" s="169">
        <v>1.37</v>
      </c>
    </row>
    <row r="5" spans="1:19" x14ac:dyDescent="0.25">
      <c r="A5" s="169">
        <v>62.46</v>
      </c>
      <c r="B5" s="169">
        <v>0.04</v>
      </c>
      <c r="C5" s="169">
        <v>50.54</v>
      </c>
      <c r="D5" s="8">
        <v>42979.125</v>
      </c>
      <c r="E5" s="169">
        <v>0.65</v>
      </c>
      <c r="F5" s="169" t="s">
        <v>376</v>
      </c>
      <c r="G5" s="169">
        <v>282.55</v>
      </c>
      <c r="H5" s="169">
        <v>0</v>
      </c>
      <c r="I5" s="169">
        <v>0</v>
      </c>
      <c r="J5" s="169"/>
      <c r="K5" s="169">
        <v>1013.25</v>
      </c>
      <c r="L5" s="169" t="s">
        <v>375</v>
      </c>
      <c r="M5" s="169">
        <v>62.46</v>
      </c>
      <c r="N5" s="169">
        <v>1504256400</v>
      </c>
      <c r="O5" s="169">
        <v>0</v>
      </c>
      <c r="P5" s="169">
        <v>3.71</v>
      </c>
      <c r="Q5" s="169">
        <v>298</v>
      </c>
      <c r="R5" s="169">
        <v>3.12</v>
      </c>
      <c r="S5" s="169">
        <v>1.36</v>
      </c>
    </row>
    <row r="6" spans="1:19" x14ac:dyDescent="0.25">
      <c r="A6" s="169">
        <v>60.6</v>
      </c>
      <c r="B6" s="169">
        <v>0.11</v>
      </c>
      <c r="C6" s="169">
        <v>50.39</v>
      </c>
      <c r="D6" s="8">
        <v>42979.166666666664</v>
      </c>
      <c r="E6" s="169">
        <v>0.69</v>
      </c>
      <c r="F6" s="169" t="s">
        <v>376</v>
      </c>
      <c r="G6" s="169">
        <v>282.79000000000002</v>
      </c>
      <c r="H6" s="169">
        <v>0</v>
      </c>
      <c r="I6" s="169">
        <v>0</v>
      </c>
      <c r="J6" s="169"/>
      <c r="K6" s="169">
        <v>1013.31</v>
      </c>
      <c r="L6" s="169" t="s">
        <v>375</v>
      </c>
      <c r="M6" s="169">
        <v>60.6</v>
      </c>
      <c r="N6" s="169">
        <v>1504260000</v>
      </c>
      <c r="O6" s="169">
        <v>0</v>
      </c>
      <c r="P6" s="169">
        <v>3.71</v>
      </c>
      <c r="Q6" s="169">
        <v>282</v>
      </c>
      <c r="R6" s="169">
        <v>1.98</v>
      </c>
      <c r="S6" s="169">
        <v>0.8</v>
      </c>
    </row>
    <row r="7" spans="1:19" x14ac:dyDescent="0.25">
      <c r="A7" s="169">
        <v>59.93</v>
      </c>
      <c r="B7" s="169">
        <v>0.28999999999999998</v>
      </c>
      <c r="C7" s="169">
        <v>50.55</v>
      </c>
      <c r="D7" s="8">
        <v>42979.208333333336</v>
      </c>
      <c r="E7" s="169">
        <v>0.71</v>
      </c>
      <c r="F7" s="169" t="s">
        <v>542</v>
      </c>
      <c r="G7" s="169">
        <v>283.14</v>
      </c>
      <c r="H7" s="169">
        <v>0</v>
      </c>
      <c r="I7" s="169">
        <v>0</v>
      </c>
      <c r="J7" s="169"/>
      <c r="K7" s="169">
        <v>1014.06</v>
      </c>
      <c r="L7" s="169" t="s">
        <v>541</v>
      </c>
      <c r="M7" s="169">
        <v>59.93</v>
      </c>
      <c r="N7" s="169">
        <v>1504263600</v>
      </c>
      <c r="O7" s="169">
        <v>0</v>
      </c>
      <c r="P7" s="169">
        <v>3.72</v>
      </c>
      <c r="Q7" s="169">
        <v>221</v>
      </c>
      <c r="R7" s="169">
        <v>2.4700000000000002</v>
      </c>
      <c r="S7" s="169">
        <v>0.96</v>
      </c>
    </row>
    <row r="8" spans="1:19" x14ac:dyDescent="0.25">
      <c r="A8" s="169">
        <v>60.4</v>
      </c>
      <c r="B8" s="169">
        <v>7.0000000000000007E-2</v>
      </c>
      <c r="C8" s="169">
        <v>50.34</v>
      </c>
      <c r="D8" s="8">
        <v>42979.25</v>
      </c>
      <c r="E8" s="169">
        <v>0.69</v>
      </c>
      <c r="F8" s="169" t="s">
        <v>376</v>
      </c>
      <c r="G8" s="169">
        <v>282.33</v>
      </c>
      <c r="H8" s="169">
        <v>0</v>
      </c>
      <c r="I8" s="169">
        <v>0</v>
      </c>
      <c r="J8" s="169"/>
      <c r="K8" s="169">
        <v>1013.61</v>
      </c>
      <c r="L8" s="169" t="s">
        <v>375</v>
      </c>
      <c r="M8" s="169">
        <v>60.4</v>
      </c>
      <c r="N8" s="169">
        <v>1504267200</v>
      </c>
      <c r="O8" s="169">
        <v>0</v>
      </c>
      <c r="P8" s="169">
        <v>3.71</v>
      </c>
      <c r="Q8" s="169">
        <v>225</v>
      </c>
      <c r="R8" s="169">
        <v>3.32</v>
      </c>
      <c r="S8" s="169">
        <v>1.1499999999999999</v>
      </c>
    </row>
    <row r="9" spans="1:19" x14ac:dyDescent="0.25">
      <c r="A9" s="169">
        <v>60.62</v>
      </c>
      <c r="B9" s="169">
        <v>0.05</v>
      </c>
      <c r="C9" s="169">
        <v>50.25</v>
      </c>
      <c r="D9" s="8">
        <v>42979.291666666664</v>
      </c>
      <c r="E9" s="169">
        <v>0.69</v>
      </c>
      <c r="F9" s="169" t="s">
        <v>374</v>
      </c>
      <c r="G9" s="169">
        <v>283.5</v>
      </c>
      <c r="H9" s="169">
        <v>0</v>
      </c>
      <c r="I9" s="169">
        <v>0</v>
      </c>
      <c r="J9" s="169"/>
      <c r="K9" s="169">
        <v>1014.67</v>
      </c>
      <c r="L9" s="169" t="s">
        <v>375</v>
      </c>
      <c r="M9" s="169">
        <v>60.62</v>
      </c>
      <c r="N9" s="169">
        <v>1504270800</v>
      </c>
      <c r="O9" s="169">
        <v>0</v>
      </c>
      <c r="P9" s="169">
        <v>3.44</v>
      </c>
      <c r="Q9" s="169">
        <v>210</v>
      </c>
      <c r="R9" s="169">
        <v>4.45</v>
      </c>
      <c r="S9" s="169">
        <v>1.48</v>
      </c>
    </row>
    <row r="10" spans="1:19" x14ac:dyDescent="0.25">
      <c r="A10" s="169">
        <v>63.24</v>
      </c>
      <c r="B10" s="169">
        <v>0.06</v>
      </c>
      <c r="C10" s="169">
        <v>50.93</v>
      </c>
      <c r="D10" s="8">
        <v>42979.333333333336</v>
      </c>
      <c r="E10" s="169">
        <v>0.64</v>
      </c>
      <c r="F10" s="169" t="s">
        <v>374</v>
      </c>
      <c r="G10" s="169">
        <v>285.36</v>
      </c>
      <c r="H10" s="169">
        <v>0</v>
      </c>
      <c r="I10" s="169">
        <v>0</v>
      </c>
      <c r="J10" s="169"/>
      <c r="K10" s="169">
        <v>1014.4</v>
      </c>
      <c r="L10" s="169" t="s">
        <v>375</v>
      </c>
      <c r="M10" s="169">
        <v>63.24</v>
      </c>
      <c r="N10" s="169">
        <v>1504274400</v>
      </c>
      <c r="O10" s="169">
        <v>1</v>
      </c>
      <c r="P10" s="169">
        <v>3.39</v>
      </c>
      <c r="Q10" s="169">
        <v>306</v>
      </c>
      <c r="R10" s="169">
        <v>4.49</v>
      </c>
      <c r="S10" s="169">
        <v>0.31</v>
      </c>
    </row>
    <row r="11" spans="1:19" x14ac:dyDescent="0.25">
      <c r="A11" s="169">
        <v>68.17</v>
      </c>
      <c r="B11" s="169">
        <v>0.13</v>
      </c>
      <c r="C11" s="169">
        <v>51.9</v>
      </c>
      <c r="D11" s="8">
        <v>42979.375</v>
      </c>
      <c r="E11" s="169">
        <v>0.56000000000000005</v>
      </c>
      <c r="F11" s="169" t="s">
        <v>374</v>
      </c>
      <c r="G11" s="169">
        <v>287.08999999999997</v>
      </c>
      <c r="H11" s="169">
        <v>0</v>
      </c>
      <c r="I11" s="169">
        <v>0</v>
      </c>
      <c r="J11" s="169"/>
      <c r="K11" s="169">
        <v>1015.11</v>
      </c>
      <c r="L11" s="169" t="s">
        <v>375</v>
      </c>
      <c r="M11" s="169">
        <v>68.17</v>
      </c>
      <c r="N11" s="169">
        <v>1504278000</v>
      </c>
      <c r="O11" s="169">
        <v>2</v>
      </c>
      <c r="P11" s="169">
        <v>4.07</v>
      </c>
      <c r="Q11" s="169">
        <v>286</v>
      </c>
      <c r="R11" s="169">
        <v>4.53</v>
      </c>
      <c r="S11" s="169">
        <v>0.56000000000000005</v>
      </c>
    </row>
    <row r="12" spans="1:19" x14ac:dyDescent="0.25">
      <c r="A12" s="169">
        <v>74.44</v>
      </c>
      <c r="B12" s="169">
        <v>0.27</v>
      </c>
      <c r="C12" s="169">
        <v>51.11</v>
      </c>
      <c r="D12" s="8">
        <v>42979.416666666664</v>
      </c>
      <c r="E12" s="169">
        <v>0.44</v>
      </c>
      <c r="F12" s="169" t="s">
        <v>540</v>
      </c>
      <c r="G12" s="169">
        <v>288.93</v>
      </c>
      <c r="H12" s="169">
        <v>0</v>
      </c>
      <c r="I12" s="169">
        <v>0</v>
      </c>
      <c r="J12" s="169"/>
      <c r="K12" s="169">
        <v>1015.17</v>
      </c>
      <c r="L12" s="169" t="s">
        <v>541</v>
      </c>
      <c r="M12" s="169">
        <v>74.44</v>
      </c>
      <c r="N12" s="169">
        <v>1504281600</v>
      </c>
      <c r="O12" s="169">
        <v>3</v>
      </c>
      <c r="P12" s="169">
        <v>3.97</v>
      </c>
      <c r="Q12" s="169">
        <v>348</v>
      </c>
      <c r="R12" s="169">
        <v>5.86</v>
      </c>
      <c r="S12" s="169">
        <v>1.17</v>
      </c>
    </row>
    <row r="13" spans="1:19" x14ac:dyDescent="0.25">
      <c r="A13" s="169">
        <v>78.849999999999994</v>
      </c>
      <c r="B13" s="169">
        <v>0.05</v>
      </c>
      <c r="C13" s="169">
        <v>49.18</v>
      </c>
      <c r="D13" s="8">
        <v>42979.458333333336</v>
      </c>
      <c r="E13" s="169">
        <v>0.35</v>
      </c>
      <c r="F13" s="169" t="s">
        <v>374</v>
      </c>
      <c r="G13" s="169">
        <v>290.64</v>
      </c>
      <c r="H13" s="169">
        <v>0</v>
      </c>
      <c r="I13" s="169">
        <v>0</v>
      </c>
      <c r="J13" s="169"/>
      <c r="K13" s="169">
        <v>1014.86</v>
      </c>
      <c r="L13" s="169" t="s">
        <v>375</v>
      </c>
      <c r="M13" s="169">
        <v>78.849999999999994</v>
      </c>
      <c r="N13" s="169">
        <v>1504285200</v>
      </c>
      <c r="O13" s="169">
        <v>6</v>
      </c>
      <c r="P13" s="169">
        <v>3.99</v>
      </c>
      <c r="Q13" s="169">
        <v>3</v>
      </c>
      <c r="R13" s="169">
        <v>9.67</v>
      </c>
      <c r="S13" s="169">
        <v>3.46</v>
      </c>
    </row>
    <row r="14" spans="1:19" x14ac:dyDescent="0.25">
      <c r="A14" s="169">
        <v>80.790000000000006</v>
      </c>
      <c r="B14" s="169">
        <v>0.09</v>
      </c>
      <c r="C14" s="169">
        <v>46.55</v>
      </c>
      <c r="D14" s="8">
        <v>42979.5</v>
      </c>
      <c r="E14" s="169">
        <v>0.3</v>
      </c>
      <c r="F14" s="169" t="s">
        <v>374</v>
      </c>
      <c r="G14" s="169">
        <v>296.02999999999997</v>
      </c>
      <c r="H14" s="169">
        <v>0</v>
      </c>
      <c r="I14" s="169">
        <v>0</v>
      </c>
      <c r="J14" s="169"/>
      <c r="K14" s="169">
        <v>1014.89</v>
      </c>
      <c r="L14" s="169" t="s">
        <v>375</v>
      </c>
      <c r="M14" s="169">
        <v>80.790000000000006</v>
      </c>
      <c r="N14" s="169">
        <v>1504288800</v>
      </c>
      <c r="O14" s="169">
        <v>8</v>
      </c>
      <c r="P14" s="169">
        <v>7.07</v>
      </c>
      <c r="Q14" s="169">
        <v>14</v>
      </c>
      <c r="R14" s="169">
        <v>13.19</v>
      </c>
      <c r="S14" s="169">
        <v>5.34</v>
      </c>
    </row>
    <row r="15" spans="1:19" x14ac:dyDescent="0.25">
      <c r="A15" s="169">
        <v>82.62</v>
      </c>
      <c r="B15" s="169">
        <v>0.11</v>
      </c>
      <c r="C15" s="169">
        <v>45.77</v>
      </c>
      <c r="D15" s="8">
        <v>42979.541666666664</v>
      </c>
      <c r="E15" s="169">
        <v>0.28000000000000003</v>
      </c>
      <c r="F15" s="169" t="s">
        <v>374</v>
      </c>
      <c r="G15" s="169">
        <v>295.35000000000002</v>
      </c>
      <c r="H15" s="169">
        <v>0</v>
      </c>
      <c r="I15" s="169">
        <v>0</v>
      </c>
      <c r="J15" s="169"/>
      <c r="K15" s="169">
        <v>1014.65</v>
      </c>
      <c r="L15" s="169" t="s">
        <v>375</v>
      </c>
      <c r="M15" s="169">
        <v>82.62</v>
      </c>
      <c r="N15" s="169">
        <v>1504292400</v>
      </c>
      <c r="O15" s="169">
        <v>8</v>
      </c>
      <c r="P15" s="169">
        <v>7.07</v>
      </c>
      <c r="Q15" s="169">
        <v>12</v>
      </c>
      <c r="R15" s="169">
        <v>13.56</v>
      </c>
      <c r="S15" s="169">
        <v>5.56</v>
      </c>
    </row>
    <row r="16" spans="1:19" x14ac:dyDescent="0.25">
      <c r="A16" s="169">
        <v>84.06</v>
      </c>
      <c r="B16" s="169">
        <v>0.18</v>
      </c>
      <c r="C16" s="169">
        <v>44.93</v>
      </c>
      <c r="D16" s="8">
        <v>42979.583333333336</v>
      </c>
      <c r="E16" s="169">
        <v>0.25</v>
      </c>
      <c r="F16" s="169" t="s">
        <v>374</v>
      </c>
      <c r="G16" s="169">
        <v>293.31</v>
      </c>
      <c r="H16" s="169">
        <v>0</v>
      </c>
      <c r="I16" s="169">
        <v>0</v>
      </c>
      <c r="J16" s="169"/>
      <c r="K16" s="169">
        <v>1014.39</v>
      </c>
      <c r="L16" s="169" t="s">
        <v>375</v>
      </c>
      <c r="M16" s="169">
        <v>84.06</v>
      </c>
      <c r="N16" s="169">
        <v>1504296000</v>
      </c>
      <c r="O16" s="169">
        <v>7</v>
      </c>
      <c r="P16" s="169">
        <v>7.07</v>
      </c>
      <c r="Q16" s="169">
        <v>12</v>
      </c>
      <c r="R16" s="169">
        <v>12.63</v>
      </c>
      <c r="S16" s="169">
        <v>4.9400000000000004</v>
      </c>
    </row>
    <row r="17" spans="1:19" x14ac:dyDescent="0.25">
      <c r="A17" s="169">
        <v>84.83</v>
      </c>
      <c r="B17" s="169">
        <v>0.17</v>
      </c>
      <c r="C17" s="169">
        <v>44.08</v>
      </c>
      <c r="D17" s="8">
        <v>42979.625</v>
      </c>
      <c r="E17" s="169">
        <v>0.24</v>
      </c>
      <c r="F17" s="169" t="s">
        <v>374</v>
      </c>
      <c r="G17" s="169">
        <v>290.93</v>
      </c>
      <c r="H17" s="169">
        <v>0</v>
      </c>
      <c r="I17" s="169">
        <v>0</v>
      </c>
      <c r="J17" s="169"/>
      <c r="K17" s="169">
        <v>1014.12</v>
      </c>
      <c r="L17" s="169" t="s">
        <v>375</v>
      </c>
      <c r="M17" s="169">
        <v>84.83</v>
      </c>
      <c r="N17" s="169">
        <v>1504299600</v>
      </c>
      <c r="O17" s="169">
        <v>5</v>
      </c>
      <c r="P17" s="169">
        <v>3.36</v>
      </c>
      <c r="Q17" s="169">
        <v>14</v>
      </c>
      <c r="R17" s="169">
        <v>13.02</v>
      </c>
      <c r="S17" s="169">
        <v>5.29</v>
      </c>
    </row>
    <row r="18" spans="1:19" x14ac:dyDescent="0.25">
      <c r="A18" s="169">
        <v>85.09</v>
      </c>
      <c r="B18" s="169">
        <v>0.02</v>
      </c>
      <c r="C18" s="169">
        <v>43.22</v>
      </c>
      <c r="D18" s="8">
        <v>42979.666666666664</v>
      </c>
      <c r="E18" s="169">
        <v>0.23</v>
      </c>
      <c r="F18" s="169" t="s">
        <v>374</v>
      </c>
      <c r="G18" s="169">
        <v>288.54000000000002</v>
      </c>
      <c r="H18" s="169">
        <v>1E-3</v>
      </c>
      <c r="I18" s="169">
        <v>0.01</v>
      </c>
      <c r="J18" s="169" t="s">
        <v>539</v>
      </c>
      <c r="K18" s="169">
        <v>1014.06</v>
      </c>
      <c r="L18" s="169" t="s">
        <v>375</v>
      </c>
      <c r="M18" s="169">
        <v>85.09</v>
      </c>
      <c r="N18" s="169">
        <v>1504303200</v>
      </c>
      <c r="O18" s="169">
        <v>4</v>
      </c>
      <c r="P18" s="169">
        <v>10</v>
      </c>
      <c r="Q18" s="169">
        <v>30</v>
      </c>
      <c r="R18" s="169">
        <v>15.26</v>
      </c>
      <c r="S18" s="169">
        <v>5.2</v>
      </c>
    </row>
    <row r="19" spans="1:19" x14ac:dyDescent="0.25">
      <c r="A19" s="169">
        <v>84.74</v>
      </c>
      <c r="B19" s="169">
        <v>0.08</v>
      </c>
      <c r="C19" s="169">
        <v>42.07</v>
      </c>
      <c r="D19" s="8">
        <v>42979.708333333336</v>
      </c>
      <c r="E19" s="169">
        <v>0.22</v>
      </c>
      <c r="F19" s="169" t="s">
        <v>374</v>
      </c>
      <c r="G19" s="169">
        <v>286.01</v>
      </c>
      <c r="H19" s="169">
        <v>0</v>
      </c>
      <c r="I19" s="169">
        <v>0</v>
      </c>
      <c r="J19" s="169"/>
      <c r="K19" s="169">
        <v>1014.05</v>
      </c>
      <c r="L19" s="169" t="s">
        <v>375</v>
      </c>
      <c r="M19" s="169">
        <v>84.74</v>
      </c>
      <c r="N19" s="169">
        <v>1504306800</v>
      </c>
      <c r="O19" s="169">
        <v>2</v>
      </c>
      <c r="P19" s="169">
        <v>3.97</v>
      </c>
      <c r="Q19" s="169">
        <v>38</v>
      </c>
      <c r="R19" s="169">
        <v>10.65</v>
      </c>
      <c r="S19" s="169">
        <v>4.1100000000000003</v>
      </c>
    </row>
    <row r="20" spans="1:19" x14ac:dyDescent="0.25">
      <c r="A20" s="169">
        <v>83.8</v>
      </c>
      <c r="B20" s="169">
        <v>0.05</v>
      </c>
      <c r="C20" s="169">
        <v>41.9</v>
      </c>
      <c r="D20" s="8">
        <v>42979.75</v>
      </c>
      <c r="E20" s="169">
        <v>0.23</v>
      </c>
      <c r="F20" s="169" t="s">
        <v>374</v>
      </c>
      <c r="G20" s="169">
        <v>283.7</v>
      </c>
      <c r="H20" s="169">
        <v>0</v>
      </c>
      <c r="I20" s="169">
        <v>0</v>
      </c>
      <c r="J20" s="169"/>
      <c r="K20" s="169">
        <v>1014.2</v>
      </c>
      <c r="L20" s="169" t="s">
        <v>375</v>
      </c>
      <c r="M20" s="169">
        <v>83.8</v>
      </c>
      <c r="N20" s="169">
        <v>1504310400</v>
      </c>
      <c r="O20" s="169">
        <v>1</v>
      </c>
      <c r="P20" s="169">
        <v>3.97</v>
      </c>
      <c r="Q20" s="169">
        <v>33</v>
      </c>
      <c r="R20" s="169">
        <v>7.17</v>
      </c>
      <c r="S20" s="169">
        <v>2.59</v>
      </c>
    </row>
    <row r="21" spans="1:19" x14ac:dyDescent="0.25">
      <c r="A21" s="169">
        <v>80.83</v>
      </c>
      <c r="B21" s="169">
        <v>0.02</v>
      </c>
      <c r="C21" s="169">
        <v>42.49</v>
      </c>
      <c r="D21" s="8">
        <v>42979.791666666664</v>
      </c>
      <c r="E21" s="169">
        <v>0.26</v>
      </c>
      <c r="F21" s="169" t="s">
        <v>374</v>
      </c>
      <c r="G21" s="169">
        <v>282.31</v>
      </c>
      <c r="H21" s="169">
        <v>0</v>
      </c>
      <c r="I21" s="169">
        <v>0</v>
      </c>
      <c r="J21" s="169"/>
      <c r="K21" s="169">
        <v>1014.95</v>
      </c>
      <c r="L21" s="169" t="s">
        <v>375</v>
      </c>
      <c r="M21" s="169">
        <v>80.83</v>
      </c>
      <c r="N21" s="169">
        <v>1504314000</v>
      </c>
      <c r="O21" s="169">
        <v>0</v>
      </c>
      <c r="P21" s="169">
        <v>3.93</v>
      </c>
      <c r="Q21" s="169">
        <v>62</v>
      </c>
      <c r="R21" s="169">
        <v>3.49</v>
      </c>
      <c r="S21" s="169">
        <v>1.22</v>
      </c>
    </row>
    <row r="22" spans="1:19" x14ac:dyDescent="0.25">
      <c r="A22" s="169">
        <v>75.2</v>
      </c>
      <c r="B22" s="169">
        <v>0.08</v>
      </c>
      <c r="C22" s="169">
        <v>44.3</v>
      </c>
      <c r="D22" s="8">
        <v>42979.833333333336</v>
      </c>
      <c r="E22" s="169">
        <v>0.33</v>
      </c>
      <c r="F22" s="169" t="s">
        <v>376</v>
      </c>
      <c r="G22" s="169">
        <v>281.37</v>
      </c>
      <c r="H22" s="169">
        <v>0</v>
      </c>
      <c r="I22" s="169">
        <v>0</v>
      </c>
      <c r="J22" s="169"/>
      <c r="K22" s="169">
        <v>1015.41</v>
      </c>
      <c r="L22" s="169" t="s">
        <v>375</v>
      </c>
      <c r="M22" s="169">
        <v>75.2</v>
      </c>
      <c r="N22" s="169">
        <v>1504317600</v>
      </c>
      <c r="O22" s="169">
        <v>0</v>
      </c>
      <c r="P22" s="169">
        <v>5.91</v>
      </c>
      <c r="Q22" s="169">
        <v>120</v>
      </c>
      <c r="R22" s="169">
        <v>1.85</v>
      </c>
      <c r="S22" s="169">
        <v>0.72</v>
      </c>
    </row>
    <row r="23" spans="1:19" x14ac:dyDescent="0.25">
      <c r="A23" s="169">
        <v>70.849999999999994</v>
      </c>
      <c r="B23" s="169">
        <v>0.16</v>
      </c>
      <c r="C23" s="169">
        <v>44.64</v>
      </c>
      <c r="D23" s="8">
        <v>42979.875</v>
      </c>
      <c r="E23" s="169">
        <v>0.39</v>
      </c>
      <c r="F23" s="169" t="s">
        <v>376</v>
      </c>
      <c r="G23" s="169">
        <v>280.79000000000002</v>
      </c>
      <c r="H23" s="169">
        <v>0</v>
      </c>
      <c r="I23" s="169">
        <v>0</v>
      </c>
      <c r="J23" s="169"/>
      <c r="K23" s="169">
        <v>1016.16</v>
      </c>
      <c r="L23" s="169" t="s">
        <v>375</v>
      </c>
      <c r="M23" s="169">
        <v>70.849999999999994</v>
      </c>
      <c r="N23" s="169">
        <v>1504321200</v>
      </c>
      <c r="O23" s="169">
        <v>0</v>
      </c>
      <c r="P23" s="169">
        <v>5.76</v>
      </c>
      <c r="Q23" s="169">
        <v>176</v>
      </c>
      <c r="R23" s="169">
        <v>2.64</v>
      </c>
      <c r="S23" s="169">
        <v>1</v>
      </c>
    </row>
    <row r="24" spans="1:19" x14ac:dyDescent="0.25">
      <c r="A24" s="169">
        <v>68.55</v>
      </c>
      <c r="B24" s="169">
        <v>0.08</v>
      </c>
      <c r="C24" s="169">
        <v>45.12</v>
      </c>
      <c r="D24" s="8">
        <v>42979.916666666664</v>
      </c>
      <c r="E24" s="169">
        <v>0.43</v>
      </c>
      <c r="F24" s="169" t="s">
        <v>376</v>
      </c>
      <c r="G24" s="169">
        <v>280.44</v>
      </c>
      <c r="H24" s="169">
        <v>0</v>
      </c>
      <c r="I24" s="169">
        <v>0</v>
      </c>
      <c r="J24" s="169"/>
      <c r="K24" s="169">
        <v>1016.21</v>
      </c>
      <c r="L24" s="169" t="s">
        <v>375</v>
      </c>
      <c r="M24" s="169">
        <v>68.55</v>
      </c>
      <c r="N24" s="169">
        <v>1504324800</v>
      </c>
      <c r="O24" s="169">
        <v>0</v>
      </c>
      <c r="P24" s="169">
        <v>3.97</v>
      </c>
      <c r="Q24" s="169">
        <v>186</v>
      </c>
      <c r="R24" s="169">
        <v>2.98</v>
      </c>
      <c r="S24" s="169">
        <v>1.29</v>
      </c>
    </row>
    <row r="25" spans="1:19" x14ac:dyDescent="0.25">
      <c r="A25" s="169">
        <v>66.44</v>
      </c>
      <c r="B25" s="169">
        <v>0.03</v>
      </c>
      <c r="C25" s="169">
        <v>45.04</v>
      </c>
      <c r="D25" s="8">
        <v>42979.958333333336</v>
      </c>
      <c r="E25" s="169">
        <v>0.46</v>
      </c>
      <c r="F25" s="169" t="s">
        <v>376</v>
      </c>
      <c r="G25" s="169">
        <v>280.32</v>
      </c>
      <c r="H25" s="169">
        <v>0</v>
      </c>
      <c r="I25" s="169">
        <v>0</v>
      </c>
      <c r="J25" s="169"/>
      <c r="K25" s="169">
        <v>1016.08</v>
      </c>
      <c r="L25" s="169" t="s">
        <v>375</v>
      </c>
      <c r="M25" s="169">
        <v>66.44</v>
      </c>
      <c r="N25" s="169">
        <v>1504328400</v>
      </c>
      <c r="O25" s="169">
        <v>0</v>
      </c>
      <c r="P25" s="169">
        <v>3.47</v>
      </c>
      <c r="Q25" s="169">
        <v>208</v>
      </c>
      <c r="R25" s="169">
        <v>3.15</v>
      </c>
      <c r="S25" s="169">
        <v>1.31</v>
      </c>
    </row>
    <row r="26" spans="1:19" x14ac:dyDescent="0.25">
      <c r="A26" s="169">
        <v>64.37</v>
      </c>
      <c r="B26" s="169">
        <v>0.03</v>
      </c>
      <c r="C26" s="169">
        <v>45.14</v>
      </c>
      <c r="D26" s="8">
        <v>42980</v>
      </c>
      <c r="E26" s="169">
        <v>0.5</v>
      </c>
      <c r="F26" s="169" t="s">
        <v>376</v>
      </c>
      <c r="G26" s="169">
        <v>278.77</v>
      </c>
      <c r="H26" s="169">
        <v>0</v>
      </c>
      <c r="I26" s="169">
        <v>0</v>
      </c>
      <c r="J26" s="169"/>
      <c r="K26" s="169">
        <v>1016.09</v>
      </c>
      <c r="L26" s="169" t="s">
        <v>375</v>
      </c>
      <c r="M26" s="169">
        <v>64.37</v>
      </c>
      <c r="N26" s="169">
        <v>1504332000</v>
      </c>
      <c r="O26" s="169">
        <v>0</v>
      </c>
      <c r="P26" s="169">
        <v>3.71</v>
      </c>
      <c r="Q26" s="169">
        <v>190</v>
      </c>
      <c r="R26" s="169">
        <v>2.86</v>
      </c>
      <c r="S26" s="169">
        <v>1.19</v>
      </c>
    </row>
    <row r="27" spans="1:19" x14ac:dyDescent="0.25">
      <c r="A27" s="169">
        <v>62.65</v>
      </c>
      <c r="B27" s="169">
        <v>0.01</v>
      </c>
      <c r="C27" s="169">
        <v>44.82</v>
      </c>
      <c r="D27" s="8">
        <v>42980.041666666664</v>
      </c>
      <c r="E27" s="169">
        <v>0.52</v>
      </c>
      <c r="F27" s="169" t="s">
        <v>376</v>
      </c>
      <c r="G27" s="169">
        <v>278.18</v>
      </c>
      <c r="H27" s="169">
        <v>0</v>
      </c>
      <c r="I27" s="169">
        <v>0</v>
      </c>
      <c r="J27" s="169"/>
      <c r="K27" s="169">
        <v>1016.43</v>
      </c>
      <c r="L27" s="169" t="s">
        <v>375</v>
      </c>
      <c r="M27" s="169">
        <v>62.65</v>
      </c>
      <c r="N27" s="169">
        <v>1504335600</v>
      </c>
      <c r="O27" s="169">
        <v>0</v>
      </c>
      <c r="P27" s="169">
        <v>3.29</v>
      </c>
      <c r="Q27" s="169">
        <v>185</v>
      </c>
      <c r="R27" s="169">
        <v>2.99</v>
      </c>
      <c r="S27" s="169">
        <v>1.08</v>
      </c>
    </row>
    <row r="28" spans="1:19" x14ac:dyDescent="0.25">
      <c r="A28" s="169">
        <v>61.46</v>
      </c>
      <c r="B28" s="169">
        <v>0</v>
      </c>
      <c r="C28" s="169">
        <v>44.76</v>
      </c>
      <c r="D28" s="8">
        <v>42980.083333333336</v>
      </c>
      <c r="E28" s="169">
        <v>0.54</v>
      </c>
      <c r="F28" s="169" t="s">
        <v>376</v>
      </c>
      <c r="G28" s="169">
        <v>277.7</v>
      </c>
      <c r="H28" s="169">
        <v>0</v>
      </c>
      <c r="I28" s="169">
        <v>0</v>
      </c>
      <c r="J28" s="169"/>
      <c r="K28" s="169">
        <v>1016.57</v>
      </c>
      <c r="L28" s="169" t="s">
        <v>375</v>
      </c>
      <c r="M28" s="169">
        <v>61.46</v>
      </c>
      <c r="N28" s="169">
        <v>1504339200</v>
      </c>
      <c r="O28" s="169">
        <v>0</v>
      </c>
      <c r="P28" s="169">
        <v>2.4</v>
      </c>
      <c r="Q28" s="169">
        <v>200</v>
      </c>
      <c r="R28" s="169">
        <v>3.01</v>
      </c>
      <c r="S28" s="169">
        <v>1.1599999999999999</v>
      </c>
    </row>
    <row r="29" spans="1:19" x14ac:dyDescent="0.25">
      <c r="A29" s="169">
        <v>60.51</v>
      </c>
      <c r="B29" s="169">
        <v>0</v>
      </c>
      <c r="C29" s="169">
        <v>44.65</v>
      </c>
      <c r="D29" s="8">
        <v>42980.125</v>
      </c>
      <c r="E29" s="169">
        <v>0.56000000000000005</v>
      </c>
      <c r="F29" s="169" t="s">
        <v>376</v>
      </c>
      <c r="G29" s="169">
        <v>277.35000000000002</v>
      </c>
      <c r="H29" s="169">
        <v>0</v>
      </c>
      <c r="I29" s="169">
        <v>0</v>
      </c>
      <c r="J29" s="169"/>
      <c r="K29" s="169">
        <v>1016.16</v>
      </c>
      <c r="L29" s="169" t="s">
        <v>375</v>
      </c>
      <c r="M29" s="169">
        <v>60.51</v>
      </c>
      <c r="N29" s="169">
        <v>1504342800</v>
      </c>
      <c r="O29" s="169">
        <v>0</v>
      </c>
      <c r="P29" s="169">
        <v>3.53</v>
      </c>
      <c r="Q29" s="169">
        <v>223</v>
      </c>
      <c r="R29" s="169">
        <v>2.82</v>
      </c>
      <c r="S29" s="169">
        <v>1.24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6"/>
  <sheetViews>
    <sheetView workbookViewId="0">
      <selection activeCell="F7" sqref="F7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69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329</v>
      </c>
      <c r="U1" s="156"/>
      <c r="V1" s="156"/>
      <c r="W1" s="156"/>
      <c r="X1" s="156"/>
    </row>
    <row r="2" spans="1:32" ht="15.75" thickBot="1" x14ac:dyDescent="0.3">
      <c r="A2" s="12">
        <v>42979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330</v>
      </c>
      <c r="U2" s="155">
        <v>167</v>
      </c>
      <c r="V2" s="155">
        <v>168</v>
      </c>
      <c r="W2" s="155">
        <v>199</v>
      </c>
      <c r="X2" s="155">
        <v>200</v>
      </c>
      <c r="AD2" t="s">
        <v>357</v>
      </c>
      <c r="AE2" s="56" t="s">
        <v>360</v>
      </c>
      <c r="AF2" s="56" t="s">
        <v>361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331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332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333</v>
      </c>
      <c r="U5" s="155">
        <v>187</v>
      </c>
      <c r="V5" s="155">
        <v>188</v>
      </c>
      <c r="W5" s="155">
        <v>223</v>
      </c>
      <c r="X5" s="155">
        <v>224</v>
      </c>
      <c r="AC5" s="30" t="s">
        <v>358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2">
        <v>5.65</v>
      </c>
      <c r="AE6" s="42">
        <v>1800</v>
      </c>
      <c r="AF6" s="42">
        <v>1899</v>
      </c>
    </row>
    <row r="7" spans="1:32" x14ac:dyDescent="0.25">
      <c r="C7" s="56"/>
      <c r="F7" t="s">
        <v>350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359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351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362</v>
      </c>
      <c r="AD8" s="192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970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576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971</v>
      </c>
      <c r="J20" s="140" t="s">
        <v>87</v>
      </c>
      <c r="M20" s="154" t="s">
        <v>346</v>
      </c>
      <c r="N20" s="154" t="s">
        <v>328</v>
      </c>
      <c r="T20" s="155"/>
      <c r="U20" s="155"/>
      <c r="V20" s="155"/>
      <c r="W20" s="155"/>
      <c r="X20" s="155"/>
    </row>
    <row r="21" spans="3:24" x14ac:dyDescent="0.25">
      <c r="C21" t="s">
        <v>972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973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974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575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975</v>
      </c>
      <c r="J25" s="140" t="s">
        <v>146</v>
      </c>
      <c r="M25" s="154" t="b">
        <v>1</v>
      </c>
    </row>
    <row r="26" spans="3:24" x14ac:dyDescent="0.25">
      <c r="C26" t="s">
        <v>976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C:\Users\stu\Documents\GitHub\eaglep3-reporting\EC\2017-09-01-refined-times.txt</v>
      </c>
    </row>
    <row r="27" spans="3:24" x14ac:dyDescent="0.25">
      <c r="C27" t="s">
        <v>977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C:\Users\stu\Documents\GitHub\eaglep3-reporting\EC\2017-09-01-Enforcements.txt</v>
      </c>
    </row>
    <row r="28" spans="3:24" x14ac:dyDescent="0.25">
      <c r="C28" t="s">
        <v>978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C:\Users\stu\Documents\GitHub\eaglep3-reporting\EC\2017-09-01-Runs-refined.txt</v>
      </c>
    </row>
    <row r="29" spans="3:24" x14ac:dyDescent="0.25">
      <c r="C29" t="s">
        <v>979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C:\Users\stu\Documents\GitHub\eaglep3-reporting\EC\2017-09-01-Trips.txt</v>
      </c>
    </row>
    <row r="30" spans="3:24" x14ac:dyDescent="0.25">
      <c r="C30" t="s">
        <v>980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C:\Users\stu\Documents\GitHub\eaglep3-reporting\EC\2017-09-01-Weather.txt</v>
      </c>
    </row>
    <row r="31" spans="3:24" x14ac:dyDescent="0.25">
      <c r="C31" t="s">
        <v>981</v>
      </c>
      <c r="J31" s="140" t="s">
        <v>193</v>
      </c>
      <c r="M31" s="154" t="s">
        <v>194</v>
      </c>
    </row>
    <row r="32" spans="3:24" x14ac:dyDescent="0.25">
      <c r="C32" t="s">
        <v>982</v>
      </c>
    </row>
    <row r="33" spans="3:3" x14ac:dyDescent="0.25">
      <c r="C33" t="s">
        <v>983</v>
      </c>
    </row>
    <row r="34" spans="3:3" x14ac:dyDescent="0.25">
      <c r="C34" t="s">
        <v>984</v>
      </c>
    </row>
    <row r="35" spans="3:3" x14ac:dyDescent="0.25">
      <c r="C35" t="s">
        <v>985</v>
      </c>
    </row>
    <row r="36" spans="3:3" x14ac:dyDescent="0.25">
      <c r="C36" t="s">
        <v>986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5" sqref="I5"/>
    </sheetView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217" bestFit="1" customWidth="1"/>
    <col min="9" max="10" width="9.140625" style="217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s="169" t="s">
        <v>113</v>
      </c>
      <c r="I1" s="215" t="s">
        <v>115</v>
      </c>
      <c r="J1" s="169" t="s">
        <v>335</v>
      </c>
    </row>
    <row r="2" spans="1:11" x14ac:dyDescent="0.25">
      <c r="A2" s="93" t="s">
        <v>120</v>
      </c>
      <c r="B2" s="93" t="s">
        <v>121</v>
      </c>
      <c r="C2" s="93" t="s">
        <v>122</v>
      </c>
      <c r="H2" s="169" t="s">
        <v>114</v>
      </c>
      <c r="I2" s="169" t="s">
        <v>116</v>
      </c>
      <c r="J2" s="169" t="s">
        <v>336</v>
      </c>
    </row>
    <row r="3" spans="1:11" x14ac:dyDescent="0.25">
      <c r="A3" s="93" t="s">
        <v>123</v>
      </c>
      <c r="B3" s="93" t="s">
        <v>124</v>
      </c>
      <c r="C3" s="93" t="s">
        <v>125</v>
      </c>
      <c r="H3" s="169" t="s">
        <v>139</v>
      </c>
      <c r="I3" s="169">
        <v>1</v>
      </c>
      <c r="J3" s="169">
        <v>1</v>
      </c>
      <c r="K3" s="55"/>
    </row>
    <row r="4" spans="1:11" x14ac:dyDescent="0.25">
      <c r="A4" s="93" t="s">
        <v>126</v>
      </c>
      <c r="C4" s="93" t="s">
        <v>127</v>
      </c>
      <c r="H4" s="169" t="s">
        <v>140</v>
      </c>
      <c r="I4" s="169">
        <v>2</v>
      </c>
      <c r="J4" s="169">
        <v>1</v>
      </c>
      <c r="K4" s="55"/>
    </row>
    <row r="5" spans="1:11" x14ac:dyDescent="0.25">
      <c r="A5" s="93" t="s">
        <v>128</v>
      </c>
      <c r="C5" s="93" t="s">
        <v>129</v>
      </c>
      <c r="H5" s="169" t="s">
        <v>141</v>
      </c>
      <c r="I5" s="169">
        <v>338</v>
      </c>
      <c r="J5" s="169">
        <v>10</v>
      </c>
      <c r="K5" s="55"/>
    </row>
    <row r="6" spans="1:11" x14ac:dyDescent="0.25">
      <c r="A6" s="93" t="s">
        <v>130</v>
      </c>
      <c r="C6" s="93" t="s">
        <v>131</v>
      </c>
      <c r="H6" s="216" t="s">
        <v>142</v>
      </c>
      <c r="I6" s="216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198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199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200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201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202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203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204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205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206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207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208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209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210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211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212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213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214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215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216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217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218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219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220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221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222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223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224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225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226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227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228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229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230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231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232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233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234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235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236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237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238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239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240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241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242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243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244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245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246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247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248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249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250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251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252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253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254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255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256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257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258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259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260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261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262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263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264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265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266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267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268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269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270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271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272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273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274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275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276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277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278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279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280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281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282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283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284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285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286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287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288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289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290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291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292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293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294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295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296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297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298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299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300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301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302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303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304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305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306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307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308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309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310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311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312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313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314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315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316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317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318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319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320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321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322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323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324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325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326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327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2017-09-05T19:30:52Z</dcterms:modified>
</cp:coreProperties>
</file>